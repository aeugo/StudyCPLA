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3.민법\00.통합\"/>
    </mc:Choice>
  </mc:AlternateContent>
  <xr:revisionPtr revIDLastSave="0" documentId="13_ncr:1_{775D8BF5-0AA2-4D1C-95A5-45C98C422325}" xr6:coauthVersionLast="47" xr6:coauthVersionMax="47" xr10:uidLastSave="{00000000-0000-0000-0000-000000000000}"/>
  <bookViews>
    <workbookView xWindow="-120" yWindow="-120" windowWidth="29040" windowHeight="15720" tabRatio="956" activeTab="4" xr2:uid="{724E5164-C7AB-48F5-B809-C8209C67E087}"/>
  </bookViews>
  <sheets>
    <sheet name="설정" sheetId="16" r:id="rId1"/>
    <sheet name="통합목록" sheetId="19" r:id="rId2"/>
    <sheet name="관련법령" sheetId="18" r:id="rId3"/>
    <sheet name="기출빈도" sheetId="21" r:id="rId4"/>
    <sheet name="기출문제" sheetId="15" r:id="rId5"/>
    <sheet name="테스트" sheetId="13" r:id="rId6"/>
  </sheets>
  <definedNames>
    <definedName name="_xlnm._FilterDatabase" localSheetId="4" hidden="1">기출문제!$B$3:$I$3123</definedName>
    <definedName name="_xlnm._FilterDatabase" localSheetId="3" hidden="1">기출빈도!$B$3:$V$97</definedName>
    <definedName name="_xlnm._FilterDatabase" localSheetId="1" hidden="1">통합목록!$B$3:$O$151</definedName>
    <definedName name="_xleta.COUNT" hidden="1" xlm="1">#NAME?</definedName>
    <definedName name="_xleta.COUNTIF" hidden="1" xlm="1">#NAME?</definedName>
    <definedName name="_xleta.IF" hidden="1" xlm="1">#NAME?</definedName>
    <definedName name="_xleta.IMAGE" hidden="1" xlm="1">#NAME?</definedName>
    <definedName name="_xleta.N"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E4" i="21" l="1"/>
  <c r="W5" i="21"/>
  <c r="W6" i="21"/>
  <c r="H6" i="21" s="1"/>
  <c r="W7" i="21"/>
  <c r="W8" i="21"/>
  <c r="F8" i="21" s="1"/>
  <c r="W9" i="21"/>
  <c r="W10" i="21"/>
  <c r="W11" i="21"/>
  <c r="W12" i="21"/>
  <c r="E12" i="21" s="1"/>
  <c r="W13" i="21"/>
  <c r="W14" i="21"/>
  <c r="W15" i="21"/>
  <c r="W16" i="21"/>
  <c r="G16" i="21" s="1"/>
  <c r="W17" i="21"/>
  <c r="O17" i="21" s="1"/>
  <c r="W18" i="21"/>
  <c r="K18" i="21" s="1"/>
  <c r="W19" i="21"/>
  <c r="G19" i="21" s="1"/>
  <c r="W20" i="21"/>
  <c r="W21" i="21"/>
  <c r="W22" i="21"/>
  <c r="W23" i="21"/>
  <c r="M23" i="21" s="1"/>
  <c r="W24" i="21"/>
  <c r="W25" i="21"/>
  <c r="Q25" i="21" s="1"/>
  <c r="W26" i="21"/>
  <c r="E26" i="21" s="1"/>
  <c r="W27" i="21"/>
  <c r="W28" i="21"/>
  <c r="O28" i="21" s="1"/>
  <c r="W29" i="21"/>
  <c r="K29" i="21" s="1"/>
  <c r="W30" i="21"/>
  <c r="W31" i="21"/>
  <c r="M31" i="21" s="1"/>
  <c r="W32" i="21"/>
  <c r="U32" i="21" s="1"/>
  <c r="W33" i="21"/>
  <c r="Q33" i="21" s="1"/>
  <c r="W34" i="21"/>
  <c r="M34" i="21" s="1"/>
  <c r="W35" i="21"/>
  <c r="W37" i="21"/>
  <c r="P37" i="21" s="1"/>
  <c r="W38" i="21"/>
  <c r="W39" i="21"/>
  <c r="W40" i="21"/>
  <c r="W41" i="21"/>
  <c r="I41" i="21" s="1"/>
  <c r="W42" i="21"/>
  <c r="F42" i="21" s="1"/>
  <c r="W43" i="21"/>
  <c r="F43" i="21" s="1"/>
  <c r="W44" i="21"/>
  <c r="P44" i="21" s="1"/>
  <c r="W45" i="21"/>
  <c r="F45" i="21" s="1"/>
  <c r="W46" i="21"/>
  <c r="R46" i="21" s="1"/>
  <c r="W47" i="21"/>
  <c r="W48" i="21"/>
  <c r="H48" i="21" s="1"/>
  <c r="W49" i="21"/>
  <c r="L49" i="21" s="1"/>
  <c r="W50" i="21"/>
  <c r="F50" i="21" s="1"/>
  <c r="W51" i="21"/>
  <c r="N51" i="21" s="1"/>
  <c r="W52" i="21"/>
  <c r="W53" i="21"/>
  <c r="J53" i="21" s="1"/>
  <c r="W54" i="21"/>
  <c r="F54" i="21" s="1"/>
  <c r="W55" i="21"/>
  <c r="F55" i="21" s="1"/>
  <c r="W56" i="21"/>
  <c r="N56" i="21" s="1"/>
  <c r="W57" i="21"/>
  <c r="U57" i="21" s="1"/>
  <c r="W58" i="21"/>
  <c r="W59" i="21"/>
  <c r="T59" i="21" s="1"/>
  <c r="W60" i="21"/>
  <c r="J60" i="21" s="1"/>
  <c r="W61" i="21"/>
  <c r="W62" i="21"/>
  <c r="G62" i="21" s="1"/>
  <c r="W63" i="21"/>
  <c r="J63" i="21" s="1"/>
  <c r="W64" i="21"/>
  <c r="K64" i="21" s="1"/>
  <c r="W65" i="21"/>
  <c r="R65" i="21" s="1"/>
  <c r="W66" i="21"/>
  <c r="J66" i="21" s="1"/>
  <c r="W67" i="21"/>
  <c r="L67" i="21" s="1"/>
  <c r="W68" i="21"/>
  <c r="W70" i="21"/>
  <c r="I70" i="21" s="1"/>
  <c r="W71" i="21"/>
  <c r="O71" i="21" s="1"/>
  <c r="W72" i="21"/>
  <c r="F72" i="21" s="1"/>
  <c r="W73" i="21"/>
  <c r="W74" i="21"/>
  <c r="W75" i="21"/>
  <c r="O75" i="21" s="1"/>
  <c r="W76" i="21"/>
  <c r="H76" i="21" s="1"/>
  <c r="W77" i="21"/>
  <c r="R77" i="21" s="1"/>
  <c r="W78" i="21"/>
  <c r="K78" i="21" s="1"/>
  <c r="W79" i="21"/>
  <c r="I79" i="21" s="1"/>
  <c r="W80" i="21"/>
  <c r="G80" i="21" s="1"/>
  <c r="W81" i="21"/>
  <c r="E81" i="21" s="1"/>
  <c r="W82" i="21"/>
  <c r="E82" i="21" s="1"/>
  <c r="W83" i="21"/>
  <c r="E83" i="21" s="1"/>
  <c r="W84" i="21"/>
  <c r="E84" i="21" s="1"/>
  <c r="W85" i="21"/>
  <c r="E85" i="21" s="1"/>
  <c r="W86" i="21"/>
  <c r="E86" i="21" s="1"/>
  <c r="W87" i="21"/>
  <c r="E87" i="21" s="1"/>
  <c r="W88" i="21"/>
  <c r="E88" i="21" s="1"/>
  <c r="W89" i="21"/>
  <c r="E89" i="21" s="1"/>
  <c r="W90" i="21"/>
  <c r="E90" i="21" s="1"/>
  <c r="W91" i="21"/>
  <c r="W92" i="21"/>
  <c r="E92" i="21" s="1"/>
  <c r="W93" i="21"/>
  <c r="E93" i="21" s="1"/>
  <c r="W94" i="21"/>
  <c r="E94" i="21" s="1"/>
  <c r="W95" i="21"/>
  <c r="W4" i="21"/>
  <c r="P86" i="21" l="1"/>
  <c r="S79" i="21"/>
  <c r="K62" i="21"/>
  <c r="O51" i="21"/>
  <c r="R8" i="21"/>
  <c r="E48" i="21"/>
  <c r="G92" i="21"/>
  <c r="S92" i="21"/>
  <c r="L87" i="21"/>
  <c r="L84" i="21"/>
  <c r="K81" i="21"/>
  <c r="J72" i="21"/>
  <c r="T63" i="21"/>
  <c r="G56" i="21"/>
  <c r="R43" i="21"/>
  <c r="R92" i="21"/>
  <c r="K87" i="21"/>
  <c r="K84" i="21"/>
  <c r="P80" i="21"/>
  <c r="I72" i="21"/>
  <c r="H63" i="21"/>
  <c r="T54" i="21"/>
  <c r="M92" i="21"/>
  <c r="F87" i="21"/>
  <c r="F84" i="21"/>
  <c r="O80" i="21"/>
  <c r="M71" i="21"/>
  <c r="G63" i="21"/>
  <c r="R54" i="21"/>
  <c r="L71" i="21"/>
  <c r="P83" i="21"/>
  <c r="E66" i="21"/>
  <c r="F92" i="21"/>
  <c r="O86" i="21"/>
  <c r="O83" i="21"/>
  <c r="R79" i="21"/>
  <c r="P70" i="21"/>
  <c r="I62" i="21"/>
  <c r="Q94" i="21"/>
  <c r="R90" i="21"/>
  <c r="J86" i="21"/>
  <c r="T82" i="21"/>
  <c r="F79" i="21"/>
  <c r="O70" i="21"/>
  <c r="O60" i="21"/>
  <c r="G50" i="21"/>
  <c r="K94" i="21"/>
  <c r="L90" i="21"/>
  <c r="T85" i="21"/>
  <c r="S82" i="21"/>
  <c r="U78" i="21"/>
  <c r="J67" i="21"/>
  <c r="N60" i="21"/>
  <c r="J94" i="21"/>
  <c r="K90" i="21"/>
  <c r="S85" i="21"/>
  <c r="N82" i="21"/>
  <c r="I78" i="21"/>
  <c r="I67" i="21"/>
  <c r="M59" i="21"/>
  <c r="J48" i="21"/>
  <c r="U93" i="21"/>
  <c r="F90" i="21"/>
  <c r="N85" i="21"/>
  <c r="H82" i="21"/>
  <c r="H78" i="21"/>
  <c r="M66" i="21"/>
  <c r="L59" i="21"/>
  <c r="O93" i="21"/>
  <c r="T88" i="21"/>
  <c r="H85" i="21"/>
  <c r="G82" i="21"/>
  <c r="N76" i="21"/>
  <c r="L66" i="21"/>
  <c r="N57" i="21"/>
  <c r="R45" i="21"/>
  <c r="N93" i="21"/>
  <c r="H88" i="21"/>
  <c r="G85" i="21"/>
  <c r="R81" i="21"/>
  <c r="Q75" i="21"/>
  <c r="S64" i="21"/>
  <c r="J57" i="21"/>
  <c r="Q45" i="21"/>
  <c r="I93" i="21"/>
  <c r="R87" i="21"/>
  <c r="R84" i="21"/>
  <c r="L81" i="21"/>
  <c r="P75" i="21"/>
  <c r="U63" i="21"/>
  <c r="H56" i="21"/>
  <c r="T43" i="21"/>
  <c r="Q51" i="21"/>
  <c r="G51" i="21"/>
  <c r="S51" i="21"/>
  <c r="K51" i="21"/>
  <c r="L51" i="21"/>
  <c r="M51" i="21"/>
  <c r="E15" i="21"/>
  <c r="F15" i="21"/>
  <c r="R15" i="21"/>
  <c r="G15" i="21"/>
  <c r="S15" i="21"/>
  <c r="H15" i="21"/>
  <c r="T15" i="21"/>
  <c r="I15" i="21"/>
  <c r="U15" i="21"/>
  <c r="J15" i="21"/>
  <c r="L15" i="21"/>
  <c r="M15" i="21"/>
  <c r="N15" i="21"/>
  <c r="O15" i="21"/>
  <c r="P15" i="21"/>
  <c r="Q15" i="21"/>
  <c r="U94" i="21"/>
  <c r="I94" i="21"/>
  <c r="M93" i="21"/>
  <c r="Q92" i="21"/>
  <c r="J90" i="21"/>
  <c r="N89" i="21"/>
  <c r="R88" i="21"/>
  <c r="F88" i="21"/>
  <c r="J87" i="21"/>
  <c r="N86" i="21"/>
  <c r="R85" i="21"/>
  <c r="F85" i="21"/>
  <c r="J84" i="21"/>
  <c r="N83" i="21"/>
  <c r="R82" i="21"/>
  <c r="F82" i="21"/>
  <c r="J81" i="21"/>
  <c r="N80" i="21"/>
  <c r="Q79" i="21"/>
  <c r="T78" i="21"/>
  <c r="F78" i="21"/>
  <c r="I77" i="21"/>
  <c r="L76" i="21"/>
  <c r="U72" i="21"/>
  <c r="H72" i="21"/>
  <c r="K71" i="21"/>
  <c r="N70" i="21"/>
  <c r="U67" i="21"/>
  <c r="H67" i="21"/>
  <c r="K66" i="21"/>
  <c r="M65" i="21"/>
  <c r="P64" i="21"/>
  <c r="S63" i="21"/>
  <c r="F63" i="21"/>
  <c r="M60" i="21"/>
  <c r="J59" i="21"/>
  <c r="J61" i="21" s="1"/>
  <c r="I57" i="21"/>
  <c r="F56" i="21"/>
  <c r="P54" i="21"/>
  <c r="L53" i="21"/>
  <c r="J51" i="21"/>
  <c r="R49" i="21"/>
  <c r="P45" i="21"/>
  <c r="N43" i="21"/>
  <c r="T6" i="21"/>
  <c r="P89" i="21"/>
  <c r="O89" i="21"/>
  <c r="E75" i="21"/>
  <c r="G75" i="21"/>
  <c r="S75" i="21"/>
  <c r="E62" i="21"/>
  <c r="H62" i="21"/>
  <c r="J62" i="21"/>
  <c r="N62" i="21"/>
  <c r="E50" i="21"/>
  <c r="I50" i="21"/>
  <c r="U50" i="21"/>
  <c r="J50" i="21"/>
  <c r="K50" i="21"/>
  <c r="M50" i="21"/>
  <c r="O50" i="21"/>
  <c r="P50" i="21"/>
  <c r="Q50" i="21"/>
  <c r="E38" i="21"/>
  <c r="G38" i="21"/>
  <c r="S38" i="21"/>
  <c r="H38" i="21"/>
  <c r="T38" i="21"/>
  <c r="I38" i="21"/>
  <c r="U38" i="21"/>
  <c r="J38" i="21"/>
  <c r="K38" i="21"/>
  <c r="M38" i="21"/>
  <c r="N38" i="21"/>
  <c r="O38" i="21"/>
  <c r="P38" i="21"/>
  <c r="P39" i="21" s="1"/>
  <c r="P40" i="21" s="1"/>
  <c r="Q38" i="21"/>
  <c r="F38" i="21"/>
  <c r="R38" i="21"/>
  <c r="H26" i="21"/>
  <c r="T26" i="21"/>
  <c r="I26" i="21"/>
  <c r="U26" i="21"/>
  <c r="J26" i="21"/>
  <c r="K26" i="21"/>
  <c r="L26" i="21"/>
  <c r="N26" i="21"/>
  <c r="O26" i="21"/>
  <c r="P26" i="21"/>
  <c r="Q26" i="21"/>
  <c r="F26" i="21"/>
  <c r="R26" i="21"/>
  <c r="G26" i="21"/>
  <c r="S26" i="21"/>
  <c r="E16" i="21"/>
  <c r="T94" i="21"/>
  <c r="H94" i="21"/>
  <c r="L93" i="21"/>
  <c r="P92" i="21"/>
  <c r="U90" i="21"/>
  <c r="I90" i="21"/>
  <c r="M89" i="21"/>
  <c r="Q88" i="21"/>
  <c r="U87" i="21"/>
  <c r="I87" i="21"/>
  <c r="M86" i="21"/>
  <c r="Q85" i="21"/>
  <c r="U84" i="21"/>
  <c r="I84" i="21"/>
  <c r="M83" i="21"/>
  <c r="Q82" i="21"/>
  <c r="U81" i="21"/>
  <c r="I81" i="21"/>
  <c r="M80" i="21"/>
  <c r="P79" i="21"/>
  <c r="R78" i="21"/>
  <c r="U77" i="21"/>
  <c r="H77" i="21"/>
  <c r="K76" i="21"/>
  <c r="N75" i="21"/>
  <c r="T72" i="21"/>
  <c r="G72" i="21"/>
  <c r="J71" i="21"/>
  <c r="M70" i="21"/>
  <c r="T67" i="21"/>
  <c r="G67" i="21"/>
  <c r="I66" i="21"/>
  <c r="L65" i="21"/>
  <c r="O64" i="21"/>
  <c r="R63" i="21"/>
  <c r="U62" i="21"/>
  <c r="F62" i="21"/>
  <c r="L60" i="21"/>
  <c r="H59" i="21"/>
  <c r="H57" i="21"/>
  <c r="R55" i="21"/>
  <c r="O54" i="21"/>
  <c r="I51" i="21"/>
  <c r="P49" i="21"/>
  <c r="L45" i="21"/>
  <c r="M43" i="21"/>
  <c r="L38" i="21"/>
  <c r="M26" i="21"/>
  <c r="S16" i="21"/>
  <c r="E53" i="21"/>
  <c r="I53" i="21"/>
  <c r="U53" i="21"/>
  <c r="K53" i="21"/>
  <c r="O53" i="21"/>
  <c r="P53" i="21"/>
  <c r="Q53" i="21"/>
  <c r="E5" i="21"/>
  <c r="G5" i="21"/>
  <c r="S5" i="21"/>
  <c r="H5" i="21"/>
  <c r="T5" i="21"/>
  <c r="I5" i="21"/>
  <c r="U5" i="21"/>
  <c r="J5" i="21"/>
  <c r="K5" i="21"/>
  <c r="M5" i="21"/>
  <c r="N5" i="21"/>
  <c r="O5" i="21"/>
  <c r="P5" i="21"/>
  <c r="Q5" i="21"/>
  <c r="F5" i="21"/>
  <c r="R5" i="21"/>
  <c r="N41" i="21"/>
  <c r="M53" i="21"/>
  <c r="K4" i="21"/>
  <c r="L4" i="21"/>
  <c r="M4" i="21"/>
  <c r="N4" i="21"/>
  <c r="O4" i="21"/>
  <c r="P4" i="21"/>
  <c r="Q4" i="21"/>
  <c r="F4" i="21"/>
  <c r="R4" i="21"/>
  <c r="G4" i="21"/>
  <c r="S4" i="21"/>
  <c r="H4" i="21"/>
  <c r="T4" i="21"/>
  <c r="I4" i="21"/>
  <c r="U4" i="21"/>
  <c r="J4" i="21"/>
  <c r="S94" i="21"/>
  <c r="G94" i="21"/>
  <c r="K93" i="21"/>
  <c r="O92" i="21"/>
  <c r="T90" i="21"/>
  <c r="H90" i="21"/>
  <c r="L89" i="21"/>
  <c r="P88" i="21"/>
  <c r="T87" i="21"/>
  <c r="H87" i="21"/>
  <c r="L86" i="21"/>
  <c r="P85" i="21"/>
  <c r="T84" i="21"/>
  <c r="H84" i="21"/>
  <c r="L83" i="21"/>
  <c r="P82" i="21"/>
  <c r="T81" i="21"/>
  <c r="H81" i="21"/>
  <c r="L80" i="21"/>
  <c r="N79" i="21"/>
  <c r="Q78" i="21"/>
  <c r="T77" i="21"/>
  <c r="G77" i="21"/>
  <c r="J76" i="21"/>
  <c r="M75" i="21"/>
  <c r="S72" i="21"/>
  <c r="I71" i="21"/>
  <c r="I73" i="21" s="1"/>
  <c r="I74" i="21" s="1"/>
  <c r="L70" i="21"/>
  <c r="S67" i="21"/>
  <c r="U66" i="21"/>
  <c r="H66" i="21"/>
  <c r="K65" i="21"/>
  <c r="N64" i="21"/>
  <c r="Q63" i="21"/>
  <c r="T62" i="21"/>
  <c r="G59" i="21"/>
  <c r="F57" i="21"/>
  <c r="Q55" i="21"/>
  <c r="N54" i="21"/>
  <c r="H53" i="21"/>
  <c r="H51" i="21"/>
  <c r="J45" i="21"/>
  <c r="H43" i="21"/>
  <c r="L5" i="21"/>
  <c r="E49" i="21"/>
  <c r="M49" i="21"/>
  <c r="N49" i="21"/>
  <c r="O49" i="21"/>
  <c r="Q49" i="21"/>
  <c r="G49" i="21"/>
  <c r="S49" i="21"/>
  <c r="H49" i="21"/>
  <c r="T49" i="21"/>
  <c r="I49" i="21"/>
  <c r="U49" i="21"/>
  <c r="E37" i="21"/>
  <c r="K37" i="21"/>
  <c r="L37" i="21"/>
  <c r="M37" i="21"/>
  <c r="N37" i="21"/>
  <c r="O37" i="21"/>
  <c r="Q37" i="21"/>
  <c r="F37" i="21"/>
  <c r="R37" i="21"/>
  <c r="G37" i="21"/>
  <c r="S37" i="21"/>
  <c r="H37" i="21"/>
  <c r="T37" i="21"/>
  <c r="I37" i="21"/>
  <c r="U37" i="21"/>
  <c r="J37" i="21"/>
  <c r="E25" i="21"/>
  <c r="L25" i="21"/>
  <c r="M25" i="21"/>
  <c r="N25" i="21"/>
  <c r="O25" i="21"/>
  <c r="P25" i="21"/>
  <c r="F25" i="21"/>
  <c r="R25" i="21"/>
  <c r="G25" i="21"/>
  <c r="S25" i="21"/>
  <c r="H25" i="21"/>
  <c r="T25" i="21"/>
  <c r="I25" i="21"/>
  <c r="U25" i="21"/>
  <c r="J25" i="21"/>
  <c r="K25" i="21"/>
  <c r="E13" i="21"/>
  <c r="P13" i="21"/>
  <c r="Q13" i="21"/>
  <c r="F13" i="21"/>
  <c r="R13" i="21"/>
  <c r="G13" i="21"/>
  <c r="S13" i="21"/>
  <c r="H13" i="21"/>
  <c r="T13" i="21"/>
  <c r="J13" i="21"/>
  <c r="K13" i="21"/>
  <c r="L13" i="21"/>
  <c r="M13" i="21"/>
  <c r="N13" i="21"/>
  <c r="O13" i="21"/>
  <c r="E72" i="21"/>
  <c r="N72" i="21"/>
  <c r="E60" i="21"/>
  <c r="Q60" i="21"/>
  <c r="G60" i="21"/>
  <c r="S60" i="21"/>
  <c r="K60" i="21"/>
  <c r="Q48" i="21"/>
  <c r="F48" i="21"/>
  <c r="R48" i="21"/>
  <c r="G48" i="21"/>
  <c r="S48" i="21"/>
  <c r="I48" i="21"/>
  <c r="U48" i="21"/>
  <c r="K48" i="21"/>
  <c r="L48" i="21"/>
  <c r="M48" i="21"/>
  <c r="E24" i="21"/>
  <c r="P24" i="21"/>
  <c r="Q24" i="21"/>
  <c r="F24" i="21"/>
  <c r="R24" i="21"/>
  <c r="G24" i="21"/>
  <c r="S24" i="21"/>
  <c r="H24" i="21"/>
  <c r="T24" i="21"/>
  <c r="J24" i="21"/>
  <c r="K24" i="21"/>
  <c r="L24" i="21"/>
  <c r="M24" i="21"/>
  <c r="N24" i="21"/>
  <c r="O24" i="21"/>
  <c r="H12" i="21"/>
  <c r="T12" i="21"/>
  <c r="I12" i="21"/>
  <c r="U12" i="21"/>
  <c r="J12" i="21"/>
  <c r="K12" i="21"/>
  <c r="L12" i="21"/>
  <c r="N12" i="21"/>
  <c r="O12" i="21"/>
  <c r="P12" i="21"/>
  <c r="Q12" i="21"/>
  <c r="F12" i="21"/>
  <c r="R12" i="21"/>
  <c r="G12" i="21"/>
  <c r="S12" i="21"/>
  <c r="E44" i="21"/>
  <c r="R94" i="21"/>
  <c r="F94" i="21"/>
  <c r="J93" i="21"/>
  <c r="N92" i="21"/>
  <c r="S90" i="21"/>
  <c r="G90" i="21"/>
  <c r="K89" i="21"/>
  <c r="O88" i="21"/>
  <c r="S87" i="21"/>
  <c r="G87" i="21"/>
  <c r="K86" i="21"/>
  <c r="O85" i="21"/>
  <c r="S84" i="21"/>
  <c r="G84" i="21"/>
  <c r="K83" i="21"/>
  <c r="O82" i="21"/>
  <c r="S81" i="21"/>
  <c r="G81" i="21"/>
  <c r="J80" i="21"/>
  <c r="M79" i="21"/>
  <c r="P78" i="21"/>
  <c r="S77" i="21"/>
  <c r="F77" i="21"/>
  <c r="I76" i="21"/>
  <c r="L75" i="21"/>
  <c r="R72" i="21"/>
  <c r="U71" i="21"/>
  <c r="H71" i="21"/>
  <c r="K70" i="21"/>
  <c r="Q67" i="21"/>
  <c r="T66" i="21"/>
  <c r="G66" i="21"/>
  <c r="J65" i="21"/>
  <c r="M64" i="21"/>
  <c r="P63" i="21"/>
  <c r="S62" i="21"/>
  <c r="I60" i="21"/>
  <c r="F59" i="21"/>
  <c r="T56" i="21"/>
  <c r="P55" i="21"/>
  <c r="J54" i="21"/>
  <c r="G53" i="21"/>
  <c r="F51" i="21"/>
  <c r="K49" i="21"/>
  <c r="T46" i="21"/>
  <c r="U24" i="21"/>
  <c r="K15" i="21"/>
  <c r="J83" i="21"/>
  <c r="F81" i="21"/>
  <c r="I80" i="21"/>
  <c r="L79" i="21"/>
  <c r="O78" i="21"/>
  <c r="U76" i="21"/>
  <c r="K75" i="21"/>
  <c r="Q72" i="21"/>
  <c r="T71" i="21"/>
  <c r="G71" i="21"/>
  <c r="P67" i="21"/>
  <c r="S66" i="21"/>
  <c r="F66" i="21"/>
  <c r="I65" i="21"/>
  <c r="L64" i="21"/>
  <c r="O63" i="21"/>
  <c r="R62" i="21"/>
  <c r="H60" i="21"/>
  <c r="S56" i="21"/>
  <c r="N55" i="21"/>
  <c r="I54" i="21"/>
  <c r="F53" i="21"/>
  <c r="T50" i="21"/>
  <c r="J49" i="21"/>
  <c r="U44" i="21"/>
  <c r="R42" i="21"/>
  <c r="I24" i="21"/>
  <c r="U13" i="21"/>
  <c r="E77" i="21"/>
  <c r="K77" i="21"/>
  <c r="E76" i="21"/>
  <c r="O76" i="21"/>
  <c r="E28" i="21"/>
  <c r="J28" i="21"/>
  <c r="K28" i="21"/>
  <c r="K30" i="21" s="1"/>
  <c r="L28" i="21"/>
  <c r="M28" i="21"/>
  <c r="N28" i="21"/>
  <c r="P28" i="21"/>
  <c r="Q28" i="21"/>
  <c r="F28" i="21"/>
  <c r="R28" i="21"/>
  <c r="G28" i="21"/>
  <c r="S28" i="21"/>
  <c r="H28" i="21"/>
  <c r="T28" i="21"/>
  <c r="I28" i="21"/>
  <c r="U28" i="21"/>
  <c r="N16" i="21"/>
  <c r="O16" i="21"/>
  <c r="P16" i="21"/>
  <c r="Q16" i="21"/>
  <c r="F16" i="21"/>
  <c r="R16" i="21"/>
  <c r="H16" i="21"/>
  <c r="T16" i="21"/>
  <c r="I16" i="21"/>
  <c r="U16" i="21"/>
  <c r="J16" i="21"/>
  <c r="K16" i="21"/>
  <c r="L16" i="21"/>
  <c r="M16" i="21"/>
  <c r="S88" i="21"/>
  <c r="G88" i="21"/>
  <c r="J77" i="21"/>
  <c r="M76" i="21"/>
  <c r="O65" i="21"/>
  <c r="Q64" i="21"/>
  <c r="E70" i="21"/>
  <c r="J70" i="21"/>
  <c r="E46" i="21"/>
  <c r="O46" i="21"/>
  <c r="P46" i="21"/>
  <c r="Q46" i="21"/>
  <c r="G46" i="21"/>
  <c r="S46" i="21"/>
  <c r="I46" i="21"/>
  <c r="U46" i="21"/>
  <c r="J46" i="21"/>
  <c r="K46" i="21"/>
  <c r="E34" i="21"/>
  <c r="H34" i="21"/>
  <c r="T34" i="21"/>
  <c r="I34" i="21"/>
  <c r="U34" i="21"/>
  <c r="J34" i="21"/>
  <c r="K34" i="21"/>
  <c r="L34" i="21"/>
  <c r="N34" i="21"/>
  <c r="O34" i="21"/>
  <c r="P34" i="21"/>
  <c r="Q34" i="21"/>
  <c r="F34" i="21"/>
  <c r="R34" i="21"/>
  <c r="G34" i="21"/>
  <c r="S34" i="21"/>
  <c r="E22" i="21"/>
  <c r="L22" i="21"/>
  <c r="M22" i="21"/>
  <c r="N22" i="21"/>
  <c r="O22" i="21"/>
  <c r="P22" i="21"/>
  <c r="F22" i="21"/>
  <c r="R22" i="21"/>
  <c r="G22" i="21"/>
  <c r="S22" i="21"/>
  <c r="H22" i="21"/>
  <c r="T22" i="21"/>
  <c r="I22" i="21"/>
  <c r="U22" i="21"/>
  <c r="J22" i="21"/>
  <c r="K22" i="21"/>
  <c r="E51" i="21"/>
  <c r="P94" i="21"/>
  <c r="T93" i="21"/>
  <c r="H93" i="21"/>
  <c r="L92" i="21"/>
  <c r="Q90" i="21"/>
  <c r="U89" i="21"/>
  <c r="I89" i="21"/>
  <c r="M88" i="21"/>
  <c r="Q87" i="21"/>
  <c r="U86" i="21"/>
  <c r="I86" i="21"/>
  <c r="M85" i="21"/>
  <c r="Q84" i="21"/>
  <c r="U83" i="21"/>
  <c r="I83" i="21"/>
  <c r="M82" i="21"/>
  <c r="Q81" i="21"/>
  <c r="U80" i="21"/>
  <c r="H80" i="21"/>
  <c r="K79" i="21"/>
  <c r="N78" i="21"/>
  <c r="Q77" i="21"/>
  <c r="T76" i="21"/>
  <c r="G76" i="21"/>
  <c r="J75" i="21"/>
  <c r="P72" i="21"/>
  <c r="S71" i="21"/>
  <c r="U70" i="21"/>
  <c r="H70" i="21"/>
  <c r="O67" i="21"/>
  <c r="R66" i="21"/>
  <c r="U65" i="21"/>
  <c r="H65" i="21"/>
  <c r="N63" i="21"/>
  <c r="Q62" i="21"/>
  <c r="F60" i="21"/>
  <c r="R56" i="21"/>
  <c r="L55" i="21"/>
  <c r="H54" i="21"/>
  <c r="S50" i="21"/>
  <c r="F49" i="21"/>
  <c r="N46" i="21"/>
  <c r="T44" i="21"/>
  <c r="Q42" i="21"/>
  <c r="I13" i="21"/>
  <c r="L77" i="21"/>
  <c r="E64" i="21"/>
  <c r="F64" i="21"/>
  <c r="R64" i="21"/>
  <c r="E57" i="21"/>
  <c r="Q57" i="21"/>
  <c r="G57" i="21"/>
  <c r="S57" i="21"/>
  <c r="K57" i="21"/>
  <c r="L57" i="21"/>
  <c r="M57" i="21"/>
  <c r="E45" i="21"/>
  <c r="G45" i="21"/>
  <c r="S45" i="21"/>
  <c r="H45" i="21"/>
  <c r="T45" i="21"/>
  <c r="I45" i="21"/>
  <c r="U45" i="21"/>
  <c r="K45" i="21"/>
  <c r="M45" i="21"/>
  <c r="N45" i="21"/>
  <c r="O45" i="21"/>
  <c r="E33" i="21"/>
  <c r="L33" i="21"/>
  <c r="M33" i="21"/>
  <c r="N33" i="21"/>
  <c r="O33" i="21"/>
  <c r="P33" i="21"/>
  <c r="F33" i="21"/>
  <c r="R33" i="21"/>
  <c r="G33" i="21"/>
  <c r="S33" i="21"/>
  <c r="H33" i="21"/>
  <c r="T33" i="21"/>
  <c r="I33" i="21"/>
  <c r="U33" i="21"/>
  <c r="J33" i="21"/>
  <c r="K33" i="21"/>
  <c r="E21" i="21"/>
  <c r="P21" i="21"/>
  <c r="Q21" i="21"/>
  <c r="F21" i="21"/>
  <c r="R21" i="21"/>
  <c r="G21" i="21"/>
  <c r="S21" i="21"/>
  <c r="H21" i="21"/>
  <c r="T21" i="21"/>
  <c r="J21" i="21"/>
  <c r="K21" i="21"/>
  <c r="L21" i="21"/>
  <c r="M21" i="21"/>
  <c r="N21" i="21"/>
  <c r="O21" i="21"/>
  <c r="E9" i="21"/>
  <c r="I9" i="21"/>
  <c r="U9" i="21"/>
  <c r="J9" i="21"/>
  <c r="K9" i="21"/>
  <c r="L9" i="21"/>
  <c r="M9" i="21"/>
  <c r="O9" i="21"/>
  <c r="P9" i="21"/>
  <c r="Q9" i="21"/>
  <c r="F9" i="21"/>
  <c r="F10" i="21" s="1"/>
  <c r="R9" i="21"/>
  <c r="R10" i="21" s="1"/>
  <c r="G9" i="21"/>
  <c r="S9" i="21"/>
  <c r="H9" i="21"/>
  <c r="T9" i="21"/>
  <c r="E59" i="21"/>
  <c r="O94" i="21"/>
  <c r="S93" i="21"/>
  <c r="G93" i="21"/>
  <c r="K92" i="21"/>
  <c r="P90" i="21"/>
  <c r="T89" i="21"/>
  <c r="H89" i="21"/>
  <c r="L88" i="21"/>
  <c r="P87" i="21"/>
  <c r="T86" i="21"/>
  <c r="H86" i="21"/>
  <c r="L85" i="21"/>
  <c r="P84" i="21"/>
  <c r="T83" i="21"/>
  <c r="H83" i="21"/>
  <c r="L82" i="21"/>
  <c r="P81" i="21"/>
  <c r="T80" i="21"/>
  <c r="J79" i="21"/>
  <c r="M78" i="21"/>
  <c r="P77" i="21"/>
  <c r="S76" i="21"/>
  <c r="F76" i="21"/>
  <c r="I75" i="21"/>
  <c r="O72" i="21"/>
  <c r="O73" i="21" s="1"/>
  <c r="O74" i="21" s="1"/>
  <c r="Q71" i="21"/>
  <c r="T70" i="21"/>
  <c r="G70" i="21"/>
  <c r="N67" i="21"/>
  <c r="Q66" i="21"/>
  <c r="T65" i="21"/>
  <c r="G65" i="21"/>
  <c r="J64" i="21"/>
  <c r="M63" i="21"/>
  <c r="P62" i="21"/>
  <c r="U60" i="21"/>
  <c r="T57" i="21"/>
  <c r="K55" i="21"/>
  <c r="U51" i="21"/>
  <c r="R50" i="21"/>
  <c r="T48" i="21"/>
  <c r="M46" i="21"/>
  <c r="L42" i="21"/>
  <c r="Q22" i="21"/>
  <c r="M12" i="21"/>
  <c r="N53" i="21"/>
  <c r="I59" i="21"/>
  <c r="U59" i="21"/>
  <c r="K59" i="21"/>
  <c r="O59" i="21"/>
  <c r="P59" i="21"/>
  <c r="Q59" i="21"/>
  <c r="E23" i="21"/>
  <c r="H23" i="21"/>
  <c r="T23" i="21"/>
  <c r="I23" i="21"/>
  <c r="U23" i="21"/>
  <c r="J23" i="21"/>
  <c r="K23" i="21"/>
  <c r="L23" i="21"/>
  <c r="N23" i="21"/>
  <c r="O23" i="21"/>
  <c r="P23" i="21"/>
  <c r="Q23" i="21"/>
  <c r="F23" i="21"/>
  <c r="R23" i="21"/>
  <c r="G23" i="21"/>
  <c r="S23" i="21"/>
  <c r="E11" i="21"/>
  <c r="L11" i="21"/>
  <c r="M11" i="21"/>
  <c r="N11" i="21"/>
  <c r="O11" i="21"/>
  <c r="P11" i="21"/>
  <c r="F11" i="21"/>
  <c r="R11" i="21"/>
  <c r="G11" i="21"/>
  <c r="S11" i="21"/>
  <c r="H11" i="21"/>
  <c r="T11" i="21"/>
  <c r="I11" i="21"/>
  <c r="U11" i="21"/>
  <c r="J11" i="21"/>
  <c r="K11" i="21"/>
  <c r="J89" i="21"/>
  <c r="E80" i="21"/>
  <c r="K80" i="21"/>
  <c r="E56" i="21"/>
  <c r="I56" i="21"/>
  <c r="U56" i="21"/>
  <c r="K56" i="21"/>
  <c r="O56" i="21"/>
  <c r="P56" i="21"/>
  <c r="Q56" i="21"/>
  <c r="K44" i="21"/>
  <c r="L44" i="21"/>
  <c r="M44" i="21"/>
  <c r="O44" i="21"/>
  <c r="Q44" i="21"/>
  <c r="F44" i="21"/>
  <c r="R44" i="21"/>
  <c r="G44" i="21"/>
  <c r="S44" i="21"/>
  <c r="H44" i="21"/>
  <c r="E32" i="21"/>
  <c r="P32" i="21"/>
  <c r="Q32" i="21"/>
  <c r="F32" i="21"/>
  <c r="R32" i="21"/>
  <c r="G32" i="21"/>
  <c r="S32" i="21"/>
  <c r="H32" i="21"/>
  <c r="T32" i="21"/>
  <c r="J32" i="21"/>
  <c r="K32" i="21"/>
  <c r="L32" i="21"/>
  <c r="M32" i="21"/>
  <c r="N32" i="21"/>
  <c r="O32" i="21"/>
  <c r="E8" i="21"/>
  <c r="M8" i="21"/>
  <c r="N8" i="21"/>
  <c r="O8" i="21"/>
  <c r="P8" i="21"/>
  <c r="Q8" i="21"/>
  <c r="G8" i="21"/>
  <c r="S8" i="21"/>
  <c r="H8" i="21"/>
  <c r="T8" i="21"/>
  <c r="I8" i="21"/>
  <c r="U8" i="21"/>
  <c r="J8" i="21"/>
  <c r="K8" i="21"/>
  <c r="L8" i="21"/>
  <c r="E63" i="21"/>
  <c r="N94" i="21"/>
  <c r="R93" i="21"/>
  <c r="F93" i="21"/>
  <c r="J92" i="21"/>
  <c r="O90" i="21"/>
  <c r="S89" i="21"/>
  <c r="G89" i="21"/>
  <c r="K88" i="21"/>
  <c r="O87" i="21"/>
  <c r="S86" i="21"/>
  <c r="G86" i="21"/>
  <c r="K85" i="21"/>
  <c r="O84" i="21"/>
  <c r="S83" i="21"/>
  <c r="G83" i="21"/>
  <c r="K82" i="21"/>
  <c r="O81" i="21"/>
  <c r="S80" i="21"/>
  <c r="F80" i="21"/>
  <c r="L78" i="21"/>
  <c r="O77" i="21"/>
  <c r="R76" i="21"/>
  <c r="U75" i="21"/>
  <c r="H75" i="21"/>
  <c r="M72" i="21"/>
  <c r="P71" i="21"/>
  <c r="S70" i="21"/>
  <c r="F70" i="21"/>
  <c r="M67" i="21"/>
  <c r="P66" i="21"/>
  <c r="S65" i="21"/>
  <c r="F65" i="21"/>
  <c r="I64" i="21"/>
  <c r="L63" i="21"/>
  <c r="O62" i="21"/>
  <c r="T60" i="21"/>
  <c r="T61" i="21" s="1"/>
  <c r="S59" i="21"/>
  <c r="R57" i="21"/>
  <c r="M56" i="21"/>
  <c r="J55" i="21"/>
  <c r="T53" i="21"/>
  <c r="T51" i="21"/>
  <c r="N50" i="21"/>
  <c r="P48" i="21"/>
  <c r="L46" i="21"/>
  <c r="N44" i="21"/>
  <c r="J42" i="21"/>
  <c r="I32" i="21"/>
  <c r="U21" i="21"/>
  <c r="Q11" i="21"/>
  <c r="P65" i="21"/>
  <c r="E79" i="21"/>
  <c r="O79" i="21"/>
  <c r="E43" i="21"/>
  <c r="O43" i="21"/>
  <c r="P43" i="21"/>
  <c r="Q43" i="21"/>
  <c r="G43" i="21"/>
  <c r="S43" i="21"/>
  <c r="I43" i="21"/>
  <c r="U43" i="21"/>
  <c r="J43" i="21"/>
  <c r="K43" i="21"/>
  <c r="L43" i="21"/>
  <c r="M94" i="21"/>
  <c r="Q93" i="21"/>
  <c r="U92" i="21"/>
  <c r="U95" i="21" s="1"/>
  <c r="I92" i="21"/>
  <c r="N90" i="21"/>
  <c r="R89" i="21"/>
  <c r="F89" i="21"/>
  <c r="J88" i="21"/>
  <c r="N87" i="21"/>
  <c r="R86" i="21"/>
  <c r="F86" i="21"/>
  <c r="J85" i="21"/>
  <c r="N84" i="21"/>
  <c r="R83" i="21"/>
  <c r="F83" i="21"/>
  <c r="J82" i="21"/>
  <c r="N81" i="21"/>
  <c r="R80" i="21"/>
  <c r="U79" i="21"/>
  <c r="H79" i="21"/>
  <c r="N77" i="21"/>
  <c r="Q76" i="21"/>
  <c r="T75" i="21"/>
  <c r="F75" i="21"/>
  <c r="L72" i="21"/>
  <c r="R70" i="21"/>
  <c r="O66" i="21"/>
  <c r="U64" i="21"/>
  <c r="H64" i="21"/>
  <c r="K63" i="21"/>
  <c r="M62" i="21"/>
  <c r="R60" i="21"/>
  <c r="R59" i="21"/>
  <c r="P57" i="21"/>
  <c r="L56" i="21"/>
  <c r="S53" i="21"/>
  <c r="R51" i="21"/>
  <c r="L50" i="21"/>
  <c r="O48" i="21"/>
  <c r="H46" i="21"/>
  <c r="J44" i="21"/>
  <c r="I21" i="21"/>
  <c r="E65" i="21"/>
  <c r="N65" i="21"/>
  <c r="E41" i="21"/>
  <c r="J41" i="21"/>
  <c r="K41" i="21"/>
  <c r="L41" i="21"/>
  <c r="M41" i="21"/>
  <c r="O41" i="21"/>
  <c r="P41" i="21"/>
  <c r="Q41" i="21"/>
  <c r="F41" i="21"/>
  <c r="R41" i="21"/>
  <c r="G41" i="21"/>
  <c r="S41" i="21"/>
  <c r="H41" i="21"/>
  <c r="T41" i="21"/>
  <c r="E29" i="21"/>
  <c r="F29" i="21"/>
  <c r="R29" i="21"/>
  <c r="G29" i="21"/>
  <c r="S29" i="21"/>
  <c r="H29" i="21"/>
  <c r="T29" i="21"/>
  <c r="I29" i="21"/>
  <c r="U29" i="21"/>
  <c r="J29" i="21"/>
  <c r="L29" i="21"/>
  <c r="M29" i="21"/>
  <c r="N29" i="21"/>
  <c r="O29" i="21"/>
  <c r="O30" i="21" s="1"/>
  <c r="P29" i="21"/>
  <c r="Q29" i="21"/>
  <c r="E17" i="21"/>
  <c r="J17" i="21"/>
  <c r="K17" i="21"/>
  <c r="L17" i="21"/>
  <c r="M17" i="21"/>
  <c r="N17" i="21"/>
  <c r="P17" i="21"/>
  <c r="Q17" i="21"/>
  <c r="F17" i="21"/>
  <c r="R17" i="21"/>
  <c r="G17" i="21"/>
  <c r="S17" i="21"/>
  <c r="H17" i="21"/>
  <c r="T17" i="21"/>
  <c r="I17" i="21"/>
  <c r="U17" i="21"/>
  <c r="E71" i="21"/>
  <c r="F71" i="21"/>
  <c r="R71" i="21"/>
  <c r="N88" i="21"/>
  <c r="E67" i="21"/>
  <c r="F67" i="21"/>
  <c r="R67" i="21"/>
  <c r="E55" i="21"/>
  <c r="M55" i="21"/>
  <c r="O55" i="21"/>
  <c r="G55" i="21"/>
  <c r="S55" i="21"/>
  <c r="H55" i="21"/>
  <c r="T55" i="21"/>
  <c r="I55" i="21"/>
  <c r="U55" i="21"/>
  <c r="E31" i="21"/>
  <c r="H31" i="21"/>
  <c r="T31" i="21"/>
  <c r="I31" i="21"/>
  <c r="U31" i="21"/>
  <c r="J31" i="21"/>
  <c r="K31" i="21"/>
  <c r="L31" i="21"/>
  <c r="N31" i="21"/>
  <c r="O31" i="21"/>
  <c r="P31" i="21"/>
  <c r="Q31" i="21"/>
  <c r="F31" i="21"/>
  <c r="R31" i="21"/>
  <c r="G31" i="21"/>
  <c r="S31" i="21"/>
  <c r="E19" i="21"/>
  <c r="N19" i="21"/>
  <c r="O19" i="21"/>
  <c r="P19" i="21"/>
  <c r="Q19" i="21"/>
  <c r="F19" i="21"/>
  <c r="R19" i="21"/>
  <c r="H19" i="21"/>
  <c r="T19" i="21"/>
  <c r="I19" i="21"/>
  <c r="U19" i="21"/>
  <c r="J19" i="21"/>
  <c r="K19" i="21"/>
  <c r="L19" i="21"/>
  <c r="M19" i="21"/>
  <c r="E78" i="21"/>
  <c r="G78" i="21"/>
  <c r="S78" i="21"/>
  <c r="E54" i="21"/>
  <c r="Q54" i="21"/>
  <c r="G54" i="21"/>
  <c r="S54" i="21"/>
  <c r="K54" i="21"/>
  <c r="L54" i="21"/>
  <c r="M54" i="21"/>
  <c r="E42" i="21"/>
  <c r="G42" i="21"/>
  <c r="S42" i="21"/>
  <c r="H42" i="21"/>
  <c r="T42" i="21"/>
  <c r="I42" i="21"/>
  <c r="U42" i="21"/>
  <c r="K42" i="21"/>
  <c r="M42" i="21"/>
  <c r="N42" i="21"/>
  <c r="O42" i="21"/>
  <c r="P42" i="21"/>
  <c r="E18" i="21"/>
  <c r="F18" i="21"/>
  <c r="R18" i="21"/>
  <c r="G18" i="21"/>
  <c r="S18" i="21"/>
  <c r="H18" i="21"/>
  <c r="T18" i="21"/>
  <c r="I18" i="21"/>
  <c r="U18" i="21"/>
  <c r="J18" i="21"/>
  <c r="L18" i="21"/>
  <c r="M18" i="21"/>
  <c r="N18" i="21"/>
  <c r="O18" i="21"/>
  <c r="P18" i="21"/>
  <c r="Q18" i="21"/>
  <c r="E6" i="21"/>
  <c r="E7" i="21" s="1"/>
  <c r="O6" i="21"/>
  <c r="P6" i="21"/>
  <c r="Q6" i="21"/>
  <c r="F6" i="21"/>
  <c r="R6" i="21"/>
  <c r="G6" i="21"/>
  <c r="S6" i="21"/>
  <c r="I6" i="21"/>
  <c r="U6" i="21"/>
  <c r="J6" i="21"/>
  <c r="K6" i="21"/>
  <c r="L6" i="21"/>
  <c r="M6" i="21"/>
  <c r="N6" i="21"/>
  <c r="L94" i="21"/>
  <c r="P93" i="21"/>
  <c r="T92" i="21"/>
  <c r="H92" i="21"/>
  <c r="M90" i="21"/>
  <c r="Q89" i="21"/>
  <c r="U88" i="21"/>
  <c r="I88" i="21"/>
  <c r="M87" i="21"/>
  <c r="Q86" i="21"/>
  <c r="U85" i="21"/>
  <c r="I85" i="21"/>
  <c r="M84" i="21"/>
  <c r="Q83" i="21"/>
  <c r="U82" i="21"/>
  <c r="I82" i="21"/>
  <c r="M81" i="21"/>
  <c r="Q80" i="21"/>
  <c r="T79" i="21"/>
  <c r="G79" i="21"/>
  <c r="J78" i="21"/>
  <c r="M77" i="21"/>
  <c r="P76" i="21"/>
  <c r="R75" i="21"/>
  <c r="K72" i="21"/>
  <c r="N71" i="21"/>
  <c r="Q70" i="21"/>
  <c r="K67" i="21"/>
  <c r="N66" i="21"/>
  <c r="Q65" i="21"/>
  <c r="T64" i="21"/>
  <c r="G64" i="21"/>
  <c r="I63" i="21"/>
  <c r="L62" i="21"/>
  <c r="P60" i="21"/>
  <c r="N59" i="21"/>
  <c r="N61" i="21" s="1"/>
  <c r="O57" i="21"/>
  <c r="J56" i="21"/>
  <c r="U54" i="21"/>
  <c r="R53" i="21"/>
  <c r="P51" i="21"/>
  <c r="H50" i="21"/>
  <c r="N48" i="21"/>
  <c r="F46" i="21"/>
  <c r="I44" i="21"/>
  <c r="U41" i="21"/>
  <c r="S19" i="21"/>
  <c r="N9" i="21"/>
  <c r="E39" i="21"/>
  <c r="E40" i="21" s="1"/>
  <c r="E95" i="21"/>
  <c r="L61" i="21" l="1"/>
  <c r="T39" i="21"/>
  <c r="Q95" i="21"/>
  <c r="E14" i="21"/>
  <c r="I95" i="21"/>
  <c r="M73" i="21"/>
  <c r="M74" i="21" s="1"/>
  <c r="S95" i="21"/>
  <c r="N58" i="21"/>
  <c r="E10" i="21"/>
  <c r="E52" i="21"/>
  <c r="S35" i="21"/>
  <c r="N30" i="21"/>
  <c r="S14" i="21"/>
  <c r="L30" i="21"/>
  <c r="Q61" i="21"/>
  <c r="G68" i="21"/>
  <c r="M10" i="21"/>
  <c r="K61" i="21"/>
  <c r="S39" i="21"/>
  <c r="S40" i="21" s="1"/>
  <c r="F58" i="21"/>
  <c r="F39" i="21"/>
  <c r="F40" i="21" s="1"/>
  <c r="N73" i="21"/>
  <c r="N74" i="21" s="1"/>
  <c r="P95" i="21"/>
  <c r="J58" i="21"/>
  <c r="S61" i="21"/>
  <c r="K95" i="21"/>
  <c r="O61" i="21"/>
  <c r="J7" i="21"/>
  <c r="L52" i="21"/>
  <c r="T95" i="21"/>
  <c r="K39" i="21"/>
  <c r="K40" i="21" s="1"/>
  <c r="G95" i="21"/>
  <c r="R39" i="21"/>
  <c r="R40" i="21" s="1"/>
  <c r="H95" i="21"/>
  <c r="N14" i="21"/>
  <c r="I7" i="21"/>
  <c r="O52" i="21"/>
  <c r="J73" i="21"/>
  <c r="J74" i="21" s="1"/>
  <c r="J39" i="21"/>
  <c r="J40" i="21" s="1"/>
  <c r="I68" i="21"/>
  <c r="L10" i="21"/>
  <c r="H7" i="21"/>
  <c r="H39" i="21"/>
  <c r="H40" i="21" s="1"/>
  <c r="J52" i="21"/>
  <c r="Q10" i="21"/>
  <c r="M61" i="21"/>
  <c r="P73" i="21"/>
  <c r="P74" i="21" s="1"/>
  <c r="E47" i="21"/>
  <c r="G14" i="21"/>
  <c r="E61" i="21"/>
  <c r="Q39" i="21"/>
  <c r="Q40" i="21" s="1"/>
  <c r="F73" i="21"/>
  <c r="F74" i="21" s="1"/>
  <c r="O10" i="21"/>
  <c r="E91" i="21"/>
  <c r="J35" i="21"/>
  <c r="U68" i="21"/>
  <c r="U10" i="21"/>
  <c r="U61" i="21"/>
  <c r="G52" i="21"/>
  <c r="G39" i="21"/>
  <c r="G40" i="21" s="1"/>
  <c r="T68" i="21"/>
  <c r="K35" i="21"/>
  <c r="L14" i="21"/>
  <c r="S52" i="21"/>
  <c r="T73" i="21"/>
  <c r="T74" i="21" s="1"/>
  <c r="Q52" i="21"/>
  <c r="R35" i="21"/>
  <c r="E30" i="21"/>
  <c r="U47" i="21"/>
  <c r="Q35" i="21"/>
  <c r="T52" i="21"/>
  <c r="U39" i="21"/>
  <c r="U40" i="21" s="1"/>
  <c r="L39" i="21"/>
  <c r="L40" i="21" s="1"/>
  <c r="I39" i="21"/>
  <c r="I40" i="21" s="1"/>
  <c r="E68" i="21"/>
  <c r="K10" i="21"/>
  <c r="E20" i="21"/>
  <c r="H27" i="21"/>
  <c r="H68" i="21"/>
  <c r="P47" i="21"/>
  <c r="P52" i="21"/>
  <c r="M14" i="21"/>
  <c r="E58" i="21"/>
  <c r="I10" i="21"/>
  <c r="J10" i="21"/>
  <c r="H52" i="21"/>
  <c r="O95" i="21"/>
  <c r="G35" i="21"/>
  <c r="R73" i="21"/>
  <c r="R74" i="21" s="1"/>
  <c r="M35" i="21"/>
  <c r="G73" i="21"/>
  <c r="G74" i="21" s="1"/>
  <c r="F52" i="21"/>
  <c r="L95" i="21"/>
  <c r="K47" i="21"/>
  <c r="F35" i="21"/>
  <c r="E35" i="21"/>
  <c r="L47" i="21"/>
  <c r="S10" i="21"/>
  <c r="G27" i="21"/>
  <c r="S73" i="21"/>
  <c r="S74" i="21" s="1"/>
  <c r="R27" i="21"/>
  <c r="S30" i="21"/>
  <c r="O91" i="21"/>
  <c r="J68" i="21"/>
  <c r="R68" i="21"/>
  <c r="U27" i="21"/>
  <c r="P10" i="21"/>
  <c r="M27" i="21"/>
  <c r="N68" i="21"/>
  <c r="U73" i="21"/>
  <c r="U74" i="21" s="1"/>
  <c r="L35" i="21"/>
  <c r="M68" i="21"/>
  <c r="F61" i="21"/>
  <c r="U52" i="21"/>
  <c r="N52" i="21"/>
  <c r="E27" i="21"/>
  <c r="E73" i="21"/>
  <c r="E74" i="21" s="1"/>
  <c r="F47" i="21"/>
  <c r="J47" i="21"/>
  <c r="U91" i="21"/>
  <c r="N10" i="21"/>
  <c r="R30" i="21"/>
  <c r="K91" i="21"/>
  <c r="G58" i="21"/>
  <c r="P14" i="21"/>
  <c r="Q7" i="21"/>
  <c r="S20" i="21"/>
  <c r="O47" i="21"/>
  <c r="N27" i="21"/>
  <c r="J27" i="21"/>
  <c r="U35" i="21"/>
  <c r="K27" i="21"/>
  <c r="F30" i="21"/>
  <c r="K73" i="21"/>
  <c r="K74" i="21" s="1"/>
  <c r="O14" i="21"/>
  <c r="G20" i="21"/>
  <c r="Q73" i="21"/>
  <c r="Q74" i="21" s="1"/>
  <c r="N47" i="21"/>
  <c r="L27" i="21"/>
  <c r="T27" i="21"/>
  <c r="I35" i="21"/>
  <c r="Q20" i="21"/>
  <c r="Q30" i="21"/>
  <c r="H73" i="21"/>
  <c r="H74" i="21" s="1"/>
  <c r="N95" i="21"/>
  <c r="P7" i="21"/>
  <c r="T40" i="21"/>
  <c r="R91" i="21"/>
  <c r="I91" i="21"/>
  <c r="I96" i="21" s="1"/>
  <c r="T35" i="21"/>
  <c r="P20" i="21"/>
  <c r="P30" i="21"/>
  <c r="O68" i="21"/>
  <c r="J95" i="21"/>
  <c r="K52" i="21"/>
  <c r="G61" i="21"/>
  <c r="N7" i="21"/>
  <c r="O7" i="21"/>
  <c r="Q58" i="21"/>
  <c r="O20" i="21"/>
  <c r="F20" i="21"/>
  <c r="H35" i="21"/>
  <c r="Q47" i="21"/>
  <c r="F95" i="21"/>
  <c r="K14" i="21"/>
  <c r="R14" i="21"/>
  <c r="G91" i="21"/>
  <c r="P58" i="21"/>
  <c r="N20" i="21"/>
  <c r="S58" i="21"/>
  <c r="T10" i="21"/>
  <c r="M30" i="21"/>
  <c r="I61" i="21"/>
  <c r="R95" i="21"/>
  <c r="J14" i="21"/>
  <c r="I52" i="21"/>
  <c r="L7" i="21"/>
  <c r="M7" i="21"/>
  <c r="O58" i="21"/>
  <c r="F91" i="21"/>
  <c r="M20" i="21"/>
  <c r="I47" i="21"/>
  <c r="R20" i="21"/>
  <c r="P35" i="21"/>
  <c r="T91" i="21"/>
  <c r="T58" i="21"/>
  <c r="H10" i="21"/>
  <c r="S27" i="21"/>
  <c r="K20" i="21"/>
  <c r="U30" i="21"/>
  <c r="S68" i="21"/>
  <c r="U14" i="21"/>
  <c r="T7" i="21"/>
  <c r="K7" i="21"/>
  <c r="K58" i="21"/>
  <c r="R58" i="21"/>
  <c r="L20" i="21"/>
  <c r="M47" i="21"/>
  <c r="L68" i="21"/>
  <c r="Q91" i="21"/>
  <c r="Q27" i="21"/>
  <c r="L91" i="21"/>
  <c r="I30" i="21"/>
  <c r="P68" i="21"/>
  <c r="I14" i="21"/>
  <c r="M58" i="21"/>
  <c r="U58" i="21"/>
  <c r="J20" i="21"/>
  <c r="M91" i="21"/>
  <c r="T47" i="21"/>
  <c r="H47" i="21"/>
  <c r="N35" i="21"/>
  <c r="R61" i="21"/>
  <c r="G10" i="21"/>
  <c r="O27" i="21"/>
  <c r="T30" i="21"/>
  <c r="J30" i="21"/>
  <c r="S91" i="21"/>
  <c r="T14" i="21"/>
  <c r="S7" i="21"/>
  <c r="U7" i="21"/>
  <c r="I58" i="21"/>
  <c r="H61" i="21"/>
  <c r="N39" i="21"/>
  <c r="N40" i="21" s="1"/>
  <c r="U20" i="21"/>
  <c r="S47" i="21"/>
  <c r="H30" i="21"/>
  <c r="P91" i="21"/>
  <c r="H14" i="21"/>
  <c r="G7" i="21"/>
  <c r="M39" i="21"/>
  <c r="M40" i="21" s="1"/>
  <c r="L58" i="21"/>
  <c r="I20" i="21"/>
  <c r="G47" i="21"/>
  <c r="O35" i="21"/>
  <c r="F68" i="21"/>
  <c r="F27" i="21"/>
  <c r="Q68" i="21"/>
  <c r="R7" i="21"/>
  <c r="N91" i="21"/>
  <c r="M52" i="21"/>
  <c r="M95" i="21"/>
  <c r="T20" i="21"/>
  <c r="R47" i="21"/>
  <c r="I27" i="21"/>
  <c r="K68" i="21"/>
  <c r="H91" i="21"/>
  <c r="F14" i="21"/>
  <c r="P61" i="21"/>
  <c r="R52" i="21"/>
  <c r="J91" i="21"/>
  <c r="P27" i="21"/>
  <c r="G30" i="21"/>
  <c r="Q14" i="21"/>
  <c r="O39" i="21"/>
  <c r="O40" i="21" s="1"/>
  <c r="H58" i="21"/>
  <c r="L73" i="21"/>
  <c r="L74" i="21" s="1"/>
  <c r="F7" i="21"/>
  <c r="H20" i="21"/>
  <c r="P96" i="21" l="1"/>
  <c r="G96" i="21"/>
  <c r="O96" i="21"/>
  <c r="T96" i="21"/>
  <c r="J69" i="21"/>
  <c r="E69" i="21"/>
  <c r="E96" i="21"/>
  <c r="H96" i="21"/>
  <c r="S36" i="21"/>
  <c r="G36" i="21"/>
  <c r="K96" i="21"/>
  <c r="L96" i="21"/>
  <c r="N96" i="21"/>
  <c r="O69" i="21"/>
  <c r="U96" i="21"/>
  <c r="S96" i="21"/>
  <c r="Q96" i="21"/>
  <c r="K36" i="21"/>
  <c r="R36" i="21"/>
  <c r="M96" i="21"/>
  <c r="R96" i="21"/>
  <c r="Q69" i="21"/>
  <c r="J96" i="21"/>
  <c r="J36" i="21"/>
  <c r="I36" i="21"/>
  <c r="H69" i="21"/>
  <c r="T69" i="21"/>
  <c r="U69" i="21"/>
  <c r="E36" i="21"/>
  <c r="I69" i="21"/>
  <c r="L69" i="21"/>
  <c r="P69" i="21"/>
  <c r="Q36" i="21"/>
  <c r="K69" i="21"/>
  <c r="T36" i="21"/>
  <c r="N69" i="21"/>
  <c r="R69" i="21"/>
  <c r="O36" i="21"/>
  <c r="N36" i="21"/>
  <c r="P36" i="21"/>
  <c r="U36" i="21"/>
  <c r="M36" i="21"/>
  <c r="S69" i="21"/>
  <c r="M69" i="21"/>
  <c r="L36" i="21"/>
  <c r="F36" i="21"/>
  <c r="H36" i="21"/>
  <c r="F69" i="21"/>
  <c r="G69" i="21"/>
  <c r="F96" i="21"/>
  <c r="G97" i="21" l="1"/>
  <c r="O97" i="21"/>
  <c r="K97" i="21"/>
  <c r="S97" i="21"/>
  <c r="E97" i="21"/>
  <c r="Q97" i="21"/>
  <c r="N97" i="21"/>
  <c r="R97" i="21"/>
  <c r="P97" i="21"/>
  <c r="J97" i="21"/>
  <c r="I97" i="21"/>
  <c r="T97" i="21"/>
  <c r="L97" i="21"/>
  <c r="H97" i="21"/>
  <c r="M97" i="21"/>
  <c r="U97" i="21"/>
  <c r="F97" i="21"/>
  <c r="G245" i="13" l="1"/>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O151" i="19" l="1"/>
  <c r="O150" i="19"/>
  <c r="O149" i="19"/>
  <c r="O148" i="19"/>
  <c r="O147" i="19"/>
  <c r="O146" i="19"/>
  <c r="O145" i="19"/>
  <c r="O97" i="19"/>
  <c r="O98" i="19"/>
  <c r="O99" i="19"/>
  <c r="O100" i="19"/>
  <c r="O101" i="19"/>
  <c r="O102" i="19"/>
  <c r="O103" i="19"/>
  <c r="O104" i="19"/>
  <c r="O105" i="19"/>
  <c r="O106" i="19"/>
  <c r="O107" i="19"/>
  <c r="O108" i="19"/>
  <c r="O109" i="19"/>
  <c r="O110" i="19"/>
  <c r="O111" i="19"/>
  <c r="O112" i="19"/>
  <c r="O113" i="19"/>
  <c r="O114" i="19"/>
  <c r="O115" i="19"/>
  <c r="O116" i="19"/>
  <c r="O117" i="19"/>
  <c r="O118" i="19"/>
  <c r="O119" i="19"/>
  <c r="O120" i="19"/>
  <c r="O121" i="19"/>
  <c r="O122" i="19"/>
  <c r="O123" i="19"/>
  <c r="O124" i="19"/>
  <c r="O125" i="19"/>
  <c r="O126" i="19"/>
  <c r="O127" i="19"/>
  <c r="O128" i="19"/>
  <c r="O129" i="19"/>
  <c r="O130" i="19"/>
  <c r="O131" i="19"/>
  <c r="O132" i="19"/>
  <c r="O133" i="19"/>
  <c r="O134" i="19"/>
  <c r="O135" i="19"/>
  <c r="O136" i="19"/>
  <c r="O137" i="19"/>
  <c r="O138" i="19"/>
  <c r="O139" i="19"/>
  <c r="O140" i="19"/>
  <c r="O141" i="19"/>
  <c r="O142" i="19"/>
  <c r="O143" i="19"/>
  <c r="O144" i="19"/>
  <c r="O23" i="19"/>
  <c r="O24" i="19"/>
  <c r="O25" i="19"/>
  <c r="O26" i="19"/>
  <c r="O27" i="19"/>
  <c r="O28" i="19"/>
  <c r="O29" i="19"/>
  <c r="O30" i="19"/>
  <c r="O31" i="19"/>
  <c r="O32" i="19"/>
  <c r="O33" i="19"/>
  <c r="O34" i="19"/>
  <c r="O35" i="19"/>
  <c r="O36" i="19"/>
  <c r="O37" i="19"/>
  <c r="O38" i="19"/>
  <c r="O39" i="19"/>
  <c r="O40" i="19"/>
  <c r="O41" i="19"/>
  <c r="O42" i="19"/>
  <c r="O43" i="19"/>
  <c r="O44" i="19"/>
  <c r="O45" i="19"/>
  <c r="O46" i="19"/>
  <c r="O47" i="19"/>
  <c r="O48" i="19"/>
  <c r="O49" i="19"/>
  <c r="O50" i="19"/>
  <c r="O51" i="19"/>
  <c r="O52" i="19"/>
  <c r="O53" i="19"/>
  <c r="O54" i="19"/>
  <c r="O55" i="19"/>
  <c r="O56" i="19"/>
  <c r="O57" i="19"/>
  <c r="O58" i="19"/>
  <c r="O59" i="19"/>
  <c r="O60" i="19"/>
  <c r="O61" i="19"/>
  <c r="O62" i="19"/>
  <c r="O63" i="19"/>
  <c r="O64" i="19"/>
  <c r="O65" i="19"/>
  <c r="O66" i="19"/>
  <c r="O67" i="19"/>
  <c r="O68" i="19"/>
  <c r="O69" i="19"/>
  <c r="O70" i="19"/>
  <c r="O71" i="19"/>
  <c r="O72" i="19"/>
  <c r="O73" i="19"/>
  <c r="O74" i="19"/>
  <c r="O75" i="19"/>
  <c r="O76" i="19"/>
  <c r="O77" i="19"/>
  <c r="O78" i="19"/>
  <c r="O79" i="19"/>
  <c r="O80" i="19"/>
  <c r="O81" i="19"/>
  <c r="O82" i="19"/>
  <c r="O83" i="19"/>
  <c r="O84" i="19"/>
  <c r="O85" i="19"/>
  <c r="O86" i="19"/>
  <c r="O87" i="19"/>
  <c r="O10" i="19"/>
  <c r="O11" i="19"/>
  <c r="O12" i="19"/>
  <c r="O13" i="19"/>
  <c r="O14" i="19"/>
  <c r="O15" i="19"/>
  <c r="O16" i="19"/>
  <c r="O17" i="19"/>
  <c r="O18" i="19"/>
  <c r="O19" i="19"/>
  <c r="O20" i="19"/>
  <c r="O21" i="19"/>
  <c r="O22" i="19"/>
  <c r="O88" i="19"/>
  <c r="O89" i="19"/>
  <c r="O90" i="19"/>
  <c r="O96" i="19"/>
  <c r="O95" i="19"/>
  <c r="O94" i="19"/>
  <c r="O93" i="19"/>
  <c r="O92" i="19"/>
  <c r="O91" i="19"/>
  <c r="O9" i="19"/>
  <c r="O8" i="19"/>
  <c r="O7" i="19"/>
  <c r="O6" i="19"/>
  <c r="O5" i="19"/>
  <c r="O4" i="19"/>
  <c r="B3123" i="15" l="1"/>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<sst xmlns="http://schemas.openxmlformats.org/spreadsheetml/2006/main" count="8643" uniqueCount="3544">
  <si>
    <t>년도</t>
    <phoneticPr fontId="2" type="noConversion"/>
  </si>
  <si>
    <t>번호</t>
    <phoneticPr fontId="2" type="noConversion"/>
  </si>
  <si>
    <t>내용</t>
    <phoneticPr fontId="2" type="noConversion"/>
  </si>
  <si>
    <t>정답</t>
    <phoneticPr fontId="2" type="noConversion"/>
  </si>
  <si>
    <t>001</t>
  </si>
  <si>
    <t>002</t>
  </si>
  <si>
    <t>003</t>
  </si>
  <si>
    <t>004</t>
  </si>
  <si>
    <t>005</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</si>
  <si>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</si>
  <si>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</si>
  <si>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</si>
  <si>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</si>
  <si>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</si>
  <si>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</si>
  <si>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</si>
  <si>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</si>
  <si>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</si>
  <si>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</si>
  <si>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</si>
  <si>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</si>
  <si>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</si>
  <si>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</si>
  <si>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</si>
  <si>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</si>
  <si>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</si>
  <si>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</si>
  <si>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</si>
  <si>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</si>
  <si>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</si>
  <si>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</si>
  <si>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</si>
  <si>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</si>
  <si>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</si>
  <si>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</si>
  <si>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</si>
  <si>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</si>
  <si>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</si>
  <si>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</si>
  <si>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</si>
  <si>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</si>
  <si>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</si>
  <si>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</si>
  <si>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</si>
  <si>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ㄱ, ㄴ</t>
  </si>
  <si>
    <t>ㄱ</t>
  </si>
  <si>
    <t>ㄱ, ㄴ, ㄷ</t>
  </si>
  <si>
    <t>ㄱ, ㄷ</t>
  </si>
  <si>
    <t>미성년자는 독자적으로 임금을 청구할 수 있다.</t>
  </si>
  <si>
    <t>ㄷ, ㄹ</t>
  </si>
  <si>
    <t>ㄴ</t>
  </si>
  <si>
    <t>ㄱ, ㄴ, ㄹ</t>
  </si>
  <si>
    <t>ㄴ, ㄹ</t>
  </si>
  <si>
    <t>ㄷ</t>
  </si>
  <si>
    <t>ㄱ, ㄹ</t>
  </si>
  <si>
    <t>ㄴ, ㄷ</t>
  </si>
  <si>
    <t>ㄱ, ㄴ, ㅁ</t>
  </si>
  <si>
    <t>ㄱ, ㄷ, ㄹ</t>
  </si>
  <si>
    <t>ㄱ, ㄹ, ㅁ</t>
  </si>
  <si>
    <t>ㄴ, ㄷ, ㄹ</t>
  </si>
  <si>
    <t>ㄱ, ㄴ, ㄷ, ㄹ</t>
  </si>
  <si>
    <t>8,000만원</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</si>
  <si>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</si>
  <si>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</si>
  <si>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</si>
  <si>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</si>
  <si>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</si>
  <si>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</si>
  <si>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</si>
  <si>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</si>
  <si>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</si>
  <si>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</si>
  <si>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</si>
  <si>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</si>
  <si>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</si>
  <si>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</si>
  <si>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</si>
  <si>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</si>
  <si>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관련내용(키워드, 법령, 판례)</t>
    <phoneticPr fontId="2" type="noConversion"/>
  </si>
  <si>
    <t>비고</t>
    <phoneticPr fontId="2" type="noConversion"/>
  </si>
  <si>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</si>
  <si>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</si>
  <si>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</si>
  <si>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</si>
  <si>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</si>
  <si>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</si>
  <si>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</si>
  <si>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</si>
  <si>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</si>
  <si>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</si>
  <si>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</si>
  <si>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</si>
  <si>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</si>
  <si>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</si>
  <si>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</si>
  <si>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</si>
  <si>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</si>
  <si>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</si>
  <si>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</si>
  <si>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</si>
  <si>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</si>
  <si>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</si>
  <si>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</si>
  <si>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</si>
  <si>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</si>
  <si>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민법상 법인의 정관에 관한 설명으로 옳지 않은 것은? (다툼이 있으면 판례에 따름)</t>
  </si>
  <si>
    <t>주물과 종물에 관한 설명으로 옳은 것은? (다툼이 있으면 판례에 따름)</t>
  </si>
  <si>
    <t>권리능력 없는 사단 A와 그 대표자 甲에 관한 설명으로 옳지 않은 것은? (다툼이 있으면 판례에 따름)</t>
  </si>
  <si>
    <t>민법상 조건과 기한에 관한 설명으로 옳은 것은? (다툼이 있으면 판례에 따름)</t>
  </si>
  <si>
    <t>제척기간과 소멸시효에 관한 설명으로 옳지 않은 것은? (다툼이 있으면 판례에 따름)</t>
  </si>
  <si>
    <t>제한능력자에 관한 설명으로 옳은 것은?</t>
  </si>
  <si>
    <t>甲은 乙에 대하여 2023. 10. 17.을 변제기로 하는 대여금채권을 갖고 있다. 이에 관한 설명으로 옳은 것을 모두 고른 것은? (다툼이 있으면 판례에 따름)
ㄱ. 甲이 乙을 상대로 2023. 12. 20. 대여금의 지급을 구하는 소를 제기하였으나 그 소가 취하된 경우, 甲의 재판상 청구는 재판 외의 최고의 효력을 갖는다.
ㄴ. 甲이 乙에 대한 대여금채권을 丙에게 양도한 경우, 채권양도의 대항요건을 갖추지 못한 상태에서 2023. 12. 20. 丙이 乙을 상대로 양수금의 지급을 구하는 소를 제기하였다면 양수금채권의 소멸시효가 중단되지 않는다.
ㄷ. 甲이 乙을 상대로 2023. 12. 20. 대여금의 지급을 구하는 소를 제기하여 2024. 4. 20. 판결이 확정된 경우, 甲의 乙에 대한 대여금채권의 소멸시효는 2023. 10. 17.부터 다시 진행된다.</t>
  </si>
  <si>
    <t>착오로 인한 의사표시에 관한 설명으로 옳은 것은? (다툼이 있으면 판례에 따름)</t>
  </si>
  <si>
    <t>통정허위표시에 관한 설명으로 옳지 않은 것은? (다툼이 있으면 판례에 따름)</t>
  </si>
  <si>
    <t>사기・강박에 의한 의사표시에 관한 설명으로 옳지 않은 것은? (다툼이 있으면 판례에 따름)</t>
  </si>
  <si>
    <t>무권대리 및 표현대리에 관한 설명으로 옳은 것은? (다툼이 있으면 판례에 따름)</t>
  </si>
  <si>
    <t>법률행위에 관한 설명으로 옳지 않은 것은?</t>
  </si>
  <si>
    <t>임의대리인의 권한에 관한 설명으로 옳지 않은 것을 모두 고른 것은? (다툼이 있으면 판례에 따름)
ㄱ. 부동산 매도의 대리권을 수여받은 자는 그 부동산의 매도 후 해당 매매계약을 합의해제할 권한이 있다.
ㄴ. 자동차 매도의 대리권을 수여받은 자가 본인의 허락 없이 본인의 자동차를 스스로 시가보다 저렴하게 매수하는 계약을 체결한 경우, 그 매매계약은 유동적 무효이다.
ㄷ. 통상의 오피스텔 분양에 관해 대리권을 수여받은 자는 본인의 명시적 승낙이 없더라도 부득이한 사유없이 복대리인을 선임할 수 있다.
ㄹ. 원인된 계약관계가 종료되더라도 수권행위가 철회되지 않았다면 대리권은 소멸하지 않는다.</t>
  </si>
  <si>
    <t>X토지 소유자인 甲이 사망하고, 그 자녀인 乙과 丙이 이를 공동으로 상속하였다. 그런데 丙은 乙의 예전 범죄사실을 사법당국에 알리겠다고 乙을 강박하여 X에 관한 乙의 상속지분을 丙에게 증여한다는 계약을 乙과 체결하였다. 그 직후 변호사와 상담을 통해 불안에서 벗어난 乙은 한 달 뒤 그간의 사정을 전해들은 丁에게 X에 관한 자신의 상속지분을 매도하고 지분이전등기를 마쳐준 후 5년이 지났다. 이에 관한 설명으로 옳은 것은? (다툼이 있으면 판례에 따름)</t>
  </si>
  <si>
    <t>甲은 토지거래허가구역에 있는 자신 소유의 X토지에 관하여 허가를 받을 것을 전제로 乙과 매매계약을 체결한 후 계약금을 수령하였으나 아직 토지거래허가는 받지 않았다. 이에 관한 설명으로 옳지 않은 것을 모두 고른 것은? (다툼이 있으면 판례에 따름)
ㄱ. 甲은 乙에게 계약금의 배액을 상환하면서 매매계약을 해제할 수 있다.
ㄴ. 甲이 허가신청절차에 협력하지 않는 경우, 乙은 甲의 채무불이행을 이유로 하여 매매계약을 해제할 수 있다.
ㄷ. 乙은 부당이득반환청구권을 행사하여 甲에게 계약금의 반환을 청구할 수 있다.
ㄹ. 매매계약 후 X에 대한 토지거래허가구역 지정이 해제되었다면 더 이상 토지거래허가를 받을 필요 없이 매매계약은 확정적으로 유효로 된다.</t>
  </si>
  <si>
    <t>손해배상에 관한 설명으로 옳은 것은? (다툼이 있으면 판례에 따름)</t>
  </si>
  <si>
    <t>甲에 대하여 乙 및 丙은 1억 8,000만 원의 연대채무를 부담하고 있으며, 乙과 丙의 부담부분은 각각 1/3과 2/3이다. 이에 관한 설명으로 옳은 것은? (원본만을 고려하며, 다툼이 있으면 판례에 따름)</t>
  </si>
  <si>
    <t>이행지체에 관한 설명으로 옳지 않은 것은? (다툼이 있으면 판례에 따름)</t>
  </si>
  <si>
    <t>채권자대위권에 관한 설명으로 옳은 것을 모두 고른 것은? (다툼이 있으면 판례에 따름)
ㄱ. 피보전채권이 특정채권인 경우에 채무자의 무자력은 그 요건이 아니다.
ㄴ. 임차인은 특별한 사정이 없는 한 임차권 보전을 위하여 제3자에 대한 임대인의 임차목적물 인도청구권을 대위행사 할 수 있다.
ㄷ. 채권자대위권도 채권자대위권의 피대위권리가 될 수 있다.</t>
  </si>
  <si>
    <t>甲은 乙에 대하여 1억 원의 물품대금채권을 가지고 있고, 乙은 丙에 대한 1억 원의 대여금채권을 채무초과상태에서 丁에게 양도한 후 이를 丙에게 통지하였다. 甲은 丁을 피고로 하여 채권자취소소송을 제기하였다. 이에 관한 설명으로 옳은 것을 모두 고른 것은? (다툼이 있으면 판례에 따름)
ㄱ. 甲의 乙에 대한 물품대금채권이 시효로 소멸한 경우, 丁은 이를 甲에게 원용할 수 있다.
ㄴ. 乙의 丁에 대한 채권양도행위가 사해행위로 취소되는 경우, 丁이 丙에게 양수금채권을 추심하지 않았다면 甲은 원상회복으로서 丁이 丙에게 채권양도가 취소되었다는 취지의 통지를 하도록 청구할 수 있다.
ㄷ. 乙의 丁에 대한 채권양도행위가 사해행위로 취소되어 원상회복이 이루어진 경우, 甲은 乙을 대위하여 丙에게 대여금채권의 지급을 청구할 수 있다.</t>
  </si>
  <si>
    <t>사해행위취소의 소에 관한 설명으로 옳지 않은 것을 모두 고른 것은? (다툼이 있으면 판례에 따름)
ㄱ. 취소채권자의 채권이 정지조건부 채권인 경우에는 특별한 사정이 없는 한 이를 피보전채권으로 하여 채권자취소권을 행사할 수 없다.
ㄴ. 사해행위 후 그 목적물에 관하여 선의의 제3자가 저당권을 취득하였음을 이유로 가액배상을 명하는 경우, 그 목적물의 가액에서 제3자가 취득한 저당권의 피담보채권액을 공제하여야 한다.
ㄷ. 사해행위의 목적물이 동산이고 그 원상회복으로 현물반환이 가능하더라도 취소채권자는 직접 자기에게 그 목적물의 인도를 청구할 수 없다.</t>
  </si>
  <si>
    <t>변제에 관한 설명으로 옳지 않은 것을 모두 고른 것은? (다툼이 있으면 판례에 따름)
ㄱ. 미리 저당권의 등기에 그 대위를 부기하지 않은 피담보채무의 보증인은 저당물에 후순위 근저당권을 취득한 제3자에 대하여 채권자를 대위할 수 없다.
ㄴ. 변제자가 주채무자인 경우 보증인이 있는 채무와 보증인이 없는 채무의 변제이익은 차이가 없다.
ㄷ. 채무자로부터 담보부동산을 취득한 제3자와 물상보증인 상호 간에는 각 부동산의 가액에 비례하여 채권자를 대위할 수 있다.</t>
  </si>
  <si>
    <t>지명채권양도에 관한 설명으로 옳지 않은 것은? (다툼이 있으면 판례에 따름)</t>
  </si>
  <si>
    <t>채권자 甲, 채무자 乙, 인수인 丙으로 하는 채무인수 등의 법률관계에 관한 설명으로 옳은 것은? (다툼이 있으면 판례에 따름)</t>
  </si>
  <si>
    <t>채권의 소멸에 관한 설명으로 옳지 않은 것은? (다툼이 있으면 판례에 따름)</t>
  </si>
  <si>
    <t>계약의 성립에 관한 설명으로 옳은 것은? (다툼이 있으면 판례에 따름)</t>
  </si>
  <si>
    <t>계약의 불성립이나 무효에 관한 설명으로 옳지 않은 것은? (다툼이 있으면 판례에 따름)</t>
  </si>
  <si>
    <t>동시이행의 항변권에 관한 설명으로 옳지 않은 것은? (다툼이 있으면 판례에 따름)</t>
  </si>
  <si>
    <t>제3자를 위한 계약에 관한 설명으로 옳지 않은 것은? (다툼이 있으면 판례에 따름)</t>
  </si>
  <si>
    <t>합의해지에 관한 설명으로 옳은 것을 모두 고른 것은? (다툼이 있으면 판례에 따름)
ㄱ. 근로자의 사직원 제출에 따른 합의해지의 청약에 대해 사용자의 승낙의사가 형성되어 확정적으로 근로계약종료의 효과가 발생하기 전에는 특별한 사정이 없는 한 근로자는 사직의 의사표시를 철회할 수 있다.
ㄴ. 계약의 합의해지는 묵시적으로 이루어질 수도 있으나, 묵시적 합의해지는 계약에 따른 채무의 이행이 시작된 후에 당사자 쌍방의 계약실현 의사의 결여 또는 포기로 인하여 계약을 실현하지 아니할 의사가 일치되어야만 한다.
ㄷ. 당사자 사이에 약정이 없는 이상, 합의해지로 인하여 반환할 금전에 그 받은 날로부터의 이자를 가할 의무가 있다.</t>
  </si>
  <si>
    <t>상대부담없는 증여계약의 법정해제사유로 옳지 않은 것은? (다툼이 있으면 판례에 따름)</t>
  </si>
  <si>
    <t>매매계약에 관한 설명으로 옳은 것은? (다툼이 있으면 판례에 따름)</t>
  </si>
  <si>
    <t>위임계약에 관한 설명으로 옳은 것을 모두 고른 것은? (다툼이 있으면 판례에 따름)
ㄱ. 수임인이 대변제청구권을 보전하기 위하여 위임인의 채권을 대위행사하는 경우에는 위임인의 무자력을 요건으로 한다.
ㄴ. 수임인은 특별한 사정이 없는 한 위임인에게 불리한 시기에 부득이한 사유로 위임계약을 해지할 수 없다.
ㄷ. 위임계약이 무상인 경우, 수임인은 특별한 사정이 없는 한 위임의 본지에 따라 선량한 관리자의 주의로써 위임사무를 처리하여야 한다.</t>
  </si>
  <si>
    <t>고용계약에 관한 설명으로 옳지 않은 것을 모두 고른 것은? (다툼이 있으면 판례에 따름)
ㄱ. 관행에 비추어 노무의 제공에 보수를 수반하는 것이 보통인 경우에도 보수에 관하여 명시적인 합의가 없다면 노무를 제공한 노무자는 사용자에게 보수를 청구할 수 없다.
ㄴ. 근로자를 고용한 기업으로부터 다른 기업으로 적을 옮겨 업무에 종사하게 하는 전적은 특별한 사정이 없는 한 근로자의 동의가 없더라도 효력이 생긴다.
ㄷ. 고용기간이 있는 고용계약을 해지할 수 있는 부득이한 사유에는 고용계약상 의무의 중대한 위반이 있는 경우가 포함되지 않는다.</t>
  </si>
  <si>
    <t>도급계약에 관한 설명으로 옳지 않은 것은? (다툼이 있으면 판례에 따름)</t>
  </si>
  <si>
    <t>여행계약에 관한 설명으로 옳은 것은? (다른 사정은 고려하지 않음)</t>
  </si>
  <si>
    <t>임대차에 관한 설명으로 옳지 않은 것은? (다툼이 있으면 판례에 따름)</t>
  </si>
  <si>
    <t>사무관리에 관한 설명으로 옳지 않은 것은? (다툼이 있으면 판례에 따름)</t>
  </si>
  <si>
    <t>불법행위에 관한 설명으로 옳지 않은 것을 모두 고른 것은? (다툼이 있으면 판례에 따름)
ㄱ. 법적 작위의무가 객관적으로 인정되더라도 의무자가 그 작위의무의 존재를 인식하지 못한 경우에는 부작위로 인한 불법행위가 성립하지 않는다.
ㄴ. 공작물의 하자로 인해 손해가 발생한 경우, 그 손해가 공작물의 하자와 관련한 위험이 현실화되어 발생한 것이 아니라도 공작물의 설치 또는 보존상 하자로 인하여 발생한 손해라고 볼 수 있다.
ㄷ. 성추행을 당한 미성년자의 가해자에 대한 손해배상청구권의 소멸시효는 그 미성년자가 성년이 될 때까지는 진행되지 아니한다.</t>
  </si>
  <si>
    <t>부당이득에 관한 설명으로 옳은 것을 모두 고른 것은? (다툼이 있으면 판례에 따름)
ㄱ. 계약해제로 인한 원상회복의무의 이행으로 금전을 반환하는 경우, 그 금전에 받은 날로부터 가산하는 이자의 반환은 부당이득반환의 성질을 갖는다.
ㄴ. 민법 제742조(비채변제)의 규정은 변제자가 채무 없음을 알지 못한 경우에는 그 과실 유무를 불문하고 적용되지 아니한다.
ㄷ. 수익자가 취득한 것이 금전상의 이득인 경우, 특별한 사정이 없는 한 그 금전은 이를 취득한 자가 소비하였는지 여부를 불문하고 현존하는 것으로 추정된다.</t>
  </si>
  <si>
    <t>제한능력자에 관한 설명으로 옳지 않은 것은?</t>
  </si>
  <si>
    <t>권리의 객체에 관한 설명으로 옳은 것을 모두 고른 것은? (다툼이 있으면 판례에 따름)
ㄱ. 주물과 종물은 원칙적으로 동일한 소유자에게 속하여야 한다.
ㄴ. 분묘에 안치되어 있는 피상속인의 유골은 제사주재자에게 승계된다.
ㄷ. 부동산 매수인이 매매대금을 완제한 후, 그 부동산이 인도되지 않은 상태에서 그로부터 발생한 과실은 특별한 사정이 없는 한 매도인에게 귀속된다.</t>
  </si>
  <si>
    <t>민법상 사단법인 甲과 그 대표이사 乙에 관한 설명으로 옳은 것을 모두 고른 것은? (다툼이 있으면 판례에 따름)
ㄱ. 甲과 乙의 이익이 상반하는 사항에 관하여는 乙은 대표권이 없다.
ㄴ. 甲의 정관에 이사의 해임사유에 관한 규정이 있는 경우, 甲은 乙의 중대한 의무위반 등 특별한 사정이 없는 한 정관에서 정하지 아니한 사유로 乙을 해임할 수 없다.
ㄷ. 乙이 丙에게 대표자로서의 모든 권한을 포괄적으로 위임하여 丙이 甲의 사무를 집행한 경우, 丙의 그 사무집행행위는 원칙적으로 甲에 대하여 효력이 있다.</t>
  </si>
  <si>
    <t>의사표시에 관한 설명으로 옳지 않은 것은? (다툼이 있으면 판례에 따름)</t>
  </si>
  <si>
    <t>불공정한 법률행위에 관한 설명으로 옳은 것을 모두 고른 것은? (다툼이 있으면 판례에 따름)
ㄱ. 급부 상호 간에 현저한 불균형이 있는지의 여부는 법률행위 시를 기준으로 판단한다.
ㄴ. 무경험은 거래 일반에 관한 경험부족을 말하는 것이 아니라 특정영역에 있어서의 경험부족을 의미한다.
ㄷ. 불공정한 법률행위로서 무효인 법률행위는 원칙적으로 법정추인에 의하여 유효로 될 수 없다.
ㄹ. 대가관계 없는 일방적 급부행위에 대해서는 불공정한 법률행위에 관한 민법 제104조가 적용되지 않는다.</t>
  </si>
  <si>
    <t>甲은 자신 소유의 X토지에 대한 매매계약 체결의 대리권을 乙에게 수여하였고, 그에 따라 乙은 丙과 위 X토지에 대한 매매계약을 체결하였다. 이에 관한 설명으로 옳은 것은? (다툼이 있으면 판례에 따름)</t>
  </si>
  <si>
    <t>민법상 무권대리와 표현대리에 관한 설명으로 옳은 것은? (다툼이 있으면 판례에 따름)</t>
  </si>
  <si>
    <t>민법상 법률행위의 무효 또는 취소에 관한 설명으로 옳은 것은? (다툼이 있으면 판례에 따름)</t>
  </si>
  <si>
    <t>甲은 「부동산 거래신고 등에 관한 법률」상 토지거래허가 구역에 있는 자신 소유의 X토지를 乙에게 매도하는 매매계약을 체결하였다. 아직 토지거래허가(이하 '허가')를 받지 않아 유동적 무효 상태에 있는 법률관계에 관한 설명으로 옳지 않은 것은? (다툼이 있으면 판례에 따름)</t>
  </si>
  <si>
    <t>민법상 기간에 관한 설명으로 옳지 않은 것은? (다툼이 있으면 판례에 따름)</t>
  </si>
  <si>
    <t>민법상 조건에 관한 설명으로 옳지 않은 것은? (다툼이 있으면 판례에 따름)</t>
  </si>
  <si>
    <t>소멸시효에 관한 설명으로 옳지 않은 것은? (다툼이 있으면 판례에 따름)</t>
  </si>
  <si>
    <t>민법상 편무계약에 해당하는 것만 모두 고른 것은?
ㄱ. 도급
ㄴ. 조합
ㄷ. 증여
ㄹ. 사용대차</t>
  </si>
  <si>
    <t>민법 제390조의 채무불이행책임과 제750조의 불법행위책임'(이하 '양 책임')에 관한 비교 설명으로 옳지 않은 것은?</t>
  </si>
  <si>
    <t>乙의 채권자 甲이 乙의 丙에 대한 금전채권에 대하여 채권자대위권을 행사하는 경우에 관한 설명으로 옳은 것은? (다툼이 있으면 판례에 따름)</t>
  </si>
  <si>
    <t>乙의 채권자 甲은 乙이 채무초과상태에서 자신의 유일한 재산인 X부동산을 丙에게 매도하고 소유권이전등기를 해 준 사실을 알고 채권자취소권을 행사하려고 한다. 이에 관한 설명으로 옳은 것은? (다툼이 있으면 판례에 따름)</t>
  </si>
  <si>
    <t>민법상 채무의 종류에 따른 이행지체책임의 발생시기가 잘못 연결된 것을 모두 고른 것은? (당사자 사이에 다른 약정은 없으며, 다툼이 있으면 판례에 따름)
ㄱ. 부당이득반환채무 - 수익자가 이행청구를 받은 때
ㄴ. 불확정기한부 채무 - 채무자가 기한의 도래를 안 때
ㄷ. 동시이행의 관계에 있는 쌍방의 채무 - 쌍방의 이행제공 없이 쌍방 채무의 이행기가 도래한 때</t>
  </si>
  <si>
    <t>甲, 乙, 丙이 丁에 대하여 9백만원의 연대채무를 부담하고 있고, 각자의 부담부분은 균등하다. 甲이 丁에 대하여 6백만원의 상계적상에 있는 반대채권을 가지고 있는 경우에 관한 설명으로 옳은 것은? (당사자 사이에 다른 약정은 없으며, 다툼이 있으면 판례에 따름)</t>
  </si>
  <si>
    <t>계약의 성립에 관한 설명으로 옳지 않은 것은? (다툼이 있으면 판례에 따름)</t>
  </si>
  <si>
    <t>매매계약의 설명으로 옳은 것은? (다툼이 있으면 판례에 따름)</t>
  </si>
  <si>
    <t>조합원에 관한 설명으로 옳지 않은 것은? (다툼이 있으면 판례에 따름)</t>
  </si>
  <si>
    <t>건물소유를 목적으로 X토지에 관하여 임대인 甲과 임차인 乙 사이에 적법한 임대차계약이 체결되었다. 이에 관한 설명으로 옳지 않은 것은? (다툼이 있으면 판례에 따름)</t>
  </si>
  <si>
    <t>부당이득에 관한 설명으로 옳은 것은? (다툼이 있으면 판례에 따름)</t>
  </si>
  <si>
    <t>불법행위에 관한 설명으로 옳지 않은 것은? (다툼이 있으면 판례에 따름)</t>
  </si>
  <si>
    <t>신의성실의 원칙에 관한 설명으로 옳지 않은 것은? (다툼이 있으면 판례에 따름)</t>
  </si>
  <si>
    <t>미성년자에 관한 설명으로 옳지 않은 것은? (다툼이 있으면 판례에 따름)</t>
  </si>
  <si>
    <t>민법상 법인에 관한 설명으로 옳은 것은? (다툼이 있으면 판례에 따름)</t>
  </si>
  <si>
    <t>물건에 관한 설명으로 옳지 않은 것은? (다툼이 있으면 판례에 따름)</t>
  </si>
  <si>
    <t>반사회질서의 법률행위에 관한 설명으로 옳지 않은 것은? (다툼이 있으면 판례에 따름)</t>
  </si>
  <si>
    <t>통정허위표시에 관한 설명으로 옳은 것은? (다툼이 있으면 판례에 따름)</t>
  </si>
  <si>
    <t>대리에 관한 설명으로 옳지 않은 것은?</t>
  </si>
  <si>
    <t>대리에 관한 설명으로 옳지 않은 것은? (다툼이 있으면 판례에 따름)</t>
  </si>
  <si>
    <t>법률행위의 무효와 취소에 관한 설명으로 옳은 것은? (다툼이 있으면 판례에 따름)</t>
  </si>
  <si>
    <t>민법상 기간에 관한 설명으로 옳지 않은 것은?</t>
  </si>
  <si>
    <t>조건과 기한에 관한 설명으로 옳은 것은? (다툼이 있으면 판례에 따름)</t>
  </si>
  <si>
    <t>소멸시효의 중단에 관한 설명으로 옳지 않은 것은? (다툼이 있으면 판례에 따름)</t>
  </si>
  <si>
    <t>민법상 채권의 목적에 관한 설명으로 옳지 않은 것은? (다툼이 있으면 판례에 따름)</t>
  </si>
  <si>
    <t>甲과 乙은 A에 대하여 2억 원의 연대채무를 부담하고 있으며, 甲과 乙 사이의 부담부분은 균등하다. 이에 관한 설명으로 옳은 것은? (다툼이 있으면 판례에 따름)</t>
  </si>
  <si>
    <t>채권자대위권에 관한 설명으로 옳지 않은 것은? (다툼이 있으면 판례에 따름)</t>
  </si>
  <si>
    <t>채무인수에 관한 설명으로 옳지 않은 것은? (다툼이 있으면 판례에 따름)</t>
  </si>
  <si>
    <t>甲은 乙에 대하여 A채무(원본: 5천만 원, 대여일: 2021년 3월 1일, 이자: 월 0.5 %, 변제기: 2021년 4월 30일)와 B채무(원본: 4천만 원, 대여일: 2021년 4월 1일, 이자: 월 1 %, 변제기: 2021년 5월 31일)를 부담하고 있다. 이에 관한 설명으로 옳은 것을 모두 고른 것은? (다툼이 있으면 판례에 따름)
ㄱ. 甲은 2021년 6월 5일에 5천만 원을 변제하면서 乙과의 합의로 B채무의 원본에 충당한 후 나머지는 A채무의 원본에 충당하는 것으로 정할 수 있다.
ㄴ. 甲이 2021년 6월 5일에 5천만 원을 변제하면서 법정충당이 이루어지는 경우, B채무에 보증인이 있다면 A채무의 변제에 먼저 충당된다.
ㄷ. 甲이 2021년 5월 3일에 5천만 원을 변제하면서 법정충당이 이루어지는 경우, B채무에 먼저 충당된다.
ㄹ. 甲이 2021년 4월 28일에 5천만 원을 변제하면서 법정충당이 이루어지는 경우, B채무에 먼저 충당된다.</t>
  </si>
  <si>
    <t>상계에 관한 설명으로 옳은 것은? (다툼이 있으면 판례에 따름)</t>
  </si>
  <si>
    <t>제3자를 위한 계약에 관한 설명으로 옳은 것은? (다툼이 있으면 판례에 따름)</t>
  </si>
  <si>
    <t>계약의 해제에 관한 설명으로 옳지 않은 것은? (특별한 사정이 없음을 전제로 하며, 다툼이 있으면 판례에 따름)</t>
  </si>
  <si>
    <t>담보책임에 관한 설명으로 옳은 것은? (특별한 사정이 없음을 전제로 하며, 다툼이 있으면 판례에 따름)</t>
  </si>
  <si>
    <t>민법상 위임에 관한 설명으로 옳지 않은 것은? (다툼이 있으면 판례에 따름)</t>
  </si>
  <si>
    <t>불법행위에 기한 손해배상에 관한 설명으로 옳지 않은 것을 모두 고른 것은? (다툼이 있으면 판례에 따름)
ㄱ. 작위의무 있는 자의 부작위에 의한 과실방조는 공동불법행위의 방조가 될 수 없다.
ㄴ. 도급인이 수급인의 일의 진행과 방법에 관해 구체적으로 지휘・감독한 경우, 수급인의 그 도급업무와 관련된 불법행위로 인한 제3자의 손해에 대해 도급인은 사용자책임을 진다.
ㄷ. 책임능력 없는 미성년자의 불법행위로 인해 손해를 입은 자는 그 미성년자의 감독자에게 배상을 청구하기 위해 그 감독자의 감독의무해태를 증명하여야 한다.
ㄹ. 파견근로자의 파견업무에 관한 불법행위에 대하여 파견사업주는 특별한 사정이 없는 한 사용자로서의 배상책임을 부담하지 않는다.</t>
  </si>
  <si>
    <t>제한능력자에 관한 설명으로 옳은 것은? (다툼이 있으면 판례에 따름)</t>
  </si>
  <si>
    <t>법인 아닌 사단에 관한 설명으로 옳지 않은 것은? (다툼이 있으면 판례에 따름)</t>
  </si>
  <si>
    <t>불공정한 법률행위에 관한 설명으로 옳지 않은 것은? (다툼이 있으면 판례에 따름)</t>
  </si>
  <si>
    <t>물건에 관한 것으로 옳지 않은 것은? (다툼이 있으면 판례에 따름)</t>
  </si>
  <si>
    <t>소멸시효의 설명으로 옳지 않은 것은? (다툼이 있으면 판례에 따름)</t>
  </si>
  <si>
    <t>민법상 대리에 관한 설명으로 옳지 않은 것은? (다툼이 있으면 판례에 따름)</t>
  </si>
  <si>
    <t>법률행위의 조건에 관한 설명으로 옳은 것은? (다툼이 있으면 판례에 따름)</t>
  </si>
  <si>
    <t>2021년 5월 8일(토)에 계약기간을 '앞으로 3개월'로 정한 경우, 기산점과 만료점을 바르게 나열한 것은? (단, 기간의 계산방법에 관하여 달리 정함은 없고, 8월 6일은 금요일임)</t>
  </si>
  <si>
    <t>무효행위에 관한 설명으로 옳지 않은 것은? (다툼이 있으면 판례에 따름)</t>
  </si>
  <si>
    <t>계약의 무권대리에 관한 설명으로 옳은 것은? (다툼이 있으면 판례에 따름)</t>
  </si>
  <si>
    <t>채권자취소권에 관한 설명으로 옳은 것을 모두 고른 것은? (다툼이 있으면 판례에 따름)
ㄱ. 채권자취소의 소는 취소원인을 안 날로부터 3년, 법률행위가 있은 날로부터 10년 내에 제기하여야 한다.
ㄴ. 채권자가 채무자의 사해의사를 증명하면 수익자의 악의는 추정된다.
ㄷ. 채무초과상태에 있는 채무자의 상속포기는 채권자취소권의 대상이 되지 못한다.
ㄹ. 사해행위 이전에 성립된 채권을 양수하였으나, 그 대항요건을 사해행위 이후에 갖춘 양수인은 이를 피보전채권으로 하는 채권자취소권을 행사할 수 없다.
ㅁ. 건물신축의 도급인이 민법 제666조에 따른 수급인의 저당권설정청구권 행사에 의해 그 건물에 저당권을 설정하는 행위는 특별한 사정이 없는 한 사해행위에 해당하지 않는다.</t>
  </si>
  <si>
    <t>이행보조자에 관한 설명으로 옳은 것은? (다툼이 있으면 판례에 따름)</t>
  </si>
  <si>
    <t>매매계약의 불능에 관한 설명으로 옳지 않은 것은? (다툼이 있으면 판례에 따름)</t>
  </si>
  <si>
    <t>채권양도와 채무인수에 관한 설명으로 옳지 않은 것은? (다툼이 있으면 판례에 따름)</t>
  </si>
  <si>
    <t>다수당사자간의 법률관계에 관한 설명으로 옳지 않은 것은? (다툼이 있으면 판례에 따름)</t>
  </si>
  <si>
    <t>채무불이행책임에 관한 설명으로 옳은 것은?</t>
  </si>
  <si>
    <t>손해배상액의 예정에 관한 설명으로 옳지 않은 것은? (다툼이 있으면 판례에 따름)</t>
  </si>
  <si>
    <t>甲은 법률상 의무 없이 乙의 사무를 처리하고 있다. 이에 관한 설명으로 옳지 않은 것은? (다툼이 있으면 판례에 따름)</t>
  </si>
  <si>
    <t>불법행위책임에 관한 설명으로 옳지 않은 것은? (다툼이 있으면 판례에 따름)</t>
  </si>
  <si>
    <t>계약해제에 관한 설명으로 옳지 않은 것은? (다툼이 있으면 판례에 따름)</t>
  </si>
  <si>
    <t>민법상 조합에 관한 설명으로 옳지 않은 것은? (다툼이 있으면 판례에 따름)</t>
  </si>
  <si>
    <t>동시이행항변권에 관한 설명으로 옳은 것은? (다툼이 있으면 판례에 따름)</t>
  </si>
  <si>
    <t>매매에 관한 설명으로 옳은 것을 모두 고른 것은? (다툼이 있으면 판례에 따름)
ㄱ. 당사자가 매매예약완결권의 행사기간을 약정하지 않은 경우, 완결권은 예약이 성립한 때로부터 10년 내에 행사되어야 하고, 그 기간을 지난 때에는 제척기간의 경과로 인하여 소멸한다.
ㄴ. 목적물이 일정한 면적을 가지고 있다는 데 주안을 두고 대금도 면적을 기준으로 정하여지는 아파트분양계약은 특별한 사정이 없는 한 수량지정매매에 해당한다.
ㄷ. 건축목적으로 매매된 토지에 대하여 건축허가를 받을 수 없어 건축이 불가능한 경우, 이와 같은 법률적 제한 내지 장애는 권리의 하자에 해당한다.
ㄹ. 특정물매매에서 매도인의 하자담보책임이 성립하는 경우, 매수인은 매매계약 내용의 중요부분에 착오가 있더라도 이를 취소할 수 없다.</t>
  </si>
  <si>
    <t>미성년자 甲과 행위능력자 乙 간의 매매계약에 관한 설명으로 옳은 것은? (다툼이 있으면 판례에 따름)</t>
  </si>
  <si>
    <t>비법인사단에 관한 설명으로 옳지 않은 것은? (다툼이 있으면 판례에 따름)</t>
  </si>
  <si>
    <t>무자력한 甲은 乙에게 3억 원의 금전채무를 부담하고 있으나, 乙의 강제집행을 피하기 위해 자신의 유일한 재산인 A부동산을 丙에게 가장매매하고 소유권이전등기를 해주었다. 이에 관한 설명으로 옳은 것은? (다툼이 있으면 판례에 따름)</t>
  </si>
  <si>
    <t>비진의표시에 관한 설명으로 옳지 않은 것은? (다툼이 있으면 판례에 따름)</t>
  </si>
  <si>
    <t>의사표시를 한 자가 착오를 이유로 그 의사표시를 취소할 수 없는 경우를 모두 고른 것은? (단, 표의자의 중대한 과실은 없으며 다툼이 있으면 판례에 따름)
ㄱ. 매매에서 매도인이 목적물의 시가를 몰라서 대금과 시가에 근소한 차이가 있는 경우
ㄴ. 주채무자의 차용금반환채무를 보증할 의사로 공정증서에 서명・날인하였으나 그 공정증서가 주채무자의 기존의 구상금채무에 관한 준소비대차계약의 공정증서였던 경우
ㄷ. 건물 및 부지를 현상태대로 매수하였으나 그 부지의 지분이 근소하게 부족한 경우</t>
  </si>
  <si>
    <t>민법 제104조(불공정한 법률행위)에 관한 설명으로 옳은 것은? (다툼이 있으면 판례에 따름)</t>
  </si>
  <si>
    <t>민법상 조건에 관한 설명으로 옳은 것은? (다툼이 있으면 판례에 따름)</t>
  </si>
  <si>
    <t>법률행위의 무효 또는 취소에 관한 설명으로 옳은 것은? (다툼이 있으면 판례에 따름)</t>
  </si>
  <si>
    <t>대리에 관한 설명으로 옳은 것은? (다툼이 있으면 판례에 따름)</t>
  </si>
  <si>
    <t>금전채권에 관한 설명으로 옳지 않은 것은? (다툼이 있으면 판례에 따름)</t>
  </si>
  <si>
    <t>채무자의 이행지체책임 발생시기로 옳은 것을 모두 고른 것은? (다툼이 있으면 판례에 따름)
ㄱ. 불확정기한부 채무의 경우, 채무자가 기한이 도래함을 안 때
ㄴ. 부당이득반환채무의 경우, 수익자가 이행청구를 받은 때
ㄷ. 불법행위로 인한 손해배상채무의 경우, 가해자가 피해자로부터 이행청구를 받은 때</t>
  </si>
  <si>
    <t>민법상 과실상계에 관한 설명으로 옳지 않은 것은? (다툼이 있으면 판례에 따름)</t>
  </si>
  <si>
    <t>채권자 甲, 채무자 乙, 수익자 丙을 둘러싼 채권자취소소송에 관한 설명으로 옳은 것은? (단, 乙에게는 甲 외에 다수의 채권자가 존재하며 다툼이 있으면 판례에 따름)</t>
  </si>
  <si>
    <t>민법상 보증채무에 관한 설명으로 옳지 않은 것은? (다툼이 있으면 판례에 따름)</t>
  </si>
  <si>
    <t>지명채권의 양도에 관한 설명으로 옳지 않은 것은? (다툼이 있으면 판례에 따름)</t>
  </si>
  <si>
    <t>변제에 관한 설명으로 옳지 않은 것은? (다툼이 있으면 판례에 따름)</t>
  </si>
  <si>
    <t>甲은 2020.2.1. 자기 소유 중고자동차를 1,000만원에 매수할 것을 乙에게 청약하는 내용의 편지를 발송하였다. 이에 관한 설명으로 옳지 않은 것은?</t>
  </si>
  <si>
    <t>민법상 특정물 매도인의 하자담보책임에 관한 설명으로 옳지 않은 것은? (다툼이 있으면 판례에 따름)</t>
  </si>
  <si>
    <t>수급인의 하자담보책임에 관한 설명으로 옳지 않은 것은? (다툼이 있으면 판례에 따름)</t>
  </si>
  <si>
    <t>조합계약에 관한 설명으로 옳은 것을 모두 고른 것은? (다툼이 있으면 판례에 따름)
ㄱ. 2인이 상호출자하여 부동산 임대사업을 하기로 약정하고 이를 위해 부동산을 취득한 경우 그 부동산은 위 2인이 총유한다.
ㄴ. 업무집행자가 수인인 경우 그 조합의 통상사무는 각 업무집행자가 전행할 수 있다.
ㄷ. 당사자들이 공동이행방식의 공동수급체를 구성하여 도급인으로부터 공사를 수급받는 경우 그 공동수급체는 원칙적으로 민법상 조합에 해당한다.</t>
  </si>
  <si>
    <t>부당이득반환청구권에 관한 설명으로 옳지 않은 것은? (다툼이 있으면 판례에 따름)</t>
  </si>
  <si>
    <t>민법 제756조(사용자의 배상책임)에 관한 설명으로 옳지 않은 것은? (다툼이 있으면 판례에 따름)</t>
  </si>
  <si>
    <t>사권(私權)과 그 성격이 올바르게 연결되지 않은 것은? (다툼이 있으면 판례에 따름)</t>
  </si>
  <si>
    <t>제한능력자에 관한 설명으로 옳지 않은 것은? (다툼이 있으면 판례에 따름)</t>
  </si>
  <si>
    <t>법인 아닌 사단에 관한 설명으로 옳은 것은? (다툼이 있으면 판례에 따름)</t>
  </si>
  <si>
    <t>물건에 관한 설명으로 옳은 것은? (다툼이 있으면 판례에 따름)</t>
  </si>
  <si>
    <t>민법 제103조의 반사회적 법률행위에 해당하여 무효인 것을 모두 고른 것은? (다툼이 있으면 판례에 따름)
ㄱ. 뇌물로 받은 금전을 소극적으로 은닉하기 위하여 이를 임치하는 약정
ㄴ. 강제집행을 면할 목적으로 허위의 근저당권을 설정하는 행위
ㄷ. 도박자금에 제공할 목적으로 금전을 대여하는 행위
ㄹ. 해외파견 후 귀국일로부터 상당기간 동안 소속회사에서 근무하지 않으면 해외파견 소요경비를 배상한다는 사규나 약정</t>
  </si>
  <si>
    <t>甲은 강제집행을 면할 목적으로 자기 소유의 X토지에 관하여 乙과 짜고 허위의 매매계약을 체결한 후 乙명의로 소유권이전등기를 마쳐 주었다. 그 후 乙은 丙에게 금전을 차용하면서 X토지 위에 저당권을 설정하였다. 이에 관한 설명으로 옳지 않은 것은? (다툼이 있으면 판례에 따름)</t>
  </si>
  <si>
    <t>착오에 의한 의사표시에 관한 설명으로 옳은 것은? (다툼이 있으면 판례에 따름)</t>
  </si>
  <si>
    <t>임의대리권의 범위에 관한 설명으로 옳지 않은 것은? (다툼이 있으면 판례에 따름)</t>
  </si>
  <si>
    <t>乙이 대리권 없이 甲의 대리인으로서 丙과 매매계약을 체결한 경우에 관한 설명으로 옳은 것은? (다툼이 있으면 판례에 따름)</t>
  </si>
  <si>
    <t>무효와 취소에 관한 설명으로 옳은 것은? (다툼이 있으면 판례에 따름)</t>
  </si>
  <si>
    <t>조건에 관한 설명으로 옳지 않은 것은? (다툼이 있으면 판례에 따름)</t>
  </si>
  <si>
    <t>甲은 자기 소유의 토지에 대해 乙과 매매계약을 체결하면서 이행지체로 인한 손해배상액을 예정하였다. 乙의 이행지체를 이유로 甲이 손해배상을 청구하는 경우에 관한 설명으로 옳지 않은 것은? (다툼이 있으면 판례에 따름)</t>
  </si>
  <si>
    <t>과실상계에 관한 설명으로 옳은 것은? (다툼이 있으면 판례에 따름)</t>
  </si>
  <si>
    <t>乙의 채권자 甲이 乙의 丙에 대한 금전채권에 대하여 채권자대위권을 행사하는 경우에 관한 설명으로 옳지 않은 것은? (다툼이 있으면 판례에 따름)</t>
  </si>
  <si>
    <t>채권자취소권에 관한 설명으로 옳지 않은 것은? (다툼이 있으면 판례에 따름)</t>
  </si>
  <si>
    <t>채권양도에 관한 설명으로 옳지 않은 것은? (다툼이 있으면 판례에 따름)</t>
  </si>
  <si>
    <t>채무인수에 관한 설명으로 옳은 것은? (다툼이 있으면 판례에 따름)</t>
  </si>
  <si>
    <t>제3자를 위한 계약에 관한 설명으로 옳은 것을 모두 고른 것은? (다툼이 있으면 판례에 따름)
ㄱ. 계약체결 당시에 수익자가 특정되어 있지 않으면 제3자를 위한 계약은 성립할 수 없다.
ㄴ. 계약 당사자가 제3자에 대하여 가진 채권에 관하여 그 채무를 면제하는 계약도 제3자를 위한 계약에 준하는 것으로 유효하다.
ㄷ. 낙약자는 요약자와 수익자 사이의 법률관계에 기한 항변으로 수익자에게 대항하지 못한다.
ㄹ. 낙약자가 채무를 불이행하는 경우 수익자는 낙약자의 채무불이행을 이유로 계약을 해제할 수 있다.</t>
  </si>
  <si>
    <t>甲은 자기 소유 부동산을 매매하는 사무를 乙에게 위임하였다. 이에 관한 설명으로 옳지 않은 것은? (다툼이 있으면 판례에 따름)</t>
  </si>
  <si>
    <t>乙이 甲 소유의 주택을 2년간 임차하는 계약을 甲과 체결하여 그 주택에 거주하는 경우에 관한 설명으로 옳지 않은 것은? (다툼이 있으면 판례에 따름)</t>
  </si>
  <si>
    <t>화해계약에 관한 설명으로 옳지 않은 것은? (다툼이 있으면 판례에 따름)</t>
  </si>
  <si>
    <t>신의성실의 원칙에 관한 설명으로 옳은 것은? (다툼이 있으면 판례에 따름)</t>
  </si>
  <si>
    <t>부재자 재산관리인에 관한 설명으로 옳지 않은 것은? (다툼이 있으면 판례에 따름)</t>
  </si>
  <si>
    <t>권리의 객체에 관한 설명으로 옳지 않은 것은? (다툼이 있으면 판례에 따름)</t>
  </si>
  <si>
    <t>민법상 법인에 관한 설명으로 옳지 않은 것은?</t>
  </si>
  <si>
    <t>민법 제104조의 불공정한 법률행위에 관한 설명으로 옳은 것은? (다툼이 있으면 판례에 따름)</t>
  </si>
  <si>
    <t>착오에 관한 설명으로 옳지 않은 것은? (다툼이 있으면 판례에 따름)</t>
  </si>
  <si>
    <t>대리에 관한 설명으로 옳은 것을 모두 고른 것은? (다툼이 있으면 판례에 따름)
ㄱ. 복대리인은 본인이나 제3자에 대하여 대리인과 동일한 권리의무가 있다.
ㄴ. 대리행위가 강행법규에 위반하는 경우에는 표현대리의 법리가 적용되지 않는다.
ㄷ. 친권자가 자신의 부동산을 미성년 자녀에게 증여하는 행위는 자기계약이지만 유효하다.
ㄹ. 대리인이 그 권한 내에서 본인을 위한 것임을 표시한 의사표시는 직접 본인에게 대하여 효력이 생긴다.</t>
  </si>
  <si>
    <t>무권대리행위의 추인에 관한 설명으로 옳지 않은 것은? (다툼이 있으면 판례에 따름)</t>
  </si>
  <si>
    <t>법률행위의 조건에 관한 설명으로 옳지 않은 것은? (다툼이 있으면 판례에 따름)</t>
  </si>
  <si>
    <t>사용자 甲이 의사능력이 없는 상태에서 乙과 근로계약을 체결하였다. 이에 관한 설명으로 옳은 것은? (다툼이 있으면 판례에 따름)</t>
  </si>
  <si>
    <t>지명채권의 양도에 관한 설명으로 옳은 것은? (다툼이 있으면 판례에 따름)</t>
  </si>
  <si>
    <t>이행지체책임의 발생 시기에 관한 설명으로 옳지 않은 것은? (다툼이 있으면 판례에 따름)</t>
  </si>
  <si>
    <t>손해배상액의 예정에 관한 설명으로 옳은 것은? (다툼이 있으면 판례에 따름)</t>
  </si>
  <si>
    <t>甲은 乙에게 변제기가 도래한 1억원의 금전채권을 가지고 있다. 乙은 현재 무자력 상태에 있고 丙에 대하여 변제기가 도래한 5,000만원의 금전채권을 가지고 있다. 이에 관한 설명으로 옳지 않은 것은? (다툼이 있으면 판례에 따름)</t>
  </si>
  <si>
    <t>상계에 관한 설명으로 옳지 않은 것은? (다툼이 있으면 판례에 따름)</t>
  </si>
  <si>
    <t>부동산 매매계약의 합의해제(해제계약)에 관한 설명으로 옳은 것은? (다툼이 있으면 판례에 따름)</t>
  </si>
  <si>
    <t>甲은 자신의 X건물을 매매대금 1억원, 계약금 1,000만원으로 정하여 乙에게 매도하는 계약을 체결하고, 乙로부터 계약금을 수령하였다. 甲이 乙에게 X건물의 인도 및 소유권이전등기를 마쳐주기 전에 제3자 丙의 과실로 인한 화재로 X건물이 전부 멸실되었다. 이에 관한 설명으로 옳지 않은 것은? (다툼이 있으면 판례에 따름)</t>
  </si>
  <si>
    <t>매도인의 담보책임에 관한 설명으로 옳지 않은 것은? (다툼이 있으면 판례에 따름)</t>
  </si>
  <si>
    <t>임대차에 관한 설명으로 옳은 것은? (다툼이 있으면 판례에 따름)</t>
  </si>
  <si>
    <t>甲은 자신의 토지에 X건물을 신축하기로 하는 계약을 수급인 乙과 체결하면서 甲명의로 건축허가를 받아 소유권보존등기를 하기로 하는 등 완공된 X건물의 소유권을 甲에게 귀속시키기로 합의하였다. 乙은 X건물을 신축하여 완공하였지만 공사대금을 받지 못하고 있다. 이에 관한 설명으로 옳은 것은?</t>
  </si>
  <si>
    <t>불법행위에 관한 설명으로 옳은 것은? (다툼이 있으면 판례에 따름)</t>
  </si>
  <si>
    <t>甲은 자신의 X건물을 공인노무사 乙에게 임대하였다. 乙이 X건물에서 사무소를 운영하고 있던 중 乙의 사무직원 丙의 과실로 X건물이 화제로 멸실되었다. 이에 관한 설명으로 옳지 않은 것은? (다툼이 있으면 판례에 따름)</t>
  </si>
  <si>
    <t>반사회질서 또는 불공정한 법률행위에 관한 설명으로 옳은 것은? (다툼이 있으면 판례에 따름)</t>
  </si>
  <si>
    <t>민법 제108조의 통정허위표시에 관한 내용으로 옳지 않은 것은? (다툼이 있으면 판례에 따름)</t>
  </si>
  <si>
    <t>당사자 확정 및 법률행위의 해석에 관한 설명으로 옳은 것은? (다툼이 있으면 판례에 따름)</t>
  </si>
  <si>
    <t>행위능력에 관한 설명으로 옳은 것은?</t>
  </si>
  <si>
    <t>대리에 관한 설명으로 옳은 것을 모두 고른 것은? (다툼이 있으면 판례에 따름)
ㄱ. 어떤 사람이 대리인의 외양을 가지고 행위하는 것을 본인이 알면서도 이의를 하지 아니하고 방임하는 경우, 본인의 대리권 수여가 추단될 수 있다.
ㄴ. 계약이 적법한 대리인에 의하여 체결되었는데 상대방이 채무불이행을 이유로 계약을 해제한 경우, 대리인이 수령한 계약상 급부를 본인이 현실적으로 인도받지 못하였다면 본인에게는 원상회복의무가 없다.
ㄷ. 대리권이 없는 자가 재단법인의 설립행위를 대리한 경우 본인이 추인을 하여도 언제나 무효이며 무권대리인도 이행책임을 지지 않는다.
ㄹ. 대리인이 계약체결에 관한 권한을 수여받았다면, 그 계약의 해제권 및 상대방의 의사를 수령할 권한은 특별한 사정이 없는 한 대리인에게 부여된다.</t>
  </si>
  <si>
    <t>표현대리에 관한 설명으로 옳지 않은 것은? (다툼이 있으면 판례에 따름)</t>
  </si>
  <si>
    <t>무권대리에 관한 설명으로 옳은 것은? (다툼이 있으면 판례에 따름)</t>
  </si>
  <si>
    <t>비진의 의사표시에 관한 설명으로 옳지 않은 것은? (다툼이 있으면 판례에 따름)</t>
  </si>
  <si>
    <t>법률행위의 무효와 취소에 관한 설명으로 옳지 않은 것은? (다툼이 있으면 판례에 따름)</t>
  </si>
  <si>
    <t>법률행위의 조건과 기한에 관한 설명으로 옳지 않은 것은? (다툼이 있으면 판례에 따름)</t>
  </si>
  <si>
    <t>소멸시효에 관한 설명으로 옳은 것은? (다툼이 있으면 판례에 따름)</t>
  </si>
  <si>
    <t>甲의 乙에 대한 5천만원의 A채권(변제기 2016. 2. 8.)과 乙의 甲에 대한 3천만원의 B채권(변제기 2016. 5. 8.)이 있다. 이에 관한 설명으로 옳지 않은 것은? (다툼이 있으면 판례에 따름)</t>
  </si>
  <si>
    <t>손해배상액의 예정에 관한 설명으로 옳은 것은? (다툼이 있는 경우 판례에 따름)</t>
  </si>
  <si>
    <t>금전채무에 관한 설명으로 옳은 것은? (다툼이 있으면 판례에 따름)</t>
  </si>
  <si>
    <t>채무불이행에 관한 설명으로 옳은 것은? (다툼이 있으면 판례에 따름)</t>
  </si>
  <si>
    <t>채권자대위권에 관한 설명으로 옳은 것은? (다툼이 있으면 판례에 따름)</t>
  </si>
  <si>
    <t>채권양도와 채무인수에 관한 설명으로 옳은 것은? (다툼이 있으면 판례에 따름)</t>
  </si>
  <si>
    <t>채권자취소권에 관한 설명으로 옳은 것은? (다툼이 있으면 판례에 따름)</t>
  </si>
  <si>
    <t>甲은 乙로부터 금전을 빌렸고, 丙은 甲의 채무를 위해 보증인이 되었다. 이에 관한 설명으로 옳은 것은? (다툼이 있으면 판례에 따름)</t>
  </si>
  <si>
    <t>동시이행의 관계에 있지 않은 것은? (다툼이 있으면 판례에 따름)</t>
  </si>
  <si>
    <t>甲과 乙은 甲소유의 부동산에 대하여 1억원에 매매계약을 체결하고 甲은 계약금 1천만원을 수령하였다. 이에 관한 설명으로 옳은 것은? (甲과 乙 사이에 다른 약정은 없으며, 다툼이 있으면 판례에 따름)</t>
  </si>
  <si>
    <t>부당이득에 관한 설명으로 옳지 않은 것은? (다툼이 있으면 판례에 따름)</t>
  </si>
  <si>
    <t>사용자책임에 관한 설명으로 옳지 않은 것은? (다툼이 있으면 판례에 따름)</t>
  </si>
  <si>
    <t>민법상 법인에 관한 설명으로 옳지 않은 것은? (다툼이 있으면 판례에 따름)</t>
  </si>
  <si>
    <t>사원총회에 관한 설명으로 옳은 것은?</t>
  </si>
  <si>
    <t>주물과 종물에 관한 설명으로 옳지 않은 것은? (다툼이 있으면 판례에 따름)</t>
  </si>
  <si>
    <t>사기에 의한 의사표시에 관한 설명으로 옳지 않은 것은? (다툼이 있으면 판례에 따름)</t>
  </si>
  <si>
    <t>의사표시의 효력발생에 관한 설명으로 옳은 것을 모두 고른 것은? (다툼이 있으면 판례에 따름)
ㄱ. 특별한 사정이 없는 한, 아파트 경비원이 집배원으로부터 우편물을 수령한 후 이를 아파트 공동 출입구의 우편함에 넣어 두었다는 사실만으로도 수취인이 그 우편물을 수취하였다고 추단할 수 있다.
ㄴ. 의사표시가 기재된 내용증명 우편물이 발송되고 반송되지 않았다면, 특별한 사정이 없는 한, 그 무렵에 송달되었다고 볼 수 있다.
ㄷ. 채권양도의 통지와 같은 준법률행위의 도달은 의사표시와 마찬가지로 사회 관념상 채무자가 통지의 내용을 알 수 있는 객관적 상태에 놓여졌을 때를 말한다.
ㄹ. 법인의 대표이사가 사임서 제출 당시 권한 대행자에게 사표의 처리를 일임한 경우, 권한 대행자의 수리행위가 있어야 사임의 효력이 발생한다.</t>
  </si>
  <si>
    <t>표현대리에 관한 설명으로 옳은 것은? (다툼이 있으면 판례에 따름)</t>
  </si>
  <si>
    <t>법률행위의 무효에 관한 설명으로 옳지 않은 것은? (다툼이 있으면 판례에 따름)</t>
  </si>
  <si>
    <t>법률행위의 부관에 관한 설명으로 옳은 것은? (다툼이 있으면 판례에 따름)</t>
  </si>
  <si>
    <t>1997년 6월 3일(화) 오후 2시에 태어난 사람이 성년이 되는 시기는?</t>
  </si>
  <si>
    <t>소멸시효기간의 기산점에 관한 설명으로 옳은 것은? (다툼이 있으면 판례에 따름)</t>
  </si>
  <si>
    <t>불가분 약정 등 특별한 사정이 없는 한, 불가분채권인 것은? (다툼이 있으면 판례에 따름)</t>
  </si>
  <si>
    <t>A, B, C, D(부담부분은 균등)는 E에 대하여, 1,200만원의 연대채무를 부담하고 있다. E는 A에 대하여 연대의 면제를 하였다. 그 후 B는 무자력이 되었다. A, C, D가 최종적으로 부담하는 금액은? (다툼이 있으면 판례에 따름)</t>
  </si>
  <si>
    <t>상계가 허용되는 경우는? (다툼이 있으면 판례에 따름)</t>
  </si>
  <si>
    <t>청약과 승낙에 관한 설명으로 옳은 것은?</t>
  </si>
  <si>
    <t>해제와 해지에 관한 설명으로 옳은 것은? (다툼이 있으면 판례에 따름)</t>
  </si>
  <si>
    <t>계약금에 관한 설명으로 옳지 않은 것은? (다툼이 있으면 판례에 따름)</t>
  </si>
  <si>
    <t>증여에 관한 설명으로 옳지 않은 것은? (다툼이 있으면 판례에 따름)</t>
  </si>
  <si>
    <t>임대차에 관한 설명으로 옳지 않은 것은?</t>
  </si>
  <si>
    <t>여행계약에 관한 설명으로 옳지 않은 것은?</t>
  </si>
  <si>
    <t>부당이득의 반환의무 또는 책임의 범위가 현존이익으로 한정되는 경우가 아닌 것은?</t>
  </si>
  <si>
    <t>민법의 법원(法源)에 관련한 설명으로 옳지 않은 것은? (다툼이 있으면 판례에 따름)</t>
  </si>
  <si>
    <t>제한능력자와 관련한 설명으로 옳지 않은 것은?</t>
  </si>
  <si>
    <t>민법상 물건에 관한 설명으로 옳지 않은 것은? (다툼이 있으면 판례에 따름)</t>
  </si>
  <si>
    <t>강행규정에 관한 설명으로 옳은 것은? (다툼이 있으면 판례에 따름)</t>
  </si>
  <si>
    <t>甲으로부터 5억원에 토지매수를 부탁받은 임의대리인 乙이 甲의 허락을 얻어 丙을 복대리인으로 선임하였다. 丙은 매수의뢰가격이 5억원임을 알고 있음에도 丁의 토지를 조속히 매수하기 위하여 丁과 6억원에 매수하는 계약을 체결하였다. 甲, 乙, 丙, 丁의 법률관계에 관한 설명으로 옳은 것은? (다툼이 있으면 판례에 따름)</t>
  </si>
  <si>
    <t>의사표시의 취소에 관한 설명으로 옳은 것을 모두 고른 것은? (다툼이 있으면 판례에 따름)
ㄱ. 민법은 법률행위의 일부 무효에 대하여는 규정하고 있으나 일부 취소에 대하여는 규정하고 있지 않으므로, 법률행위의 일부 취소는 할 수 없다.
ㄴ. 법정대리인의 동의 없이 신용구매계약을 체결한 미성년자가 그 후에 법정대리인의 동의 없음을 사유로 들어 이를 취소하는 것은 신의칙에 위배되지 않는다.
ㄷ. 상대방의 대리인 등 상대방과 동일시할 수 있는 자의 강박은 제3자의 강박에 해당하지 않는다.</t>
  </si>
  <si>
    <t>대리권의 범위와 제한에 관한 설명으로 옳지 않은 것은? (다툼이 있으면 판례에 따름)</t>
  </si>
  <si>
    <t>조건과 기한에 관한 설명으로 옳지 않은 것은? (다툼이 있으면 판례에 따름)</t>
  </si>
  <si>
    <t>소멸시효와 제척기간에 관한 설명으로 옳은 것은? (다툼이 있으면 판례에 따름)</t>
  </si>
  <si>
    <t>금전채권 및 이자채권에 관한 설명으로 옳지 않은 것은? (다툼이 있으면 판례에 따름)</t>
  </si>
  <si>
    <t>민법상 손해배상에 관한 설명으로 옳지 않은 것은? (다툼이 있으면 판례에 따름)</t>
  </si>
  <si>
    <t>乙, 丙, 丁은 연대하여 甲에 대하여 6,000만원의 채무를 부담하고 있다. 다음 설명 중 옳은 것을 모두 고른 것은? (단, 乙, 丙, 丁의 부담부분은 균등함)
ㄱ. 乙이 甲에 대한 3,000만원의 반대채권으로 상계를 한 때에는 丙과 丁은 3,000만원에 대하여 연대채무를 부담한다.
ㄴ. 甲이 丙에 대하여 채무 전부를 면제한 때에는 乙과 丁의 채무도 전부 소멸한다.
ㄷ. 乙 한사람에 대하여 소멸시효가 완성한 때에는 丙과 丁은 4,000만원에 대하여 연대채무를 부담한다.
ㄹ. 乙, 丙, 丁의 채무가 기한이 없는 연대채무인 경우, 甲이 乙에게 이행청구를 하였다면 丙과 丁의 채무는 이행기가 도래한다.</t>
  </si>
  <si>
    <t>변제에 관한 설명으로 옳은 것은? (다툼이 있으면 판례에 따름)</t>
  </si>
  <si>
    <t>계약의 성립에 관한 설명으로 옳지 않은 것은?</t>
  </si>
  <si>
    <t>계약의 해제에 관한 설명으로 옳지 않은 것은? (다툼이 있으면 판례에 따름)</t>
  </si>
  <si>
    <t>부당이득에 관한 설명으로 옳은 것을 모두 고른 것은? (다툼이 있으면 판례에 따름)
ㄱ. 법률행위가 사기에 의한 것으로서 취소되는 경우에 그 법률행위가 동시에 불법행위를 구성하는 때에는 취소의 효과로 생기는 부당이득반환청구권과 불법행위로 인한 손해배상청구권은 경합하여 병존하는 것이므로, 채권자는 어느 것이라도 선택하여 행사할 수 있지만 중첩적으로 행사할 수는 없다.
ㄴ. 채무자가 횡령한 금전으로 자신의 채권자에 대한 채무를 변제하는 경우, 채권자가 그 변제를 수령함에 있어 단순히 과실이 있는 경우에는 그 변제는 유효하고 채권자의 금전 취득이 피해자에 대한 관계에 있어서 법률상 원인을 결여한 것이라고 할 수 없다.
ㄷ. 비채변제에 관한 규정(민법 제742조)은 변제자가 채무 없음을 알면서도 변제를 한 경우에 적용되는 것이므로, 채무 없음을 알지 못한 경우에는 그 과실 유무를 불문하고 적용되지 아니한다.</t>
  </si>
  <si>
    <t>관습법 등에 관한 설명으로 옳지 않은 것은? (다툼이 있으면 판례에 의함)</t>
  </si>
  <si>
    <t>법원에 소를 제기하는 방법으로만 행사할 수 있는 권리는?</t>
  </si>
  <si>
    <t>미성년자 甲이 법정대리인 乙의 동의 없이 한 법률행위에 관한 설명으로 옳지 않은 것은? (다툼이 있으면 판례에 의함)</t>
  </si>
  <si>
    <t>법인 아닌 사단 甲의 대표자 乙이 사원총회의 결의를 거치지 않고, 甲소유의 부동산을 丙에게 매도하고 매매대금 1억원을 받아 해외로 도주하였다. 甲의 정관에는 부동산의 처분에 관한 특별한 규정이 없었다. 다음 설명으로 옳은 것은? (다툼이 있으면 판례에 의함)</t>
  </si>
  <si>
    <t>건물을 소유하고 있는 甲은 재산관리인을 두지 않고 해외여행을 떠났는데, 甲이 탄 비행기가 2008년 4월 22일 오전 10시부터 행방이 묘연하게 되었다. 그 후 법원에 의하여 乙이 甲의 재산관리인으로 선임되었다. 다음 설명으로 옳은 것은? (다툼이 있으면 판례에 의함)</t>
  </si>
  <si>
    <t>선량한 풍속 기타 사회질서 위반으로 무효로 되지 않는 것은? (다툼이 있으면 판례에 의함)</t>
  </si>
  <si>
    <t>사기・강박에 의한 의사표시에 관한 설명으로 옳지 않은 것은? (다툼이 있으면 판례에 의함)</t>
  </si>
  <si>
    <t>甲소유 부동산에 대하여 매매계약체결의 대리권을 甲으로부터 수여받은 乙이 그 부동산을 丙에게 매도하였다. 다음 설명으로 옳지 않은 것을 모두 고른 것은? (다툼이 있으면 판례에 의함)
ㄱ. 乙이 甲을 위한 매매임을 표시하지 않으면 乙의 의사표시는 효력이 없다.
ㄴ. 乙은 甲의 수권행위가 없더라도 丙과의 매매계약을 해제할 권한이 있다.
ㄷ. 乙은 甲의 승낙이 있거나 부득이한 사유가 있더라도 복대리인을 선임하지 못한다.
ㄹ. 乙의 강박행위가 있는 경우, 甲이 그 사실을 알았거나 알 수 있었을 때에 한하여 丙은 의사표시를 취소할 수 있다.</t>
  </si>
  <si>
    <t>乙이 甲소유의 X토지를 丙에게 매도하는 계약을 체결하였다. 매매계약의 효과가 甲에게 귀속하지 않는 경우는? (다툼이 있으면 판례에 의함)</t>
  </si>
  <si>
    <t>조건 있는 증여계약에 관한 설명으로 옳지 않은 것은? (다툼이 있으면 판례에 의함)</t>
  </si>
  <si>
    <t>소급효가 인정되지 않는 것은? (다툼이 있으면 판례에 의함)</t>
  </si>
  <si>
    <t>소멸시효 중단사유에 해당하는 것은? (다툼이 있으면 판례에 의함)</t>
  </si>
  <si>
    <t>채무인수 등에 관한 설명으로 옳지 않은 것은? (다툼이 있으면 판례에 의함)</t>
  </si>
  <si>
    <t>보증채무에 관한 설명으로 옳지 않은 것은?</t>
  </si>
  <si>
    <t>채권자취소권에 관한 설명으로 옳지 않은 것은? (다툼이 있으면 판례에 의함)</t>
  </si>
  <si>
    <t>손해배상액의 예정에 관한 설명으로 옳은 것은? (다툼이 있으면 판례에 의함)</t>
  </si>
  <si>
    <t>상계에 관한 설명으로 옳은 것은? (다툼이 있으면 판례에 의함)</t>
  </si>
  <si>
    <t>채무불이행에 관한 설명으로 옳지 않은 것은? (다툼이 있으면 판례에 의함)</t>
  </si>
  <si>
    <t>계약에 관한 설명으로 옳지 않은 것은? (다툼이 있으면 판례에 의함)</t>
  </si>
  <si>
    <t>계약해제에 관한 설명으로 옳은 것은? (다툼이 있으면 판례에 의함)</t>
  </si>
  <si>
    <t>소비대차에 관한 설명으로 옳은 것은?</t>
  </si>
  <si>
    <t>임대차에 관한 설명으로 옳지 않은 것은? (다툼이 있으면 판례에 의함)</t>
  </si>
  <si>
    <t>위임에 관한 설명으로 옳지 않은 것은?</t>
  </si>
  <si>
    <t>甲과 乙이 공동작업 중에 그들의 과실로 丙에게 부상을 입힌 경우, 그 손해배상책임에 관한 설명으로 옳은 것은? (다툼이 있으면 판례에 의함)</t>
  </si>
  <si>
    <t>사용자책임에 관한 설명으로 옳지 않은 것은? (다툼이 있으면 판례에 의함)</t>
  </si>
  <si>
    <t>신의칙에 관한 설명으로 옳은 것은? (다툼이 있는 경우에는 판례에 의함)</t>
  </si>
  <si>
    <t>사권(私權)에 관한 설명으로 옳은 것은? (다툼이 있는 경우에는 판례에 의함)</t>
  </si>
  <si>
    <t>행위능력에 관한 설명으로 옳지 않은 것은? (다툼이 있는 경우에는 판례에 의함)</t>
  </si>
  <si>
    <t>甲의 성년인 아들 乙은 대리권 없이 위임장, 인감증명서 등을 위조하여 甲의 대리인이라고 칭하면서 甲 소유의 부동산을 丙에게 매도하였다. 다음 설명 중 옳은 것은? (다툼이 있는 경우에는 판례에 의함)</t>
  </si>
  <si>
    <t>물건에 관한 설명으로 옳지 않은 것은? (다툼이 있는 경우에는 판례에 의함)</t>
  </si>
  <si>
    <t>채무초과 상태에 있는 乙은 채권자 甲에 의한 강제집행을 면하기 위하여 丙과 짜고 자기 소유인 부동산을 丙에게 가장매매한 후 소유권이전등기를 마쳐 주었다. 다음 설명 중 옳지 않은 것은? (다툼이 있는 경우에는 판례에 의함)</t>
  </si>
  <si>
    <t>거래경험이 부족한 고령의 甲은 乙이 고용한 乙의 대리인 丙으로부터 乙이 제조한 가공식품을 장기간 복용하면 혈압이 개선된다는 허황된 설명을 듣고 이에 속아 다량 매수하였으나, 효능이 없을 뿐만 아니라 인체에 유해한 것으로 밝혀졌다. 乙과 丙은 이 가공식품의 유해성을 알고 있었다. 다음 설명 중 옳지 않은 것은? (다툼이 있는 경우에는 판례에 의함)</t>
  </si>
  <si>
    <t>법인의 불법행위책임에 관한 설명으로 옳은 것은? (다툼이 있는 경우에는 판례에 의함)</t>
  </si>
  <si>
    <t>무효와 취소에 관한 설명으로 옳은 것은? (다툼이 있는 경우에는 판례에 의함)</t>
  </si>
  <si>
    <t>조건에 관한 설명으로 옳은 것은? (다툼이 있는 경우에는 판례에 의함)</t>
  </si>
  <si>
    <t>다음 중 기한의 이익을 가지지 않는 자는?</t>
  </si>
  <si>
    <t>재판상 청구로서 시효 중단의 효력이 발생하지 않는 것은? (다툼이 있는 경우에는 판례에 의함)</t>
  </si>
  <si>
    <t>채무불이행에 관한 설명으로 옳은 것은? (다툼이 있는 경우에는 판례에 의함)</t>
  </si>
  <si>
    <t>채권자대위권에 관한 설명으로 옳지 않은 것은? (다툼이 있는 경우에는 판례에 의함)</t>
  </si>
  <si>
    <t>다수당사자간의 채권채무관계에 관한 설명으로 옳지 않은 것은? (다툼이 있는 경우에는 판례에 의함)</t>
  </si>
  <si>
    <t>채무인수・이행인수에 관한 설명으로 옳지 않은 것은? (다툼이 있는 경우에는 판례에 의함)</t>
  </si>
  <si>
    <t>상계에 관한 설명으로 옳지 않은 것은? (다툼이 있는 경우에는 판례에 의함)</t>
  </si>
  <si>
    <t>채권자취소권에 관한 설명으로 옳지 않은 것은? (다툼이 있는 경우에는 판례에 의함)</t>
  </si>
  <si>
    <t>다음 중 동시이행관계에 있지 않은 것은? (다툼이 있는 경우에는 판례에 의함)</t>
  </si>
  <si>
    <t>민법상 불법원인급여에 관한 설명으로 옳지 않은 것은? (다툼이 있는 경우에는 판례에 의함)</t>
  </si>
  <si>
    <t>민법상 임치에 관한 설명으로 옳지 않은 것은? (다툼이 있는 경우에는 판례에 의함)</t>
  </si>
  <si>
    <t>위임계약에 관한 설명으로 옳은 것은? (다툼이 있는 경우에는 판례에 의함)</t>
  </si>
  <si>
    <t>공동불법행위에 관한 설명으로 옳지 않은 것은? (다툼이 있는 경우에는 판례에 의함)</t>
  </si>
  <si>
    <t>하자담보책임에 관한 설명으로 옳지 않은 것은? (다툼이 있는 경우에는 판례에 의함)</t>
  </si>
  <si>
    <t>甲은 자기 소유의 부동산을 乙에게 매도하고 계약금과 중도금을 수령하였다. 그 뒤 甲은 그 부동산 소재지 주변이 개발될 것이라는 정보를 미리 입수한 丙이 매매대금으로 그 부동산 시세의 두 배를 제시하자 丙에게 매도하고 이전등기를 해주었다. 다음 설명 중 옳지 않은 것은? (다툼이 있는 경우에는 판례에 의함)</t>
  </si>
  <si>
    <t>법률행위의 무효 및 취소에 관한 설명으로 옳은 것은? (다툼이 있는 경우에는 판례에 의함)</t>
  </si>
  <si>
    <t>만 17세인 甲은 법정대리인의 동의 없이 자신의 골동품을 乙에게 1,000만원에 처분하면서 단순히 자신이 성년자라고 하였다. 1개월 후 甲은 법정대리인 몰래 그 매매대금 1,000만원 중 700만원으로 丙 소유의 오토바이를 구입하였고, 300만원은 현재 보관 중이다. 다음 설명으로 옳은 것은? (다툼이 있는 경우에는 판례에 의함)</t>
  </si>
  <si>
    <t>부재자의 재산관리에 관한 설명으로 옳은 것은? (다툼이 있는 경우에는 판례에 의함)</t>
  </si>
  <si>
    <t>甲은 乙에게 임대해 준 X아파트를 범죄에 대한 대가로 미성년자 丙에게 증여하고, 丙에게 X아파트의 소유권이전등기를 해 주었다. 丙은 X아파트를 丁에게 1억원에 매도하고 소유권등기와 점유를 이전해 주었다. 다음 설명으로 옳은 것은? (다툼이 있는 경우에는 판례에 의함)</t>
  </si>
  <si>
    <t xml:space="preserve">2012. 3. 2. 횡단보도를 건너던 甲과 그의 아들 乙은 신호위반을 한 A의 차에 치어 현장에서 사망하였다. 사망 당시 甲에게는 배우자 丙, 태아 丁이 있었으며, 丁은 2012. 5. 20. 태어났다. 다음 설명으로 옳은 것은? (다툼이 있는 경우에는 판례에 의함) </t>
  </si>
  <si>
    <t>실효의 원칙에 관한 설명으로 옳지 않은 것은? (다툼이 있는 경우에는 판례에 의함)</t>
  </si>
  <si>
    <t>통정허위표시의 무효로 대항할 수 없는 선의의 제3자로 될 수 없는 자는? (다툼이 있는 경우에는 판례에 의함)</t>
  </si>
  <si>
    <t>2002년 4월 15일 선박침몰로 甲이 실종되었다. 甲의 배우자 乙은 2010년 1월경 甲에 대한 실종선고를 청구하여 2010년 7월 5일 실종선고가 내려졌다. 실종선고로 甲소유의 X아파트는 乙에게 단독으로 상속되었고, 乙은 실종선고 후 그 취소전에 X아파트를 丙에게 매도하고 소유권이전등기를 해 주었다. 다음 설명으로 옳지 않은 것은?</t>
  </si>
  <si>
    <t>甲은 미성년자 乙에게 X건물의 매매에 관한 대리권만을 수여하였다. 乙은 甲을 대리하여 丙과 X건물의 매매계약을 체결하였다. 다음 설명으로 옳은 것은? (다툼이 있는 경우에는 판례에 의함)</t>
  </si>
  <si>
    <t>주물・종물에 관한 설명으로 옳은 것은? (다툼이 있는 경우에는 판례에 의함)</t>
  </si>
  <si>
    <t>법인의 불법행위책임에 관한 설명으로 옳지 않은 것은? (다툼이 있는 경우에는 판례에 의함)</t>
  </si>
  <si>
    <t>소멸시효에 관한 설명으로 옳지 않은 것은? (다툼이 있는 경우에는 판례에 의함)</t>
  </si>
  <si>
    <t>불가분채무자 중 1인에게 발생한 사유 중 다른 불가분채무자에게 그 효력이 미치지 않는 것은?</t>
  </si>
  <si>
    <t>甲은 乙에 대해 1,000만원의 금전채권을, 乙은 丙에 대해 500만원의 금전채권을 가지고 있다. 甲이 丙에 대해 채권자대위권을 행사하는 경우에 관한 설명으로 옳지 않은 것은?</t>
  </si>
  <si>
    <t>위임계약에 관한 설명으로 옳지 않은 것은? (다툼이 있는 경우에는 판례에 의함)</t>
  </si>
  <si>
    <t>채권의 소멸에 관한 설명으로 옳지 않은 것은? (다툼이 있는 경우에는 판례에 의함)</t>
  </si>
  <si>
    <t>지명채권의 양도에 관한 설명으로 옳지 않은 것은? (다툼이 있는 경우에는 판례에 의함)</t>
  </si>
  <si>
    <t>부당이득에 관한 설명으로 옳은 것은? (다툼이 있는 경우에는 판례에 의함)</t>
  </si>
  <si>
    <t>도급인 甲은 수급인 乙과 X건물의 신축을 위한 도급계약을 체결하였다. 다음 설명으로 옳지 않은 것은? (다툼이 있는 경우에는 판례에 의함)</t>
  </si>
  <si>
    <t>공동불법행위에 관한 설명으로 옳은 것은? (다툼이 있는 경우에는 판례에 의함)</t>
  </si>
  <si>
    <t>매매에 관한 설명으로 옳지 않은 것은? (다툼이 있는 경우에는 판례에 의함)</t>
  </si>
  <si>
    <t>원본채무를 법정변제충당하는 경우에 관한 설명으로 옳지 않은 것은? (다툼이 있는 경우에는 판례에 의함)</t>
  </si>
  <si>
    <t>甲은 乙에게 1억 2,000만원을 빌려주었다. 乙의 금전채무에 대하여, A와 B가 각각 보증을 섰고 C는 자신의 부동산(시가 8,000만원)을 담보로 제공하였으며 D도 자신의 부동산(시가 4,000만원)을 담보로 제공하였다. A가 甲에게 乙의 채무 전액을 변제한 경우, A가 B・C・D에 대해 대위할 수 있는 금액은?</t>
  </si>
  <si>
    <t>사용자책임에 관한 설명으로 옳지 않은 것은? (다툼이 있는 경우에는 판례에 의함)</t>
  </si>
  <si>
    <t>계약의 해제에 관한 설명으로 옳은 것은? (다툼이 있는 경우에는 판례에 의함)</t>
  </si>
  <si>
    <t>채무불이행과 채권자지체에 관한 설명으로 옳지 않은 것은? (다툼이 있는 경우 에는 판례에 의함)</t>
  </si>
  <si>
    <t>공인노무사 甲에게 고용된 乙이 제3자의 부당해고 구제와 관련된 서류를 노동위원회에 제출하러 가던 중 본인의 과실로 교통사고를 일으켜 丙에게 중상을 입혔다. 다음 설명 중 옳은 것은? (다툼이 있는 경우에는 판례에 의함)</t>
  </si>
  <si>
    <t>乙은 석조건물소유의 목적으로 甲으로부터 그 소유의 토지를 임차한 후 그 토지에 건물을 신축하여 소유권보존등기를 하였다. 다음 설명 중 옳은 것은? (다툼이 있는 경우에는 판례에 의함)</t>
  </si>
  <si>
    <t>제척기간과 소멸시효에 관한 설명으로 옳지 않은 것은? (다툼이 있는 경우에는 판례에 의함)</t>
  </si>
  <si>
    <t>甲이 乙에게 자신의 주택을 매도하면서 乙은 중도금 및 잔금을 丙에게 지급하기로 약정하였다. 다음 설명 중 옳지 않은 것은? (다툼이 있는 경우에는 판례에 의함)</t>
  </si>
  <si>
    <t>불공정한 법률행위에 관한 설명으로 옳은 것은? (다툼이 있는 경우에는 판례에 의함)</t>
  </si>
  <si>
    <t>채권양도에 관한 설명으로 옳지 않은 것은? (다툼이 있는 경우에는 판례에 의함)</t>
  </si>
  <si>
    <t>물건에 관한 설명으로 옳지 않은 것은?</t>
  </si>
  <si>
    <t>손해배상액의 예정에 관한 설명으로 옳지 않은 것은? (다툼이 있는 경우에는 판례에 의함)</t>
  </si>
  <si>
    <t>법원이 선임한 부재자의 재산관리인에 관한 설명으로 옳지 않은 것은? (다툼이 있는 경우에는 판례에 의함)</t>
  </si>
  <si>
    <t>미성년자의 행위능력에 관한 설명으로 옳지 않은 것은? (다툼이 있는 경우에는 판례에 의함)</t>
  </si>
  <si>
    <t>위임에 관한 설명으로 옳은 것은? (다툼이 있는 경우에는 판례에 의함)</t>
  </si>
  <si>
    <t>법률행위의 부관에 관한 설명으로 옳은 것은? (다툼이 있는 경우에는 판례에 의함)</t>
  </si>
  <si>
    <t>이행보조자의 행위에 대한 책임과 사용자책임에 관한 설명으로 옳은 것은?</t>
  </si>
  <si>
    <t>취소에 관한 설명으로 옳지 않은 것은?</t>
  </si>
  <si>
    <t>매매에 관한 설명으로 옳은 것은? (다툼이 있는 경우에는 판례에 의함)</t>
  </si>
  <si>
    <t>甲, 乙, 丙, 丁은 戊에 대하여 200만원의 연대채무를 4 : 3 : 2 : 1의 비율로 부담한다. 그 중 丙이 무자력이고 丁은 戊로부터 연대의 면제를 받은 경우 甲이 채무전부를 변제하였다면, 甲이 乙・丁・戊에게 각각 구상할 수 있는 금액은?</t>
  </si>
  <si>
    <t>법인에 관한 설명으로 옳지 않은 것은? (다툼이 있는 경우에는 판례에 의함)</t>
  </si>
  <si>
    <t>미성년자 甲이 법정대리인의 동의 없이 자동차회사 乙에 고용되어 근로를 제공하던 중 乙의 권유에 따라 乙이 생산한 자동차를 구입하였다. 甲은 그 자동차를 시승도 하지 않은 채 곧바로 丙에게 매도하였는데, 丙이 이를 사용하던 중 브레이크의 제조상 결함으로 부상을 입게 되었다. 다음 설명 중 옳은 것은? (다툼이 있는 경우에는 판례에 의함)</t>
  </si>
  <si>
    <t>다음 중 상대방 없는 단독행위는?</t>
  </si>
  <si>
    <t>보증채무에 관한 설명으로 옳은 것은? (다툼이 있는 경우에는 판례에 의함)</t>
  </si>
  <si>
    <t>甲과 乙은 甲소유의 X토지와 그 토지에 인접한 Y토지 중 X토지에 대한 매매계약을 체결하였지만, 그 지번에 착오를 일으켜 매매계약서상 그 목적물을 Y토지로 표시하였고, 甲은 乙에게 Y토지를 인도하고 그 소유권이전등기를 해 주었다. 다음 중 옳지 않은 것은?</t>
  </si>
  <si>
    <t>무능력자의 상대방 보호에 관한 설명으로 옳지 않은 것은? (다툼이 있는 경우에는 판례에 의함)</t>
  </si>
  <si>
    <t>권리능력에 관한 설명으로 옳지 않은 것은? (다툼이 있는 경우에는 판례에 의함)</t>
  </si>
  <si>
    <t>권리의 객체에 관한 설명으로 옳지 않은 것은? (다툼이 있는 경우에는 판례에 의함)</t>
  </si>
  <si>
    <t>반사회질서의 법률행위에 관한 설명으로 옳지 않은 것은? (다툼이 있는 경우에는 판례에 의함)</t>
  </si>
  <si>
    <t>1992년 3월 25일생인 甲은 법정대리인의 동의 없이 2010년 3월 24일 자기 소유의 부동산을 乙에게 매도하는 계약을 체결하였다. 이 경우 행위무능력을 이유로 甲자신이 위 매매계약을 취소하려면 언제까지 취소권을 행사하여야 하는가?</t>
  </si>
  <si>
    <t>의사표시에 관한 설명으로 옳지 않은 것은? (다툼이 있는 경우에는 판례에 의함)</t>
  </si>
  <si>
    <t>권한을 넘은 표현대리에 관한 설명으로 옳은 것은? (다툼이 있는 경우에는 판례에 의함)</t>
  </si>
  <si>
    <t>기한의 이익에 관한 설명으로 옳은 것은? (다툼이 있는 경우에는 판례에 의함)</t>
  </si>
  <si>
    <t>허위표시에 관한 설명으로 옳지 않은 것은? (다툼이 있는 경우에는 판례에 의함)</t>
  </si>
  <si>
    <t>취소할 수 있는 법률행위의 법정추인사유에 해당하지 않는 것은?</t>
  </si>
  <si>
    <t>소멸시효의 중단에 관한 설명으로 옳지 않은 것은?(다툼이 있는 경우에는 판례에 의함)</t>
  </si>
  <si>
    <t>민법상 법인의 설립등기사항이 아닌 것은?</t>
  </si>
  <si>
    <t>채무이행에 관한 설명으로 옳지 않은 것은? (다툼이 있는 경우에는 판례에 의함)</t>
  </si>
  <si>
    <t>甲은 乙의 농장에서 키우는 유일한 진돗개 A를 매수하면서, 1주일 후 잔금지급과 동시에 A를 인도받기로 하였다. 이에 대한 설명으로 옳지 않은 것은? (단, 담보책임의 문제는 논외로 하며, 다툼이 있는 경우에는 판례에 의함)</t>
  </si>
  <si>
    <t>통상손해에 해당하는 것은? (다툼이 있는 경우에는 판례에 의함)</t>
  </si>
  <si>
    <t>어느 연대채무자의 1인에 대하여 생긴 사유 중 절대적 효력을 갖는 것이 아닌 것은?</t>
  </si>
  <si>
    <t>채권의 소멸사유에 관한 설명으로 옳지 않은 것은?</t>
  </si>
  <si>
    <t>甲은 乙로부터 차용한 5,000만원의 채무를 담보하기 위하여 자기 소유의 A토지(시가 6,000만원 상당)에 저당권을 설정하여 주었고, 丙은 甲의 乙에 대한 그 채무를 보증하였다. 그 후 A토지의 소유권이 丁에게 이전되었는데, 甲이 무자력이 되어 乙에 대한 채무를 변제하지 못하자 丁은 甲의 채무 5,000만원 전액을 乙에게 변제하였으며, 현재 A토지의 가액은 8,000만원이다. 이 경우 제3취득자 丁이 보증인 丙에 대하여 대위할 수 있는 금액의 범위는?</t>
  </si>
  <si>
    <t>계약의 합의해제에 관한 설명으로 옳지 않은 것은? (다툼이 있는 경우에는 판례에 의함)</t>
  </si>
  <si>
    <t>甲은 자기 소유의 건물에 대해 乙과 임대차계약을 체결하였고, 乙은 甲의 동의 없이 자신의 임차권을 丙에게 양도하였다. 이에 대한 설명으로 옳지 않은 것은? (다툼이 있는 경우에는 판례에 의함)</t>
  </si>
  <si>
    <t>채권의 목적과 관련된 민법의 규정에 관한 설명으로 옳은 것은?</t>
  </si>
  <si>
    <t>甲은 乙이 운전하던 택시의 승객인데, 교차로에서 乙, 丙, 丁이 운전하는 차량의 3중 충돌 사고로 부상을 입었으며, 조사결과 乙에게 10%, 丙에게 50%, 丁에게 40%의 과실이 있음이 인정되었다. 이에 대한 설명으로 옳지 않은 것은? (다툼이 있는 경우에는 판례에 의함)</t>
  </si>
  <si>
    <t>부당이득에 관한 설명으로 옳지 않은 것은? (다툼이 있는 경우에는 판례에 의함)</t>
  </si>
  <si>
    <t>동시이행의 항변권에 대한 설명 중 옳은 것을 모두 묶은 것은? (다툼이 있는 경우에는 판례에 의함)
ㄱ. 동시이행의 항변권이 붙은 채권을 자동채권으로 하여 상계하지 못하는 것이 원칙이다.
ㄴ. 지입계약의 종료에 따른 지입회사의 지입차량에 대한 소유권이전등록절차 이행의무와 지입차주의 연체된 관리비 등의 지급의무는 서로 동시이행관계에 있다.
ㄷ. 매매계약이 취소된 경우 당사자 쌍방의 원상회복의무는 동시이행의 관계에 있다.
ㄹ. 매도인의 토지거래계약허가 신청절차에 협력할 의무와 매수인의 대금지급의무는 동시이행의 관계에 있다.</t>
  </si>
  <si>
    <t>신의성실의 원칙에 관한 설명으로 옳지 않은 것은? (다툼이 있는 경우에는 판례에 의함)</t>
  </si>
  <si>
    <t>부당이득과 불법원인급여에 관한 설명으로 옳지 않은 것은? (다툼이 있는 경우에는 판례에 의함)</t>
  </si>
  <si>
    <t>철회에 관한 설명으로 옳지 않은 것은?</t>
  </si>
  <si>
    <t>법인의 불법행위에 관한 설명으로 옳지 않은 것은? (다툼이 있는 경우에는 판례에 의함)</t>
  </si>
  <si>
    <t>동시이행관계가 인정되지 않는 것만을 고른 것은? (다툼이 있는 경우에는 판례에 의함)
ㄱ. 매매계약이 해제된 경우에 매도인과 매수인의 원상회복의무
ㄴ. 도급계약에서 수급인의 하자보수(補修)와 도급인의 보수(報酬)지급의무
ㄷ. 임대차계약의 종료로 인한 임차인의 목적물반환의무와 임대인의 보증금반환의무
ㄹ. 금전소비대차계약에서 채무자의 변제와 채권자의 채권증서반환의무</t>
  </si>
  <si>
    <t>대리에 관한 설명으로 옳지 않은 것은? (다툼이 있는 경우에는 판례에 의함)</t>
  </si>
  <si>
    <t>지명채권의 양도에 관한 설명으로 옳은 것은? (다툼이 있는 경우에는 판례에 의함)</t>
  </si>
  <si>
    <t>조건에 관한 설명으로 옳지 않은 것은?</t>
  </si>
  <si>
    <t>채권자취소권에 관한 설명으로 옳지 않은 것은? (다툼이 있는 경우에는 판례에 의함)
ㄱ. 채권자취소권의 행사로 인한 취소와 원상회복은 소를 제기한 당해 채권자의 이익을 위해서만 그 효력이 있다.
ㄴ. 특정물에 대한 소유권이전등기청구권을 보전하기 위하여 채권자취소권을 행사하는 것은 허용되지 않는다.
ㄷ. 채권자취소권에 의하여 보전될 수 있는 채권은 원칙적으로 사해행위라고 볼 수 있는 행위가 행하여지기 전에 발생된 것임을 요한다.
ㄹ. 채무자가 채권자를 해함을 안다는 것은 공동담보가 더 부족하게 된다는 사실을 인식할 뿐만 아니라 특정의 채권자를 해한다는 인식이 있어야 한다.</t>
  </si>
  <si>
    <t>소멸시효의 중단에 관한 설명으로 옳지 않은 것은? (다툼이 있는 경우에는 판례에 의함)</t>
  </si>
  <si>
    <t>이행기와 이행지체에 관한 설명으로 옳지 않은 것은? (다툼이 있는 경우에는 판례에 의함)</t>
  </si>
  <si>
    <t>소멸시효와 제척기간에 관한 설명으로 옳지 않은 것은? (다툼이 있는 경우에는 판례에 의함)</t>
  </si>
  <si>
    <t>선택채권에 관한 설명으로 옳지 않은 것은?</t>
  </si>
  <si>
    <t>이행보조자에 관한 설명으로 옳지 않은 것은? (다툼이 있는 경우에는 판례에 의함)</t>
  </si>
  <si>
    <t>甲은 乙로부터 2009년 2월 13일 14시에 카메라를 구입하면서 매매대금은 4개월 내에 지급하기로 하였다. 甲은 언제까지 그 대금을 완제해야 하는가? (2009년 6월 13일은 토요일임)</t>
  </si>
  <si>
    <t>보증채무에 관한 설명으로 옳지 않는 것은?</t>
  </si>
  <si>
    <t>복대리에 관한 설명으로 옳지 않은 것은? (다툼이 있는 경우에는 판례에 의함)</t>
  </si>
  <si>
    <t>변제자대위에 관한 설명으로 옳은 것은? (다툼이 있는 경우에는 판례에 의함)</t>
  </si>
  <si>
    <t>A의 사기로 인하여 甲은 자기 소유의 토지를 乙에게 매도하였는데, 토지 소유권을 취득한 乙은 이를 다시 丙에게 매도하여 소유권을 이전하였다. 옳은 설명은?
ㄱ. A가 乙의 대리인인 경우 甲은 매매계약을 취소할 수 있다.
ㄴ. A의 사기 사실을 乙이 알 수 있었던 경우, 甲은 매매계약을 취소할 수 있다.
ㄷ. 甲이 매매계약을 취소한 경우 甲은 선의의 丙에 대하여 소유권이전등기의 말소를 청구할 수 있다.
ㄹ. 甲은 A의 사기사실을 안 날로부터 3년이 지난 후에도 乙과 매매계약을 체결한 날로부터 10년이 지나기 전까지는 취소권을 행사할 수 있다.</t>
  </si>
  <si>
    <t>제3자를 위한 계약에 관한 설명으로 옳지 않은 것은? (다툼이 있는 경우에는 판례에 의함)</t>
  </si>
  <si>
    <t>법인에 관한 설명으로 옳은 것은? (다툼이 있는 경우에는 판례에 의함)</t>
  </si>
  <si>
    <t>불법행위에 관한 설명으로 옳지 않은 것은? (다툼이 있는 경우에는 판례에 의함)</t>
  </si>
  <si>
    <t>甲회사의 운전기사인 乙이 정지신호를 무시하고 교차로를 통과하던 중 丙을 치어 사망하게 하였는데, 丙에게는 어머니 丁과 임신한 부인 戊가 있었다. 불법행위로 인한 손해배상을 청구하는 경우에 옳지 않은 것은? (다툼이 있는 경우에는 판례에 의함)</t>
  </si>
  <si>
    <t>해제・해지에 관한 설명으로 옳지 않은 것은?</t>
  </si>
  <si>
    <t>의사표시에 관한 다음 설명 중 옳지 않은 것은? (다툼이 있는 경우에는 판례에 의함)</t>
  </si>
  <si>
    <t>무효와 취소에 관한 설명으로 옳지 않은 것은?</t>
  </si>
  <si>
    <t>조건, 기한에 관한 설명으로 옳은 것은? (다툼이 있는 경우에는 판례에 의함)</t>
  </si>
  <si>
    <t>채권자취소권에 관한 설명으로 옳은 것은? (다툼이 있는 경우에는 판례에 의함)</t>
  </si>
  <si>
    <t>사기・강박에 의한 의사표시에 관한 설명 중 옳지 않은 것은? (다툼이 있는 경우에는 판례에 의함)</t>
  </si>
  <si>
    <t>채무인수와 이행인수에 관한 설명 중 옳지 않은 것은? (다툼이 있는 경우에는 판례에 의함)</t>
  </si>
  <si>
    <t>소멸시효와 제척기간에 관한 설명 중 옳지 않은 것은? (다툼이 있는 경우에는 판례에 의함)</t>
  </si>
  <si>
    <t>채무불이행에 관한 설명으로 옳지 않은 것은? (다툼이 있는 경우에는 판례에 의함)</t>
  </si>
  <si>
    <t>기간의 계산에 관한 다음 설명 중 옳지 않은 것은? (다툼이 있는 경우에는 판례에 의함)</t>
  </si>
  <si>
    <t>채무에 관한 설명 중 옳지 않은 것은?</t>
  </si>
  <si>
    <t>계약의 무권대리에 관한 설명 중 옳지 않은 것은? (다툼이 있는 경우에는 판례에 의함)</t>
  </si>
  <si>
    <t>매매의 일방예약에 관한 설명으로 옳지 않은 것은? (다툼이 있는 경우에는 판례에 의함)</t>
  </si>
  <si>
    <t>매도인의 담보책임에 관한 다음 설명 중 옳은 것은? (다툼이 있는 경우에는 판례에 의함)</t>
  </si>
  <si>
    <t>임대차계약에서 당사자의 약정에 의하여 그 적용을 배제할 수 있는 임차인의 권리는?</t>
  </si>
  <si>
    <t>조합에 관한 설명으로 옳지 않은 것은?</t>
  </si>
  <si>
    <t>법률행위의 목적에 관한 설명 중 옳은 것은? (다툼이 있는 경우에는 판례에 의함)</t>
  </si>
  <si>
    <t>불법원인급여에 관한 설명으로 옳지 않은 것은? (다툼이 있는 경우에는 판례에 의함)</t>
  </si>
  <si>
    <t>미성년자에 관한 설명 중 옳은 것은? (다툼이 있는 경우에는 판례에 의함)</t>
  </si>
  <si>
    <t>해제에 관한 기술 중 옳은 것은? (다툼이 있는 경우에는 판례에 의함)</t>
  </si>
  <si>
    <t>민법상 법인의 이사에 관한 설명 중 옳지 않은 것은?</t>
  </si>
  <si>
    <t>상계에 관한 다음 설명 중 옳은 것은? (다툼이 있는 경우에는 판례에 의함)</t>
  </si>
  <si>
    <t>통정허위표시에서 보호되는 제3자에 대한 설명으로 옳지 않은 것은?</t>
  </si>
  <si>
    <t>이사의 대표권에 대한 제한은 이를 정관에 기재하지 아니하면 그 효력이 없다.</t>
  </si>
  <si>
    <t>부동산은 종물이 될 수 없다.</t>
  </si>
  <si>
    <t>甲이 외형상 직무에 관한 행위로 乙에게 손해를 가한 경우, 甲의 행위가 직무범위에 포함되지 아니함을 乙이 중대한 과실로 알지 못하였더라도 A는 乙에게 손해배상책임을 진다.</t>
  </si>
  <si>
    <t>대여금채무의 이행지체에 따른 확정된 지연손해금채무는 그 이행청구를 받은 때부터 지체책임이 발생한다.</t>
  </si>
  <si>
    <t>제척기간이 완성된 채권이 그 완성 전에 상계할 수 있었던 것이면 채권자는 이를 자동채권으로 하여 상대방의 채권과 상계할 수 있다.</t>
  </si>
  <si>
    <t>미성년자가 친권자의 동의를 얻어 법률행위를 한 후에도 친권자는 그 동의를 취소할 수 있다.</t>
  </si>
  <si>
    <t>착오로 인한 불이익이 법령의 개정 등 사정의 변경으로 소멸하였다면 그 착오를 이유로 한 취소권의 행사는 신의칙에 의해 제한될 수 있다.</t>
  </si>
  <si>
    <t>표의자가 진의 아닌 표시를 하는 것에 관하여 상대방과 사이에 합의가 있어야 한다.</t>
  </si>
  <si>
    <t>항거할 수 없는 절대적 폭력에 의해 의사결정을 스스로 할 수 있는 여지를 완전히 박탈당한 상태에서 행해진 의사표시는 무효이다.</t>
  </si>
  <si>
    <t>표현대리가 성립하는 경우에는 대리권 남용이 문제될 여지가 없다.</t>
  </si>
  <si>
    <t>보증계약은 요식행위이다.</t>
  </si>
  <si>
    <t>乙과 丙의 증여계약은 공서양속에 반하는 것으로 무효이다.</t>
  </si>
  <si>
    <t>채무불이행으로 인한 손해배상액이 예정되어 있는 경우, 채권자는 채무불이행 사실 및 손해의 발생 사실을 모두 증명하여야 예정배상액을 청구할 수 있다.</t>
  </si>
  <si>
    <t>乙이 甲으로부터 위 1억 8,000만 원의 채권을 양수받은 경우, 丙의 채무는 전부 소멸한다.</t>
  </si>
  <si>
    <t>이행지체를 이유로 채권자에게 전보배상청구가 인정되는 경우, 그 손해액은 원칙적으로 최고할 당시의 시가를 기준으로 산정하여야 한다.</t>
  </si>
  <si>
    <t>채권양도에 대하여 채무자가 이의를 보류하지 않은 승낙을 하였더라도 채무자는 채권이 이미 타인에게 양도되었다는 사실로써 양수인에게 대항할 수 있다.</t>
  </si>
  <si>
    <t>乙과 丙 사이의 합의에 의한 면책적 채무인수가 성립하는 경우, 甲이 乙 또는 丙을 상대로 승낙을 하지 않더라도 그 채무인수의 효력은 발생한다.</t>
  </si>
  <si>
    <t>변제공탁은 채권자의 수익의 의사표시 여부와 상관없이 공탁공무원의 수탁처분과 공탁물보관자의 공탁물수령으로 그 효력이 발생한다.</t>
  </si>
  <si>
    <t>민법은 청약의 구속력에 관한 규정에서 철회할 수 있는 예외를 규정하고 있다.</t>
  </si>
  <si>
    <t>목적이 원시적・객관적 전부불능인 계약을 체결할 때 불능을 알았던 자는 선의・무과실의 상대방이 계약의 유효를 믿었음으로 인해 받은 손해를 배상해야 한다.</t>
  </si>
  <si>
    <t>동시이행관계에 있는 쌍방의 채무 중 어느 한 채무가 이행불능으로 인하여 손해배상채무로 변경된 경우도 다른 채무와 동시이행의 관계에 있다.</t>
  </si>
  <si>
    <t>요약자는 낙약자의 채무불이행을 이유로 제3자의 동의 없이 기본관계를 이루는 계약을 해제할 수 있다.</t>
  </si>
  <si>
    <t>서면에 의하지 아니한 증여의 경우</t>
  </si>
  <si>
    <t>매매의 일방예약이 행해진 경우, 예약완결권자가 상대방에게 매매를 완결할 의사를 표시하면 매매의 효력이 생긴다.</t>
  </si>
  <si>
    <t>공사도급계약의 수급인은 특별한 사정이 없는 한 이행대행자를 사용할 수 있다.</t>
  </si>
  <si>
    <t>여행자는 여행을 시작하기 전에는 여행계약을 해제할 수 없다.</t>
  </si>
  <si>
    <t>부동산소유자인 임대인은 특별한 사정이 없는 한 임대차기간을 영구로 정하는 부동산임대차계약을 체결할 수 있다.</t>
  </si>
  <si>
    <t>제3자와의 약정에 따라 타인의 사무를 처리한 경우, 사무처리자와 그 타인과의 관계에서는 원칙적으로 사무관리가 인정되지 않는다.</t>
  </si>
  <si>
    <t>피성년후견인은 의사능력이 있더라도 단독으로 유효한 대리행위를 할 수 없다.</t>
  </si>
  <si>
    <t>매매계약이 착오로 취소된 경우 특별한 사정이 없는 한 당사자 쌍방의 원상회복의무는 동시이행관계에 있다.</t>
  </si>
  <si>
    <t>乙은 원칙적으로 매매계약을 해제할 수 있는 권한을 가진다.</t>
  </si>
  <si>
    <t>표현대리행위가 성립하는 경우에 상대방에게 과실이 있다면 과실상계의 법리가 유추적용되어 본인의 책임이 경감될 수 있다.</t>
  </si>
  <si>
    <t>불공정한 법률행위에는 무효행위 전환에 관한 제138조가 적용될 수 없다.</t>
  </si>
  <si>
    <t>甲은 허가 전에 乙의 대금지급의무의 불이행을 이유로 매매계약을 해제할 수 없다.</t>
  </si>
  <si>
    <t>기간의 기산점에 관한 제157조의 초일 불산입의 원칙은 당사자의 합의로 달리 정할 수 있다.</t>
  </si>
  <si>
    <t>조건을 붙이고자 하는 의사는 법률행위의 내용으로 외부에 표시되어야 하므로 그 의사표시는 묵시적 방법으로는 할 수 없다.</t>
  </si>
  <si>
    <t>주채무자가 소멸시효 이익을 포기하더라도 보증인에게는 그 효력이 미치지 않는다.</t>
  </si>
  <si>
    <t>양 책임이 성립하기 위해서는 채무자 또는 가해자에게 귀책사유가 있어야 한다는 점에서 공통된다.</t>
  </si>
  <si>
    <t>甲은 乙의 동의를 받지 않는 한 채권자대위권을 행사할 수 없다.</t>
  </si>
  <si>
    <t>甲이 채권자취소권을 행사하기 위해서는 재판외 또는 재판상 이를 행사하여야 한다.</t>
  </si>
  <si>
    <t>X토지에 대한 매매계약이 해제되기 전에 매수인으로부터 X토지를 매수하여 소유권을 취득한 자</t>
  </si>
  <si>
    <t>甲이 6백만원에 대해 丁의 채무와 상계한 경우, 남은 3백만원에 대해 乙과 丙이 丁에게 각각 1백 5십만원의 분할채무를 부담한다.</t>
  </si>
  <si>
    <t>청약자가 청약의 의사표시를 발송한 후 상대방에게 도달 전에 사망한 경우, 그 청약은 효력을 상실한다.</t>
  </si>
  <si>
    <t>매매목적물과 대금은 반드시 계약 체결 당시에 구체적으로 특정할 필요는 없고, 이를 나중에라도 구체적으로 특정할 수 있는 방법과 기준이 정해져 있으면 매매계약은 성립한다.</t>
  </si>
  <si>
    <t>조합계약으로 업무집행자를 정하지 아니한 경우에는 조합원의 3분의 2 이상의 찬성으로써 이를 선임한다.</t>
  </si>
  <si>
    <t>甲과 乙 사이에 체결된 임대차계약에 임대차기간에 관한 약정이 없는 때에는 甲은 언제든지 계약해지의 통고를 할 수 있다.</t>
  </si>
  <si>
    <t>법률상 원인 없는 이득이 있다면 그 이득으로 인해 타인에게 손해가 발생한 것이 아니더라도 그 타인은 부당이득반환청구를 할 수 있다.</t>
  </si>
  <si>
    <t>과실로 불법행위를 방조한 자에 대해서는 공동불법행위가 인정될 수 없다.</t>
  </si>
  <si>
    <t>신의칙은 당사자의 주장이 없더라도 법원이 직권으로 그 위반 여부를 판단할 수 있다.</t>
  </si>
  <si>
    <t>미성년자가 자신의 채무를 면제하는 것만을 내용으로 하는 채무면제계약에 관해 승낙의 의사표시를 하는 것은 법정대리인의 동의가 없어도 확정적으로 유효하다.</t>
  </si>
  <si>
    <t>생전처분으로 재단법인을 설립하는 자가 서면으로 재산출연의 의사표시를 하였다면 착오를 이유로 이를 취소할 수 없다.</t>
  </si>
  <si>
    <t>특정이 가능하다면 증감・변동하는 유동집합물도 하나의 물건으로 다루어질 수 있다.</t>
  </si>
  <si>
    <t>과도한 위약벌 약정은 법원의 직권감액이 가능하므로 선량한 풍속 기타 사회질서에 반할 여지가 없다.</t>
  </si>
  <si>
    <t>통정허위표시에 의하여 생긴 채권을 가압류한 경우, 가압류권자는 선의이더라도 통정허위표시와 관련하여 보호받는 제3자에 해당하지 않는다.</t>
  </si>
  <si>
    <t>대리인이 그 권한내에서 본인을 위한 것임을 표시한 의사표시는 직접 본인에게 효력이 생긴다.</t>
  </si>
  <si>
    <t>대리행위가 강행법규에 위반하여 무효인 경우에도 표현대리가 성립할 수 있다.</t>
  </si>
  <si>
    <t>반사회질서의 법률행위는 당사자가 그 무효를 알고 추인하면 원칙적으로 유효가 된다.</t>
  </si>
  <si>
    <t>연령계산에는 출생일을 산입한다.</t>
  </si>
  <si>
    <t>기한의 이익을 가지고 있는 채무자가 그가 부담하는 담보제공 의무를 이행하지 아니하더라도 그 기한의 이익은 상실되지 않는다.</t>
  </si>
  <si>
    <t>3년의 소멸시효기간이 적용되는 채권이 지급명령에서 확정된 경우, 그 시효기간은 10년으로 한다.</t>
  </si>
  <si>
    <t>선택채권의 경우, 특별한 사정이 없는 한 선택의 효력은 소급하지 않는다.</t>
  </si>
  <si>
    <t>甲의 A에 대한 위 채무가 시효완성으로 소멸한 경우, 乙도 A에 대하여 위 채무 전부를 이행할 의무를 면한다.</t>
  </si>
  <si>
    <t>물권적 청구권도 채권자대위권의 피보전권리가 될 수 있다.</t>
  </si>
  <si>
    <t>중첩적 채무인수는 채권자와 인수인 사이의 합의가 있으면 채무자의 의사에 반하여서도 이루어질 수 있다.</t>
  </si>
  <si>
    <t>고의의 불법행위로 인하여 손해배상채무를 부담하는 자는 그 채무를 수동채권으로 하여 상계하지 못한다.</t>
  </si>
  <si>
    <t>청약은 상대방이 있는 의사표시이지만, 상대방은 청약 당시에 특정되어 있지 않아도 된다.</t>
  </si>
  <si>
    <t>채무자와 인수인 사이에 체결되는 중첩적 채무인수계약은 제3자를 위한 계약이 아니다.</t>
  </si>
  <si>
    <t>당사자는 합의로 계약을 해제할 수 있다.</t>
  </si>
  <si>
    <t>특정물매매계약에 있어 목적물에 하자가 있는 경우, 악의의 매수인은 대금감액청구권을 행사할 수 있다.</t>
  </si>
  <si>
    <t>무상위임의 수임인은 선량한 관리자의 주의의무를 부담한다.</t>
  </si>
  <si>
    <t>채무자가 착오로 변제기 전에 채무를 변제한 경우, 채권자는 이로 인해 얻은 이익을 반환할 의무가 없다.</t>
  </si>
  <si>
    <t>미성년자가 법정대리인의 동의 없이 매매계약을 체결하고 성년이 되기 전에 스스로 채무의 일부를 이행한 경우에는 그 계약을 추인한 것으로 본다.</t>
  </si>
  <si>
    <t>이사에 결원이 생겨 손해가 생길 염려가 있는 경우, 임시이사의 선임에 관한 민법 제63조가 유추적용될 수 있다.</t>
  </si>
  <si>
    <t>법률행위가 대리인에 의해서 행해진 경우, 궁박 상태는 본인을 기준으로 판단하여야 한다.</t>
  </si>
  <si>
    <t>통정허위표시가 성립하기 위해서는 표의자의 진의와 표시의 불일치에 관하여 상대방과의 사이에 합의가 있어야 한다.</t>
  </si>
  <si>
    <t>주물과 종물은 원칙적으로 동일한 소유자에게 속하여야 한다.</t>
  </si>
  <si>
    <t>상대방이 표의자의 착오를 알고 이를 이용한 경우, 표의자에게 중과실이 있으면 그 의사표시를 취소할 수 없다.</t>
  </si>
  <si>
    <t>공유관계가 존속하는 한 공유물분할청구권은 소멸시효에 걸리지 않는다.</t>
  </si>
  <si>
    <t>매매계약 체결의 대리권을 수여받은 대리인은 특별한 사정이 없는 한 중도금을 수령할 권한이 있다.</t>
  </si>
  <si>
    <t>법률행위에 조건이 붙어 있는지 여부는 사실인정의 문제로서 그 조건의 존재를 주장하는 자가 이를 증명하여야 한다.</t>
  </si>
  <si>
    <t>5월 8일, 8월 7일</t>
  </si>
  <si>
    <t>취소할 수 있는 법률행위가 취소된 후에는 무효행위의 추인요건을 갖추더라도 다시 추인될 수 없다.</t>
  </si>
  <si>
    <t>무권대리행위의 목적이 가분적인 경우, 본인은 상대방의 동의 없이 그 일부에 대하여 추인할 수 있다.</t>
  </si>
  <si>
    <t>이행보조자는 채무자에게 종속되어 지시・감독을 받는 관계에 있는 자를 말한다.</t>
  </si>
  <si>
    <t>계약목적이 원시적・객관적 전부불능인 경우, 악의의 매도인은 매수인이 그 계약의 유효를 믿었음으로 인하여 받은 손해를 배상하여야 한다.</t>
  </si>
  <si>
    <t>매매로 인한 소유권이전등기청구권의 양도는 채무자의 동의나 승낙을 받아야 대항력이 생긴다.</t>
  </si>
  <si>
    <t>공동임차인의 차임지급의무는 특별한 사정이 없는 한 불가분채무이다.</t>
  </si>
  <si>
    <t>강제이행과 손해배상청구는 양립할 수 없다.</t>
  </si>
  <si>
    <t>채무자는 특별한 사정이 없는 한 자신의 귀책사유 없음을 이유로 예정배상액의 지급책임을 면할 수 있다.</t>
  </si>
  <si>
    <t>甲이 제3자와의 별도의 위임계약에 따라 乙의 사무를 처리한 경우, 원칙적으로 甲과 乙사이에 사무관리는 성립하지 않는다.</t>
  </si>
  <si>
    <t>피용자의 불법행위로 인하여 사용자책임을 지는 자가 그 피용자에 대하여 행사하는 구상권은 신의칙을 이유로 제한 또는 배제할 수 있다.</t>
  </si>
  <si>
    <t>제3자를 위한 계약에서 요약자는 낙약자의 채무불이행을 이유로 제3자의 동의 없이 기본관계를 이루는 계약을 해제할 수 있다.</t>
  </si>
  <si>
    <t>수인이 공동사업을 경영할 목적 없이 전매차익만을 얻기 위해 상호 협력한 경우, 특별한 사정이 없는 한 이들 사이의 법률관계는 조합에 해당하지 않는다.</t>
  </si>
  <si>
    <t>공사도급계약상 도급인의 지체상금채권과 수급인의 공사대금채권은 특별한 사정이 없는 한 동시이행관계에 있다.</t>
  </si>
  <si>
    <t>甲의 법정대리인이 동의하면 위 계약은 확정적으로 유효하게 되는데 이때 그 동의는 명시적으로 행해져야 한다.</t>
  </si>
  <si>
    <t>사단법인 정관의 법적 성질은 자치법규이다.</t>
  </si>
  <si>
    <t>비법인사단의 대표자로부터 포괄적 위임을 받은 수임인의 대행행위는 비법인사단에 효력을 미치지 않는다.</t>
  </si>
  <si>
    <t>주물과 다른 사람의 소유에 속하는 물건은 종물이 될 수 없다.</t>
  </si>
  <si>
    <t>乙은 甲에 대한 자신의 채권을 보전하기 위하여 甲의 丙에 대한 소유권이전등기의 말소등기청구권을 대위행사할 수 있다.</t>
  </si>
  <si>
    <t>비진의표시에서 '진의'란 특정한 내용의 의사표시를 하고자 하는 표의자의 생각을 말하는 것이지 진정으로 마음속에서 바라는 사항을 뜻하는 것은 아니다.</t>
  </si>
  <si>
    <t>증여계약은 민법 제104조에서의 공정성 여부를 논의할 수 있는 성질의 법률행위가 아니다.</t>
  </si>
  <si>
    <t>대금이 완납되면 매매목적물의 소유권이 이전된다'는 조항이 있는 소유권유보부 매매에서 대금완납은 해제조건이다.</t>
  </si>
  <si>
    <t>법률행위의 일부분이 무효인 경우 원칙적으로 그 일부분만 무효이다.</t>
  </si>
  <si>
    <t>대리인 乙이 자신을 본인 甲이라고 하면서 계약을 체결한 경우 그것이 대리권의 범위 내일지라도 그 계약의 효력은 甲이 아닌 乙에게 귀속된다.</t>
  </si>
  <si>
    <t>변론주의의 원칙상 법원은 당사자가 주장하는 기산점을 기준으로 소멸시효를 계산하여야 한다.</t>
  </si>
  <si>
    <t>우리나라 통화를 외화채권에 변제충당할 때 특별한 사정이 없는 한 채무이행기의 외국환시세에 의해 환산한다.</t>
  </si>
  <si>
    <t>불법행위의 성립에 관한 가해자의 과실과 과실상계에서의 피해자의 과실은 그 의미를 달리 한다.</t>
  </si>
  <si>
    <t>채권자 취소소송에서 원고는 甲이고 피고는 乙과 丙이다.</t>
  </si>
  <si>
    <t>주채무가 민사채무이고 보증채무가 상사채무인 경우 보증채무의 소멸시효기간은 주채무에 따라 결정된다.</t>
  </si>
  <si>
    <t>장래의 채권도 그 권리의 특정이 가능하고 가까운 장래에 발생할 것임이 상당 정도 기대되는 경우에는 채권양도의 대상이 될 수 있다.</t>
  </si>
  <si>
    <t>금액이 서로 다른 채무가 부진정연대관계에 있을 때, 다액채무자가 일부 변제를 하는 경우 변제로 먼저 소멸하는 부분은 다액채무자가 단독으로 채무를 부담하는 부분이다.</t>
  </si>
  <si>
    <t>甲의 편지가 2020.2.5. 乙에게 도달하였다면 甲은 위 청약을 임의로 철회하지 못한다.</t>
  </si>
  <si>
    <t>매도인의 고의・과실은 하자담보책임의 성립요건이 아니다.</t>
  </si>
  <si>
    <t>신축된 건물에 하자가 있는 경우 도급인은 수급인의 하자담보책임에 기하여 계약을 해제할 수 없다.</t>
  </si>
  <si>
    <t>부당이득반환청구권이 요건인 수익자의 이득은 실질적으로 귀속된 이득을 의미한다.</t>
  </si>
  <si>
    <t>사용자와 피용자 간의 고용계약이 무효이더라도 사실상의 지휘・감독관계가 인정된다면 사용자의 배상책임이 성립할 수 있다.</t>
  </si>
  <si>
    <t>물권 - 지배권</t>
  </si>
  <si>
    <t>미성년자가 속임수로써 법정대리인의 동의가 있는 것으로 믿게 하고 자신의 부동산을 매도한 경우, 그 매매계약은 취소할 수 없다.</t>
  </si>
  <si>
    <t>성년의 남자만이 종중의 구성원이 될 수 있다.</t>
  </si>
  <si>
    <t>국립공원의 입장료는 토지의 사용대가로서 민법상의 과실이다.</t>
  </si>
  <si>
    <t>甲과 乙 사이의 매매계약은 무효이다.</t>
  </si>
  <si>
    <t>매도인의 담보책임이 성립하는 경우, 매수인은 매매계약 내용의 중요부분에 착오가 있더라도 이를 취소할 수 없다.</t>
  </si>
  <si>
    <t>권한을 정하지 않은 대리인은 보존행위를 할 수 있다.</t>
  </si>
  <si>
    <t>甲이 매매계약을 추인하더라도 소급효가 없다.</t>
  </si>
  <si>
    <t>무효인 법률행위의 당사자가 그 무효임을 알고 추인한 때에는 새로운 법률행위로 본다.</t>
  </si>
  <si>
    <t>정지조건부 권리의 경우, 조건이 미성취인 동안에는 소멸시효가 진행되지 않는다.</t>
  </si>
  <si>
    <t>음식료채권의 시효기간은 1년이다.</t>
  </si>
  <si>
    <t>甲은 손해액에 대한 증명을 하지 않더라도 乙의 이행지체가 있었던 사실을 증명하면 예정배상액을 청구할 수 있다.</t>
  </si>
  <si>
    <t>과실상계의 비율에 대한 당사자의 주장은 법원을 구속한다.</t>
  </si>
  <si>
    <t>甲의 乙에 대한 채권의 소멸시효가 이미 완성된 경우, 丙은 乙의 甲에 대한 소멸시효의 항변을 원용할 수 없다.</t>
  </si>
  <si>
    <t>채권자가 사해행위 취소소송을 통해 원상회복만을 구하는 경우, 법원은 가액배상을 명할 수 없다.</t>
  </si>
  <si>
    <t>근로자가 임금채권을 양도한 경우, 양수인은 스스로 사용자에 대하여 임금지급을 청구할 수 없다.</t>
  </si>
  <si>
    <t>채권자와 인수인의 계약에 의한 중첩적 채무인수는 채무자의 의사에 반하여 할 수 없다.</t>
  </si>
  <si>
    <t>약정해제권 행사의 경우, 특별한 사정이 없는 한 그 해제의 효과로서 손해배상청구는 할 수 없다.</t>
  </si>
  <si>
    <t>乙은 甲의 승낙이나 부득이한 사유 없이 제3자로 하여금 위임사무를 대신 처리하도록 할 수 없다.</t>
  </si>
  <si>
    <t>특별한 사정이 없는 한 甲은 乙의 안전을 배려하거나 도난을 방지할 보호의무를 부담하지 않는다.</t>
  </si>
  <si>
    <t>화해당사자의 자격에 관한 착오가 있는 경우에는 이를 이유로 취소하지 못한다.</t>
  </si>
  <si>
    <t>타인의 불법행위로 모체 내에서 사망한 태아는 불법행위로 인한 손해배상청구권을 갖지 못한다.</t>
  </si>
  <si>
    <t>채무자가 채무 없음을 알고 임의로 변제한 경우, 그 반환을 청구할 수 있다.</t>
  </si>
  <si>
    <t>인지청구권의 포기는 허용되지 않지만, 인지청구권에는 실효의 법리가 적용될 수 있다.</t>
  </si>
  <si>
    <t>미성년자가 법정대리인으로부터 허락을 얻은 특정한 영업에 관하여는 성년자와 동일한 행위능력이 있다.</t>
  </si>
  <si>
    <t>부재자가 재산관리인을 정한 경우에 부재자의 생사가 분명하지 않은 때에는 법원은 재산관리인을 개임할 수 있다.</t>
  </si>
  <si>
    <t>주물 자체의 효용과 직접 관계없는 물건은 종물이 아니다.</t>
  </si>
  <si>
    <t>법인은 이사를 두어야 한다.</t>
  </si>
  <si>
    <t>무경험'이란 일반적인 생활체험의 부족이 아니라 어느 특정영역에서의 경험부족을 의미한다.</t>
  </si>
  <si>
    <t>대리인에 의한 의사표시의 경우, 착오의 유무는 대리인을 표준으로 결정한다.</t>
  </si>
  <si>
    <t>추인은 제3자의 권리를 해하지 않는 한, 다른 의사표시가 없으면 계약시에 소급하여 그 효력이 생긴다.</t>
  </si>
  <si>
    <t>정지조건이 법률행위 당시 이미 성취된 경우에는 그 법률행위는 무효이다.</t>
  </si>
  <si>
    <t>甲은 乙과의 근로계약을 취소할 수 있다.</t>
  </si>
  <si>
    <t>주채무자가 소멸시효 이익을 포기하면, 보증인에게도 그 효력이 미친다.</t>
  </si>
  <si>
    <t>채권양도의 대항요건인 채무자의 승낙에는 조건을 붙일 수 있다.</t>
  </si>
  <si>
    <t>지시채권의 경우, 기한이 도래한 후 소지인이 그 증거를 제시하여 이행을 청구한 때로부터 지체책임을 진다.</t>
  </si>
  <si>
    <t>특별손해는 예정액을 초과하더라도 원칙적으로 청구할 수 있다.</t>
  </si>
  <si>
    <t>乙이 반대하는 경우에도 甲은 丙에 대하여 채권자대위권을 행사할 수 있다.</t>
  </si>
  <si>
    <t>채무의 이행지가 서로 다른 채권은 상계할 수 없다.</t>
  </si>
  <si>
    <t>합의해제는 당사자 쌍방의 묵시적 합의로 성립할 수 없다.</t>
  </si>
  <si>
    <t>乙은 丙에게 불법행위로 인한 손해배상을 청구할 수 있다.</t>
  </si>
  <si>
    <t>경매절차에서 취득한 물건에 하자가 있는 경우, 그에 대하여 담보책임을 물을 수 없다.</t>
  </si>
  <si>
    <t>토지임차인이 지상물만을 타인에게 양도하더라도 임대차가 종료하면 그 임차인이 매수청구권을 행사할 수 있다.</t>
  </si>
  <si>
    <t>X건물의 소유권은 乙에게 원시적으로 귀속된다.</t>
  </si>
  <si>
    <t>선의의 수익자가 패소한 때에는 그 판결이 확정된 때부터 악의의 수익자로 본다.</t>
  </si>
  <si>
    <t>민법 제758조의 공작물의 소유자책임은 과실책임이다.</t>
  </si>
  <si>
    <t>甲은 乙에게 사용자책임을 주장할 수 있다.</t>
  </si>
  <si>
    <t>소송사건에 증인으로서 증언에 대한 대가를 약정하였다면 그 자체로 반사회질서 행위로서 무효이다.</t>
  </si>
  <si>
    <t>甲이 乙로 하여금 금융기관에 대해 乙을 주채무자로 하는 금전소비대차계약을 체결하도록 하고 甲이 그 원리금을 상환하기로 한 경우, 특별한 사정이 없는 한 위 소비대차계약은 통정허위표시이다.</t>
  </si>
  <si>
    <t>부동산 외의 물건은 모두 동산이다.</t>
  </si>
  <si>
    <t>예금명의자의 위임에 의하여 자금출연자가 대리인으로 예금계약을 체결한 경우, 예금계약의 반환청구권자는 자금출연자이다.</t>
  </si>
  <si>
    <t>미성년후견인이 미성년자에게 특정한 영업을 허락한 경우, 미성년후견인의 대리권은 그 영업과 관련하여서도 여전히 유지된다.</t>
  </si>
  <si>
    <t>권한을 넘은 표현대리에 해당하는지 여부를 판단할 경우, 정당한 이유가 존재하는지 여부는 대리행위 당시를 기준으로 판단한다.</t>
  </si>
  <si>
    <t>무권대리행위가 제3자의 기망이나 문서위조 등 위법행위로 야기된 경우 무권대리인의 상대방에 대한 책임은 부정된다.</t>
  </si>
  <si>
    <t>근로자가 회사의 경영방침에 따라 사직원을 제출하고 퇴사 후 즉시 재입사하여 근로자가 그 퇴직 전후에 걸쳐 실질적인 근로관계의 단절이 없이 계속 근무하였다면 그 사직원 제출은 비진의 의사표시에 해당한다.</t>
  </si>
  <si>
    <t>가분적 법률행위의 일부분에만 취소사유가 있는 경우 나머지 부분이라도 이를 유지하려는 당사자의 가정적 의사가 인정되더라도 그 일부만의 취소는 불가능하다.</t>
  </si>
  <si>
    <t>조건이 법률행위의 당시 이미 성취한 것인 경우에는 그 조건이 정지조건이면 조건 없는 법률행위이다.</t>
  </si>
  <si>
    <t>소멸시효완성에 의한 권리의 소멸은 법원의 직권조사사항이다.</t>
  </si>
  <si>
    <t>乙은 B채권으로 2016. 5. 8. 이후 A채권과 상계할 수 있다.</t>
  </si>
  <si>
    <t>사용자는 근로계약 불이행에 대한 위약금 또는 손해배상액을 예정하는 계약을 체결할 수 있다.</t>
  </si>
  <si>
    <t>채권의 목적이 다른 나라 통화로 지급할 것인 경우, 채무자는 그 국가의 강제통용력 있는 각종 통화로 변제할 수 있다.</t>
  </si>
  <si>
    <t>기한이 정해져 있는 지시채권이나 무기명채권의 경우에는 그 증서의 제시 없이도 이행기에 도달하면 당연히 지체책임을 진다.</t>
  </si>
  <si>
    <t>채권자대위권 행사는 채무자의 무자력을 요하므로, 소유권이전등기청구권은 피보전채권이 될 수 없다.</t>
  </si>
  <si>
    <t>면책적 채무인수에 있어서 전(前)채무자에 대한 보증채무는 그 보증인이 채무인수에 동의하지 않아도 소멸하지 않는다.</t>
  </si>
  <si>
    <t>채권자취소권은 재판상 또는 재판 외에도 행사할 수 있다.</t>
  </si>
  <si>
    <t>丙이 모르는 사이에 주채무의 목적이나 형태가 변경되어 주채무의 실질적 동일성이 상실된 경우에도 丙의 보증채무는 소멸되지 않는다.</t>
  </si>
  <si>
    <t>채권자의 채권증서 반환의무와 채무자의 전부 변제의무</t>
  </si>
  <si>
    <t>乙의 귀책사유로 甲이 계약을 해제한 경우 계약금은 당연히 甲에게 귀속된다.</t>
  </si>
  <si>
    <t>연체차임은 임대차계약 종료 전에 별도의 의사표시 없이 임대차보증금에서 당연히 공제된다.</t>
  </si>
  <si>
    <t>소유권과 같은 물권의 취득뿐만 아니라 채권의 취득도 이득에 해당한다.</t>
  </si>
  <si>
    <t>사용자책임이 성립하려면 사용자가 피용자를 실질적으로 지휘・감독하는 관계에 있어야 한다.</t>
  </si>
  <si>
    <t>가정법원은 본인의 의사에 반하여 성년후견개시의 심판을 할 수 없다.</t>
  </si>
  <si>
    <t>비법인사단의 대표자가 직무에 관하여 타인에게 손해를 가한 경우, 그 비법인사단은 그 손해를 배상하여야 한다.</t>
  </si>
  <si>
    <t>사원총회는 사단법인 및 재단법인의 필수기관이다.</t>
  </si>
  <si>
    <t>종물은 주물의 처분에 따르므로 종물만을 별도로 처분하기로 하는 약정은 무효이다.</t>
  </si>
  <si>
    <t>교환계약의 당사자가 자기 소유 목적물의 시가를 묵비한 것은, 특별한 사정이 없는 한, 위법한 기망행위가 되지 않는다.</t>
  </si>
  <si>
    <t>대리에 있어 본인을 위한 것임을 표시하는 이른바 현명은 명시적으로 하여야 하고 묵시적으로는 할 수 없다.</t>
  </si>
  <si>
    <t>표현대리가 성립되면 무권대리의 성질이 유권대리로 전환된다.</t>
  </si>
  <si>
    <t>무효인 법률행위의 내용에 따른 법률효과를 침해하는 것처럼 보이는 위법행위가 있다면 그로 인한 손해의 배상을 청구할 수 있다.</t>
  </si>
  <si>
    <t>기성조건이 해제조건이면 조건 없는 법률행위로 한다.</t>
  </si>
  <si>
    <t>2016년 6월 3일(금) 0시</t>
  </si>
  <si>
    <t>불확정기한부 권리는 채권자가 기한 도래 사실을 안 때로부터 소멸시효가 진행한다.</t>
  </si>
  <si>
    <t>A의 소유 건물을 B와 C가 공동으로 매수하는 경우, B와 C의 건물인도청구권</t>
  </si>
  <si>
    <t>A는 100만원, C는 300만원, D는 300만원</t>
  </si>
  <si>
    <t>채권자대위권은 절차법상의 권리이다.</t>
  </si>
  <si>
    <t>지명채권의 양도는 채권자의 통지 또는 채무자의 승낙에 의하여 효력이 발생한다.</t>
  </si>
  <si>
    <t>수동채권이 고의의 불법행위로 인한 손해배상청구권인 경우</t>
  </si>
  <si>
    <t>청약과 승낙의 의사표시는 특정인에 대해서만 가능하다.</t>
  </si>
  <si>
    <t>종전의 임차인이 임대인의 동의 아래 임대인으로부터 새로 목적물을 임차한 사람에게 그 목적물을 직접 이전해 준 경우, 임대인은 종전 임차인의 보증금반환청구에 대하여 목적물 반환과 동시에 이행할 것을 항변하지 못한다.</t>
  </si>
  <si>
    <t>해제는 상대방에 대한 의사표시로 하고 상대방에게 도달한 때부터 그 효력이 생긴다.</t>
  </si>
  <si>
    <t>계약금은 해약금으로 추정한다.</t>
  </si>
  <si>
    <t>서면에 의하지 않은 증여의 경우, 수증자는 이를 해제할 수 있다.</t>
  </si>
  <si>
    <t>일시사용을 위한 임대차가 명백한 경우, 임차인에게 부속물매수청구권이 인정되지 않는다.</t>
  </si>
  <si>
    <t>여행자는 여행을 시작하기 전에는 언제든지 여행계약을 해제할 수 있으나, 여행주최자에게 발생한 손해는 배상하여야 한다.</t>
  </si>
  <si>
    <t>선의의 부당이득자의 반환의무</t>
  </si>
  <si>
    <t>일단 성립한 관습법이라도 사회 구성원들이 그 관행의 법적 구속력에 대해 확신을 갖지 않게 되면 그 효력이 부정된다.</t>
  </si>
  <si>
    <t>피성년후견인이 성년후견인의 동의를 얻어 단독으로 체결한 토지매매계약은 취소할 수 없다.</t>
  </si>
  <si>
    <t>이사는 선량한 관리자의 주의로 그 직무를 행하여야 한다.</t>
  </si>
  <si>
    <t>「입목에 관한 법률」에 따라 등기된 입목이나 명인방법을 갖춘 수목의 경우에는 독립하여 거래의 객체가 된다.</t>
  </si>
  <si>
    <t>법률행위가 강행규정에 위반하여 무효인 경우에는 언제나 불법원인급여에 해당한다.</t>
  </si>
  <si>
    <t>乙은 甲의 이름으로 丙을 선임한다.</t>
  </si>
  <si>
    <t>토지매매계약에 있어 토지의 현황・경계에 관한 착오는 법률행위의 중요부분에 관한 착오로 볼 수 없다.</t>
  </si>
  <si>
    <t>의사표시의 효력이 의사의 흠결로 인하여 영향을 받을 경우에 그 사실의 유무는 대리인을 표준하여 결정한다.</t>
  </si>
  <si>
    <t>대리인이 수인인 때에는 각자가 본인을 대리하는 것이 원칙이다.</t>
  </si>
  <si>
    <t>법률이 요구하는 요건인 법정조건은 법률행위의 부관으로서의 조건이 아니다.</t>
  </si>
  <si>
    <t>소멸시효가 완성되면 그 권리는 그 때부터 소멸의 효과가 발생한다.</t>
  </si>
  <si>
    <t>금전채무불이행의 손해배상에 관하여 채권자는 손해의 증명을 요하지 않는다.</t>
  </si>
  <si>
    <t>불법행위로 인한 손해배상채무는 채권자의 청구가 있어야 이행지체가 된다.</t>
  </si>
  <si>
    <t>재심의 소 제기는 채권자대위권의 목적이 될 수 있다.</t>
  </si>
  <si>
    <t>변제충당에 관한 민법 제476조 내지 제479조의 규정은 강행규정이다.</t>
  </si>
  <si>
    <t>승낙자가 청약에 대해 그 일부만을 승낙할 경우 그 청약을 거절하고 새로운 청약을 한 것으로 본다.</t>
  </si>
  <si>
    <t>제3자가 채무자에 대하여 계약의 이익을 받을 의사를 표시하여 제3자에게 권리가 생긴 후에는 당사자는 이를 변경 또는 소멸시키지 못한다.</t>
  </si>
  <si>
    <t>계약이 해제된 경우, 반환할 금전에는 그 받은 날로부터 이자를 가하여야 한다.</t>
  </si>
  <si>
    <t>저당권의 행사로 매매 목적 부동산의 소유권을 취득할 수 없게 된 경우, 악의의 매수인도 매매계약을 해제하고 매도인에 대하여 손해배상을 청구할 수 있다.</t>
  </si>
  <si>
    <t>수인이 공동하여 물건을 임차한 때에는 분할하여 차임지급의무를 부담한다.</t>
  </si>
  <si>
    <t>조합원의 지분에 대한 압류는 그 조합원의 장래의 이익배당 및 지분의 반환을 받을 권리에 대하여 효력이 있다.</t>
  </si>
  <si>
    <t>관리자가 본인의 의사에 반하는 관리행위로 인하여 필요비 또는 유익비를 지출한 때에는 본인의 현존이익의 한도에서 그 상환을 청구할 수 있다.</t>
  </si>
  <si>
    <t>관습법상 미분리과실에 관한 공시방법이 인정된다.</t>
  </si>
  <si>
    <t>상계권</t>
  </si>
  <si>
    <t>甲이 부담 없는 증여를 받는 것은 단독으로 할 수 있다.</t>
  </si>
  <si>
    <t>丙은 甲에 대하여 사용자책임을 물을 수 없다.</t>
  </si>
  <si>
    <t>甲은 2008년 4월 22일 사망한 것으로 간주된다.</t>
  </si>
  <si>
    <t>보험계약자가 다수의 보험계약을 통하여 보험금을 부정취득할 목적으로 체결한 보험계약</t>
  </si>
  <si>
    <t>강박에 의한 의사표시를 한 자는 강박상태에서 추인한 경우에도 그 의사표시를 취소할 수 있다.</t>
  </si>
  <si>
    <t>甲과 丙으로부터 토지매매의 대리권을 수여받은 乙이 쌍방의 허락을 받아 X토지에 대한 매매계약을 체결한 경우</t>
  </si>
  <si>
    <t>정지조건부 증여계약은 그 조건이 성취한 때로부터 그 효력이 생긴다.</t>
  </si>
  <si>
    <t>착오로 인한 의사표시의 취소</t>
  </si>
  <si>
    <t>채권자의 유효한 압류</t>
  </si>
  <si>
    <t>병존적 채무인수는 채무자의 의사에 반해서도 할 수 있다.</t>
  </si>
  <si>
    <t>보증인은 주채무자의 채권에 의한 상계로 채권자에게 대항할 수 있다.</t>
  </si>
  <si>
    <t>상속재산의 분할협의는 채권자취소권의 대상이 될 수 없다.</t>
  </si>
  <si>
    <t>손해배상의 예정액이 부당히 과다한 경우에는 법원은 적당히 감액할 수 있다.</t>
  </si>
  <si>
    <t>상계의 의사표시에는 조건이나 기한을 붙일 수 있다.</t>
  </si>
  <si>
    <t>채무자는 자기에게 과실이 없는 경우에도 특별한 사정이 없는 한 그 이행지체 중에 생긴 손해를 배상하여야 한다.</t>
  </si>
  <si>
    <t>계약금계약은 금전 기타 유가물의 교부를 요건으로 하는 요물계약이다.</t>
  </si>
  <si>
    <t>계약을 합의해제한 후 그 합의해제를 무효화시키고 해제된 계약을 부활시키는 약정은 당사자 사이에서도 허용되지 않는다.</t>
  </si>
  <si>
    <t>대주가 목적물을 차주에게 인도하기 전 파산선고를 받았더라도 소비대차는 효력이 있다.</t>
  </si>
  <si>
    <t>임차인이 임대인에게 유익비상환청구를 하지 않겠다는 약정은 유효하다.</t>
  </si>
  <si>
    <t>당사자 일방이 부득이한 사유 없이 상대방의 불리한 시기에 위임계약을 해지한 때에는 그 손해를 배상하여야 한다.</t>
  </si>
  <si>
    <t>甲과 乙 사이에 공동의 인식이 있어야 공동불법행위가 성립하며, 이 경우 甲과 乙이 丙에게 부담하는 손해배상채무는 불가분채무이다.</t>
  </si>
  <si>
    <t>동업관계라 하더라도 사무집행에 관하여 지휘・감독하는 관계에 있으면 사용자책임이 인정될 수 있다.</t>
  </si>
  <si>
    <t>본인의 지위를 단독으로 상속한 무권대리인은 본인의 지위에서 추인거절권을 행사할 수 있다.</t>
  </si>
  <si>
    <t>채권자대위권은 일신전속권이다.</t>
  </si>
  <si>
    <t>타인의 대리인인 미성년자는 단독으로 대리행위를 할 수 있다.</t>
  </si>
  <si>
    <t>丙이 甲에게 상당한 기간을 정하여 추인 여부의 확답을 최고하였음에도 甲이 그 기간 내에 확답을 발하지 않으면 추인한 것으로 본다.</t>
  </si>
  <si>
    <t>종류물의 매매에는 담보책임에 관한 규정이 적용될 수 없다.</t>
  </si>
  <si>
    <t>乙과 丙 사이의 매매계약은 무효이다.</t>
  </si>
  <si>
    <t>甲이 사기를 이유로 매매계약을 취소할 수 있는 경우에는 이와 별도로 착오를 이유로 취소할 수는 없다.</t>
  </si>
  <si>
    <t>비법인사단에 대해서는 법인의 불법행위책임을 규정한 민법 제35조가 유추적용 되지 않는다.</t>
  </si>
  <si>
    <t>무능력자의 법률행위에 대한 법정대리인의 추인은 그 취소원인이 소멸하기 전에 하여도 효력이 있다.</t>
  </si>
  <si>
    <t>정지조건부 권리는 조건이 성취되지 않은 동안에도 소멸시효가 진행한다.</t>
  </si>
  <si>
    <t>무상임치의 임치인</t>
  </si>
  <si>
    <t>채권양도의 대항요건을 갖추지 못한 상태에서 대여금채권의 양수인이 채무자를 상대로 그 대여금채무의 이행을 구하는 소를 제기한 경우</t>
  </si>
  <si>
    <t>채무이행의 불확정기한이 있는 경우에는 채무자는 이행청구를 받은 때로부터 지체 책임이 있다.</t>
  </si>
  <si>
    <t>금전채권에 대하여 채권자대위권을 행사하는 채권자는 제3채무자의 변제에 대한 수령권한을 가진다.</t>
  </si>
  <si>
    <t>확정채무의 보증인은 피보증채무의 이행기가 연장된 경우에도 원칙적으로 보증채무를 부담한다.</t>
  </si>
  <si>
    <t>채무자와 인수인 사이에 이루어진 병존적 채무인수 약정은 일종의 제3자를 위한 계약이다.</t>
  </si>
  <si>
    <t>상계할 채권이 있는 연대채무자가 상계하지 아니한 때에는 그 채무자의 부담부분에 한하여 다른 연대채무자가 상계할 수 있다.</t>
  </si>
  <si>
    <t>채권자취소의 소의 상대방은 사해행위를 한 채무자와 수익자이다.</t>
  </si>
  <si>
    <t>대여금채무의 변제와 영수증 교부의무</t>
  </si>
  <si>
    <t>도박자금 대여채권을 담보하기 위한 근저당권설정등기가 경료되었을 뿐인 경우, 저당권설정자는 무효인 근저당권설정등기의 말소를 구할 수 있다.</t>
  </si>
  <si>
    <t>무상수치인은 임치물에 대하여 자기재산과 동일한 주의의무를 부담한다.</t>
  </si>
  <si>
    <t>무상위임계약은 각 당사자가 언제든지 해지할 수 있다.</t>
  </si>
  <si>
    <t>공동불법행위자는 피해자에 대하여 부진정연대채무를 부담한다.</t>
  </si>
  <si>
    <t>매매의 목적물이 당사자가 예정하거나 보증한 성질을 결여한 경우에는 목적물의 하자에 해당한다.</t>
  </si>
  <si>
    <t>甲의 乙에 대한 소유권이전의무는 특별한 사정이 없는 한 이행불능이 된다.</t>
  </si>
  <si>
    <t>법률행위의 일부분이 무효인 때에는 원칙적으로 그 부분만이 무효가 된다.</t>
  </si>
  <si>
    <t>甲은 법정대리인의 동의 없이도 乙과의 매매계약을 취소할 수 있고, 이 경우 甲은 300만원만 반환하면 된다.</t>
  </si>
  <si>
    <t>부재자가 스스로 선임한 재산관리인은 일종의 법정대리인이다.</t>
  </si>
  <si>
    <t>丙은 물론이고 甲도 증여계약을 취소할 수 있다.</t>
  </si>
  <si>
    <t>甲과 乙은 동시에 사망한 것으로 간주한다.</t>
  </si>
  <si>
    <t>소멸시효의 대상이 아닌 권리도 실효의 원칙이 적용될 수 있다.</t>
  </si>
  <si>
    <t>가장매매의 매수인으로부터 목적부동산을 다시 매수한 자</t>
  </si>
  <si>
    <t>甲에 대하여 실종선고를 하기 위해서는 1년의 실종기간이 경과하여야 한다.</t>
  </si>
  <si>
    <t>乙은 행위무능력을 이유로 丙과의 매매계약을 취소할 수 있다.</t>
  </si>
  <si>
    <t>주유기는 주유소 건물의 종물이 아니라 부합물이다.</t>
  </si>
  <si>
    <t>행위의 외형상 대표기관의 직무행위라고 인정될 수 있다면, 법령에 위반된 것이라도 직무에 관한 행위에 해당한다.</t>
  </si>
  <si>
    <t>지급명령에서 확정된 채권은 단기의 소멸시효에 해당하더라도 그 소멸시효기간이 10년으로 연장된다.</t>
  </si>
  <si>
    <t>변제</t>
  </si>
  <si>
    <t>甲의 乙에 대한 채권이 乙의 丙에 대한 채권보다 먼저 성립할 필요는 없다.</t>
  </si>
  <si>
    <t>위임은 원칙적으로 당사자 일방의 사망으로 종료한다.</t>
  </si>
  <si>
    <t>채권의 준점유자에 대한 변제는 변제자가 선의・무과실인 경우에 한하여 유효하다.</t>
  </si>
  <si>
    <t>채권자와 채무자 사이에 양도금지 특약이 있는 경우, 채무자는 그 사실을 모르는 양수인에게 그 특약을 주장할 수 있다.</t>
  </si>
  <si>
    <t>법률상 원인 없이 타인의 토지를 점유함으로 인한 부당이득반환채무는 부당이득이 발생한 때부터 지체책임이 있다.</t>
  </si>
  <si>
    <t>甲은 X건물 완성부분의 하자로 인하여 계약의 목적을 달성할 수 없는 때에는 계약을 해제할 수 있다.</t>
  </si>
  <si>
    <t>공동불법행위가 성립하기 위해서는 가해자들 사이에 공모나 공동의 인식이 있어야 한다.</t>
  </si>
  <si>
    <t>매매계약에 관한 비용은 특별한 사정이 없는 한 매수인이 부담한다.</t>
  </si>
  <si>
    <t>채무 전부의 이행기가 도래하였거나 도래하지 아니한 때에는 채무자에게 변제이익이 많은 채무의 변제에 충당한다.</t>
  </si>
  <si>
    <t>B : 3,000만원, C : 4,000만원, D : 2,000만원</t>
  </si>
  <si>
    <t>법인의 대표자가 직무에 관하여 불법행위를 한 경우, 피해자는 법인에 대하여 사용자책임을 주장할 수 없다.</t>
  </si>
  <si>
    <t>해약금에 관한 규정(민법 제565조)은 매매 이외의 유상계약에는 적용되지 않는다.</t>
  </si>
  <si>
    <t>채무불이행이 있더라도 채권자에게 손해가 발생하지 않은 경우, 손해배상청구권은 인정되지 않는다.</t>
  </si>
  <si>
    <t>丙에게 과실이 있더라도 법원은 손해배상액을 산정할 때 이를 참작하지 않을 수 있다.</t>
  </si>
  <si>
    <t>乙이 3기의 차임액을 연체한 경우, 甲은 乙과의 임대차계약을 해지할 수 없다.</t>
  </si>
  <si>
    <t>소멸시효의 기간은 법률행위로 단축할 수 없다.</t>
  </si>
  <si>
    <t>타인의 토지에 대한 매매계약은 원칙적으로 유효이다.</t>
  </si>
  <si>
    <t>丙이 乙에게 수익의 의사표시를 하여야 중도금 및 잔금의 지급을 청구할 수 있다.</t>
  </si>
  <si>
    <t>폭리행위가 성립하기 위해서 피해자의 궁박, 경솔 또는 무경험의 사정을 이용하려는 의사가 폭리자에게 있어야 하는 것은 아니다.</t>
  </si>
  <si>
    <t>채무 없음을 알고 이를 변제한 경우, 변제자는 그 반환을 청구할 수 있다.</t>
  </si>
  <si>
    <t>소송행위를 하는 것을 주목적으로 하는 채권양도는 무효이다.</t>
  </si>
  <si>
    <t>임금은 법정과실이다.</t>
  </si>
  <si>
    <t>손해배상의 예정액이 부당하게 과다한 경우, 법원은 당사자의 주장에 관계없이 직권으로 이를 감액할 수 있다.</t>
  </si>
  <si>
    <t>재산관리인은 선량한 관리자의 주의의무를 다하여 직무를 수행하여야 한다.</t>
  </si>
  <si>
    <t>미성년자는 자신의 노무제공에 따른 임금을 독자적으로 청구할 수 있다.</t>
  </si>
  <si>
    <t>위임계약은 당사자의 사망으로 인하여 원칙적으로 종료하지 않는다.</t>
  </si>
  <si>
    <t>기성조건이 정지조건이면 그 법률행위는 무효이다.</t>
  </si>
  <si>
    <t>채무불이행책임은 이행보조자가 아니라 채무자가 진다.</t>
  </si>
  <si>
    <t>채무자의 법률행위가 통정허위표시인 경우에도 채권자취소권의 대상이 될 수 있다.</t>
  </si>
  <si>
    <t>무능력을 이유로 법률행위가 취소된 경우, 무능력자는 상대방에게 현존이익만을 반환하면 된다.</t>
  </si>
  <si>
    <t>매매대금은 시가에 따르기로 한다는 계약은 무효이다.</t>
  </si>
  <si>
    <t>乙-75만원, 丁-20만원, 戊-5만원</t>
  </si>
  <si>
    <t>아파트 입주자대표회의는 특별한 사정이 없는 한 법인 아닌 사단이다.</t>
  </si>
  <si>
    <t>甲은 제조물책임법상 丙의 신체손해에 대하여 배상책임이 있다.</t>
  </si>
  <si>
    <t>해제</t>
  </si>
  <si>
    <t>보증인이 주채무자에게 사전통지를 하지 않고 채권자에게 변제한 경우, 주채무자는 채권자에게 대항할 수 있는 사유로 보증인에게 대항할 수 있다.</t>
  </si>
  <si>
    <t>甲과 乙사이의 매매계약은 유효하다.</t>
  </si>
  <si>
    <t>법정대리인의 동의 없이 자기 소유의 토지를 매도한 무능력자가 능력자가 된 후 그 대금청구권을 제3자에게 양도하였다면 그 매매계약을 추인한 것으로 본다.</t>
  </si>
  <si>
    <t>민법 제3조에서 '사람은 생존한 동안 권리와 의무의 주체가 된다'고 규정한 것은 자연인의 권리능력의 시기와 종기에 대하여 규정한 것이다.</t>
  </si>
  <si>
    <t>명인방법을 갖춘 수목의 집단은 토지와는 별개의 부동산이 되며, 이에 대하여는 저당권의 설정이 가능하다.</t>
  </si>
  <si>
    <t>명의신탁약정 그 자체는 반사회질서의 법률행위에 해당한다고 볼 수 없다.</t>
  </si>
  <si>
    <t>2013년 3월 23일 24시</t>
  </si>
  <si>
    <t>진의 아닌 의사표시에서 상대방이 표의자의 진의 아님을 알았다면 표의자는 그 의사표시를 취소할 수 있다.</t>
  </si>
  <si>
    <t>대리인이 본인임을 사칭하고 본인을 가장하여 은행과 근저당권설정계약을 체결한 행위에 대하여는 권한을 넘은 표현대리의 법리를 유추적용할 수 없다.</t>
  </si>
  <si>
    <t>기한의 이익은 채권자를 위한 것으로 추정한다.</t>
  </si>
  <si>
    <t>채권을 담보할 목적으로 매매의 형식을 취하여 채권자에게 소유권이전등기를 해주는 행위는 허위표시라고 할 수 없다.</t>
  </si>
  <si>
    <t>무능력자로서 부동산을 매도한 자가 능력자가 된 후 소유권이전등기에 필요한 서류를 교부한 경우</t>
  </si>
  <si>
    <t>시효의 중단은 당사자 및 그 승계인 간에만 효력이 있다.</t>
  </si>
  <si>
    <t>설립허가의 연월일</t>
  </si>
  <si>
    <t>민법 제391조에서의 이행보조자로서의 피용자는 채무자의 지시・감독을 받는 관계에 있어야 한다.</t>
  </si>
  <si>
    <t>乙은 다른 약정이 없는 한 A를 자신의 농장에서 甲에게 인도하면 된다.</t>
  </si>
  <si>
    <t>매도인이 매수인으로부터 매매대금을 약정한 기일에 지급받지 못한 결과 제3자로부터 부동산을 매수하고 그 잔대금을 지급하지 못하여 계약금을 몰수당함으로써 입은 손해</t>
  </si>
  <si>
    <t>이행청구</t>
  </si>
  <si>
    <t>채권과 채무가 동일인에게 귀속하더라도 그 채권이 제3자의 권리의 목적이 된 때에는 소멸하지 않는다.</t>
  </si>
  <si>
    <t>0원</t>
  </si>
  <si>
    <t>기존채권이 제3자에게 이전되어 채권양도인지 경개인지 당사자의 의사가 명백하지 않은 경우, 일반적으로 채권의 양도로 보아야 한다.</t>
  </si>
  <si>
    <t>乙의 무단 양도를 이유로 甲이 임대차계약을 해지하지 않는 한 甲은 乙에 대하여 여전히 차임청구권을 가진다.</t>
  </si>
  <si>
    <t>채권의 목적이 어느 종류의 다른 나라 통화로 지급할 것인 경우에 그 통화가 변제기에 강제통용력을 잃은 때에는 우리나라 통화로 변제하여야 한다.</t>
  </si>
  <si>
    <t>甲은 丙에게 손해의 전액에 대한 배상을 청구할 수 있다.</t>
  </si>
  <si>
    <t>선의의 수익자는 그 받은 이익이 현존하는 한도에서 부당이득 반환을 하면 된다.</t>
  </si>
  <si>
    <t>신의성실의 원칙은 법률행위의 해석기준이 될 수 있다.</t>
  </si>
  <si>
    <t>무효인 명의신탁약정에 기하여 경료된 타인 명의의 등기는 불법원인급여에 해당한다.</t>
  </si>
  <si>
    <t>심신상실의 상태에 있는 자는 의사능력을 회복하더라도 그 자신이 단독으로 금치산선고를 청구할 수 없다.</t>
  </si>
  <si>
    <t>임의대리에서 본인은 원인된 법률관계가 종료하기 전이라도 언제든지 수권행위를 철회할 수 있다.</t>
  </si>
  <si>
    <t>대표권이 없는 이사가 그 직무에 관하여 타인에게 손해를 가한 경우에도 법인의 불법행위가 성립한다.</t>
  </si>
  <si>
    <t>미성년자도 임의대리인이 될 수 있다.</t>
  </si>
  <si>
    <t>채권이 이중으로 양도된 경우에 양수인 상호간의 우열은 통지 또는 승낙에 붙여진 확정일자의 선후에 의하여 결정한다.</t>
  </si>
  <si>
    <t>조건의 성취가 미정인 권리도 처분할 수 있다.</t>
  </si>
  <si>
    <t>재판상의 청구가 있더라도 소송의 각하가 있으면 시효중단의 효력이 없다.</t>
  </si>
  <si>
    <t>당사자가 불확정한 사실이 발생한 때를 이행기로 정한 경우에는 그 사실이 발생한 때 또는 발생이 불가능하게 된 때에 이행기가 도래한다.</t>
  </si>
  <si>
    <t>소멸시효에는 중단이 인정되지만, 제척기간에는 중단이 인정되지 않는다.</t>
  </si>
  <si>
    <t>선택채권에서 특정의 대상이 되는 두 개의 급부 중 하나가 원시적 불능인 경우, 잔존하는 급부에 대한 채권도 소멸한다.</t>
  </si>
  <si>
    <t>이행보조자는 채권관계의 당사자가 아니므로 채무불이행책임을 지지 않으며, 불법행위책임의 요건이 충족되는 경우에도 별도의 불법행위책임을 물을 수 없다.</t>
  </si>
  <si>
    <t>2009년 6월 12일 24시(자정)</t>
  </si>
  <si>
    <t>연대보증인은 최고・검색의 항변권이 없다.</t>
  </si>
  <si>
    <t>임의대리인이 본인의 지명에 의하여 복대리인을 선임한 경우, 본인의 승낙이 있거나 부득이한 사유로 복대리인을 선임한 경우보다 본인에 대한 대리인의 그 선임・감독상 책임이 감경된다.</t>
  </si>
  <si>
    <t>대위변제자는 채권자의 권리를 취득하는 것이 아니라 변제자의 명의로 그 권리를 행사할 권한을 갖는 데 불과하다.</t>
  </si>
  <si>
    <t>채무자와 인수인 사이의 계약으로 인한 중첩적(병존적) 채무인수는 제3자를 위한 계약으로 볼 수 있다.</t>
  </si>
  <si>
    <t>사단법인의 사원의 지위는 규약이나 관행에 의하더라도 양도하거나 상속할 수 없다.</t>
  </si>
  <si>
    <t>미성년자가 책임능력이 있는 경우에도 감독의무자는 과실 있는 감독의무위반과 손해사이에 상당인과관계가 있는 한 불법행위책임을 부담한다.</t>
  </si>
  <si>
    <t>甲은 戊에게 발생한 재산상의 손해에 대하여 배상책임을 진다.</t>
  </si>
  <si>
    <t>증여계약 후 증여자의 재산상태가 현저히 변경되고 그 이행으로 인하여 생계에 중대한 영향을 미칠 경우에는 증여자는 계약을 해제할 수 있다.</t>
  </si>
  <si>
    <t>상대방 있는 의사표시는 원칙적으로 그 통지가 상대방에 도달한 때로부터 그 효력이 생긴다.</t>
  </si>
  <si>
    <t>법률행위의 일부가 무효인 때에는 그 전부를 무효로 함이 원칙이다.</t>
  </si>
  <si>
    <t>정지조건부 법률행위의 당사자가 조건성취의 효력을 그 성취전으로 소급시키기로 합의하더라도 이는 효력이 없다.</t>
  </si>
  <si>
    <t>가족법상의 법률행위는 재산권을 목적으로 하더라도 채권자취소권의 대상이 되지 않는다.</t>
  </si>
  <si>
    <t>사기에 의한 의사표시는 의사와 표시의 불일치가 없다는 점에서 착오에 의한 의사표시와 구별된다.</t>
  </si>
  <si>
    <t>보증채무발생의 원인이 되는 법률행위는 주채무자와 보증인의 계약이다.</t>
  </si>
  <si>
    <t>면책적 채무인수가 있는 경우 인수채무의 소멸시효는 채무인수와 동시에 이루어진 채무승인에 따라 채무인수일로부터 새로이 진행한다.</t>
  </si>
  <si>
    <t>오납한 조세에 대한 부당이득반환청구권을 실현하기 위하여 과세처분의 취소 또는 무효를 구하는 소의 제기는 소멸시효의 중단사유이다.</t>
  </si>
  <si>
    <t>채무불이행에 관한 손해배상액이 예정된 경우 채권자는 채무불이행 사실만 증명하면 손해발생과 손해액을 증명함이 없이 예정액을 청구할 수 있다.</t>
  </si>
  <si>
    <t>기간에 관한 민법규정은 공법관계에도 적용된다.</t>
  </si>
  <si>
    <t>금전채무불이행으로 인한 손해배상을 청구하는 자는 손해를 입증하여야 한다.</t>
  </si>
  <si>
    <t>대리권 없이 타인의 부동산을 매도하고 소유권이전등기를 마쳐준 자가 그 부동산을 단독상속한 후 소유자의 지위에서 자신의 대리행위가 무효임을 주장하여 등기말소를 구하는 것은 신의칙상 허용되지 않는다.</t>
  </si>
  <si>
    <t>예약완결권은 예약자의 상대방이 매매예약 완결의 의사표시를 하여 매매의 효력이 생기게 하는 권리로서 형성권이다.</t>
  </si>
  <si>
    <t>타인의 권리매매로 인한 담보책임의 내용인 손해배상은 신뢰이익의 배상을 원칙으로 한다.</t>
  </si>
  <si>
    <t>차임감액청구권</t>
  </si>
  <si>
    <t>조합의 채무자는 조합원에 대한 채권과 자신의 채무를 상계할 수 있다.</t>
  </si>
  <si>
    <t>유동적 무효의 상태에 있는 토지거래계약의 당사자는 토지거래계약의 효력을 완성시키기 위한 상대방의 협력의무의 불이행을 이유로 토지거래계약을 해제할 수 있다.</t>
  </si>
  <si>
    <t>법률의 금지에 위반하더라도 선량한 풍속 기타 사회질서에 반하지 않으면 불법이라고 할 수 없다.</t>
  </si>
  <si>
    <t>사용자책임이 인정되기 위하여는 피용자의 행위가 불법행위의 성립요건을 충족하여야 한다.</t>
  </si>
  <si>
    <t>만 19세로 성년이 된다.</t>
  </si>
  <si>
    <t>매매계약 체결 후 목적물의 가격이 급등하여 약정한 매매대금의 지급이 현저하게 균형을 잃은 이행이 되게 되면 매도인은 계약을 해제할 수 있다.</t>
  </si>
  <si>
    <t>재산관리인의 처분행위에 대한 법원의 허가는 장래의 처분행위에 대해서 뿐만 아니라, 과거의 처분행위에 대한 추인을 위해서도 할 수 있다.</t>
  </si>
  <si>
    <t>이사의 직무대행자가 법원의 허가를 얻지 아니하고 법인의 통상사무에 속하지 않는 행위를 한 경우, 법인은 제3자에 대하여 책임이 없다.</t>
  </si>
  <si>
    <t>상계적상이 인정되면 별도의 의사표시가 없더라도 상계의 효과가 발생한다.</t>
  </si>
  <si>
    <t>허위표시행위의 당사자는 물론 제3자도 그 무효를 주장할 수 있다.</t>
  </si>
  <si>
    <t>정관의 변경사항을 등기해야 하는 경우, 이를 등기하지 않으면 제3자에게 대항할 수 없다.</t>
  </si>
  <si>
    <t>종물은 주물의 구성부분이 아닌 독립한 물건이어야 한다.</t>
  </si>
  <si>
    <t>甲의 대표권에 관하여 정관에 제한이 있는 경우, 그러한 제한을 위반한 甲의 대표행위에 대하여 상대방 乙이 대표권 제한 사실을 알았다면 甲의 대표행위는 A에게 효력이 없다.</t>
  </si>
  <si>
    <t>지명채권의 양도에 대한 채무자의 승낙은 채권양도 사실을 승인하는 의사를 표명하는 행위로 조건을 붙여서 할 수 없다.</t>
  </si>
  <si>
    <t>제척기간이 도과하였는지 여부는 법원이 직권으로 조사하여 고려할 수 없고, 당사자의 주장에 따라야 한다.</t>
  </si>
  <si>
    <t>법정대리인이 미성년자에게 특정한 영업을 허락한 경우, 그 영업 관련 행위에 대한 법정대리인의 대리권은 소멸한다.</t>
  </si>
  <si>
    <t>과실로 착오에 빠져 의사표시를 한 후 착오를 이유로 이를 취소한 자는 상대방에게 신뢰이익을 배상하여야 한다.</t>
  </si>
  <si>
    <t>통정허위표시로 행해진 부동산 매매계약이 사해행위로 인정되는 경우, 채권자취소권의 대상이 될 수 있다.</t>
  </si>
  <si>
    <t>사기로 인한 의사표시의 취소는 기망행위의 위법성을 요건으로 한다.</t>
  </si>
  <si>
    <t>민법 제135조의 상대방에 대한 무권대리인의 책임은 무과실책임이다.</t>
  </si>
  <si>
    <t>증여계약은 낙성계약이다.</t>
  </si>
  <si>
    <t>乙의 丙에 대한 증여의 의사표시는 비진의표시로서 무효이다.</t>
  </si>
  <si>
    <t>특별한 사정으로 인한 손해배상에서 채무자가 그 사정을 알았거나 알 수 있었는지의 여부는 계약체결 당시를 기준으로 판단한다.</t>
  </si>
  <si>
    <t>乙이 甲에 대하여 9,000만 원의 반대채권이 있으나 乙이 상계를 하지 않은 경우, 丙은 그 반대채권 전부를 자동채권으로 하여 甲의 채권과 상계할 수 있다.</t>
  </si>
  <si>
    <t>중도금지급기일을 '2층 골조공사 완료시'로 한 경우, 그 공사가 완료되었더라도 채무자가 그 완료사실을 알지 못하였다면 특별한 사정이 없는 한 지체책임을 지지 않는다.</t>
  </si>
  <si>
    <t>채권양도에 있어서 주채무자에 대하여 대항요건을 갖추었다면 보증인에 대하여도 그 효력이 미친다.</t>
  </si>
  <si>
    <t>乙과 丙 사이의 합의에 의한 이행인수가 성립한 경우, 丙이 그에 따라 자신의 출연으로 乙의 채무를 변제하였다면 특별한 사정이 없는 한 甲의 채권을 법정대위할 수 있다.</t>
  </si>
  <si>
    <t>기존 채권・채무의 당사자가 그 목적물을 소비대차의 목적으로 할 것을 약정한 경우, 당사자의 의사가 명백하지 않을 때에는 특별한 사정이 없는 한 그 약정은 경개가 아닌 준소비대차로 보아야 한다.</t>
  </si>
  <si>
    <t>승낙기간을 정하지 않은 청약은 청약자가 상당한 기간 내에 승낙 통지를 받지 못한 때에 그 효력을 잃는다.</t>
  </si>
  <si>
    <t>목적물이 타인의 소유에 속하는 매매계약은 원시적 불능인 급부를 내용으로 하는 것으로 당연무효이다.</t>
  </si>
  <si>
    <t>선이행의무 있는 중도금지급을 지체하던 중 매매계약이 해제되지 않고 잔대금 지급기일이 도래하면, 특별한 사정이 없는 한 중도금과 이에 대한 지급일 다음 날부터 잔대금 지급일까지의 지연손해금 및 잔대금 지급의무와 소유권이전의무는 동시이행관계이다.</t>
  </si>
  <si>
    <t>낙약자는 기본관계에 기한 항변으로 계약의 이익을 받을 제3자에게 대항할 수 있다.</t>
  </si>
  <si>
    <t>수증자의 증여자에 대한 범죄행위가 있는 경우</t>
  </si>
  <si>
    <t>매매계약에 관한 비용은 다른 약정이 없는 한 매수인이 부담한다.</t>
  </si>
  <si>
    <t>수급인의 담보책임에 관한 제척기간은 재판상 또는 재판 외의 권리행사기간이다.</t>
  </si>
  <si>
    <t>여행대금지급시기에 관해 약정이 없는 경우, 여행자는 다른 관습이 있더라도 여행 종료 후 지체 없이 여행대금을 지급하여야 한다.</t>
  </si>
  <si>
    <t>부동산임차인은 특별한 사정이 없는 한 지출한 필요비의 한도에서 차임의 지급을 거절할 수 있다.</t>
  </si>
  <si>
    <t>타인의 사무처리가 본인의 의사에 반한다는 것이 명백하다면 특별한 사정이 없는 한 사무관리는 성립하지 않는다.</t>
  </si>
  <si>
    <t>가정법원은 한정후견개시의 심판을 할 때 본인의 의사를 고려하여야 한다.</t>
  </si>
  <si>
    <t>동기의 착오가 상대방의 부정한 방법에 의하여 유발된 경우, 동기가 표시되지 않았더라도 표의자는 착오를 이유로 의사표시를 취소할 수 있다.</t>
  </si>
  <si>
    <t>乙이 매매계약에 따라 丙으로부터 중도금을 수령하였으나 이를 甲에게 현실로 인도하지 않았더라도 특별한 사정이 없는 한 丙은 중도금 지급채무를 면한다.</t>
  </si>
  <si>
    <t>권한을 넘은 표현대리에 관한 제126조의 제3자는 당해 표현대리행위의 직접 상대방만을 의미한다.</t>
  </si>
  <si>
    <t>선량한 풍속 기타 사회질서에 위반한 사항을 내용으로 하는 법률행위의 무효는 이를 주장할 이익이 있는 자라면 누구든지 무효를 주장할 수 있다.</t>
  </si>
  <si>
    <t>甲의 허가신청절차 협력의무와 乙의 대금지급의무는 동시이행관계에 있다.</t>
  </si>
  <si>
    <t>정관상 사원총회의 소집통지를 1주간 전에 발송하여야 하는 사단법인의 사원총회일이 2023년 6월 2일(금) 10시인 경우, 총회소집통지는 늦어도 2023년 5월 25일 중에는 발송하여야 한다.</t>
  </si>
  <si>
    <t>시효중단의 효력 있는 승인에는 상대방의 권리에 관한 처분의 능력이나 권한 있음을 요하지 않는다.</t>
  </si>
  <si>
    <t>양 책임이 성립하는 경우, 채권자나 피해자에게 과실이 있다면 과실상계가 적용된다는 점에서 공통된다.</t>
  </si>
  <si>
    <t>甲의 乙에 대한 채권이 금전채권인 경우, 甲은 丙에게 직접 자기에게 이행하도록 청구하여 상계적상에 있는 자신의 채권과 상계할 수 없다.</t>
  </si>
  <si>
    <t>甲이 채권자취소권을 행사하기 위해서는 乙 및 丙의 사해의사 및 사해행위에 대한 악의를 증명하여야 한다.</t>
  </si>
  <si>
    <t>X토지에 대한 매매계약이 해제되기 전에 매수인의 X토지에 저당권을 취득한 자</t>
  </si>
  <si>
    <t>甲이 6백만원에 대해 丁의 채무와 상계한 경우, 甲, 乙, 丙은 丁에게 3백만원의 연대채무를 부담한다.</t>
  </si>
  <si>
    <t>명예퇴직의 신청이 근로계약에 대한 합의해지의 청약에 해당하는 경우, 이에 대한 사용자의 승낙으로 근로계약이 합의해지되기 전에는 근로자가 임의로 그 청약의 의사표시를 철회할 수 있다.</t>
  </si>
  <si>
    <t>매도인이 매수인에게 현존하는 타인 소유의 물건을 매도하기로 약정한 경우, 그 매매계약은 원시적 불능에 해당하여 효력이 없다.</t>
  </si>
  <si>
    <t>조합의 업무집행자가 수인인 때에는 그 과반수로써 업무집행을 결정한다.</t>
  </si>
  <si>
    <t>乙이 甲의 동의없이 X토지를 전대한 경우, 甲은 원칙적으로 乙과의 임대차 계약을 해지할 수 있다.</t>
  </si>
  <si>
    <t>변제기에 있지 아니한 채무를 착오 없이 변제한 때에는 그 변제한 것의 반환을 청구할 수 있다.</t>
  </si>
  <si>
    <t>고의로 심신상실을 초래한 자는 타인에게 심신상실 중에 가한 손해를 배상할 책임이 있다.</t>
  </si>
  <si>
    <t>사정변경의 원칙에 기한 계약의 해제가 인정되는 경우, 그 사정에는 계약의 기초가 된 객관적 사정만이 포함된다.</t>
  </si>
  <si>
    <t>법정대리인이 미성년자에게 범위를 정하여 재산의 처분을 허락하는 것은 묵시적으로도 가능하다.</t>
  </si>
  <si>
    <t>생전처분으로 지명채권을 출연하여 재단법인을 설립하는 경우, 그 지명채권은 대외적으로는 양도통지나 채무자의 승낙이 행해진 때 법인의 재산이 된다.</t>
  </si>
  <si>
    <t>타인의 토지에 권원 없이 자신의 수목을 식재한 자가 이를 부단히 관리하고 있다면 그 수목은 토지에 부합하지 않는다.</t>
  </si>
  <si>
    <t>부동산 매매계약에서 계약금을 수수한 후 당사자가 매매계약의 이행에 착수하기 전에 제3자가 매도인을 적극 유인하여 해당 부동산을 매수하였다면 매도인과 제3자 사이의 그 매매계약은 반사회질서의 법률행위가 아니다.</t>
  </si>
  <si>
    <t>통정허위표시인 법률행위는 무효이므로 채권자취소권의 대상인 사해행위로 될 수 없다.</t>
  </si>
  <si>
    <t>복대리인은 본인에 대하여 대리인과 동일한 권리의무가 있다.</t>
  </si>
  <si>
    <t>복임권이 없는 임의대리인이 선임한 복대리인의 행위에도 표현대리가 성립할 수 있다.</t>
  </si>
  <si>
    <t>담보의 제공은 법정추인사유에 해당하지 않는다.</t>
  </si>
  <si>
    <t>월의 처음으로부터 기간을 기산하지 아니하는 때에는 최후의 월에서 그 기산일에 해당한 날의 익일로 기간이 만료한다.</t>
  </si>
  <si>
    <t>해제조건 있는 법률행위는 조건이 성취한 때로부터 그 효력이 생긴다.</t>
  </si>
  <si>
    <t>채권자가 동일한 목적을 달성하기 위하여 복수의 채권을 가지고 있는 경우, 특별한 사정이 없으면 그중 하나의 채권을 행사한 것만으로는 다른 채권에 대한 시효중단의 효력은 없다.</t>
  </si>
  <si>
    <t>금전으로 가액을 산정할 수 없는 것이라도 채권의 목적으로 할 수 있다.</t>
  </si>
  <si>
    <t>甲이 A에게 2억 원의 상계할 채권을 가지고 있음에도 상계를 하지 않는 경우, 乙은 甲이 A에게 가지는 2억 원의 채권으로 위 채무 전부를 상계할 수 있다.</t>
  </si>
  <si>
    <t>피보전채권의 이행기가 도래하기 전이라도 채권자는 법원의 허가를 얻어 채무자의 제3자에 대한 채권자취소권을 대위행사할 수 있다.</t>
  </si>
  <si>
    <t>채무자와 인수인의 계약에 의한 면책적 채무인수는 채권자의 승낙이 없더라도 면책적 채무인수의 효력이 있다.</t>
  </si>
  <si>
    <t>자동채권의 변제기는 도래하였으나 수동채권의 변제기가 도래하지 않은 경우에는 상계를 할 수 없다.</t>
  </si>
  <si>
    <t>관습에 의하여 승낙의 통지가 필요하지 않은 경우에 계약은 승낙의 의사표시로 인정되는 사실이 있는 때에 성립한다.</t>
  </si>
  <si>
    <t>제3자를 위한 도급계약에서 수익의 의사표시를 한 제3자가 그 계약에 따라 완성된 목적물의 하자로 인해 손해를 입은 경우, 특별한 사정이 없는 한 낙약자는 그 제3자에게 해당 손해를 배상할 의무가 있다.</t>
  </si>
  <si>
    <t>채권자가 채무액을 현저히 초과하는 금액의 지급을 최고하고, 이 금액을 지급하지 않으면 수령하지 않을 것이 분명한 경우에 이 최고에 터잡은 채권자의 해제는 무효이다.</t>
  </si>
  <si>
    <t>특정물의 수량지정매매에서 수량이 부족한 경우, 악의의 매수인은 계약한 날로부터 1년 이내에 대금감액청구권을 행사하여야 한다.</t>
  </si>
  <si>
    <t>수임인은 부득이한 사유가 있으면 제3자로 하여금 자기에 갈음하여 위임사무를 처리하게 할 수 있다.</t>
  </si>
  <si>
    <t>수익자가 이익을 받은 후 법률상 원인없음을 안 때에는 그 이익을 받은 날로부터 악의의 수익자로서 이익반환의 책임이 있다.</t>
  </si>
  <si>
    <t>피성년후견인이 속임수로써 상대방으로 하여금 성년후견인의 동의가 있는 것으로 믿게 하여 체결한 토지매매계약은 제한능력을 이유로 취소할 수 없다.</t>
  </si>
  <si>
    <t>법인 아닌 사단이 그 명의로 총유재산에 관한 소송을 제기할 때에는 특별한 사정이 없는 한 사원총회의 결의를 거쳐야 한다.</t>
  </si>
  <si>
    <t>불공정한 법률행위의 무효는 선의의 제3자에게 대항할 수 없다.</t>
  </si>
  <si>
    <t>통정허위표시로 무효인 법률행위는 채권자취소권의 대상이 될 수 있다.</t>
  </si>
  <si>
    <t>착오의 존재와 그 착오가 법률행위의 중요부분에 관한 것이라는 점은 표의자의 상대방이 증명하여야 한다.</t>
  </si>
  <si>
    <t>소멸시효는 그 기산일에 소급하여 효력이 생긴다.</t>
  </si>
  <si>
    <t>권한의 정함이 없는 대리인은 기한이 도래한 채무를 변제할 수 있다.</t>
  </si>
  <si>
    <t>조건의 성취가 미정한 권리의무는 일반규정에 의하여 담보로 할 수 없다.</t>
  </si>
  <si>
    <t>5월 8일, 8월 9일</t>
  </si>
  <si>
    <t>무효행위의 추인은 묵시적으로 이루어질 수 있다.</t>
  </si>
  <si>
    <t>계약체결 당시 상대방이 대리인의 대리권 없음을 알았다는 사실에 관한 주장・증명책임은 무권대리인에게 있다.</t>
  </si>
  <si>
    <t>동일한 사실관계에 기하여 채무자와 이행보조자가 각 채무불이행책임과 불법행위책임을 지는 경우, 이들의 책임은 연대채무관계에 있다.</t>
  </si>
  <si>
    <t>계약목적이 원시적・주관적 전부불능인 경우, 선의의 매수인은 악의의 매도인에게 계약상 급부의 이행을 청구할 수 있다.</t>
  </si>
  <si>
    <t>중첩적 채무인수는 채권자와 채무인수인 사이에 합의가 있더라도 채무자의 의사에 반해서는 이루어질 수 없다.</t>
  </si>
  <si>
    <t>특별한 사정이 없는 한 연대채무자 중 1인이 채무 일부를 면제받더라도 그가 지급해야 할 잔존 채무액이 그의 부담부분을 초과한다면, 다른 연대채무자는 채무 전액을 부담한다.</t>
  </si>
  <si>
    <t>채권자의 단순한 부주의라도 그것이 손해확대의 원인이 되는 경우, 이를 이유로 과실상계 할 수 있다.</t>
  </si>
  <si>
    <t>손해배상액의 예정에는 특별한 사정이 없는 한 통상손해뿐만 아니라 특별손해도 포함된다.</t>
  </si>
  <si>
    <t>사무관리가 성립되기 위한 甲의 사무관리의사는 甲 자신을 위한 의사와 병존할 수 있다.</t>
  </si>
  <si>
    <t>공동불법행위에서 과실상계를 하는 경우, 피해자에 대한 공동불법행위자 전원의 과실과 피해자의 공동불법행위자 전원에 대한 과실을 전체적으로 평가하여야 한다.</t>
  </si>
  <si>
    <t>계약이 해제된 경우 금전을 수령한 자는 해제한 날부터 이자를 가산하여 반환하여야 한다.</t>
  </si>
  <si>
    <t>조합채무자가 조합원들 중의 1인에 대하여 개인 채권을 가지고 있는 경우, 그 채권과 조합에 대한 채무를 서로 대등액에서 상계할 수 없다.</t>
  </si>
  <si>
    <t>선이행의무자가 이행을 지체하는 동안 상대방의 채무가 이행기에 도래한 경우, 특별한 사정이 없는 한 양 당사자의 의무는 동시이행관계에 있지 않다.</t>
  </si>
  <si>
    <t>乙은 계약체결 시 甲이 미성년자임을 알았더라도 추인이 있기 전까지 자신의 의사표시를 철회할 수 있다.</t>
  </si>
  <si>
    <t>청산종결등기가 행해졌다면 청산사무가 아직 남아있다 하더라도 그 법인의 권리능력은 소멸된다.</t>
  </si>
  <si>
    <t>비법인사단의 대표자의 대표권이 정관으로 제한된 경우, 비법인 사단은 그 등기가 없더라도 그 거래상대방이 악의라면 이로써 대항할 수 있다.</t>
  </si>
  <si>
    <t>주물을 처분할 때 당사자 간의 특약으로 종물만을 별도로 처분할 수도 있다.</t>
  </si>
  <si>
    <t>甲과 丙 간의 가장매매는 무효이므로 乙은 이것이 사해행위라는 것을 이유로 하여 채권자취소권을 행사할 수 없다.</t>
  </si>
  <si>
    <t>법률상의 장애로 자기명의로 대출받을 수 없는 자를 위하여 대출금채무자로서 명의를 빌려준 자는 특별한 사정이 없는 한 채무부담의사를 가지지 않으므로 그가 행한 대출계약상의 의사표시는 비진의표시이다.</t>
  </si>
  <si>
    <t>급부와 반대급부가 현저히 균형을 잃은 경우에는 법률행위가 궁박, 경솔, 무경험으로 인해 이루어진 것으로 추정된다.</t>
  </si>
  <si>
    <t>선량한 풍속에 반하는 불법조건이 붙은 법률행위는 조건 없는 법률행위가 된다.</t>
  </si>
  <si>
    <t>제한능력자가 법률행위를 취소한 경우 원칙적으로 그가 받은 이익전부를 상환하여야 한다.</t>
  </si>
  <si>
    <t>대리행위를 한 자에게 대리권이 있다는 점에 대한 증명책임은 대리행위의 효과를 주장하는 자에게 있다.</t>
  </si>
  <si>
    <t>매수인이 목적부동산을 인도받아 계속 점유하고 있다면 그 소유권이전등기청구권의 소멸시효는 진행하지 않는다.</t>
  </si>
  <si>
    <t>금전채무의 이행지체로 발생하는 지연손해금의 성질은 손해배상금이지 이자가 아니다.</t>
  </si>
  <si>
    <t>피해자에게 과실이 있는 경우 가해자가 과실상계를 주장하지 않았더라도 법원은 손해배상액을 정함에 있어서 이를 참작하여야 한다.</t>
  </si>
  <si>
    <t>원상회복으로 丙이 금전을 지급하여야 하는 경우에 甲은 직접 자신에게 이를 지급할 것을 청구할 수 있다.</t>
  </si>
  <si>
    <t>보증은 불확정한 다수의 채무에 대하여도 할 수 있다.</t>
  </si>
  <si>
    <t>채권의 양도를 승낙함에 있어서는 이의를 보류할 수 있고 양도금지의 특약이 있는 채권양도를 승낙하면서 조건을 붙일 수도 있다.</t>
  </si>
  <si>
    <t>채권의 준점유자에게 한 변제는 변제자가 선의이며 과실 없음을 입증하면 채권자에 대하여 효력이 있다.</t>
  </si>
  <si>
    <t>甲의 편지가 2020.2.5. 乙에게 도달하였다면 그 사이 甲이 사망하였더라도 위 청약은 유효하다.</t>
  </si>
  <si>
    <t>악의의 매수인에 대해서 매도인은 하자담보책임을 지지 않는다.</t>
  </si>
  <si>
    <t>수급인의 하자담보책임에 관한 제척기간은 재판상 또는 재판 외의 권리행사 기간이다.</t>
  </si>
  <si>
    <t>법률상 원인 없이 이득을 얻은 자는 있지만 그로 인해 손해를 입은 자가 없다면 부당이득반환청구권은 성립하지 않는다.</t>
  </si>
  <si>
    <t>폭행과 같은 피용자의 범죄행위도 민법 제756조 소정의 사무집행관련성을 가질 수 있다.</t>
  </si>
  <si>
    <t>제한능력자의 취소권 - 형성권</t>
  </si>
  <si>
    <t>2018년 12월 1일 오후 4시에 출생한 자는 2037년 12월 1일 0시에 성년이 된다.</t>
  </si>
  <si>
    <t>법인 아닌 사단의 대표가 총회 결의 없이 법인 아닌 사단의 이름으로 제3자의 금전채무를 보증한 경우, 특별한 사정이 없는 한 법인 아닌 사단은 보증채무를 부담하지 않는다.</t>
  </si>
  <si>
    <t>주물과 종물의 관계에 관한 법리는 특별한 사정이 없는 한 권리 상호간의 관계에도 미친다.</t>
  </si>
  <si>
    <t>丙은 특별한 사정이 없는 한 선의로 추정된다.</t>
  </si>
  <si>
    <t>소송행위에도 특별한 사정이 없는 한 착오를 이유로 하는 취소가 허용된다.</t>
  </si>
  <si>
    <t>대리인이 수인인 때에는 법률 또는 수권행위에서 달리 정한 바가 없으면 공동으로 본인을 대리한다.</t>
  </si>
  <si>
    <t>乙이 甲으로부터 추인에 관한 특별수권을 받은 경우, 乙은 매매계약을 추인할 수 있다.</t>
  </si>
  <si>
    <t>취소권자가 이의의 보류 없이 상대방으로부터 일부의 이행을 수령한 경우에도 법정추인이 되지 않는다.</t>
  </si>
  <si>
    <t>불법조건이 붙어 있는 법률행위는 그 조건뿐만 아니라 법률행위 전부가 무효로 된다.</t>
  </si>
  <si>
    <t>소멸시효의 이익은 시효가 완성한 뒤에는 포기할 수 있다.</t>
  </si>
  <si>
    <t>甲에게 손해가 발생하였더라도 특별한 사정이 없는 한 乙은 자신에게 귀책사유가 없음을 증명함으로써 예정배상액의 지급책임을 면할 수 있다.</t>
  </si>
  <si>
    <t>배상의무자가 피해자의 과실에 관하여 주장하지 않는 경우, 법원이 이를 직권으로 심리・판단할 수 없다.</t>
  </si>
  <si>
    <t>丙이 乙의 이행청구에 대하여 동시이행항변권을 행사할 수 있는 경우, 丙은 甲에게 그 동시이행항변권을 가지고 대항할 수 있다.</t>
  </si>
  <si>
    <t>채권자가 사해행위의 취소와 원상회복을 구하는 경우, 사해행위의 취소만을 먼저 청구한 다음 원상회복을 나중에 청구할 수도 있다.</t>
  </si>
  <si>
    <t>주채권과 분리하여 보증채권만을 양도하기로 하는 약정은 그 효력이 없다.</t>
  </si>
  <si>
    <t>채무자와 인수인의 계약에 의한 면책적 채무인수는 채권자의 승낙이 없더라도 유효하다.</t>
  </si>
  <si>
    <t>해제로 인해 소멸되는 계약상의 채권을 계약해제 이전에 양수한 자는 계약해제의 효과를 규정한 민법 제548조제1항 단서에 의해 보호받는 제3자에 해당하지 않는다.</t>
  </si>
  <si>
    <t>乙은 甲의 청구가 있는 때에는 위임사무의 처리상황을 보고하고 위임이 종료한 때에는 지체 없이 그 전말을 보고하여야 한다.</t>
  </si>
  <si>
    <t>甲의 귀책사유로 임대차계약이 해지된 경우, 원칙적으로 乙은 원상회복의무를 부담하지 않는다.</t>
  </si>
  <si>
    <t>화해계약은 특별한 사정이 없는 한, 당사자 일방이 양보한 권리가 소멸되고 상대방이 화해로 인하여 그 권리를 취득하는 효력이 있다.</t>
  </si>
  <si>
    <t>고의의 불법행위로 인한 손해배상청구권을 수동채권으로 하는 상계는 허용되지 않는다.</t>
  </si>
  <si>
    <t>선의의 수익자가 패소한 때에는 패소 시부터 악의의 수익자로 본다.</t>
  </si>
  <si>
    <t>임대차계약 당사자가 차임을 증액하지 않기로 약정한 경우, 사정변경의 원칙에 따라 차임을 증액할 수 없다.</t>
  </si>
  <si>
    <t>가정법원은 성년후견개시의 심판을 할 때 본인의 의사를 고려하여야 한다.</t>
  </si>
  <si>
    <t>법원은 재산관리인의 과거의 처분행위를 추인하는 허가도 할 수 있다.</t>
  </si>
  <si>
    <t>주물에 설정된 저당권의 효력은 특별한 사정이 없으면 종물에 미친다.</t>
  </si>
  <si>
    <t>사단법인의 사원의 지위는 양도 또는 상속할 수 없다.</t>
  </si>
  <si>
    <t>급부와 반대급부 사이의 '현저한 불균형'은 당사자의 주관적 가치가 아닌 거래상의 객관적 가치에 의하여 판단한다.</t>
  </si>
  <si>
    <t>소송대리인의 사무원의 착오로 소를 취하한 경우, 착오를 이유로 취소하지 못한다.</t>
  </si>
  <si>
    <t>무권대리행위의 일부에 대한 추인은 상대방의 동의를 얻지 못하는 한 무효이다.</t>
  </si>
  <si>
    <t>해제조건 있는 법률행위는 조건이 성취한 때로부터 그 효력을 잃는다.</t>
  </si>
  <si>
    <t>甲이 의사무능력 상태에서 乙과의 근로계약을 추인하더라도 그 계약은 무효이다.</t>
  </si>
  <si>
    <t>소멸시효의 기간만료 전 6개월 내에 제한능력자에게 법정대리인이 없는 경우에는 그가 능력자가 되거나 법정대리인이 취임한 때부터 6개월 내에는 시효가 완성되지 않는다.</t>
  </si>
  <si>
    <t>채권양도행위가 사해행위에 해당하지 않는 경우에도 양도통지가 별도로 채권자취소권 행사의 대상이 된다.</t>
  </si>
  <si>
    <t>동시이행관계에 있는 채무는 상대방이 채무의 이행을 제공하지 않는 한, 이행기가 도래하여도 지체책임을 지지 않는다.</t>
  </si>
  <si>
    <t>계약체결시 손해배상액 예정을 한 경우, 그 예정은 그 계약과 관련된 불법행위로 인한 손해배상까지 예정한 것으로 볼 수 있다.</t>
  </si>
  <si>
    <t>甲이 채권자대위권을 행사하는 경우에 丙은 乙에 대해 가지는 모든 항변사유로써 甲에게 대항할 수 있다.</t>
  </si>
  <si>
    <t>지급을 금지하는 명령을 받은 제3채무자는 그 후에 취득한 채권에 의한 상계로 그 명령을 신청한 채권자에게 대항하지 못한다.</t>
  </si>
  <si>
    <t>합의해제시에 손해배상에 관한 특약 등을 하지 않았더라도 매도인은 채무불이행으로 인한 손해배상을 청구할 수 있다.</t>
  </si>
  <si>
    <t>乙은 甲에게 X건물에 관한 소유권이전등기를 청구할 수 없다.</t>
  </si>
  <si>
    <t>수량을 지정한 매매의 목적물이 부족한 경우, 악의의 매수인은 대금감액을 청구할 수 있다.</t>
  </si>
  <si>
    <t>건물임차인이 임대인의 동의 없이 건물의 소부분을 전대한 경우, 임대인은 임대차계약을 해지할 수 있다.</t>
  </si>
  <si>
    <t>X건물에 대한 乙의 하자담보책임은 무과실책임이다.</t>
  </si>
  <si>
    <t>악의의 비채변제라도 변제를 강제당한 경우 등 그 변제가 자유로운 의사에 반하여 이루어진 때에는 반환을 청구할 수 있다.</t>
  </si>
  <si>
    <t>불법행위에서 고의 또는 과실의 증명책임은 원칙적으로 가해자가 부담한다.</t>
  </si>
  <si>
    <t>甲은 乙에게 채무불이행으로 인한 손해배상을 청구할 수 있다.</t>
  </si>
  <si>
    <t>반사회질서 법률행위에 해당되는 매매계약을 원인으로 한 소유권이전등기명의자의 물권적 청구권 행사에 대하여 상대방은 법률행위의 무효를 주장할 수 없다.</t>
  </si>
  <si>
    <t>甲이 통정허위표시로 乙에게 전세권설정등기를 마친 후 丙이 이러한 사정을 알면서도 전세권근저당권설정등기를 마쳤다. 위 사실을 모르는 丁이 丙의 전세권 근저당권부 채권을 압류하면 甲은 丁에게 대항할 수 없다.</t>
  </si>
  <si>
    <t>임대료는 법정과실에 해당한다.</t>
  </si>
  <si>
    <t>불법행위로 인한 손해배상에 관하여 가해자와 피해자 사이에 피해자가 일정한 금액을 지급받고 그 나머지의 청구를 포기하기로 약정한 때에는 모든 후발손해에 대해서도 배상청구권을 포기한 것으로 해석하여야 한다.</t>
  </si>
  <si>
    <t>가정법원이 성년후견개시의 심판을 하는 경우 취소할 수 없는 피성년후견인의 법률행위의 범위를 정할 수 있다.</t>
  </si>
  <si>
    <t>표현대리가 성립했다면 상대방에게 과실이 있다고 하더라도 과실상계의 법리를 유추적용할 수 없다.</t>
  </si>
  <si>
    <t>상대방이 무권대리인과 계약을 체결할 때 무권대리임을 알고 있는 경우, 상대방은 본인에게 추인 여부를 최고할 수 없다.</t>
  </si>
  <si>
    <t>근로자가 희망퇴직의 권고를 받고 제반 사항 등을 종합적으로 고려하여 심사숙고한 결과 사직서를 제출한 경우라면 그 사직서 제출은 비진의 의사표시에 해당한다.</t>
  </si>
  <si>
    <t>반사회적 법률행위는 당사자의 추인으로 유효하게 될 수 없다.</t>
  </si>
  <si>
    <t>조건의 성취 여부가 확정 전인 권리의무는 일반규정에 의하여 처분, 상속, 보존 또는 담보로 할 수 있다.</t>
  </si>
  <si>
    <t>소멸시효는 그 시효기간이 완성된 때로부터 장래에 향하여 권리가 소멸한다.</t>
  </si>
  <si>
    <t>乙의 甲에 대한 상계의 의사표시가 2016. 7. 20. 도달하였다면, 도달한 날을 기준으로 두 채권은 대등액의 범위 내에서 소멸한다.</t>
  </si>
  <si>
    <t>매매계약에서 채권자는 실제 손해액이 예정액을 초과하는 경우에 그 초과액을 청구할 수 있다.</t>
  </si>
  <si>
    <t>민사채권과 상사채권의 법정이율은 모두 연 5분이다.</t>
  </si>
  <si>
    <t>당사자가 불확정한 사실이 발생한 때를 이행기한으로 정한 경우에는 그 사실이 발생한 때는 물론 그 사실의 발생이 불가능하게 된 때에도 이행기한은 도래한 것으로 보아야 한다.</t>
  </si>
  <si>
    <t>토지거래규제구역 내의 토지 매매의 경우, 매수인이 매도인에 대하여 가지는 토지거래허가신청 절차 협력의무의 이행청구권도 채권자대위권 행사의 대상이 될 수 있다.</t>
  </si>
  <si>
    <t>기존채무에 관하여 제3자가 채무자를 위하여 어음이나 수표를 발행하는 것은 특별한 사정이 없는 한, 이는 면책적 채무인수이다.</t>
  </si>
  <si>
    <t>특정물에 대한 소유권이전등기청구권과 같은 특정채권도 채권자취소권의 피보전채권이 될 수 있다.</t>
  </si>
  <si>
    <t>丙의 보증계약은 구두계약에 의하여도 그 효력이 발생한다.</t>
  </si>
  <si>
    <t>부동산 매매의 경우 매도인의 소유권이전등기의무, 인도의무와 매수인의 잔대금 지급의무</t>
  </si>
  <si>
    <t>甲은 수령한 계약금을 乙에게 반환하고 매매계약을 해제할 수 있다.</t>
  </si>
  <si>
    <t>건물임대차의 존속기간은 20년을 넘지 못한다.</t>
  </si>
  <si>
    <t>채무 없는 자가 착오로 변제한 경우에 그 변제가 도의관념에 적합한 때에는 그 반환을 청구하지 못한다.</t>
  </si>
  <si>
    <t>특별한 사정이 없다면 퇴직 이후 피용자의 행위에 대하여 종전의 사용자에게 사용자책임을 물을 수 없다.</t>
  </si>
  <si>
    <t>성년후견개시의 원인이 소멸된 경우, 본인은 가정법원에 성년후견종료의 심판을 청구할 수 있다.</t>
  </si>
  <si>
    <t>대표권이 없는 이사는 법인의 대표기관이 아니기 때문에 그의 행위로 인하여 법인의 불법행위가 성립하지 않는다.</t>
  </si>
  <si>
    <t>정관에 다른 규정이 없는 경우, 사원은 서면이나 대리인으로 결의권을 행사할 수 있다.</t>
  </si>
  <si>
    <t>주물 소유자의 소유가 아닌 물건은 종물이 될 수 없다.</t>
  </si>
  <si>
    <t>제3자의 사기로 상대방 없는 의사표시를 한 표의자는 그 의사표시를 취소할 수 있다.</t>
  </si>
  <si>
    <t>적법한 대리인에 의하여 체결된 계약이 상대방에 의하여 유효하게 해제된 경우, 대리인이 수령한 상대방의 급부를 본인이 현실적으로 인도받지 못하였더라도, 특별한 사정이 없는 한, 본인이 해제로 인한 원상회복의무를 부담한다.</t>
  </si>
  <si>
    <t>표현대리의 성립을 위한 대리권 수여의 표시가 인정되기 위해서는 대리권 또는 대리인이라는 말이 사용되어야 한다.</t>
  </si>
  <si>
    <t>토지거래허가를 받지 않아 유동적 무효의 상태에 있는 토지매매계약의 당사자는 허가신청절차에 협력할 의무를 부담한다.</t>
  </si>
  <si>
    <t>불능조건이 정지조건이면 조건 없는 법률행위로 한다.</t>
  </si>
  <si>
    <t>2016년 6월 4일(토) 0시</t>
  </si>
  <si>
    <t>동시이행항변권이 붙은 채권은 이행기가 도래하더라도 소멸시효가 진행하지 않는다.</t>
  </si>
  <si>
    <t>A의 소유 건물을 B와 C가 공동으로 매수하는 경우, A의 매매대금청구권</t>
  </si>
  <si>
    <t>A는 300만원, C는 300만원, D는 300만원</t>
  </si>
  <si>
    <t>채권자대위권으로 보전되는 채권은 제3채무자에게 대항할 수 있는 것임을 요하지 않는다.</t>
  </si>
  <si>
    <t>양도인이 양도통지만을 한 때에는 채무자는 그 통지를 받은 때까지 양도인에 대하여 생긴 사유로써 양수인에게 대항할 수 있다.</t>
  </si>
  <si>
    <t>자동채권에 조건 미성취의 항변권이 붙어 있는 경우</t>
  </si>
  <si>
    <t>승낙자가 청약에 변경을 가하지 않고 조건만을 붙여 승낙한 경우에는 계약이 성립된다.</t>
  </si>
  <si>
    <t>지명채권의 채무자가 채무 전부를 변제할 때에는 채권자에게 채권증서의 반환을 청구할 수 있고, 채무의 변제와 채권증서의 반환은 동시이행의 관계에 있다.</t>
  </si>
  <si>
    <t>계약이 합의해제되기 위해서는 명시적인 합의가 있어야 하며 묵시적인 합의해제는 인정되지 않는다.</t>
  </si>
  <si>
    <t>해약금에 의하여 해제하는 경우에는 손해배상청구가 인정되지 아니한다.</t>
  </si>
  <si>
    <t>증여자의 손자에 대하여 수증자가 범죄행위를 한 경우, 증여자는 증여를 해제할 수 있다.</t>
  </si>
  <si>
    <t>임차물에 대하여 권리를 주장하는 자가 있고 임대인이 그 사실을 모르고 있는 경우, 임차인은 지체 없이 임대인에게 이를 통지하여야 한다.</t>
  </si>
  <si>
    <t>여행대금의 지급에 대하여 당사자의 약정 및 관습이 없는 경우, 여행자는 여행 종료 후에 지체 없이 지급하여야 한다.</t>
  </si>
  <si>
    <t>실종선고가 취소된 경우, 실종선고를 직접원인으로 하여 선의로 재산을 취득한자의 반환의무</t>
  </si>
  <si>
    <t>관습법이 헌법에 위반될 때에는 법원(法院)이 그 효력을 부인할 수 있다.</t>
  </si>
  <si>
    <t>이사는 정관 또는 총회의 결의로 금지하지 아니한 사항에 한하여 타인으로 하여금 특정한 행위를 대리하게 할 수 있다.</t>
  </si>
  <si>
    <t>사람의 유체・유골은 매장・관리・제사・공양의 대상이 될 수 있는 유체물로서 그 제사주재자에게 승계된다.</t>
  </si>
  <si>
    <t>임차인의 비용상환청구권에 관한 민법 제626조는 강행규정이다.</t>
  </si>
  <si>
    <t>乙은 甲에 대하여 丙의 선임감독에 대한 책임을 지지 않는다.</t>
  </si>
  <si>
    <t>화해의 목적인 분쟁 이외의 사항에 착오가 있는 때에는 착오를 이유로 화해계약을 취소할 수 있다.</t>
  </si>
  <si>
    <t>선의의 상대방은 본인의 추인이 있을 때까지 무권대리인과 체결한 계약을 철회할 수 있다.</t>
  </si>
  <si>
    <t>대리인이 부동산입찰절차에서 동일물건에 관하여 이해관계가 다른 2인 이상을 대리한 경우, 그가 한 입찰은 무효이다.</t>
  </si>
  <si>
    <t>조건부 법률행위에서 조건이 불법조건이라고 해서 그 법률행위 전부가 무효로 되는 것은 아니다.</t>
  </si>
  <si>
    <t>당사자가 매매예약 완결권의 행사기간을 정하지 않고 행사할 수 있는 시기만을 정한 경우 완결권은 권리를 행사할 수 있는 때로부터 10년이 경과하면 소멸한다.</t>
  </si>
  <si>
    <t>금전채무불이행의 손해배상에 관하여 채무자는 과실 없음을 항변하지 못한다.</t>
  </si>
  <si>
    <t>불법행위로 인하여 손해와 이득이 동시에 발생한 경우에 그 손해발생에 대하여 피해자에게도 과실이 있다면 먼저 손해액에서 과실상계를 한 후에 이득을 공제하여야 한다.</t>
  </si>
  <si>
    <t>특별한 사정이 없는 한, 유류분반환청구권은 행사상의 일신전속성을 가지므로 채권자대위권의 목적이 될 수 없다.</t>
  </si>
  <si>
    <t>채무자가 채무전부를 변제한 때에 인정되는 채권증서반환청구권은 변제와 동시이행관계에 있다.</t>
  </si>
  <si>
    <t>청약자는 연착된 승낙을 새로운 청약으로 보아 그에 대하여 승낙함으로써 계약을 성립시킬 수 있다.</t>
  </si>
  <si>
    <t>계약의 당사자가 제3자에 대하여 가진 채권에 관하여 그 채무를 면제하는 계약도 제3자를 위한 계약에 준하는 것으로서 유효하다.</t>
  </si>
  <si>
    <t>경매에 의하여 목적물을 매수한 경우, 물건의 하자에 대하여 매도인에게 담보책임을 물을 수 있다.</t>
  </si>
  <si>
    <t>임차인이 임대인의 동의 없이 임차권을 양도한 경우 임대인은 임대차 계약을 해지할 수 있다.</t>
  </si>
  <si>
    <t>탈퇴한 조합원의 지분은 그 출자의 종류여하에 불구하고 금전으로 반환할 수 있다.</t>
  </si>
  <si>
    <t>관리자가 사무관리를 함에 있어서 과실 없이 손해를 받은 때에는 본인의 현존이익의 한도에서 그 손해의 보상을 청구할 수 있다.</t>
  </si>
  <si>
    <t>공동선조와 성과 본을 같이 하는 후손인 여성은 성년이 되면 종중의 구성원이 된다.</t>
  </si>
  <si>
    <t>계약해제권</t>
  </si>
  <si>
    <t>특별한 사정이 없는 한 甲이 성년이 된 후 상대방에게 이행을 청구하면 법률행위를 취소할 수 없다.</t>
  </si>
  <si>
    <t>丙은 乙의 행위에 대하여 권한을 넘은 표현대리의 성립을 주장할 수 있다.</t>
  </si>
  <si>
    <t>乙이 건물의 관리 및 개량행위를 하기 위해서는 법원의 허가를 받아야 한다.</t>
  </si>
  <si>
    <t>참고인이 수사기관에 허위의 진술을 하는 대가로 일정한 급부를 받기로 한 약정</t>
  </si>
  <si>
    <t>교환계약의 당사자가 목적물의 시가를 묵비한 경우, 특별한 사정이 없는 한 기망행위가 아니다.</t>
  </si>
  <si>
    <t>甲으로부터 X토지매매의 대리권을 수여받은 乙이 甲명의로 계약을 체결한 경우</t>
  </si>
  <si>
    <t>해제조건부 증여계약에서 그 조건이 불능인 것을 내용으로 하는 경우, 그 증여계약은 무효이다.</t>
  </si>
  <si>
    <t>선택채권에서 선택권의 행사</t>
  </si>
  <si>
    <t>정지조건부 권리에서 조건의 성취</t>
  </si>
  <si>
    <t>채무인수가 있으면 계약관계로부터 생기는 취소권・해제권은 인수인에게 이전된다.</t>
  </si>
  <si>
    <t>보증인에 대한 시효의 중단은 주채무자에 대하여 그 효력이 있다.</t>
  </si>
  <si>
    <t>사해행위 취소소송은 채권자가 취소원인을 안 날로부터 1년, 법률행위 있는 날로부터 5년 내에 제기하여야 한다.</t>
  </si>
  <si>
    <t>위약금이 위약벌인 때에도 손해배상액의 예정에 관한 규정을 유추적용하여 법원은 그 액을 감액할 수 있다.</t>
  </si>
  <si>
    <t>항변권이 붙어 있는 채권을 자동채권으로 하여 상계할 수 있다.</t>
  </si>
  <si>
    <t>매매목적 부동산에 대하여 제3자의 처분금지 가처분등기가 기입된 것만으로는 바로 계약이 이행불능이 되었다고 할 수 없다.</t>
  </si>
  <si>
    <t>승낙자가 청약에 변경을 가하여 승낙한 경우, 그 청약의 거절과 동시에 새로 청약한 것으로 본다.</t>
  </si>
  <si>
    <t>해제권자의 고의나 과실로 인하여 계약의 목적물이 현저히 훼손되거나 이를 반환할 수 없게 된 때에는 해제권은 소멸한다.</t>
  </si>
  <si>
    <t>소비대차는 당사자 일방이 상대방에게 부동산을 사용・수익하게 할 것을 약정함으로써 그 효력이 생긴다.</t>
  </si>
  <si>
    <t>임차인이 임대인에게 부속물매수청구를 하지 않겠다는 약정은 원칙적으로 유효하다.</t>
  </si>
  <si>
    <t>수임인이 성년후견개시의 심판을 받은 경우에 위임은 종료한다.</t>
  </si>
  <si>
    <t>甲이 자기의 부담부분 범위 내에서 丙에게 배상한 경우에도 乙에게 구상권을 행사할 수 있다.</t>
  </si>
  <si>
    <t>도급인이 수급인의 공사에 대하여 감리적인 감독을 하는데 지나지 않을 때에도 사용자책임이 인정된다.</t>
  </si>
  <si>
    <t>차임을 증액하지 않기로 하는 특약이 있더라도, 그 특약을 유지시키는 것이 신의칙에 반한다고 인정될 정도의 사정변경이 있는 경우에는 임대인의 차임증액청구를 인정하여야 한다.</t>
  </si>
  <si>
    <t>매매계약에 기한 소유권이전등기청구권은 물권이다.</t>
  </si>
  <si>
    <t>행위능력의 유무는 객관적 기준에 의하여 판정된다.</t>
  </si>
  <si>
    <t>甲은 丙에게 추인거절의 의사표시를 할 수 있으나, 乙에게는 할 수 없다.</t>
  </si>
  <si>
    <t>주물에 설정된 저당권의 효력은 종물에도 미친다.</t>
  </si>
  <si>
    <t>丙 앞으로 소유권이전등기가 경료된 후 5년이 지났다면, 甲은 채권자취소의 소를 제기할 수 없다.</t>
  </si>
  <si>
    <t>설령 乙이 丙의 기망행위를 알지 못한 경우에도 甲은 丙의 사기를 이유로 매매계약을 취소할 수 있다.</t>
  </si>
  <si>
    <t>무효인 법률행위의 당사자가 그 무효임을 알고 추인한 때에는 법률행위시에 소급하여 효력이 있는 것으로 본다.</t>
  </si>
  <si>
    <t>정지조건부 채권을 피보전채권으로 하는 채권자취소권의 행사는 허용되지 않는다.</t>
  </si>
  <si>
    <t>임대차의 임차인</t>
  </si>
  <si>
    <t>권리자가 응소하여 적극적으로 권리를 주장하였으나 소가 각하되어 본안판단 없이 소송이 종료되고 다른 조치 없이 6월이 경과한 경우</t>
  </si>
  <si>
    <t>채권자가 강제이행을 청구하였다면, 이와 별도로 손해배상을 청구할 수는 없다.</t>
  </si>
  <si>
    <t>채무자가 그의 권리를 행사한 이상 그 행사가 부적절하여도 채권자는 채권자대위권을 행사할 수 없다.</t>
  </si>
  <si>
    <t>채무인수가 면책적인지 병존적인지 불분명한 때에는 병존적으로 채무를 인수한 것으로 본다.</t>
  </si>
  <si>
    <t>고의의 불법행위로 인한 손해배상채권을 자동채권으로 하는 상계는 허용되지 않는다.</t>
  </si>
  <si>
    <t>특정채권의 보전을 위한 채권자취소권의 행사는 허용되지 않는다.</t>
  </si>
  <si>
    <t>대여금채무의 변제와 채권증서의 반환의무</t>
  </si>
  <si>
    <t>강제집행을 면할 목적으로 부동산의 소유자명의를 신탁하는 것은 불법원인급여에 해당하지 않는다.</t>
  </si>
  <si>
    <t>제3자가 수치인에 대하여 임치물에 대한 권리를 주장하며 소를 제기한 경우, 수치인은 지체 없이 임치인에게 그 사실을 통지하여야 한다.</t>
  </si>
  <si>
    <t>보수지급시기에 관하여 특약이 없으면 위임사무의 시작과 함께 그 보수를 선급하여야 한다.</t>
  </si>
  <si>
    <t>공동불법행위자는 내부관계에서 과실의 정도에 따라 책임의 부담부분이 정하여진다.</t>
  </si>
  <si>
    <t>매매목적물의 하자로 인한 계약해제권은 매수인이 그 사실을 안 날로부터 6월내에 행사하여야 한다.</t>
  </si>
  <si>
    <t>乙은 甲을 상대로 전보배상을 청구할 수 있다.</t>
  </si>
  <si>
    <t>무효인 법률행위를 추인한 경우, 특별한 사정이 없는 한 소급하여 처음부터 그 효력이 생긴다.</t>
  </si>
  <si>
    <t>甲은 丙과의 매매계약을 취소할 수 없다.</t>
  </si>
  <si>
    <t>법원이 선임한 부재자의 재산관리인은 부재자의 재산을 자기 재산과 동일한 주의의무로 관리하여야 한다.</t>
  </si>
  <si>
    <t>乙은 甲과 丙 사이의 증여계약의 무효를 주장할 수 있다.</t>
  </si>
  <si>
    <t>재산상속에 있어 丁은 2012. 3. 2. 태어난 것으로 추정한다.</t>
  </si>
  <si>
    <t>실효의 원칙의 적용 여부는 당사자의 주장이 없더라도 법원이 직권으로 판단할 수 있다.</t>
  </si>
  <si>
    <t>제한물권이 가장포기된 경우에 기존의 후순위 제한물권자</t>
  </si>
  <si>
    <t>실종선고가 취소되더라도 乙과 丙이 선의라면 매매계약과 소유권이전등기는 유효하다.</t>
  </si>
  <si>
    <t>丙이 甲을 강박하였다면, 甲은 강박을 이유로 매매계약을 취소할 수 있다.</t>
  </si>
  <si>
    <t>주유소의 지하에 매설된 유류저장탱크는 주유소 건물의 종물이다.</t>
  </si>
  <si>
    <t>법인은 대표기관의 불법행위에 대해 선임․감독상의 과실이 없음을 증명하더라도 책임을 면할 수 없다.</t>
  </si>
  <si>
    <t>권리자의 개인적 사정이나 법률지식의 부족과 같은 사실상 장애는 소멸시효의 진행에 영향을 미치지 않는다.</t>
  </si>
  <si>
    <t>공탁</t>
  </si>
  <si>
    <t>甲이 대위권을 행사하기 위하여 비용을 지출한 경우, 甲은 乙에게 그 비용의 상환을 청구할 수 있다.</t>
  </si>
  <si>
    <t>복위임은 위임인이 승낙한 경우나 부득이한 경우에만 허용된다.</t>
  </si>
  <si>
    <t>채무의 변제와 영수증 교부의무는 동시이행의 관계에 있다.</t>
  </si>
  <si>
    <t>채권의 양수인도 양도인으로부터 채권양도통지의 권한을 위임받아 대리인으로서 통지할 수 있다.</t>
  </si>
  <si>
    <t>법률상 원인 없이 제3자에 대한 채권을 취득하였으나 아직 그 채권을 현실적으로 추심하지 못한 경우, 손실자는 채권의 이득자에 대하여 그 채권 가액에 해당하는 금전의 반환을 구할 수 없다.</t>
  </si>
  <si>
    <t>甲이 乙에게 청구할 수 있는 하자보수에 갈음한 손해배상청구권은 하자가 발생하여 보수가 필요하게 된 시점에서 성립된다.</t>
  </si>
  <si>
    <t>공동불법행위자 중 1인에 대한 권리포기나 채무면제의 효력은 다른 공동불법행위자에게 미친다.</t>
  </si>
  <si>
    <t>매매의 일방예약은 상대방이 매매를 완결할 의사를 표시하는 때에 매매의 효력이 생긴다.</t>
  </si>
  <si>
    <t>이행기와 변제이익이 같은 채무는 각 채무액에 비례하여 변제에 충당한다.</t>
  </si>
  <si>
    <t>B : 3,000만원, C : 3,000만원, D : 2,000만원</t>
  </si>
  <si>
    <t>피용자가 퇴직한 뒤에 행한 불법행위에 대하여 특별한 사정이 없다면 종전의 사용자에게 사용자책임을 물을 수 있다.</t>
  </si>
  <si>
    <t>매매계약을 합의해제한 후 그 합의해제를 무효화시키고 해제된 계약을 부활시키는 약정은 할 수 없다.</t>
  </si>
  <si>
    <t>채무불이행으로 인한 손해배상은 다른 의사표시가 없는 한 금전으로 하여야 한다.</t>
  </si>
  <si>
    <t>甲이 丙에게 손해배상을 한 경우, 甲은 특별한 사정이 없는 한 乙에게 그 금액을 구상할 수 없다.</t>
  </si>
  <si>
    <t>乙이 丙에게 건물의 소유권을 양도하면서 甲의 동의를 얻지 않고 임차권도 양도한 경우, 원칙적으로 丙은 甲에게 임차권을 주장할 수 있다.</t>
  </si>
  <si>
    <t>소멸시효에는 중단이 있지만, 제척기간은 중단이 있을 수 없다.</t>
  </si>
  <si>
    <t>매매계약과 더불어 체결된 계약금계약은 낙성계약이다.</t>
  </si>
  <si>
    <t>乙의 채무불이행을 이유로 丙은 매매계약을 해제할 수 없다.</t>
  </si>
  <si>
    <t>폭리행위에서의 궁박은 경제적 원인에 한한다.</t>
  </si>
  <si>
    <t>비채변제에 있어 변제자가 채무 없음을 알았다는 점에 대한 증명책임은 반환을 청구하는 측에 있다.</t>
  </si>
  <si>
    <t>채권양도 이전에 채무자에게 행하는 사전통지도 원칙적으로 허용된다.</t>
  </si>
  <si>
    <t>종물은 주물의 처분에 따른다.</t>
  </si>
  <si>
    <t>손해배상액이 부당하게 과다한지의 여부는 사실심 변론종결시점을 기준으로 판단한다.</t>
  </si>
  <si>
    <t>재산관리인의 처분행위에 관한 법원의 허가는 재산관리인의 과거 처분행위를 추인하는 방법으로 할 수 없다.</t>
  </si>
  <si>
    <t>미성년자의 법률행위에 대한 법정대리인의 동의는 묵시적으로도 가능하다.</t>
  </si>
  <si>
    <t>당사자 일방은 상대방에게 불리한 시기에는 위임계약을 해지하지 못한다.</t>
  </si>
  <si>
    <t>채무자가 담보제공의 의무를 이행하지 않으면 기한의 이익을 주장하지 못한다.</t>
  </si>
  <si>
    <t>사용자책임에 있어 직무관련성은 사용자의 입장에서 판단하여야 한다.</t>
  </si>
  <si>
    <t>특정물에 대한 소유권이전등기청구권을 보전하기 위하여는 채권자취소권을 행사할 수 없다.</t>
  </si>
  <si>
    <t>취소의 원인이 종료한 후 취소할 수 있는 법률행위에 관하여 이의 없이 경개계약을 체결한 경우, 그 법률행위를 추인한 것으로 본다.</t>
  </si>
  <si>
    <t>동산의 환매기간을 정하지 아니한 때에는 그 기간은 5년이다.</t>
  </si>
  <si>
    <t>乙-75만원, 丁-25만원, 戊-5만원</t>
  </si>
  <si>
    <t>법인의 이사가 수인인 경우 정관에 다른 정함이 없으면 법인의 사무집행은 이사의 과반수로써 결정한다.</t>
  </si>
  <si>
    <t>과실 없이 브레이크의 결함을 모르고 매수한 丙은 甲에게 그 결함에 대하여 하자담보책임을 물을 수 있다.</t>
  </si>
  <si>
    <t>추인</t>
  </si>
  <si>
    <t>주채무자가 시효의 이익을 포기하면 보증인에게 그 효력이 미친다.</t>
  </si>
  <si>
    <t>乙은 甲에 대하여 담보책임을 주장할 수 없다.</t>
  </si>
  <si>
    <t>미성년자가 매매계약을 체결하면서 자기가 사장이라고 말하였거나, 동석한 자가 사장이라고 호칭한 사실만으로는 취소권을 배제하는 사술에 해당하지 않는다.</t>
  </si>
  <si>
    <t>자연인은 성별・종교・기형 여부 등을 묻지 않고 평등하게 권리능력을 취득한다.</t>
  </si>
  <si>
    <t>주물 자체의 상용에 공여되지 않고 주물의 사용자의 상용에 공여되는데 불과한 물건은 종물로 볼 수 없다.</t>
  </si>
  <si>
    <t>강제집행을 면할 목적으로 부동산에 허위의 근저당권설정등기를 경료하는 행위는 반사회질서의 법률행위에 해당하지 않는다.</t>
  </si>
  <si>
    <t>2015년 3월 24일 24시</t>
  </si>
  <si>
    <t>착오를 이유로 의사표시를 취소하는 자는 법률행위의 내용에 착오가 있었다는 사실과 함께 그 착오가 중요부분에 관한 착오라는 것을 증명하여야 한다.</t>
  </si>
  <si>
    <t>복대리인이 복대리권의 범위를 넘어서 대리행위를 한 경우에는 권한을 넘은 표현대리의 법리를 유추적용할 수 없다.</t>
  </si>
  <si>
    <t>기한이익 상실특약에 있어서 그것이 정지조건부 기한이익 상실특약인지 형성권적 기한이익 상실특약인지 당사자의 의사가 불분명한 경우, 정지조건부 기한이익 상실특약으로 추정한다.</t>
  </si>
  <si>
    <t>허위표시의 무효로 대항할 수 없는 제3자는 선의이고 무과실이어야 한다.</t>
  </si>
  <si>
    <t>무능력자로부터 부동산을 매수한 자가 목적물의 인도청구권을 양도한 경우</t>
  </si>
  <si>
    <t>당연무효인 가압류신청은 시효중단의 효력이 없다.</t>
  </si>
  <si>
    <t>존립시기를 정한 경우 그 시기</t>
  </si>
  <si>
    <t>매매 목적 부동산에 처분금지가처분등기와 소유권말소예고등기가 기입되어 있는 경우에는 매도인은 이와 같은 등기를 말소하여 완전한 소유권이전등기를 해 줄 의무가 있다.</t>
  </si>
  <si>
    <t>乙이 선관주의의무를 다하여 A를 관리하였으나 丙이 A를 훔쳐간 경우, 乙은 甲에게 손해를 배상할 책임이 없다.</t>
  </si>
  <si>
    <t>불법행위로 영업용 물건이 멸실된 경우, 이를 대체할 다른 물건을 마련하기 위하여 필요한 합리적인 기간 동안 그 물건을 이용하여 영업을 계속하였더라면 얻을 수 있었던 이익</t>
  </si>
  <si>
    <t>가처분</t>
  </si>
  <si>
    <t>채무가 고의의 불법행위로 인한 것인 때에는 그 채무자는 상계로 채권자에게 대항하지 못한다.</t>
  </si>
  <si>
    <t>2,500만원</t>
  </si>
  <si>
    <t>가압류된 채권도 양도할 수 있으며, 이 경우 양수인은 가압류에 의해 권리가 제한된 상태의 채권을 양수받게 된다.</t>
  </si>
  <si>
    <t>계약의 합의해제는 청약과 승낙이라는 서로 대립되는 의사표시의 합치로 성립한다.</t>
  </si>
  <si>
    <t>乙의 무단 양도를 이유로 甲이 임대차계약을 해지하지 않는 한 甲은 丙에게 불법점유를 이유로 차임상당 손해배상청구나 부당이득 반환청구를 할 수 없다.</t>
  </si>
  <si>
    <t>채권액이 다른 나라의 통화로 지정된 때에는 채무자는 지급할 때에 있어서의 이행지의 환금시가에 의하여 우리나라 통화로 변제할 수 있다.</t>
  </si>
  <si>
    <t>丙이 甲에게 손해의 전액을 배상한 경우 丙은 자신의 부담부분을 넘는 배상액을 乙과 丁에게 구상할 수 있다.</t>
  </si>
  <si>
    <t>선의의 수익자가 패소한 때에는 그 소를 제기한 때부터 악의의 수익자로 본다.</t>
  </si>
  <si>
    <t>법령에 위반되어 무효임을 알고서도 그 법률행위를 한 자가 강행법규 위반을 이유로 무효를 주장한다 하더라도 특별한 사정이 없는 한 신의성실의 원칙에 반한다고 볼 수는 없다.</t>
  </si>
  <si>
    <t>수익자의 불법성의 정도가 급여자의 불법성보다 현저히 큰 경우에는 급여자는 급여한 것을 부당이득으로서 반환청구할 수 있다.</t>
  </si>
  <si>
    <t>금치산자는 재산행위에 관하여 후견인의 동의를 얻어 확정적으로 유효한 법률행위를 단독으로 할 수 있다.</t>
  </si>
  <si>
    <t>선택채권에서 당사자에 의한 선택의 의사표시는 상대방의 동의가 없으면 철회하지 못한다.</t>
  </si>
  <si>
    <t>이사 기타 대표자의 불법행위로 인해 법인의 불법행위가 성립한 경우에도 대표자는 자기의 손해배상책임을 면하지 못한다.</t>
  </si>
  <si>
    <t>대리인이 본인을 위한 것임을 표시하지 않았더라도 상대방이 대리인으로서 한 것임을 알 수 있었을 경우에는 직접 본인에 대하여 효력이 생긴다.</t>
  </si>
  <si>
    <t>채권양도의 통지는 양도인이 채무자에게 직접 하여야 하고 사자(使者)를 통하여 하거나 대리인으로 하여금 하게 할 수 없다.</t>
  </si>
  <si>
    <t>당사자가 조건성취의 효력을 그 성취 전에 소급하게 할 의사를 표시한 때에는 그 의사에 의한다.</t>
  </si>
  <si>
    <t>시효를 주장하는 자의 소제기에 대하여 피고로서 응소하여 그 소송에서 적극적으로 권리를 주장하고 그것이 받아들여진 경우에는 시효중단의 효력이 있다.</t>
  </si>
  <si>
    <t>반환시기의 약정이 없는 소비대차계약에서 대주는 상당한 기간을 정하여 반환을 최고하여야 한다.</t>
  </si>
  <si>
    <t>소멸시효와 달리 제척기간이 도과하였는지 여부는 법원의 직권조사사항이다.</t>
  </si>
  <si>
    <t>선택권자인 제3자가 선택할 수 없는 경우에는 선택권은 채무자에게 이전한다.</t>
  </si>
  <si>
    <t>이행보조자는 채무자의 지시 또는 감독을 받는 관계에 있어야 하는 것은 아니다.</t>
  </si>
  <si>
    <t>2009년 6월 13일 14시(오후 2시)</t>
  </si>
  <si>
    <t>연대보증인이 수인인 경우에 공동보증과 달리 분별의 이익이 없다.</t>
  </si>
  <si>
    <t>친권자나 후견인은 법원의 허가 또는 부득이한 사유가 있는 때에 한하여 복임권이 있다.</t>
  </si>
  <si>
    <t>채무자에 대한 구상권이 없으면 변제자는 채권자를 대위할 수 없다.</t>
  </si>
  <si>
    <t>대표자의 임기만료 후 대표자의 개임이 없었다면, 유임 내지 중임이 금지되지 않는 한, 그 대표자를 묵시적으로 다시 선임한 것으로 볼 수 있다.</t>
  </si>
  <si>
    <t>고의 또는 과실로 스스로 초래한 심신상실 중에 타인에게 손해를 가한 자는 그로 인한 손해를 배상하여야 한다.</t>
  </si>
  <si>
    <t>甲은 丁에게 발생한 재산상의 손해에 대하여 배상책임을 진다.</t>
  </si>
  <si>
    <t>이자 없는 소비대차계약의 각 당사자는 언제든지 계약을 해제할 수 있다.</t>
  </si>
  <si>
    <t>의사표시의 수령자가 무능력자인 경우 표의자는 수령자에 대하여 그 의사표시로써 대항하지 못한다.</t>
  </si>
  <si>
    <t>취소한 법률행위는 처음부터 효력이 없는 것으로 본다.</t>
  </si>
  <si>
    <t>해제조건부 법률행위를 원인행위로 하여 소유권이전등기를 마친 경우, 그 조건이 성취된 때에는 소유권이 법률행위 시에 소급하여 원상회복된다.</t>
  </si>
  <si>
    <t>채무초과상태의 채무자가 특정한 채권자에게 채무의 본지에 따라 변제하는 행위는 다른 채권자의 공동담보를 감소하는 사해행위이다.</t>
  </si>
  <si>
    <t>강박으로 인해 표의자가 스스로 의사결정을 할 수 있는 여지를 완전히 박탈당한 상태에서 의사표시가 이루어져 단지 법률행위의 외형만이 만들어진 것에 불과한 정도에 이른 경우 그 법률행위는 무효이다.</t>
  </si>
  <si>
    <t>보증인이 주채무를 중첩적으로 인수할 것을 채권자와 약정한 경우, 보증인은 주채무자에 대하여 사전구상권을 행사할 수 없다.</t>
  </si>
  <si>
    <t>이행인수인은 채권자에 대하여 직접 의무를 부담하지 않고 채무자에 대하여 그가 부담하는 채무를 채권자에게 이행할 의무를 진다.</t>
  </si>
  <si>
    <t>부동산 매수인의 소유권이전등기청구권은 그 매수인이 부동산을 인도받아 사용하는 경우 소멸시효에 걸리지 않는다.</t>
  </si>
  <si>
    <t>채무자가 채무를 이행하지 않을 의사를 명백히 표시한 경우 채권자는 이행기 전이라도 최고 없이 전보배상을 청구할 수 있다.</t>
  </si>
  <si>
    <t>정년이 53세라 함은 만 53세에 도달하는 날을 말하는 것이지만 53세가 만료되는 날을 의미하지 않는다.</t>
  </si>
  <si>
    <t>민사법정이율은 연 5%이다.</t>
  </si>
  <si>
    <t>본인은 무권대리인에게 추인의 의사표시를 할 수 있으나, 상대방이 추인의 사실을 안 경우가 아니면 이 의사표시로 그에게 대항할 수 없다.</t>
  </si>
  <si>
    <t>예약완결권은 당사자가 그 행사기간을 약정하지 않은 경우 그 예약이 성립한 때로부터 10년 내에 이를 행사하여야 한다.</t>
  </si>
  <si>
    <t>타인의 권리매매에서 목적물을 매수인에게 이전할 수 없게 된 것이 오직 매수인의 귀책사유로 인한 경우 매도인은 담보책임을 지지 않는다.</t>
  </si>
  <si>
    <t>임차권등기청구권</t>
  </si>
  <si>
    <t>조합원의 지분에 대한 압류는 그 조합원의 장래의 이익배당 및 지분의 반환을 받을 권리에 대하여 효력이 있을 뿐이고 지분 그 자체에 대한 강제집행은 허용되지 않는다.</t>
  </si>
  <si>
    <t>부첩관계의 종료를 조건으로 대가를 제공하기로 하는 계약은 반사회적 법률행위로서 무효이다.</t>
  </si>
  <si>
    <t>불법원인급여는 급여자의 의사에 기하여 종국적인 재산상의 이익을 주는 급여를 요건으로 한다.</t>
  </si>
  <si>
    <t>사용자책임을 묻기 위해서 피해자는 사용자의 선임・감독상의 과실을 입증하여야 한다.</t>
  </si>
  <si>
    <t>미성년자가 법정대리인의 동의 없이 채무를 면제한 경우 면제는 효력이 없다.</t>
  </si>
  <si>
    <t>부재자가 사망하면 재산관리인의 선임결정이 취소되지 않더라도 그의 권한은 당연히 소멸한다.</t>
  </si>
  <si>
    <t>이사는 법인에 대하여 선량한 관리자의 주의의무를 부담한다.</t>
  </si>
  <si>
    <t>상계적상에서 '채무의 이행기가 도래한 때'는 채무자가 이행지체에 빠진 때가 아니라 채권자가 채무자에게 이행청구를 할 수 있는 때이다.</t>
  </si>
  <si>
    <t>제3자는 당사자와 그의 포괄승계인이 아닌 자로서 허위표시에 의하여 형성된 법률관계를 토대로 실질적으로 새로운 법률상 이해관계를 맺은 자를 의미한다.</t>
  </si>
  <si>
    <t>재단법인의 재산보전을 위하여 적당한 때에는 명칭이나 사무소 소재지를 변경할 수 있다.</t>
  </si>
  <si>
    <t>종물을 주물의 처분에서 제외하는 당사자의 특약은 무효이다.</t>
  </si>
  <si>
    <t>甲이 丙을 대리인으로 선임하여 A와 관련된 제반 업무처리를 포괄적으로 위임한 경우, 丙이 행한 대행행위는 A에 대하여 효력이 미치지 않는다.</t>
  </si>
  <si>
    <t>부당이득반환채권과 같이 이행기의 정함이 없는 채권이 자동채권으로 상계될 때 상계적상에서 의미하는 변제기는 상계의 의사표시를 한 시점에 도래한다.</t>
  </si>
  <si>
    <t>보증채무의 부종성을 부정하여야 할 특별한 사정이 있는 경우, 보증인은 주채무의 시효소멸을 이유로 보증채무의 시효소멸을 주장할 수 없다.</t>
  </si>
  <si>
    <t>상대방이 계약 당시에 제한능력자와 계약을 체결하였음을 알았더라도 제한능력자 측의 추인이 있을 때까지는 자신의 의사표시를 철회할 수 있다.</t>
  </si>
  <si>
    <t>착오를 이유로 의사표시를 취소하려는 자는 자신의 착오가 중과실로 인한 것이 아님을 증명하여야 한다.</t>
  </si>
  <si>
    <t>민법 제108조제2항의 선의의 제3자에 대해서는 그 누구도 통정허위표시의 무효로써 대항할 수 없다.</t>
  </si>
  <si>
    <t>강박으로 인한 의사표시의 취소는 강박의 고의를 요건으로 한다.</t>
  </si>
  <si>
    <t>사회통념상 대리권을 추단할 수 있는 직함의 사용을 묵인한 것만으로는 민법 제125조에서 말하는 대리권수여의 표시가 인정될 수 없다.</t>
  </si>
  <si>
    <t>채무면제는 처분행위이다.</t>
  </si>
  <si>
    <t>乙과 丁의 매매계약은 공서양속에 반하는 것으로 무효이다.</t>
  </si>
  <si>
    <t>부동산소유권이전채무가 이행불능이 되어 채권자가 채무자에게 갖게 되는 손해배상채권의 소멸시효는 계약체결시부터 진행된다.</t>
  </si>
  <si>
    <t>甲이 乙에게 이행을 청구한 경우, 丙의 채무에 대해서는 시효중단의 효력이 없다.</t>
  </si>
  <si>
    <t>금전채무의 이행지체로 인하여 발생하는 지연이자의 성질은 손해배상금이다.</t>
  </si>
  <si>
    <t>채권양도가 다른 채무의 담보조로 이루어진 후 그 피담보채무가 변제로 소멸된 경우, 양도채권의 채무자는 이를 이유로 채권양수인의 양수금 지급청구를 거절할 수 있다.</t>
  </si>
  <si>
    <t>乙의 의사에 반하여 이루어진 甲과 丙 사이의 합의에 의한 중첩적 채무인수는 무효이다.</t>
  </si>
  <si>
    <t>벌금형이 확정된 이상 벌금채권의 변제기는 도래한 것이므로 법률상 이를 금지할 근거가 없는 한 벌금채권은 상계의 자동채권이 될 수 있다.</t>
  </si>
  <si>
    <t>민법은 격지자간의 계약은 승낙의 통지가 도달한 때에 성립한다고 규정하고 있다.</t>
  </si>
  <si>
    <t>계약이 의사의 불합치로 성립하지 않은 경우, 그로 인해 손해를 입은 당사자는 계약이 성립되지 않을 수 있다는 것을 알았던 상대방에게 민법 제535조(계약체결상의 과실)에 따른 손해배상청구를 할 수 없다.</t>
  </si>
  <si>
    <t>일방의 의무가 선이행의무라도 상대방의 이행이 곤란할 현저한 사유가 있는 때에는 상대방이 그 채무이행을 제공할 때까지 자기의 채무이행을 거절할 수 있다.</t>
  </si>
  <si>
    <t>계약 당사자가 제3자에 대하여 가진 채권에 관하여 그 채무를 면제하는 계약도 제3자를 위한 계약에 준하는 것으로 유효하다.</t>
  </si>
  <si>
    <t>증여자에 대한 부양의무 있는 수증자가 그 부양의무를 불이행한 경우</t>
  </si>
  <si>
    <t>경매목적물에 하자가 있는 경우, 경매에서의 채무자는 하자담보책임을 부담한다.</t>
  </si>
  <si>
    <t>도급인이 하자보수에 갈음하여 손해배상을 청구하는 경우, 수급인이 그 채무이행을 제공할 때까지 도급인은 그 손해배상액에 상응하는 보수액 및 그 나머지 보수액에 대해서도 지급을 거절할 수 있다.</t>
  </si>
  <si>
    <t>여행의 하자에 대한 시정에 지나치게 많은 비용이 드는 경우에도 여행자는 그 시정을 청구할 수 있다.</t>
  </si>
  <si>
    <t>임대인이 임차인의 의사에 반하여 보존행위를 하는 경우, 임차인이 이로 인하여 임차목적을 달성할 수 없는 때에는 임대차계약을 해지할 수 있다.</t>
  </si>
  <si>
    <t>사무관리의 성립요건인 '타인을 위하여 사무를 처리하는 의사'는 반드시 외부적으로 표시되어야 한다.</t>
  </si>
  <si>
    <t>제한능력을 이유로 취소할 수 있는 법률행위는 제한능력자가 단독으로 취소할 수 있다.</t>
  </si>
  <si>
    <t>통정허위표시로 무효인 법률행위도 채권자취소권의 대상이 될 수 있다.</t>
  </si>
  <si>
    <t>乙은 甲의 승낙이 있는 경우에만 복대리인을 선임할 수 있다.</t>
  </si>
  <si>
    <t>무권대리행위의 상대방이 제134조의 철회권을 유효하게 행사한 후에도 본인은 무권대리행위를 추인할 수 있다.</t>
  </si>
  <si>
    <t>취소할 수 있는 법률행위를 취소한 후 그 취소 원인이 소멸하였다면, 취소할 수 있는 법률행위의 추인에 의하여 그 법률행위를 다시 확정적으로 유효하게 할 수 있다.</t>
  </si>
  <si>
    <t>甲과 乙이 허가신청절차 협력의무 위반에 따른 손해배상액을 예정하는 약정은 유효하다.</t>
  </si>
  <si>
    <t>2023년 5월 27일(토) 13시부터 9시간의 만료점은 2023년 5월 27일 22시이다.</t>
  </si>
  <si>
    <t>조건의 성취로 인하여 불이익을 받을 당사자가 과실로 신의성실에 반하여 조건의 성취를 방해한 때에는 상대방은 그 조건이 성취한 것으로 주장할 수 있다.</t>
  </si>
  <si>
    <t>당사자가 주장하는 소멸시효 기산일이 본래의 기산일과 다른 경우, 특별한 사정이 없는 한 당사자가 주장하는 기산일을 기준으로 소멸시효를 계산하여야 한다.</t>
  </si>
  <si>
    <t>양 책임이 성립하는 경우, 채권자나 피해자가 행사하는 손해배상채권의 소멸시효는 3년이 적용된다는 점에서 공통된다.</t>
  </si>
  <si>
    <t>甲이 丙을 상대로 채권자대위권을 행사한 경우, 甲의 채권자대위소송의 제기로 인한 소멸시효 중단의 효력은 乙의 丙에 대한 채권에 생긴다.</t>
  </si>
  <si>
    <t>甲의 乙에 대한 채권이 X부동산에 대한 소유권이전등기청구권인 경우, 甲은 이를 피보전채권으로 하여 채권자취소권을 행사할 수 없다.</t>
  </si>
  <si>
    <t>X토지에 대한 매매계약의 해제로 X토지의 소유권을 상실하게 된 매수인으로부터 해제 이전에 X토지를 임차하여 임차권등기를 마친 자</t>
  </si>
  <si>
    <t>甲이 상계권을 행사하지 않은 경우, 乙과 丙은 甲의 상계권을 행사할 수 없고, 甲, 乙, 丙은 丁에게 3백만원의 연대채무를 부담한다.</t>
  </si>
  <si>
    <t>승낙기간을 정하지 않은 청약은 청약자가 상당한 기간 내에 승낙의 통지를 받지 못한 때에는 그 효력을 잃는다.</t>
  </si>
  <si>
    <t>매매예약완결권은 당사자 사이에 다른 약정이 없는 한 10년 내에 이를 행사하지 않으면 시효로 소멸한다.</t>
  </si>
  <si>
    <t>조합계약의 당사자가 손익분배의 비율을 정하지 아니한 때에는 각 조합원의 출자가액에 비례하여 이를 정한다.</t>
  </si>
  <si>
    <t>X토지의 일부가 乙의 과실없이 멸실되어 사용・수익할 수 없게 된 경우, 乙은 그 부분의 비율에 의한 차임의 감액을 청구할 수 있다.</t>
  </si>
  <si>
    <t>「부동산 실권리자명의 등기에 관한 법률」에 위반되어 무효인 명의신탁약정에 기하여 타인 명의로 등기를 마쳐준 것은 당연히 불법원인급여에 해당한다.</t>
  </si>
  <si>
    <t>사용자가 근로계약에 수반되는 보호의무를 위반함으로써 피용자가 손해를 입은 경우, 사용자는 이를 배상할 책임이 있다.</t>
  </si>
  <si>
    <t>임대차계약에 차임을 증액하지 않기로 하는 특약이 있더라도 그 특약을 그대로 유지시키는 것이 신의칙에 반한다고 인정될 정도의 사정변경이 있는 경우에는 임대인에게 차임증액청구가 인정될 수 있다.</t>
  </si>
  <si>
    <t>법정대리인이 미성년자에게 특정한 영업을 허락한 경우, 그 영업과 관련된 행위에 대해서 법정대리인의 대리권은 소멸한다.</t>
  </si>
  <si>
    <t>법인의 불법행위를 성립시키는 대표기관에는 법인을 실질적으로 운영하면서 그 법인을 사실상 대표하여 법인의 사무를 집행하는 사람이 포함된다.</t>
  </si>
  <si>
    <t>명인방법을 갖춘 수목은 독립하여 거래의 객체가 될 수 있다.</t>
  </si>
  <si>
    <t>보험사고를 가장하여 보험금을 부정취득할 목적으로 체결된 다수의 생명보험계약은 그 목적에 대한 보험자의 인식 여부를 불문하고 무효이다.</t>
  </si>
  <si>
    <t>표의자의 진의와 표시가 불일치함을 상대방이 명확하게 인식하였다면 그 불일치에 대하여 양자 간에 합의가 없더라도 통정허위표시가 성립한다.</t>
  </si>
  <si>
    <t>대리인이 수인(數人)인 때에는 법률 또는 수권행위에서 다른 정함이 없으면 공동으로 본인을 대리한다.</t>
  </si>
  <si>
    <t>하나의 무권대리행위 일부에 대한 본인의 추인은 상대방의 동의가 없으면 무효이다.</t>
  </si>
  <si>
    <t>무효행위의 추인은 무효원인이 소멸하기 전에도 할 수 있다.</t>
  </si>
  <si>
    <t>기간의 말일이 공휴일에 해당한 때에는 기간은 그 익일로 만료한다.</t>
  </si>
  <si>
    <t>기성조건이 정지조건이면 그 법률행위는 무효로 한다.</t>
  </si>
  <si>
    <t>대항요건을 갖추지 못한 채권양도의 양수인이 채무자를 상대로 재판상 청구를 하여도 시효중단사유인 재판상 청구에 해당하지 아니한다.</t>
  </si>
  <si>
    <t>종류채권의 경우, 목적물이 특정된 때부터 그 특정된 물건이 채권의 목적물이 된다.</t>
  </si>
  <si>
    <t>A가 甲에 대하여 채무의 이행을 청구하여 시효가 중단된 경우, 乙에게도 시효중단의 효력이 있다.</t>
  </si>
  <si>
    <t>민법상 조합원의 조합탈퇴권은 특별한 사정이 없는 한 채권자대위권의 목적이 될 수 없다.</t>
  </si>
  <si>
    <t>채무인수가 면책적인지 중첩적인지 불분명한 경우에는 중첩적 채무인수로 본다.</t>
  </si>
  <si>
    <t>채권자가 주채무자에 대하여 상계적상에 있는 자동채권을 상계하지 않는 경우, 보증 채무자는 이를 이유로 보증한 채무의 이행을 거부할 수 있다.</t>
  </si>
  <si>
    <t>청약이 상대방에게 발송된 후 도달하기 전에 발생한 청약자의 사망은 그 청약의 효력에 영향을 미치지 아니한다.</t>
  </si>
  <si>
    <t>요약자와 낙약자의 합의에 따라 제3자의 권리를 소멸시킬 수 있음을 미리 유보하였더라도 제3자에게 그 권리가 확정적으로 귀속되었다면 요약자와 낙약자는 제3자의 권리를 소멸시키지 못한다.</t>
  </si>
  <si>
    <t>계약체결에 관한 대리권만을 수여받은 대리인은 계약체결 후 그 계약을 해제할 수 없다.</t>
  </si>
  <si>
    <t>부담부 증여의 증여자는 담보책임을 진다.</t>
  </si>
  <si>
    <t>변호사에게 계쟁사건의 처리를 위임함에 있어서 보수에 관하여 명시적으로 약정하지 않은 경우, 특별한 사정이 없는 한 응분의 보수를 지급할 묵시의 약정이 있는 것으로 볼 수 있다.</t>
  </si>
  <si>
    <t>선의의 수익자가 패소한 때에는 패소가 확정된 때부터 악의의 수익자로 본다.</t>
  </si>
  <si>
    <t>가정법원은 본인의 의사에 반하여 한정후견개시의 심판을 할 수 없다.</t>
  </si>
  <si>
    <t>대표자로부터 사단의 제반 업무처리를 포괄적으로 위임 받은 자의 대행행위의 효력은 원칙적으로 법인 아닌 사단에 미친다.</t>
  </si>
  <si>
    <t>불공정한 법률행위의 무효는 원칙적으로 추인에 의해 유효로 될 수 없다.</t>
  </si>
  <si>
    <t>통정허위표시로서 의사표시가 무효라고 주장하는 자는 그 무효사유에 해당하는 사실을 증명할 책임이 있다.</t>
  </si>
  <si>
    <t>당사자는 주물을 처분할 때에 특약으로 종물을 제외하거나 종물만 별도로 처분할 수 있다.</t>
  </si>
  <si>
    <t>신원보증서류에 서명날인한다는 착각에 빠진 상태로 연대보증서면에 서명날인한 것은 동기의 착오이다.</t>
  </si>
  <si>
    <t>정지조건부채권의 소멸시효는 조건성취 시부터 진행된다.</t>
  </si>
  <si>
    <t>대리인이 수인인 경우 대리인은 특별한 사정이 없는 한 각자가 본인을 대리한다.</t>
  </si>
  <si>
    <t>조건이 선량한 풍속 기타 사회질서에 위반한 경우, 그 조건만 무효로 될 뿐 그 법률행위는 조건없는 법률행위로 유효하다.</t>
  </si>
  <si>
    <t>5월 9일, 8월 8일</t>
  </si>
  <si>
    <t>무효행위의 추인이 있었다는 사실은 새로운 법률행위의 성립을 주장하는 자가 증명하여야 한다.</t>
  </si>
  <si>
    <t>상대방이 무권대리로 인하여 취득한 권리를 양도한 경우, 본인은 그 양수인에게 추인할 수 없다.</t>
  </si>
  <si>
    <t>채무자가 이행보조자의 선임・감독상의 주의의무를 다하더라도 채무자는 이행보조자에 의해 유발된 채무불이행책임을 면하지 못한다.</t>
  </si>
  <si>
    <t>당사자 쌍방의 귀책사유 없이 매도인의 채무가 후발적・객관적 전부불능인 경우, 매도인은 매수인에게 매매대금의 지급을 구하지 못한다.</t>
  </si>
  <si>
    <t>당사자간 지명채권양도의 효과는 특별한 사정이 없는 한 통지 또는 승낙과 관계없이 양도계약과 동시에 발생한다.</t>
  </si>
  <si>
    <t>연대채무자 중 1인이 연대의 면제를 받더라도, 다른 연대채무자는 채무전액을 부담한다.</t>
  </si>
  <si>
    <t>하는 채무에 대한 대체집행은 허용되지 않는다.</t>
  </si>
  <si>
    <t>손해배상액이 예정되어 있는 경우라도 과실상계 할 수 있다.</t>
  </si>
  <si>
    <t>사무관리가 성립하는 경우, 甲은 乙에게 부당이득반환을 청구할 수 있다.</t>
  </si>
  <si>
    <t>가해자 중 1인이 다른 가해자에 비하여 불법행위에 가공한 정도가 경미한 경우, 그 가해자의 피해자에 대한 책임범위를 손해배상액의 일부로 제한하여 인정할 수 있다.</t>
  </si>
  <si>
    <t>甲, 乙, 丙사이에 순차적으로 매매계약이 이루어지고 丙이 매매대금을 乙의 지시에 따라 甲에게 지급한 경우, 乙과 丙사이의 매매계약이 해제되더라도 丙은 甲에게 직접 부당이득반환을 청구할 수 없다.</t>
  </si>
  <si>
    <t>조합계약에서 출자의무의 이행과 이익분배를 직접 연결시키는 특약을 두지 않는 경우, 조합은 출자의무를 이행하지 않은 조합원의 이익분배 자체를 거부할 수 없다.</t>
  </si>
  <si>
    <t>동시이행항변권에 따른 이행지체책임 면제의 효력은 그 항변권을 행사・원용하여야 발생한다.</t>
  </si>
  <si>
    <t>甲이 단독으로 乙과 계약을 체결한 후, 제한능력을 이유로 甲 스스로 위 계약을 취소하는 것은 신의칙에 반한다.</t>
  </si>
  <si>
    <t>대표이사의 불법행위가 법인의 불법행위로 되는 경우에 대표이사는 자기의 불법행위 책임을 면한다.</t>
  </si>
  <si>
    <t>국립공원의 입장료는 법정과실에 해당한다.</t>
  </si>
  <si>
    <t>허위표시는 불법원인이므로 甲은 丙에게 자신의 소유권에 기하여 A부동산의 반환을 청구할 수 없다.</t>
  </si>
  <si>
    <t>재산을 강제로 뺏긴다는 인식을 하고 있는 자가 고지된 해악이 두려워 어쩔 수 없이 증여의 의사표시를 한 경우 이는 비진의표시라 할 수 없다.</t>
  </si>
  <si>
    <t>대리인에 의하여 법률행위가 이루어진 경우 경솔과 무경험은 본인을 기준으로, 궁박은 대리인을 기준으로 판단한다.</t>
  </si>
  <si>
    <t>당사자의 의사표시로 조건성취의 효력을 소급시킬 수 없다.</t>
  </si>
  <si>
    <t>취소할 수 있는 법률행위는 추인권자의 추인이 있은 후에는 취소하지 못한다.</t>
  </si>
  <si>
    <t>금전소비대차계약에서 원리금반환채무 변제의 수령권한을 위임받은 대리인은 원칙적으로 그 원리금반환채무를 면제해 줄 대리권도 있다.</t>
  </si>
  <si>
    <t>계속적 물품공급계약에 기하여 발생한 외상대금채권은 특별한 사정이 없는 한 거래종료일부터 외상대금채권 총액에 대하여 한꺼번에 소멸시효가 기산한다.</t>
  </si>
  <si>
    <t>금전채무의 이행지체로 인한 지연손해금채무는 이행기의 정함이 없는 채무에 해당한다.</t>
  </si>
  <si>
    <t>매도인의 하자담보책임은 법이 특별히 인정한 무과실책임이지만 그 하자의 발생 및 확대에 가공한 매수인의 잘못이 있다면 법원은 이를 참작하여 손해배상의 범위를 정하여야 한다.</t>
  </si>
  <si>
    <t>채권자취소권 행사의 효력은 소를 제기한 甲의 이익을 위해서만 발생한다.</t>
  </si>
  <si>
    <t>채권양도에 대한 채무자의 승낙은 양도인 또는 양수인에 대하여 할 수 있다.</t>
  </si>
  <si>
    <t>변제충당에 관한 당사자의 특별한 합의가 없으면 그 채무의 비용, 이자, 원본의 순서로 변제에 충당하여야 한다.</t>
  </si>
  <si>
    <t>乙이 위 중고자동차를 900만원에 매수하겠다고 회신하였다면 乙은 甲의 청약을 거절하고 새로운 청약을 한 것이다.</t>
  </si>
  <si>
    <t>매매 목적물인 서화(書畵)가 위작으로 밝혀진 경우, 매도인의 담보책임이 발생하면 매수인은 착오를 이유로는 매매계약을 취소할 수 없다.</t>
  </si>
  <si>
    <t>완성된 목적물의 하자가 중요하지 아니하면서 동시에 보수에 과다한 비용을 요하는 경우 도급인은 수급인에게 하자의 보수에 갈음하는 손해배상을 청구할 수 있다.</t>
  </si>
  <si>
    <t>수인이 공동으로 법률상 원인 없이 타인의 재산을 사용한 경우 발생하는 부당이득반환채무는 특별한 사정이 없는 한 부진정연대관계에 있다.</t>
  </si>
  <si>
    <t>파견근로자의 파견업무에 관련한 불법행위에 대하여 파견사업주는 특별한 사정이 없는 한 사용자의 배상책임을 부담한다.</t>
  </si>
  <si>
    <t>매매예약의 완결권 - 형성권</t>
  </si>
  <si>
    <t>일상생활에 필요하고 그 대가가 과도하지 아니한 피성년후견인의 법률행위는 성년후견인이 취소할 수 없다.</t>
  </si>
  <si>
    <t>종중재산의 분배에 관한 종중총회의 결의 내용이 자율적으로 결정되었다고 하더라도 종원의 고유하고 기본적인 권리의 본질적인 내용을 침해하는 경우, 그 결의는 무효이다.</t>
  </si>
  <si>
    <t>주물의 소유자 아닌 자의 물건도 원칙적으로 종물이 될 수 있다.</t>
  </si>
  <si>
    <t>丙이 보호받기 위해서는 허위표시에 대하여 선의이면 족하고 무과실일 필요는 없다.</t>
  </si>
  <si>
    <t>착오로 인하여 표의자가 경제적 불이익을 입지 않은 경우에는 법률행위 내용의 중요부분의 착오라고 볼 수 없다.</t>
  </si>
  <si>
    <t>토지 매각의 대리권을 수여받은 대리인은 특별한 사정이 없는 한 중도금과 잔금을 수령할 권한을 가진다.</t>
  </si>
  <si>
    <t>甲은 매매계약의 추인을 거절하였더라도 이를 다시 번복하여 추인할 수 있다.</t>
  </si>
  <si>
    <t>불공정한 법률행위는 법정추인에 의해 유효로 될 수 있다.</t>
  </si>
  <si>
    <t>조건의 성취가 미정인 조건부 권리도 일반규정에 의하여 담보로 할 수도 있다.</t>
  </si>
  <si>
    <t>가처분은 소멸시효 정지사유 중의 하나이다.</t>
  </si>
  <si>
    <t>乙은 甲에게 손해가 발생하지 않았다는 사실을 증명하더라도 예정배상액의 지급책임을 면할 수 없다.</t>
  </si>
  <si>
    <t>한 개의 손해배상청구권 중 일부가 소송상 청구된 경우, 법원은 과실상계를 함에 있어서 손해의 전액에서 과실비율에 의한 감액을 하고 그 잔액이 청구액을 초과하지 않을 경우에는 그 잔액을 인용해야 한다.</t>
  </si>
  <si>
    <t>채권자대위소송에서 甲의 乙에 대한 채권이 존재하는지 여부는 법원의 직권조사사항이 아니다.</t>
  </si>
  <si>
    <t>채무초과상태의 채무자가 유일한 재산을 우선변제권 있는 채권자에게 대물변제로 제공하는 경우, 특별한 사정이 없는 한 사해행위가 되지 않는다.</t>
  </si>
  <si>
    <t>지명채권의 양도통지를 한 후 그 양도계약이 해제된 경우, 양도인이 그 해제를 이유로 채무자에게 양도채권으로 대항하려면 양수인이 그 채무자에게 해제사실을 통지하여야 한다.</t>
  </si>
  <si>
    <t>면책적 채무인수로 인하여 종래의 채무가 소멸하는 것은 아니므로 특별한 사정이 없는 한 종래의 채무를 담보하는 저당권도 당연히 소멸하지는 않는다.</t>
  </si>
  <si>
    <t>이행지체로 계약이 해제된 경우, 원상회복의무의 이행으로 반환할 금전에는 그 받은 날로부터 이자를 가하여야 한다.</t>
  </si>
  <si>
    <t>乙이 위임을 해지하여 甲이 손해를 입었더라도 乙은 손해배상의무를 부담하지 않는 것이 원칙이다.</t>
  </si>
  <si>
    <t>임대차계약 존속 중 주택에 사소한 파손이 생긴 경우, 乙의 사용・수익을 방해할 정도가 아니라면 특별한 사정이 없는 한 甲은 수선의무를 부담하지 않는다.</t>
  </si>
  <si>
    <t>채권자와 채무자간의 잔존채무액의 계산행위는 특별한 사정이 없는 한 화해계약이 아니다.</t>
  </si>
  <si>
    <t>불법행위에 의하여 재산권이 침해된 경우, 특별한 사정이 없는 한 그 재산적 손해의 배상에 의하여 정신적 고통도 회복된다고 볼 수 있다.</t>
  </si>
  <si>
    <t>불법원인급여로 인해 반환을 청구하지 못하는 이익은 종국적인 것임을 요하지 않는다.</t>
  </si>
  <si>
    <t>신의성실의 원칙에 반한다는 것을 당사자가 주장하지 않더라도 법원은 직권으로 판단할 수 있다.</t>
  </si>
  <si>
    <t>특정후견은 본인의 의사에 반하여 할 수 없다.</t>
  </si>
  <si>
    <t>법원이 선임한 재산관리인의 권한은 부재자가 사망하면 선임결정이 취소되지 않더라도 소멸한다.</t>
  </si>
  <si>
    <t>입목에 관한 법률에 의하여 입목등기를 한 수목의 집단은 토지와 별개의 부동산이다.</t>
  </si>
  <si>
    <t>법인은 정관 또는 총회의 결의로 감사를 둘 수 있다.</t>
  </si>
  <si>
    <t>궁박'에는 정신적 또는 심리적 원인에 기인한 것은 포함되지 않는다.</t>
  </si>
  <si>
    <t>매도인이 매매계약을 적법하게 해제한 후 매수인은 착오를 이유로 매매계약을 취소할 수 없다.</t>
  </si>
  <si>
    <t>추인은 무권대리행위로 인한 권리 또는 법률관계의 승계인에게도 할 수 있다.</t>
  </si>
  <si>
    <t>조건의 성취가 미정한 권리의무는 일반규정에 의하여 처분, 상속, 보존 또는 담보로 할 수 있다.</t>
  </si>
  <si>
    <t>甲이 의사능력을 회복한 후에 추인하면, 다른 약정이 없더라도 그 근로계약은 소급하여 유효하다.</t>
  </si>
  <si>
    <t>근로자가 그 임금채권을 양도한 경우, 양수인은 사용자에 대하여 임금의 지급을 청구할 수 있다.</t>
  </si>
  <si>
    <t>불확정기한부 채무의 경우, 기한 도래 사실의 인식여부를 불문하고 기한이 객관적으로 도래한 때로부터 지체책임을 진다.</t>
  </si>
  <si>
    <t>손해배상 예정액이 부당하게 과다한 경우에는 법원은 당사자의 주장이 없더라도 직권으로 이를 감액할 수 있다.</t>
  </si>
  <si>
    <t>甲은 丙에게 5,000만원을 乙에게 이행할 것을 청구할 수 있을 뿐만 아니라, 직접 자기에게 이행할 것을 청구할 수 있다.</t>
  </si>
  <si>
    <t>채권이 압류하지 못할 것인 때에는 그 채무자는 상계로 채권자에게 대항하지 못한다.</t>
  </si>
  <si>
    <t>합의해제의 소급효는 해제 전에 매매목적물에 대하여 저당권을 취득한 제3자에게 영향을 미친다.</t>
  </si>
  <si>
    <t>乙은 甲에게 채무불이행으로 인한 손해배상을 청구할 수 없다.</t>
  </si>
  <si>
    <t>매매의 목적인 권리의 전부가 타인에게 속한 경우, 매도인이 그 권리를 취득하여 매수인에게 이전할 수 없는 때에는 악의의 매수인은 매매계약을 해제할 수 있다.</t>
  </si>
  <si>
    <t>임차인의 채무불이행으로 임대차계약이 해지된 경우, 임차인은 부속물매수청구권을 행사할 수 있다.</t>
  </si>
  <si>
    <t>乙의 甲에 대한 공사대금채권의 소멸시효는 10년이다.</t>
  </si>
  <si>
    <t>임차인이 동시이행의 항변권에 기하여 임차목적물을 사용・수익한 경우에는 부당이득이 성립하지 않는다.</t>
  </si>
  <si>
    <t>명예훼손의 경우, 법원은 피해자의 청구가 없더라도 직권으로 명예회복에 적합한 처분을 명할 수 있다.</t>
  </si>
  <si>
    <t>甲은 丙에게 채무불이행으로 인한 손해배상을 청구할 수 없다.</t>
  </si>
  <si>
    <t>급부 간 현저한 불균형이 있더라도 폭리자가 피해 당사자 측의 사정을 알면서 이를 이용하려는 의사가 없다면 불공정한 법률행위가 아니다.</t>
  </si>
  <si>
    <t>채권양도인과 채무자 사이의 허위표시에 의해 성립한 지명채권을 선의로 양수한 채권양수인이 채무자에게 채권을 행사하기 위하여 양도에 관한 합의 외에 채권양도의 대항요건을 갖추어야 한다.</t>
  </si>
  <si>
    <t>본인이 대리인을 통하여 계약을 체결하는 것에 대하여 상대방이 그러한 사정을 알고 대리인과 계약을 체결하였는데 대리권이 존재하지 않은 경우, 계약의 당사자는 대리인과 상대방이 된다.</t>
  </si>
  <si>
    <t>가정법원이 한정후견개시의 심판을 하는 경우 본인의 의사를 고려할 필요는 없다.</t>
  </si>
  <si>
    <t>대리권수여의 표시에 의한 표현대리에 해당하여 본인에게 대리의 효과가 귀속하기 위해서는 상대방은 선의・무과실이어야 한다.</t>
  </si>
  <si>
    <t>무권대리행위가 범죄가 되는 경우에 본인이 그 사실을 알고도 장기간 형사고소를 하지 아니하였다면 무권대리행위를 추인한 것이다.</t>
  </si>
  <si>
    <t>근로자들이 사용자의 지시에 따라 사직의 의사 없이 사직서를 제출하였고 사용자가 선별적으로 수리하여 의원면직 처리하였다면 그 사직서의 제출은 비진의 의사표시에 해당한다.</t>
  </si>
  <si>
    <t>법정대리인의 동의 없이 행한 미성년자의 법률행위는 미성년자가 단독으로 취소할 수 있다.</t>
  </si>
  <si>
    <t>어느 법률행위에 어떤 조건이 붙어 있었는지 여부는 그 조건의 존재를 주장하는 자가 이를 증명하여야 한다.</t>
  </si>
  <si>
    <t>소멸시효는 법률행위에 의하여 그 기간을 단축할 수 없다.</t>
  </si>
  <si>
    <t>B채권이 임금채권인 경우, 특별한 사유가 존재하지 않는 한 甲은 A채권으로 B채권과 상계하지 못한다.</t>
  </si>
  <si>
    <t>계약 내용에 손해배상액을 예정하는 약정이 있는 경우에는 계약상의 채무불이행으로 인한 손해액과 함께 그 계약과 관련된 불법행위상의 손해액까지 예정한 것이다.</t>
  </si>
  <si>
    <t>금전채무 불이행책임의 경우, 그 손해에 대한 채권자의 증명이 필요하다.</t>
  </si>
  <si>
    <t>부동산 이중매매의 경우, 제1매수인이 아닌 제2매수인과 그 부동산에 관한 매매계약이 체결된 사실이 있으면, 이행불능으로서 채무불이행에 해당한다.</t>
  </si>
  <si>
    <t>채무자의 채권자대위권은 대위할 수 있지만, 채무자의 채권자취소권은 대위할 수 없다.</t>
  </si>
  <si>
    <t>채무자와 인수인 간 채무인수의 합의는 다른 특별한 사정이 없는 한 병존적 채무인수로서, 이는 일종의 제3자를 위한 계약으로서 채권자가 수익의 의사표시를 함으로써 인수인에 대한 권리를 갖게 된다.</t>
  </si>
  <si>
    <t>채권자취소권에 의해 보전되는 채권은 특별한 경우 사해행위 이후에도 성립할 수 있다.</t>
  </si>
  <si>
    <t>丙은 甲이 가지는 항변으로 乙에게 대항할 수 있으나, 甲이 이를 포기하였다면 丙은 그 항변으로 乙에게 대항할 수 없다.</t>
  </si>
  <si>
    <t>매매계약이 취소된 경우 각 당사자의 원상회복의무</t>
  </si>
  <si>
    <t>乙이 약정기일에 중도금을 지급한 경우 甲은 乙에게 2천만원을 상환하고 계약을 해제할 수 없다.</t>
  </si>
  <si>
    <t>임대인이 수선의무를 이행함으로써 목적물의 사용・수익에 지장이 초래된 경우 임차인은 그 지장의 한도 내에서 차임지급을 거절할 수 있다.</t>
  </si>
  <si>
    <t>법률상 원인 없이 타인 소유의 건물을 점유하여 거주하는 자는 특별한 사정이 없는 한 건물의 차임 상당액을 부당이득으로 반환할 의무가 있다.</t>
  </si>
  <si>
    <t>도급인이 수급인에 대하여 특정한 행위를 지휘한 경우 도급인에게는 사용자로서의 배상책임이 없다.</t>
  </si>
  <si>
    <t>한정후견개시의 심판을 하는 경우, 가정법원은 한정후견의 기간을 정해야 한다.</t>
  </si>
  <si>
    <t>법인의 대표이사가 그 대표권의 범위 내에서 한 행위는 자기의 이익을 도모할 목적으로 그 권한을 남용한 것이라고 할지라도, 특별한 사정이 없는 한, 법인의 행위로서 유효하다.</t>
  </si>
  <si>
    <t>사원총회는 소집통지에 의해 통지한 사항에 대해서만 결의할 수 있으나, 총회의 결의로 이와 달리 정할 수 있다.</t>
  </si>
  <si>
    <t>건물에 대한 저당권의 효력은, 특별한 사정이 없는 한, 그 건물의 소유를 목적으로 하는 지상권에도 미친다.</t>
  </si>
  <si>
    <t>제3자의 사기로 계약을 체결한 자는 그 계약을 취소하지 않고 그 제3자에 대하여 불법행위로 인한 손해배상만을 청구할 수도 있다.</t>
  </si>
  <si>
    <t>부동산의 이중매매의 경우, 제2매수인의 대리인이 매매대상 토지에 관한 거래의 사정을 잘 알면서 매도인의 배임행위에 가담하였다면, 대리행위의 하자 유무는 본인을 표준으로 판단해야 한다.</t>
  </si>
  <si>
    <t>본인의 성명을 모용하여 자기가 마치 본인인 것처럼 기망하여 본인 명의로 직접 법률행위를 한 경우, 특별한 사정이 없는 한, 표현대리는 성립될 수 없다.</t>
  </si>
  <si>
    <t>법률행위의 일부가 무효인 때에는 원칙적으로 그 전부를 무효로 한다.</t>
  </si>
  <si>
    <t>불법조건이 붙어 있는 법률행위는 불법조건만 무효이며, 법률행위 자체는 무효로 되지 않는다.</t>
  </si>
  <si>
    <t>2017년 6월 3일(토) 0시</t>
  </si>
  <si>
    <t>이행불능으로 인한 손해배상청구권은 이행불능이 된 때로부터 소멸시효가 진행한다.</t>
  </si>
  <si>
    <t>A와 B가 공유하는 건물을 C에게 매도하는 경우, A와 B의 매매대금청구권</t>
  </si>
  <si>
    <t>A는 300만원, C는 400만원, D는 400만원</t>
  </si>
  <si>
    <t>채무자와 제3채무자 사이의 소송이 계속된 이후의 소송수행과 관련한 개개의 소송상 행위도 채권자대위가 허용된다.</t>
  </si>
  <si>
    <t>양도금지의 특약이 있는 채권은 압류가 금지된다.</t>
  </si>
  <si>
    <t>자동채권의 변제기가 도래하지 않은 경우</t>
  </si>
  <si>
    <t>청약자는 청약이 상대방에게 도달하기 전에는 임의로 이를 철회할 수 있다.</t>
  </si>
  <si>
    <t>특별한 사정이 없는 한, 자동채권과 수동채권이 동시이행관계에 있다고 하더라도 서로 현실적으로 이행하여야 할 필요가 없는 경우라면 상계가 허용된다.</t>
  </si>
  <si>
    <t>특별한 사정이 없는 한, 당사자의 일방 또는 쌍방이 수인인 경우에 해지나 해제의 권리가 당사자 1인에 대하여 소멸하여도 다른 당사자에게는 영향을 미치지 않는다.</t>
  </si>
  <si>
    <t>당사자의 약정에 따라 계약금이 해약금과 손해배상의 예정을 겸하는 경우, 그것이 부당히 과다한 때에는 법원은 이를 적당히 감액할 수 있다.</t>
  </si>
  <si>
    <t>부담부증여의 수증자가 그 부담을 이행하지 않은 경우, 증여자는 증여를 해제할 수 있으나 이미 이행한 부분은 수증자에게 반환받지 못한다.</t>
  </si>
  <si>
    <t>토지임대차의 기간의 약정이 없는 경우, 원칙적으로 각 당사자는 언제든지 임대차계약의 해지를 통고할 수 있다.</t>
  </si>
  <si>
    <t>여행에 하자가 있는 경우 여행자는 여행주최자에게 하자의 시정 또는 대금의 감액을 청구할 수 있으나, 시정에 지나치게 많은 비용이 드는 경우에는 시정을 청구할 수 없다.</t>
  </si>
  <si>
    <t>법률행위가 제한능력을 이유로 취소되는 경우, 제한능력자의 상환의무</t>
  </si>
  <si>
    <t>민법 제1조(法源)에서의 '법률'은 국회가 제정한 법률만을 의미한다.</t>
  </si>
  <si>
    <t>피한정후견인은 동의를 필요로 하는 행위가 아닌 이상 확정적으로 유효한 법률행위를 할 수 있다.</t>
  </si>
  <si>
    <t>당사자는 주물을 처분할 때에 특약으로 종물을 제외할 수 있고 종물만을 별도로 처분할 수도 있다.</t>
  </si>
  <si>
    <t>강행규정위반의 무효는 원칙적으로 선의의 제3자에게도 주장할 수 있다.</t>
  </si>
  <si>
    <t>丙은 乙의 동의가 있더라도 특별한 사정이 없는 한, 토지매매계약을 해제할 수 없다.</t>
  </si>
  <si>
    <t>매도인이 매매계약을 적법하게 해제한 이상 매수인은 착오를 이유로 매매계약을 취소할 수 없다.</t>
  </si>
  <si>
    <t>복대리인은 그 권한 내에서 본인을 대리한다.</t>
  </si>
  <si>
    <t>대리권의 범위가 명확하지 않은 임의대리인이라 하더라도 소멸시효를 중단시킬 수 있다.</t>
  </si>
  <si>
    <t>기한이익 상실의 특약은 명백히 정지조건부 기한이익 상실의 특약이라고 볼 만한 특별한 사정이 없는 이상 형성권적 기한이익 상실의 특약으로 추정된다.</t>
  </si>
  <si>
    <t>취소권은 그 제척기간 내에 소를 제기하는 방법으로 재판상 행사하여야만 하는 것이 아니라, 재판 외에서 취소의 의사표시를 하는 방법으로도 행사할 수 있다.</t>
  </si>
  <si>
    <t>금전채무의 지연손해금채무는 금전채무의 이행지체로 인한 손해배상채무로서 이행기의 정함이 없는 채무에 해당한다.</t>
  </si>
  <si>
    <t>특별손해로 인정되기 위해서는 특별한 사정에 관해서 알았거나 알 수 있었던 것으로 족하고, 손해액까지는 예견가능성이 필요하지 않다.</t>
  </si>
  <si>
    <t>채권자취소권도 채권자가 채무자를 대위하여 행사하는 것이 가능하다.</t>
  </si>
  <si>
    <t>사실상의 이해관계를 가진 자는 변제할 정당한 이익이 있으므로 변제로 당연히 채권자를 대위한다.</t>
  </si>
  <si>
    <t>승낙기간을 정한 계약의 청약은 청약자가 그 기간 내에 승낙의 통지를 받지 못한 때에는 그 효력을 잃는다.</t>
  </si>
  <si>
    <t>낙약자는 요약자와 수익자 사이의 법률관계에 기한 항변으로 수익자에게 대항할 수 있다.</t>
  </si>
  <si>
    <t>계약 해제의 효과로서 원상회복의무의 반환의 범위는 이익의 현존 여부나 청구인의 선의・악의를 불문하고 특단의 사유가 없는 한 받은 이익의 전부이다.</t>
  </si>
  <si>
    <t>건축을 목적으로 매매된 토지에 대하여 건축 허가를 받을 수 없어 건축이 불가능한 경우 등과 같은 법률적 제한 내지 장애는 매매목적물의 하자에 해당한다.</t>
  </si>
  <si>
    <t>임차인이 임대인의 동의를 얻어 임차물을 전대한 때에는 전차인은 직접 임대인에 대하여 의무를 부담한다.</t>
  </si>
  <si>
    <t>민법상 조합의 채권은 조합원 전원에게 합유적으로 귀속하는 것이어서 특별한 사정이 없는 한, 조합원 중 1인에 대한 채권으로써 그 조합원 개인을 집행채무자로 하여 조합의 채권에 대하여 강제집행을 할 수 없다.</t>
  </si>
  <si>
    <t>사무를 처리한 자에게 타인을 위하여 처리한다는 관리의사가 없는 경우에도 사무관리가 성립될 수 있다.</t>
  </si>
  <si>
    <t>관습법이 법규범으로서 효력이 인정되기 위해서는 전체 법질서에 부합하여야 한다.</t>
  </si>
  <si>
    <t>예약완결권</t>
  </si>
  <si>
    <t>甲은 법정대리인의 관여 없이 부동산 경매절차에서 매수인이 될 수 없다.</t>
  </si>
  <si>
    <t>丙은 甲에 대하여 원칙적으로 법인의 불법행위책임을 물을 수 없다.</t>
  </si>
  <si>
    <t>乙이 법원의 허가를 받아 한 건물의 처분행위는 甲이 실종선고를 받게 되면 그 효력을 잃는다.</t>
  </si>
  <si>
    <t>행정기관에 진정서를 제출하여 상대방을 궁지에 빠뜨린 다음 이를 취하하는 조건으로 거액의 급부를 받기로 한 약정</t>
  </si>
  <si>
    <t>어떤 해악의 고지가 아니라 단지 각서에 서명・날인할 것을 강력히 요구한 행위는 강박행위가 아니다.</t>
  </si>
  <si>
    <t>甲으로부터 X토지매매의 대리권을 수여받은 乙이 오직 자기의 이익을 도모하기 위하여 매매계약을 체결하였고 丙이 乙의 의도를 알 수 있었던 경우</t>
  </si>
  <si>
    <t>정지조건부 증여계약에서 그 조건이 선량한 풍속 기타 사회질서에 위반하는 경우, 그 증여계약은 무효이다.</t>
  </si>
  <si>
    <t>소멸시효 완성으로 인한 채권의 소멸</t>
  </si>
  <si>
    <t>법정대리인의 동의 없이 한 미성년자의 채무승인</t>
  </si>
  <si>
    <t>채무자가 채권자에 대하여 부담하는 채무를 인수인이 이행하기로 하는 채무자와 인수인 사이의 계약은 이행인수이다.</t>
  </si>
  <si>
    <t>보증인의 부담이 주채무의 목적이나 형태보다 중한 때에는 주채무의 한도로 감축한다.</t>
  </si>
  <si>
    <t>채무자의 법률행위가 사해행위에 해당하는지는 처분행위 당시를 기준으로 판단하며 취소의 대상이 되는 것은 채권행위이거나 물권행위를 불문한다.</t>
  </si>
  <si>
    <t>손해배상액을 예정하는 약정은 그 계약과 관련된 불법행위상의 손해까지 예정한 것으로 볼 수 있다.</t>
  </si>
  <si>
    <t>이행불능이란 사회생활상 경험법칙이나 거래상의 관념에 비추어 채권자가 채무자의 이행의 실현을 기대할 수 없는 경우를 말한다.</t>
  </si>
  <si>
    <t>당사자 사이에 같은 내용의 청약이 서로 교차된 경우, 두 청약이 모두 도달하여야 계약이 성립한다.</t>
  </si>
  <si>
    <t>계약이 합의해제된 경우에도 특별한 사정이 없는 한 채무불이행으로 인한 손해배상을 청구할 수 있다.</t>
  </si>
  <si>
    <t>금전대차에서 차주가 금전에 갈음하여 물건의 인도를 받은 때에는 그 인도시의 가액이 차용액으로 된다.</t>
  </si>
  <si>
    <t>다른 사람이 소유하는 부동산도 임대차의 목적물로 할 수 있다.</t>
  </si>
  <si>
    <t>수임인이 위임사무의 처리로 인하여 받은 금전 기타의 물건에서 생긴 과실은 수임인에게 귀속한다.</t>
  </si>
  <si>
    <t>丙이 甲에 대하여 한 채무면제나 이행청구로 인한 시효중단은 원칙적으로 乙에게 미치지 않는다.</t>
  </si>
  <si>
    <t>사용자가 피용자의 선임・사무감독에 상당한 주의를 한 때 또는 상당한 주의를 하여도 손해가 발생하였을 경우에는 면책된다.</t>
  </si>
  <si>
    <t>법령에 위반되어 무효임을 알면서 법률행위를 한 자는 강행법규 위반을 이유로 그 법률행위의 무효를 주장할 수 없다.</t>
  </si>
  <si>
    <t>저당권은 그 피담보채권의 주된 권리이다.</t>
  </si>
  <si>
    <t>丙이 계약 당시 乙에게 대리권 없음을 알았더라도 甲의 추인이 있기 전에는 매매계약을 철회할 수 있다.</t>
  </si>
  <si>
    <t>미분리의 천연과실도 명인방법을 갖추면 독립한 물건이 된다.</t>
  </si>
  <si>
    <t>乙이 丙에 대하여 소유권이전등기의 무효를 주장하는 것은 신의칙에 반하지 않는다.</t>
  </si>
  <si>
    <t>甲은 매매계약을 취소하지 않더라도 丙을 상대로 직접 불법행위에 기한 손해배상을 청구할 수 있다.</t>
  </si>
  <si>
    <t>법인이 대표자에 대한 선임・감독상의 주의의무를 다한 경우에는 민법 제35조에 의한 불법행위책임을 면할 수 있다.</t>
  </si>
  <si>
    <t>사기・강박에 의하여 의사표시를 한 자의 포괄승계인은 그 의사표시를 취소할 수 없다.</t>
  </si>
  <si>
    <t>불능조건이 정지조건이면 조건 없는 법률행위가 되고, 해제조건이면 그 법률행위는 무효이다.</t>
  </si>
  <si>
    <t>사용대차의 대주</t>
  </si>
  <si>
    <t>소유권이전등기청구권이 발생한 기본적 법률관계에 해당하는 매매계약을 기초로 하여 건축주의 명의변경을 구하는 소를 제기한 경우</t>
  </si>
  <si>
    <t>채무불이행으로 인하여 재산상 손해가 발생한 경우, 그 손해의 배상으로 회복할 수 없는 정신적 고통은 통상손해로서 배상범위에 포함된다.</t>
  </si>
  <si>
    <t>이혼으로 인한 재산분할청구권이 협의 또는 심판에 의하여 그 구체적 내용이 형성되기까지는 이를 보전하기 위하여 채권자대위권을 행사할 수 없다.</t>
  </si>
  <si>
    <t>어느 연대채무자에 대한 법률행위의 무효원인은 다른 연대채무자의 채무에 영향을 미치지 않는다.</t>
  </si>
  <si>
    <t>채권자는 채무자로부터 이행을 인수한 인수인에게 직접 채무의 이행을 청구할 수 있다.</t>
  </si>
  <si>
    <t>채무자는 채권자와의 상계금지특약을 가지고 선의의 채권양수인에게 대항하지 못한다.</t>
  </si>
  <si>
    <t>수급인의 저당권설정청구권의 행사에 따라 도급인이 공사대금채무를 담보하기 위하여 저당권을 설정하는 것은 특별한 사정이 없는 한 사해행위가 아니다.</t>
  </si>
  <si>
    <t>계약해제로 인한 당사자 쌍방의 원상회복의무</t>
  </si>
  <si>
    <t>급여자는 급여한 물건에 대하여 부당이득에 기한 반환청구가 배척되는 경우에도 소유권에 기한 반환청구를 할 수 있다.</t>
  </si>
  <si>
    <t>임치인은 임치물의 하자로 인하여 생긴 손해를 수치인에게 배상하여야 하지만, 수치인이 그 하자를 안 때에는 그러하지 아니하다.</t>
  </si>
  <si>
    <t>위임인이 사망하면 수임인은 특단의 사정이 없는 한 상속인을 위하여 위임계약상의 의무를 이행하여야 한다.</t>
  </si>
  <si>
    <t>방조행위와 피방조자의 불법행위 사이에 상당인과관계가 있으면 방조자도 공동불법행위책임을 진다.</t>
  </si>
  <si>
    <t>매도인의 하자담보책임에 관한 매수인의 권리행사기간은 재판상 청구를 위한 출소기간이다.</t>
  </si>
  <si>
    <t>乙은 이행의 최고 없이도 甲과의 매매계약을 해제할 수 있다.</t>
  </si>
  <si>
    <t>취소의 의사표시에는 조건을 붙일 수 있다.</t>
  </si>
  <si>
    <t>甲이 乙과의 계약을 취소한 경우, 乙에게 부당이득으로 오토바이만 반환하면 된다.</t>
  </si>
  <si>
    <t>법원이 선임한 부재자의 재산관리인은 그 부재자의 사망이 확인되면 즉시 관리인으로서의 권한을 잃는다.</t>
  </si>
  <si>
    <t>甲은 증여계약의 무효를 주장하여 丁에 대하여 X아파트의 반환을 청구할 수 있다.</t>
  </si>
  <si>
    <t>丙은 2012. 3. 2.부터 태아 丁의 법정대리인이 된다.</t>
  </si>
  <si>
    <t>실효의 원칙은 항소권과 같은 소송법상의 권리에는 적용될 수 없다.</t>
  </si>
  <si>
    <t>가장매수한 부동산에 대하여 저당권을 취득한 자</t>
  </si>
  <si>
    <t>실종선고로 인해 甲은 2010년 7월 5일 사망한 것으로 간주된다.</t>
  </si>
  <si>
    <t>丙이 乙을 기망하였다면, 甲은 사기를 이유로 매매계약을 취소할 수 있다.</t>
  </si>
  <si>
    <t>주물의 소유자가 아닌 다른 사람의 물건은 원칙적으로 종물이 될 수 없다.</t>
  </si>
  <si>
    <t>노동조합의 대표자들이 불법쟁의행위를 주도한 경우, 노동조합은 법인의 불법행위책임을 질 수 있다.</t>
  </si>
  <si>
    <t>채무자가 소멸시효 완성 후 채무를 승인하였다면 시효완성의 사실을 알고 그 이익을 포기한 것이라고 추정할 수 있다.</t>
  </si>
  <si>
    <t>면제</t>
  </si>
  <si>
    <t>乙이 甲으로부터 대위권 행사를 통지받은 후 丙에 대한 채권을 제3자에게 양도한 경우, 乙은 이를 가지고 甲에게 대항할 수 있다.</t>
  </si>
  <si>
    <t>위임계약은 유상・무상을 묻지 않고 위임인이나 수임인이 언제든지 해지할 수 있다.</t>
  </si>
  <si>
    <t>경개계약은 신채권을 성립시키고 구채권을 소멸시키는 처분행위이다.</t>
  </si>
  <si>
    <t>채무자에 대한 채권양도의 통지에는 조건이나 기한을 붙일 수 없다.</t>
  </si>
  <si>
    <t>임대차계약 종료 후 임차인이 동시이행의 항변권을 행사하여 임차건물을 사용・수익한 경우, 임대인은 임차인에 대하여 부당이득반환을 청구할 수 없다.</t>
  </si>
  <si>
    <t>甲이 乙에 대하여 하자보수에 갈음하는 손해배상을 청구하는 경우, 甲은 그 손해배상액에 상응하는 공사대금채무에 관하여 이행지체에 빠지지 않는다.</t>
  </si>
  <si>
    <t>공동불법행위자 사이에 구상권 발생시점은 구상권자가 현실로 피해자에게 손해배상금을 지급한 때이다.</t>
  </si>
  <si>
    <t>매매의 목적물의 인도와 동시에 대금을 지급할 경우에는 그 인도 장소에서 이를 지급하여야 한다.</t>
  </si>
  <si>
    <t>채무 중에 이행기가 도래한 것과 도래하지 아니한 것이 있으면 이행기가 도래한 채무의 변제에 충당한다.</t>
  </si>
  <si>
    <t>B : 3,000만원, C : 2,000만원, D : 3,000만원</t>
  </si>
  <si>
    <t>지입차량의 차주 또는 그가 고용한 운전자의 과실로 타인에게 손해를 가한 경우에 지입회사는 이러한 불법행위에 대하여 사용자책임을 부담한다.</t>
  </si>
  <si>
    <t>매도인의 매매목적물에 관한 소유권이전의무가 매수인의 귀책사유에 의하여 이행불능이 된 경우, 매수인은 이행불능을 이유로 계약을 해제할 수 있다.</t>
  </si>
  <si>
    <t>채권자지체 중에도 채무자는 약정이자를 지급할 의무가 있다.</t>
  </si>
  <si>
    <t>丙의 직계비속이 입은 정신적 손해에 대하여는 甲은 배상책임을 부담할 여지가 없다.</t>
  </si>
  <si>
    <t>甲과 乙 사이의 임대차 존속기간은 원칙적으로 20년을 넘지 못한다.</t>
  </si>
  <si>
    <t>소멸시효에는 소급효가 있으나, 제척기간에는 소급효가 없다.</t>
  </si>
  <si>
    <t>경매목적물에 물건의 하자가 있는 경우, 하자담보책임이 발생하지 않는다.</t>
  </si>
  <si>
    <t>丙이 수익의 의사표시를 한 후에 乙의 귀책사유에 의하여 채무가 불이행된 경우, 丙은 乙에 대하여 손해배상을 청구할 수 있다.</t>
  </si>
  <si>
    <t>불공정한 법률행위에 관한 규정은 무상행위에는 적용되지 않는다.</t>
  </si>
  <si>
    <t>채무 없는 자가 착오로 변제한 경우, 그 변제가 도의관념에 적합한 때에는 그 반환을 청구할 수 없다.</t>
  </si>
  <si>
    <t>양도인이 채무자에게 채권양도의 통지를 한 경우, 채권양수인은 채권양도로써 채무자에게 대항할 수 있다.</t>
  </si>
  <si>
    <t>법정과실은 수취할 권리의 존속기간 일수의 비율로 취득한다.</t>
  </si>
  <si>
    <t>손해배상액의 예정이 있다고 하여 계약해제권이 배제되는 것은 아니다.</t>
  </si>
  <si>
    <t>법원의 허가범위를 넘은 처분행위는 무권대리행위이다.</t>
  </si>
  <si>
    <t>미성년자는 단독으로 부동산경매절차에서 매수인(경락인)이 될 수 없다.</t>
  </si>
  <si>
    <t>보수에 관한 명시적인 약정이 없다면, 변호사는 소송의뢰인에게 보수를 청구하지 못한다.</t>
  </si>
  <si>
    <t>정지조건부 기한이익의 상실특약은 조건이 성취되더라도 채권자의 의사표시가 있어야 이행기도래의 효과가 발생한다.</t>
  </si>
  <si>
    <t>이행보조자가 채권자에 대하여 불법행위를 한 경우, 이행보조자는 그 불법행위책임을 지지 아니한다.</t>
  </si>
  <si>
    <t>사해행위 취소로 인한 원상회복으로 부동산을 반환하는 경우, 그 사용이익이나 임료상당액까지 반환하여야 한다.</t>
  </si>
  <si>
    <t>강박에 의한 의사표시를 한 자는 강박상태에서 의사표시를 추인한 경우에도 그 의사표시를 취소할 수 있다.</t>
  </si>
  <si>
    <t>매매목적물이 부동산인 경우에 소유권이전등기를 하고 1개월 후에 환매특약에 따라 환매권보류를 등기하였다면 제3자에게 환매권을 행사할 수 있다.</t>
  </si>
  <si>
    <t>乙-75만원, 丁-25만원, 戊-0원</t>
  </si>
  <si>
    <t>"사단법인의 사원의 지위는 양도 또는 상속할 수 없다"는 민법규정은 임의규정이다.</t>
  </si>
  <si>
    <t>甲의 법정대리인이 甲을 대리하여 근로계약을 체결하지 않았으므로, 甲과 乙 사이의 근로계약은 무효이다.</t>
  </si>
  <si>
    <t>유언</t>
  </si>
  <si>
    <t>주채무자의 의사에 반하여 보증인이 된 자는 주채무를 소멸하게 한 시점에 주채무자가 이익을 받은 한도에서 구상할 수 있다.</t>
  </si>
  <si>
    <t>乙은 甲에게 X토지의 소유권이전등기를 청구할 수 있다.</t>
  </si>
  <si>
    <t>무능력자의 단독행위는 추인있을 때까지 상대방이 거절할 수 있다.</t>
  </si>
  <si>
    <t>민법은 태아의 권리능력에 관하여 개별적 보호주의를 취하고 있다.</t>
  </si>
  <si>
    <t>매매목적물의 인도전에 목적물로부터 생긴 과실은 원칙적으로 매도인에게 속한다.</t>
  </si>
  <si>
    <t>반사회질서의 법률행위는 법률행위의 목적인 권리의무의 내용이 선량한 풍속 기타 사회질서에 위반되는 경우뿐만 아니라, 표시되거나 상대방에게 알려진 법률행위의 동기가 반사회질서적인 경우도 포함한다.</t>
  </si>
  <si>
    <t>2015년 3월 25일 24시</t>
  </si>
  <si>
    <t>착오에 의한 의사표시에서 표의자의 중대한 과실이라 함은 표의자의 직업, 행위의 종류, 목적 등에 비추어 보통 요구되는 주의를 현저히 결여하는 것을 의미한다.</t>
  </si>
  <si>
    <t>부부간의 일상가사대리권은 권한을 넘은 표현대리의 기본대리권이 될 수 있다.</t>
  </si>
  <si>
    <t>정지조건부 기한이익 상실특약을 한 경우에는 그 특약에 정한 사유가 발생한 후 기한의 이익을 상실케 하는 채권자의 의사표시가 있어야 이행기도래의 효과가 발생한다.</t>
  </si>
  <si>
    <t>채권의 가장양도에서 가장양수인에게 채무를 변제하고 있지 않던 채무자는 허위표시의 무효로 대항할 수 없는 제3자가 아니다.</t>
  </si>
  <si>
    <t>취소권자인 채권자가 채무자로부터 담보를 제공받은 경우</t>
  </si>
  <si>
    <t>가압류에 의한 시효중단의 효력은 가압류의 집행보전의 효력이 존속하는 동안은 계속된다.</t>
  </si>
  <si>
    <t>자산의 총액</t>
  </si>
  <si>
    <t>금전채무의 불이행으로 확정된 지연손해배상금채무는 채권자로부터 이행청구를 받은 때로부터 지체책임을 부담하게 된다.</t>
  </si>
  <si>
    <t>乙이 선관주의의무를 다하여 A를 관리하였는지 여부에 대한 증명책임은 甲에게 있다.</t>
  </si>
  <si>
    <t>매도인의 매매목적물에 관한 소유권이전등기 의무가 이행불능 된 경우에 이행불능 이후에 목적물의 가격이 등귀한 때에 그 등귀금액</t>
  </si>
  <si>
    <t>대물변제</t>
  </si>
  <si>
    <t>소멸시효가 완성된 채권이 그 완성 전에 상계할 수 있었던 것이라도 소멸시효가 완성된 후에는 채권자는 그 채권으로 상계할 수 없다.</t>
  </si>
  <si>
    <t>5,000만원</t>
  </si>
  <si>
    <t>채무자에 대한 대항요건으로서의 양도통지에는 조건이나 기한을 붙일 수 없지만, 승낙의 경우에는 이의를 유보할 수 있을 뿐 아니라 조건을 붙여서 할 수도 있다.</t>
  </si>
  <si>
    <t>부동산 매매계약의 합의해제에 따른 매도인의 원상회복청구권은 소유권에 기한물권적청구권이므로 소멸시효의 대상이 되지 않는다.</t>
  </si>
  <si>
    <t>乙이 임차권의 존속기간, 임대인의 동의 여부 등 임차권양도의 중요한 요소를 이루는 사항을 丙에게 알려주지 않았다면, 乙의 임차권양도행위는 기망행위에 해당할 수 있다.</t>
  </si>
  <si>
    <t>채권성립 후 선택권 없는 당사자의 과실로 급부가 불능으로 된 경우, 선택권자는 불능으로 된 급부를 선택할 수 없다.</t>
  </si>
  <si>
    <t>甲이 乙에게 손해배상채무를 면제해 준 이후 손해의 전액을 배상한 丙이 乙에게 구상권을 행사할 때, 乙은 자기의 채무가 면제되었음을 이유로 丙에게 대항할 수 있다.</t>
  </si>
  <si>
    <t>채무 없음을 알고 이를 임의로 변제한 자는 그 반환을 청구하지 못한다.</t>
  </si>
  <si>
    <t>이사의 지위에서 부득이 회사의 계속적 거래관계로 인한 불확정한 채무에 대하여 보증인이 된 자가 퇴사한 경우, 회사의 구상금채무가 확정된 후에도 사정변경을 이유로 해지권을 행사할 수 있다.</t>
  </si>
  <si>
    <t>불법원인급여에 있어서 급여를 한 사람은 상대방에게 부당이득반환청구를 할 수 없음은 물론, 소유권에 기한 반환청구도 할 수 없다.</t>
  </si>
  <si>
    <t>금치산자가 매매계약을 체결하면서 후견인의 동의가 있는 것으로 믿게 사술을 쓴 경우에도 그 계약을 취소할 수 있다.</t>
  </si>
  <si>
    <t>현상광고에서 지정한 행위의 완료기간을 정한 때에도 그 기간만료 전이라면 그 광고와 동일한 방법으로 광고를 철회할 수 있다.</t>
  </si>
  <si>
    <t>법인의 대표자가 법인의 목적범위외의 행위로 인하여 타인에게 손해를 가한 때에는 그 사항의 의결에 찬성하거나 그 의결을 집행한 사원, 이사 및 기타 대표자는 연대하여 배상하여야 한다.</t>
  </si>
  <si>
    <t>법정대리인인 친권자가 친구로부터 부동산을 매수하여 이를 그 자(子)에게 증여하는 행위는 자기계약이지만 유효하다.</t>
  </si>
  <si>
    <t>채권양도의 통지를 받은 후 양수인에게 변제를 한 선의의 채무자는 채권양도 자체가 무효인 경우에도 보호를 받는다.</t>
  </si>
  <si>
    <t>정지조건이 법률행위 당시 성취할 수 없는 것인 경우에는 법률행위는 무효이다.</t>
  </si>
  <si>
    <t>승인으로 인한 시효중단의 효력은 승인의 통지가 상대방에게 도달한 때 발생한다.</t>
  </si>
  <si>
    <t>정지조건부 기한이익상실의 특약을 한 경우에는 원칙적으로 그 특약에 정한 기한이익의 상실사유가 발생함과 동시에 이행기가 도래한다.</t>
  </si>
  <si>
    <t>소멸시효의 기간은 법률행위에 의하여 이를 단축 또는 경감할 수 있지만, 제척기간은 자유로이 단축할 수 없다.</t>
  </si>
  <si>
    <t>채권자 또는 채무자가 선택하는 경우에는 그 선택은 상대방에 대한 의사표시로 한다.</t>
  </si>
  <si>
    <t>임대인이 임차인의 수선요구에 응하여 임차목적물을 제3자에게 수선하도록 한 경우에 그 수급인은 임대인의 이행보조자이다.</t>
  </si>
  <si>
    <t>2009년 6월 13일 24시(자정)</t>
  </si>
  <si>
    <t>보증연대의 특약이 있는 공동보증은 분별의 이익은 없으나 부종성과 보충성은 있다.</t>
  </si>
  <si>
    <t>대리인의 대리권의 범위가 명확하지 않은 경우, 복대리인은 보존행위를 할 수 있다.</t>
  </si>
  <si>
    <t>변제할 정당한 이익이 있는 자인지의 여부를 불문하고 변제자는 채권자의 승낙이 있어야 채권자를 대위할 수 있다.</t>
  </si>
  <si>
    <t>제3자를 위한 계약에서 제3자는 계약성립시에 현존할 필요가 없다.</t>
  </si>
  <si>
    <t>감사에게는 총회를 소집할 수 있는 권한이 없다.</t>
  </si>
  <si>
    <t>수인의 행위 중 어느 자의 행위가 손해를 가한 것인지를 알 수 없는 경우, 그들은 연대하여 손해를 배상할 책임이 있다.</t>
  </si>
  <si>
    <t>乙은 戊에 대하여 정신적 손해의 배상책임을 진다.</t>
  </si>
  <si>
    <t>사용자가 파산선고를 받은 경우에는 고용기간의 약정이 있는 때에도 노무자 또는 파산관재인은 고용계약을 해지할 수 있다.</t>
  </si>
  <si>
    <t>표의자가 통지를 발한 후 사망하거나 행위능력을 상실한 사실은 의사표시의 효력에 영향을 미친다.</t>
  </si>
  <si>
    <t>당사자가 무효행위임을 알고 추인한 경우 이는 처음부터 유효한 법률행위가 된다.</t>
  </si>
  <si>
    <t>채무면제는 단독행위이므로 조건, 기한을 붙일 수 없다.</t>
  </si>
  <si>
    <t>채무자가 그의 유일한 재산인 부동산을 상당한 가격으로 매각한 경우 이는 원칙적으로 사해행위에 해당하지 않는다.</t>
  </si>
  <si>
    <t>매도인의 기망에 의하여 타인의 물건을 매도인의 것으로 잘못 알고 매수한다는 의사표시를 하였고 만일 타인의 물건인줄 알았더라면 매수하지 않았을 사정이 있는 경우, 매수인은 매매계약을 취소할 수 있다.</t>
  </si>
  <si>
    <t>수탁보증인은 자신의 사전구상권 행사로 수령한 사전구상금을 선량한 관리자의 주의로써 주채무자의 면책에 사용할 의무가 있다.</t>
  </si>
  <si>
    <t>이해관계 없는 제3자는 채무자의 의사에 반하여 면책적으로 채무를 인수할 수 없다.</t>
  </si>
  <si>
    <t>부동산 매수인이 부동산을 인도받아 사용․수익하다가 제3자에게 그 부동산을 처분하고 점유를 승계하여 준 경우, 매수인의 소유권이전등기청구권은 소멸시효에 걸리지 않는다.</t>
  </si>
  <si>
    <t>채무불이행을 이유로 계약해제와 아울러 손해배상을 청구하는 경우 채무자는 신뢰이익을 배상하여야 한다.</t>
  </si>
  <si>
    <t>월 또는 년으로 정한 경우에 최종의 월에 해당일이 없는 때에는 그 월의 말일로 기간이 만료한다.</t>
  </si>
  <si>
    <t>채권자지체 중에는 이자있는 채권이라도 채무자는 이자를 지급할 의무가 없다.</t>
  </si>
  <si>
    <t>무권대리인이 금전을 차용한 사실을 안 본인이 채권자에게 이의를 제기하지 않고 변제기일에 이행을 청구하는 채권자에 대하여 그 지급의 유예를 요청하였다면, 이는 추인으로 보아야 한다.</t>
  </si>
  <si>
    <t>예약완결권의 행사기간을 정하지 않은 경우 예약자는 상대방에게 매매완결 여부의 확답을 최고할 수 있고 확답이 없으면 본 계약이 체결된 것으로 본다.</t>
  </si>
  <si>
    <t>매매계약 당시에 매매목적물이 타인의 소유임을 알지 못한 선의의 매도인이 그 재산권의 일부나 전부를 이전할 수 없는 경우 그는 계약을 해제할 수 있다.</t>
  </si>
  <si>
    <t>계약갱신청구권</t>
  </si>
  <si>
    <t>조합원의 임의탈퇴는 다른 조합원 전원에 대한 의사표시로 하여야 한다.</t>
  </si>
  <si>
    <t>건물의 임차인이 비용을 지출하여 개조한 부분에 대한 원상회복의무를 면하는 대신 그 비용의 상환청구권을 포기하기로 하는 임대인과 임차인의 약정은 강행규정에 반하므로 무효이다.</t>
  </si>
  <si>
    <t>불법의 원인이 급여자와 수익자 모두에게 있더라도 수익자의 불법성이 급여자의 불법성에 비하여 현저하게 큰 경우 급여자의 반환청구는 허용된다.</t>
  </si>
  <si>
    <t>사무집행관련성은 외형상 객관적으로 판단한다.</t>
  </si>
  <si>
    <t>법정대리인의 동의에 대한 증명책임은 법률행위의 유효를 주장하는 상대방에게 있다.</t>
  </si>
  <si>
    <t>양 당사자의 책임 없는 사유로 채무가 불능이 된 경우 채권자는 이행불능을 이유로 계약을 해제할 수 있으나 손해배상은 청구하지 못한다.</t>
  </si>
  <si>
    <t>부재자의 재산관리인이 법원으로부터 부재자 소유 부동산의 매각처분행위를 허락받았다면, 부재자와 관계없는 타인의 채무담보를 위해 저당권을 설정하더라도 이는 유효하다.</t>
  </si>
  <si>
    <t>이사는 정관 또는 총회의 결의로 금지하지 아니한 사항에 한하여 타인에게 특정행위를 대리하게 할 수 있다.</t>
  </si>
  <si>
    <t>채무가 과실로 인한 불법행위를 원인으로 발생한 때에는 가해자는 피해자에 대하여 상계하지 못한다.</t>
  </si>
  <si>
    <t>가장양수인으로부터 목적물을 양수하거나 저당권을 취득한 자는 제3자에 해당한다.</t>
  </si>
  <si>
    <t>정관의 변경을 초래하는 재단법인의 기본재산 변경은 기존의 기본재산을 처분하는 행위를 포함하지만, 새로이 기본재산으로 편입하는 행위를 포함하지 않는다.</t>
  </si>
  <si>
    <t>주물의 효용과 직접 관계가 없는 물건도 주물의 소유자나 이용자의 상용에 공여되는 물건이면 종물이 된다.</t>
  </si>
  <si>
    <t>甲이 자격을 상실하여 법원이 임시이사 丁을 선임한 경우, 丁은 원칙적으로 정식이사와 동일한 권한을 가진다.</t>
  </si>
  <si>
    <t>조건을 붙이고자 하는 의사는 법률행위의 내용으로 외부에 표시되어야 하므로 묵시적 의사표시나 묵시적 약정으로는 할 수 없다.</t>
  </si>
  <si>
    <t>부작위를 목적으로 하는 채권의 소멸시효는 위반행위를 한 때로부터 진행한다.</t>
  </si>
  <si>
    <t>피성년후견인이 속임수로써 상대방으로 하여금 성년후견인의 동의가 있는 것으로 믿게 하여 체결한 토지매매계약은 특별한 사정이 없는 한 제한능력을 이유로 취소할 수 없다.</t>
  </si>
  <si>
    <t>법률에 관해 경과실로 착오를 한 경우, 표의자는 그것이 법률행위의 중요부분에 관한 것이더라도 그 착오를 이유로 취소할 수 없다.</t>
  </si>
  <si>
    <t>악의의 제3자로부터 전득한 선의의 제3자는 민법 제108조제2항의 선의의 제3자에 포함되지 않는다.</t>
  </si>
  <si>
    <t>계약당사자 일방의 대리인이 계약을 하면서 상대방을 기망한 경우, 본인이 그 사실을 몰랐거나 알 수 없었다면 계약의 상대방은 그 기망을 이유로 의사표시를 취소할 수 없다.</t>
  </si>
  <si>
    <t>소멸한 대리권의 범위를 벗어나서 대리행위가 행해진 경우에는 민법 제126조의 권한을 넘은 표현대리가 성립할 수 없다.</t>
  </si>
  <si>
    <t>유언은 생전행위이다.</t>
  </si>
  <si>
    <t>乙은 강박을 이유로 하여 丙과의 증여계약을 취소할 수 있다.</t>
  </si>
  <si>
    <t>채무불이행으로 인한 손해배상액을 예정한 경우에는 특별한 사정이 없는 한 통상손해는 물론 특별손해까지도 예정액에 포함된다.</t>
  </si>
  <si>
    <t>甲이 乙에게 채무를 면제해 준 경우, 丙도 1억 2,000만 원의 채무를 면한다.</t>
  </si>
  <si>
    <t>저당권이 설정된 부동산 매도인의 담보책임에 기한 손해배상채무는 이행청구를 받은 때부터 지체책임이 있다.</t>
  </si>
  <si>
    <t>채권양도금지특약의 존재를 경과실로 알지 못하고 그 채권을 양수한 자는 악의의 양수인으로 취급되지 않는다.</t>
  </si>
  <si>
    <t>乙과 丙 사이의 합의에 의한 채무인수가 면책적 인수인지, 중첩적 인수인지 분명하지 않은 때에는 이를 면책적 채무인수로 본다.</t>
  </si>
  <si>
    <t>상계로 인한 채무소멸의 효력은 소멸한 채무 전액에 관하여 다른 부진정연대채무자에 대하여도 미치며, 이는 부진정연대채무자 중 1인이 채권자와 상계계약을 체결한 경우에도 마찬가지이다.</t>
  </si>
  <si>
    <t>청약은 그에 응하는 승낙이 있어야 계약이 성립하므로 구체적이거나 확정적일 필요가 없다.</t>
  </si>
  <si>
    <t>수량을 지정한 부동산매매계약에서 실제면적이 계약면적에 미달하는 경우, 미달 부분의 원시적 불능을 이유로 민법 제535조에 따른 책임의 이행을 구할 수 없다.</t>
  </si>
  <si>
    <t>동시이행관계의 경우 일방의 채무의 이행기가 도래하더라도 상대방 채무의 이행제공이 있을 때까지 그 일방은 이행지체책임을 지지 않는다.</t>
  </si>
  <si>
    <t>제3자를 위한 계약의 성립 시에 제3자는 요약자와 낙약자에게 계약의 이익을 받을 의사를 표시해야 권리를 직접 취득한다.</t>
  </si>
  <si>
    <t>증여자의 재산상태가 현저히 변경되고 증여계약의 이행으로 생계에 중대한 영향을 미칠 경우</t>
  </si>
  <si>
    <t>매매계약 후 인도되지 않은 목적물로부터 생긴 과실은 다른 약정이 없는 한 대금을 지급하지 않더라도 매수인에게 속한다.</t>
  </si>
  <si>
    <t>부동산공사 수급인의 저당권설정청구권은 특별한 사정이 없는 한 공사대금채권의 양도에 따라 양수인에게 이전된다.</t>
  </si>
  <si>
    <t>여행에 중대한 하자로 인해 여행계약이 중도에 해지된 경우, 여행자는 실행된 여행으로 얻은 이익을 여행주최자에게 상환하여야 한다.</t>
  </si>
  <si>
    <t>기간의 약정이 없는 토지임대차의 임대인이 임대차계약의 해지를 통고한 경우, 그 해지의 효력은 임차인이 통고를 받은 날부터 1개월 후에 발생한다.</t>
  </si>
  <si>
    <t>사무관리에 의하여 본인이 아닌 제3자가 결과적으로 사실상 이익을 얻은 경우, 사무관리자는 그 제3자에 대하여 직접 부당이득반환을 청구할 수 없다.</t>
  </si>
  <si>
    <t>가정법원이 취소할 수 없는 피성년후견인의 법률행위의 범위를 정한 경우, 피성년후견인은 그 범위에서 단독으로 유효한 법률행위를 할 수 있다.</t>
  </si>
  <si>
    <t>사기에 의해 화해계약이 체결된 경우 표의자는 화해의 목적인 분쟁에 관한 사항에 착오가 있더라도 사기를 이유로 화해계약을 취소할 수 있다.</t>
  </si>
  <si>
    <t>乙의 사기로 매매계약이 체결된 경우, 丙은 甲이 乙의 사기를 알았거나 알 수 있었을 경우에 한하여 사기를 이유로 그 계약을 취소할 수 있다.</t>
  </si>
  <si>
    <t>계약체결 당시 대리인의 무권대리 사실을 알고 있었던 상대방은 최고권을 행사할 수 없다.</t>
  </si>
  <si>
    <t>甲이 허가신청절차에 협력할 의무를 위반한 경우, 乙은 협력의무 위반을 이유로 매매계약을 해제할 수 없다.</t>
  </si>
  <si>
    <t>2023년 5월 21일(일) 14시부터 7일간의 만료점은 2023년 5월 28일 24시이다.</t>
  </si>
  <si>
    <t>조건의 성취가 미정한 권리의무는 일반규정에 의하여 담보로 할 수 있다.</t>
  </si>
  <si>
    <t>어떤 권리의 소멸시효 기간이 얼마나 되는지는 법원이 직권으로 판단할 수 있다.</t>
  </si>
  <si>
    <t>양 책임이 성립하는 경우, 손해배상은 통상의 손해를 그 한도로 한다는 점에서 공통된다.</t>
  </si>
  <si>
    <t>甲이 丙을 상대로 채권자대위권을 행사하고 그 사실을 乙에게 통지한 이후 乙이 丙에 대한 채권을 포기한 경우, 丙은 乙의 채권포기 사실을 들어 甲에게 대항할 수 있다.</t>
  </si>
  <si>
    <t>甲이 채권자취소권을 재판상 행사하는 경우, 사행행위를 직접 행한 乙을 피고로 하여 그 권리를 행사하여야 한다.</t>
  </si>
  <si>
    <t>X토지에 대한 매매계약이 해제되기 전에 매수인과 매매예약 체결 후 그에 기한 소유권이전등기청구권 보전을 위한 가등기를 마친 자</t>
  </si>
  <si>
    <t>甲이 상계권을 행사하지 않은 경우, 乙은 丁을 상대로 甲의 6백만원에 대해 상계할 수 있고, 乙과 丙이 丁에게 각각 1백 5십만원의 분할채무를 부담한다.</t>
  </si>
  <si>
    <t>당사자 사이에 동일한 내용의 청약이 상호 교차된 경우에는 양 청약이 상대방에게 도달한 때에 계약이 성립한다.</t>
  </si>
  <si>
    <t>매도인과 매수인이 해제권을 유보하기 위해 계약금을 교부하기로 합의한 후 매수인이 약정한 계약금의 일부만 지급한 경우, 매도인은 실제 지급받은 금원의 배액을 상환하고 매매계약을 해제할 수 있다.</t>
  </si>
  <si>
    <t>조합의 채무자는 그 채무와 조합원에 대한 채권으로 상계할 수 있다.</t>
  </si>
  <si>
    <t>토지임차인에게 인정되는 지상물매수청구권은 乙이 X토지 위에 甲의 동의를 얻어 신축한 건물에 한해 인정된다.</t>
  </si>
  <si>
    <t>선의의 수익자가 패소한 때에는 그 소가 확정된 때로부터 악의의 수익자로 본다.</t>
  </si>
  <si>
    <t>고의로 불법행위를 한 가해자는 피해자의 손해배상채권을 피해자에 대한 자신의 다른 채권으로 상계할 수 없다.</t>
  </si>
  <si>
    <t>채무자가 소멸시효 완성을 주장하는 것은 신의칙에 반하여 권리남용으로 될 여지가 없다.</t>
  </si>
  <si>
    <t>미성년자는 타인의 임의대리인이 될 수 없다.</t>
  </si>
  <si>
    <t>법인의 대표기관은 정관 또는 사원총회에 의해 금지되지 않는 한 타인에게 포괄적인 대리권을 수여할 수 있다.</t>
  </si>
  <si>
    <t>주물・종물 관계는 특별한 사정이 없는 한 동일인 소유의 물건 사이에서 인정된다.</t>
  </si>
  <si>
    <t>부첩(夫妾)관계의 종료를 해제조건으로 하는 증여계약은 반사회질서의 법률행위로서 무효이다.</t>
  </si>
  <si>
    <t>파산관재인이 통정허위표시와 관련하여 보호받는 제3자로 등장하는 경우, 모든 파산채권자가 선의인 경우에 한하여 그의 선의가 인정된다.</t>
  </si>
  <si>
    <t>임의대리권은 대리인의 성년후견의 개시로 소멸된다.</t>
  </si>
  <si>
    <t>무권대리인이 본인을 단독상속한 경우, 특별한 사정이 없는 한 자신이 행한 무권대리행위의 무효를 주장하는 것은 허용되지 않는다.</t>
  </si>
  <si>
    <t>피성년후견인은 법정대리인의 동의가 있으면 취소할 수 있는 법률행위를 추인할 수 있다.</t>
  </si>
  <si>
    <t>기간을 분으로 정한 때에는 즉시로부터 기산한다.</t>
  </si>
  <si>
    <t>기한이익 상실특약은 특별한 사정이 없는 한 정지조건부 기한이익 상실특약으로 본다.</t>
  </si>
  <si>
    <t>채권자가 최고를 여러 번 거듭하다가 재판상 청구를 한 경우, 시효중단의 효력은 재판상 청구를 한 시점을 기준으로 하여 이로부터 소급하여 6월 이내에 한 최고 시에 발생한다.</t>
  </si>
  <si>
    <t>특정물매매계약의 매도인은 특별한 사정이 없는 한 그 목적물을 인도할 때까지 선량한 관리자의 주의로 그 물건을 보존하여야 한다.</t>
  </si>
  <si>
    <t>A의 신청에 의한 경매개시결정에 따라 甲소유의 부동산이 압류되어 시효가 중단된 경우, 乙에게도 시효중단의 효력이 있다.</t>
  </si>
  <si>
    <t>행사상 일신전속권은 채권자대위권의 목적이 되지 못한다.</t>
  </si>
  <si>
    <t>면책적 채무인수인은 전(前)채무자의 항변할 수 있는 사유로 채권자에게 대항할 수 있다.</t>
  </si>
  <si>
    <t>채무자는 채권양도를 승낙한 후에도 양도인에 대한 채권을 새로 취득한 경우에 이를 가지고 양수인에 대하여 상계할 수 있다.</t>
  </si>
  <si>
    <t>승낙자가 승낙기간을 도과한 후 승낙을 발송한 경우에 이를 수신한 청약자가 승낙의 연착을 통지하지 아니하면 그 승낙은 연착되지 아니한 것으로 본다.</t>
  </si>
  <si>
    <t>제3자가 수익의 의사표시를 한 후에는 요약자는 원칙적으로 낙약자에 대하여 제3자에게 급부를 이행할 것을 요구할 수 있는 권리를 갖지 못한다.</t>
  </si>
  <si>
    <t>하나의 계약에서 일방이 수인(數人)인 경우에 상대방은 그 수인 모두에게 해제의 의사표시를 하여야 한다.</t>
  </si>
  <si>
    <t>일정한 면적(수량)을 가지고 있다는 데 주안을 두고, 대금도 면적을 기준으로 하여 정해지는 아파트분양계약은 수량지정매매가 될 수 없다.</t>
  </si>
  <si>
    <t>위임인에게 불리한 시기에 부득이한 사유로 계약을 해지한 수임인은 그 해지로 인해 위임인에게 발생한 손해를 배상하여야 한다.</t>
  </si>
  <si>
    <t>불법원인급여에서 수익자의 불법성이 현저히 크고, 그에 비하여 급여자의 불법성은 경미한 경우라 하더라도 급여자의 반환 청구는 허용되지 않는다.</t>
  </si>
  <si>
    <t>가정법원이 특정후견의 심판을 하는 경우에는 특정후견의 기간 또는 사무의 범위를 정하여야 한다.</t>
  </si>
  <si>
    <t>대표자가 정관에 규정된 대표권 제한을 위반하여 법률행위를 한 경우, 그 상대방이 대표권 제한 사실을 알았거나 알 수 있었을 경우가 아니라면 그 법률행위는 유효하다.</t>
  </si>
  <si>
    <t>경매절차에서 매각대금이 시가보다 현저히 저렴하더라도 불공정한 법률행위를 이유로 무효를 주장할 수 없다.</t>
  </si>
  <si>
    <t>가장근저당설정계약이 유효하다고 믿고 그 피담보채권을 가압류한 자는 통정허위표시의 무효로 대항할 수 없는 제3자에 해당하지 않는다.</t>
  </si>
  <si>
    <t>노동의 대가인 임금은 법정과실이 아니다.</t>
  </si>
  <si>
    <t>재단법인설립을 위한 출연행위는 상대방 없는 단독행위이므로 착오를 이유로 취소할 수 없다.</t>
  </si>
  <si>
    <t>시효중단의 효력있는 승인에는 상대방의 권리에 관한 처분의 능력이나 권한있음을 요하지 아니한다.</t>
  </si>
  <si>
    <t>대리인의 쌍방대리는 금지되나 채무의 이행은 가능하므로, 쌍방의 허락이 없더라도 경개계약을 체결할 수 있다.</t>
  </si>
  <si>
    <t>법률행위 당시 조건이 이미 성취된 경우, 그 조건이 정지조건이면 그 법률행위는 무효이다.</t>
  </si>
  <si>
    <t>5월 9일, 8월 9일</t>
  </si>
  <si>
    <t>법률행위의 일부분이 무효인 때에는 특별한 사정이 없는 한 그 전부를 무효로 한다.</t>
  </si>
  <si>
    <t>무권대리의 추인은 다른 의사표시가 없는 한 추인한 때로부터 그 효력이 생긴다.</t>
  </si>
  <si>
    <t>이행보조자의 경과실에 대하여 채무자가 채무불이행 책임을 지지 아니한다는 내용의 특약은 원칙적으로 무효이다.</t>
  </si>
  <si>
    <t>매도인의 귀책사유로 그의 채무가 후발적・객관적 전부불능인 경우, 매수인은 매도인에게 전보배상을 청구할 수 있다.</t>
  </si>
  <si>
    <t>가압류된 채권도 특별한 사정이 없는 한 양도하는 데 제한이 없다.</t>
  </si>
  <si>
    <t>부진정연대채무의 다액채무자가 일부 변제한 경우, 그 변제로 인하여 먼저 소멸하는 부분은 다액채무자가 단독으로 부담하는 부분이다.</t>
  </si>
  <si>
    <t>손해배상청구권의 소멸시효는 본래의 채권을 행사할 수 있는 때로부터 진행된다.</t>
  </si>
  <si>
    <t>예정배상액의 감액범위에 대한 판단은 사실심 변론종결 당시를 기준으로 한다.</t>
  </si>
  <si>
    <t>사무관리가 성립하는 경우, 甲이 乙의 의사를 알거나 알 수 있었다면 甲은 사무의 성질에 좇아 乙에게 이익이 되는 방법으로 관리하여야 한다.</t>
  </si>
  <si>
    <t>불법행위에 경합된 당사자들의 과실정도에 관한 사실인정이나 그 비율을 정하는 것은 특별한 사정이 없는 한 사실심의 전권사항에 속한다.</t>
  </si>
  <si>
    <t>매도인이 계약금 계약에 의한 해제를 하는 경우, 매도인은 해제의사표시와 약정 계약금의 배액을 제공하면 되고, 매수인의 수령거절 시 공탁할 필요는 없다.</t>
  </si>
  <si>
    <t>동시이행항변권은 연기적 항변권으로 동시이행관계에 있으면 소멸시효는 진행되지 아니한다.</t>
  </si>
  <si>
    <t>계약체결 시 乙이 甲에게 나이를 물었을 때 甲이 만 20세라 답하였다고 하더라도 甲의 법정대리인은 위 계약을 취소할 수 있다.</t>
  </si>
  <si>
    <t>법인의 대표권을 가진 자가 하는 법률행위는 성립상 효과만 법인에게 귀속할 뿐 그 위반의 효과인 채무불이행책임까지 법인에 귀속하는 것은 아니다.</t>
  </si>
  <si>
    <t>비법인사단의 구성원들이 집단으로 탈퇴하면 2개의 비법인사단으로 분열되고, 이때 각 비법인사단은 종전의 재산을 구성원 수의 비율로 총유한다.</t>
  </si>
  <si>
    <t>관리할 수 있는 자연력은 동산이다.</t>
  </si>
  <si>
    <t>만약 丙이 丁에게 A부동산을 매도하였다면, 丁은 선의・무과실이어야 제3자로서 보호를 받을 수 있다.</t>
  </si>
  <si>
    <t>근로자가 회사의 경영방침에 따라 사직원을 제출하고 회사가 이를 받아들여 퇴직처리를 하였다가 즉시 재입사하는 형식으로 실질적 근로관계의 단절없이 계속 근무하였다면 그 사직의 의사표시는 무효이다.</t>
  </si>
  <si>
    <t>불공정한 법률행위의 성립요건인 궁박, 경솔, 무경험은 모두 구비되어야 한다.</t>
  </si>
  <si>
    <t>조건은 법률행위의 내용을 이룬다.</t>
  </si>
  <si>
    <t>법률행위의 취소권은 법률행위를 한 날부터 3년 내에, 추인할 수 있는 날부터 10년 내에 행사하여야 한다.</t>
  </si>
  <si>
    <t>수인의 대리인이 본인을 위하여 각각 상충되는 내용의 계약을 체결한 경우 가장 먼저 체결된 계약만이 본인에게 효력이 있다.</t>
  </si>
  <si>
    <t>건물신축공사도급계약에서의 수급인의 도급인에 대한 저당권설정청구권의 소멸시효 기간은 3년이다.</t>
  </si>
  <si>
    <t>금전채무의 약정이율은 있었지만 이행지체로 인해 발생한 지연손해금에 관한 약정이 없는 경우, 특별한 사정이 없는 한 지연손해금은 그 약정이율에 의해 산정한다.</t>
  </si>
  <si>
    <t>피해자의 부주의를 이용하여 고의의 불법행위를 한 자는 특별한 사정이 없는 한 피해자의 그 부주의를 이유로 과실상계를 주장할 수 없다.</t>
  </si>
  <si>
    <t>乙의 사해의사는 특정 채권자인 甲을 해한다는 인식이 필요하다.</t>
  </si>
  <si>
    <t>보증채권을 주채권과 함께 양도하는 경우 대항요건은 주채권의 이전에 관하여만 구비하면 족하다.</t>
  </si>
  <si>
    <t>채권이 이중으로 양도된 경우 양수인 상호간의 우열은 통지 또는 승낙에 붙여진 확정일자의 선후에 의하여 결정된다.</t>
  </si>
  <si>
    <t>채권의 일부에 대하여 변제자대위가 인정되는 경우 그 대위자는 채무자의 채무불이행을 이유로 채권자와 채무자간의 계약을 해제할 수 있다.</t>
  </si>
  <si>
    <t>甲의 편지를 2020.2.5. 乙이 수령하였더라도 乙이 미성년자라면 甲은 원칙적으로 위 청약의 효력발생을 주장할 수 없다.</t>
  </si>
  <si>
    <t>경매목적물에 물건의 하자가 있는 경우 하자담보책임이 발생하지 않는다.</t>
  </si>
  <si>
    <t>완성된 액젓저장탱크에 균열이 발생하여 보관 중이던 액젓의 변질로 인한 손해배상은 하자보수에 갈음하는 손해배상과는 별개의 권원에 의하여 경합적으로 인정된다.</t>
  </si>
  <si>
    <t>부당이득이 금전상 이득인 경우 이를 취득한 자가 소비하였는지 여부를 불문하고 그 이득은 현존하는 것으로 추정된다.</t>
  </si>
  <si>
    <t>고의로 불법행위를 한 피용자가 신의칙상 과실상계를 주장할 수 없는 경우에도 사용자는 특별한 사정이 없는 한 과실상계를 주장할 수 있다.</t>
  </si>
  <si>
    <t>동시이행의 항변권 - 연기적 항변권</t>
  </si>
  <si>
    <t>제한능력자의 취소권은 재판 외에서 의사표시를 하는 방법으로는 행사할 수 없다.</t>
  </si>
  <si>
    <t>법인 아닌 사단의 대표자의 직무상 불법행위에 대하여는 법인의 불법행위능력에 관한 민법 제35조제1항이 적용되지 않는다.</t>
  </si>
  <si>
    <t>주유소 지하에 콘크리트를 타설하여 매설한 유류저장탱크는 토지의 종물이다.</t>
  </si>
  <si>
    <t>丙이 악의인 경우, 甲은 丙의 저당권등기의 말소청구를 할 수 있다.</t>
  </si>
  <si>
    <t>표의자에게 중대한 과실이 있다는 사실은 법률행위의 효력을 부인하는 자가 증명하여야 한다.</t>
  </si>
  <si>
    <t>매매계약체결에 대해 포괄적 대리권을 수여 받은 자는 특별한 사정이 없는 한 상대방에게 약정된 매매대금의 지급기일을 연장하여 줄 권한을 가진다.</t>
  </si>
  <si>
    <t>乙이 미성년자인 경우에도 乙은 무권대리인의 책임을 진다.</t>
  </si>
  <si>
    <t>강박에 의한 의사표시를 취소하여 무효가 된 법률행위는 그 무효원인이 종료하더라도 무효행위 추인의 요건에 따라 다시 추인할 수 없다.</t>
  </si>
  <si>
    <t>기성조건을 해제조건으로 한 법률행위는 무효이다.</t>
  </si>
  <si>
    <t>가압류에 의한 시효중단의 효력은 가압류의 집행보전의 효력이 존속하는 동안 계속된다.</t>
  </si>
  <si>
    <t>甲은 乙의 이행지체로 인하여 입은 실제 손해액이 예정배상액보다 크다는 사실을 증명하더라도 다른 특약이 없는 한 그 초과부분을 따로 청구할 수 없다.</t>
  </si>
  <si>
    <t>채무내용에 따른 본래의 급부의 이행을 구하는 경우에도 과실상계는 적용된다.</t>
  </si>
  <si>
    <t>甲의 乙에 대한 채권의 이행기가 도래하기 전이라도 甲은 법원의 허가를 받아 乙의 丙에 대한 채권을 대위행사할 수 있다.</t>
  </si>
  <si>
    <t>사해행위 취소소송에서 채무자는 피고적격이 없다.</t>
  </si>
  <si>
    <t>매매로 인한 소유권이전등기청구권에 관한 양도제한의 법리는 취득시효완성으로 인한 소유권이전등기청구권의 양도에도 적용된다.</t>
  </si>
  <si>
    <t>채무인수가 면책적 인수인지, 중첩적 인수인지 분명하지 않은 때에는 이를 면책적 채무인수로 본다.</t>
  </si>
  <si>
    <t>이행거절로 인한 계약해제의 경우, 해제자는 상대방의 최고 및 동시이행관계에 있는 자기 채무의 이행을 제공할 필요가 없다.</t>
  </si>
  <si>
    <t>위임사무처리에 비용을 요하는 경우, 乙은 위임사무를 완료한 후가 아니면 그 비용을 청구할 수 없다.</t>
  </si>
  <si>
    <t>원인불명의 화재로 주택이 소실된 경우 乙이 이행불능으로 인한 손해배상책임을 면하려면 그 주택의 보존에 관하여 선량한 관리자의 주의의무를 다하였음을 증명하여야 한다.</t>
  </si>
  <si>
    <t>화해계약이 사기로 인해 이루어진 경우에는 화해의 목적인 분쟁에 관한 사항에 착오가 있더라도 사기에 의한 의사표시를 이유로 이를 취소할 수 있다.</t>
  </si>
  <si>
    <t>공동불법행위자 1인에 대한 이행청구는 다른 공동불법행위자에 대하여 시효중단의 효력이 있다.</t>
  </si>
  <si>
    <t>제한능력을 이유로 법률행위를 취소하는 경우, 악의의 제한능력자는 그 행위로 인하여 받은 이익 전부를 상환하여야 한다.</t>
  </si>
  <si>
    <t>취득시효완성 후 그 사실을 모르고 권리를 주장하지 않기로 하였다가 후에 시효주장을 하는 것은 특별한 사정이 없는 한 신의칙상 허용된다.</t>
  </si>
  <si>
    <t>가정법원이 피성년후견인에 대하여 한정후견개시의 심판을 할 때에는 종전의 성년후견의 종료 심판을 한다.</t>
  </si>
  <si>
    <t>법원이 선임한 재산관리인은 관리할 재산목록을 작성하여야 한다.</t>
  </si>
  <si>
    <t>종물은 주물의 처분에 따르므로, 당사자의 특약에 의하여 종물만을 별도로 처분할 수 없다.</t>
  </si>
  <si>
    <t>주무관청은 이해관계인의 청구에 의하여 임시이사를 선임할 수 있다.</t>
  </si>
  <si>
    <t>불공정한 법률행위가 성립하기 위해서는 피해자에게 궁박, 경솔, 무경험 요건이 모두 구비되어야 한다.</t>
  </si>
  <si>
    <t>상대방이 착오자의 진의에 동의한 것으로 인정될 때에는 계약의 취소가 허용되지 않는다.</t>
  </si>
  <si>
    <t>본인이 무권대리인에게 추인한 경우, 상대방은 추인이 있었음을 주장할 수 있다.</t>
  </si>
  <si>
    <t>당사자가 합의한 경우에는 조건성취의 효력을 소급시킬 수 있다.</t>
  </si>
  <si>
    <t>甲과 乙의 근로계약은 추인여부와 상관없이 甲이 의사능력을 회복한 때로부터 유효하다.</t>
  </si>
  <si>
    <t>채무자가 제기한 소에 채권자인 피고가 응소하여 권리를 주장하였으나, 그 소가 각하된 경우에 6개월 이내에 재판상 청구를 하면 응소시에 소급하여 시효중단의 효력이 있다.</t>
  </si>
  <si>
    <t>채무이행의 기한이 없는 경우, 채무자는 이행청구를 받은 때부터 지체책임을 진다.</t>
  </si>
  <si>
    <t>채권자가 예정된 손해배상액을 청구하기 위하여 손해배상액을 증명할 필요는 없으나 적어도 손해의 발생은 증명하여야 한다.</t>
  </si>
  <si>
    <t>甲이 丙으로부터 5,000만원을 대위수령한 경우, 甲은 상계적상에 있는 때에는 상계함으로써 사실상 우선변제를 받을 수 있다.</t>
  </si>
  <si>
    <t>소멸시효가 완성된 채권이 그 완성 전에 상계할 수 있었던 것이면 채권자는 상계할 수 있다.</t>
  </si>
  <si>
    <t>합의해제에 따른 매도인의 원상회복청구권은 소유권에 기한 물권적 청구권으로서 소멸시효의 대상이 되지 않는다.</t>
  </si>
  <si>
    <t>乙은 甲에게 지급한 계약금에 대해 부당이득반환을 청구할 수 있다.</t>
  </si>
  <si>
    <t>매매목적물의 하자로 인한 매수인의 매도인에 대한 하자담보책임에 기한 손해배상청구권에는 채권의 소멸시효에 관한 규정이 적용된다.</t>
  </si>
  <si>
    <t>임대인은 보증금반환채권에 대한 전부명령이 송달된 후에 발생한 연체차임을 보증금에서 공제할 수 없다.</t>
  </si>
  <si>
    <t>乙은 甲에 대한 공사대금채권을 담보하기 위하여 X건물을 목적으로 한 저당권 설정을 청구할 수 없다.</t>
  </si>
  <si>
    <t>무효인 명의신탁약정에 의하여 타인 명의의 등기가 마쳐졌다는 이유만으로 그것이 불법원인급여에 해당한다.</t>
  </si>
  <si>
    <t>중과실의 불법행위자는 피해자에 대한 채권을 가지고 피해자의 손해배상채권을 상계할 수 있다.</t>
  </si>
  <si>
    <t>甲은 동시에 乙과 丙에 대하여 손해배상 전부의 이행을 청구할 수 없다.</t>
  </si>
  <si>
    <t>경매 목적물이 시가에 비해 현저하게 낮은 가격으로 매각된 경우 불공정한 법률행위로 무효가 될 수 있다.</t>
  </si>
  <si>
    <t>부동산은 주물뿐만 아니라 종물도 될 수 있다.</t>
  </si>
  <si>
    <t>甲이 乙의 행세를 하여 乙 명의로 丙과 부동산을 매수하는 계약을 체결한 후 丙으로부터 인도받아 거주하고 있고, 丙이 甲을 매수인으로 알고 있는 경우 부동산 매매계약의 당사자는 乙과 丙이다.</t>
  </si>
  <si>
    <t>특정후견은 본인의 의사에 반하여서도 할 수 있다.</t>
  </si>
  <si>
    <t>대리인이 대리권 소멸 후 선임한 복대리인과 상대방 사이의 법률행위에는 대리권소멸 후 표현대리가 성립할 수 없다.</t>
  </si>
  <si>
    <t>무권대리인이 부담하는 이행책임 또는 손해배상책임의 선택권은 상대방이 갖는다.</t>
  </si>
  <si>
    <t>학교법인이 그 학교의 교직원의 명의로 금융기관으로부터 금전을 차용한 경우, 명의대여자의 의사표시는 비진의 의사표시가 아니므로 주채무자로서 책임이 있다.</t>
  </si>
  <si>
    <t>법률행위의 일부분이 무효인 경우 원칙적으로 그 전부를 무효로 한다.</t>
  </si>
  <si>
    <t>당사자의 특약이 없거나 법률행위의 성질상 분명하지 않으면 기한의 이익은 채권자에게 있는 것으로 추정된다.</t>
  </si>
  <si>
    <t>채무자가 소멸시효 완성 후에 채권자에 대하여 채무를 승인함으로써 그 시효의 이익을 포기한 경우에는 그때부터 새로이 소멸시효가 진행한다.</t>
  </si>
  <si>
    <t>B채권이 甲의 고의의 불법행위에 의한 손해배상채권인 경우, 甲은 A채권으로 상계할 수 없으나 乙은 B채권으로 상계할 수 있다.</t>
  </si>
  <si>
    <t>건물 신축공사에 있어 준공 후에도 건물에 다수의 하자와 미시공 부분이 있어 수급인이 약정기한 내에 그 하자와 미시공 부분에 대한 공사를 완료하지 못할 경우 미지급 공사비 등을 포기하고 이를 도급인의 손해배상금으로 충당한다는 내용의 합의각서를 작성한 경우, 채무불이행에 관한 손해배상액을 예정한 경우에 해당한다.</t>
  </si>
  <si>
    <t>금전채무의 이행지체로 인하여 발생하는 지연손해금은 3년간의 단기소멸시효의 대상이다.</t>
  </si>
  <si>
    <t>부동산의 이중매매에서 매매목적물을 제2매수인에게 처분한 가격이 통상가격을 넘는 경우, 그 처분가격이 매도인의 제1매수인에 대한 배상액 산정의 기준이 된다.</t>
  </si>
  <si>
    <t>조합원의 조합탈퇴권은 일신전속적 권리이므로 대위의 대상이 되지 못한다.</t>
  </si>
  <si>
    <t>지시채권 양도의 대항요건은 채무자에 대한 양도인의 통지 또는 채무자의 승낙이다.</t>
  </si>
  <si>
    <t>甲의 乙에 대한 채무가 시효로 소멸되더라도 丙의 보증채무는 원칙적으로 소멸하지 않는다.</t>
  </si>
  <si>
    <t>임대차가 종료된 경우 임차인의 목적물반환의무와 임대인의 보증금반환의무</t>
  </si>
  <si>
    <t>乙은 중도금을 지급한 후라도 계약금과 중도금을 포기하고 매매계약을 해제할 수 있다.</t>
  </si>
  <si>
    <t>임대인이 임대목적물에 대한 소유권 기타 이를 임대할 권한이 없는 경우 임대차계약은 유효하게 성립하지 않는다.</t>
  </si>
  <si>
    <t>부당이득으로 취득한 금전은 취득자의 소비 여부를 불문하고 현존하는 것으로 추정된다.</t>
  </si>
  <si>
    <t>피용자의 불법행위가 외형상 객관적으로 사용자의 사무집행행위로 보일 경우 행위자의 주관적 사정을 고려함이 없이 이를 사무집행에 관하여 한 행위로 본다.</t>
  </si>
  <si>
    <t>특정후견개시의 요건이 갖추어진 경우, 본인은 가정법원에 특정후견개시의 심판을 청구할 수 없다.</t>
  </si>
  <si>
    <t>정관에 다른 규정이 없는 경우, 법인은 정당한 이유 없이도 이사를 언제든지 해임할 수 있다.</t>
  </si>
  <si>
    <t>사원총회를 소집하려고 하는 경우, 1주간전에 그 회의의 목적사항을 기재한 통지가 도달해야 한다.</t>
  </si>
  <si>
    <t>주물 소유자의 사용에 공여되고 있더라도 주물 그 자체의 효용과 직접 관계가 없는 물건은 종물이 아니다.</t>
  </si>
  <si>
    <t>사기에 의하여 의사표시를 한 자의 포괄승계인은 그 의사표시를 취소할 수 없다.</t>
  </si>
  <si>
    <t>대리인의 대리권은 복대리인의 선임에 의해 소멸한다.</t>
  </si>
  <si>
    <t>대리인이 대리권 소멸 후 복대리인을 선임하여 복대리인으로 하여금 상대방과 대리행위를 하도록 한 경우, 대리권 소멸 후의 표현대리는 적용되지 않는다.</t>
  </si>
  <si>
    <t>약정된 매매대금의 과다로 말미암아 불공정한 법률행위에 해당하여 무효인 경우에도 무효행위의 전환에 관한 규정이 적용될 수 있다.</t>
  </si>
  <si>
    <t>기한의 효력은 기한 도래시부터 생기며 당사자가 특약을 하더라도 소급효가 없다.</t>
  </si>
  <si>
    <t>2017년 6월 4일(일) 0시</t>
  </si>
  <si>
    <t>선택채권은 선택권을 행사한 때로부터 소멸시효가 진행한다.</t>
  </si>
  <si>
    <t>A와 B가 공유하는 건물을 C에게 매도하는 경우, C의 건물인도청구권</t>
  </si>
  <si>
    <t>A는 350만원, C는 350만원, D는 350만원</t>
  </si>
  <si>
    <t>채무자가 대위권 행사의 통지를 받지 못한 경우에는 채권자가 대위권을 행사한다는 것을 알았더라도, 채무자는 대위 행사되는 권리를 처분할 수 있으며 이를 가지고 채권자에게 대항할 수 있다.</t>
  </si>
  <si>
    <t>채권이 이중으로 양도된 경우, 양수인 상호 간의 우열은 양도 통지 증서의 확정일자 선후로 결정한다.</t>
  </si>
  <si>
    <t>수동채권이 압류금지 채권인 경우</t>
  </si>
  <si>
    <t>당사자 간에 동일한 내용의 청약이 상호교차된 경우에는 양 청약의 통지가 상대방에게 발송된 때에 계약이 성립한다.</t>
  </si>
  <si>
    <t>동시이행의 관계에 있는 쌍방의 채무 중 어느 한 채무가 이행불능이 됨에 따라 발생한 손해배상채무도 여전히 상대방의 채무와 동시이행의 관계에 있다.</t>
  </si>
  <si>
    <t>채무자의 책임 없는 사유로 채무의 이행이 불능하게 된 경우에도 채권자는 계약을 해제할 수 있다.</t>
  </si>
  <si>
    <t>계약금의 일부만 지급된 경우, 해약금의 기준이 되는 금원은 실제 교부받은 계약금이 아니라 약정 계약금이다.</t>
  </si>
  <si>
    <t>증여의 목적인 물건의 하자나 흠결에 대하여 알면서 이를 수증자에게 고지하지 않은 증여자는 그에 대한 담보책임을 진다.</t>
  </si>
  <si>
    <t>다른 약정이 없는 한, 임대인의 행위가 임대물의 보존에 필요한 행위라도 임차인은 이를 거절할 수 있다.</t>
  </si>
  <si>
    <t>여행계약이 중대한 하자로 해지된 경우 여행주최자는 대금청구권을 상실하지만, 여행자가 이미 실행된 여행으로 이익을 얻은 때에는 이를 여행주최자에게 상환해야 한다.</t>
  </si>
  <si>
    <t>수탁보증인이 과실 없이 변제 기타의 출재로 주채무를 소멸시킨 경우, 주채무자의 수탁보증인에 대한 구상채무</t>
  </si>
  <si>
    <t>사실인 관습은 그 존재를 당사자가 주장・입증하여야 한다.</t>
  </si>
  <si>
    <t>해산한 법인은 청산의 목적범위내에서만 권리가 있고 의무를 부담한다.</t>
  </si>
  <si>
    <t>천연과실은 수취할 권리의 존속기간 일수의 비율로 취득한다.</t>
  </si>
  <si>
    <t>강행규정을 위반하여 무효인 법률행위는 추인하면 유효로 될 수 있다.</t>
  </si>
  <si>
    <t>만약 乙이 사망하더라도 丙의 복대리권은 소멸하지 않는다.</t>
  </si>
  <si>
    <t>의사표시의 착오가 표의자의 중대한 과실로 발생한 경우, 상대방이 표의자의 착오를 알고 이용하였더라도 표의자는 그 의사표시를 취소할 수 없다.</t>
  </si>
  <si>
    <t>대리인은 행위능력자임을 요하지 아니한다.</t>
  </si>
  <si>
    <t>부동산의 소유자로부터 매매계약을 체결할 대리권을 수여받은 대리인은 특별한 사정이 없는 한, 그 매매계약에서 약정한 바에 따라 중도금이나 잔금을 수령할 권한이 있다.</t>
  </si>
  <si>
    <t>주택건설을 위한 토지매매계약에 앞서 당사자 간의 협의에 의하여 건축허가를 필할 때에 매매계약이 성립하고 건축허가 신청이 불허되었을 때에는 이를 무효로 한다고 약정한 토지매매계약은 해제조건부계약이다.</t>
  </si>
  <si>
    <t>소멸시효나 제척기간에는 모두 중단이 인정된다.</t>
  </si>
  <si>
    <t>원본채권이 양도된 경우 이미 변제기에 도달한 이자채권은 원본채권의 양도 당시 그 이자채권도 양도한다는 의사표시가 없어도 당연히 양도된다.</t>
  </si>
  <si>
    <t>가해행위와 피해자측의 요인이 경합하여 손해가 발생하거나 확대된 경우에는 그 피해자측의 요인이 체질적인 소인과 같이 피해자측의 귀책사유와 무관한 것이라도, 법원은 손해배상액을 정하면서 과실상계의 법리를 유추적용할 수 있다.</t>
  </si>
  <si>
    <t>토지거래허가구역 내의 토지매매에서 토지거래허가 신청절차 협력의무의 이행청구권은 채권자대위의 목적이 될 수 있다.</t>
  </si>
  <si>
    <t>민법 제470조의 채권의 준점유자에는 채권자의 대리인이라고 하면서 채권을 행사하는 경우도 포함된다.</t>
  </si>
  <si>
    <t>당사자간에 동일한 내용의 청약이 상호 교차된 경우에 양 청약이 상대방에게 도달한 때에 계약이 성립한다.</t>
  </si>
  <si>
    <t>낙약자와 요약자 사이의 매매계약이 무효인 경우, 특별한 사정이 없는 한 낙약자가 이미 제3자에게 급부한 것이 있더라도 낙약자는 부당이득을 원인으로 제3자를 상대로 그 반환을 구할 수 없다.</t>
  </si>
  <si>
    <t>계약의 합의해제에 있어서도 민법 제548조의 계약해제의 경우와 같이 이로써 제3자의 권리를 해할 수 없다.</t>
  </si>
  <si>
    <t>제조물에 상품적합성이 결여되어 제조물 그 자체에 발생한 손해에 대해서는 제조물책임이 아니라 하자담보책임을 물어야 한다.</t>
  </si>
  <si>
    <t>임대차기간의 약정이 없는 때에는 당사자는 언제든지 계약해지의 통고를 할 수 있다.</t>
  </si>
  <si>
    <t>조합의 채무자는 그가 조합에 대하여 부담하는 채무와 조합원에 대한 채권을 상계할 수 있다.</t>
  </si>
  <si>
    <t>관리자가 관리를 개시한 때에는 지체없이 본인에게 통지하여야 하지만, 본인이 이미 이를 안 때에는 그러하지 아니하다.</t>
  </si>
  <si>
    <t>민사에 관하여 법률에 규정이 없으면 조리에 의하고 조리가 없으면 관습법에 의한다.</t>
  </si>
  <si>
    <t>채권자취소권</t>
  </si>
  <si>
    <t>甲과 계약을 체결하였으나 甲이 미성년자임을 알지 못한 거래상대방은 추인이 있을 때까지 그 의사표시를 철회할 수 있다.</t>
  </si>
  <si>
    <t>甲의 부동산에 대한 乙의 처분행위는 특별한 사정이 없는 한 유효하다.</t>
  </si>
  <si>
    <t>乙이 건물의 처분에 대하여 법원의 허가를 받은 경우, 甲과 아무 관계가 없는 타인의 채무담보를 위해 저당권을 설정하더라도 유효하다.</t>
  </si>
  <si>
    <t>부동산매매계약 체결시 매도인의 양도소득세를 절감하기 위하여 소유권이전등기를 일정 기간 이후에 하기로 한 약정</t>
  </si>
  <si>
    <t>사기로 인하여 화해계약이 체결된 경우, 화해의 목적인 분쟁에 관한 사항에 착오가 있더라도 사기를 이유로 계약을 취소할 수 없다.</t>
  </si>
  <si>
    <t>甲으로부터 X토지매매의 대리권을 수여받은 미성년자 乙이 甲을 대리하여 丙과 매매계약을 체결한 경우</t>
  </si>
  <si>
    <t>해제조건부 증여계약에서 그 조건이 계약 당시 이미 성취된 경우, 그 증여계약은 무효이다.</t>
  </si>
  <si>
    <t>채무불이행에 따른 매매계약의 해제</t>
  </si>
  <si>
    <t>채무자의 채권자에 대한 동시이행의 항변권 행사</t>
  </si>
  <si>
    <t>전(前) 채무자의 채무에 대한 보증이나 제3자가 제공한 담보는 원칙적으로 면책적 채무인수로 인하여 소멸한다.</t>
  </si>
  <si>
    <t>수탁보증인이 과실 없이 채권자에게 보증채무를 이행할 재판을 받은 경우, 주채무자에 대하여 사전구상권을 행사할 수 있다.</t>
  </si>
  <si>
    <t>무자력인 채무자가 특정 채권자에게 부동산을 담보로 제공한 때 그 담보물이 채무자 소유의 유일한 부동산이 아닌 경우에도 사해행위로 인정될 수 있다.</t>
  </si>
  <si>
    <t>손해배상액의 예정이 있는 경우, 채권자는 채무불이행의 사실을 증명하지 않더라도 예정배상액을 청구할 수 있다.</t>
  </si>
  <si>
    <t>소멸시효가 완성된 채권이 그 완성 전에 상계할 수 있었던 때에도 채권자는 시효완성 후에는 상계할 수 없다.</t>
  </si>
  <si>
    <t>채무자의 과실로 이행불능이 된 경우, 채권자가 계약을 해제하기 위해서는 채무자에게 상당한 기간을 정하여 이행을 최고하여야 한다.</t>
  </si>
  <si>
    <t>계약체결이 좌절되더라도 어쩔 수 없다고 생각하고 지출한 비용은 계약교섭의 부당한 중도파기로 인한 손해에 포함되지 않는다.</t>
  </si>
  <si>
    <t>증여의 의사가 서면으로 표시된 경우에도 특별한 사정이 없는 한 각 당사자는 이를 언제든지 해제할 수 있다.</t>
  </si>
  <si>
    <t>이자 없는 소비대차의 당사자는 원칙적으로 목적물의 인도 전에 계약을 해제할 수 없다.</t>
  </si>
  <si>
    <t>임대인이 임대물의 보존에 필요한 행위를 하는 때에는 임차인은 이를 거절하지 못한다.</t>
  </si>
  <si>
    <t>수임인이 위임인을 위하여 자기의 명의로 취득한 권리는 위임인에게 이전하여야 한다.</t>
  </si>
  <si>
    <t>甲이 丙에게 손해배상을 한 경우, 乙에 대한 구상권은 공동면책행위를 한 때로부터 기산하여 3년의 소멸시효에 걸린다.</t>
  </si>
  <si>
    <t>피용자의 행위가 사무집행행위에 해당하지 않음을 피해자 자신이 알았거나 중대한 과실로 인하여 알지 못한 경우에는 사용자책임을 물을 수 없다.</t>
  </si>
  <si>
    <t>신의칙에 반하는지의 여부는 당사자의 주장이 없는 한, 법원이 직권으로 판단할 수 없다.</t>
  </si>
  <si>
    <t>건물의 소유를 목적으로 한 토지임차인의 건물매수청구권은 형성권이다.</t>
  </si>
  <si>
    <t>미성년자가 법정대리인의 동의 없이 물건을 시가보다 훨씬 싸게 매수한 경우에도 그 계약을 취소할 수 있다.</t>
  </si>
  <si>
    <t>甲이 다른 의사표시 없이 乙로부터 매매대금의 일부를 받은 경우에는 계약시에 소급하여 유권대리에서와 같은 효력이 생긴다.</t>
  </si>
  <si>
    <t>자기 소유의 금전을 타인이 점유한 경우에는 채권적 반환청구권을 행사할 수 있다.</t>
  </si>
  <si>
    <t>甲은 乙이 丙에 대하여 가지는 위 부동산의 이전등기말소청구권을 대위행사할 수 없다.</t>
  </si>
  <si>
    <t>甲이 위 식품의 장기간 복용으로 인하여 시신경이 손상되는 손해를 입은 경우, 甲은 乙을 상대로 불법행위에 기한 손해배상을 청구할 수 있다.</t>
  </si>
  <si>
    <t>법인은 대표권 없는 이사의 불법행위에 대하여도 민법 제35조에 의한 불법행위책임을 진다.</t>
  </si>
  <si>
    <t>매매계약이 적법하게 해제된 후에는 착오를 이유로 그 계약을 다시 취소할 수 없다.</t>
  </si>
  <si>
    <t>조건이 선량한 풍속 기타 사회질서에 위반한 것인 때에는 그 법률행위는 조건없는 법률행위로 본다.</t>
  </si>
  <si>
    <t>무이자 소비대차의 차주</t>
  </si>
  <si>
    <t>오납한 조세에 대한 부당이득반환청구권을 실현하기 위하여 과세처분 무효확인의 소를 제기한 경우</t>
  </si>
  <si>
    <t>채무자의 채무이행과 관련된 이행보조자의 행위가 채권자에 대한 불법행위가 되면 채무자는 채무불이행책임을 면한다.</t>
  </si>
  <si>
    <t>채무자가 채권자대위권 행사의 통지를 받은 후에는 자신의 채무자로부터 변제를 수령할 수 없다.</t>
  </si>
  <si>
    <t>채무를 변제한 보증인은 주채무자의 부탁 여부와 관계없이 채권자를 대위할 수 있다.</t>
  </si>
  <si>
    <t>금전채무를 면책적으로 인수한 자는 채권자에 대한 자신의 반대채권으로 인수채무를 상계할 수 있다.</t>
  </si>
  <si>
    <t>수탁보증인이 주채무자에 대하여 가지는 사전구상권을 자동채권으로 하는 상계는 원칙적으로 허용되지 않는다.</t>
  </si>
  <si>
    <t>사해행위 이전에 성립되어 있는 채권자의 채권이 양도된 경우, 채권양도의 대항요건을 사해행위 이후에 갖추었더라도 채권양수인은 양수채권의 보전을 위하여 채권자취소권을 행사할 수 있다.</t>
  </si>
  <si>
    <t>매매계약의 취소로 인한 당사자 쌍방의 원상회복의무</t>
  </si>
  <si>
    <t>수익자의 불법성이 급여자의 그것보다 현저히 크고 그에 비하면 급여자의 불법성은 미약한 경우, 급여자의 반환청구는 허용된다.</t>
  </si>
  <si>
    <t>임치기간의 약정이 있더라도 임치인은 언제든지 계약을 해지할 수 있다.</t>
  </si>
  <si>
    <t>수임인이 위임인에 대한 대변제청구권을 보전하기 위하여 채권자대위권을 행사하는 경우에는 위임인의 무자력이 요구된다.</t>
  </si>
  <si>
    <t>노동조합의 불법쟁의행위시 일반조합원이 노동조합의 지시에 따라 단순히 노무를 정지한 경우에도, 원칙적으로 노동조합과 함께 공동불법행위책임을 진다.</t>
  </si>
  <si>
    <t>건축을 목적으로 매매된 토지가 매매계약 당시 건축허가를 받을 수 없는 법률적 장애로 건축이 불가능하게 되었다면, 매매목적물의 하자에 해당한다.</t>
  </si>
  <si>
    <t>甲은 乙에게 계약금의 배액을 상환하고 매매계약을 해제할 수 있다.</t>
  </si>
  <si>
    <t>취소할 수 있는 법률행위는 취소한 후에는 무효행위의 추인요건을 갖추더라도 다시 추인할 수 없다.</t>
  </si>
  <si>
    <t>甲이 단순히 성년자라고 한 것만으로는 취소권이 배제되지 않는다.</t>
  </si>
  <si>
    <t>부재자 재산관리인에 의한 부재자 소유의 부동산 매매행위에 대한 법원의 허가결정은 그 허가를 받은 재산에 대한 장래의 처분행위뿐만 아니라 기왕의 매매를 추인하는 방법으로도 할 수 있다.</t>
  </si>
  <si>
    <t>甲은 증여계약의 무효를 주장하여 X아파트에 대한 丁명의의 이전등기말소를 청구할 수 있다.</t>
  </si>
  <si>
    <t>丁은 2012. 3. 2.부터 모든 법률관계에서 권리능력을 취득한다.</t>
  </si>
  <si>
    <t>권리자가 장기간 권리를 행사하지 않았다는 사실만으로는 권리가 실효되는 것은 아니다.</t>
  </si>
  <si>
    <t>가장저당권이 설정된 후 그 저당권의 실행에 의하여 부동산을 매각받은 자</t>
  </si>
  <si>
    <t>실종선고가 취소된 경우, 乙이 선의인 때에는 그 받은 이익이 현존하는 한도에서 甲에게 반환하면 된다.</t>
  </si>
  <si>
    <t>丙이 甲을 강박하였다면, 乙은 강박을 이유로 매매계약을 취소할 수 있다.</t>
  </si>
  <si>
    <t>호텔의 객실에 설치된 텔레비전, 전화기는 호텔건물의 종물이다.</t>
  </si>
  <si>
    <t>대표권이 없는 이사의 행위에 대하여도 법인은 불법행위책임을 진다.</t>
  </si>
  <si>
    <t>채권자대위소송의 제3채무자는 채무자의 채권자에 대한 소멸시효 완성의 항변을 원용할 수 없다.</t>
  </si>
  <si>
    <t>乙이 丙에 대하여 금전채무의 이행을 청구하고 있는 경우, 甲은 대위권을 행사할 수 없다.</t>
  </si>
  <si>
    <t>위임사무의 처리에 비용을 요하는 때에는 위임인은 수임인의 청구에 의하여 이를 선급하여야 한다.</t>
  </si>
  <si>
    <t>조합의 탈퇴조합원은 자신의 조합에 대한 횡령금 반환채무와 출자지분 반환채권을 상계할 수 있다.</t>
  </si>
  <si>
    <t>채무자가 이의를 보류하지 아니하고 채권양도를 승낙한 경우, 양도인에게 대항할 수 있는 사유를 가지고 양수인에게 대항하지 못한다.</t>
  </si>
  <si>
    <t>계약에 따른 어떤 급부가 그 계약의 상대방 아닌 제3자의 이익으로 된 경우, 급부를 한 계약당사자는 그 제3자에 대하여 직접 부당이득반환을 청구할 수 있다.</t>
  </si>
  <si>
    <t>甲은 X건물의 완성부분에 하자가 있는 때에는 특별한 사정이 없는 한 乙에 대하여 상당한 기간을 정하여 그 하자의 보수를 청구할 수 있다.</t>
  </si>
  <si>
    <t>구상권자인 공동불법행위자 1인에게 과실이 없는 경우, 그에 대하여 구상의무를 부담하는 수인의 다른 공동불법행위자의 구상채무는 분할채무이다.</t>
  </si>
  <si>
    <t>매매의 목적이 된 권리가 타인에게 속한 경우에는 매도인은 그 권리를 취득하여 매수인에게 이전하여야 한다.</t>
  </si>
  <si>
    <t>채무자 소유의 부동산에 대한 경매의 경우에도 채권자에 대한 배당금은 법정변제충당의 방법에 따라 충당한다.</t>
  </si>
  <si>
    <t>B : 2,000만원, C : 3,000만원, D : 4,000만원</t>
  </si>
  <si>
    <t>피용자의 불법행위가 사용자의 사무집행행위에 해당하지 않음을 피해자 자신이 알았거나 중과실로 알지 못한 경우, 사용자책임을 물을 수 없다.</t>
  </si>
  <si>
    <t>계약 일부의 이행이 불능인 경우, 이행이 가능한 나머지 부분만의 이행으로 계약의 목적을 달성할 수 없는 경우에는 계약 전부를 해제할 수 있다.</t>
  </si>
  <si>
    <t>채권자의 수령지체 중에 당사자 쌍방의 책임 없는 사유로 이행할 수 없게 된 경우, 채무자는 상대방의 이행을 청구할 수 있다.</t>
  </si>
  <si>
    <t>甲이 丙에게 사용자책임을 부담하므로, 丙은 乙에게 불법행위를 이유로 손해배상을 청구할 수 없다.</t>
  </si>
  <si>
    <t>임대차기간의 약정이 없는 경우, 甲에 의한 해지통고에 의하여 그 임차권이 소멸하면, 乙의 지상물매수청구권은 乙의 계약갱신 청구의 유무에 불구하고 인정된다.</t>
  </si>
  <si>
    <t>소멸시효의 이익은 미리 포기하지 못한다.</t>
  </si>
  <si>
    <t>매매계약에 관한 비용은 당사자 사이의 특약이 없는 한 당사자 쌍방이 균분하여 부담한다.</t>
  </si>
  <si>
    <t>乙은 甲의 채무불이행을 이유로 매매계약을 해제할 수 있다.</t>
  </si>
  <si>
    <t>대리인에 의한 법률행위에서 경솔은 본인을 기준으로 판단하여야 한다.</t>
  </si>
  <si>
    <t>채무자 아닌 제3자가 타인의 채무라는 사실을 알면서 변제하였고 그것이 채무자의 의사에 반하지 않는 경우, 제3자는 채권자에게 부당이득반환을 청구할 수 있다.</t>
  </si>
  <si>
    <t>부동산매매로 인한 소유권이전등기청구권은 매도인의 동의나 승낙이 없는 한 양도할 수 없다.</t>
  </si>
  <si>
    <t>천연과실은 물건의 용법에 의하여 수취하는 산출물이다.</t>
  </si>
  <si>
    <t>위약금의 약정은 특별한 사정이 없는 한 손해배상액의 예정으로 추정한다.</t>
  </si>
  <si>
    <t>재산관리인이 법원의 허가를 받아 행한 처분행위는 후에 그 허가가 취소되더라도 유효하다.</t>
  </si>
  <si>
    <t>법정대리인인 부모는 자(子)의 동의를 얻어 자(子)의 근로계약을 대리할 수 있다.</t>
  </si>
  <si>
    <t>위임사무의 처리에 비용을 요하는 때에는 특별한 사정이 없는 한 위임인은 수임인의 청구에 의하여 이를 선급하여야 한다.</t>
  </si>
  <si>
    <t>불법조건이 붙은 법률행위는 조건 없는 법률행위이다.</t>
  </si>
  <si>
    <t>이행보조자에게 고의・과실이 있는 때에도 채무자가 선임・감독상의 주의의무를 다한 경우에는 채무불이행책임을 면한다.</t>
  </si>
  <si>
    <t>채권자취소소송의 상대방은 수익자나 전득자이다.</t>
  </si>
  <si>
    <t>취소의 원인이 종료되지 않았다고 하더라도 법정대리인이 추인할 수 있다.</t>
  </si>
  <si>
    <t>계약금을 받은 매도인이 계약을 해제하려고 매수인에게 계약금의 배액을 제공하였으나 매수인이 이를 수령하지 않은 경우, 매도인은 이를 공탁하지 않으면 계약을 해제할 수 없다.</t>
  </si>
  <si>
    <t>乙-60만원, 丁-20만원, 戊-10만원</t>
  </si>
  <si>
    <t>이사의 대표권에 대한 제한은 등기를 하지 않더라도 정관에 기재함으로써 제3자에게 대항할 수 있다.</t>
  </si>
  <si>
    <t>丙이 乙의 귀책사유를 증명하지 못하면, 자신의 신체손해에 대하여 乙에게 배상책임을 물을 수 없다.</t>
  </si>
  <si>
    <t>취소</t>
  </si>
  <si>
    <t>장래의 채무에 대하여는 보증할 수 없다.</t>
  </si>
  <si>
    <t>甲은 Y토지에 대한 매매계약을 착오를 이유로 취소할 수 있다.</t>
  </si>
  <si>
    <t>선의의 상대방은 무능력자 측에서 추인하기 전까지 그 의사표시를 철회할 수 있는데, 이 때 철회의 상대방에 무능력자는 포함되지 않는다.</t>
  </si>
  <si>
    <t>사람이 출생한 후 출생신고에 의하여 가족관계등록부에 기재되어야 권리능력을 취득한다.</t>
  </si>
  <si>
    <t>횟집건물에 딸린 생선을 보관하기 위한 수족관 건물은 횟집건물의 종물로 볼 수 있다.</t>
  </si>
  <si>
    <t>부동산 이중매매가 반사회질서 법률행위로 무효가 되려면, 매도인의 배임행위에 제2매수인이 적극 가담한 경우이어야 한다.</t>
  </si>
  <si>
    <t>2020년 3월 23일 24시</t>
  </si>
  <si>
    <t>상대방이 있는 의사표시에 관하여 제3자가 사기나 강박을 행한 경우에는 상대방이 그 사실을 알았거나 알 수 있었을 경우에 한하여 그 의사표시를 취소할 수 있다.</t>
  </si>
  <si>
    <t>권한을 넘은 표현대리에 있어서 무권대리인에게 그 권한이 있다고 믿을 만한 정당한 이유가 있는가의 여부는 사실심변론종결시를 기준으로 하여 판단한다.</t>
  </si>
  <si>
    <t>주채무자가 기한의 이익을 포기하면 보증인에게도 그 효력이 미친다.</t>
  </si>
  <si>
    <t>가장소비대차의 대주가 파산선고를 받은 경우 선의의 파산관재인은 허위표시의 무효로 대항할 수 없는 제3자에 해당한다.</t>
  </si>
  <si>
    <t>매매계약의 취소권자인 매도인이 대금채권을 소멸시키고 그에 갈음하여 금전소비대차계약을 체결한 경우</t>
  </si>
  <si>
    <t>시효중단의 효력이 있는 승인에는 상대방의 권리에 관한 처분의 능력이 있음을 요한다.</t>
  </si>
  <si>
    <t>사원자격의 득실에 관한 내용</t>
  </si>
  <si>
    <t>상가건물의 점포를 분양하면서 분양대금을 완납하고 건물 준공 후 공부정리가 완료되는 즉시 소유권을 이전하기로 약정한 경우, 이는 불확정기한을 이행기로 정한 것으로 보아야 한다.</t>
  </si>
  <si>
    <t>乙이 선관주의의무를 다하여 A를 관리할 의무는 A에 대한 매매계약이 성립한 시점부터 발생한다.</t>
  </si>
  <si>
    <t>토지 매수인이 건물 신축을 위해 설계비와 공사계약금을 지출하였다가 매도인의 채무불이행을 이유로 계약을 해제한 경우, 회수하지 못한 그 설계비와 공사계약금</t>
  </si>
  <si>
    <t>상계</t>
  </si>
  <si>
    <t>채권의 준점유자에 대한 변제는 변제자가 선의이며 과실 없는 때에 한하여 효력이 있다.</t>
  </si>
  <si>
    <t>6,000만원</t>
  </si>
  <si>
    <t>장래의 채권도 양도 당시 기본적 채권관계가 어느 정도 확정되어 있어 그 권리의 특정이 가능하고 가까운 장래에 발생할 것임이 상당 정도 기대되는 경우에는 이를 양도할 수 있다.</t>
  </si>
  <si>
    <t>당사자 쌍방이 자기 채무의 이행제공을 하지 않은 상태에서도 계약의 합의해제를 할 수 있다.</t>
  </si>
  <si>
    <t>丙은 甲에게 임차권을 주장할 수 없으며, 나아가 乙과 丙 사이에도 임차권양도의 효력이 생기지 않는다.</t>
  </si>
  <si>
    <t>채권의 목적이 수개의 행위 중에서 선택에 좇아 확정될 경우에 다른 법률의 규정이나 당사자의 약정이 없으면 선택권은 채권자에게 있다.</t>
  </si>
  <si>
    <t>丙이 甲에게 손해의 전액을 배상하고 乙과 丁에게 구상하는 경우, 乙과 丁은 원칙적으로 각자의 부담부분에 따라 구상의무를 부담한다.</t>
  </si>
  <si>
    <t>부당이득 반환채무는 기한의 정함이 없는 채무이므로 수익자는 이행청구를 받은 때로부터 지체책임이 있다.</t>
  </si>
  <si>
    <t>사용자는 피용자에 대하여 특약이 없더라도 신의성실의 원칙상 피용자의 안전을 배려할 보호의무를 진다.</t>
  </si>
  <si>
    <t>강제집행을 면할 목적으로 채무자가 타인에게 신탁한 부동산의 소유명의는 불법원인급여가 아니다.</t>
  </si>
  <si>
    <t>미성년자가 수령한 의사표시는 법정대리인이 그 도달을 알았더라도 표의자는 그 의사표시로써 미성년자에게 대항하지 못한다.</t>
  </si>
  <si>
    <t>양도인의 채무자에 대한 채권양도의 통지는 양수인의 동의가 없으면 철회하지 못한다.</t>
  </si>
  <si>
    <t>법인의 불법행위가 성립하려면 대표자의 상대방은 대표자의 행위가 직무집행에 관한 것이 아니라는 점에 관하여 선의이고 중대한 과실이 없어야 한다.</t>
  </si>
  <si>
    <t>ㄹ</t>
  </si>
  <si>
    <t>대리인은 대리인임을 표시하여 의사표시를 하여야 하는 것은 아니고 본인명의로도 할 수 있다.</t>
  </si>
  <si>
    <t>채무자는 채권양도의 통지를 받거나 이를 승낙할 이익을 미리 포기할 수 없다.</t>
  </si>
  <si>
    <t>해제조건 있는 법률행위는 다른 의사표시가 없으면 법률행위를 한 때로부터 그 효력을 잃는다.</t>
  </si>
  <si>
    <t>동시이행의 관계에 있는 자신의 채무를 이행하기 위해서 상대방의 협력행위가 필요한 경우, 언제든지 현실로 이행할 수 있는 준비를 완료하였다면 수령의 최고 없이도 상대방의 채무불이행을 이유로 계약을 해제할 수 있다.</t>
  </si>
  <si>
    <t>소멸시효의 이익은 시효완성 후 포기할 수 있으나, 제척기간의 경우에는 기간의 도과로 권리가 당연히 소멸하므로 포기가 인정되지 않는다.</t>
  </si>
  <si>
    <t>제3자에 의한 급부의 선택은 채무자 및 채권자에 대한 의사표시로 한다.</t>
  </si>
  <si>
    <t>채무자가 채무불이행책임을 지는 이행보조자의 행위는 채무자의 의사관여 아래 그 채무의 이행행위에 속하는 활동이어야 한다.</t>
  </si>
  <si>
    <t>2009년 6월 14일 24시(자정)</t>
  </si>
  <si>
    <t>보증채무 성립 후 보증인이 최고・검색의 항변권을 포기하면 보증연대로 전환된다.</t>
  </si>
  <si>
    <t>복임권 없는 대리인이 임의로 선임한 복대리인을 통하여 권한 외의 법률행위를 한 경우, 이러한 복대리인의 권한도 권한을 넘은 표현대리(민법 제126조)의 기본대리권이 될 수 있다.</t>
  </si>
  <si>
    <t>변제할 정당한 이익이 있는 자가 채무자를 위하여 근저당권의 피담보채무의 일부를 대위변제한 경우에 대위변제자는 근저당권의 실행으로 인한 배당절차에서 채권자에 대하여 우선변제권을 가진다.</t>
  </si>
  <si>
    <t>제3자가 수익의 의사표시를 한 후 요약자와 낙약자가 임의로 제3자의 권리를 변경시키는 행위를 하더라도 원칙적으로 제3자에게는 그 효력이 없다.</t>
  </si>
  <si>
    <t>노동조합은 설립등기를 할 수 없으므로 법인이 될 수 없다.</t>
  </si>
  <si>
    <t>공작물에 하자가 있더라도 피해자의 행위가 경합하여 손해가 발생하였다면 공작물책임은 성립하지 않는다.</t>
  </si>
  <si>
    <t>乙은 丁에 대하여 정신적 손해의 배상책임을 진다.</t>
  </si>
  <si>
    <t>도급인이 파산선고를 받은 때에는 수급인 또는 파산관재인은 도급계약을 해제할 수 있다.</t>
  </si>
  <si>
    <t>의사표시가 상대방에게 도달되었다고 보기 위해서는 사회관념상 상대방이 그 통지의 내용을 알 수 있는 객관적 상태에 놓여졌다고 인정되면 충분하다.</t>
  </si>
  <si>
    <t>취소할 수 있는 법률행위의 추인은 취소의 원인이 종료한 후에 하지 아니하면 효력이 없다.</t>
  </si>
  <si>
    <t>채무초과상태의 채무자가 그의 유일한 재산인 부동산을 특정한 채권자에게 담보로 제공하는 행위는 다른 채권자와의 관계에서 사해행위이다.</t>
  </si>
  <si>
    <t>제3자의 기망행위에 의하여 신원보증서류에 서명・날인한다는 착각에 빠져 연대보증의 서면에 서명・날인한 자는 상대방이 제3자의 기망행위를 알 수 있었다면 사기를 이유로 이를 취소할 수 있다.</t>
  </si>
  <si>
    <t>보증채무의 소멸시효가 중단된 후 주채무가 시효완성으로 소멸되더라도 보증채무는 소멸되지 않는다.</t>
  </si>
  <si>
    <t>채무를 병존적으로 인수할 것을 내용으로 하는 채무자와 인수인의 계약은 채권자를 수익자로 하는 제3자를 위한 계약이다.</t>
  </si>
  <si>
    <t>형성권의 행사기간이 정해져 있는 경우, 형성권의 행사에 의하여 발생한 채권적 권리에 대해서도 형성권의 행사기간에 관한 제척기간이 적용된다.</t>
  </si>
  <si>
    <t>위임계약상의 채무를 제대로 이행하지 않은 경우, 그 채무의 이행이 가능하다면 이행을 최고하고 이행이 없으면 계약을 해제할 수 있다.</t>
  </si>
  <si>
    <t>기간의 말일이 토요일 또는 공휴일에 해당하는 때에는 기간은 그 익일로 만료한다.</t>
  </si>
  <si>
    <t>위약금의 약정은 손해배상액의 예정으로 추정한다.</t>
  </si>
  <si>
    <t>상대방의 동의가 없으면 무권대리행위의 일부에 대한 추인 또는 변경을 가한 추인은 무효이다.</t>
  </si>
  <si>
    <t>예약완결권은 양도성이 있으므로 이를 양수한 자는 예약완결권을 행사할 수 있다.</t>
  </si>
  <si>
    <t>매매목적 부동산에 대한 전세권의 행사로 인하여 매수인이 소유권을 취득할 수 없게 된 경우, 매수인은 선의인 경우에만 계약을 해제할 수 있다.</t>
  </si>
  <si>
    <t>부속물매수청구권</t>
  </si>
  <si>
    <t>탈퇴한 조합원의 지분은 그 출자의 종류를 묻지 않고 금전으로 반환할 수 있다.</t>
  </si>
  <si>
    <t>부동산 이중매매에서 제2매수인이 매도인의 배임행위에 적극가담한 경우, 제2매매는 반사회적 법률행위로서 무효이다.</t>
  </si>
  <si>
    <t>불법원인급여에 해당하여 반환청구가 부정되는 경우 급여자는 물권적 청구권에 의한 반환 및 불법행위를 원인으로 하는 손해배상을 청구할 수 없다.</t>
  </si>
  <si>
    <t>사용자가 피용자의 불법행위로 인한 손해를 배상한 경우에도 사용자는 신의칙상 상당하다고 인정되는 한도 내에서만 피용자에게 손해배상을 청구하거나 구상권을 행사할 수 있다.</t>
  </si>
  <si>
    <t>법정대리인은 그의 동의 없는 미성년자의 법률행위를 취소할 수 있으나, 미성년자는 법정대리인의 동의를 얻어 이를 취소할 수 있을 뿐이다.</t>
  </si>
  <si>
    <t>당사자가 합의로 해제권을 유보한 경우 채무불이행으로 인한 법정해제권은 발생하지 않는다.</t>
  </si>
  <si>
    <t>법원이 부재자의 재산관리인을 선임한 경우, 부재자는 재산관리인을 통하여서만 법률행위를 하여야 한다.</t>
  </si>
  <si>
    <t>이사가 없거나 결원으로 인하여 손해가 발생할 염려가 있는 때에는 법원은 이해관계인이나 검사의 청구에 의하여 임시이사를 선임하여야 한다.</t>
  </si>
  <si>
    <t>동시이행관계에 있는 자동채권과 수동채권은 서로 현실적으로 이행하여야 할 필요가 없더라도 그 상계는 허용되지 않는다.</t>
  </si>
  <si>
    <t>가장양수인의 일반채권자나 채권의 가장양수인으로부터 추심을 위하여 채권을 양수한 자는 제3자에 해당하지 않는다.</t>
  </si>
  <si>
    <t>정관에서 대표이사의 해임사유를 정한 경우, 대표이사의 중대한 의무위반 등 특별한 사정이 없는 한 법인은 정관에서 정하지 아니한 사유로 대표이사를 해임할 수 없다.</t>
  </si>
  <si>
    <t>물건과 물건 상호간의 관계에 관한 주물과 종물의 법리는 권리와 권리 상호간의 관계에는 유추적용될 수 없다.</t>
  </si>
  <si>
    <t>A의 사원총회 결의는 법률 또는 정관에 다른 규정이 없으면 사원 과반수의 출석과 출석사원 의결권의 과반수로써 한다.</t>
  </si>
  <si>
    <t>당사자가 금전소비대차계약에 붙인 기한이익 상실특약은 특별한 사정이 없는 한 정지조건부 기한이익 상실특약으로 추정한다.</t>
  </si>
  <si>
    <t>도급받은 자의 공사에 관한 채권은 3년간 행사하지 아니하면 소멸시효가 완성한다.</t>
  </si>
  <si>
    <t>법정대리인이 제한능력을 이유로 법률행위를 취소한 경우, 제한능력자의 부당이득 반환범위는 법정대리인의 선의 또는 악의에 따라 달라진다.</t>
  </si>
  <si>
    <t>전문가의 진품감정서를 믿고 이를 첨부하여 서화 매매계약을 체결한 후에 그 서화가 위작임이 밝혀진 경우, 매수인은 하자담보책임을 묻는 외에 착오를 이유로 하여 매매계약을 취소할 수 없다.</t>
  </si>
  <si>
    <t>甲과 乙 사이에 행해진 X토지에 관한 가장매매예약이 철회되었으나 아직 가등기가 남아 있음을 기화로 乙이 허위의 서류로써 이에 기한 본등기를 한 후 X를 선의의 丙 에게 매도하고 이전등기를 해주었다면 丙은 X의 소유권을 취득하지 못한다.</t>
  </si>
  <si>
    <t>근로자가 허위의 이력서를 제출하여 근로계약이 체결되어 실제로 노무제공이 행해졌다면 사용자가 후에 사기를 이유로 하여 근로계약을 취소하더라도 그 취소에는 소급효가 인정되지 않는다.</t>
  </si>
  <si>
    <t>대리인이 대리권 소멸 후 복대리인을 선임한 경우, 그 복대리인의 대리행위에 대해서는 표현대리가 성립할 여지가 없다.</t>
  </si>
  <si>
    <t>상계는 상대방 있는 단독행위이다.</t>
  </si>
  <si>
    <t>乙이 丙에게 증여계약의 이행을 하지 않는다면 채무불이행의 책임을 져야 한다.</t>
  </si>
  <si>
    <t>불법행위로 영업용 건물이 일부 멸실된 경우, 그에 따른 휴업손해는 특별손해에 해당한다.</t>
  </si>
  <si>
    <t>丁이 乙 및 丙의 부탁을 받아 그 채무를 연대보증한 후에 甲에게 위 1억 8,000만 원을 변제하였다면, 丁은 乙에게 1억 8,000만 원 전액을 구상할 수 있다.</t>
  </si>
  <si>
    <t>이행기의 정함이 없는 채권을 양수한 채권양수인이 채무자를 상대로 그 이행을 구하는 소를 제기하고 소송 계속 중 채무자에 대한 채권양도통지가 이루어진 경우, 특별한 사정이 없는 한 채무자는 채권양도통지가 도달된 다음날부터 지체책임을 진다.</t>
  </si>
  <si>
    <t>당사자 사이에 양도금지의 특약이 있는 채권이라도 압류 및 전부명령에 의하여 이전될 수 있다.</t>
  </si>
  <si>
    <t>乙의 부탁을 받은 丙이 甲과 합의하여 중첩적 채무인수 계약을 체결한 경우, 乙과 丙은 부진정연대채무관계에 있다.</t>
  </si>
  <si>
    <t>손해배상채무가 중과실에 의한 불법행위로 발생한 경우, 그 채무자는 이를 수동채권으로 하는 상계로 채권자에게 대항하지 못한다.</t>
  </si>
  <si>
    <t>아파트의 분양광고가 청약의 유인인 경우, 피유인자가 이에 대응하여 청약을 하는 것으로써 분양계약은 성립한다.</t>
  </si>
  <si>
    <t>계약교섭의 부당파기가 신의성실원칙에 위반되어 위법한 행위이면 불법행위를 구성한다.</t>
  </si>
  <si>
    <t>동시이행항변권에 따른 이행지체 책임 면제의 효력은 그 항변권을 행사해야 발생한다.</t>
  </si>
  <si>
    <t>채무자와 인수인 사이에 체결되는 중첩적 채무인수계약은 제3자를 위한 계약이다.</t>
  </si>
  <si>
    <t>증여 목적물에 증여자가 알지 못하는 하자가 있는 경우</t>
  </si>
  <si>
    <t>부동산 매매등기가 이루어지고 5년 후에 환매권의 보류를 등기한 때에는 매매등기시부터 제3자에 대하여 그 효력이 있다.</t>
  </si>
  <si>
    <t>민법 제673조에 따라 수급인이 일을 완성하기 전에 도급인이 손해를 배상하고 도급계약을 해제하는 경우, 도급인은 특별한 사정이 없는 한 그 손해배상과 관련하여 수급인의 부주의를 이유로 과실상계를 주장할 수 없다.</t>
  </si>
  <si>
    <t>여행계약의 담보책임 존속기간에 관한 규정과 다른 합의가 있는 경우, 그 합의가 여행자에게 유리하더라도 효력은 없다.</t>
  </si>
  <si>
    <t>임차인이 임대인의 동의없이 임차권을 양도한 경우, 임대인은 특별한 사정이 없는 한 임대차계약을 해지할 수 있다.</t>
  </si>
  <si>
    <t>사무관리의 성립요건인 '타인을 위하여 사무를 처리하는 의사'는 관리자 자신의 이익을 위한 의사와 병존할 수 있다.</t>
  </si>
  <si>
    <t>가정법원이 피한정후견인에 대하여 성년후견개시의 심판을 할 때에는 종전의 한정후견의 종료 심판을 해야 한다.</t>
  </si>
  <si>
    <t>경과실에 의한 착오를 이유로 의사표시를 취소한 자는 상대방이 그 의사표시의 유효를 믿었음으로 인하여 발생한 손해에 대하여 불법행위책임을 진다.</t>
  </si>
  <si>
    <t>丙이 甲의 채무불이행을 이유로 계약을 해제한 경우, 그 채무불이행에 乙의 책임사유가 있다면 해제로 인한 원상회복의무는 乙이 부담한다.</t>
  </si>
  <si>
    <t>대리인이 대리권 소멸 후 선임한 복대리인과 상대방 사이의 법률행위에는 대리권소멸 후의 표현대리가 성립할 수 없다.</t>
  </si>
  <si>
    <t>甲이 乙의 기망행위로 자신의 X토지를 丙에게 매도한 경우, 甲은 매매계약의 취소를 乙에 대한 의사표시로 하여야 한다.</t>
  </si>
  <si>
    <t>甲이 허가신청절차에 협력하지 않는 경우, 乙은 협력의무의 이행을 소구할 수 있다.</t>
  </si>
  <si>
    <t>2017년 1월 13일(금) 17시에 출생한 사람은 2036년 1월 12일 24시에 성년자가 된다.</t>
  </si>
  <si>
    <t>선량한 풍속에 반하는 불법조건이 붙은 법률행위는 무효이다.</t>
  </si>
  <si>
    <t>양 책임이 성립하는 경우, 채무자나 가해자가 발생한 손해 전부를 배상한 때에는 손해배상자의 대위가 인정된다는 점에서 공통된다.</t>
  </si>
  <si>
    <t>乙이 丙을 상대로 금전채무 이행청구의 소를 제기하여 패소판결이 확정된 경우, 甲은 乙에 대한 금전채권을 보전하기 위해 丙을 상대로 채권자대위권을 행사할 수 있다.</t>
  </si>
  <si>
    <t>甲의 乙에 대한 채권이 시효로 소멸한 경우, 丙은 이를 들어 채권자취소권을 행사하는 甲에게 대항할 수 없다.</t>
  </si>
  <si>
    <t>X토지에 대한 매매계약이 해제되기 전에 매수인으로부터 X토지에 대한 소유권이전등기청구권을 양도받은 자</t>
  </si>
  <si>
    <t>甲이 상계권을 행사하지 않은 경우, 丙은 丁을 상대로 甲의 6백만원에 대해 상계할 수 있고, 乙과 丙이 丁에게 3백만원의 연대채무를 부담한다.</t>
  </si>
  <si>
    <t>매도인이 매수인에게 매매계약의 합의해제를 청약한 경우, 매수인이 그 청약에 대하여 조건을 가하여 승낙한 때에는 그 합의해제의 청약은 거절된 것으로 본다.</t>
  </si>
  <si>
    <t>매매계약에 관한 비용은 다른 약정이 없으면 매수인이 부담한다.</t>
  </si>
  <si>
    <t>2인 조합에서 조합원 1인이 탈퇴하면 조합관계는 종료된다.</t>
  </si>
  <si>
    <t>甲이 변제기를 경과한 후 최후 2년의 차임채권에 의하여 그 지상에 있는 乙 소유의 건물을 압류한 때에는 저당권과 동일한 효력이 있다.</t>
  </si>
  <si>
    <t>제한행위능력을 이유로 법률행위를 취소한 경우 제한능력자는 선의・악의를 묻지 않고 그 행위로 인하여 받은 이익이 현존하는 한도에서 상환할 책임이 있다.</t>
  </si>
  <si>
    <t>미성년자가 성폭력을 당한 경우에 이로 인한 손해배상청구권의 소멸시효는 그가 성년이 될 때까지는 진행되지 아니한다.</t>
  </si>
  <si>
    <t>강행규정을 위반한 자가 그 위반을 이유로 하여 법률행위의 무효를 주장하는 것은 특별한 사정이 있는 예외적인 경우에는 신의칙 위반으로 될 수 있다.</t>
  </si>
  <si>
    <t>미성년자가 제한능력을 이유로 자신이 행한 법률행위를 단독으로 취소한 경우, 그 법정대리인은 미성년자가 행한 취소의 의사표시를 다시 취소할 수 없다.</t>
  </si>
  <si>
    <t>법인이 청산종결등기를 하였다면 실제로 청산사무가 종료되지 않았더라도 그 법인은 소멸한다.</t>
  </si>
  <si>
    <t>주물・종물 법리는 타인 소유 토지 위에 존재하는 건물의 소유권과 그 건물의 부지에 관한 건물소유자의 토지임차권 사이에도 유추적용될 수 있다.</t>
  </si>
  <si>
    <t>선량한 풍속 기타 사회질서에 반하는 법률행위의 무효는 그 법률행위를 기초로 하여 새로운 이해관계를 맺은 선의의 제3자에 대해서도 주장할 수 있다.</t>
  </si>
  <si>
    <t>임대차보증금반환채권을 담보하기 위하여 임대인과 임차인 사이에 임차인을 전세권자로 하는 전세권설정계약이 체결된 경우, 그 계약이 전세권자의 사용・수익을 배제하는 것이 아니라 하더라도 임대차계약과 양립할 수 없는 범위에서는 통정허위표시로 무효이다.</t>
  </si>
  <si>
    <t>특정한 법률행위를 위임한 경우에 대리인이 본인의 지시에 좇아 그 행위를 한 때에는 본인은 자기가 안 사정에 관하여 대리인의 부지(不知)를 주장하지 못한다.</t>
  </si>
  <si>
    <t>제한능력자가 법정대리인의 동의 없이 계약을 무권대리한 경우, 그 제한능력자는 무권대리인으로서 계약을 이행할 책임을 부담하지 않는다.</t>
  </si>
  <si>
    <t>제한능력을 이유로 법률행위가 취소된 경우, 제한능력자는 현존이익의 한도에서 상환할 책임이 있다.</t>
  </si>
  <si>
    <t>기간을 월로 정한 때에는 역(曆)에 의하여 계산한다.</t>
  </si>
  <si>
    <t>기한은 원칙적으로 채무자의 이익을 위한 것으로 추정한다.</t>
  </si>
  <si>
    <t>동일한 당사자 사이에 계속적 거래관계로 인한 수개의 금전채무가 있고, 채무자가 그 채무 전액을 변제하기에는 부족한 금액으로 채무의 일부를 변제하는 경우에 그 수개의 채무전부에 관하여 시효중단의 효력이 발생하는 것이 원칙이다.</t>
  </si>
  <si>
    <t>금전채무에 관하여 이행지체에 대비한 지연손해금 비율을 따로 약정한 경우, 그 약정은 일종의 손해배상액의 예정이다.</t>
  </si>
  <si>
    <t>A가 甲에 대하여 위 채무를 전부 면제해 준 경우, 乙도 A에 대하여 위 채무 전부를 이행할 의무를 면한다.</t>
  </si>
  <si>
    <t>채권자대위소송에서 피보전채권의 존재 여부는 법원의 직권조사사항이다.</t>
  </si>
  <si>
    <t>전(前)채무자의 채무에 대한 보증은 보증인의 동의가 없는 한 면책적 채무인수로 인하여 소멸한다.</t>
  </si>
  <si>
    <t>벌금형이 확정된 경우, 그 벌금채권은 상계의 자동채권이 될 수 없다.</t>
  </si>
  <si>
    <t>교차청약에 의한 격지자간 계약은 양(兩) 청약이 상대방에게 모두 도달한 때에 성립한다.</t>
  </si>
  <si>
    <t>제3자가 수익의 의사표시를 한 경우, 특별한 사정이 없는 한 요약자는 낙약자의 채무불이행을 이유로 제3자의 동의 없이 계약을 해제할 수 없다.</t>
  </si>
  <si>
    <t>매도인의 책임있는 사유로 이행불능이 되어 매수인이 계약을 해제한 경우의 손해배상은 해제시 목적물의 시가를 기준으로 그 손해를 산정한다.</t>
  </si>
  <si>
    <t>건물신축도급계약에 따라 완성된 건물의 하자로 계약의 목적을 달성할 수 없는 경우, 도급인은 이를 이유로 그 계약을 해제할 수 있다.</t>
  </si>
  <si>
    <t>위임이 종료된 경우, 수임인은 특별한 사정이 없는 한 지체없이 그 전말을 위임인에게 보고하여야 한다.</t>
  </si>
  <si>
    <t>법률상 원인 없이 이득을 얻은 자는 있지만 그로 인해 손해를 입은 자가 없는 경우, 부당이득반환청구권은 인정되지 않는다.</t>
  </si>
  <si>
    <t>사원이 존재하지 않게 된 경우, 법인 아닌 사단은 청산사무가 완료될 때까지 청산의 목적 범위 내에서 권리의무의 주체가 된다.</t>
  </si>
  <si>
    <t>매매계약이 불공정한 법률행위에 해당하여 무효인 경우, 특별한 사정이 없는 한 그 계약에 관한 부제소 합의도 무효가 된다.</t>
  </si>
  <si>
    <t>가장양수인으로부터 소유권이전등기청구권 보전을 위한 가등기를 경료받은 자는 특별한 사정이 없는 한 선의로 추정된다.</t>
  </si>
  <si>
    <t>매매목적물이 인도되지 않았고 매수인도 대금을 완제하지 않은 경우, 특별한 사정이 없는 한 매도인의 이행지체가 있더라도 매매목적물로부터 발생하는 과실은 매도인에게 귀속된다.</t>
  </si>
  <si>
    <t>표시상 착오가 제3자의 기망행위에 의하여 일어난 경우, 표의자는 제3자의 기망행위를 상대방이 알았는지 여부를 불문하고 착오를 이유로 의사표시를 취소할 수 있다.</t>
  </si>
  <si>
    <t>천재지변으로 인하여 소멸시효를 중단할 수 없을 경우, 그 사유가 종료한 때로부터 6월내에는 시효가 완성되지 아니한다.</t>
  </si>
  <si>
    <t>사채알선업자는 대주와 차주 쌍방을 대리하여 소비대차계약을 유효하게 체결한 경우, 사채알선업자는 특별한 사정이 없는 한 차주가 한 변제를 수령할 권한이 있다.</t>
  </si>
  <si>
    <t>당사자가 조건성취의 효력을 그 성취 전으로 소급하게 할 의사를 표시한 경우, 그 소급의 의사표시는 효력이 없다.</t>
  </si>
  <si>
    <t>5월 10일, 8월 9일</t>
  </si>
  <si>
    <t>불공정한 법률행위에는 무효행위의 전환에 관한 민법 제138조가 적용될 수 있다.</t>
  </si>
  <si>
    <t>계약체결 당시 대리인의 무권대리 사실을 알 수 있었던 상대방은 최고권을 행사할 수 없다.</t>
  </si>
  <si>
    <t>ㄴ, ㄷ, ㅁ</t>
  </si>
  <si>
    <t>이행보조자가 제3자를 복이행보조자로 사용하는 경우, 채무자가 이를 묵시적으로 동의했다면 복이행보조자의 경과실에 대해서 채무자는 책임을 부담하지 않는다.</t>
  </si>
  <si>
    <t>대상(代償)을 발생시키는 매매목적물의 후발적 불능에 대하여 매도인의 귀책사유가 존재하는 경우, 매수인은 대상청구권을 행사하지 못한다.</t>
  </si>
  <si>
    <t>채무의 인수가 면책적인지 중첩적인지 불분명한 경우에는 중첩적 채무인수로 본다.</t>
  </si>
  <si>
    <t>보증채무의 이행을 확보하기 위하여 채권자와 보증인은 보증채무에 관해서만 손해배상액을 예정할 수 있다.</t>
  </si>
  <si>
    <t>채무불이행으로 인하여 채권자의 생명침해가 있는 경우, 채권자의 직계존속은 민법 제752조를 유추적용하여 채무불이행을 이유로 한 위자료를 청구할 수 있다.</t>
  </si>
  <si>
    <t>금전채무에 관하여 이행지체에 대비한 지연손해금비율에 대한 합의는 손해배상액의 예정으로 보아 감액의 대상이 된다.</t>
  </si>
  <si>
    <t>甲이 사무관리하면서 과실 없이 손해를 입은 경우, 甲은 乙의 현존이익 한도 내에서 그 손해의 보상을 청구할 수 있다.</t>
  </si>
  <si>
    <t>일반육체노동을 하는 사람의 가동연한은 특별한 사정이 없는 한 경험칙상 만 65세로 보아야 한다.</t>
  </si>
  <si>
    <t>계약해제로 인한 원상회복의무가 이행지체에 빠진 이후의 지연손해금률에 관하여 당사자 사이에 별도의 약정이 있는 경우, 그 지연손해금률이 법정이율보다 낮더라도 약정에 따른 지연손해금률이 적용된다.</t>
  </si>
  <si>
    <t>2인 조합에서 조합원 1인이 탈퇴하면 조합관계는 종료되고, 원칙적으로 조합은 즉시 해산된다.</t>
  </si>
  <si>
    <t>자동채권과 수동채권이 동시이행관계에 있더라도 서로 현실적으로 이행하여야 할 필요가 없는 경우, 특별한 사정이 없는 한 상계는 허용된다.</t>
  </si>
  <si>
    <t>甲의 법정대리인에 의하여 위 계약이 甲의 제한능력을 이유로 취소되었다면, 甲의 부당이득반환범위는 그 법정대리인의 선의・악의에 따라 달라진다.</t>
  </si>
  <si>
    <t>사단법인 사원의 지위는 정관에 의하여도 상속할 수 없다.</t>
  </si>
  <si>
    <t>사원총회 결의를 거치지 않아 무효가 되는 비법인사단 대표자의 총유물 처분행위에 대해서는 '권한을 넘은 표현대리'의 법리가 적용되지 않는다.</t>
  </si>
  <si>
    <t>명인방법을 갖춘 수목의 경우 토지와 독립된 물건으로서 거래의 객체가 된다.</t>
  </si>
  <si>
    <t>甲과 丙이 A부동산의 가장매매계약을 추인하면 그 계약은 원칙적으로 체결시로 소급하여 유효한 것이 된다.</t>
  </si>
  <si>
    <t>비리공무원이 감사기관의 사직권고를 받고 사직의 의사표시를 하여 의원면직처분이 된 경우, 그 사표제출자의 내심에 사직할 의사가 없었더라도 그 사직의 의사표시는 효력이 발생한다.</t>
  </si>
  <si>
    <t>불공정한 법률행위로서 무효인 경우라도 당사자의 추인에 의하여 유효로 된다.</t>
  </si>
  <si>
    <t>유언에는 조건을 붙일 수 없다.</t>
  </si>
  <si>
    <t>매도인에게 부과될 공과금을 매수인이 책임진다는 취지의 특약은 사회질서에 반하므로 무효이다.</t>
  </si>
  <si>
    <t>임의대리인은 본인의 승낙이 있는 경우에만 복대리인을 선임할 수 있다.</t>
  </si>
  <si>
    <t>변론주의 원칙상 당사자의 주장이 없으면 법원은 소멸시효의 중단에 관해서 직권으로 판단할 수 없다.</t>
  </si>
  <si>
    <t>금전채무에 관하여 이행지체에 대비한 지연손해금 비율을 따로 약정한 경우, 이는 일종의 손해배상액의 예정이다.</t>
  </si>
  <si>
    <t>손해를 산정함에 있어서 손익상계와 과실상계를 모두 하는 경우 손익상계를 먼저 하여야 한다.</t>
  </si>
  <si>
    <t>채권자취소소송은 甲이 乙의 대리인으로서 수행하는 것이다.</t>
  </si>
  <si>
    <t>채권양도 없이 채무자에게 채권양도를 통지한 경우 선의의 채무자는 양수인에게 대항할 수 있는 사유로 양도인에게 대항할 수 있다.</t>
  </si>
  <si>
    <t>채권자가 변제수령을 거절하면 채무자는 공탁함으로써 그 채무를 면할 수 있다.</t>
  </si>
  <si>
    <t>乙이 위 청약을 승낙하는 편지를 2020.2.10. 발송하여 甲에게 2020.2.15. 도달하였다면 甲과 乙 간의 계약성립일은 2020.2.15.이다.</t>
  </si>
  <si>
    <t>목적물에 하자가 있더라도 계약의 목적을 달성할 수 있는 경우에는 매수인에게 해제권이 인정되지 않는다.</t>
  </si>
  <si>
    <t>수급인의 하자담보책임을 면제하는 약정이 있더라도 수급인이 알면서 고지하지 아니한 사실에 대하여는 그 책임이 면제되지 않는다.</t>
  </si>
  <si>
    <t>선의의 수익자가 부당이득반환청구소송에서 패소한 때에는 그 소가 제기된 때부터 악의의 수익자로 간주된다.</t>
  </si>
  <si>
    <t>피용자와 공동불법행위를 한 제3자가 있는 경우, 사용자가 피해자에게 손해 전부를 배상하였다면 사용자는 그 제3자에게 배상액 전부를 구상할 수 있다.</t>
  </si>
  <si>
    <t>임차인의 부속물매수청구권 - 청구권</t>
  </si>
  <si>
    <t>제한능력자가 맺은 계약은 추인이 있을 때까지 상대방이 그 의사표시를 철회할 수 있지만, 상대방이 계약 당시에 제한능력자임을 알았을 경우에는 철회할 수 없다.</t>
  </si>
  <si>
    <t>교인들이 집단적으로 교회를 탈퇴한 경우, 법인 아닌 사단인 교회가 2개로 분열되고, 분열되기 전 교회의 재산은 분열된 각 교회의 구성원들에게 각각 총유적으로 귀속된다.</t>
  </si>
  <si>
    <t>수목의 집단이 관계법규에 따라 등기된 경우에도 특별한 사정이 없는 한 토지소유권을 취득한 자는 입목의 소유권도 취득한다.</t>
  </si>
  <si>
    <t>丙이 선의인 경우, 甲은 乙에게 X토지의 진정명의회복을 위한 소유권이전등기를 청구할 수 없다.</t>
  </si>
  <si>
    <t>매도인이 매수인의 채무불이행을 이유로 매매계약을 적법하게 해제한 경우에는 매수인은 착오를 이유로 그 매매계약을 취소할 수 없다.</t>
  </si>
  <si>
    <t>대여금의 영수권한만을 위임받은 대리인이 그 대여금의 일부를 면제하기 위해서는 본인의 특별수권이 필요하다.</t>
  </si>
  <si>
    <t>丙은 甲이 매매계약을 추인한 사실을 안 경우에도 무권대리임을 이유로 乙과 체결한 매매계약을 철회할 수 있다.</t>
  </si>
  <si>
    <t>토지거래허가구역 내의 토지의 매도인은 거래허가 전이라도 매수인의 대금지급의무의 불이행을 이유로 계약을 해제할 수 있다.</t>
  </si>
  <si>
    <t>정지조건부 법률행위는 권리가 성립한 때에 소급하여 그 효력이 생긴다.</t>
  </si>
  <si>
    <t>동시이행항변권이 붙은 매매대금 채권은 그 지급기일 이후부터 소멸시효가 진행한다.</t>
  </si>
  <si>
    <t>乙의 이행지체로 인하여 특별손해가 발생한 경우, 다른 특약이 없는 한 甲은 乙에게 특별손해에 대한 손해배상을 별도로 청구할 수 있다.</t>
  </si>
  <si>
    <t>채무불이행에 관하여 채권자의 과실이 있고 채권자가 그로 인하여 이익을 받은 경우, 손해배상액을 산정함에 있어서 손익상계를 한 다음 과실상계를 해야 한다.</t>
  </si>
  <si>
    <t>甲은 丙에게 직접 자기에게 이행하도록 청구하여 급부를 대위수령할 수 있다.</t>
  </si>
  <si>
    <t>채권자취소권의 행사에 있어서 제척기간의 도과에 관한 증명책임은 사해행위 취소소송의 상대방에게 있다.</t>
  </si>
  <si>
    <t>2인이 동업하는 조합의 조합원 1인이 다른 조합원의 동의 없이 한 조합채권의 양도행위는 무효이다.</t>
  </si>
  <si>
    <t>부동산 매수인이 매매목적물에 설정된 저당권의 피담보채무를 인수하는 한편 그 채무액을 매매대금에서 공제하기로 약정한 경우, 특별한 사정이 없는 한 이는 매도인을 면책시키는 채무인수로 본다.</t>
  </si>
  <si>
    <t>계약해제에 따른 원상회복으로 매매대금의 반환을 구하는 경우, 해제자가 해제원인의 일부를 제공하였다면 과실상계가 적용된다.</t>
  </si>
  <si>
    <t>甲 또는 乙은 원칙적으로 언제든지 위임계약을 해지할 수 있다.</t>
  </si>
  <si>
    <t>乙이 주택의 사용・편익을 위하여 甲의 동의를 얻어 주택에 부속한 물건이 있는 경우, 특별한 사정이 없는 한 임대차 종료 시에 甲에 대하여 그 부속물의 매수를 청구할 수 있다.</t>
  </si>
  <si>
    <t>성질상 당사자가 임의로 처분할 수 없는 법률관계는 화해계약의 대상이 될 수 없다.</t>
  </si>
  <si>
    <t>책임능력 있는 미성년자가 불법행위책임을 지는 경우에 그 손해가 그 미성년자의 감독 의무자의 의무위반과 상당인과관계가 있으면 그 감독의무자도 일반불법행위책임을 진다.</t>
  </si>
  <si>
    <t>수익자가 법률상 원인 없이 이득한 재산을 처분함으로 인하여 원물반환이 불가능한 경우, 반환하여야 할 가액은 특별한 사정이 없는 한 그 처분 당시의 대가이다.</t>
  </si>
  <si>
    <t>강행법규를 위반한 약정을 한 사람이 스스로 그 약정의 무효를 주장하는 것은 신의칙상 허용되지 않는다.</t>
  </si>
  <si>
    <t>가정법원은 질병, 장애, 노령, 그 밖의 사유로 인한 정신적 제약으로 사무를 처리할 능력이 부족한 사람에 대하여 일정한 자의 청구로 성년후견개시의 심판을 한다.</t>
  </si>
  <si>
    <t>부재자의 생사가 분명하지 않은 경우, 법원은 부재자가 정한 재산관리인에게 재산의 관리 및 반환에 관하여 상당한 담보를 제공하게 할 수 있다.</t>
  </si>
  <si>
    <t>법정과실은 수취할 권리의 존속기간일수의 비율로 취득한다.</t>
  </si>
  <si>
    <t>이사의 대표권에 대한 제한은 등기하지 않으면 제3자에게 대항하지 못한다.</t>
  </si>
  <si>
    <t>법률행위가 현저하게 공정을 잃은 경우, 그 행위는 궁박, 경솔, 무경험으로 이루어진 것으로 추정된다.</t>
  </si>
  <si>
    <t>착오가 표의자의 중대한 과실로 인한 것이더라도 상대방이 표의자의 착오를 알고 이를 이용한 경우에 표의자는 의사표시를 취소할 수 있다.</t>
  </si>
  <si>
    <t>무권대리행위가 범죄가 되는 경우에 본인이 그 사실을 알고도 장기간 형사고소를 하지 않은 것만으로 묵시적 추인이 된다.</t>
  </si>
  <si>
    <t>정지조건부 법률행위에서 조건성취의 사실은 권리를 취득하는 자가 증명책임을 진다.</t>
  </si>
  <si>
    <t>甲이 의사능력을 회복한 후에 상당한 기간 내에 취소하지 않으면 근로계약은 유효하다.</t>
  </si>
  <si>
    <t>당사자가 주장하는 소멸시효 기산일이 본래의 기산일보다 뒤의 날짜인 경우에는 당사자가 주장하는 기산일을 기준으로 소멸시효를 계산하여야 한다.</t>
  </si>
  <si>
    <t>채권양도에 대한 채무자의 승낙은 양도인에게 하여야 하며, 양수인에게 한 경우에는 효력이 없다.</t>
  </si>
  <si>
    <t>불법행위로 인한 손해배상채무는 원칙적으로 그 성립과 동시에 당연히 이행지체가 성립된다.</t>
  </si>
  <si>
    <t>손해배상액 예정이 있어도 손해의 발생에 있어서 채권자의 과실이 있으면, 공평의 원칙상 과실상계를 한다.</t>
  </si>
  <si>
    <t>甲이 丙에게 채권자대위소송을 제기한 경우, 乙은 소송당사자가 아니므로 乙의 丙에 대한 채권은 소멸시효가 중단되지 않는다.</t>
  </si>
  <si>
    <t>쌍방의 채무가 상계적상에 있었으나 상계 의사표시를 않는 동안에 일방의 채무가 변제로 소멸한 후에는 상계할 수 없다.</t>
  </si>
  <si>
    <t>다른 약정이 없으면 합의해제로 인하여 반환할 금전에 그 받은 날로부터 이자를 가산하여야 할 의무가 있다.</t>
  </si>
  <si>
    <t>乙은 甲에게 대상청구권의 행사로써 丙에 대한 손해배상채권의 양도를 청구할 수 있다.</t>
  </si>
  <si>
    <t>매매의 목적인 부동산에 설정된 저당권의 행사로 인하여 매수인이 그 소유권을 취득할 수 없게 된 경우, 악의의 매수인은 계약을 해제할 수 있다.</t>
  </si>
  <si>
    <t>건물소유를 위한 토지임대차의 경우, 임차인의 차임연체액이 2기의 차임액에 이른 때에는 임대인은 계약을 해지할 수 있다.</t>
  </si>
  <si>
    <t>X건물의 하자로 인하여 계약의 목적을 달성할 수 없는 경우, 甲은 특별한 사정이 없는 한 계약을 해제할 수 있다.</t>
  </si>
  <si>
    <t>채무 없는 자가 착오로 변제한 경우에 그 변제가 도의관념에 적합한 때에도 그 반환을 청구할 수 있다.</t>
  </si>
  <si>
    <t>여럿이 공동의 불법행위로 타인에게 손해를 가한 때에는 분할하여 그 손해를 배상할 책임이 있다.</t>
  </si>
  <si>
    <t>乙이 甲에게 손해를 배상한 경우, 乙은 丙에게 구상권을 행사할 수 있다.</t>
  </si>
  <si>
    <t>민사사건에 관한 변호사의 성공보수약정은 선량한 풍속 기타 사회질서에 위배되어 무효이다.</t>
  </si>
  <si>
    <t>당사자는 주물을 처분할 때 특약으로 종물을 제외할 수 없다.</t>
  </si>
  <si>
    <t>부동산 매매계약에 있어서 당사자 쌍방 모두 지번 등에 착오를 일으켜 실제로 합의하지 않은 토지(Y)를 계약서에 매매목적물로 기재한 경우, 실제로 합의된 토지(X)가 매매목적물이다.</t>
  </si>
  <si>
    <t>성년후견은 가족관계등록부에 공시된다.</t>
  </si>
  <si>
    <t>교회의 정관 기타 규약에 교회 재산에 관한 교회대표자의 권한 규정이 없음에도 불구하고, 교회의 대표자가 교인총회의 결의를 거치지 아니하고 교회 재산을 처분한 경우 권한을 넘은 표현대리에 관한 규정을 준용할 수 없다.</t>
  </si>
  <si>
    <t>무권대리인이 본인을 단독상속한 경우, 무권대리행위의 추인을 거절하는 것은 신의칙에 반하지 않는다.</t>
  </si>
  <si>
    <t>장관의 지시에 따라 공무원이 일괄사표를 제출하여 일부 공무원에 대해 의원면직 처분이 이루어진 경우 그 사직원 제출행위는 비진의 의사표시로 당연 무효가 된다고 볼 수 없다.</t>
  </si>
  <si>
    <t>기한의 이익이 상대방에게 있는 경우 당사자 일방은 상대방의 손해를 배상하고 기한의 이익을 포기할 수 있다.</t>
  </si>
  <si>
    <t>부작위를 목적으로 하는 채권의 소멸시효는 채권이 성립한 때로부터 진행한다.</t>
  </si>
  <si>
    <t>丙의 A채권에 대한 가압류신청에 따른 가압류명령이 2016. 4. 15. 乙에게 송달된 후, 乙은 B채권으로 가압류된 A채권을 상계하여 丙에게 대항할 수 없다.</t>
  </si>
  <si>
    <t>금전채무에 관하여 이행지체에 대비한 지연손해금 비율을 따로 약정한 경우, 손해배상액의 예정으로서 감액의 대상이 되지 않는다.</t>
  </si>
  <si>
    <t>금전채권의 경우, 특정물채권이 될 여지가 없다.</t>
  </si>
  <si>
    <t>아파트 광고모델계약을 체결하면서 품위유지약정을 한 유명 연예인이 남편과의 물리적 충돌로 멍들고 부은 얼굴 등을 언론에 공개한 행위는 채무불이행에 해당하지 않는다.</t>
  </si>
  <si>
    <t>피보전채권이 금전채권인 경우, 대위채권자는 채무자의 금전채권을 자신에게 직접 이행하도록 청구할 수 없다.</t>
  </si>
  <si>
    <t>지명채권 양도의 경우 채무자는 승낙의 의사표시에 조건을 붙일 수 없다.</t>
  </si>
  <si>
    <t>수인의 채권자 중 일부가 제기한 채권자취소권 행사의 효력은 취소소송을 행한 채권자에게만 귀속된다.</t>
  </si>
  <si>
    <t>甲의 의사에 반하여 보증인이 된 丙이 자기의 출재로 甲의 채무를 소멸하게 한 때에는 甲은 丙에게 현존이익의 한도에서 배상하여야 한다.</t>
  </si>
  <si>
    <t>도급인의 하자보수청구권 또는 손해배상청구권과 수급인의 보수지급청구권</t>
  </si>
  <si>
    <t>계약금계약에 의하여 계약이 해제된 경우 甲과 乙은 원상회복 및 손해배상의무가 있다.</t>
  </si>
  <si>
    <t>임차인이 임대인의 동의 없이 임차권을 양도한 경우 임대인은 임대차계약을 해지할 수 없다.</t>
  </si>
  <si>
    <t>부당이득 반환의무는 수익자에게 고의 또는 과실이 있는 경우에만 인정된다.</t>
  </si>
  <si>
    <t>사용자책임의 경우에도 피해자에게 과실이 있으면 과실상계할 수 있다.</t>
  </si>
  <si>
    <t>가정법원이 피한정후견인에 대하여 성년후견개시의 심판을 할 때에 종전의 한정후견의 종료 심판을 할 필요는 없다.</t>
  </si>
  <si>
    <t>후임이사가 유효하게 선임되었다고 하더라도 그 선임의 효력을 둘러싼 다툼이 있다면, 그 다툼이 해결되기 전까지는 구(舊) 이사만이 직무수행권을 가진다.</t>
  </si>
  <si>
    <t>임시총회의 소집을 요구할 수 있는 사원의 수는 정관으로 증감할 수 없다.</t>
  </si>
  <si>
    <t>어떤 권리를 다른 권리에 대하여 종된 권리라고 할 수 있으려면 종물과 마찬가지로 다른 권리의 경제적 효용에 이바지하는 관계에 있어야 한다.</t>
  </si>
  <si>
    <t>상품의 광고에 있어 다소의 과장・허위가 수반되는 것은 그것이 일반 상거래의 관행과 신의칙에 비추어 시인될 수 있는 한 기망행위에 해당하지 않는다.</t>
  </si>
  <si>
    <t>부동산의 소유자로부터 매매계약을 체결할 대리권을 수여받은 대리인은, 특별한 사정이 없는 한, 중도금이나 잔금을 수령할 권한은 없다고 보아야 한다.</t>
  </si>
  <si>
    <t>대리권 소멸 후의 표현대리는 법정대리에는 적용되지 않는다.</t>
  </si>
  <si>
    <t>무효행위의 추인은 묵시적인 방법으로도 할 수 있다.</t>
  </si>
  <si>
    <t>어느 법률행위에 어떤 조건이 붙어 있었는지 여부는 법률행위 해석의 문제로서 당사자가 주장하지 않더라도 법원이 직권으로 판단한다.</t>
  </si>
  <si>
    <t>2017년 6월 6일(화) 0시</t>
  </si>
  <si>
    <t>부작위를 목적으로 하는 채권은 성립시부터 소멸시효가 진행한다.</t>
  </si>
  <si>
    <t>A와 B가 공유하는 토지를 C가 불법으로 점유한 경우, A와 B의 C에 대한 부당이득반환청구권</t>
  </si>
  <si>
    <t>A는 400만원, C는 400만원, D는 400만원</t>
  </si>
  <si>
    <t>채권자대위소송의 제기로 인한 소멸시효 중단의 효과는 채무자에게 미치지 않는다.</t>
  </si>
  <si>
    <t>채권양도의 통지는 관념의 통지로서, 양도인이 직접 하여야 하며 대리가 허용되지 않는다.</t>
  </si>
  <si>
    <t>자동채권과 수동채권이 이행지가 다른 경우</t>
  </si>
  <si>
    <t>승낙의 기간을 정한 청약은 승낙자가 그 기간 내에 승낙의 통지를 발송하지 아니한 때에는 그 효력을 잃는다.</t>
  </si>
  <si>
    <t>상대방의 이행제공이 있었으나 이를 수령하지 않아 수령지체에 빠진 자는 그 후 상대방이 자기 채무의 이행제공을 다시 하지 않고 이행을 청구한 경우에 동시이행의 항변권을 행사할 수 있다.</t>
  </si>
  <si>
    <t>계약이 해지된 경우, 계약은 소급적으로 그 효력을 잃기 때문에 이미 이행된 급부는 부당이득으로 상대방에게 반환하여야 한다.</t>
  </si>
  <si>
    <t>계약금의 수령자는 배액을 제공하고 해제할 수 있으며, 제공된 금액을 상대방이 수령하지 않으면 공탁할 의무를 부담한다.</t>
  </si>
  <si>
    <t>수증자가 사망한 경우, 정기의 급여를 목적으로 하는 증여는 그 효력을 잃는다.</t>
  </si>
  <si>
    <t>부동산 임차인은 당사자 사이에 반대약정이 없으면 임대인에 대하여 그 임대차등기절차에 협력할 것을 청구할 수 있다.</t>
  </si>
  <si>
    <t>예측할 수 없는 천재지변으로 여행주최자가 여행계약을 해지한 경우, 여행주최자는 귀환운송의 의무를 지며 계약해지로 발생한 추가 비용은 여행자가 전액 부담한다.</t>
  </si>
  <si>
    <t>사무관리를 함에 있어 관리자가 과실 없이 손해를 받은 경우, 본인의 관리자에 대한 무과실손해보상채무</t>
  </si>
  <si>
    <t>임의규정과 다른 관습이 있는 경우에 당사자의 의사가 명확하지 아니한 때에는 그 관습에 의한다.</t>
  </si>
  <si>
    <t>가정법원은 피한정후견인이 한정후견인의 동의를 받아야 하는 행위의 범위를 정할 수 있다.</t>
  </si>
  <si>
    <t>이사가 없거나 결원이 있는 경우에 이로 인하여 손해가 생길 염려 있는 때에는 법원은 이해관계인이나 검사의 청구에 의하여 특별대리인을 선임하여야 한다.</t>
  </si>
  <si>
    <t>강행규정에 위반한 자가 스스로 그 약정의 무효를 주장하는 것은 특별한 사정이 없는 한, 신의칙에 반하는 행위로 허용될 수 없다.</t>
  </si>
  <si>
    <t>토지를 5억원에 매수해달라는 부탁을 받은 丙이 丁과 6억원에 매수하는 계약을 체결한 것은 착오에 의한 의사표시이므로 甲은 매매계약을 취소할 수 있다.</t>
  </si>
  <si>
    <t>매매계약의 쌍방 당사자가 계약의 목적물로 삼은 X토지의 지번에 착오를 일으켜 계약서에 목적물을 Y토지로 표시한 경우, 매매계약은 Y토지에 관하여 성립한다.</t>
  </si>
  <si>
    <t>무권대리행위에 대한 본인의 추인은 다른 의사표시가 없는 한, 추인한 때로부터 그 효력이 생긴다.</t>
  </si>
  <si>
    <t>예금계약의 체결을 위임받은 자가 가지는 대리권에는 그 예금을 담보로 하여 대출을 받거나 이를 처분할 수 있는 대리권이 포함되어 있다.</t>
  </si>
  <si>
    <t>이미 부담하고 있는 채무의 변제에 관하여 일정한 사실이 부관으로 붙여진 경우에는 특별한 사정이 없는 한, 그것은 변제기를 유예한 것으로서 그 사실이 발생한 때 또는 발생하지 아니하는 것으로 확정된 때에 기한이 도래한다.</t>
  </si>
  <si>
    <t>채권의 목적이 어느 종류의 통화로 지급할 것인 경우에 그 통화가 변제기에 강제통용력을 잃은 때에는 채무자는 다른 통화로 변제하여야 한다.</t>
  </si>
  <si>
    <t>매매 당사자가 계약금으로 수수한 금액에 관하여 매수인이 위약하면 이를 무효로 하고 매도인이 위약하면 그 배액을 상환하기로 하는 뜻의 약정을 한 경우, 실제 손해액이 예정액을 초과하더라도 그 초과액을 청구할 수 없다.</t>
  </si>
  <si>
    <t>채무자가 제3채무자에 대한 권리를 재판상 행사하여 패소의 확정판결을 받은 경우에는 채권자는 채권자대위권을 행사할 수 없다.</t>
  </si>
  <si>
    <t>착오로 변제기 이전에 변제한 자에 대하여 채권자는 그로 인하여 얻은 이익을 반환할 필요가 없다.</t>
  </si>
  <si>
    <t>격지자간의 계약은 승낙의 통지가 상대방에게 도달한 때에 성립한다.</t>
  </si>
  <si>
    <t>채무자가 상당한 기간을 정하여 계약의 이익의 향수여부의 확답을 제3자에게 최고하였으나, 그 기간 내에 확답을 받지 못한 때에는 제3자가 계약의 이익을 받을 것을 거절한 것으로 본다.</t>
  </si>
  <si>
    <t>계약이 해제되면 그 계약의 이행으로 변동이 생겼던 물권은 당연히 그 계약이 없었던 원상태로 복귀한다.</t>
  </si>
  <si>
    <t>매매의 목적이 된 권리의 일부가 타인에게 속함으로 인하여 매도인이 그 권리를 취득하여 매수인에게 이전할 수 없는 경우, 선의의 매수인은 물론이고 악의의 매수인도 대금의 감액을 청구할 수 있다.</t>
  </si>
  <si>
    <t>임차인이 임차물의 보존에 관한 필요비를 지출한 때에는 임대인에 대하여 그 상환을 청구할 수 있다.</t>
  </si>
  <si>
    <t>금전을 출자의 목적으로 한 조합원이 출자시기를 지체한 때에는 연체이자를 지급하는 외에 손해를 배상하여야 한다.</t>
  </si>
  <si>
    <t>관리자가 타인의 생명, 신체, 명예 또는 재산에 대한 급박한 위해를 면하게 하기 위하여 그 사무를 관리한 때에는 고의나 중대한 과실이 없으면 이로 인한 손해를 배상할 책임이 없다.</t>
  </si>
  <si>
    <t>관습법은 사회의 거듭된 관행이 사회구성원의 법적 확신에 의하여 법규범으로 승인된 것이다</t>
  </si>
  <si>
    <t>보증인의 최고・검색의 항변권</t>
  </si>
  <si>
    <t>甲이 성년자인지에 대한 거래상대방의 물음에 단순히 대답하지 않은 경우, 甲은 乙의 동의 없음을 이유로 법률행위를 취소할 수 없다.</t>
  </si>
  <si>
    <t>만일 乙이 사원총회의 결의를 거치지 않고 丁의 금전채무에 대하여 丁의 채권자와 보증계약을 체결한 경우, 특별한 사정이 없는 한 그 계약은 무효이다.</t>
  </si>
  <si>
    <t>만약 甲의 실종선고로 인해 건물을 상속한 선의의 丙이 그 건물을 매도하고 양도하였는데, 그 후 甲이 생환하여 실종선고가 취소되면 丙은 甲에 대해 그가 받은 이익이 현존하는 범위 내에서 반환할 의무가 있다.</t>
  </si>
  <si>
    <t>채무자에게 의무를 강제하여 얻어지는 채권자의 이익에 비하여 과도하게 무거운 위약벌 약정</t>
  </si>
  <si>
    <t>제3자에 의한 기망행위로 계약을 체결한 자는 그 계약을 취소하지 않고 제3자에 대하여 불법행위로 인한 손해배상청구를 할 수 있다.</t>
  </si>
  <si>
    <t>무권대리인 乙이 X토지를 丙에게 매도하였는데, 甲이 그 계약에 따른 이행을 丙에게 촉구하고 매매대금을 수령한 경우</t>
  </si>
  <si>
    <t>정지조건부 증여계약에서 그 조건이 성취되었다는 사실은 이에 의하여 권리를 취득하고자 하는 자에게 그 증명책임이 있다.</t>
  </si>
  <si>
    <t>해제조건부 법률행위에서 해제조건의 성취</t>
  </si>
  <si>
    <t>물상보증인이 제기한 저당권설정등기의 말소등기절차이행청구소송에서 채권자의 응소행위</t>
  </si>
  <si>
    <t>부동산의 매수인이 매매목적물에 관한 근저당권의 피담보채무를 인수하면서 그 채무액을 매매대금에서 공제하기로 약정한 경우, 특별한 사정이 없는 한 이행인수이다.</t>
  </si>
  <si>
    <t>주채무자의 부탁 없이 보증인이 된 자가 변제하여 주채무를 소멸하게 한 경우, 주채무자는 그 당시에 이익을 받은 한도에서 배상하여야 한다.</t>
  </si>
  <si>
    <t>저당권이 설정되어 있는 부동산이 제3자에게 양도된 경우, 저당권의 피담보채권액이 부동산의 가액을 초과하는 때에는 그 부동산의 양도는 사해행위에 해당한다고 할 수 없다.</t>
  </si>
  <si>
    <t>채무자는 특별한 사정이 없는 한 자신에게 귀책사유가 없음을 증명하더라도 예정배상액의 지급책임을 면할 수 없다.</t>
  </si>
  <si>
    <t>채무가 고의의 불법행위로 인한 것인 때에도 그 채무자는 상계로 채권자에게 대항할 수 있다.</t>
  </si>
  <si>
    <t>채무자의 귀책사유로 인하여 후발적으로 채무를 이행할 수 없게 된 경우, 채권자에게 대상청구권이 인정될 수 있다.</t>
  </si>
  <si>
    <t>제3자를 위한 계약은 요약자와 낙약자의 합의 이외에 제3자의 수익의 의사표시가 있어야 성립한다.</t>
  </si>
  <si>
    <t>매수인이 매매목적물을 사용하던 중 그 매매계약이 해제된 경우, 그 사용이익과는 별도로 감가비(減價費) 상당액도 원상회복으로 반환하여야 한다.</t>
  </si>
  <si>
    <t>차주는 약정한 시기에 차용한 물건 그 자체를 반환하여야 한다.</t>
  </si>
  <si>
    <t>부동산임차인은 임대인과의 반대약정이 없으면 임대인에게 임대차등기절차에 협력할 것을 청구할 수 있다.</t>
  </si>
  <si>
    <t>위임사무의 처리에 비용을 요하는 때에는 위임인은 수임인의 청구가 있으면 이를 미리 지급하여야 한다.</t>
  </si>
  <si>
    <t>甲은 乙이 丙에 대하여 가지고 있는 반대채권을 가지고 乙을 대위하여 상계할 수 있다.</t>
  </si>
  <si>
    <t>타인에게 어떤 사업에 관하여 자기의 명의를 사용할 것을 허용한 경우, 명의사용자의 업무수행상 불법행위에 대하여 명의대여자는 사용자책임을 진다.</t>
  </si>
  <si>
    <t>매매계약의 당사자가 계약체결시에 신의칙 위반을 이유로 매매의 효력을 다투지 않기로 한 특약은 유효하다.</t>
  </si>
  <si>
    <t>보증인의 최고・검색의 항변권은 청구권의 작용을 영구적으로 저지할 수 있는 권리이다.</t>
  </si>
  <si>
    <t>미성년자의 영업에 대한 법정대리인의 허락과 그 제한은 선의의 제3자에게 대항할 수 있다.</t>
  </si>
  <si>
    <t>甲이 乙의 무권대리 행위가 있음을 알면서 곧바로 이의를 제기하지 않으면 묵시적 추인이 된다.</t>
  </si>
  <si>
    <t>丙이 위 부동산을 다시 선의의 丁에게 매도하고 丁 앞으로 소유권이전등기를 경료해주었다면, 甲은 통정허위표시를 이유로 丁 명의의 이전등기 말소를 청구할 수 없다.</t>
  </si>
  <si>
    <t>甲이 乙에게 불완전이행을 원인으로 한 신체상의 손해배상을 청구하는 경우, 치료비와 일실수익뿐만 아니라 위자료도 그 배상범위에 포함된다.</t>
  </si>
  <si>
    <t>노동조합의 대표기관이 아닌 간부들의 주도 하에 이루어진 불법쟁의행위가 조합의 집행기관으로서의 행위라고 볼 수 있는 경우에도 노동조합은 사용자가 입은 손해에 대하여 배상책임을 지지 않는다.</t>
  </si>
  <si>
    <t>토지거래허가구역 내의 토지에 대한 매매계약이 유동적 무효인 상태에서는 토지거래허가신청을 위한 협력의무가 성립하지 않는다.</t>
  </si>
  <si>
    <t>법률행위가 정지조건부 법률행위에 해당한다는 사실은 그 법률행위로 인한 법률효과의 발생을 저지하는 사유로서 그 법률효과의 발생을 다투려는 자가 주장・증명하여야 한다.</t>
  </si>
  <si>
    <t>이자부 소비대차의 대주</t>
  </si>
  <si>
    <t>임금채권을 실현하기 위하여 파면처분 무효확인의 소를 제기한 경우</t>
  </si>
  <si>
    <t>이행불능으로 인한 전보배상의 기준은 이행불능 당시의 목적물의 시가에 의하지만, 그 후 목적물의 시가가 등귀한 경우에는 채무자가 이를 알았거나 알 수 있었던 경우에 한하여 특별손해로서 배상범위에 포함된다.</t>
  </si>
  <si>
    <t>채권자대위소송에서 소의 제기로 인한 소멸시효 중단의 효과는 채무자에게도 미친다.</t>
  </si>
  <si>
    <t>부진정연대채무자 중 1인이 자신의 채권자에 대한 반대채권으로 한 상계는 다른 부진정연대채무자에 대하여 그 효력이 미치지 않는다.</t>
  </si>
  <si>
    <t>채권자의 채무인수에 대한 승낙은 다른 의사표시가 없으면 인수한 때로 소급하여 효력이 생긴다.</t>
  </si>
  <si>
    <t>지급금지명령을 받은 제3채무자는 그 후에 취득한 채권에 의한 상계로 그 명령을 신청한 채권자에게 대항하지 못한다.</t>
  </si>
  <si>
    <t>사해행위로 부동산이 양도된 후 그 이전에 설정된 저당권설정등기가 수익자의 변제로 말소된 경우에는 원물반환 대신 가액배상을 구할 수 있다.</t>
  </si>
  <si>
    <t>교환계약의 무효로 인한 당사자 쌍방의 원상회복의무</t>
  </si>
  <si>
    <t>불법원인급여 후 급부를 이행 받은 자가 급부의 원인행위와 별도의 약정으로 급부 그 자체의 반환을 특약하는 것은 사회질서에 반하지 않는 한 유효하다.</t>
  </si>
  <si>
    <t>임치한 물건이 대체물인 경우, 그 물건이 수치인의 과실로 인하여 멸실되었다면 수치인은 그와 동종・동량・동질의 물건을 인도하여야 한다.</t>
  </si>
  <si>
    <t>수임인은 업무집행에 대한 재량권이 있으므로 위임인의 지시에 따라야 하는 것은 아니지만, 위임인에 대하여 지시의 변경까지 요구할 수는 없다.</t>
  </si>
  <si>
    <t>공동불법행위에 관하여 과실상계를 함에는 피해자에 대한 공동불법행위자 전원의 과실과 피해자의 공동불법행위자 전원에 대한 과실을 전체적으로 평가하여야 한다.</t>
  </si>
  <si>
    <t>매매목적물의 하자로 인한 확대손해에 대하여 배상책임을 지우기 위해서는 하자없는 목적물을 인도하지 못한 의무위반사실 외에 그러한 의무위반에 대하여 매도인에게 귀책사유가 있어야 한다.</t>
  </si>
  <si>
    <t>丙이 甲의 배임행위에 적극 가담한 경우, 甲과 丙 사이의 매매계약은 반사회적 법률행위로서 무효이다.</t>
  </si>
  <si>
    <t>유동적 무효인 계약이 확정적으로 무효로 된 경우, 그에 관해 귀책사유가 있는 당사자도 계약의 무효를 주장할 수 있다.</t>
  </si>
  <si>
    <t>丙은 오토바이를 매도할 당시 甲이 미성년자임을 알았더라도 추인이 있기 전에는 계약을 철회할 수 있다.</t>
  </si>
  <si>
    <t>법원의 처분허가를 얻은 경우, 부재자와 관계없는 타인의 채무를 위하여 부재자재산에 저당권을 설정하는 행위도 원칙적으로 부재자를 위한 처분행위로서 유효하다.</t>
  </si>
  <si>
    <t>甲은 증여계약의 무효를 주장하여 丙에 대하여 1억원의 반환을 청구할 수 있다.</t>
  </si>
  <si>
    <t>丁은 A에 대하여 甲의 사망으로 인한 위자료청구권을 가진다.</t>
  </si>
  <si>
    <t>징계면직처분에 불복하던 근로자가 이의 없이 퇴직금을 수령하고 다른 생업에 종사하다가 징계면직일로부터 2년 10개월 후에 제기한 해고무효확인청구는 허용될 수 없다.</t>
  </si>
  <si>
    <t>가장매매의 매수인으로부터 매매계약에 의한 소유권이전청구권 보전을 위한 가등기를 취득한 자</t>
  </si>
  <si>
    <t>甲이 생환하여 실종선고가 취소되기 전에 종래의 주소지에서 체결한 계약은 유효하다.</t>
  </si>
  <si>
    <t>乙이 丙을 기망하였다면, 甲이 이를 알았거나 알 수 있었을 경우에 한하여 丙은 매매계약을 취소할 수 있다.</t>
  </si>
  <si>
    <t>증축부분이 물리적 구조뿐만 아니라 용도와 기능면에서도 기존건물과 독립한 별개의 소유권의 객체가 될 수 없는 경우에는 기존건물의 종물로 본다.</t>
  </si>
  <si>
    <t>법인의 불법행위가 성립하는 경우, 가해행위를 한 이사의 책임과 법인의 손해배상책임은 부진정연대관계에 있다.</t>
  </si>
  <si>
    <t>특정한 채무의 이행을 청구할 수 있는 기간을 제한하고 그 기간을 도과할 경우 채무가 소멸하도록 하는 약정은 무효이다.</t>
  </si>
  <si>
    <t>채권자지체</t>
  </si>
  <si>
    <t>乙의 甲에 대한 채무의 변제기가 도래하기 전이라도 甲은 법원의 허가 없이 乙의 丙에 대한 채권의 시효중단을 위한 이행청구를 할 수 있다.</t>
  </si>
  <si>
    <t>당사자 일방이 상대방의 불리한 시기에 위임계약을 부득이한 사유로 해지한 때에는 그 손해를 배상하여야 한다.</t>
  </si>
  <si>
    <t>질권 또는 저당권이 공탁으로 소멸한 경우, 변제자는 공탁물을 회수할 수 없다.</t>
  </si>
  <si>
    <t>지명채권의 양도통지가 확정일자 없는 증서에 의하여 이루어짐으로써 제3자에 대한 대항력을 갖추지 못하였으나 그 후 그 증서에 확정일자를 얻은 경우에는 그 일자 이후에는 제3자에 대한 대항력을 취득한다.</t>
  </si>
  <si>
    <t>정당한 권원 없이 타인의 토지 일부분 위에 시설물을 설치・소유함으로써 토지소유자가 나머지 토지까지 사용할 수 없게 된 경우, 토지소유자는 토지 전체에 대하여 임대료 상당의 부당이득반환을 청구할 수 없다.</t>
  </si>
  <si>
    <t>甲과 乙사이에 계약이행보증금과 지체상금의 약정이 있는 경우, 특별한 사정이 없는 한 지체상금은 손해배상의 예정으로 볼 수 있다.</t>
  </si>
  <si>
    <t>공동불법행위자 1인이 자기의 부담부분 일부를 변제하여 공동면책을 시킨 경우, 다른 공동불법행위자에게 그 부담부분의 비율로 구상권을 행사할 수 있다.</t>
  </si>
  <si>
    <t>매매목적물의 인도 전이라도 매수인이 매매대금을 완납한 때에는 그 이후의 과실수취권은 매수인에게 귀속된다.</t>
  </si>
  <si>
    <t>주채무자가 변제하는 경우, 보증인이 있는 채무와 보증인이 없는 채무 중 보증인이 없는 채무의 변제에 충당한다.</t>
  </si>
  <si>
    <t>B : 2,000만원, C : 4,000만원, D : 4,000만원</t>
  </si>
  <si>
    <t>동업관계에 있는 자들이 공동으로 처리하여야 할 업무를 동업자 중 1인에게 맡겨 그로 하여금 처리하도록 한 경우, 업무집행과정에서 발생한 사고에 대하여 다른 동업자에게 사용자책임을 물을 수 있다.</t>
  </si>
  <si>
    <t>매매계약 해제 이전에 매매목적물에 관하여 제3자에게 소유권이전등기가 경료된 뒤에 계약이 해제된 경우, 매도인은 소유권에 기하여 매수인의 제3자에 대한 소유권이전등기의 말소를 청구할 수 있다.</t>
  </si>
  <si>
    <t>이행지체 중에 채권자에게 손해가 발생한 경우, 채무자가 이행기에 이행을 하였더라도 손해를 면할 수 없었다면, 채무자는 그 손해를 배상할 책임이 없다.</t>
  </si>
  <si>
    <t>만약 제3자 丁과 乙의 과실로 교통사고가 발생한 경우, 甲이 乙의 책임비율 이상을 丙에게 배상하였다면 丁의 부담부분 범위 내에서 그 초과분에 대한 구상권을 丁에게 행사할 수 있다.</t>
  </si>
  <si>
    <t>건물이 甲소유의 토지 외에 제3자 소유의 토지 위에 걸쳐서 신축된 경우, 임대차가 종료하면 乙은 甲에게 건물 전체의 매수를 청구할 수 있다.</t>
  </si>
  <si>
    <t>소멸시효는 당사자가 시효완성사실을 원용할 때 고려되지만, 제척기간은 법원의 직권조사사항이다.</t>
  </si>
  <si>
    <t>매매목적물의 인도전이라도 매수인이 매매대금을 완납한 때에는 그 후의 과실수취권은 매수인에게 귀속된다.</t>
  </si>
  <si>
    <t>乙이 丙에게 중도금 및 잔금을 전부 지급한 후에 甲의 채무불이행을 이유로 매매계약을 해제한 경우, 특별한 사정이 없는 한 乙은 계약해제에 기한 원상회복을 원인으로 丙에게 그 반환을 청구할 수 있다.</t>
  </si>
  <si>
    <t>폭리행위는 무효이지만 추인으로 유효가 될 수 있다.</t>
  </si>
  <si>
    <t>채무자가 착오로 인하여 변제기 전에 변제를 한 경우, 채무자는 채권자가 급부받은 것을 변제기까지 이용하여 얻은 이익의 반환을 청구할 수 없다.</t>
  </si>
  <si>
    <t>근로자의 임금채권은 그 양도를 금지하는 법률의 규정이 없으므로 이를 양도할 수 있다.</t>
  </si>
  <si>
    <t>천연과실은 그 원물로부터 분리된 때 이를 수취할 권리자에게 속한다.</t>
  </si>
  <si>
    <t>손해배상액의 예정이 있더라도 채권자는 원칙적으로 특별손해의 배상을 청구할 수 있다.</t>
  </si>
  <si>
    <t>재산관리인은 불법하게 경료된 소유권이전등기의 말소를 법원의 허가 없이 청구할 수 있다.</t>
  </si>
  <si>
    <t>미성년자가 사술로써 법정대리인의 동의가 있는 것으로 믿게 한 때에는 그 행위를 취소할 수 없다.</t>
  </si>
  <si>
    <t>수임인은 위임인의 승낙이나 부득이한 사유가 없더라도 제3자로 하여금 자기에 갈음하여 위임사무를 처리하게 할 수 있다.</t>
  </si>
  <si>
    <t>조건의 성취에 의해 불이익을 받게 될 자가 신의성실에 반하여 조건성취를 방해한 경우, 상대방이 조건성취를 주장한 시점에 조건이 성취된 것으로 본다.</t>
  </si>
  <si>
    <t>이행보조자의 경과실에 대하여 채무자가 채무불이행책임을 지지 아니한다는 내용의 특약은 원칙적으로 무효이다.</t>
  </si>
  <si>
    <t>채권자취소권의 행사는 모든 채권자의 이익을 위해서 그 효력이 있다.</t>
  </si>
  <si>
    <t>취소권은 추인할 수 있는 날로부터 1년, 법률행위를 한 날로부터 5년 내에 행사하여야 한다.</t>
  </si>
  <si>
    <t>매매목적물에 대하여 권리를 주장하는 자가 있어 매수인에게 권리상실의 위험이 있는 경우, 매도인이 상당한 담보를 제공하지 않으면 그 위험한도에서 매수인은 대금지급을 거절할 수 있다.</t>
  </si>
  <si>
    <t>乙-60만원, 丁-40만원, 戊-10만원</t>
  </si>
  <si>
    <t>법인의 해산 및 청산은 법원이 검사・감독한다.</t>
  </si>
  <si>
    <t>만약 甲이 법정대리인의 동의를 얻어 乙과 근로계약을 체결하였다면, 법정대리인의 동의 없이 자동차를 매수하였더라도 甲은 그 매매계약을 취소할 수 없다.</t>
  </si>
  <si>
    <t>주채무자가 채권자에 대하여 해제권이 있는 동안에는 보증인은 채권자에 대하여 채무의 이행을 거절할 수 없다.</t>
  </si>
  <si>
    <t>乙은 Y토지에 대한 소유권을 취득하지 못한다.</t>
  </si>
  <si>
    <t>무능력자가 사술로써 능력자로 믿게 한 때에는 그 행위를 취소할 수 없는데, 사술을 썼다는 점에 대한 증명책임은 상대방에게 있다.</t>
  </si>
  <si>
    <t>태아가 살아서 출생하지 못한 경우에는 권리능력이 인정되지 않는다.</t>
  </si>
  <si>
    <t>종물은 주물의 처분에 따른다'는 민법의 규정은 강행규정이 아닌 임의규정으로 해석하여야 한다.</t>
  </si>
  <si>
    <t>법률행위가 단지 그 성립과정에서 불법적인 방법이 사용된 데 불과한 때에도 반사회질서의 법률행위로 무효이다.</t>
  </si>
  <si>
    <t>2020년 3월 24일 24시</t>
  </si>
  <si>
    <t>민법상 착오로 인한 의사표시의 취소와 사기나 강박에 의한 의사표시의 취소는 선의의 제3자에게 대항하지 못한다.</t>
  </si>
  <si>
    <t>사자(使者)가 월권을 하여 대리인으로서 행동한 경우에, 권한을 넘는 표현대리에 관한 법리가 적용될 여지가 없다.</t>
  </si>
  <si>
    <t>이자부 소비대차에서 기한의 이익이 채권자에게도 있는 경우, 채무자는 채권자의 손해를 배상하고 기한 전에도 변제할 수 있다.</t>
  </si>
  <si>
    <t>채무자의 법률행위가 허위표시인 경우에도 채권자취소권의 대상이 될 수 있다.</t>
  </si>
  <si>
    <t>취소권자인 채권자가 채무자에게 강제집행을 한 경우</t>
  </si>
  <si>
    <t>시효가 중단된 때에는 중단까지 경과한 시효기간은 이를 산입하지 않고 중단사유가 종료한 때로부터 새로이 진행한다.</t>
  </si>
  <si>
    <t>출자방법을 정한 경우 그 방법</t>
  </si>
  <si>
    <t>대상청구권이 인정되기 위해서는 급부가 후발적 불능이어야 하고, 급부를 불능하게 하는 사정의 결과로 채무자가 채권의 목적물에 관하여 '대신하는 이익'을 취득하여야 한다.</t>
  </si>
  <si>
    <t>乙이 선관주의의무를 다하여 A를 관리하였으나 A가 질병에 걸린 경우, 乙은 A를 현상 그대로 인도하면 된다.</t>
  </si>
  <si>
    <t>재산권이 침해된 경우에 재산적 손해의 배상에 의하여도 회복할 수 없는 정신적 손해</t>
  </si>
  <si>
    <t>채권자는 채무를 면제할 수 있으나, 그 채권에 관하여 정당한 이익을 가지는 제3자에게는 면제로 대항하지 못한다.</t>
  </si>
  <si>
    <t>양도인의 채권양도의 통지만 있었던 경우, 채무자는 그 통지 이전에 양도인에 대하여 가지던 동시이행의 항변권으로 양수인에게 대항할 수 없다.</t>
  </si>
  <si>
    <t>계약을 합의해제 한 경우, 특별한 사정이 없는 한 채무불이행에 기한 손해배상청구를 할 수 없음이 원칙이다.</t>
  </si>
  <si>
    <t>乙과 丙이 부부로서 임차건물에 동거하면서 함께 사업을 경영하는 특수한 관계에 있다면, 甲에게 해지권이 인정되지 않을 수 있다.</t>
  </si>
  <si>
    <t>채권의 목적을 종류로만 지정한 경우에 법률행위의 성질이나 당사자의 의사에 의하여 품질을 정할 수 없을 때에는 그 물건의 품질은 채무자가 임의로 정하여 이행하면 된다.</t>
  </si>
  <si>
    <t>丙이 甲에게 손해의 전액을 배상한 경우, 甲의 丁에 대한 손해배상청구권이 시효로 소멸한 경우에도 丙은 丁에게 구상권을 행사할 수 있다.</t>
  </si>
  <si>
    <t>수익자가 원물을 처분하여 원물을 반환할 수 없는 경우에는 가액반환이 인정되며, 그 가액산정은 특별한 사정이 없는 한 반환청구 당시의 현재 시가를 기준으로 한다.</t>
  </si>
  <si>
    <t>신의성실의 원칙에 반하는 것은 강행규정에 위배되는 것으로서 당사자의 주장이 없더라도 법원이 직권으로 판단할 수 있다.</t>
  </si>
  <si>
    <t>당사자의 일방이 상대방에게 공무원의 직무에 관한 사항에 관하여 특별한 청탁을 하면서 지급한 사례금은 불법원인급여가 된다.</t>
  </si>
  <si>
    <t>행위무능력자의 단독행위는 추인이 있더라도 상대방이 거절할 수 있다.</t>
  </si>
  <si>
    <t>해제의 의사표시는 철회하지 못한다.</t>
  </si>
  <si>
    <t>대표자의 가해행위가 위법하지 않다면 손해가 발생하더라도 법인의 불법행위가 성립하지 않는다.</t>
  </si>
  <si>
    <t>甲은 대리권 없이 부(父)인 乙 소유 토지를 丙에게 매도하였는데, 그 후 乙이 사망하여 甲이 단독으로 乙을 상속한 경우, 甲은 매매계약의 추인을 거절하고 소유권이전채무를 면할 수 있다.</t>
  </si>
  <si>
    <t>채무자가 이의를 보류하지 않고 채권양도를 승낙한 후에 취득한 양도인에 대한 채권으로 양수인에 대하여 상계로 대항할 수 있다.</t>
  </si>
  <si>
    <t>조건의 성취로 인하여 이익을 받을 당사자가 신의성실에 반하여 조건을 성취시킨 때에는 상대방은 그 조건이 성취하지 아니한 것으로 주장할 수 있다.</t>
  </si>
  <si>
    <t>주채무자에 대한 시효의 중단은 보증인에 대하여 그 효력이 없다.</t>
  </si>
  <si>
    <t>이행지체의 경우 다른 특별한 사정이 없는 한, 채권자는 채무자에게 상당한 기간을 정하여 그 본래의 채무이행을 최고하고, 그 이행이 없는 경우에 비로소 전보배상을 청구할 수 있다.</t>
  </si>
  <si>
    <t>소멸시효의 효력은 장래에 향하여 소멸하지만, 제척기간은 그 기산일에 소급하여 효력이 발생한다.</t>
  </si>
  <si>
    <t>채권자 또는 채무자가 선택권 행사기간 내에 선택권을 행사하지 않으면 상대방은 상당한 기간을 정하여 그 선택을 최고할 수 있다.</t>
  </si>
  <si>
    <t>채무자의 법정대리인이 채무자를 위하여 이행하는 경우에는 법정대리인의 고의・과실에 대하여 채무자는 채무불이행책임을 부담한다.</t>
  </si>
  <si>
    <t>2009년 6월 15일 24시(자정)</t>
  </si>
  <si>
    <t>연대보증인은 주채무에 대한 부종성에 기한 항변권을 채권자에게 행사할 수 있다.</t>
  </si>
  <si>
    <t>복대리인은 제3자에 대하여 대리인과 동일한 권리의무가 있다.</t>
  </si>
  <si>
    <t>저당물의 제3취득자는 보증인에 대하여 채권자를 대위할 수 있다.</t>
  </si>
  <si>
    <t>제3자가 수익의 의사표시를 한 후 낙약자의 채무불이행이 있는 경우 요약자는 제3자의 동의 없이 계약을 해제하지 못한다.</t>
  </si>
  <si>
    <t>재단법인이 정관으로 그 변경방법을 정하지 않았다면 정관규정은 변경될 수 없다.</t>
  </si>
  <si>
    <t>도급인이 수급인에 대하여 특정한 행위를 지휘하거나 특정한 사업을 도급시키는 이른바 노무도급의 경우, 도급인은 그 수급인의 불법행위로 인한 손해에 대하여 사용자책임을 진다.</t>
  </si>
  <si>
    <t>甲은 태아에 대하여 그 출생전이라도 손해배상책임을 진다.</t>
  </si>
  <si>
    <t>위임계약의 각 당사자는 언제든지 계약을 해지할 수 있다.</t>
  </si>
  <si>
    <t>표의자는 의사표시의 부도달 또는 연착으로 인한 불이익을 부담한다.</t>
  </si>
  <si>
    <t>무능력자는 선의・악의를 묻지 않고 취소된 법률행위로 인하여 받은 이익이 현존하는 한도에서 상환할 의무가 있다.</t>
  </si>
  <si>
    <t>법률행위의 조건이 선량한 풍속 기타 사회질서에 위반하면 그 법률행위는 무효이다.</t>
  </si>
  <si>
    <t>채권자는 채무자와 수익자(또는 전득자) 전원을 상대방으로 하여 소송의 방법으로 채권자취소권을 행사하여야 한다.</t>
  </si>
  <si>
    <t>건물임차권양도계약의 체결 시에 임대차기간의 연장이나 임차권 양도에 대한 임대인의 동의 여부가 불확실한 상태에서 임대인으로부터 몇 차례에 걸쳐 명도요구를 받았던 양도인이 이 사실을 양수인에게 설명하지 않고 임차권을 양도한 행위는 기망행위이다.</t>
  </si>
  <si>
    <t>주채무의 소멸시효가 중단되더라도 보증채무의 소멸시효가 자동적으로 중단되지는 않는다.</t>
  </si>
  <si>
    <t>제3자가 제공한 채권의 담보는 다른 의사표시가 없으면 채무인수에 의하여 영향을 받지 않는다.</t>
  </si>
  <si>
    <t>법률행위 취소권의 존속기간은 제척기간이다.</t>
  </si>
  <si>
    <t>매수인은 부수적 채무의 불이행을 이유로 하여 매매계약 전부를 해제할 수 없다.</t>
  </si>
  <si>
    <t>기간에 관한 규정은 일정한 기산일로부터 소급하여 과거에 계산되는 기간에는 적용되지 않는다.</t>
  </si>
  <si>
    <t>이행보조자의 과실은 채무자의 과실로 본다.</t>
  </si>
  <si>
    <t>무권대리인이 본인의 추인을 얻지 못한 경우 그는 상대방의 선택에 좇아 계약의 이행 또는 손해배상의 책임이 있다.</t>
  </si>
  <si>
    <t>백화점 점포에 관하여 매매예약이 성립한 이후 법령에 의하여 일시적으로 분양이 금지되었다가 다시 허용된 경우 그 예약에 의한 완결권을 행사할 수 있다.</t>
  </si>
  <si>
    <t>물건의 하자를 알았거나 과실로 알지 못한 매수인은 손해배상만을 청구할 수 있다.</t>
  </si>
  <si>
    <t>지상물매수청구권</t>
  </si>
  <si>
    <t>조합원 중에 변제자력이 없는 자가 있는 때에는 그 변제할 수 없는 부분은 다른 조합원이 균분하여 변제할 책임이 있다.</t>
  </si>
  <si>
    <t>귀국일로부터 일정기간 근무하지 않으면 해외파견 소요경비를 배상하여야 한다는 사규나 약정은 반사회적 법률행위로서 무효이다.</t>
  </si>
  <si>
    <t>불법목적이 달성되지 않을 경우 이를 원인으로 하는 급여의 반환을 내용으로 하는 약정은 그 성립시기와 관계없이 유효하다.</t>
  </si>
  <si>
    <t>사용자책임이 인정되면 사용자와 피용자는 부진정연대책임을 진다.</t>
  </si>
  <si>
    <t>미성년자에 대한 처분동의의 취소와 영업허락의 취소는 처음부터 효력이 있다.</t>
  </si>
  <si>
    <t>해제권을 행사한 채권자가 다시 계약상의 의무이행을 구하는 경우 채무자는 채권자의 해제권행사를 이유로 그 이행을 거절할 수 있다.</t>
  </si>
  <si>
    <t>부재자 재산관리인이 선임된 이후 부재자에 대해 실종선고가 내려진 경우, 재산관리인이 이미 법원의 매각처분허가를 받았더라도 실종기간 만료 후에 이루어진 재산관리인의 처분행위는 무효이다.</t>
  </si>
  <si>
    <t>법인과 이사의 이익이 충돌하는 경우 특별대리인을 선임하는 절차와 청구권자는 임시이사를 선임하는 경우와 같다.</t>
  </si>
  <si>
    <t>쌍방의 채권의 기한이 도래하지 않은 경우 수동채권이 압류되면, 수동채권의 변제기가 자동채권과 같거나 더 빠른 경우에 한하여 상계가 허용된다.</t>
  </si>
  <si>
    <t>제3자는 선의・무과실이어야 하고, 이는 법률상 새로운 이해관계를 맺은 때를 기준으로 판단한다.</t>
  </si>
  <si>
    <t>관습법과 사실인 관습에 관한 설명으로 옳지 않은 것은? (다툼이 있으면 판례에 따름)</t>
    <phoneticPr fontId="2" type="noConversion"/>
  </si>
  <si>
    <t>사실인 관습은 법률행위에 적용될 수 있는 제정법이 임의규정인 경우에는 법률행위의 해석기준이 될 수 있다.</t>
    <phoneticPr fontId="2" type="noConversion"/>
  </si>
  <si>
    <t>공동선조와 성과 본을 같이 하는 미성년인 후손은 고유한 의미의 종중의 구성원이 될 수 없다.</t>
    <phoneticPr fontId="2" type="noConversion"/>
  </si>
  <si>
    <t>사실인 관습은 민법의 법원이 아니다.</t>
    <phoneticPr fontId="2" type="noConversion"/>
  </si>
  <si>
    <t>민법 제163조제1호의 '1년 이내의 기간으로 정한 금전 또는 물건의 지급을 목적으로 한 채권'이란 변제기가 1년 이내의 채권을 말한다.</t>
    <phoneticPr fontId="2" type="noConversion"/>
  </si>
  <si>
    <t>민법 제548조제1항 단서의 계약해제의 소급효로부터 보호받는 제3자에 해당되지 않는 자는? (다툼이 있으면 판례에 따름)</t>
    <phoneticPr fontId="2" type="noConversion"/>
  </si>
  <si>
    <t>주물과 종물에 관한 민법 제100조제2항의 법리는 압류와 같은 공법상 처분에는 적용되지 않는다.</t>
    <phoneticPr fontId="2" type="noConversion"/>
  </si>
  <si>
    <t>법인의 불법행위책임에 관한 민법 제35조제1항은 비법인사단에 유추적용된다.</t>
    <phoneticPr fontId="2" type="noConversion"/>
  </si>
  <si>
    <t>파산자가 상대방과 통정하여 허위의 의사표시를 통해 가장채권을 보유하고 있다가 파산선고를 받은 경우, 파산관재인은 민법 제108조제2항의 제3자에 해당된다.</t>
    <phoneticPr fontId="2" type="noConversion"/>
  </si>
  <si>
    <t>민법 제108조제2항에서 규정하고 있는 제3자에 대한 무효의 대항력 유무는 제3자의 선의만이 판단기준이며, 무과실은 요구되지 않는다.</t>
    <phoneticPr fontId="2" type="noConversion"/>
  </si>
  <si>
    <t>계약상의 채권을 양수한 자는 민법 제548조제1항 단서의 제3자에 해당한다.</t>
    <phoneticPr fontId="2" type="noConversion"/>
  </si>
  <si>
    <t>민법 제35조제1항에 의한 법인의 불법행위책임이 인정되는 경우, 이사 기타 대표자는 이로 인하여 자기의 손해배상책임을 면하지 못한다.</t>
    <phoneticPr fontId="2" type="noConversion"/>
  </si>
  <si>
    <t>계약해제의 소급효로서 제3자의 권리를 해할 수 없다는 민법 제548조제1항의 규정은 계약의 합의해제에는 적용되지 않는다.</t>
    <phoneticPr fontId="2" type="noConversion"/>
  </si>
  <si>
    <t>해제의 소급효는 제3자의 권리를 해할 수 없다는 민법 제548조제1항 단서는 합의해제에는 적용되지 않는다.</t>
    <phoneticPr fontId="2" type="noConversion"/>
  </si>
  <si>
    <t>권리능력에 관한 설명으로 옳은 것은? (다툼이 있으면 판례에 따름)</t>
    <phoneticPr fontId="2" type="noConversion"/>
  </si>
  <si>
    <t>실종선고를 받은 자는 실종선고가 있은 때부터 사망한 것으로 본다.</t>
    <phoneticPr fontId="2" type="noConversion"/>
  </si>
  <si>
    <t>태아는 법정대리인을 통하여 사인증여를 받을 수 있다.</t>
    <phoneticPr fontId="2" type="noConversion"/>
  </si>
  <si>
    <t>법인은 포괄적 유증을 받을 수 있다.</t>
    <phoneticPr fontId="2" type="noConversion"/>
  </si>
  <si>
    <t>2인 이상이 동일한 위난으로 사망한 경우에는 동시에 사망한 것으로 본다.</t>
    <phoneticPr fontId="2" type="noConversion"/>
  </si>
  <si>
    <t>반려동물은 위자료 청구권의 귀속주체가 된다.</t>
    <phoneticPr fontId="2" type="noConversion"/>
  </si>
  <si>
    <t>비법인사단에 관한 설명으로 옳지 않은 것은? (다툼이 있으면 판례에 따름)</t>
    <phoneticPr fontId="2" type="noConversion"/>
  </si>
  <si>
    <t>임시이사 선임에 관한 민법 제63조는 비법인사단에 유추적용될 수 있다.</t>
    <phoneticPr fontId="2" type="noConversion"/>
  </si>
  <si>
    <t>비법인사단의 구성원 개인은 사원총회의 결의를 거친 경우에는 단독으로 총유재산의 보존행위로서 소를 제기할 수 있다.</t>
    <phoneticPr fontId="2" type="noConversion"/>
  </si>
  <si>
    <t>비법인사단에는 대표권 제한의 등기에 관한 규정이 적용되지 않는다.</t>
    <phoneticPr fontId="2" type="noConversion"/>
  </si>
  <si>
    <t>종중총회의 결의방법에 있어 종중규약에 다른 규정이 없는 한, 종원은 서면으로 결의권을 행사할 수 있다.</t>
    <phoneticPr fontId="2" type="noConversion"/>
  </si>
  <si>
    <t>민법상 법인의 해산 및 청산에 관한 설명으로 옳지 않은 것은? (다툼이 있으면 판례에 따름)</t>
    <phoneticPr fontId="2" type="noConversion"/>
  </si>
  <si>
    <t>채권신고기간 동안 청산인이 채권자에게 변제하지 않더라도 법인은 지연손해에 대한 배상의무를 면한다.</t>
    <phoneticPr fontId="2" type="noConversion"/>
  </si>
  <si>
    <t>법인은 해산되더라도 권리능력이 곧바로 소멸되지는 않는다.</t>
    <phoneticPr fontId="2" type="noConversion"/>
  </si>
  <si>
    <t>청산인은 알고 있는 채권자가 채권신고 기간내에 채권신고를 하지 않더라도 그를 청산으로부터 제외하지 못한다.</t>
    <phoneticPr fontId="2" type="noConversion"/>
  </si>
  <si>
    <t>법인의 청산절차에 관한 민법규정에 반하는 잔여재산의 처분행위는 특별한 사정이 없는 한 무효이다.</t>
    <phoneticPr fontId="2" type="noConversion"/>
  </si>
  <si>
    <t>물건에 관한 설명으로 옳지 않은 것은? (다툼이 있으면 판례에 따름)</t>
    <phoneticPr fontId="2" type="noConversion"/>
  </si>
  <si>
    <t>관리할 수 있는 전기는 동산이다.</t>
    <phoneticPr fontId="2" type="noConversion"/>
  </si>
  <si>
    <t>토지의 정착물은 그 토지와 별개의 독립한 동산이다.</t>
    <phoneticPr fontId="2" type="noConversion"/>
  </si>
  <si>
    <t>천연과실은 그 원물로부터 분리하는 때에 이를 수취할 권리자에게 속한다.</t>
    <phoneticPr fontId="2" type="noConversion"/>
  </si>
  <si>
    <t>당사자는 주물을 처분할 때 특약으로 종물을 제외할 수 있다.</t>
    <phoneticPr fontId="2" type="noConversion"/>
  </si>
  <si>
    <t>특허권의 사용대가는 법정과실이 아니다.</t>
    <phoneticPr fontId="2" type="noConversion"/>
  </si>
  <si>
    <t>부동산의 이중매매에 관한 설명으로 옳은 것을 모두 고른 것은? (다툼이 있으면 판례에 따름)
ㄱ. 제2매수인이 이중매매사실을 알았다는 사정만으로 제2매매계약을 반사회적 법률행위에 해당한다고 볼 수 있다.
ㄴ. 반사회적 법률행위에 해당하는 이중매매의 경우, 제1매수인은 제2매수인에 대하여 직접 소유권이전등기말소를 청구할 수 없다.
ㄷ. 반사회적 법률행위에 해당하는 이중매매의 경우, 제2매수인으로부터 부동산을 다시 취득한 제3자는 설사 제2매수인이 당해 부동산의 소유권을 유효하게 취득한 것으로 믿었더라도 그 소유권을 취득할 수 없다.</t>
    <phoneticPr fontId="2" type="noConversion"/>
  </si>
  <si>
    <t>ㄱ</t>
    <phoneticPr fontId="2" type="noConversion"/>
  </si>
  <si>
    <t>ㄴ</t>
    <phoneticPr fontId="2" type="noConversion"/>
  </si>
  <si>
    <t>ㄱ, ㄷ</t>
    <phoneticPr fontId="2" type="noConversion"/>
  </si>
  <si>
    <t>ㄱ, ㄴ</t>
    <phoneticPr fontId="2" type="noConversion"/>
  </si>
  <si>
    <t>ㄴ, ㄷ</t>
    <phoneticPr fontId="2" type="noConversion"/>
  </si>
  <si>
    <t>ㄱ, ㄴ, ㄷ</t>
    <phoneticPr fontId="2" type="noConversion"/>
  </si>
  <si>
    <t>불공정한 법률행위에 관한 설명으로 옳은 것은? (다툼이 있으면 판례에 따름)</t>
    <phoneticPr fontId="2" type="noConversion"/>
  </si>
  <si>
    <t>행정기관에 진정서를 제출하여 상대방을 궁지에 빠뜨린 다음 이를 취하하는 조건으로 거액의 급부를 제공받는 증여는 불공정한 법률행위에 해당하지 않는다.</t>
    <phoneticPr fontId="2" type="noConversion"/>
  </si>
  <si>
    <t>불공정한 법률행위에는 무효행위 전환의 법리가 적용될 수 없다.</t>
    <phoneticPr fontId="2" type="noConversion"/>
  </si>
  <si>
    <t>매매계약이 불공정한 법률행위로 무효이더라도, 특별한 사정이 없는 한 그 매매계약에 관한 부제소합의는 유효하다.</t>
    <phoneticPr fontId="2" type="noConversion"/>
  </si>
  <si>
    <t>甲은 乙소유의 X토지를 매수하기로 乙과 합의하였다. 그 후 甲이 법률행위의 내용의 중요부분의 착오를 이유로 그 매매계약을 취소하고자 한다. 이에 관한 설명으로 옳은 것을 모두 고른 것은? (다툼이 있으면 판례에 따름)
ㄱ. 甲과 乙이 매매계약 체결 당시 착오에 관한 민법 제109조의 적용을 배제하는 합의를 하였다면 그 합의는 유효하다.
ㄴ. 甲에게 경과실이 있더라도 甲은 그 매매계약을 취소할 수 있다.
ㄷ. 甲이 법적 규제로 X토지에 공장을 지을 수 없게 된 경우, 그러한 동기를 법률행위의 내용으로 삼았다면 甲은 매매계약을 취소할 수 있다.</t>
    <phoneticPr fontId="2" type="noConversion"/>
  </si>
  <si>
    <t>표현대리에 관한 설명으로 옳은 것을 모두 고른 것은? (다툼이 있으면 판례에 따름)
ㄱ. 복대리인 선임권이 없는 대리인에 의하여 선임된 복대리인의 권한은 민법 제126조에 의한 표현대리의 기본대리권이 될 수 있다.
ㄴ. 강행법규에 위반되어 무효인 계약에는 표현대리의 법리가 적용되지 않는다.
ㄷ. 표현대리가 성립하여 본인이 급부의 이행책임을 지는 경우, 상대방에게 과실이 있다면 과실상계의 법리를 유추적용하여 본인의 책임을 경감할 수 있다.</t>
    <phoneticPr fontId="2" type="noConversion"/>
  </si>
  <si>
    <t>ㄷ</t>
    <phoneticPr fontId="2" type="noConversion"/>
  </si>
  <si>
    <t>甲은 토지거래허가구역 내에 있는 자신의 X토지에 관하여 乙과 관할관청의 거래허가를 받기로 하고 매매계약을 체결하였다. 乙은 계약 당일 甲에게 계약금을 지급하였고, 중도금은 토지거래허가 후 쌍방 합의 하에 지급하기로 하였다. 甲과 乙이 관할관청의 거래허가를 받기 전의 상태에서 위 매매계약에 따른 법률관계에 관한 설명으로 옳지 않은 것은? (다른 약정이 없으며, 다툼이 있으면 판례에 따름)</t>
    <phoneticPr fontId="2" type="noConversion"/>
  </si>
  <si>
    <t>甲이 거래허가 신청절차에 협력하지 않는다면 乙은 甲에게 협력의무의 이행을 소구할 수 있다.</t>
    <phoneticPr fontId="2" type="noConversion"/>
  </si>
  <si>
    <t>甲은 乙에게 계약금의 배액을 상환하고 매매계약을 해제할 수 있다.</t>
    <phoneticPr fontId="2" type="noConversion"/>
  </si>
  <si>
    <t>乙은 甲에게 지급한 계약금을 부당이득으로 그 반환을 구할 수 있다.</t>
    <phoneticPr fontId="2" type="noConversion"/>
  </si>
  <si>
    <t>乙은 甲에게 X토지에 관하여 매매계약에 기한 소유권이전등기청구를 할 수 없다.</t>
    <phoneticPr fontId="2" type="noConversion"/>
  </si>
  <si>
    <t>乙이 착오를 이유로 매매계약의 취소를 주장할 수 있는 경우, 乙은 甲에게 이러한 사유를 주장하여 거래허가신청 협력에 대한 거절의사를 명백히 함으로써 그 계약을 확정적으로 무효화시킬 수 있다.</t>
    <phoneticPr fontId="2" type="noConversion"/>
  </si>
  <si>
    <t>법률행위의 무효 및 취소에 관한 설명으로 옳지 않은 것은? (다툼이 있으면 판례에 따름)</t>
    <phoneticPr fontId="2" type="noConversion"/>
  </si>
  <si>
    <t>법률행위의 추인에 관한 설명으로 옳은 것을 모두 고른 것은? (다툼이 있으면 판례에 따름)
ㄱ. 무권리자의 처분행위를 권리자가 추인한 경우, 권리자는 무권리자에 대하여 그 처분행위로 인하여 얻은 이득의 반환을 청구할 수 있다.
ㄴ. 무권리자의 처분이 계약으로 이루어진 경우, 권리자가 이를 추인하면 원칙적으로 그 계약의 효과는 계약을 체결했을 때에 소급하여 권리자에게 귀속된다.
ㄷ. 의사표시가 강박에 의한 것임을 이유로 취소되어 무효로 된 후에도, 의사표시자는 무효인 법률행위의 추인의 요건과 효력으로서 추인할 수는 있다.</t>
    <phoneticPr fontId="2" type="noConversion"/>
  </si>
  <si>
    <t>선량한 풍속에 반하는 불법조건이 붙은 법률행위는 조건 없는 법률행위가 된다.</t>
    <phoneticPr fontId="2" type="noConversion"/>
  </si>
  <si>
    <t>조건을 붙이는 것이 허용되지 않는 법률행위에 조건을 붙인 경우, 다른 규정이 없으면 그 법률행위 전부가 무효로 된다.</t>
    <phoneticPr fontId="2" type="noConversion"/>
  </si>
  <si>
    <t>민법 제675조에 규정된 현상광고에서 그 광고에 정한 행위의 완료에 조건을 붙일 수 있다.</t>
    <phoneticPr fontId="2" type="noConversion"/>
  </si>
  <si>
    <t>법률행위의 부관으로서의 조건이 되기 위해서는 조건을 붙이고자 하는 의사와 그 표시가 필요하다.</t>
    <phoneticPr fontId="2" type="noConversion"/>
  </si>
  <si>
    <t>당사자가 조건성취의 효력을 그 성취전에 소급하게 할 의사를 표시한 때에는 그 의사에 의한다.</t>
    <phoneticPr fontId="2" type="noConversion"/>
  </si>
  <si>
    <t>제척기간에 관한 설명으로 옳은 것을 모두 고른 것은? (다툼이 있으면 판례에 따름)
ㄱ. 제척기간에는 기간의 중단이 있을 수 없다.
ㄴ. 제척기간의 기산점은 원칙적으로 권리가 발생한 때이다.
ㄷ. 당사자 사이에 매매예약완결권의 행사기간에 관한 약정이 없는 경우, 예약 완결권은 예약이 성립한 때로부터 10년이 지난 때에 제척기간의 경과로 인하여 소멸한다.</t>
    <phoneticPr fontId="2" type="noConversion"/>
  </si>
  <si>
    <t>채무불이행에 관한 설명으로 옳지 않은 것은? (다툼이 있으면 판례에 따름)</t>
    <phoneticPr fontId="2" type="noConversion"/>
  </si>
  <si>
    <t>소멸시효에 관한 설명으로 옳지 않은 것은? (다툼이 있으면 판례에 따름)</t>
    <phoneticPr fontId="2" type="noConversion"/>
  </si>
  <si>
    <t>조건에 관한 설명으로 옳지 않은 것은? (다툼이 있으면 판례에 따름)</t>
    <phoneticPr fontId="2" type="noConversion"/>
  </si>
  <si>
    <t>불법행위로 인한 손해배상채무에 관하여는 원칙적으로 별도의 이행최고가 없더라도
채무성립과 동시에 지연손해금이 발생한다.</t>
    <phoneticPr fontId="2" type="noConversion"/>
  </si>
  <si>
    <t>매매계약상 채무불이행책임에 대한 면책특약이 있는 경우, 특별한 사정이 없는 한 이는 불법행위책임에는 적용되지 않는다.</t>
    <phoneticPr fontId="2" type="noConversion"/>
  </si>
  <si>
    <t>이행보조자의 행위가 채무의 이행에 관련된 경우, 그 행위가 채권자에게 불법행위가 되는 때에는 채무자의 채무불이행책임은 면책된다.</t>
    <phoneticPr fontId="2" type="noConversion"/>
  </si>
  <si>
    <t>제3자가 단순히 호의로 이행행위를 한 경우, 그것이 채무자의 용인 아래 이루어지는 것이면 제3자는 민법 제391조의 이행보조자에 해당한다.</t>
    <phoneticPr fontId="2" type="noConversion"/>
  </si>
  <si>
    <t>이행불능에 관한 설명으로 옳지 않은 것은? (다툼이 있으면 판례에 따름)</t>
    <phoneticPr fontId="2" type="noConversion"/>
  </si>
  <si>
    <t>채무불이행에 있어서 채무의 내용에 좇은 이행이 행하여지지 않은 경우, 특별한 사정이 없는 한 그 자체가 위법한 것으로 평가될 수 있다.</t>
    <phoneticPr fontId="2" type="noConversion"/>
  </si>
  <si>
    <t>증여의 대상인 권리가 타인에게 귀속되어 있다는 이유만으로는 이행불능이라고 할 수 없다.</t>
    <phoneticPr fontId="2" type="noConversion"/>
  </si>
  <si>
    <t>매도인의 귀책사유로 인하여 매매목적물에 대하여 매도인의 다른 채권자가 강제경매를 신청하여 그 절차가 진행 중인 경우, 매도인의 소유권이전의무는 이행불능이 된다.</t>
    <phoneticPr fontId="2" type="noConversion"/>
  </si>
  <si>
    <t>매매목적물에 대하여 가압류 집행이 되어 있는 경우, 그것만으로는 소유권이전등기가 불가능한 것은 아니다.</t>
    <phoneticPr fontId="2" type="noConversion"/>
  </si>
  <si>
    <t>쌍무계약상 당사자 일방의 채무의 일부만이 불능이 된 경우, 그 나머지 부분의 이행만으로는 계약의 목적을 달성할 수 없다면 채무의 이행은 전부가 불능이 된다.</t>
    <phoneticPr fontId="2" type="noConversion"/>
  </si>
  <si>
    <t>쌍무계약 당사자 쌍방의 급부가 모두 이행불능이 된 경우, 특별한 사정이 없는 한 당사자 일방은 상대방에 대하여 대상청구권을 행사할 수 없다.</t>
    <phoneticPr fontId="2" type="noConversion"/>
  </si>
  <si>
    <t>손해배상에 관한 설명으로 옳지 않은 것은? (다툼이 있으면 판례에 따름)</t>
    <phoneticPr fontId="2" type="noConversion"/>
  </si>
  <si>
    <t>채무불이행으로 인한 손해배상청구권의 소멸시효는 특별한 사정이 없는 한 채무불이행시부터 진행한다.</t>
    <phoneticPr fontId="2" type="noConversion"/>
  </si>
  <si>
    <t>채무불이행으로 인한 손해배상액이 예정되어 있는 경우, 채무불이행으로 인한 손해의 확대에 채권자의 과실이 있더라도 그 과실을 이유로 과실상계를 할 수는 없다.</t>
    <phoneticPr fontId="2" type="noConversion"/>
  </si>
  <si>
    <t>재산적 손해액의 확정이 가능함에도 불구하고 위자료의 명목으로 사실상 재산적 손해의 전보를 구하는 것은 허용되지 않는다.</t>
    <phoneticPr fontId="2" type="noConversion"/>
  </si>
  <si>
    <t>매도인의 소유권이전의무가 이행불능이 된 후 목적물의 가격이 오른 경우, 가격 상승 으로 인한 손해는 통상손해에 해당한다.</t>
    <phoneticPr fontId="2" type="noConversion"/>
  </si>
  <si>
    <t>채무불이행을 이유로 계약해제와 아울러 손해배상을 청구하는 경우, 채권자가 이행이익에 갈음하여 신뢰이익의 배상을 청구하는 때 그 신뢰이익은 이행이익의 범위를 초과할 수 없다.</t>
    <phoneticPr fontId="2" type="noConversion"/>
  </si>
  <si>
    <t>주채무자가 시효의 이익을 포기하면 특별한 사정이 없는 한 보증인에게도 그 포기의 효력이 미친다.</t>
    <phoneticPr fontId="2" type="noConversion"/>
  </si>
  <si>
    <t>연대보증채무에 대한 소멸시효가 중단되었다고 하더라도 이로써 주채무에 대한 소멸시효가 중단되는 것은 아니다.</t>
    <phoneticPr fontId="2" type="noConversion"/>
  </si>
  <si>
    <t>주채무가 소멸시효 완성으로 소멸된 경우, 연대보증채무는 그 채무 자체의 시효중단에도 불구하고 부종성에 따라 당연히 소멸한다.</t>
    <phoneticPr fontId="2" type="noConversion"/>
  </si>
  <si>
    <t>소멸시효 완성의 효력은 소멸시효가 완성된 원금 부분으로부터 그 완성 전에 발생한 이자 또는 지연손해금에 미친다.</t>
    <phoneticPr fontId="2" type="noConversion"/>
  </si>
  <si>
    <t>채무자가 소멸시효 완성 후에 그 시효의 이익을 포기한 경우에는 그때부터 새로이 소멸시효가 진행한다.</t>
    <phoneticPr fontId="2" type="noConversion"/>
  </si>
  <si>
    <t>사용자가 근로자의 기망을 이유로 근로계약을 적법하게 취소한 경우, 이미 제공된 근로자의 노무를 기초로 형성된 취소 이전의 법률관계는 그 효력을 잃는다.</t>
    <phoneticPr fontId="2" type="noConversion"/>
  </si>
  <si>
    <t>매도인이 매매계약을 적법하게 해제한 후에도 매수인은 착오를 이유로 한 취소권을 행사할 수 있다.</t>
    <phoneticPr fontId="2" type="noConversion"/>
  </si>
  <si>
    <t>생전처분으로 재단법인을 설립할 목적으로 서면에 의해 재산을 출연하였더라도 출연자는 착오를 이유로 출연의 의사표시를 취소할 수 있다.</t>
    <phoneticPr fontId="2" type="noConversion"/>
  </si>
  <si>
    <t>법률행위의 일부분이 무효인 경우 원칙적으로 그 전부를 무효로 한다.</t>
    <phoneticPr fontId="2" type="noConversion"/>
  </si>
  <si>
    <t>제한능력자의 반환책임의 범위를 현존이익으로 한정하는 민법 제141조 단서는 의사능력의 흠결을 이유로 법률행위가 무효가 되는 경우에도 유추적용된다.</t>
    <phoneticPr fontId="2" type="noConversion"/>
  </si>
  <si>
    <t>채권자지체에 관한 설명으로 옳은 것을 모두 고른 것은? (다툼이 있으면 판례에 따름)
ㄱ. 채무이행에 채권자의 행위가 필요한 경우, 민법 제400조의 채권자지체의 성립을 위한 이행의 제공은 채무자의 구두의 제공으로 충분하다.
ㄴ. 채권자지체가 성립하기 위해서는 채권자에게 귀책사유가 있어야 한다.
ㄷ. 채권자지체로 인하여 목적물의 보관비용이 증가된 때에는 그 증가액은 채권자의 부담으로 한다.
ㄹ. 채권자지체가 성립하면 특별한 사정이 없는 한 채무자는 채권자에 대하여 채무불이행책임을 물을 수 있다.</t>
    <phoneticPr fontId="2" type="noConversion"/>
  </si>
  <si>
    <t>ㄷ, ㄹ</t>
    <phoneticPr fontId="2" type="noConversion"/>
  </si>
  <si>
    <t>ㄱ, ㄴ, ㄷ, ㄹ</t>
    <phoneticPr fontId="2" type="noConversion"/>
  </si>
  <si>
    <t>채권자대위권에 관한 설명으로 옳은 것은? (다툼이 있으면 판례에 따름)</t>
    <phoneticPr fontId="2" type="noConversion"/>
  </si>
  <si>
    <t>채권자취소권에 관한 설명으로 옳은 것은? (다툼이 있으면 판례에 따름)</t>
    <phoneticPr fontId="2" type="noConversion"/>
  </si>
  <si>
    <t>다수당사자의 채권관계에 관한 설명으로 옳지 않은 것은? (다툼이 있으면 판례에 따름)</t>
    <phoneticPr fontId="2" type="noConversion"/>
  </si>
  <si>
    <t>지명채권의 양도에 관한 설명으로 옳지 않은 것은? (다툼이 있으면 판례에 따름)</t>
    <phoneticPr fontId="2" type="noConversion"/>
  </si>
  <si>
    <t>채권의 목적에 관한 설명으로 옳지 않은 것은? (다툼이 있으면 판례에 따름)</t>
    <phoneticPr fontId="2" type="noConversion"/>
  </si>
  <si>
    <t>동일한 채권자에 대하여 수개의 동종채무를 부담한 채무자가 변제의 제공을 하였으나 그 채무 전부를 소멸하게 하지 못하였다. 이에 관한 설명으로 옳지 않은 것을 모두 고른 것은? (특약은 고려하지 않음)
ㄱ. 변제받는 자는 변제자에 우선하여 어느 채무를 지정하여 그 변제에 충당할 수 있다.
ㄴ. 당사자가 변제에 충당할 채무를 지정하지 아니한 경우, 채무 중에 이행기가 도래한 채무와 이행기가 도래하지 않은 채무가 있으면 이행기가 도래한 채무의 변제에 충당한다.
ㄷ. 당사자가 변제에 충당할 채무를 지정하지 아니한 경우, 채무 전부의 이행기가 도래하였고 각 채무의 변제이익이 같으면 그 채무액이 큰 것의 변제에 충당한다.
ㄹ. 변제충당은 이자, 비용, 원본의 순서로 이루어진다.</t>
    <phoneticPr fontId="2" type="noConversion"/>
  </si>
  <si>
    <t>변제할 정당한 이익이 있는 자가 저당권의 피담보채무의 일부를 대위변제한 경우에 관한 설명으로 옳지 않은 것은? (다툼이 있으면 판례에 따름)</t>
    <phoneticPr fontId="2" type="noConversion"/>
  </si>
  <si>
    <t>상계에 관한 설명으로 옳지 않은 것은? (다툼이 있으면 판례에 따름)</t>
    <phoneticPr fontId="2" type="noConversion"/>
  </si>
  <si>
    <t>고려청자 1점을 소유한 甲이 이를 乙에게 매도하는 계약을 체결한 후 이행기 도래 전에 그 고려청자가 멸실되었다. 이에 관한 설명으로 옳지 않은 것은?</t>
    <phoneticPr fontId="2" type="noConversion"/>
  </si>
  <si>
    <t>丙에 대하여 5억원의 대여금채무를 부담하고 있던 甲은 자신의 X토지를 乙에게 5억원에 매각하면서 그 대금을 乙이 丙에게 지급하기로 하는 제3자를 위한 계약을 체결하였다. 이에 관한 설명으로 옳지 않은 것을 모두 고른 것은? (다툼이 있으면 판례에 따름)
ㄱ. 甲과 丙사이의 대여금채무관계가 소멸하면 甲과 乙사이의 매매계약도 당연히 소멸한다.
ㄴ. 乙은 甲과 丙사이의 계약이 무효라는 것을 알더라도 丙의 지급요구를 거절할 수 없다.
ㄷ. 乙이 수익의 의사표시를 한 丙에게 5억원을 지급하지 않으면 丙은 매매계약을 해제할 수 있다.
ㄹ. 甲이 乙의 丙에 대한 대금지급채무의 불이행을 이유로 매매계약을 해제하려면 丙의 동의를 얻어야 한다.</t>
    <phoneticPr fontId="2" type="noConversion"/>
  </si>
  <si>
    <t>계약의 해제에 관한 설명으로 옳지 않은 것은? (다툼이 있으면 판례에 따름)</t>
    <phoneticPr fontId="2" type="noConversion"/>
  </si>
  <si>
    <t>동시이행의 관계가 인정되는 것을 모두 고른 것은? (다툼이 있으면 판례에 따름)
ㄱ. 토지매수인이 소유권이전등기청구권 보전을 위하여 자기 명의로 가등기를 마친 경우, 계약해제로 인한 매수인의 가등기말소의무와 매도인의 매매대금반환의무
ㄴ. 토지임차인이 건물매수청구권을 행사한 경우, 토지임차인의 건물인도 및 소유권이전등기의무와 토지임대인의 건물 매매대금 지급의무
ㄷ. 근저당권 실행을 위한 경매가 무효로 되어 근저당권자인 채권자가 채무자를 대위하여 경매절차상 매수인에 대한 소유권이전등기 말소청구권을 행사한 경우, 매수인이 부담하는 소유권이전등기 말소의무와 위 근저당권자가 매수인에 대하여 부담하는 배당금 반환의무</t>
    <phoneticPr fontId="2" type="noConversion"/>
  </si>
  <si>
    <t>특정물의 인도가 채권의 목적인 경우에 변제에 관한 설명으로 옳지 않은 것은?</t>
    <phoneticPr fontId="2" type="noConversion"/>
  </si>
  <si>
    <t>건물소유를 목적으로 하는 토지임차인의 지상물매수청구권에 관한 설명으로 옳은 것은? (다툼이 있으면 판례에 따름)</t>
    <phoneticPr fontId="2" type="noConversion"/>
  </si>
  <si>
    <t xml:space="preserve">임대차에 관한 설명으로 옳지 않은 것은? </t>
    <phoneticPr fontId="2" type="noConversion"/>
  </si>
  <si>
    <t>甲은 자신 소유의 토지 위에 건물을 신축하기 위하여 乙과 공사도급계약을 체결하였다. 이에 관한 설명으로 옳은 것을 모두 고른 것은? (다툼이 있으면 판례에 따름)
ㄱ. 건물 완공 전에 甲이 乙에게 손해를 배상하고 계약을 해제하는 경우, 특별한 사정이 없는 한 甲은 乙에 대한 손해배상에 있어서 과실상계를 주장할 수 있다.
ㄴ. 乙이 甲에 대한 공사대금채권을 丙에게 양도한 경우, 특별한 사정이 없으면 민법 제666조에서 정한 수급인의 저당권설정청구권도 丙에게 이전한다.
ㄷ. 완성된 건물에 중요한 하자가 있어 甲이 하자보수에 갈음하여 손해배상을 청구하는 경우, 그 하자보수비는 건물의 완성시를 기준으로 산정한다.</t>
    <phoneticPr fontId="2" type="noConversion"/>
  </si>
  <si>
    <t>甲과 乙은 공동사업을 위해 민법상 조합계약을 체결하였으나, 乙이 개인 사정으로 조합을 탈퇴하였다. 이에 관한 설명으로 옳은 것을 모두 고른 것은? (다툼이 있으면 판례에 따름)
ㄱ. 甲과 乙의 합유에 속한 부동산은 甲의 단독소유로 하는 내용의 등기를 하여야 비로소 소유권 변동의 효력이 발생한다.
ㄴ. 조합재산이 甲에게 귀속된 경우, 조합채권자는 甲에게 조합채무 전부의 이행을 청구할 수 있다.
ㄷ. 乙은 甲에게 탈퇴로 인한 조합재산의 계산을 요구할 수 있으며, 그 계산은 乙의 탈퇴 당시의 조합재산 상태에 의하여야 한다.</t>
    <phoneticPr fontId="2" type="noConversion"/>
  </si>
  <si>
    <t>甲의 피용자 乙이 직무와 관련하여 제3자인 丙과 공동불법행위를 하여 丁에게 1억원의 손해를 가하였고, 甲의 사용자책임이 인정되었다. 이에 관한 설명으로 옳은 것을 모두 고른 것은? (다툼이 있으면 판례에 따름)
ㄱ. 丁이 입은 손해에 관하여 乙과 丙의 과실비율이 6:4인 경우, 甲은 丁에게 1억원의 손해배상책임을 부담한다.
ㄴ. 乙의 행위가 고의의 영득행위인 경우에도 甲은 丁의 과실을 들어 손해배상액의 감경을 주장할 수 있다.
ㄷ. 丁에 대한 손해배상책임이 乙1억원, 丙6천만원인 경우, 乙이 자신의 채무 중 5천만원을 변제하였다면 丙의 채무는 1천만원으로 감액된다.</t>
    <phoneticPr fontId="2" type="noConversion"/>
  </si>
  <si>
    <t>토지임차인에게 인정될 수 있는 권리가 아닌 것은?</t>
    <phoneticPr fontId="2" type="noConversion"/>
  </si>
  <si>
    <t>신의성실의 원칙에 관한 설명으로 옳은 것을 모두 고른 것은? (다툼이 있으면 판례에 따름)
ㄱ. 부작위에 의한 불법행위 성립의 전제가 되는 법적 작위의무는 신의칙상 작위의무가 기대되는 경우에도 인정될 수 있다.
ㄴ. 사용자가 피용자의 불법행위로 인하여 사용자책임을 지는 경우, 피용자에 대하여 행사하는 구상권은 신의칙을 근거로 제한될 수 있다.
ㄷ. 상계권의 행사가 상계제도의 목적이나 기능을 일탈하고 법적으로 보호받을 만한 가치가 없는 경우에는 신의칙에 반하여 허용되지 않고, 이 경우 일반적인 권리남용에서 요구되는 주관적 요건을 필요로 하는 것은 아니다.</t>
    <phoneticPr fontId="2" type="noConversion"/>
  </si>
  <si>
    <t>민법상 의사능력 및 행위능력에 관한 설명으로 옳지 않은 것은? (다툼이 있으면 판례에 따름)</t>
    <phoneticPr fontId="2" type="noConversion"/>
  </si>
  <si>
    <t>민법상 법인에 관한 설명으로 옳지 않은 것은? (다툼이 있으면 판례에 따름)</t>
    <phoneticPr fontId="2" type="noConversion"/>
  </si>
  <si>
    <t>민법상 사단법인 A를 대표할 권한이 있는 3인의 이사 甲, 乙, 丙에 관한 설명으로 옳지 않은 것은? (다툼이 있으면 판례에 따름)</t>
    <phoneticPr fontId="2" type="noConversion"/>
  </si>
  <si>
    <t>권리의 객체에 관한 설명으로 옳은 것은? (다툼이 있으면 판례에 따름)</t>
    <phoneticPr fontId="2" type="noConversion"/>
  </si>
  <si>
    <t>불공정한 법률행위에 관한 설명으로 옳지 않은 것은? (다툼이 있으면 판례에 따름)</t>
    <phoneticPr fontId="2" type="noConversion"/>
  </si>
  <si>
    <t>의사표시에 관한 설명으로 옳은 것을 모두 고른 것은? (다툼이 있으면 판례에 따름)
ㄱ. 비진의표시에서 진의란 특정한 내용의 의사표시를 하고자 하는 표의자의 생각을 말하는 것이지 진정으로 마음속에서 바라는 사항을 뜻하는 것은 아니다.
ㄴ. 채권자취소권의 대상이 된 채무자의 법률행위라도 통정허위표시의 요건을 갖춘 경우에는 무효이다.
ㄷ. 근로자가 회사의 경영방침에 따라 사직원을 제출하고 즉시 재입사하는 형식으로 퇴직 전후의 실질적인 근로관계의 단절 없이 계속 근무한 경우, 그 사직원 제출은 비진의표시에 해당한다.</t>
    <phoneticPr fontId="2" type="noConversion"/>
  </si>
  <si>
    <t>착오로 인한 의사표시에 관한 설명으로 옳은 것은? (표의자에게 중대한 과실이 없고, 다툼이 있으면 판례에 따름)</t>
    <phoneticPr fontId="2" type="noConversion"/>
  </si>
  <si>
    <t>민법상 대리에 관한 설명으로 옳지 않은 것은? (다툼이 있으면 판례에 따름)</t>
    <phoneticPr fontId="2" type="noConversion"/>
  </si>
  <si>
    <t>표현대리에 관한 설명으로 옳은 것을 모두 고른 것은? (다툼이 있으면 판례에 따름)
ㄱ. 표현대리행위가 성립하는 경우에는 상대방에게 과실이 있다고 하더라도 과실상계의 법리를 유추적용하여 본인의 책임을 경감할 수 없다.
ㄴ. 당사자가 표현대리를 주장하는 경우, 무권대리인과 표현대리에 해당하는 무권대리행위를 특정하여야 한다.
ㄷ. 권한을 넘은 표현대리에서 기본대리권의 내용과 표현대리행위는 동종의 것일 필요는 없다.</t>
    <phoneticPr fontId="2" type="noConversion"/>
  </si>
  <si>
    <t>무효와 취소에 관한 설명으로 옳지 않은 것은? (다툼이 있으면 판례에 따름)</t>
    <phoneticPr fontId="2" type="noConversion"/>
  </si>
  <si>
    <t>조건과 기한에 관한 설명으로 옳지 않은 것은? (다툼이 있으면 판례에 따름)</t>
    <phoneticPr fontId="2" type="noConversion"/>
  </si>
  <si>
    <t>민법상 기간에 관한 설명으로 옳지 않은 것은? (다툼이 있으면 판례에 따름)</t>
    <phoneticPr fontId="2" type="noConversion"/>
  </si>
  <si>
    <t>소멸시효와 제척기간에 관한 설명으로 옳은 것은? (다툼이 있으면 판례에 따름)</t>
    <phoneticPr fontId="2" type="noConversion"/>
  </si>
  <si>
    <t>물권적 청구권에 대하여는 채권자대위권에 관한 민법 제404조의 규정과 법리가 적용될 수 없다.</t>
  </si>
  <si>
    <t>채권이 사해행위 이전에 성립하였으나 그 채권이 사해행위 이후 양도된 경우, 양수인은 채권자취소권을 행사할 수 없다.</t>
  </si>
  <si>
    <t>여러 명이 가분채무를 부담하는 경우, 특별한 사정이 없는 한 분할채무가 성립한다.</t>
  </si>
  <si>
    <t>임차인의 임차목적물 반환채무는 특정물채무이다.</t>
  </si>
  <si>
    <t>채권자는 일부대위변제자에게 저당권 일부이전의 부기등기를 마쳐줄 의무를 부담한다.</t>
  </si>
  <si>
    <t>두 채권이 이행지를 달리 하는 경우에는 동종의 채권이라도 상계할 수 없다.</t>
  </si>
  <si>
    <t>고려청자가 甲의 책임있는 사유로 멸실된 때에는 甲은 乙에게 채무불이행책임을 진다.</t>
  </si>
  <si>
    <t>부수의무의 위반은 특별한 사정이 없는 한 법정해제권을 발생시키지 않는다.</t>
  </si>
  <si>
    <t>채무자는 이행기의 현상대로 그 특정물을 인도하여야 한다.</t>
  </si>
  <si>
    <t>미등기인 무허가 건물은 원칙적으로 지상물매수청구의 대상이 될 수 없다.</t>
  </si>
  <si>
    <t>건물임차인의 차임연체액이 2기의 차임액에 달하는 때에는 임대인은 계약을 해지할 수 있다.</t>
  </si>
  <si>
    <t>의사무능력을 이유로 하는 법률행위의 무효에 대한 증명책임은 무효를 주장하는 측에 있다.</t>
  </si>
  <si>
    <t>정관의 규범적 의미 내용과는 다른 해석이 사원총회의 결의에 의하여 표명된 경우, 그 결의에 의한 해석은 법원을 구속하지 않는다.</t>
  </si>
  <si>
    <t>정관에 다른 규정이 없는 경우, 甲은 특별한 사정이 없는 한 단독으로 이사회를 소집할 수 있다.</t>
  </si>
  <si>
    <t>건물의 개수는 공부상의 등록에 의하여 객관적으로 결정되고, 소유자의 의사 등 주관적 사정을 참작하여 결정될 수 없다.</t>
  </si>
  <si>
    <t>무경험은 거래일반에 대한 경험부족이 아니라 어느 특정영역에서의 경험부족을 의미한다.</t>
  </si>
  <si>
    <t>화해당사자의 자격에 관한 착오로 화해계약을 체결한 자는 착오를 이유로 그 계약을 취소하지 못한다.</t>
  </si>
  <si>
    <t>본인을 대리하여 부동산을 매수할 권한을 수여받은 대리인은 특별한 사정이 없으면 그 부동산을 처분할 대리권을 가진다.</t>
  </si>
  <si>
    <t>경개는 법정추인사유이다.</t>
  </si>
  <si>
    <t>장래 반드시 실현되는 사실은 실현 시기가 확정되지 않더라도 조건이 될 수 없다.</t>
  </si>
  <si>
    <t>나이가 1세에 이르지 아니한 경우에는 월수(月數)로 표시할 수 있다.</t>
  </si>
  <si>
    <t>시효의 기산점과 관련하여 사실상 권리의 존재를 알지 못하였다는 것은 법률상 장애사유에 해당한다.</t>
  </si>
  <si>
    <t>형사소송에서 피해자가 신청하는 배상명령은 시효중단사유가 아니다.</t>
  </si>
  <si>
    <t>특정물채권에서 채무자는 원칙적으로 그 물건을 인도하기까지 선량한 관리자의 주의로 보존하여야 한다.</t>
  </si>
  <si>
    <t>금전채무의 이행지체로 인해 확정된 지연손해금채무의 경우, 채무자는 채권자로부터 이행청구를 받은 때부터 지체책임을 진다.</t>
  </si>
  <si>
    <t>채권자는 특약이 없는 한 손해배상예정액을 초과한 배상액을 청구할 수는 없다.</t>
  </si>
  <si>
    <t>정지조건부 채권은 특별한 사정이 없는 한 채권자취소권의 피보전채권이 될 수 없다.</t>
  </si>
  <si>
    <t>회사의 이사가 채무액과 변제기가 특정된 회사 채무의 보증인이 된 경우, 그 이사는 이사직 사임이라는 사정변경을 이유로 보증계약을 해지할 수 없다.</t>
  </si>
  <si>
    <t>보증채권을 주채권과 함께 양도하는 경우, 대항요건은 양 채권 모두에 관하여 구비하여야 한다.</t>
  </si>
  <si>
    <t>채무자와 인수인의 계약에 의한 채무인수의 경우, 채권자의 승낙의 상대방은 채무자나 인수인이다.</t>
  </si>
  <si>
    <t>자동채권과 수동채권의 이행지가 다른 경우에도 상계할 수 있다.</t>
  </si>
  <si>
    <t>채무없음을 알고 임의로 변제한 경우, 변제자는 반환을 청구할 수 있다.</t>
  </si>
  <si>
    <t>甲이 2025. 1. 3. 위 매도청약을 철회한다는 내용의 우편을 발송하여 2025. 1. 6. 乙에게 도달한 경우, 甲의 청약은 유효하다.</t>
  </si>
  <si>
    <t>乙이 중도금을 지급하지 않은 채 잔금기일이 지난 경우, 기계인도채무와 동시이행관계에 있는 것은 잔금지급채무만이다.</t>
  </si>
  <si>
    <t>매매계약체결 당시 매매목적물이 당사자 쌍방의 귀책사유 없이 멸실된 상태였던 경우는 위험부담이 문제되지 않는다.</t>
  </si>
  <si>
    <t>계약의 일방 당사자로 하여금 ‘그가 제3자에 대하여 가지는 채권’에 관하여 그 채무를 면제하도록 하는 합의도 제3자를 위한 계약에 준하는 것으로서 유효하다.</t>
  </si>
  <si>
    <t>乙이 상계하려는 경우, 그 의사표시에는 조건을 붙일 수 없다.</t>
  </si>
  <si>
    <t>매도인이 매매계약의 이행에 전혀 착수한 바 없다 하더라도, 계약에서 정한 날짜에 중도금을 지급한 매수인은 계약금을 포기하고 해약금 해제를 할 수 없다.</t>
  </si>
  <si>
    <t>사용대차는 무상계약이다.</t>
  </si>
  <si>
    <t>乙이 건물매수청구권을 적법하게 행사하면 甲과 乙사이에 Y에 대하여 매수청구권을 행사할 당시의 시가를 대금으로 하는 매매계약이 체결된 것과 같은 효과가 발생한다.</t>
  </si>
  <si>
    <t>조합의 성립을 위한 출자는 노무로 할 수 있다.</t>
  </si>
  <si>
    <t>타인의 불법행위에 대하여 과실에 의한 방조로서 공동불법행위의 책임을 지우기 위해서는 방조행위와 불법행위에 의한 피해자의 손해발생 사이에 상당인과관계가 인정되어야 한다.</t>
  </si>
  <si>
    <t>임대인의 동의없이 임차권을 양도한 경우, 특별한 사정이 없는 한 양수인은 자기의 채권을 보전하기 위하여 임대인의 권리를 대위행사할 수 있다.</t>
  </si>
  <si>
    <t>사해행위취소소송에서 채권자는 채무자 및 수익자의 악의에 대한 증명책임을 부담한다.</t>
  </si>
  <si>
    <t>여러 명이 타인의 재산을 공동으로 사용함으로 인한 부당이득반환채무는 특별한 사정이 없는 한 불가분채무이다.</t>
  </si>
  <si>
    <t>주채권과 분리하여 보증채권만을 양도하기로 하는 약정은 효력이 없다.</t>
  </si>
  <si>
    <t>선택채권에서 제3자가 선택하는 경우, 그 선택은 채무자 및 채권자에 대한 의사표시로 한다.</t>
  </si>
  <si>
    <t>일부대위변제자는 그 변제한 가액에 비례하여 종래 채권자가 가지고 있던 저당권을 채권자와 준공유하게 된다.</t>
  </si>
  <si>
    <t>상계의 의사표시에는 조건 또는 기한을 붙일 수 없다.</t>
  </si>
  <si>
    <t>고려청자가 甲의 책임있는 사유로 멸실된 때에는 乙은 그 계약을 해제할 수 있다.</t>
  </si>
  <si>
    <t>계약해제의 의사표시가 상대방에게 도달하면 원칙적으로 이를 철회하지 못한다.</t>
  </si>
  <si>
    <t>채무의 성질 또는 당사자의 별도의 정함이 없으면, 특정물의 인도는 채권자의 현주소에서 하여야 한다.</t>
  </si>
  <si>
    <t>지상물매수청구권은 기간의 정함이 없는 임대차에서 임대인에 의한 해지통고에 의하여 임차권이 소멸된 경우에도 인정된다.</t>
  </si>
  <si>
    <t>처분권한 없는 자가 임대차를 하는 경우, 건물의 임대차기간을 3년으로 정할 수 있다.</t>
  </si>
  <si>
    <t>필요비상환청구권</t>
  </si>
  <si>
    <t>의사무능력을 이유로 법률행위가 무효가 된 경우, 의사무능력자는 그 행위로 인하여 받은 이익이 현존하는 한도에서 상환할 책임이 있다.</t>
  </si>
  <si>
    <t>정관에 이사의 해임사유에 관한 규정이 있는 경우, 법인은 특별한 사정이 없는 한 정관에서 정하지 아니한 사유로 이사를 해임할 수 없다.</t>
  </si>
  <si>
    <t>甲은 정관 또는 총회의 결의로 금지하지 아니한 사항에 한하여 A를 위한 특정한 행위를 제3자에게 대리하게 할 수 있다.</t>
  </si>
  <si>
    <t>피상속인이 유언으로 자신의 유체(遺體)를 처분한 경우, 제사주재자는 이에 따라야 할 법적 의무를 부담한다.</t>
  </si>
  <si>
    <t>어떠한 법률행위가 불공정한 법률행위에 해당하는지는 법률행위 당시를 기준으로 판단하여야 한다.</t>
  </si>
  <si>
    <t>매도인이 매수인의 채무불이행을 이유로 매매계약을 적법하게 해제한 후에는 매수인은 매매계약 내용의 중요 부분에 착오가 있더라도 착오를 이유로 그 계약을 취소할 수 없다.</t>
  </si>
  <si>
    <t>임의대리인은 행위능력자임을 요하지 아니한다.</t>
  </si>
  <si>
    <t>불공정한 법률행위에는 무효행위 전환에 관한 민법 제138조가 적용될 수 있다.</t>
  </si>
  <si>
    <t>채무자가 자기 소유의 물적담보를 고의로 감소하게 하여 남은 담보가 채무를 담보할 수 없게 된 경우, 그 채무자는 기한의 이익을 주장하지 못한다.</t>
  </si>
  <si>
    <t>기간을 주(週)로 정한 때에는 역(曆)에 의하여 계산한다.</t>
  </si>
  <si>
    <t>근로계약상 보호의무 위반에 따른 근로자의 손해배상청구권에는 특별한 사정이 없는 한 10년의 민사시효기간이 적용된다.</t>
  </si>
  <si>
    <t>채권자가 전소(前訴)로 이행청구를 하여 승소 확정판결을 받은 경우, 시효중단을 위해 후소(後訴)로서 재판상의 청구가 있다는 점에 대하여만 확인을 구하는 소는 허용되지 아니한다.</t>
  </si>
  <si>
    <t>금전채무의 이행지체로 인한 손해배상에서 채권자는 손해를 증명할 필요가 없다.</t>
  </si>
  <si>
    <t>반환시기의 약정이 없는 소비대차의 경우, 대주가 반환을 최고한 때부터 이행지체가 된다.</t>
  </si>
  <si>
    <t>손해배상예정액의 감액비율을 정하는 것은 원칙적으로 사실심의 전권에 속한다.</t>
  </si>
  <si>
    <t>사해행위 이전에 성립된 채권을 양수하였으나, 그 대항요건을 사해행위 이후에 갖춘 양수인은 그 채권을 피보전채권으로 하는 채권자취소권을 행사할 수 있다.</t>
  </si>
  <si>
    <t>보증채무의 소멸시효기간은 특별한 약정이 없는 한 주채무의 소멸시효기간에 따른다.</t>
  </si>
  <si>
    <t>대항요건을 갖추지 못한 채권양도인은 채무자의 제3채무자에 대한 채권에 관하여 가압류를 할 수 없다.</t>
  </si>
  <si>
    <t>채무자와 인수인의 계약에 의한 채무인수의 경우, 채권자의 승낙은 계약의 효력발생요건이 아니라 채권자가 인수인에 대하여 채권을 취득하기 위한 요건이다.</t>
  </si>
  <si>
    <t>수동채권은 원칙적으로 상대방이 상계자에 대하여 가지는 채권이어야 한다.</t>
  </si>
  <si>
    <t>변제기 전에 변제한 채무자는 변제한 것의 반환을 청구할 수 있다.</t>
  </si>
  <si>
    <t>乙이 2025. 1. 20.까지 회신을 하지 않으면 甲의 청약은 효력을 상실한다.</t>
  </si>
  <si>
    <t>乙이 중도금을 지급하지 않은 채 잔금기일이 지난 경우, 중도금에 대한 지연손해금은 잔금기일이 지나서도 계속 발생한다.</t>
  </si>
  <si>
    <t>매매계약체결 당시 매매목적물이 멸실된 상태였고 매수인이 대금을 이미 지급한 경우, 매수인은 매도인에 대하여 부당이득으로서 대금의 반환을 청구할 수 있다.</t>
  </si>
  <si>
    <t>요약자는 낙약자에 대하여 ‘제3자에게 급부를 이행할 것’을 요구할 권리는 없다.</t>
  </si>
  <si>
    <t>甲은 2025. 2. 15. 매매대금채권으로 대여금채무와 상계할 수 있다.</t>
  </si>
  <si>
    <t>매도인이 매수인에 대하여 이행을 최고하고 매매잔대금의 지급을 구하는 소를 제기하였다면 그것만으로 이행에 착수하였다고 보아야 한다.</t>
  </si>
  <si>
    <t>차주가 대주의 승낙 없이 차용물을 제3자에게 사용하게 한 경우, 대주는 계약을 해지할 수 있다.</t>
  </si>
  <si>
    <t>Y가 미등기 무허가 건물인 경우, 乙은 甲에게 건물매수청구권을 행사할 수 없다.</t>
  </si>
  <si>
    <t>2인 조합에서 조합원 1인이 탈퇴하는 경우, 잔존자는 조합의 탈퇴자에 대한 채권을 자동채권으로 하여 탈퇴자에 대한 지분 상당의 조합재산 반환채무와 상계할 수 없다.</t>
  </si>
  <si>
    <t>공동불법행위에서 과실상계를 함에 있어서 피해자의 공동불법행위자 각자에 대한 과실비율이 서로 다른 경우, 피해자의 과실은 공동불법행위자 각자에 대한 과실로 개별적으로 평가함이 원칙이다.</t>
  </si>
  <si>
    <t>임대인의 임대차계약 해지권은 일신전속권으로서 대위행사할 수 없다.</t>
  </si>
  <si>
    <t>채권자취소의 소는 채권자가 취소원인을 안 날부터 5년 내에 제기하여야 한다.</t>
  </si>
  <si>
    <t>어느 불가분채무자가 변제 기타 자기의 출재로 공동면책이 된 경우, 다른 불가분채무자의 부담부분에 대하여 구상권을 행사할 수 있다.</t>
  </si>
  <si>
    <t>가압류된 채권은 그 처분이 금지되므로 이를 양도할 수 없다.</t>
  </si>
  <si>
    <t>금전채무의 불이행으로 인한 손해배상에 관하여는 채권자는 손해의 증명을 요하지 않는다.</t>
  </si>
  <si>
    <t>일부대위변제의 경우에 채무불이행을 원인으로 한 계약의 해제는 채권자만이 할 수 있다.</t>
  </si>
  <si>
    <t>소멸시효가 완성된 자동채권이 그 완성 전에 상계적상에 있었다면 채권자가 상계할 수 있다.</t>
  </si>
  <si>
    <t>고려청자가 乙의 책임있는 사유로 멸실된 때에는 甲은 乙에 대하여 대금의 지급을 청구할 수 있다.</t>
  </si>
  <si>
    <t>채무불이행을 이유로 계약해제와 아울러 손해배상을 청구하는 경우에는 이행이익의 배상을 구하는 것이 원칙이다.</t>
  </si>
  <si>
    <t>채권자가 미리 변제받기를 거절하였으면, 채무자의 변제제공은 채권자에게 변제준비의 완료를 통지하고 그 수령을 최고하는 것으로 충분하다.</t>
  </si>
  <si>
    <t>임대차 기간 만료시에 지상물매수청구의 대상인 건물을 철거하기로 하는 특약은 원칙적으로 유효하다.</t>
  </si>
  <si>
    <t>부동산 임대차계약을 체결한 후 임대차등기를 하면 그 계약을 체결한 때부터 제3자에 대하여 효력을 주장할 수 있다.</t>
  </si>
  <si>
    <t>유익비상환청구권</t>
  </si>
  <si>
    <t>가정법원은 본인의 의사에 반하여 특정후견의 심판을 할 수 없다.</t>
  </si>
  <si>
    <t>청산 중인 법인의 청산인은 채권신고기간 내에 채권자에 대한 변제를 할 수 없으므로 법인은 그 기간 동안 채권자에 대한 지체책임을 면한다.</t>
  </si>
  <si>
    <t>정관에 사임의 효력발생시기에 관한 규정이 있는 경우, 乙이 사임의 의사표시를 하였더라도 정관에 따라 사임의 효력이 발생하기 전에는 철회할 수 있다.</t>
  </si>
  <si>
    <t>급부와 반대급부 사이의 현저한 불균형은 당사자의 주관적 가치가 아닌 거래상의 객관적 가치에 의하여 결정된다.</t>
  </si>
  <si>
    <t>매수인은 매매계약 내용의 중요 부분에 착오가 있더라도 매도인의 하자담보책임이 성립하는 경우에는 착오를 이유로 그 계약을 취소할 수 없다.</t>
  </si>
  <si>
    <t>대리인이 체결한 계약이 적법하게 해제되면 그로 인한 원상회복의무는 본인이 부담한다.</t>
  </si>
  <si>
    <t>취소권의 행사기간은 소멸시효기간이다.</t>
  </si>
  <si>
    <t>현상광고에서 정한 행위의 완료에는 기한을 붙일 수 없다.</t>
  </si>
  <si>
    <t>기간의 말일이 토요일 또는 공휴일에 해당한 때에는 기간은 그 익일로 만료한다.</t>
  </si>
  <si>
    <t>소멸시효는 법률행위에 의하여 배제할 수 있다.</t>
  </si>
  <si>
    <t>시효중단의 효력있는 승인에는 상대방의 권리에 관한 처분의 능력을 요한다.</t>
  </si>
  <si>
    <t>외화채권에서 채무자는 우리나라 통화로 변제할 수 있고 그 환산시기는 현실 지급시가 아니라 이행기이다.</t>
  </si>
  <si>
    <t>은행의 양도성예금증서에 변제기한이 있는 경우, 은행은 그 기한이 도래한 때부터 지체책임을 진다.</t>
  </si>
  <si>
    <t>채권자가 예정된 손해배상액을 청구하기 위하여 손해의 발생 및 그 액을 증명할 필요는 없으나 적어도 채무불이행 사실은 증명하여야 한다.</t>
  </si>
  <si>
    <t>채무자가 소멸시효 완성 후에 한 소멸시효이익의 포기행위는 채권자취소권의 대상인 사해행위가 될 수 없다.</t>
  </si>
  <si>
    <t>주채무자의 의사에 반하여 보증인이 된 자가 변제로 주채무를 소멸하게 한 때에는 주채무자는 그 당시에 이익을 받은 한도에서 배상하여야 한다.</t>
  </si>
  <si>
    <t>대항요건을 갖추지 못한 채권양수인이 채무자를 상대로 재판상 청구를 한 경우, 이는 소멸시효의 중단사유이다.</t>
  </si>
  <si>
    <t>인수채무의 소멸시효기간은 채무인수와 동시에 이루어진 채무승인에 따라 채무인수일로부터 새로이 진행된다.</t>
  </si>
  <si>
    <t>제척기간이 완성된 채권이 그 완성 전에 상계할 수 있었던 것이면 그 채권자는 상계할 수 있다.</t>
  </si>
  <si>
    <t>채무자가 변제 수령권한이 없는 자에게 변제를 한 경우, 이로 인하여 채권자가 받은 이익이 일부분 존재하더라도 그 부분에 대한 변제의 효력은 발생하지 않는다.</t>
  </si>
  <si>
    <t>乙이 2025. 1. 18. 甲의 통지대로 매수하겠다는 내용의 우편을 발송하여 2025. 1. 22. 甲에게 도달한 경우, 매매계약은 성립한다.</t>
  </si>
  <si>
    <t>‘중도금을 지급기일에 지급하지 않으면 최고없이 해제된다’고 특약한 경우, 중도금이 지급기일에 지급되지 않으면 원칙적으로 위 특약에 의해 해제된 것으로 본다.</t>
  </si>
  <si>
    <t>매매계약체결 당시 매매목적물이 멸실된 사실을 자신의 과실로 알지 못한 매수인은 매도인을 상대로 계약체결상의 과실책임을 추궁할 수 없다.</t>
  </si>
  <si>
    <t>제3자가 수익의 의사표시를 한 이후에는 요약자와 낙약자가 계약 당시 제3자의 권리를 변경시킬 수 있도록 미리 유보하였더라도 요약자와 낙약자는 제3자의 권리를 변경시킬 수 없다.</t>
  </si>
  <si>
    <t>乙은 2025. 2. 15. 대여금채권으로 매매대금채무와 상계하고 인쇄기의 인도를 구할 수 있다.</t>
  </si>
  <si>
    <t>당사자 사이에 해약권을 배제하기로 하는 약정이 있다 하더라도 특별한 사정이 없는 한 해약금 해제를 할 수 있다.</t>
  </si>
  <si>
    <t>차주는 차용물의 통상의 필요비를 부담한다.</t>
  </si>
  <si>
    <t>乙이 건물매수청구권을 적법하게 행사하였음에도 甲에게 Y의 인도 및 소유권이전등기를 마쳐주지 않았다면 甲을 상대로 Y의 매매대금에 대한 지연손해금을 청구할 수 없다.</t>
  </si>
  <si>
    <t>업무집행자가 수인인 경우 조합의 통상사무는 원칙적으로 각 업무집행자가 단독으로 행사할 수 있다.</t>
  </si>
  <si>
    <t>민법 제758조의 공작물책임 중 소유자의 책임은 과실책임이다.</t>
  </si>
  <si>
    <t>채권자가 자기의 금전채권을 보전하기 위하여 채무자의 금전채권을 대위행사하는 경우, 제3채무자로 하여금 직접 대위채권자 자신에게 이행하도록 청구할 수 있다.</t>
  </si>
  <si>
    <t>채무자의 재산처분행위가 사해행위가 되는지 판단함에 있어 압류금지재산은 채무자의 적극재산에 포함시켜서는 안 된다.</t>
  </si>
  <si>
    <t>어느 연대채무자가 채무를 승인하여 그에 대한 시효가 중단된 경우, 다른 연대채무자에게도 시효중단의 효력이 발생한다.</t>
  </si>
  <si>
    <t>채권양도행위가 사해행위에 해당하지 않는 경우, 그 양도통지가 따로 채권자취소권 행사의 대상이 될 수 없다.</t>
  </si>
  <si>
    <t>금전채무에 관하여 지연손해금 비율을 따로 약정한 경우, 이는 일종의 손해배상액의 예정이다.</t>
  </si>
  <si>
    <t>저당권의 실행으로 인한 매각대금의 배당에 있어서 채권자는 저당권의 일부이전의 부기등기를 경료받은 일부대위변제자에 대하여 우선변제권을 가진다.</t>
  </si>
  <si>
    <t>동시이행의 항변권이 붙은 채권을 자동채권으로 하는 상계는 허용되지 않는다.</t>
  </si>
  <si>
    <t>乙의 책임있는 사유로 고려청자가 멸실되어 甲이 자기의 채무를 면함으로써 이익을 얻더라도 甲은 이를 乙에게 상환할 필요는 없다.</t>
  </si>
  <si>
    <t>채권자가 이행의 최고를 하면서 ‘최고기간 내에 이행이 없으면 다시 해제의 의사표시를 하지 않더라도 당연히 계약은 해제된다’는 의사표시를 한 경우에는 최고기간의 경과로 계약은 곧 해제된다.</t>
  </si>
  <si>
    <t>당사자의 특별한 의사표시가 없으면, 채무자는 변제기 전이라도 상대방의 손해를 배상하고 변제할 수 있다.</t>
  </si>
  <si>
    <t>건물에 저당권이 설정된 경우, 임차인은 지상물매수청구권을 행사할 수 없다.</t>
  </si>
  <si>
    <t>임차인이 임대인의 동의를 얻어 임차물을 전대한 경우, 전차인은 직접 임대인에 대하여 의무를 부담한다.</t>
  </si>
  <si>
    <t>법정대리인의 동의 없이 매매계약을 체결한 미성년자가 그 동의 없음을 이유로 위 계약을 취소하는 것은 신의칙에 위배된다.</t>
  </si>
  <si>
    <t>채권신고기간 내에 채권신고를 하지 아니한 채권자라도 청산인이 알고 있는 채권자는 청산으로부터 제외되지 않는다.</t>
  </si>
  <si>
    <t>丙의 주소가 변경된 경우에는 3주간 내에 변경등기를 하여야 한다.</t>
  </si>
  <si>
    <t>대리행위가 상대방의 강박으로 취소되는 경우, 특별한 사정이 없으면 그 취소권은 본인에게 귀속한다.</t>
  </si>
  <si>
    <t>토지거래허가구역 내에 있는 토지에 관한 매매계약이 확정적 무효인 경우, 그 무효에 귀책사유가 있는 자도 계약의 무효를 주장할 수 있다.</t>
  </si>
  <si>
    <t>정년이 60세라 함은 60세에 도달하는 날이 아니라 60세가 만료되는 날을 말한다.</t>
  </si>
  <si>
    <t>부동산의 매수인이 그 부동산을 인도받아 계속 점유하는 경우에도 그 소유권이전등기청구권의 소멸시효는 진행한다.</t>
  </si>
  <si>
    <t>이행인수인이 채권자에 대하여 채무자의 채무를 승인하면 특별한 사정이 없으면 그 승인은 시효중단효력이 없다.</t>
  </si>
  <si>
    <t>선택채권에서 다른 정함이 없으면 그 선택권은 채무자에게 있다.</t>
  </si>
  <si>
    <t>채무이행의 불확정한 기한이 있는 경우, 채무자는 그 기한이 객관적으로 도래한 때부터 지체책임을 진다.</t>
  </si>
  <si>
    <t>위약벌 약정액이 부당히 과다한 경우, 손해배상액의 예정에 관한 민법 제398조 제2항을 유추적용하여 그 액을 감액할 수 있다.</t>
  </si>
  <si>
    <t>채권자가 전득자를 상대로 사해행위취소의 소를 제기한 경우, 그 취소의 대상은 수익자와 전득자 사이의 법률행위이다.</t>
  </si>
  <si>
    <t>보증의 효력발생요건인 보증인의 기명날인은 타인이 이를 대행하는 방법으로 할 수 없다.</t>
  </si>
  <si>
    <t>임대차계약상 임차권양도금지 특약이 있는 경우, 특별한 사정이 없는 한 임대보증금반환채권의 양도도 금지하는 것으로 보아야 한다.</t>
  </si>
  <si>
    <t>채무자와 인수인의 계약에 의한 채무인수의 경우, 채권자가 승낙을 거절하면 그 이후에는 채권자가 다시 승낙하여도 채무인수의 효력이 생기지 않는다.</t>
  </si>
  <si>
    <t>수동채권의 변제기는 도래하였으나 자동채권의 변제기가 도래하지 않은 경우에는 상계할 수 없다.</t>
  </si>
  <si>
    <t>1억 원의 채무 중 7천만 원을 변제공탁한 경우, 채권자가 이를 수락하지 않으면 채무자는 3천만 원을 변제제공하더라도 채무불이행책임을 부담한다.</t>
  </si>
  <si>
    <t>乙이 2025. 1. 10. 甲에게 80만 원에 사겠다는 내용의 우편을 발송하여 2025. 1. 15. 도달하였다면 甲의 청약은 효력을 상실한다.</t>
  </si>
  <si>
    <t>‘잔금을 지급기일에 지급하지 않으면 최고없이 해제된다’고 특약한 경우, 잔금이 지급기일에 지급되지 않으면 원칙적으로 위 특약에 의해 해제된 것으로 본다.</t>
  </si>
  <si>
    <t>매매계약체결 후 매수인의 수령지체 중에 당사자 쌍방의 책임없는 사유로 매매목적물이 멸실된 경우, 매도인은 매수인을 상대로 매매대금의 지급을 청구할 수 있다.</t>
  </si>
  <si>
    <t>요약자와 낙약자 사이의 매매계약이 해제된 경우, 그 계약에 따라 매매대금을 제3자에게 지급한 낙약자는 그 제3자에 대하여 지급한 금액의 반환을 청구할 수 있다.</t>
  </si>
  <si>
    <t>만일 2025. 2. 10. 甲의 채권자 丙에 의해 매매대금채권이 압류된 경우, 乙은 2025. 2. 15. 매매대금채권을 수동채권으로 하여 상계할 수 있다.</t>
  </si>
  <si>
    <t>매도인이 계약금의 배액을 이행제공하였으나 매수인이 이를 수령하지 아니하는 경우, 매도인이 해약금 해제를 하기 위해서는 공탁하여야 한다.</t>
  </si>
  <si>
    <t>Y가 객관적으로 경제적 가치가 있는지 여부는 건물매수청구권의 행사요건이 아니다.</t>
  </si>
  <si>
    <t>조합원 중 1인만을 가압류채무자로 한 가압류명령으로써 조합재산에 가압류집행을 할 수 없다.</t>
  </si>
  <si>
    <t>채무불이행으로 인한 손해배상청구권에 대한 소멸시효 항변에는 불법행위로 인한 손해배상청구권에 대한 소멸시효 항변이 포함된 것으로 볼 수 있다.</t>
  </si>
  <si>
    <t>민법상 조합원의 조합탈퇴권은 일신전속권으로서 특별한 사정이 없는 한 대위행사할 수 없다.</t>
  </si>
  <si>
    <t>채무자가 채권자에게 채무의 본지에 따른 변제를 하는 것도 특별한 사정이 없는 한 사해행위가 될 수 있다.</t>
  </si>
  <si>
    <t>어느 연대채무자가 채권자에 대하여 채권이 있는 경우, 그 채무자가 상계한 때에는 채권은 모든 연대채무자의 이익을 위하여 소멸한다.</t>
  </si>
  <si>
    <t>지명채권의 양도통지 후 그 양도계약이 해제된 경우, 양도인이 그 해제를 이유로 다시 원래의 채무자에 대하여 양도채권으로 대항하려면 양수인이 채무자에게 양도계약의 해제사실을 통지해야 한다.</t>
  </si>
  <si>
    <t>금전채무의 이행지체로 인하여 발생하는 지연손해금은 그 성질이 이자이다.</t>
  </si>
  <si>
    <t>수인이 시기를 달리하여 피담보채권의 일부씩을 대위변제한 경우, 그 저당권의 실행으로 인한 매각대금의 배당에 있어 특별한 사정이 없는 한 먼저 변제한 일부대위변제자가 우선변제권을 가진다.</t>
  </si>
  <si>
    <t>상계로 인한 채무소멸의 효과는 상계할 수 있는 때로 소급하여 발생한다.</t>
  </si>
  <si>
    <t>고려청자가 쌍방의 책임없는 사유로 멸실된 때에는 甲은 乙에 대하여 대금지급을 청구할 수 없다.</t>
  </si>
  <si>
    <t>매매계약의 해제로 인한 매매대금의 반환에 대하여는 그 해제가 있은 날로부터 민법 소정의 법정이자를 부가하여 지급하여야 한다.</t>
  </si>
  <si>
    <t>채무자가 변제의 제공을 하면, 채무자는 특별한 사정이 없는 한 그때부터 채무불이행책임을 면하게 된다.</t>
  </si>
  <si>
    <t>임차인의 채무불이행을 이유로 계약이 해지된 경우, 임차인은 임대인에 대하여 지상물매수청구권을 행사할 수 있다.</t>
  </si>
  <si>
    <t>임대차기간이 만료한 후 임대차의 묵시적 갱신이 인정된 경우, 전(前) 임대차에 대하여 제3자가 제공한 담보는 기간만료로 소멸한다.</t>
  </si>
  <si>
    <t>임대차등기절차협력청구권</t>
  </si>
  <si>
    <t>가정법원이 피특정후견인에 대하여 한정후견개시의 심판을 할 때에는 종전의 특정후견의 종료 심판을 한다.</t>
  </si>
  <si>
    <t>민법상의 청산절차에 관한 규정에 반하는 잔여재산의 처분행위는 특별한 사정이 없는 한 무효이다.</t>
  </si>
  <si>
    <t>정관에 甲, 乙, 丙3인이 공동으로 대표행위를 하도록 규정되어 있는 경우, 이를 등기하지 않으면 A는 제3자에게 대항할 수 없다.</t>
  </si>
  <si>
    <t>매매목적물이 인도되지 않고 매수인이 대금을 완제하지 아니한 경우, 특별한 사정이 없는 한 매도인의 이행지체가 있더라도 매매목적물로부터 생긴 과실은 매도인에게 귀속된다.</t>
  </si>
  <si>
    <t>매매계약이 불공정한 법률행위에 해당하여 무효인 경우, 특별한 사정이 없는 한 그 계약에 관한 부제소합의도 무효이다.</t>
  </si>
  <si>
    <t>법률에 관한 착오가 법률행위 내용의 중요부분에 관한 것이더라도 표의자는 착오를 이유로 법률행위를 취소할 수 없다.</t>
  </si>
  <si>
    <t>포괄승계인은 피승계인의 법률행위의 취소권을 행사할 수 있다.</t>
  </si>
  <si>
    <t>조건을 붙이고자 하는 의사가 있더라도 외부에 표시되지 않으면 이는 법률행위의 동기에 불과하다.</t>
  </si>
  <si>
    <t>사원총회의 선거일이 2025. 6. 2.인 경우에 ‘선거일 전 3년간’은 2022. 6. 2. 00:00부터 2025. 6. 1. 24:00 사이를 말한다.</t>
  </si>
  <si>
    <t>법원은 제척기간의 경과 여부를 직권으로 조사할 수 없다.</t>
  </si>
  <si>
    <t>유체동산에 대한 가압류결정을 집행한 경우, 가압류에 의한 시효중단의 효력은 본압류가 되면 소멸한다.</t>
  </si>
  <si>
    <t>선택채권의 목적으로 선택할 수개의 행위 중에 처음부터 불능한 것이 있으면 채권의 목적은 잔존한 것에 존재한다.</t>
  </si>
  <si>
    <t>불법행위로 인한 손해배상책임은 인정되지만 그 배상액이 확정되지 않은 경우, 채무자는 지체책임을 면한다.</t>
  </si>
  <si>
    <t>지체상금을 계약 총액에 지체상금률을 곱하여 산출하기로 정한 경우, 손해배상의 예정에 해당하는 지체상금의 과다 여부는 지체상금 총액을 기준으로 판단하여야 한다.</t>
  </si>
  <si>
    <t>사해행위 이후에 성립한 채권의 채권자는 사해행위취소와 원상회복의 효력을 받는 채권자에 포함된다.</t>
  </si>
  <si>
    <t>보증채무의 연체이율은 주채무의 약정연체이율을 따르는 것이 원칙이다.</t>
  </si>
  <si>
    <t>양도금지특약부 채권을 전부받은 자로부터 다시 그 채권을 양수한 자가 특약에 대하여 악의인 경우, 채무자는 특약을 근거로 채권양도의 무효를 주장할 수 있다.</t>
  </si>
  <si>
    <t>채권자와 인수인의 계약에 의한 채무인수의 경우, 금전채무의 보증인은 채무자의 의사에 반하여 채무를 인수할 수 있다.</t>
  </si>
  <si>
    <t>손해배상채무가 중과실의 불법행위로 인한 것인 때에는 그 채무자는 상계로 채권자에게 대항하지 못한다.</t>
  </si>
  <si>
    <t>변제금액이 채권액에 부족한 경우, 채무자는 이자에 앞서 원본에 충당할 것을 지정할 수 있다.</t>
  </si>
  <si>
    <t>만약 甲의 위 우편에 ‘2025. 1. 20.까지 답이 없으면 매수하겠다는 의사로 간주하겠다’는 내용이 포함되어 있음에도 乙이 회신하지 않으면 매매가 성립한 것으로 본다.</t>
  </si>
  <si>
    <t>매매목적물이 자기소유라고 주장하는 제3자가 있더라도, 乙은 매매대금의 지급을 거절할 권리는 없다.</t>
  </si>
  <si>
    <t>매수인이 매매목적물을 인도받아 사용하던 중 당사자 쌍방의 귀책사유 없이 제3자의 소유로 판명되어 제3자에게 그 목적물을 인도한 경우, 매수인은 매도인에게 그 목적물의 사용에 따른 이익을 반환할 의무는 없다.</t>
  </si>
  <si>
    <t>낙약자는 요약자와 수익자 사이의 대가관계가 해제되었다는 점을 들어 수익자에게 대항할 수 있다.</t>
  </si>
  <si>
    <t>만일 대여금채권이 2025. 2. 20. 시효소멸하였더라도 乙은 2025. 2. 25. 상계의 의사표시를 하여 상계할 수 있다.</t>
  </si>
  <si>
    <t>계약금 일부만 지급된 경우, 매도인은 지급받은 금원의 배액을 상환하고 해약금 해제를 할 수 있다.</t>
  </si>
  <si>
    <t>수인이 공동차주인 경우, 대주에 대한 공동차주의 손해배상채무는 다른 약정이 없는 한 분할채무관계에 있다.</t>
  </si>
  <si>
    <t>조합원은 조합계약을 해제하고 상대방에게 그로 인한 원상회복의무를 부담지울 수 없다.</t>
  </si>
  <si>
    <t>공동불법행위자 중 일부가 피해자의 부주의를 이용하여 고의로 불법행위를 저지른 경우, 그러한 사유가 없는 다른 불법행위자도 과실상계 주장을 할 수 없다.</t>
  </si>
  <si>
    <t>소멸시효의 중단과 정지에 관한 설명으로 옳은 것은? (다툼이 있으면 판례에 따름)</t>
    <phoneticPr fontId="2" type="noConversion"/>
  </si>
  <si>
    <t>이행지체에 관한 설명으로 옳은 것은? (다툼이 있으면 판례에 따름)</t>
    <phoneticPr fontId="2" type="noConversion"/>
  </si>
  <si>
    <t>민법상 손해배상액의 예정에 관한 설명으로 옳지 않은 것은? (다툼이 있으면 판례에 따름)</t>
    <phoneticPr fontId="2" type="noConversion"/>
  </si>
  <si>
    <t>甲, 乙, 丙이 丁에 대하여 부담부분이 균등한 9억 원의 연대채무를 부담하는 경우에 관한 설명으로 옳은 것을 모두 고른 것은? (원본만을 고려하며, 다툼이 있으면 판례에 따름)
ㄱ. 甲이 9억 원의 지급에 갈음하여 丁에게 자신의 X토지의 소유권이전을 내용으로 하는 경개계약을 체결하면, 乙과 丙의 연대채무는 모두 소멸한다.
ㄴ. 丁이 甲에 대하여 4억 원의 채무를 면제하면, 乙과 丙은 5억 원에 관하여 연대채무를 부담한다.
ㄷ. 丁이 甲에 대하여 8억 원의 채무를 면제하면, 乙과 丙은 7억 원에 관하여 연대채무를 부담한다.</t>
    <phoneticPr fontId="2" type="noConversion"/>
  </si>
  <si>
    <t>민법상 보증채무에 관한 설명으로 옳은 것은? (다툼이 있으면 판례에 따름)</t>
    <phoneticPr fontId="2" type="noConversion"/>
  </si>
  <si>
    <t>지명채권양도에 관한 설명으로 옳은 것은? (다툼이 있으면 판례에 따름)</t>
    <phoneticPr fontId="2" type="noConversion"/>
  </si>
  <si>
    <t>면책적 채무인수에 관한 설명으로 옳지 않은 것은? (다툼이 있으면 판례에 따름)</t>
    <phoneticPr fontId="2" type="noConversion"/>
  </si>
  <si>
    <t>민법상 상계에 관한 설명으로 옳지 않은 것은? (다툼이 있으면 판례에 따름)</t>
    <phoneticPr fontId="2" type="noConversion"/>
  </si>
  <si>
    <t>변제에 관한 설명으로 옳은 것은? (다툼이 있으면 판례에 따름)</t>
    <phoneticPr fontId="2" type="noConversion"/>
  </si>
  <si>
    <t>甲이 2025. 1. 1. 乙에게 ‘핸드폰을 1백만 원에 매도하고자 하니 매수 여부를 2025. 1. 20.까지 알려달라’는 내용의 우편을 발송하여 2025. 1. 5. 乙에게 도달하였다. 이에 관한 설명으로 옳지 않은 것은? (甲과 乙은 격지자간임을 전제로 하고, 다툼이 있으면 판례에 따름)</t>
    <phoneticPr fontId="2" type="noConversion"/>
  </si>
  <si>
    <t>甲은 2025. 2. 1. 乙에게 기계를 1천만 원에 매도하기로 하면서, 乙은 계약금 1백만 원은 계약 당일 지급하였고, 중도금 3백만 원은 2025. 2. 10.에 지급하며, 잔금은 2025. 2. 20. 기계의 인도와 동시에 지급하기로 합의하였다. 이에 관한 설명으로 옳은 것은? (다툼이 있으면 판례에 따름)</t>
    <phoneticPr fontId="2" type="noConversion"/>
  </si>
  <si>
    <t>매매목적물의 멸실에 따른 법률관계에 관한 설명으로 옳지 않은 것은? (다툼이 있으면 판례에 따름)</t>
    <phoneticPr fontId="2" type="noConversion"/>
  </si>
  <si>
    <t>제3자를 위한 계약에 관한 설명으로 옳은 것은? (다툼이 있으면 판례에 따름)</t>
    <phoneticPr fontId="2" type="noConversion"/>
  </si>
  <si>
    <t>해제에 관한 설명으로 옳은 것을 모두 고른 것은?
ㄱ. 해제의 의사표시는 철회하지 못한다.
ㄴ. 매매계약의 매수 당사자 일방이 여러 명인 경우, 매수 당사자 중 1인이 해제권을 상실하더라도 다른 매수인은 해제할 수 있다.
ㄷ. 해제권의 행사기간을 정하지 아니한 경우, 상대방이 해제권자에게 해제권의 행사 여부에 관하여 최고하였으나 해제권자로부터 상당기간이 지난 후에도 해제의 통지를 받지 못한 때에는 해제권은 소멸한다.
ㄹ. 해제권자의 가공으로 계약의 목적물이 다른 종류의 물건으로 변경된 경우, 해제권은 소멸한다.</t>
    <phoneticPr fontId="2" type="noConversion"/>
  </si>
  <si>
    <t>甲은 2025. 3. 1. 乙에게 甲소유의 X토지를 매도하고 2025. 3. 7. 乙명의로 소유권이전등기를 경료해 주었는데, 2025. 5. 1. 위 매매계약이 적법하게 해제되었다. 이 경우 해제의 소급효로부터 보호받는 제3자에 해당하지 않는 자를 모두 고른 것은? (다툼이 있으면 판례에 따름)
ㄱ. 2025. 4. 1. 甲의 乙에 대한 매매대금 채권을 압류한 자
ㄴ. 2025. 4. 1. X를 압류한 자
ㄷ. 甲에 의한 해제가능성을 알면서 2025. 4. 1. 乙로부터 X에 저당권설정등기를 경료받은 자
ㄹ. 계약이 해제된 사실을 알면서 2025. 5. 3. 乙과 매매예약을 체결하고 그에 기한 소유권이전청구권 보전을 위한 가등기를 마친 자</t>
    <phoneticPr fontId="2" type="noConversion"/>
  </si>
  <si>
    <t>甲은 2025. 2. 1. 乙과 인쇄기의 매도계약을 체결하면서 대금 3천만 원을 2025. 2. 15. 지급받음과 동시에 인쇄기를 인도하기로 하였다. 한편 乙은 甲에 대하여 이행기가 2020. 2. 20.인 3천만 원의 대여금채권을 가지고 있다. 이에 관한 설명으로 옳지 않은 것은? (이자나 지연손해금은 고려하지 않고, 다툼이 있으면 판례에 따름)</t>
    <phoneticPr fontId="2" type="noConversion"/>
  </si>
  <si>
    <t>甲은 乙과 ‘乙이 甲에 대하여 일정한 부담을 이행할 것’을 내용으로 하는 부담부증여계약을 체결하고, 증여를 원인으로 甲소유의 X토지에 관하여 乙에게 소유권이전등기를 경료해 주었다. 이에 관한 설명으로 옳은 것을 모두 고른 것은? (다툼이 있으면 판례에 따름)
ㄱ. 甲이 乙에게 하자 있는 X를 증여한 경우, 甲은 특별한 사정이 없는 한 乙에게 담보책임을 부담할 수 있다.
ㄴ. 乙의 부담 불이행을 이유로 甲이 증여를 해제한 경우, 乙은 X에 관하여 소유권이전등기의 말소등기절차를 이행하여야 한다.
ㄷ. 증여에 부담이 붙어 있는지 여부에 관하여 다툼이 발생한 경우, 그에 대한 증명책임은 부담의 존재를 주장하는 자가 부담한다.</t>
    <phoneticPr fontId="2" type="noConversion"/>
  </si>
  <si>
    <t>민법 제565조의 해약금 해제에 관한 설명으로 옳은 것은? (다툼이 있으면 판례에 따름)</t>
    <phoneticPr fontId="2" type="noConversion"/>
  </si>
  <si>
    <t>사용대차에 관한 설명으로 옳지 않은 것은?</t>
    <phoneticPr fontId="2" type="noConversion"/>
  </si>
  <si>
    <t>甲은 그 소유의 X토지에 관하여 乙과 건물소유를 목적으로 하는 임대차계약을 체결하고 乙이 X토지 위에 Y건물을 건립하였는데, 임대차가 기간 만료로 종료하자 甲이 乙을 상대로 X토지인도 및 Y건물철거청구의 소를 제기하였다. 이에 관한 설명으로 옳지 않은 것은? (다툼이 있으면 판례에 따름)</t>
    <phoneticPr fontId="2" type="noConversion"/>
  </si>
  <si>
    <t>민법상 위임에 관한 설명으로 옳은 것을 모두 고른 것은?
ㄱ. 수임인은 보수를 지급하기로 하는 특별한 약정이 없으면 위임인에 대하여 보수를 청구하지 못한다.
ㄴ. 수임인이 성년후견개시의 심판을 받은 경우, 이는 위임의 종료사유이다.
ㄷ. 수임인이 부득이한 사유없이 위임인의 불리한 시기에 위임계약을 해지한 때에는 그 손해를 배상하여야 한다.</t>
    <phoneticPr fontId="2" type="noConversion"/>
  </si>
  <si>
    <t>부당이득에 관한 설명으로 옳은 것을 모두 고른 것은? (다툼이 있으면 판례에 따름)
ㄱ. 계약상 급부가 상대방뿐 아니라 제3자에게 이익이 된 경우, 급부를 한 계약당사자는 제3자를 상대로 직접 부당이득반환청구를 할 수 없다.
ㄴ. 임대차 종료 후 임차인이 동시이행항변권을 행사하여 임차건물을 사용한 경우, 이로 인한 이득이 있다면 이를 부당이득으로 반환하여야 한다.
ㄷ. 급부를 한 당사자가 그 급부의 법률상 원인 없음을 이유로 반환을 청구하는 이른바 급부부당이득의 경우, 부당이득반환청구의 상대방이 이익을 보유할 정당한 권원이 있다는 점을 증명할 책임이 있다.</t>
    <phoneticPr fontId="2" type="noConversion"/>
  </si>
  <si>
    <t>민법상 조합에 관한 설명으로 옳지 않은 것은? (다툼이 있으면 판례에 따름)</t>
    <phoneticPr fontId="2" type="noConversion"/>
  </si>
  <si>
    <t>불법행위에 관한 설명으로 옳은 것은? (다툼이 있으면 판례에 따름)</t>
    <phoneticPr fontId="2" type="noConversion"/>
  </si>
  <si>
    <t>대법원 1999. 1. 29. 선고 98다48903 판결</t>
    <phoneticPr fontId="2" type="noConversion"/>
  </si>
  <si>
    <t>특별한 사정이 없는 한 상대방의 침묵만으로 승낙의 효력이 발생하지 않는다</t>
    <phoneticPr fontId="2" type="noConversion"/>
  </si>
  <si>
    <t>민법 제527조</t>
    <phoneticPr fontId="2" type="noConversion"/>
  </si>
  <si>
    <t>민법 제534조</t>
    <phoneticPr fontId="2" type="noConversion"/>
  </si>
  <si>
    <t>민법 제528조제1항</t>
    <phoneticPr fontId="2" type="noConversion"/>
  </si>
  <si>
    <t>민법 제528조제1항, 제531조</t>
    <phoneticPr fontId="2" type="noConversion"/>
  </si>
  <si>
    <t>관습법은 사회의 거듭된 관행이 법적 확신을 얻어 규범으로 승인・강행되기에 이른 것이다.</t>
  </si>
  <si>
    <t>사실인 관습은 당사자의 주장・증명이 없더라도 법원이 직권으로 확정해야 한다.</t>
  </si>
  <si>
    <t>비법인사단이 타인 간의 금전채무를 보증하는 행위는 총유물 그 자체의 관리・처분행위로 볼 수 없다.</t>
  </si>
  <si>
    <t>법인의 해산과 청산은 법원이 검사・감독한다.</t>
  </si>
  <si>
    <t>특별한 사정이 없는 한 궁박・경솔은 본인을 기준으로 판단하고 무경험은 대리인을 기준으로 한다.</t>
  </si>
  <si>
    <t>법률행위가 현저하게 공정을 잃은 경우, 당사자의 궁박・경솔・무경험은 추정된다.</t>
  </si>
  <si>
    <t>甲은 2025. 2. 1. 자신의 X토지를 乙에게 1억원에 매도하면서 계약금 1천만원 중 3백만원은 계약 당일에 지급받았고, 나머지 계약금 7백만원은 2025. 3. 1., 중도금 3천만원은 2025. 5. 1. 각 지급받았으며, 잔금 6천만원은 2025. 7. 1. 소유권이전에 필요한 서류를 乙에게 교부함과 동시에 지급받기로 하였다. 이에 관한 설명으로 옳지 않은 것을 모두 고른 것은? (다툼이 있으면 판례에 따름)
ㄱ. 乙이 소유권이전등기를 마치기 전인 2025. 6. 1. 매매계약의 이행으로 X토지를 인도받아 점유・사용해 온 경우에도 乙은 甲에 대하여 차임 상당의 부당이득반환의무를 부담한다.
ㄴ. 甲은 2025. 2. 5. 乙에게 계약해제의 의사표시를 함과 동시에 6백만원을 지급함으로써 매매계약을 해제할 수 있었다.
ㄷ. 乙이 2025. 7. 1. 매매대금을 전부 지급하였음에도 X토지를 인도받지 못한 경우, 특별한 사정이 없는 한 乙은 대금 지급 후 X토지로부터 발생하는 과실의 수취권을 가진다.</t>
  </si>
  <si>
    <t>주물・종물 법리는 압류와 같은 공법상 처분에는 적용되지 않는다.</t>
  </si>
  <si>
    <t>주물・종물 법리는 권리 상호간에도 유추적용되므로 원본채권이 양도되면 이미 변제기에 도달한 이자채권도 원칙적으로 함께 양도된다.</t>
  </si>
  <si>
    <t>차용물의 반환시기에 관한 약정이 없는 경우, 차용물의 사용・수익에 족한 기간이 경과한 때에는 대주는 언제든지 계약을 해지할 수 있다.</t>
  </si>
  <si>
    <t>乙이 적법하게 건물매수청구권을 행사한 후 그 매매대금을 지급받을 때까지 Y의 인도를 거부하면서 그 부지를 계속 점유・사용하는 경우, 그로 인한 이익은 부당이득으로 반환할 의무가 있다.</t>
  </si>
  <si>
    <t>기능</t>
    <phoneticPr fontId="2" type="noConversion"/>
  </si>
  <si>
    <t>사용여부</t>
    <phoneticPr fontId="2" type="noConversion"/>
  </si>
  <si>
    <t>행 하이라이트</t>
    <phoneticPr fontId="2" type="noConversion"/>
  </si>
  <si>
    <t>Y</t>
  </si>
  <si>
    <t>유형</t>
    <phoneticPr fontId="2" type="noConversion"/>
  </si>
  <si>
    <t>본문</t>
    <phoneticPr fontId="2" type="noConversion"/>
  </si>
  <si>
    <t>기출</t>
    <phoneticPr fontId="2" type="noConversion"/>
  </si>
  <si>
    <t>모의</t>
    <phoneticPr fontId="2" type="noConversion"/>
  </si>
  <si>
    <t>이론</t>
    <phoneticPr fontId="2" type="noConversion"/>
  </si>
  <si>
    <t>판례</t>
    <phoneticPr fontId="2" type="noConversion"/>
  </si>
  <si>
    <t>법령</t>
    <phoneticPr fontId="2" type="noConversion"/>
  </si>
  <si>
    <t>중요도</t>
    <phoneticPr fontId="2" type="noConversion"/>
  </si>
  <si>
    <t>A</t>
    <phoneticPr fontId="2" type="noConversion"/>
  </si>
  <si>
    <t>B</t>
    <phoneticPr fontId="2" type="noConversion"/>
  </si>
  <si>
    <t>C</t>
    <phoneticPr fontId="2" type="noConversion"/>
  </si>
  <si>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</si>
  <si>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</si>
  <si>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</si>
  <si>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</si>
  <si>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</si>
  <si>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</si>
  <si>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</si>
  <si>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</si>
  <si>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장/문제No/판례번호</t>
    <phoneticPr fontId="2" type="noConversion"/>
  </si>
  <si>
    <t>절/문제주제/판례주제</t>
    <phoneticPr fontId="2" type="noConversion"/>
  </si>
  <si>
    <t>글자수</t>
    <phoneticPr fontId="2" type="noConversion"/>
  </si>
  <si>
    <t>계획</t>
    <phoneticPr fontId="2" type="noConversion"/>
  </si>
  <si>
    <t>실행</t>
    <phoneticPr fontId="2" type="noConversion"/>
  </si>
  <si>
    <t>본문</t>
  </si>
  <si>
    <t>파일</t>
    <phoneticPr fontId="2" type="noConversion"/>
  </si>
  <si>
    <t>법률</t>
    <phoneticPr fontId="2" type="noConversion"/>
  </si>
  <si>
    <t>민법</t>
    <phoneticPr fontId="2" type="noConversion"/>
  </si>
  <si>
    <t>열기3-01.관련법령\03.민법\민법.txt</t>
    <phoneticPr fontId="2" type="noConversion"/>
  </si>
  <si>
    <t>편</t>
    <phoneticPr fontId="2" type="noConversion"/>
  </si>
  <si>
    <t>제1편 민법총칙</t>
  </si>
  <si>
    <t>제1편 민법총칙</t>
    <phoneticPr fontId="2" type="noConversion"/>
  </si>
  <si>
    <t>제01절 서설</t>
  </si>
  <si>
    <t>제01절 서설</t>
    <phoneticPr fontId="2" type="noConversion"/>
  </si>
  <si>
    <t>제02절 민법의 법원</t>
  </si>
  <si>
    <t>제02절 민법의 법원</t>
    <phoneticPr fontId="2" type="noConversion"/>
  </si>
  <si>
    <t>제03절 민법의 기본원리</t>
  </si>
  <si>
    <t>제03절 민법의 기본원리</t>
    <phoneticPr fontId="2" type="noConversion"/>
  </si>
  <si>
    <t>제01장 민법 서론</t>
  </si>
  <si>
    <t>제01장 민법 서론</t>
    <phoneticPr fontId="2" type="noConversion"/>
  </si>
  <si>
    <t>제02장 권리 일반</t>
  </si>
  <si>
    <t>제02장 권리 일반</t>
    <phoneticPr fontId="2" type="noConversion"/>
  </si>
  <si>
    <t>제01절 법률관계의 권리・의무</t>
  </si>
  <si>
    <t>제01절 법률관계의 권리・의무</t>
    <phoneticPr fontId="2" type="noConversion"/>
  </si>
  <si>
    <t>제02절 신의성실의 원칙</t>
  </si>
  <si>
    <t>제02절 신의성실의 원칙</t>
    <phoneticPr fontId="2" type="noConversion"/>
  </si>
  <si>
    <t>제03장 권리의 주체</t>
  </si>
  <si>
    <t>제03장 권리의 주체</t>
    <phoneticPr fontId="2" type="noConversion"/>
  </si>
  <si>
    <t>제02절 자연인</t>
  </si>
  <si>
    <t>제02절 자연인</t>
    <phoneticPr fontId="2" type="noConversion"/>
  </si>
  <si>
    <t>제03절 법인</t>
  </si>
  <si>
    <t>제03절 법인</t>
    <phoneticPr fontId="2" type="noConversion"/>
  </si>
  <si>
    <t>제04장 권리의 객체</t>
  </si>
  <si>
    <t>제04장 권리의 객체</t>
    <phoneticPr fontId="2" type="noConversion"/>
  </si>
  <si>
    <t>제02절 물건</t>
  </si>
  <si>
    <t>제02절 물건</t>
    <phoneticPr fontId="2" type="noConversion"/>
  </si>
  <si>
    <t>제03절 동산과 부동산</t>
  </si>
  <si>
    <t>제03절 동산과 부동산</t>
    <phoneticPr fontId="2" type="noConversion"/>
  </si>
  <si>
    <t>제04절 주물과 종물</t>
  </si>
  <si>
    <t>제04절 주물과 종물</t>
    <phoneticPr fontId="2" type="noConversion"/>
  </si>
  <si>
    <t>제05절 원물과 과실</t>
  </si>
  <si>
    <t>제05절 원물과 과실</t>
    <phoneticPr fontId="2" type="noConversion"/>
  </si>
  <si>
    <t>제05장 권리의 변동</t>
  </si>
  <si>
    <t>제05장 권리의 변동</t>
    <phoneticPr fontId="2" type="noConversion"/>
  </si>
  <si>
    <t>제02절 법률행위</t>
  </si>
  <si>
    <t>제02절 법률행위</t>
    <phoneticPr fontId="2" type="noConversion"/>
  </si>
  <si>
    <t>제03절 의사표시</t>
  </si>
  <si>
    <t>제03절 의사표시</t>
    <phoneticPr fontId="2" type="noConversion"/>
  </si>
  <si>
    <t>제04절 법률행위의 대리</t>
  </si>
  <si>
    <t>제04절 법률행위의 대리</t>
    <phoneticPr fontId="2" type="noConversion"/>
  </si>
  <si>
    <t>제05절 법률행위의 무효와 취소</t>
  </si>
  <si>
    <t>제05절 법률행위의 무효와 취소</t>
    <phoneticPr fontId="2" type="noConversion"/>
  </si>
  <si>
    <t>제06절 법률행위의 부관</t>
  </si>
  <si>
    <t>제06절 법률행위의 부관</t>
    <phoneticPr fontId="2" type="noConversion"/>
  </si>
  <si>
    <t>제06장 기간</t>
  </si>
  <si>
    <t>제06장 기간</t>
    <phoneticPr fontId="2" type="noConversion"/>
  </si>
  <si>
    <t>제01절 기간의 의의</t>
  </si>
  <si>
    <t>제01절 기간의 의의</t>
    <phoneticPr fontId="2" type="noConversion"/>
  </si>
  <si>
    <t>제02절 기간의 계산방법</t>
  </si>
  <si>
    <t>제02절 기간의 계산방법</t>
    <phoneticPr fontId="2" type="noConversion"/>
  </si>
  <si>
    <t>제07장 소멸시효</t>
  </si>
  <si>
    <t>제07장 소멸시효</t>
    <phoneticPr fontId="2" type="noConversion"/>
  </si>
  <si>
    <t>제02절 소멸시효의 요건</t>
  </si>
  <si>
    <t>제02절 소멸시효의 요건</t>
    <phoneticPr fontId="2" type="noConversion"/>
  </si>
  <si>
    <t>제03절 소멸시효의 중단과 정지</t>
  </si>
  <si>
    <t>제03절 소멸시효의 중단과 정지</t>
    <phoneticPr fontId="2" type="noConversion"/>
  </si>
  <si>
    <t>제04절 소멸시효의 효과</t>
  </si>
  <si>
    <t>제04절 소멸시효의 효과</t>
    <phoneticPr fontId="2" type="noConversion"/>
  </si>
  <si>
    <t>제2편 채권총론</t>
  </si>
  <si>
    <t>제2편 채권총론</t>
    <phoneticPr fontId="2" type="noConversion"/>
  </si>
  <si>
    <t>제01장 채권법 서론</t>
  </si>
  <si>
    <t>제01장 채권법 서론</t>
    <phoneticPr fontId="2" type="noConversion"/>
  </si>
  <si>
    <t>제01절 채권법의 의의</t>
  </si>
  <si>
    <t>제01절 채권법의 의의</t>
    <phoneticPr fontId="2" type="noConversion"/>
  </si>
  <si>
    <t>제02절 채권의 목적(급부)</t>
  </si>
  <si>
    <t>제02절 채권의 목적(급부)</t>
    <phoneticPr fontId="2" type="noConversion"/>
  </si>
  <si>
    <t>제03절 채무의 내용(채무구조론)</t>
  </si>
  <si>
    <t>제03절 채무의 내용(채무구조론)</t>
    <phoneticPr fontId="2" type="noConversion"/>
  </si>
  <si>
    <t>제01절 특정물채권</t>
  </si>
  <si>
    <t>제01절 특정물채권</t>
    <phoneticPr fontId="2" type="noConversion"/>
  </si>
  <si>
    <t>제02절 종류채권</t>
  </si>
  <si>
    <t>제02절 종류채권</t>
    <phoneticPr fontId="2" type="noConversion"/>
  </si>
  <si>
    <t>제03절 금전채권</t>
  </si>
  <si>
    <t>제03절 금전채권</t>
    <phoneticPr fontId="2" type="noConversion"/>
  </si>
  <si>
    <t>제04절 이자채권</t>
  </si>
  <si>
    <t>제04절 이자채권</t>
    <phoneticPr fontId="2" type="noConversion"/>
  </si>
  <si>
    <t>제05절 선택채권</t>
  </si>
  <si>
    <t>제05절 선택채권</t>
    <phoneticPr fontId="2" type="noConversion"/>
  </si>
  <si>
    <t>제06절 임의채권</t>
  </si>
  <si>
    <t>제06절 임의채권</t>
    <phoneticPr fontId="2" type="noConversion"/>
  </si>
  <si>
    <t>제03장 채권의 효력</t>
  </si>
  <si>
    <t>제03장 채권의 효력</t>
    <phoneticPr fontId="2" type="noConversion"/>
  </si>
  <si>
    <t>제02장 채권의 목적</t>
  </si>
  <si>
    <t>제02장 채권의 목적</t>
    <phoneticPr fontId="2" type="noConversion"/>
  </si>
  <si>
    <t>제02절 채무불이행의 유형과 그 효과</t>
  </si>
  <si>
    <t>제02절 채무불이행의 유형과 그 효과</t>
    <phoneticPr fontId="2" type="noConversion"/>
  </si>
  <si>
    <t>제03절 채권의 대외적 효력(제3자 채권침해)</t>
  </si>
  <si>
    <t>제03절 채권의 대외적 효력(제3자 채권침해)</t>
    <phoneticPr fontId="2" type="noConversion"/>
  </si>
  <si>
    <t>제04절 책임재산의 보전</t>
  </si>
  <si>
    <t>제04절 책임재산의 보전</t>
    <phoneticPr fontId="2" type="noConversion"/>
  </si>
  <si>
    <t>제04장 다수당사자의 채권관계</t>
  </si>
  <si>
    <t>제04장 다수당사자의 채권관계</t>
    <phoneticPr fontId="2" type="noConversion"/>
  </si>
  <si>
    <t>제02절 분할채권관계</t>
  </si>
  <si>
    <t>제02절 분할채권관계</t>
    <phoneticPr fontId="2" type="noConversion"/>
  </si>
  <si>
    <t>제03절 불가분채권관계</t>
  </si>
  <si>
    <t>제03절 불가분채권관계</t>
    <phoneticPr fontId="2" type="noConversion"/>
  </si>
  <si>
    <t>제04절 연대채무</t>
  </si>
  <si>
    <t>제04절 연대채무</t>
    <phoneticPr fontId="2" type="noConversion"/>
  </si>
  <si>
    <t>제05절 보증채무</t>
  </si>
  <si>
    <t>제05절 보증채무</t>
    <phoneticPr fontId="2" type="noConversion"/>
  </si>
  <si>
    <t>제05장 채권양도와 채무인수</t>
  </si>
  <si>
    <t>제05장 채권양도와 채무인수</t>
    <phoneticPr fontId="2" type="noConversion"/>
  </si>
  <si>
    <t>제01절 채권의 양도</t>
  </si>
  <si>
    <t>제01절 채권의 양도</t>
    <phoneticPr fontId="2" type="noConversion"/>
  </si>
  <si>
    <t>제02절 채무의 인수</t>
  </si>
  <si>
    <t>제02절 채무의 인수</t>
    <phoneticPr fontId="2" type="noConversion"/>
  </si>
  <si>
    <t>제06장 채권의 소멸</t>
  </si>
  <si>
    <t>제06장 채권의 소멸</t>
    <phoneticPr fontId="2" type="noConversion"/>
  </si>
  <si>
    <t>제02절 변제</t>
  </si>
  <si>
    <t>제02절 변제</t>
    <phoneticPr fontId="2" type="noConversion"/>
  </si>
  <si>
    <t>제03절 대물변제</t>
  </si>
  <si>
    <t>제03절 대물변제</t>
    <phoneticPr fontId="2" type="noConversion"/>
  </si>
  <si>
    <t>제04절 공탁</t>
  </si>
  <si>
    <t>제04절 공탁</t>
    <phoneticPr fontId="2" type="noConversion"/>
  </si>
  <si>
    <t>제05절 상계</t>
  </si>
  <si>
    <t>제05절 상계</t>
    <phoneticPr fontId="2" type="noConversion"/>
  </si>
  <si>
    <t>제06절 기타 채권의 소멸원인</t>
  </si>
  <si>
    <t>제06절 기타 채권의 소멸원인</t>
    <phoneticPr fontId="2" type="noConversion"/>
  </si>
  <si>
    <t>제3편 채권각론</t>
  </si>
  <si>
    <t>제3편 채권각론</t>
    <phoneticPr fontId="2" type="noConversion"/>
  </si>
  <si>
    <t>제01장 계약총론</t>
  </si>
  <si>
    <t>제01장 계약총론</t>
    <phoneticPr fontId="2" type="noConversion"/>
  </si>
  <si>
    <t>제02절 계약의 성립</t>
  </si>
  <si>
    <t>제02절 계약의 성립</t>
    <phoneticPr fontId="2" type="noConversion"/>
  </si>
  <si>
    <t>제03절 계약의 효력</t>
  </si>
  <si>
    <t>제03절 계약의 효력</t>
    <phoneticPr fontId="2" type="noConversion"/>
  </si>
  <si>
    <t>제04절 계약의 해제와 해지</t>
  </si>
  <si>
    <t>제04절 계약의 해제와 해지</t>
    <phoneticPr fontId="2" type="noConversion"/>
  </si>
  <si>
    <t>제02장 계약각론</t>
  </si>
  <si>
    <t>제02장 계약각론</t>
    <phoneticPr fontId="2" type="noConversion"/>
  </si>
  <si>
    <t>제01절 증여</t>
  </si>
  <si>
    <t>제01절 증여</t>
    <phoneticPr fontId="2" type="noConversion"/>
  </si>
  <si>
    <t>제02절 매매</t>
  </si>
  <si>
    <t>제02절 매매</t>
    <phoneticPr fontId="2" type="noConversion"/>
  </si>
  <si>
    <t>제03절 교환</t>
  </si>
  <si>
    <t>제03절 교환</t>
    <phoneticPr fontId="2" type="noConversion"/>
  </si>
  <si>
    <t>제04절 소비대차</t>
  </si>
  <si>
    <t>제04절 소비대차</t>
    <phoneticPr fontId="2" type="noConversion"/>
  </si>
  <si>
    <t>제05절 사용대차</t>
  </si>
  <si>
    <t>제05절 사용대차</t>
    <phoneticPr fontId="2" type="noConversion"/>
  </si>
  <si>
    <t>제06절 임대차</t>
  </si>
  <si>
    <t>제06절 임대차</t>
    <phoneticPr fontId="2" type="noConversion"/>
  </si>
  <si>
    <t>제07절 고용</t>
  </si>
  <si>
    <t>제07절 고용</t>
    <phoneticPr fontId="2" type="noConversion"/>
  </si>
  <si>
    <t>제08절 도급</t>
  </si>
  <si>
    <t>제08절 도급</t>
    <phoneticPr fontId="2" type="noConversion"/>
  </si>
  <si>
    <t>제08절의2 여행계약</t>
  </si>
  <si>
    <t>제08절의2 여행계약</t>
    <phoneticPr fontId="2" type="noConversion"/>
  </si>
  <si>
    <t>제09절 현상광고</t>
  </si>
  <si>
    <t>제09절 현상광고</t>
    <phoneticPr fontId="2" type="noConversion"/>
  </si>
  <si>
    <t>제10절 위임</t>
  </si>
  <si>
    <t>제10절 위임</t>
    <phoneticPr fontId="2" type="noConversion"/>
  </si>
  <si>
    <t>제11절 임치</t>
  </si>
  <si>
    <t>제11절 임치</t>
    <phoneticPr fontId="2" type="noConversion"/>
  </si>
  <si>
    <t>제12절 조합</t>
  </si>
  <si>
    <t>제12절 조합</t>
    <phoneticPr fontId="2" type="noConversion"/>
  </si>
  <si>
    <t>제13절 종신정기금</t>
  </si>
  <si>
    <t>제13절 종신정기금</t>
    <phoneticPr fontId="2" type="noConversion"/>
  </si>
  <si>
    <t>제14절 화해</t>
  </si>
  <si>
    <t>제14절 화해</t>
    <phoneticPr fontId="2" type="noConversion"/>
  </si>
  <si>
    <t>제03장 법정채권</t>
  </si>
  <si>
    <t>제03장 법정채권</t>
    <phoneticPr fontId="2" type="noConversion"/>
  </si>
  <si>
    <t>제01절 사무관리</t>
  </si>
  <si>
    <t>제01절 사무관리</t>
    <phoneticPr fontId="2" type="noConversion"/>
  </si>
  <si>
    <t>제02절 부당이득</t>
  </si>
  <si>
    <t>제02절 부당이득</t>
    <phoneticPr fontId="2" type="noConversion"/>
  </si>
  <si>
    <t>제03절 불법행위</t>
  </si>
  <si>
    <t>제03절 불법행위</t>
    <phoneticPr fontId="2" type="noConversion"/>
  </si>
  <si>
    <t>열기1-03.민법\01.본문\제1편 민법총칙.제01장 민법 서론.제02절 민법의 법원.txt</t>
  </si>
  <si>
    <t>열기1-03.민법\01.본문\제1편 민법총칙.제01장 민법 서론.제03절 민법의 기본원리.txt</t>
  </si>
  <si>
    <t>열기1-03.민법\01.본문\제1편 민법총칙.제02장 권리 일반.제01절 법률관계의 권리・의무.txt</t>
  </si>
  <si>
    <t>열기1-03.민법\01.본문\제1편 민법총칙.제02장 권리 일반.제02절 신의성실의 원칙.txt</t>
  </si>
  <si>
    <t>열기1-03.민법\01.본문\제1편 민법총칙.제03장 권리의 주체.제02절 자연인.txt</t>
  </si>
  <si>
    <t>열기1-03.민법\01.본문\제1편 민법총칙.제03장 권리의 주체.제03절 법인.txt</t>
  </si>
  <si>
    <t>열기1-03.민법\01.본문\제1편 민법총칙.제04장 권리의 객체.제02절 물건.txt</t>
  </si>
  <si>
    <t>열기1-03.민법\01.본문\제1편 민법총칙.제04장 권리의 객체.제03절 동산과 부동산.txt</t>
  </si>
  <si>
    <t>열기1-03.민법\01.본문\제1편 민법총칙.제04장 권리의 객체.제04절 주물과 종물.txt</t>
  </si>
  <si>
    <t>열기1-03.민법\01.본문\제1편 민법총칙.제04장 권리의 객체.제05절 원물과 과실.txt</t>
  </si>
  <si>
    <t>열기1-03.민법\01.본문\제1편 민법총칙.제05장 권리의 변동.제02절 법률행위.txt</t>
  </si>
  <si>
    <t>열기1-03.민법\01.본문\제1편 민법총칙.제05장 권리의 변동.제03절 의사표시.txt</t>
  </si>
  <si>
    <t>열기1-03.민법\01.본문\제1편 민법총칙.제05장 권리의 변동.제04절 법률행위의 대리.txt</t>
  </si>
  <si>
    <t>열기1-03.민법\01.본문\제1편 민법총칙.제05장 권리의 변동.제05절 법률행위의 무효와 취소.txt</t>
  </si>
  <si>
    <t>열기1-03.민법\01.본문\제1편 민법총칙.제05장 권리의 변동.제06절 법률행위의 부관.txt</t>
  </si>
  <si>
    <t>열기1-03.민법\01.본문\제1편 민법총칙.제06장 기간.제01절 기간의 의의.txt</t>
  </si>
  <si>
    <t>열기1-03.민법\01.본문\제1편 민법총칙.제06장 기간.제02절 기간의 계산방법.txt</t>
  </si>
  <si>
    <t>열기1-03.민법\01.본문\제1편 민법총칙.제07장 소멸시효.제02절 소멸시효의 요건.txt</t>
  </si>
  <si>
    <t>열기1-03.민법\01.본문\제1편 민법총칙.제07장 소멸시효.제03절 소멸시효의 중단과 정지.txt</t>
  </si>
  <si>
    <t>열기1-03.민법\01.본문\제1편 민법총칙.제07장 소멸시효.제04절 소멸시효의 효과.txt</t>
  </si>
  <si>
    <t>열기1-03.민법\01.본문\제2편 채권총론.제01장 채권법 서론.제01절 채권법의 의의.txt</t>
  </si>
  <si>
    <t>열기1-03.민법\01.본문\제2편 채권총론.제01장 채권법 서론.제02절 채권의 목적(급부).txt</t>
  </si>
  <si>
    <t>열기1-03.민법\01.본문\제2편 채권총론.제01장 채권법 서론.제03절 채무의 내용(채무구조론).txt</t>
  </si>
  <si>
    <t>열기1-03.민법\01.본문\제2편 채권총론.제02장 채권의 목적.제01절 특정물채권.txt</t>
  </si>
  <si>
    <t>열기1-03.민법\01.본문\제2편 채권총론.제02장 채권의 목적.제02절 종류채권.txt</t>
  </si>
  <si>
    <t>열기1-03.민법\01.본문\제2편 채권총론.제02장 채권의 목적.제03절 금전채권.txt</t>
  </si>
  <si>
    <t>열기1-03.민법\01.본문\제2편 채권총론.제02장 채권의 목적.제04절 이자채권.txt</t>
  </si>
  <si>
    <t>열기1-03.민법\01.본문\제2편 채권총론.제02장 채권의 목적.제05절 선택채권.txt</t>
  </si>
  <si>
    <t>열기1-03.민법\01.본문\제2편 채권총론.제02장 채권의 목적.제06절 임의채권.txt</t>
  </si>
  <si>
    <t>열기1-03.민법\01.본문\제2편 채권총론.제03장 채권의 효력.제02절 채무불이행의 유형과 그 효과.txt</t>
  </si>
  <si>
    <t>열기1-03.민법\01.본문\제2편 채권총론.제03장 채권의 효력.제03절 채권의 대외적 효력(제3자 채권침해).txt</t>
  </si>
  <si>
    <t>열기1-03.민법\01.본문\제2편 채권총론.제03장 채권의 효력.제04절 책임재산의 보전.txt</t>
  </si>
  <si>
    <t>열기1-03.민법\01.본문\제2편 채권총론.제04장 다수당사자의 채권관계.제02절 분할채권관계.txt</t>
  </si>
  <si>
    <t>열기1-03.민법\01.본문\제2편 채권총론.제04장 다수당사자의 채권관계.제03절 불가분채권관계.txt</t>
  </si>
  <si>
    <t>열기1-03.민법\01.본문\제2편 채권총론.제04장 다수당사자의 채권관계.제04절 연대채무.txt</t>
  </si>
  <si>
    <t>열기1-03.민법\01.본문\제2편 채권총론.제04장 다수당사자의 채권관계.제05절 보증채무.txt</t>
  </si>
  <si>
    <t>열기1-03.민법\01.본문\제2편 채권총론.제05장 채권양도와 채무인수.제01절 채권의 양도.txt</t>
  </si>
  <si>
    <t>열기1-03.민법\01.본문\제2편 채권총론.제05장 채권양도와 채무인수.제02절 채무의 인수.txt</t>
  </si>
  <si>
    <t>열기1-03.민법\01.본문\제2편 채권총론.제06장 채권의 소멸.제02절 변제.txt</t>
  </si>
  <si>
    <t>열기1-03.민법\01.본문\제2편 채권총론.제06장 채권의 소멸.제03절 대물변제.txt</t>
  </si>
  <si>
    <t>열기1-03.민법\01.본문\제2편 채권총론.제06장 채권의 소멸.제04절 공탁.txt</t>
  </si>
  <si>
    <t>열기1-03.민법\01.본문\제2편 채권총론.제06장 채권의 소멸.제05절 상계.txt</t>
  </si>
  <si>
    <t>열기1-03.민법\01.본문\제2편 채권총론.제06장 채권의 소멸.제06절 기타 채권의 소멸원인.txt</t>
  </si>
  <si>
    <t>열기1-03.민법\01.본문\제3편 채권각론.제01장 계약총론.제02절 계약의 성립.txt</t>
  </si>
  <si>
    <t>열기1-03.민법\01.본문\제3편 채권각론.제01장 계약총론.제03절 계약의 효력.txt</t>
  </si>
  <si>
    <t>열기1-03.민법\01.본문\제3편 채권각론.제01장 계약총론.제04절 계약의 해제와 해지.txt</t>
  </si>
  <si>
    <t>열기1-03.민법\01.본문\제3편 채권각론.제02장 계약각론.제01절 증여.txt</t>
  </si>
  <si>
    <t>열기1-03.민법\01.본문\제3편 채권각론.제02장 계약각론.제02절 매매.txt</t>
  </si>
  <si>
    <t>열기1-03.민법\01.본문\제3편 채권각론.제02장 계약각론.제03절 교환.txt</t>
  </si>
  <si>
    <t>열기1-03.민법\01.본문\제3편 채권각론.제02장 계약각론.제04절 소비대차.txt</t>
  </si>
  <si>
    <t>열기1-03.민법\01.본문\제3편 채권각론.제02장 계약각론.제05절 사용대차.txt</t>
  </si>
  <si>
    <t>열기1-03.민법\01.본문\제3편 채권각론.제02장 계약각론.제06절 임대차.txt</t>
  </si>
  <si>
    <t>열기1-03.민법\01.본문\제3편 채권각론.제02장 계약각론.제07절 고용.txt</t>
  </si>
  <si>
    <t>열기1-03.민법\01.본문\제3편 채권각론.제02장 계약각론.제08절 도급.txt</t>
  </si>
  <si>
    <t>열기1-03.민법\01.본문\제3편 채권각론.제02장 계약각론.제08절의2 여행계약.txt</t>
  </si>
  <si>
    <t>열기1-03.민법\01.본문\제3편 채권각론.제02장 계약각론.제09절 현상광고.txt</t>
  </si>
  <si>
    <t>열기1-03.민법\01.본문\제3편 채권각론.제02장 계약각론.제10절 위임.txt</t>
  </si>
  <si>
    <t>열기1-03.민법\01.본문\제3편 채권각론.제02장 계약각론.제11절 임치.txt</t>
  </si>
  <si>
    <t>열기1-03.민법\01.본문\제3편 채권각론.제02장 계약각론.제12절 조합.txt</t>
  </si>
  <si>
    <t>열기1-03.민법\01.본문\제3편 채권각론.제02장 계약각론.제13절 종신정기금.txt</t>
  </si>
  <si>
    <t>열기1-03.민법\01.본문\제3편 채권각론.제02장 계약각론.제14절 화해.txt</t>
  </si>
  <si>
    <t>열기1-03.민법\01.본문\제3편 채권각론.제03장 법정채권.제01절 사무관리.txt</t>
  </si>
  <si>
    <t>열기1-03.민법\01.본문\제3편 채권각론.제03장 법정채권.제02절 부당이득.txt</t>
  </si>
  <si>
    <t>열기1-03.민법\01.본문\제3편 채권각론.제03장 법정채권.제03절 불법행위.txt</t>
  </si>
  <si>
    <t>민법 총칙-민법 서론</t>
    <phoneticPr fontId="2" type="noConversion"/>
  </si>
  <si>
    <t>민법 총칙-권리 일반</t>
    <phoneticPr fontId="2" type="noConversion"/>
  </si>
  <si>
    <t>민법 총칙-권리의 주체</t>
  </si>
  <si>
    <t>민법 총칙-권리의 주체</t>
    <phoneticPr fontId="2" type="noConversion"/>
  </si>
  <si>
    <t>민법 총칙-권리의 객체</t>
  </si>
  <si>
    <t>민법 총칙-권리의 변동</t>
  </si>
  <si>
    <t>민법 총칙-기간</t>
  </si>
  <si>
    <t>민법 총칙-소멸시효</t>
  </si>
  <si>
    <t>채권 총론-채권법 서론</t>
  </si>
  <si>
    <t>채권 총론-채권의 목적</t>
  </si>
  <si>
    <t>채권 총론-채권의 효력</t>
  </si>
  <si>
    <t>채권 총론-다수당사자의 채권관계</t>
  </si>
  <si>
    <t>채권 총론-채권양도와 채무인수</t>
  </si>
  <si>
    <t>채권 총론-채권의 소멸</t>
  </si>
  <si>
    <t>채권 각론-계약총론</t>
  </si>
  <si>
    <t>채권 각론-계약각론</t>
  </si>
  <si>
    <t>채권 각론-법정채권</t>
  </si>
  <si>
    <t>자연인</t>
  </si>
  <si>
    <t>법인</t>
  </si>
  <si>
    <t>물건</t>
  </si>
  <si>
    <t>법률행위</t>
  </si>
  <si>
    <t>의사표시</t>
  </si>
  <si>
    <t>특정물채권</t>
  </si>
  <si>
    <t>종류채권</t>
  </si>
  <si>
    <t>금전채권</t>
  </si>
  <si>
    <t>이자채권</t>
  </si>
  <si>
    <t>선택채권</t>
  </si>
  <si>
    <t>임의채권</t>
  </si>
  <si>
    <t>분할채권관계</t>
  </si>
  <si>
    <t>불가분채권관계</t>
  </si>
  <si>
    <t>민법의 법원</t>
    <phoneticPr fontId="2" type="noConversion"/>
  </si>
  <si>
    <t>민법의 기본원리</t>
    <phoneticPr fontId="2" type="noConversion"/>
  </si>
  <si>
    <t>법률관계의 권리・의무</t>
  </si>
  <si>
    <t>신의성실의 원칙</t>
  </si>
  <si>
    <t>동산과 부동산</t>
  </si>
  <si>
    <t>주물과 종물</t>
  </si>
  <si>
    <t>원물과 과실</t>
  </si>
  <si>
    <t>법률행위의 대리</t>
  </si>
  <si>
    <t>법률행위의 무효와 취소</t>
  </si>
  <si>
    <t>법률행위의 부관</t>
  </si>
  <si>
    <t>기간의 의의</t>
  </si>
  <si>
    <t>기간의 계산방법</t>
  </si>
  <si>
    <t>소멸시효의 요건</t>
  </si>
  <si>
    <t>소멸시효의 중단과 정지</t>
  </si>
  <si>
    <t>소멸시효의 효과</t>
  </si>
  <si>
    <t>채권법의 의의</t>
  </si>
  <si>
    <t>채권의 목적(급부)</t>
  </si>
  <si>
    <t>채무의 내용(채무구조론)</t>
  </si>
  <si>
    <t>채무불이행의 유형과 그 효과</t>
  </si>
  <si>
    <t>채권의 대외적 효력(제3자 채권침해)</t>
  </si>
  <si>
    <t>책임재산의 보전</t>
  </si>
  <si>
    <t>연대채무</t>
  </si>
  <si>
    <t>보증채무</t>
  </si>
  <si>
    <t>채권의 양도</t>
  </si>
  <si>
    <t>채무의 인수</t>
  </si>
  <si>
    <t>기타 채권의 소멸원인</t>
  </si>
  <si>
    <t>계약의 성립</t>
  </si>
  <si>
    <t>계약의 효력</t>
  </si>
  <si>
    <t>계약의 해제와 해지</t>
  </si>
  <si>
    <t>증여</t>
  </si>
  <si>
    <t>매매</t>
  </si>
  <si>
    <t>교환</t>
  </si>
  <si>
    <t>소비대차</t>
  </si>
  <si>
    <t>사용대차</t>
  </si>
  <si>
    <t>임대차</t>
  </si>
  <si>
    <t>고용</t>
  </si>
  <si>
    <t>도급</t>
  </si>
  <si>
    <t>여행계약</t>
  </si>
  <si>
    <t>현상광고</t>
  </si>
  <si>
    <t>위임</t>
  </si>
  <si>
    <t>임치</t>
  </si>
  <si>
    <t>조합</t>
  </si>
  <si>
    <t>종신정기금</t>
  </si>
  <si>
    <t>화해</t>
  </si>
  <si>
    <t>사무관리</t>
  </si>
  <si>
    <t>부당이득</t>
  </si>
  <si>
    <t>불법행위</t>
  </si>
  <si>
    <t>Ⅴ</t>
  </si>
  <si>
    <t>2024-001-0</t>
  </si>
  <si>
    <t>2024-001-1</t>
  </si>
  <si>
    <t>2024-001-2</t>
  </si>
  <si>
    <t>2024-001-3</t>
  </si>
  <si>
    <t>2024-001-4</t>
  </si>
  <si>
    <t>2024-001-5</t>
  </si>
  <si>
    <t>2024-002-0</t>
  </si>
  <si>
    <t>2024-002-1</t>
  </si>
  <si>
    <t>2024-002-2</t>
  </si>
  <si>
    <t>2024-002-3</t>
  </si>
  <si>
    <t>2024-002-4</t>
  </si>
  <si>
    <t>2024-002-5</t>
  </si>
  <si>
    <t>2024-003-0</t>
  </si>
  <si>
    <t>2024-003-1</t>
  </si>
  <si>
    <t>2024-003-2</t>
  </si>
  <si>
    <t>2024-003-3</t>
  </si>
  <si>
    <t>2024-003-4</t>
  </si>
  <si>
    <t>2024-003-5</t>
  </si>
  <si>
    <t>2024-004-0</t>
  </si>
  <si>
    <t>2024-004-1</t>
  </si>
  <si>
    <t>2024-004-2</t>
  </si>
  <si>
    <t>2024-004-3</t>
  </si>
  <si>
    <t>2024-004-4</t>
  </si>
  <si>
    <t>2024-004-5</t>
  </si>
  <si>
    <t>2024-005-0</t>
  </si>
  <si>
    <t>2024-005-1</t>
  </si>
  <si>
    <t>2024-005-2</t>
  </si>
  <si>
    <t>2024-005-3</t>
  </si>
  <si>
    <t>2024-005-4</t>
  </si>
  <si>
    <t>2024-005-5</t>
  </si>
  <si>
    <t>2024-006-0</t>
  </si>
  <si>
    <t>2024-006-1</t>
  </si>
  <si>
    <t>2024-006-2</t>
  </si>
  <si>
    <t>2024-006-3</t>
  </si>
  <si>
    <t>2024-006-4</t>
  </si>
  <si>
    <t>2024-006-5</t>
  </si>
  <si>
    <t>2024-007-0</t>
  </si>
  <si>
    <t>2024-007-1</t>
  </si>
  <si>
    <t>2024-007-2</t>
  </si>
  <si>
    <t>2024-007-3</t>
  </si>
  <si>
    <t>2024-007-4</t>
  </si>
  <si>
    <t>2024-007-5</t>
  </si>
  <si>
    <t>2024-008-0</t>
  </si>
  <si>
    <t>2024-008-1</t>
  </si>
  <si>
    <t>2024-008-2</t>
  </si>
  <si>
    <t>2024-008-3</t>
  </si>
  <si>
    <t>2024-008-4</t>
  </si>
  <si>
    <t>2024-008-5</t>
  </si>
  <si>
    <t>2024-009-0</t>
  </si>
  <si>
    <t>2024-009-1</t>
  </si>
  <si>
    <t>2024-009-2</t>
  </si>
  <si>
    <t>2024-009-3</t>
  </si>
  <si>
    <t>2024-009-4</t>
  </si>
  <si>
    <t>2024-009-5</t>
  </si>
  <si>
    <t>2024-010-0</t>
  </si>
  <si>
    <t>2024-010-1</t>
  </si>
  <si>
    <t>2024-010-2</t>
  </si>
  <si>
    <t>2024-010-3</t>
  </si>
  <si>
    <t>2024-010-4</t>
  </si>
  <si>
    <t>2024-010-5</t>
  </si>
  <si>
    <t>2024-011-0</t>
  </si>
  <si>
    <t>2024-011-1</t>
  </si>
  <si>
    <t>2024-011-2</t>
  </si>
  <si>
    <t>2024-011-3</t>
  </si>
  <si>
    <t>2024-011-4</t>
  </si>
  <si>
    <t>2024-011-5</t>
  </si>
  <si>
    <t>2024-012-0</t>
  </si>
  <si>
    <t>2024-012-1</t>
  </si>
  <si>
    <t>2024-012-2</t>
  </si>
  <si>
    <t>2024-012-3</t>
  </si>
  <si>
    <t>2024-012-4</t>
  </si>
  <si>
    <t>2024-012-5</t>
  </si>
  <si>
    <t>2024-013-0</t>
  </si>
  <si>
    <t>2024-013-1</t>
  </si>
  <si>
    <t>2024-013-2</t>
  </si>
  <si>
    <t>2024-013-3</t>
  </si>
  <si>
    <t>2024-013-4</t>
  </si>
  <si>
    <t>2024-013-5</t>
  </si>
  <si>
    <t>2024-014-0</t>
  </si>
  <si>
    <t>2024-014-1</t>
  </si>
  <si>
    <t>2024-014-2</t>
  </si>
  <si>
    <t>2024-014-3</t>
  </si>
  <si>
    <t>2024-014-4</t>
  </si>
  <si>
    <t>2024-014-5</t>
  </si>
  <si>
    <t>2024-015-0</t>
  </si>
  <si>
    <t>2024-015-1</t>
  </si>
  <si>
    <t>2024-015-2</t>
  </si>
  <si>
    <t>2024-015-3</t>
  </si>
  <si>
    <t>2024-015-4</t>
  </si>
  <si>
    <t>2024-015-5</t>
  </si>
  <si>
    <t>2024-016-0</t>
  </si>
  <si>
    <t>2024-016-1</t>
  </si>
  <si>
    <t>2024-016-2</t>
  </si>
  <si>
    <t>2024-016-3</t>
  </si>
  <si>
    <t>2024-016-4</t>
  </si>
  <si>
    <t>2024-016-5</t>
  </si>
  <si>
    <t>2024-017-0</t>
  </si>
  <si>
    <t>2024-017-1</t>
  </si>
  <si>
    <t>2024-017-2</t>
  </si>
  <si>
    <t>2024-017-3</t>
  </si>
  <si>
    <t>2024-017-4</t>
  </si>
  <si>
    <t>2024-017-5</t>
  </si>
  <si>
    <t>2024-018-0</t>
  </si>
  <si>
    <t>2024-018-1</t>
  </si>
  <si>
    <t>2024-018-2</t>
  </si>
  <si>
    <t>2024-018-3</t>
  </si>
  <si>
    <t>2024-018-4</t>
  </si>
  <si>
    <t>2024-018-5</t>
  </si>
  <si>
    <t>2024-019-0</t>
  </si>
  <si>
    <t>2024-019-1</t>
  </si>
  <si>
    <t>2024-019-2</t>
  </si>
  <si>
    <t>2024-019-3</t>
  </si>
  <si>
    <t>2024-019-4</t>
  </si>
  <si>
    <t>2024-019-5</t>
  </si>
  <si>
    <t>2024-020-0</t>
  </si>
  <si>
    <t>2024-020-1</t>
  </si>
  <si>
    <t>2024-020-2</t>
  </si>
  <si>
    <t>2024-020-3</t>
  </si>
  <si>
    <t>2024-020-4</t>
  </si>
  <si>
    <t>2024-020-5</t>
  </si>
  <si>
    <t>2024-021-0</t>
  </si>
  <si>
    <t>2024-021-1</t>
  </si>
  <si>
    <t>2024-021-2</t>
  </si>
  <si>
    <t>2024-021-3</t>
  </si>
  <si>
    <t>2024-021-4</t>
  </si>
  <si>
    <t>2024-021-5</t>
  </si>
  <si>
    <t>2024-022-0</t>
  </si>
  <si>
    <t>2024-022-1</t>
  </si>
  <si>
    <t>2024-022-2</t>
  </si>
  <si>
    <t>2024-022-3</t>
  </si>
  <si>
    <t>2024-022-4</t>
  </si>
  <si>
    <t>2024-022-5</t>
  </si>
  <si>
    <t>2024-023-0</t>
  </si>
  <si>
    <t>2024-023-1</t>
  </si>
  <si>
    <t>2024-023-2</t>
  </si>
  <si>
    <t>2024-023-3</t>
  </si>
  <si>
    <t>2024-023-4</t>
  </si>
  <si>
    <t>2024-023-5</t>
  </si>
  <si>
    <t>2024-024-0</t>
  </si>
  <si>
    <t>2024-024-1</t>
  </si>
  <si>
    <t>2024-024-2</t>
  </si>
  <si>
    <t>2024-024-3</t>
  </si>
  <si>
    <t>2024-024-4</t>
  </si>
  <si>
    <t>2024-024-5</t>
  </si>
  <si>
    <t>2024-025-0</t>
  </si>
  <si>
    <t>2024-025-1</t>
  </si>
  <si>
    <t>2024-025-2</t>
  </si>
  <si>
    <t>2024-025-3</t>
  </si>
  <si>
    <t>2024-025-4</t>
  </si>
  <si>
    <t>2024-025-5</t>
  </si>
  <si>
    <t>2024-026-0</t>
  </si>
  <si>
    <t>2024-026-1</t>
  </si>
  <si>
    <t>2024-026-2</t>
  </si>
  <si>
    <t>2024-026-3</t>
  </si>
  <si>
    <t>2024-026-4</t>
  </si>
  <si>
    <t>2024-026-5</t>
  </si>
  <si>
    <t>2024-027-0</t>
  </si>
  <si>
    <t>2024-027-1</t>
  </si>
  <si>
    <t>2024-027-2</t>
  </si>
  <si>
    <t>2024-027-3</t>
  </si>
  <si>
    <t>2024-027-4</t>
  </si>
  <si>
    <t>2024-027-5</t>
  </si>
  <si>
    <t>2024-028-0</t>
  </si>
  <si>
    <t>2024-028-1</t>
  </si>
  <si>
    <t>2024-028-2</t>
  </si>
  <si>
    <t>2024-028-3</t>
  </si>
  <si>
    <t>2024-028-4</t>
  </si>
  <si>
    <t>2024-028-5</t>
  </si>
  <si>
    <t>2024-029-0</t>
  </si>
  <si>
    <t>2024-029-1</t>
  </si>
  <si>
    <t>2024-029-2</t>
  </si>
  <si>
    <t>2024-029-3</t>
  </si>
  <si>
    <t>2024-029-4</t>
  </si>
  <si>
    <t>2024-029-5</t>
  </si>
  <si>
    <t>2024-030-0</t>
  </si>
  <si>
    <t>2024-030-1</t>
  </si>
  <si>
    <t>2024-030-2</t>
  </si>
  <si>
    <t>2024-030-3</t>
  </si>
  <si>
    <t>2024-030-4</t>
  </si>
  <si>
    <t>2024-030-5</t>
  </si>
  <si>
    <t>2024-031-0</t>
  </si>
  <si>
    <t>2024-031-1</t>
  </si>
  <si>
    <t>2024-031-2</t>
  </si>
  <si>
    <t>2024-031-3</t>
  </si>
  <si>
    <t>2024-031-4</t>
  </si>
  <si>
    <t>2024-031-5</t>
  </si>
  <si>
    <t>2024-032-0</t>
  </si>
  <si>
    <t>2024-032-1</t>
  </si>
  <si>
    <t>2024-032-2</t>
  </si>
  <si>
    <t>2024-032-3</t>
  </si>
  <si>
    <t>2024-032-4</t>
  </si>
  <si>
    <t>2024-032-5</t>
  </si>
  <si>
    <t>2024-033-0</t>
  </si>
  <si>
    <t>2024-033-1</t>
  </si>
  <si>
    <t>2024-033-2</t>
  </si>
  <si>
    <t>2024-033-3</t>
  </si>
  <si>
    <t>2024-033-4</t>
  </si>
  <si>
    <t>2024-033-5</t>
  </si>
  <si>
    <t>2024-034-0</t>
  </si>
  <si>
    <t>2024-034-1</t>
  </si>
  <si>
    <t>2024-034-2</t>
  </si>
  <si>
    <t>2024-034-3</t>
  </si>
  <si>
    <t>2024-034-4</t>
  </si>
  <si>
    <t>2024-034-5</t>
  </si>
  <si>
    <t>2024-035-0</t>
  </si>
  <si>
    <t>2024-035-1</t>
  </si>
  <si>
    <t>2024-035-2</t>
  </si>
  <si>
    <t>2024-035-3</t>
  </si>
  <si>
    <t>2024-035-4</t>
  </si>
  <si>
    <t>2024-035-5</t>
  </si>
  <si>
    <t>2024-036-0</t>
  </si>
  <si>
    <t>2024-036-1</t>
  </si>
  <si>
    <t>2024-036-2</t>
  </si>
  <si>
    <t>2024-036-3</t>
  </si>
  <si>
    <t>2024-036-4</t>
  </si>
  <si>
    <t>2024-036-5</t>
  </si>
  <si>
    <t>2024-037-0</t>
  </si>
  <si>
    <t>2024-037-1</t>
  </si>
  <si>
    <t>2024-037-2</t>
  </si>
  <si>
    <t>2024-037-3</t>
  </si>
  <si>
    <t>2024-037-4</t>
  </si>
  <si>
    <t>2024-037-5</t>
  </si>
  <si>
    <t>2024-038-0</t>
  </si>
  <si>
    <t>2024-038-1</t>
  </si>
  <si>
    <t>2024-038-2</t>
  </si>
  <si>
    <t>2024-038-3</t>
  </si>
  <si>
    <t>2024-038-4</t>
  </si>
  <si>
    <t>2024-038-5</t>
  </si>
  <si>
    <t>2024-039-0</t>
  </si>
  <si>
    <t>2024-039-1</t>
  </si>
  <si>
    <t>2024-039-2</t>
  </si>
  <si>
    <t>2024-039-3</t>
  </si>
  <si>
    <t>2024-039-4</t>
  </si>
  <si>
    <t>2024-039-5</t>
  </si>
  <si>
    <t>2024-040-0</t>
  </si>
  <si>
    <t>2024-040-1</t>
  </si>
  <si>
    <t>2024-040-2</t>
  </si>
  <si>
    <t>2024-040-3</t>
  </si>
  <si>
    <t>2024-040-4</t>
  </si>
  <si>
    <t>2024-040-5</t>
  </si>
  <si>
    <t>제01절 권리주체 서설</t>
    <phoneticPr fontId="2" type="noConversion"/>
  </si>
  <si>
    <t>제01절 권리주체 서설</t>
    <phoneticPr fontId="2" type="noConversion"/>
  </si>
  <si>
    <t>권리주체 서설</t>
    <phoneticPr fontId="2" type="noConversion"/>
  </si>
  <si>
    <t>제01절 권리변동 서설</t>
    <phoneticPr fontId="2" type="noConversion"/>
  </si>
  <si>
    <t>제01절 권리변동 서설</t>
    <phoneticPr fontId="2" type="noConversion"/>
  </si>
  <si>
    <t>권리변동 서설</t>
    <phoneticPr fontId="2" type="noConversion"/>
  </si>
  <si>
    <t>제01절 소멸시효 서설</t>
    <phoneticPr fontId="2" type="noConversion"/>
  </si>
  <si>
    <t>제01절 소멸시효 서설</t>
    <phoneticPr fontId="2" type="noConversion"/>
  </si>
  <si>
    <t>소멸시효 서설</t>
    <phoneticPr fontId="2" type="noConversion"/>
  </si>
  <si>
    <t>제01절 채권효력 서설</t>
    <phoneticPr fontId="2" type="noConversion"/>
  </si>
  <si>
    <t>제01절 채권효력 서설</t>
    <phoneticPr fontId="2" type="noConversion"/>
  </si>
  <si>
    <t>채권효력 서설</t>
    <phoneticPr fontId="2" type="noConversion"/>
  </si>
  <si>
    <t>제01절 다수당사자 채권관계 서설</t>
    <phoneticPr fontId="2" type="noConversion"/>
  </si>
  <si>
    <t>제01절 다수당사자 채권관계 서설</t>
    <phoneticPr fontId="2" type="noConversion"/>
  </si>
  <si>
    <t>다수당사자 채권관계 서설</t>
    <phoneticPr fontId="2" type="noConversion"/>
  </si>
  <si>
    <t>제01절 채권소멸 서설</t>
    <phoneticPr fontId="2" type="noConversion"/>
  </si>
  <si>
    <t>제01절 채권소멸 서설</t>
    <phoneticPr fontId="2" type="noConversion"/>
  </si>
  <si>
    <t>채권소멸 서설</t>
    <phoneticPr fontId="2" type="noConversion"/>
  </si>
  <si>
    <t>제01절 계약총론 서설</t>
    <phoneticPr fontId="2" type="noConversion"/>
  </si>
  <si>
    <t>제01절 계약총론 서설</t>
    <phoneticPr fontId="2" type="noConversion"/>
  </si>
  <si>
    <t>계약총론 서설</t>
    <phoneticPr fontId="2" type="noConversion"/>
  </si>
  <si>
    <t>제00절 계약각론 서설</t>
    <phoneticPr fontId="2" type="noConversion"/>
  </si>
  <si>
    <t>제00절 계약각론 서설</t>
    <phoneticPr fontId="2" type="noConversion"/>
  </si>
  <si>
    <t>계약각론 서설</t>
    <phoneticPr fontId="2" type="noConversion"/>
  </si>
  <si>
    <t>제01절 권리객체 서설</t>
    <phoneticPr fontId="2" type="noConversion"/>
  </si>
  <si>
    <t>제01절 권리객체 서설</t>
    <phoneticPr fontId="2" type="noConversion"/>
  </si>
  <si>
    <t>권리객체 서설</t>
    <phoneticPr fontId="2" type="noConversion"/>
  </si>
  <si>
    <t>민법 서론 서설</t>
    <phoneticPr fontId="2" type="noConversion"/>
  </si>
  <si>
    <t>열기1-03.민법\01.본문\제1편 민법총칙.제01장 민법 서론.제01절 민법 서론 서설.txt</t>
    <phoneticPr fontId="2" type="noConversion"/>
  </si>
  <si>
    <t>열기1-03.민법\01.본문\제1편 민법총칙.제03장 권리의 주체.제01절 권리주체 서설.txt</t>
    <phoneticPr fontId="2" type="noConversion"/>
  </si>
  <si>
    <t>열기1-03.민법\01.본문\제1편 민법총칙.제04장 권리의 객체.제01절 권리객체 서설.txt</t>
    <phoneticPr fontId="2" type="noConversion"/>
  </si>
  <si>
    <t>열기1-03.민법\01.본문\제1편 민법총칙.제05장 권리의 변동.제01절 권리변동 서설.txt</t>
    <phoneticPr fontId="2" type="noConversion"/>
  </si>
  <si>
    <t>열기1-03.민법\01.본문\제1편 민법총칙.제07장 소멸시효.제01절 소멸시효 서설.txt</t>
    <phoneticPr fontId="2" type="noConversion"/>
  </si>
  <si>
    <t>열기1-03.민법\01.본문\제2편 채권총론.제03장 채권의 효력.제01절 채권효력 서설.txt</t>
    <phoneticPr fontId="2" type="noConversion"/>
  </si>
  <si>
    <t>열기1-03.민법\01.본문\제2편 채권총론.제04장 다수당사자의 채권관계.제01절 다수당사자 채권관계 서설.txt</t>
    <phoneticPr fontId="2" type="noConversion"/>
  </si>
  <si>
    <t>열기1-03.민법\01.본문\제2편 채권총론.제06장 채권의 소멸.제01절 채권소멸 서설.txt</t>
    <phoneticPr fontId="2" type="noConversion"/>
  </si>
  <si>
    <t>열기1-03.민법\01.본문\제3편 채권각론.제01장 계약총론.제01절 계약총론 서설.txt</t>
    <phoneticPr fontId="2" type="noConversion"/>
  </si>
  <si>
    <t>열기1-03.민법\01.본문\제3편 채권각론.제02장 계약각론.제00절 계약각론 서설.txt</t>
    <phoneticPr fontId="2" type="noConversion"/>
  </si>
  <si>
    <t>제01절 민법 서론 서설</t>
    <phoneticPr fontId="2" type="noConversion"/>
  </si>
  <si>
    <t>총계</t>
    <phoneticPr fontId="2" type="noConversion"/>
  </si>
  <si>
    <t>소계</t>
    <phoneticPr fontId="2" type="noConversion"/>
  </si>
  <si>
    <t>민법총칙 소계</t>
    <phoneticPr fontId="2" type="noConversion"/>
  </si>
  <si>
    <t>채권총론 소계</t>
    <phoneticPr fontId="2" type="noConversion"/>
  </si>
  <si>
    <t>채권각론 소계</t>
    <phoneticPr fontId="2" type="noConversion"/>
  </si>
  <si>
    <t>2026년 현재(2010~2026)</t>
    <phoneticPr fontId="2" type="noConversion"/>
  </si>
  <si>
    <t>Ⅴ</t>
    <phoneticPr fontId="2" type="noConversion"/>
  </si>
  <si>
    <t>민법 제1조, 통설</t>
    <phoneticPr fontId="2" type="noConversion"/>
  </si>
  <si>
    <t>민법 제106조</t>
    <phoneticPr fontId="2" type="noConversion"/>
  </si>
  <si>
    <t>대법원 2005.7.21. 선고 2002다1178 전원합의체 판결</t>
    <phoneticPr fontId="2" type="noConversion"/>
  </si>
  <si>
    <t>대법원 1983.6.14. 선고 80다3231 판결</t>
    <phoneticPr fontId="2" type="noConversion"/>
  </si>
  <si>
    <t>민법 제28조</t>
    <phoneticPr fontId="2" type="noConversion"/>
  </si>
  <si>
    <t>민법 제3조, 제1000조제3항, 제1064조, 통설</t>
    <phoneticPr fontId="2" type="noConversion"/>
  </si>
  <si>
    <t>민법 제1060조, 제1078조, 통설</t>
    <phoneticPr fontId="2" type="noConversion"/>
  </si>
  <si>
    <t>민법 제30조</t>
    <phoneticPr fontId="2" type="noConversion"/>
  </si>
  <si>
    <t>민법 제3조, 제98조, 통설</t>
    <phoneticPr fontId="2" type="noConversion"/>
  </si>
  <si>
    <t>태아는 원칙적으로 권리능력이 없으며, 상속・유증・불법행위에 의한 손해배상청구 등에 한하여 인정</t>
    <phoneticPr fontId="2" type="noConversion"/>
  </si>
  <si>
    <t>유증은 자연인뿐만 아니라 법인도 받을 수 있으며, 법인은 포괄적 유증의 수증자가 될 수 있다.</t>
    <phoneticPr fontId="2" type="noConversion"/>
  </si>
  <si>
    <t>실종선고를 받은 자는 실종기간이 만료한 때에 사망한 것으로 본다.</t>
    <phoneticPr fontId="2" type="noConversion"/>
  </si>
  <si>
    <t>본다 × → 추정한다</t>
    <phoneticPr fontId="2" type="noConversion"/>
  </si>
  <si>
    <t>동물은 민법상 물건에 해당하며 권리능력이 인정되지 않으므로, 위자료 청구권의 주체가 될 수 없다.</t>
    <phoneticPr fontId="2" type="noConversion"/>
  </si>
  <si>
    <t>사실인 관습은 법규범인 관습법과 달리 당사자의 주장・증명이 필요한 사실에 해당한다.</t>
    <phoneticPr fontId="2" type="noConversion"/>
  </si>
  <si>
    <t>총유재산의 보존행위는 총회결의를 거쳤더라도 개인이 소를 제기할 수 없다. 전원 당사자 OR 필수적 공동소송</t>
    <phoneticPr fontId="2" type="noConversion"/>
  </si>
  <si>
    <t>대법원 2007.4.19. 선고 2004다60072,60089 판결</t>
    <phoneticPr fontId="2" type="noConversion"/>
  </si>
  <si>
    <t>대법원 2000.2.25. 선고 99다20155 판결</t>
    <phoneticPr fontId="2" type="noConversion"/>
  </si>
  <si>
    <t>대법원 2009.11.19.자 2008마699 결정</t>
    <phoneticPr fontId="2" type="noConversion"/>
  </si>
  <si>
    <t>대법원 2005.9.15. 선고 2004다44971 판결</t>
    <phoneticPr fontId="2" type="noConversion"/>
  </si>
  <si>
    <t>대법원 2003.7.22. 선고 2002다64780 판결</t>
    <phoneticPr fontId="2" type="noConversion"/>
  </si>
  <si>
    <t>민법 제88조제1항, 제90조, 제93조, 통설</t>
    <phoneticPr fontId="2" type="noConversion"/>
  </si>
  <si>
    <t>민법 제95조</t>
    <phoneticPr fontId="2" type="noConversion"/>
  </si>
  <si>
    <t>민법 제81조</t>
    <phoneticPr fontId="2" type="noConversion"/>
  </si>
  <si>
    <t>민법 제89조제1항, 제90조</t>
    <phoneticPr fontId="2" type="noConversion"/>
  </si>
  <si>
    <t>대법원 2009.2.26. 선고 2008다87924 판결</t>
    <phoneticPr fontId="2" type="noConversion"/>
  </si>
  <si>
    <t>청산인은 채권자에 대한 지연손해금 지급의무까지 면하는 것은 아니다.</t>
    <phoneticPr fontId="2" type="noConversion"/>
  </si>
  <si>
    <t>민법 제98조, 제99조제2항, 통설</t>
    <phoneticPr fontId="2" type="noConversion"/>
  </si>
  <si>
    <t>민법 제99조제1항, 통설</t>
    <phoneticPr fontId="2" type="noConversion"/>
  </si>
  <si>
    <t>토지 및 그 정착물은 부동산이다.</t>
    <phoneticPr fontId="2" type="noConversion"/>
  </si>
  <si>
    <t>민법 제102조제1항</t>
    <phoneticPr fontId="2" type="noConversion"/>
  </si>
  <si>
    <t>민법 제100조제2항, 통설</t>
    <phoneticPr fontId="2" type="noConversion"/>
  </si>
  <si>
    <t>물건</t>
    <phoneticPr fontId="2" type="noConversion"/>
  </si>
  <si>
    <t>민법 제101조제2항, 통설</t>
    <phoneticPr fontId="2" type="noConversion"/>
  </si>
  <si>
    <t>법정과실 = 물건의 사용대가</t>
    <phoneticPr fontId="2" type="noConversion"/>
  </si>
  <si>
    <t>민법상 물건에는 유체물뿐만 아니라 관리할 수 있는 자연력도 포함</t>
    <phoneticPr fontId="2" type="noConversion"/>
  </si>
  <si>
    <t>임의규정이므로 당사자는 주물의 처분에서 종물을 제외하기로 특약할 수 있다.</t>
    <phoneticPr fontId="2" type="noConversion"/>
  </si>
  <si>
    <t>ㄱ : 대법원 1994.3.11. 선고 93다55289 판결 → 악의만으로는 부족, 적극 가담 필수
ㄴ : 대법원 1994.3.11. 선고 93다55289 판결 → 제1매수인은 자신의 매도인에 대한 소유권이전등기청구권을 보전하기 위하여 매도인을 대위하여 제2매수인에게 소유권이전등기의 말소를 청구하여야 한다.
ㄷ : 대법원 1996.6.25. 선고 96다29151 판결 → 반사회적 법률행위는 절대적 무효이므로 선의의 전득자도 보호되지 않는다.</t>
    <phoneticPr fontId="2" type="noConversion"/>
  </si>
  <si>
    <t>대법원 1995.11.21. 선고 94다41516 판결</t>
    <phoneticPr fontId="2" type="noConversion"/>
  </si>
  <si>
    <t>대법원 1993.10.26. 선고 93다6409 판결</t>
    <phoneticPr fontId="2" type="noConversion"/>
  </si>
  <si>
    <t>경솔, 무경험 : 대리인 / 궁박 : 본인</t>
    <phoneticPr fontId="2" type="noConversion"/>
  </si>
  <si>
    <t>불공정한 법률행위가 무효라고 하더라도 무효행위 전환의 법리가 적용될 수 있다.</t>
    <phoneticPr fontId="2" type="noConversion"/>
  </si>
  <si>
    <t>대법원 2010.7.15. 선고 2009다50308 판결</t>
    <phoneticPr fontId="2" type="noConversion"/>
  </si>
  <si>
    <t>불공정한 법률행위로 무효인 매매계약에 관한 부제소합의는 특별한 사정이 없는 한 함께 무효로 보아야 한다.</t>
    <phoneticPr fontId="2" type="noConversion"/>
  </si>
  <si>
    <t>불공정한 법률행위 → 객관적 현저한 불공정 + 주관적 궁박・경솔・무경험 이용</t>
    <phoneticPr fontId="2" type="noConversion"/>
  </si>
  <si>
    <t>법률행위</t>
    <phoneticPr fontId="2" type="noConversion"/>
  </si>
  <si>
    <t>甲이 자신 소유의 X토지를 乙에게 매도한 경우에 관한 설명으로 옳은 것을 모두 고른 것은?
ㄱ. X토지의 면적이 500 ㎡임을 전제로 대금을 1억원(m당 20만원)으로 하는 수량지정 매매계약을 체결하였으나 실측 결과 470 ㎡에 불과한 경우, 선의의 乙은 대금감액을 청구할 수 있다.
ㄴ. X토지가 유치권의 목적이 된 경우, 그 사실을 알지 못한 乙이 계약의 목적을 달성할 수 없게 되었다면 乙은 계약을 해제할 수 있다.
ㄷ. X토지에 설정되어 있던 저당권이 실행되어 乙이 소유권을 취득할 수 없게 된 경우, 乙이 악의이면 원칙적으로 계약을 해제할 수 없다.</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</si>
</sst>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76" formatCode="#,##0_ "/>
    <numFmt numFmtId="177" formatCode="mm\.dd"/>
    <numFmt numFmtId="178" formatCode="#,###_-"/>
  </numFmts>
  <fonts count="16"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10"/>
      <color theme="0"/>
      <name val="함초롬돋움"/>
      <family val="3"/>
      <charset val="129"/>
    </font>
    <font>
      <sz val="10"/>
      <color theme="1"/>
      <name val="함초롬돋움"/>
      <family val="3"/>
      <charset val="129"/>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rgb="FF000000"/>
      <name val="함초롬돋움"/>
      <family val="3"/>
      <charset val="129"/>
    </font>
  </fonts>
  <fills count="8">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59999389629810485"/>
        <bgColor indexed="64"/>
      </patternFill>
    </fill>
  </fills>
  <borders count="9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style="thin">
        <color indexed="64"/>
      </right>
      <top/>
      <bottom style="dotted">
        <color rgb="FFA6A6A6"/>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right/>
      <top style="thin">
        <color indexed="64"/>
      </top>
      <bottom/>
      <diagonal/>
    </border>
    <border>
      <left style="thin">
        <color auto="1"/>
      </left>
      <right style="medium">
        <color indexed="64"/>
      </right>
      <top style="thin">
        <color auto="1"/>
      </top>
      <bottom/>
      <diagonal/>
    </border>
    <border>
      <left/>
      <right style="thin">
        <color auto="1"/>
      </right>
      <top style="thin">
        <color auto="1"/>
      </top>
      <bottom/>
      <diagonal/>
    </border>
    <border>
      <left style="medium">
        <color indexed="64"/>
      </left>
      <right style="medium">
        <color indexed="64"/>
      </right>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thin">
        <color auto="1"/>
      </bottom>
      <diagonal/>
    </border>
    <border>
      <left/>
      <right/>
      <top style="dotted">
        <color rgb="FFA6A6A6"/>
      </top>
      <bottom style="thin">
        <color indexed="64"/>
      </bottom>
      <diagonal/>
    </border>
    <border>
      <left style="thin">
        <color auto="1"/>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style="thin">
        <color indexed="64"/>
      </top>
      <bottom style="dotted">
        <color rgb="FFA6A6A6"/>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dotted">
        <color rgb="FFA6A6A6"/>
      </top>
      <bottom style="thin">
        <color auto="1"/>
      </bottom>
      <diagonal/>
    </border>
    <border>
      <left style="thin">
        <color auto="1"/>
      </left>
      <right style="medium">
        <color indexed="64"/>
      </right>
      <top/>
      <bottom style="thin">
        <color auto="1"/>
      </bottom>
      <diagonal/>
    </border>
    <border>
      <left style="medium">
        <color indexed="64"/>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auto="1"/>
      </right>
      <top style="medium">
        <color indexed="64"/>
      </top>
      <bottom style="thin">
        <color auto="1"/>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style="dotted">
        <color rgb="FFA6A6A6"/>
      </top>
      <bottom style="medium">
        <color indexed="64"/>
      </bottom>
      <diagonal/>
    </border>
    <border>
      <left style="thin">
        <color auto="1"/>
      </left>
      <right style="medium">
        <color indexed="64"/>
      </right>
      <top/>
      <bottom style="medium">
        <color indexed="64"/>
      </bottom>
      <diagonal/>
    </border>
    <border>
      <left/>
      <right style="medium">
        <color indexed="64"/>
      </right>
      <top style="dotted">
        <color rgb="FFA6A6A6"/>
      </top>
      <bottom style="thin">
        <color indexed="64"/>
      </bottom>
      <diagonal/>
    </border>
    <border>
      <left/>
      <right style="medium">
        <color indexed="64"/>
      </right>
      <top style="thin">
        <color indexed="64"/>
      </top>
      <bottom style="dotted">
        <color rgb="FFA6A6A6"/>
      </bottom>
      <diagonal/>
    </border>
    <border>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auto="1"/>
      </left>
      <right/>
      <top style="medium">
        <color indexed="64"/>
      </top>
      <bottom style="medium">
        <color indexed="64"/>
      </bottom>
      <diagonal/>
    </border>
    <border>
      <left/>
      <right style="thin">
        <color auto="1"/>
      </right>
      <top style="medium">
        <color indexed="64"/>
      </top>
      <bottom style="medium">
        <color indexed="64"/>
      </bottom>
      <diagonal/>
    </border>
    <border>
      <left style="thin">
        <color auto="1"/>
      </left>
      <right/>
      <top style="thin">
        <color auto="1"/>
      </top>
      <bottom style="medium">
        <color indexed="64"/>
      </bottom>
      <diagonal/>
    </border>
    <border>
      <left/>
      <right/>
      <top style="medium">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auto="1"/>
      </top>
      <bottom style="medium">
        <color indexed="64"/>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265">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3" fillId="0" borderId="0" xfId="0" applyFont="1" applyAlignment="1">
      <alignment horizontal="center" vertical="top"/>
    </xf>
    <xf numFmtId="0" fontId="3" fillId="0" borderId="0" xfId="0" applyFont="1" applyAlignment="1">
      <alignment horizontal="left" vertical="top" wrapText="1"/>
    </xf>
    <xf numFmtId="0" fontId="4" fillId="2" borderId="10" xfId="0" applyFont="1" applyFill="1" applyBorder="1" applyAlignment="1">
      <alignment horizontal="center" vertical="top" wrapText="1"/>
    </xf>
    <xf numFmtId="0" fontId="4" fillId="2" borderId="5" xfId="0" applyFont="1" applyFill="1" applyBorder="1" applyAlignment="1">
      <alignment horizontal="center" vertical="top" wrapText="1"/>
    </xf>
    <xf numFmtId="0" fontId="5" fillId="3" borderId="23" xfId="0" applyFont="1" applyFill="1" applyBorder="1" applyAlignment="1">
      <alignment horizontal="center" vertical="top"/>
    </xf>
    <xf numFmtId="0" fontId="5" fillId="3" borderId="24" xfId="0" applyFont="1" applyFill="1" applyBorder="1" applyAlignment="1">
      <alignment horizontal="center" vertical="top"/>
    </xf>
    <xf numFmtId="0" fontId="5" fillId="3" borderId="24" xfId="0" applyFont="1" applyFill="1" applyBorder="1" applyAlignment="1">
      <alignment horizontal="left" vertical="top" wrapText="1"/>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16" xfId="0" applyFont="1" applyBorder="1" applyAlignment="1">
      <alignment horizontal="center" vertical="top"/>
    </xf>
    <xf numFmtId="0" fontId="5" fillId="0" borderId="7" xfId="0" applyFont="1" applyBorder="1" applyAlignment="1">
      <alignment horizontal="center" vertical="top"/>
    </xf>
    <xf numFmtId="0" fontId="5" fillId="0" borderId="7" xfId="0" quotePrefix="1" applyFont="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18" xfId="0" applyFont="1" applyBorder="1" applyAlignment="1">
      <alignment horizontal="center" vertical="top"/>
    </xf>
    <xf numFmtId="0" fontId="5" fillId="0" borderId="8" xfId="0" applyFont="1" applyBorder="1" applyAlignment="1">
      <alignment horizontal="center" vertical="top"/>
    </xf>
    <xf numFmtId="0" fontId="5" fillId="0" borderId="8" xfId="0" quotePrefix="1"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14" xfId="0" applyFont="1" applyFill="1" applyBorder="1" applyAlignment="1">
      <alignment horizontal="center" vertical="top"/>
    </xf>
    <xf numFmtId="0" fontId="5" fillId="3" borderId="6" xfId="0" applyFont="1" applyFill="1" applyBorder="1" applyAlignment="1">
      <alignment horizontal="center" vertical="top"/>
    </xf>
    <xf numFmtId="0" fontId="5" fillId="3" borderId="6" xfId="0" quotePrefix="1" applyFont="1" applyFill="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21" xfId="0" quotePrefix="1" applyFont="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left" vertical="top"/>
    </xf>
    <xf numFmtId="0" fontId="5" fillId="0" borderId="22" xfId="0" applyFont="1" applyBorder="1" applyAlignment="1">
      <alignment horizontal="left" vertical="top"/>
    </xf>
    <xf numFmtId="0" fontId="5" fillId="3" borderId="24" xfId="0" quotePrefix="1" applyFont="1" applyFill="1" applyBorder="1" applyAlignment="1">
      <alignment horizontal="center" vertical="top"/>
    </xf>
    <xf numFmtId="0" fontId="3" fillId="3" borderId="23" xfId="0" applyFont="1" applyFill="1" applyBorder="1" applyAlignment="1">
      <alignment horizontal="center" vertical="top"/>
    </xf>
    <xf numFmtId="0" fontId="3" fillId="3" borderId="24" xfId="0" applyFont="1" applyFill="1" applyBorder="1" applyAlignment="1">
      <alignment horizontal="center" vertical="top"/>
    </xf>
    <xf numFmtId="0" fontId="3" fillId="3" borderId="24" xfId="0" quotePrefix="1" applyFont="1" applyFill="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16" xfId="0" applyFont="1" applyBorder="1" applyAlignment="1">
      <alignment horizontal="center" vertical="top"/>
    </xf>
    <xf numFmtId="0" fontId="3" fillId="0" borderId="7" xfId="0" applyFont="1" applyBorder="1" applyAlignment="1">
      <alignment horizontal="center" vertical="top"/>
    </xf>
    <xf numFmtId="0" fontId="3" fillId="0" borderId="7" xfId="0" quotePrefix="1" applyFont="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8"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14" xfId="0" applyFont="1" applyFill="1" applyBorder="1" applyAlignment="1">
      <alignment horizontal="center" vertical="top"/>
    </xf>
    <xf numFmtId="0" fontId="3" fillId="3" borderId="6" xfId="0" applyFont="1" applyFill="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0" xfId="0" applyFont="1" applyBorder="1" applyAlignment="1">
      <alignment horizontal="center" vertical="top"/>
    </xf>
    <xf numFmtId="0" fontId="3" fillId="0" borderId="21" xfId="0" applyFont="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3" borderId="6" xfId="0" quotePrefix="1" applyFont="1" applyFill="1" applyBorder="1" applyAlignment="1">
      <alignment horizontal="left" vertical="top" wrapText="1"/>
    </xf>
    <xf numFmtId="0" fontId="3" fillId="0" borderId="7" xfId="0" quotePrefix="1" applyFont="1" applyBorder="1" applyAlignment="1">
      <alignment horizontal="left" vertical="top" wrapText="1"/>
    </xf>
    <xf numFmtId="0" fontId="3" fillId="0" borderId="8" xfId="0" quotePrefix="1" applyFont="1" applyBorder="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3" fillId="0" borderId="0" xfId="0" applyFont="1" applyAlignment="1">
      <alignment horizontal="left"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4" borderId="3" xfId="0" applyFont="1" applyFill="1" applyBorder="1" applyAlignment="1">
      <alignment horizontal="left" vertical="top" wrapText="1"/>
    </xf>
    <xf numFmtId="0" fontId="7" fillId="4" borderId="3" xfId="0" applyFont="1" applyFill="1" applyBorder="1" applyAlignment="1">
      <alignment horizontal="center" vertical="top"/>
    </xf>
    <xf numFmtId="0" fontId="5" fillId="0" borderId="0" xfId="0" applyFont="1" applyAlignment="1">
      <alignment horizontal="center" vertical="top"/>
    </xf>
    <xf numFmtId="0" fontId="5" fillId="0" borderId="0" xfId="0" applyFont="1" applyAlignment="1">
      <alignment horizontal="left" vertical="top" wrapText="1"/>
    </xf>
    <xf numFmtId="0" fontId="9" fillId="2" borderId="1" xfId="0" applyFont="1" applyFill="1" applyBorder="1" applyAlignment="1">
      <alignment horizontal="center" vertical="center"/>
    </xf>
    <xf numFmtId="0" fontId="10" fillId="0" borderId="0" xfId="0" applyFont="1">
      <alignment vertic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4" fillId="2" borderId="35" xfId="0" applyFont="1" applyFill="1" applyBorder="1" applyAlignment="1">
      <alignment horizontal="center" vertical="top"/>
    </xf>
    <xf numFmtId="0" fontId="4" fillId="2" borderId="36" xfId="0" applyFont="1" applyFill="1" applyBorder="1" applyAlignment="1">
      <alignment horizontal="center" vertical="top"/>
    </xf>
    <xf numFmtId="0" fontId="4" fillId="2" borderId="37" xfId="0" applyFont="1" applyFill="1" applyBorder="1" applyAlignment="1">
      <alignment horizontal="center" vertical="top"/>
    </xf>
    <xf numFmtId="0" fontId="4" fillId="2" borderId="39" xfId="0" applyFont="1" applyFill="1" applyBorder="1" applyAlignment="1">
      <alignment horizontal="center" vertical="top"/>
    </xf>
    <xf numFmtId="0" fontId="4" fillId="2" borderId="40" xfId="0" applyFont="1" applyFill="1" applyBorder="1" applyAlignment="1">
      <alignment horizontal="center" vertical="top"/>
    </xf>
    <xf numFmtId="0" fontId="4" fillId="2" borderId="41" xfId="0" applyFont="1" applyFill="1" applyBorder="1" applyAlignment="1">
      <alignment horizontal="center" vertical="top"/>
    </xf>
    <xf numFmtId="0" fontId="5" fillId="0" borderId="23" xfId="0" applyFont="1" applyBorder="1" applyAlignment="1">
      <alignment horizontal="center" vertical="top"/>
    </xf>
    <xf numFmtId="0" fontId="5" fillId="0" borderId="43" xfId="0" applyFont="1" applyBorder="1" applyAlignment="1">
      <alignment horizontal="center" vertical="top" wrapText="1"/>
    </xf>
    <xf numFmtId="49" fontId="5" fillId="0" borderId="44"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45" xfId="0" applyFont="1" applyBorder="1" applyAlignment="1">
      <alignment horizontal="center" vertical="top"/>
    </xf>
    <xf numFmtId="49" fontId="5" fillId="0" borderId="47" xfId="0" applyNumberFormat="1" applyFont="1" applyBorder="1" applyAlignment="1">
      <alignment horizontal="center" vertical="top"/>
    </xf>
    <xf numFmtId="0" fontId="5" fillId="0" borderId="49" xfId="0" applyFont="1" applyBorder="1" applyAlignment="1">
      <alignment horizontal="center" vertical="top" wrapText="1"/>
    </xf>
    <xf numFmtId="49" fontId="5" fillId="0" borderId="50" xfId="4" applyNumberFormat="1" applyFont="1" applyFill="1" applyBorder="1" applyAlignment="1">
      <alignment horizontal="left" vertical="top" wrapText="1"/>
    </xf>
    <xf numFmtId="177" fontId="5" fillId="0" borderId="45" xfId="4" applyNumberFormat="1" applyFont="1" applyFill="1" applyBorder="1" applyAlignment="1">
      <alignment horizontal="center" vertical="top" wrapText="1"/>
    </xf>
    <xf numFmtId="177" fontId="5" fillId="0" borderId="48" xfId="4" applyNumberFormat="1" applyFont="1" applyFill="1" applyBorder="1" applyAlignment="1">
      <alignment horizontal="center" vertical="top" wrapText="1"/>
    </xf>
    <xf numFmtId="0" fontId="5" fillId="0" borderId="14" xfId="0" applyFont="1" applyBorder="1" applyAlignment="1">
      <alignment horizontal="center" vertical="top"/>
    </xf>
    <xf numFmtId="49" fontId="11" fillId="0" borderId="6" xfId="0" applyNumberFormat="1" applyFont="1" applyBorder="1" applyAlignment="1">
      <alignment horizontal="center" vertical="top"/>
    </xf>
    <xf numFmtId="0" fontId="5" fillId="0" borderId="51" xfId="0" applyFont="1" applyBorder="1" applyAlignment="1">
      <alignment horizontal="center" vertical="top" wrapText="1"/>
    </xf>
    <xf numFmtId="49" fontId="5" fillId="0" borderId="52"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5" fillId="0" borderId="55" xfId="0" applyFont="1" applyBorder="1" applyAlignment="1">
      <alignment horizontal="center" vertical="top" wrapText="1"/>
    </xf>
    <xf numFmtId="49" fontId="5" fillId="0" borderId="56"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0" fontId="11" fillId="3" borderId="39" xfId="0" applyFont="1" applyFill="1" applyBorder="1" applyAlignment="1">
      <alignment vertical="top"/>
    </xf>
    <xf numFmtId="49" fontId="5" fillId="0" borderId="21" xfId="0" applyNumberFormat="1" applyFont="1" applyBorder="1" applyAlignment="1">
      <alignment horizontal="center" vertical="top"/>
    </xf>
    <xf numFmtId="0" fontId="13" fillId="3" borderId="58" xfId="0" applyFont="1" applyFill="1" applyBorder="1" applyAlignment="1">
      <alignment vertical="top"/>
    </xf>
    <xf numFmtId="0" fontId="3" fillId="0" borderId="0" xfId="0" applyFont="1" applyAlignment="1">
      <alignment vertical="top" wrapText="1"/>
    </xf>
    <xf numFmtId="0" fontId="3" fillId="0" borderId="0" xfId="0" applyFont="1" applyAlignment="1">
      <alignment horizontal="center" vertical="top" wrapText="1"/>
    </xf>
    <xf numFmtId="0" fontId="4" fillId="2" borderId="11" xfId="0" applyFont="1" applyFill="1" applyBorder="1" applyAlignment="1">
      <alignment horizontal="center" vertical="top" wrapText="1"/>
    </xf>
    <xf numFmtId="0" fontId="15" fillId="0" borderId="0" xfId="0" applyFont="1" applyAlignment="1">
      <alignment horizontal="left" vertical="top" wrapText="1"/>
    </xf>
    <xf numFmtId="0" fontId="14" fillId="5" borderId="62" xfId="0" applyFont="1" applyFill="1" applyBorder="1" applyAlignment="1">
      <alignment vertical="top" wrapText="1"/>
    </xf>
    <xf numFmtId="0" fontId="3" fillId="3" borderId="63" xfId="0" applyFont="1" applyFill="1" applyBorder="1" applyAlignment="1">
      <alignment horizontal="center" vertical="top" wrapText="1"/>
    </xf>
    <xf numFmtId="0" fontId="3" fillId="0" borderId="64" xfId="0" applyFont="1" applyBorder="1" applyAlignment="1">
      <alignment horizontal="center" vertical="top" wrapText="1"/>
    </xf>
    <xf numFmtId="0" fontId="3" fillId="0" borderId="0" xfId="0" applyFont="1" applyAlignment="1">
      <alignment vertical="top"/>
    </xf>
    <xf numFmtId="0" fontId="14" fillId="5" borderId="35" xfId="0" applyFont="1" applyFill="1" applyBorder="1" applyAlignment="1">
      <alignment vertical="top" wrapText="1"/>
    </xf>
    <xf numFmtId="49" fontId="11" fillId="0" borderId="24" xfId="0" applyNumberFormat="1" applyFont="1" applyBorder="1" applyAlignment="1">
      <alignment horizontal="left" vertical="top"/>
    </xf>
    <xf numFmtId="0" fontId="14" fillId="0" borderId="25" xfId="0" applyFont="1" applyBorder="1" applyAlignment="1">
      <alignment horizontal="left" vertical="top"/>
    </xf>
    <xf numFmtId="176" fontId="5" fillId="0" borderId="42" xfId="4" applyNumberFormat="1" applyFont="1" applyFill="1" applyBorder="1" applyAlignment="1">
      <alignment horizontal="right" vertical="top"/>
    </xf>
    <xf numFmtId="177" fontId="5" fillId="0" borderId="44" xfId="4" applyNumberFormat="1" applyFont="1" applyFill="1" applyBorder="1" applyAlignment="1">
      <alignment horizontal="center" vertical="top"/>
    </xf>
    <xf numFmtId="177" fontId="5" fillId="0" borderId="44" xfId="4" applyNumberFormat="1" applyFont="1" applyFill="1" applyBorder="1" applyAlignment="1">
      <alignment horizontal="center" vertical="top" wrapText="1"/>
    </xf>
    <xf numFmtId="0" fontId="12" fillId="5" borderId="41" xfId="0" applyFont="1" applyFill="1" applyBorder="1" applyAlignment="1">
      <alignment vertical="top" wrapText="1"/>
    </xf>
    <xf numFmtId="49" fontId="5" fillId="0" borderId="47" xfId="0" applyNumberFormat="1" applyFont="1" applyBorder="1" applyAlignment="1">
      <alignment horizontal="left" vertical="top"/>
    </xf>
    <xf numFmtId="49" fontId="5" fillId="0" borderId="57" xfId="0" applyNumberFormat="1" applyFont="1" applyBorder="1" applyAlignment="1">
      <alignment horizontal="center" vertical="top"/>
    </xf>
    <xf numFmtId="0" fontId="3" fillId="0" borderId="48" xfId="0" applyFont="1" applyBorder="1" applyAlignment="1">
      <alignment horizontal="left" vertical="top"/>
    </xf>
    <xf numFmtId="176" fontId="5" fillId="0" borderId="57" xfId="4" applyNumberFormat="1" applyFont="1" applyFill="1" applyBorder="1" applyAlignment="1">
      <alignment horizontal="right" vertical="top"/>
    </xf>
    <xf numFmtId="177" fontId="5" fillId="0" borderId="50" xfId="4" applyNumberFormat="1" applyFont="1" applyFill="1" applyBorder="1" applyAlignment="1">
      <alignment horizontal="center" vertical="top"/>
    </xf>
    <xf numFmtId="177" fontId="5" fillId="0" borderId="50" xfId="4" applyNumberFormat="1" applyFont="1" applyFill="1" applyBorder="1" applyAlignment="1">
      <alignment horizontal="center" vertical="top" wrapText="1"/>
    </xf>
    <xf numFmtId="49" fontId="11" fillId="0" borderId="6" xfId="0" applyNumberFormat="1" applyFont="1" applyBorder="1" applyAlignment="1">
      <alignment horizontal="left" vertical="top"/>
    </xf>
    <xf numFmtId="0" fontId="14" fillId="0" borderId="15" xfId="0" applyFont="1" applyBorder="1" applyAlignment="1">
      <alignment horizontal="left" vertical="top"/>
    </xf>
    <xf numFmtId="176" fontId="5" fillId="0" borderId="53" xfId="4" applyNumberFormat="1" applyFont="1" applyFill="1" applyBorder="1" applyAlignment="1">
      <alignment horizontal="right" vertical="top"/>
    </xf>
    <xf numFmtId="177" fontId="5" fillId="0" borderId="52" xfId="4" applyNumberFormat="1" applyFont="1" applyFill="1" applyBorder="1" applyAlignment="1">
      <alignment horizontal="center" vertical="top"/>
    </xf>
    <xf numFmtId="177" fontId="5" fillId="0" borderId="52" xfId="4" applyNumberFormat="1" applyFont="1" applyFill="1" applyBorder="1" applyAlignment="1">
      <alignment horizontal="center" vertical="top" wrapText="1"/>
    </xf>
    <xf numFmtId="49" fontId="5" fillId="0" borderId="21" xfId="0" applyNumberFormat="1" applyFont="1" applyBorder="1" applyAlignment="1">
      <alignment horizontal="left" vertical="top"/>
    </xf>
    <xf numFmtId="49" fontId="5" fillId="0" borderId="54" xfId="0" applyNumberFormat="1" applyFont="1" applyBorder="1" applyAlignment="1">
      <alignment horizontal="center" vertical="top"/>
    </xf>
    <xf numFmtId="176" fontId="5" fillId="0" borderId="54" xfId="4" applyNumberFormat="1" applyFont="1" applyFill="1" applyBorder="1" applyAlignment="1">
      <alignment horizontal="right" vertical="top"/>
    </xf>
    <xf numFmtId="177" fontId="5" fillId="0" borderId="56" xfId="4" applyNumberFormat="1" applyFont="1" applyFill="1" applyBorder="1" applyAlignment="1">
      <alignment horizontal="center" vertical="top"/>
    </xf>
    <xf numFmtId="177" fontId="5" fillId="0" borderId="56" xfId="4" applyNumberFormat="1" applyFont="1" applyFill="1" applyBorder="1" applyAlignment="1">
      <alignment horizontal="center" vertical="top" wrapText="1"/>
    </xf>
    <xf numFmtId="0" fontId="12" fillId="5" borderId="66" xfId="0" applyFont="1" applyFill="1" applyBorder="1" applyAlignment="1">
      <alignment vertical="top" wrapText="1"/>
    </xf>
    <xf numFmtId="0" fontId="14" fillId="5" borderId="59" xfId="0" applyFont="1" applyFill="1" applyBorder="1" applyAlignment="1">
      <alignment vertical="top" wrapText="1"/>
    </xf>
    <xf numFmtId="0" fontId="12" fillId="5" borderId="67" xfId="0" applyFont="1" applyFill="1" applyBorder="1" applyAlignment="1">
      <alignment vertical="top" wrapText="1"/>
    </xf>
    <xf numFmtId="0" fontId="12" fillId="5" borderId="68" xfId="0" applyFont="1" applyFill="1" applyBorder="1" applyAlignment="1">
      <alignment vertical="top" wrapText="1"/>
    </xf>
    <xf numFmtId="0" fontId="11" fillId="5" borderId="35" xfId="0" applyFont="1" applyFill="1" applyBorder="1" applyAlignment="1">
      <alignment vertical="top" wrapText="1"/>
    </xf>
    <xf numFmtId="0" fontId="3" fillId="0" borderId="69" xfId="0" applyFont="1" applyBorder="1" applyAlignment="1">
      <alignment horizontal="left" vertical="top"/>
    </xf>
    <xf numFmtId="0" fontId="5" fillId="0" borderId="20" xfId="0" applyFont="1" applyBorder="1" applyAlignment="1">
      <alignment horizontal="center" vertical="top" wrapText="1"/>
    </xf>
    <xf numFmtId="176" fontId="5" fillId="0" borderId="69" xfId="4" applyNumberFormat="1" applyFont="1" applyFill="1" applyBorder="1" applyAlignment="1">
      <alignment horizontal="right" vertical="top"/>
    </xf>
    <xf numFmtId="177" fontId="5" fillId="0" borderId="69" xfId="4" applyNumberFormat="1" applyFont="1" applyFill="1" applyBorder="1" applyAlignment="1">
      <alignment horizontal="center" vertical="top" wrapText="1"/>
    </xf>
    <xf numFmtId="0" fontId="14" fillId="3" borderId="11" xfId="0" applyFont="1" applyFill="1" applyBorder="1" applyAlignment="1">
      <alignment vertical="top"/>
    </xf>
    <xf numFmtId="0" fontId="13" fillId="3" borderId="70" xfId="0" applyFont="1" applyFill="1" applyBorder="1" applyAlignment="1">
      <alignment vertical="top"/>
    </xf>
    <xf numFmtId="0" fontId="11" fillId="5" borderId="59" xfId="0" applyFont="1" applyFill="1" applyBorder="1" applyAlignment="1">
      <alignment vertical="top" wrapText="1"/>
    </xf>
    <xf numFmtId="0" fontId="11" fillId="3" borderId="11" xfId="0" applyFont="1" applyFill="1" applyBorder="1" applyAlignment="1">
      <alignment vertical="top"/>
    </xf>
    <xf numFmtId="0" fontId="14" fillId="3" borderId="39" xfId="0" applyFont="1" applyFill="1" applyBorder="1" applyAlignment="1">
      <alignment horizontal="left" vertical="top"/>
    </xf>
    <xf numFmtId="49" fontId="11" fillId="0" borderId="47" xfId="0" applyNumberFormat="1" applyFont="1" applyBorder="1" applyAlignment="1">
      <alignment horizontal="left" vertical="top"/>
    </xf>
    <xf numFmtId="0" fontId="14" fillId="0" borderId="48" xfId="0" applyFont="1" applyBorder="1" applyAlignment="1">
      <alignment horizontal="left" vertical="top"/>
    </xf>
    <xf numFmtId="0" fontId="5" fillId="0" borderId="48" xfId="0" applyFont="1" applyBorder="1" applyAlignment="1">
      <alignment horizontal="left" vertical="top"/>
    </xf>
    <xf numFmtId="0" fontId="3" fillId="0" borderId="71" xfId="0" applyFont="1" applyBorder="1" applyAlignment="1">
      <alignment horizontal="left" vertical="top"/>
    </xf>
    <xf numFmtId="176" fontId="5" fillId="0" borderId="46" xfId="4" applyNumberFormat="1" applyFont="1" applyFill="1" applyBorder="1" applyAlignment="1">
      <alignment horizontal="right" vertical="top"/>
    </xf>
    <xf numFmtId="177" fontId="5" fillId="0" borderId="71" xfId="4" applyNumberFormat="1" applyFont="1" applyFill="1" applyBorder="1" applyAlignment="1">
      <alignment horizontal="center" vertical="top" wrapText="1"/>
    </xf>
    <xf numFmtId="49" fontId="11" fillId="0" borderId="42" xfId="0" applyNumberFormat="1" applyFont="1" applyBorder="1" applyAlignment="1">
      <alignment horizontal="center" vertical="top"/>
    </xf>
    <xf numFmtId="49" fontId="11" fillId="0" borderId="53" xfId="0" applyNumberFormat="1" applyFont="1" applyBorder="1" applyAlignment="1">
      <alignment horizontal="center" vertical="top"/>
    </xf>
    <xf numFmtId="0" fontId="14" fillId="0" borderId="72" xfId="0" applyFont="1" applyBorder="1" applyAlignment="1">
      <alignment horizontal="left" vertical="top"/>
    </xf>
    <xf numFmtId="0" fontId="5" fillId="0" borderId="36" xfId="0" applyFont="1" applyBorder="1" applyAlignment="1">
      <alignment horizontal="center" vertical="top"/>
    </xf>
    <xf numFmtId="49" fontId="11" fillId="0" borderId="2" xfId="0" applyNumberFormat="1" applyFont="1" applyBorder="1" applyAlignment="1">
      <alignment horizontal="left" vertical="top"/>
    </xf>
    <xf numFmtId="49" fontId="11" fillId="0" borderId="2" xfId="0" applyNumberFormat="1" applyFont="1" applyBorder="1" applyAlignment="1">
      <alignment horizontal="center" vertical="top"/>
    </xf>
    <xf numFmtId="0" fontId="14" fillId="0" borderId="73" xfId="0" applyFont="1" applyBorder="1" applyAlignment="1">
      <alignment horizontal="left" vertical="top"/>
    </xf>
    <xf numFmtId="0" fontId="5" fillId="0" borderId="40" xfId="0" applyFont="1" applyBorder="1" applyAlignment="1">
      <alignment horizontal="center" vertical="top" wrapText="1"/>
    </xf>
    <xf numFmtId="176" fontId="5" fillId="0" borderId="38" xfId="4" applyNumberFormat="1" applyFont="1" applyFill="1" applyBorder="1" applyAlignment="1">
      <alignment horizontal="right" vertical="top"/>
    </xf>
    <xf numFmtId="177" fontId="5" fillId="0" borderId="74" xfId="4" applyNumberFormat="1" applyFont="1" applyFill="1" applyBorder="1" applyAlignment="1">
      <alignment horizontal="center" vertical="top"/>
    </xf>
    <xf numFmtId="49" fontId="5" fillId="0" borderId="74" xfId="4" applyNumberFormat="1" applyFont="1" applyFill="1" applyBorder="1" applyAlignment="1">
      <alignment horizontal="left" vertical="top" wrapText="1"/>
    </xf>
    <xf numFmtId="177" fontId="5" fillId="0" borderId="36" xfId="4" applyNumberFormat="1" applyFont="1" applyFill="1" applyBorder="1" applyAlignment="1">
      <alignment horizontal="center" vertical="top" wrapText="1"/>
    </xf>
    <xf numFmtId="177" fontId="5" fillId="0" borderId="73" xfId="4" applyNumberFormat="1" applyFont="1" applyFill="1" applyBorder="1" applyAlignment="1">
      <alignment horizontal="center" vertical="top" wrapText="1"/>
    </xf>
    <xf numFmtId="0" fontId="5" fillId="0" borderId="4" xfId="0" applyFont="1" applyBorder="1" applyAlignment="1">
      <alignment horizontal="center" vertical="top"/>
    </xf>
    <xf numFmtId="0" fontId="5" fillId="0" borderId="4" xfId="0" applyFont="1" applyBorder="1" applyAlignment="1">
      <alignment horizontal="left" vertical="top" wrapText="1"/>
    </xf>
    <xf numFmtId="0" fontId="5" fillId="0" borderId="26" xfId="0" applyFont="1" applyBorder="1" applyAlignment="1">
      <alignment horizontal="center" vertical="top"/>
    </xf>
    <xf numFmtId="0" fontId="5" fillId="0" borderId="26" xfId="0" applyFont="1" applyBorder="1" applyAlignment="1">
      <alignment horizontal="left" vertical="top" wrapText="1"/>
    </xf>
    <xf numFmtId="0" fontId="4" fillId="2" borderId="77" xfId="0" applyFont="1" applyFill="1" applyBorder="1" applyAlignment="1">
      <alignment horizontal="center" vertical="top"/>
    </xf>
    <xf numFmtId="0" fontId="4" fillId="2" borderId="78" xfId="0" applyFont="1" applyFill="1" applyBorder="1" applyAlignment="1">
      <alignment horizontal="center" vertical="top"/>
    </xf>
    <xf numFmtId="0" fontId="3" fillId="0" borderId="1" xfId="0" applyFont="1" applyBorder="1" applyAlignment="1">
      <alignment horizontal="left" vertical="top"/>
    </xf>
    <xf numFmtId="0" fontId="5" fillId="0" borderId="1" xfId="0" applyFont="1" applyBorder="1" applyAlignment="1">
      <alignment vertical="top"/>
    </xf>
    <xf numFmtId="0" fontId="5" fillId="0" borderId="82" xfId="0" applyFont="1" applyBorder="1" applyAlignment="1">
      <alignment vertical="top"/>
    </xf>
    <xf numFmtId="0" fontId="12" fillId="6" borderId="68" xfId="0" applyFont="1" applyFill="1" applyBorder="1" applyAlignment="1">
      <alignment vertical="top" wrapText="1"/>
    </xf>
    <xf numFmtId="0" fontId="4" fillId="2" borderId="63" xfId="0" applyFont="1" applyFill="1" applyBorder="1" applyAlignment="1">
      <alignment horizontal="center" vertical="top"/>
    </xf>
    <xf numFmtId="0" fontId="3" fillId="0" borderId="85" xfId="0" applyFont="1" applyBorder="1" applyAlignment="1">
      <alignment vertical="top"/>
    </xf>
    <xf numFmtId="0" fontId="5" fillId="0" borderId="85" xfId="0" applyFont="1" applyBorder="1" applyAlignment="1">
      <alignment vertical="top"/>
    </xf>
    <xf numFmtId="0" fontId="12" fillId="6" borderId="86" xfId="0" applyFont="1" applyFill="1" applyBorder="1" applyAlignment="1">
      <alignment vertical="top" wrapText="1"/>
    </xf>
    <xf numFmtId="0" fontId="12" fillId="6" borderId="67" xfId="0" applyFont="1" applyFill="1" applyBorder="1" applyAlignment="1">
      <alignment vertical="top" wrapText="1"/>
    </xf>
    <xf numFmtId="0" fontId="11" fillId="5" borderId="9" xfId="0" applyFont="1" applyFill="1" applyBorder="1" applyAlignment="1">
      <alignment vertical="top" wrapText="1"/>
    </xf>
    <xf numFmtId="0" fontId="5" fillId="0" borderId="65" xfId="0" applyFont="1" applyBorder="1" applyAlignment="1">
      <alignment vertical="top"/>
    </xf>
    <xf numFmtId="0" fontId="12" fillId="5" borderId="12" xfId="0" applyFont="1" applyFill="1" applyBorder="1" applyAlignment="1">
      <alignment vertical="top" wrapText="1"/>
    </xf>
    <xf numFmtId="0" fontId="11" fillId="6" borderId="67" xfId="0" applyFont="1" applyFill="1" applyBorder="1" applyAlignment="1">
      <alignment vertical="top" wrapText="1"/>
    </xf>
    <xf numFmtId="0" fontId="14" fillId="6" borderId="59" xfId="0" applyFont="1" applyFill="1" applyBorder="1" applyAlignment="1">
      <alignment vertical="top" wrapText="1"/>
    </xf>
    <xf numFmtId="0" fontId="14" fillId="5" borderId="9" xfId="0" applyFont="1" applyFill="1" applyBorder="1" applyAlignment="1">
      <alignment vertical="top" wrapText="1"/>
    </xf>
    <xf numFmtId="0" fontId="11" fillId="6" borderId="59" xfId="0" applyFont="1" applyFill="1" applyBorder="1" applyAlignment="1">
      <alignment vertical="top" wrapText="1"/>
    </xf>
    <xf numFmtId="0" fontId="11" fillId="6" borderId="86" xfId="0" applyFont="1" applyFill="1" applyBorder="1" applyAlignment="1">
      <alignment horizontal="center" vertical="top"/>
    </xf>
    <xf numFmtId="0" fontId="11" fillId="5" borderId="81" xfId="0" applyFont="1" applyFill="1" applyBorder="1" applyAlignment="1">
      <alignment horizontal="center" vertical="top"/>
    </xf>
    <xf numFmtId="0" fontId="11" fillId="6" borderId="88" xfId="0" applyFont="1" applyFill="1" applyBorder="1" applyAlignment="1">
      <alignment horizontal="center" vertical="top"/>
    </xf>
    <xf numFmtId="0" fontId="12" fillId="7" borderId="89" xfId="0" applyFont="1" applyFill="1" applyBorder="1" applyAlignment="1">
      <alignment vertical="top" wrapText="1"/>
    </xf>
    <xf numFmtId="0" fontId="12" fillId="7" borderId="80" xfId="0" applyFont="1" applyFill="1" applyBorder="1" applyAlignment="1">
      <alignment vertical="top" wrapText="1"/>
    </xf>
    <xf numFmtId="0" fontId="11" fillId="7" borderId="80" xfId="0" applyFont="1" applyFill="1" applyBorder="1" applyAlignment="1">
      <alignment horizontal="center" vertical="top"/>
    </xf>
    <xf numFmtId="0" fontId="4" fillId="2" borderId="75" xfId="0" applyFont="1" applyFill="1" applyBorder="1" applyAlignment="1">
      <alignment horizontal="center" vertical="top"/>
    </xf>
    <xf numFmtId="0" fontId="5" fillId="0" borderId="91" xfId="0" applyFont="1" applyBorder="1" applyAlignment="1">
      <alignment horizontal="center" vertical="top" wrapText="1"/>
    </xf>
    <xf numFmtId="0" fontId="5" fillId="0" borderId="92" xfId="0" applyFont="1" applyBorder="1" applyAlignment="1">
      <alignment horizontal="center" vertical="top" wrapText="1"/>
    </xf>
    <xf numFmtId="0" fontId="11" fillId="5" borderId="93" xfId="0" applyFont="1" applyFill="1" applyBorder="1" applyAlignment="1">
      <alignment horizontal="center" vertical="top" wrapText="1"/>
    </xf>
    <xf numFmtId="0" fontId="11" fillId="7" borderId="75" xfId="0" applyFont="1" applyFill="1" applyBorder="1" applyAlignment="1">
      <alignment horizontal="center" vertical="top" wrapText="1"/>
    </xf>
    <xf numFmtId="0" fontId="11" fillId="6" borderId="66" xfId="0" applyFont="1" applyFill="1" applyBorder="1" applyAlignment="1">
      <alignment horizontal="center" vertical="top" wrapText="1"/>
    </xf>
    <xf numFmtId="0" fontId="3" fillId="0" borderId="0" xfId="0" applyFont="1" applyAlignment="1">
      <alignment vertical="center" wrapText="1"/>
    </xf>
    <xf numFmtId="0" fontId="4" fillId="2" borderId="9" xfId="0" applyFont="1" applyFill="1" applyBorder="1" applyAlignment="1">
      <alignment horizontal="center" vertical="top" wrapText="1"/>
    </xf>
    <xf numFmtId="0" fontId="4" fillId="2" borderId="12" xfId="0" applyFont="1" applyFill="1" applyBorder="1" applyAlignment="1">
      <alignment horizontal="center" vertical="top" wrapText="1"/>
    </xf>
    <xf numFmtId="0" fontId="4" fillId="2" borderId="28" xfId="0" applyFont="1" applyFill="1" applyBorder="1" applyAlignment="1">
      <alignment horizontal="center" vertical="top" wrapText="1"/>
    </xf>
    <xf numFmtId="0" fontId="4" fillId="2" borderId="29" xfId="0" applyFont="1" applyFill="1" applyBorder="1" applyAlignment="1">
      <alignment horizontal="center" vertical="top" wrapText="1"/>
    </xf>
    <xf numFmtId="0" fontId="4" fillId="2" borderId="13" xfId="0" applyFont="1" applyFill="1" applyBorder="1" applyAlignment="1">
      <alignment horizontal="center" vertical="top" wrapText="1"/>
    </xf>
    <xf numFmtId="0" fontId="5" fillId="3" borderId="23" xfId="0" applyFont="1" applyFill="1" applyBorder="1" applyAlignment="1">
      <alignment horizontal="center" vertical="top" wrapText="1"/>
    </xf>
    <xf numFmtId="0" fontId="5" fillId="3" borderId="24" xfId="0" applyFont="1" applyFill="1" applyBorder="1" applyAlignment="1">
      <alignment horizontal="center" vertical="top" wrapText="1"/>
    </xf>
    <xf numFmtId="0" fontId="5" fillId="3" borderId="27" xfId="0" quotePrefix="1" applyFont="1" applyFill="1" applyBorder="1" applyAlignment="1">
      <alignment horizontal="center" vertical="top" wrapText="1"/>
    </xf>
    <xf numFmtId="0" fontId="5" fillId="3" borderId="27" xfId="0" applyFont="1" applyFill="1" applyBorder="1" applyAlignment="1">
      <alignment horizontal="center" vertical="top" wrapText="1"/>
    </xf>
    <xf numFmtId="0" fontId="5" fillId="3" borderId="25" xfId="0" applyFont="1" applyFill="1" applyBorder="1" applyAlignment="1">
      <alignment horizontal="left" vertical="top" wrapText="1"/>
    </xf>
    <xf numFmtId="0" fontId="5" fillId="0" borderId="16" xfId="0" applyFont="1" applyBorder="1" applyAlignment="1">
      <alignment horizontal="center" vertical="top" wrapText="1"/>
    </xf>
    <xf numFmtId="0" fontId="5" fillId="0" borderId="7" xfId="0" applyFont="1" applyBorder="1" applyAlignment="1">
      <alignment horizontal="center" vertical="top" wrapText="1"/>
    </xf>
    <xf numFmtId="0" fontId="5" fillId="0" borderId="7" xfId="0" quotePrefix="1" applyFont="1" applyBorder="1" applyAlignment="1">
      <alignment horizontal="center" vertical="top" wrapText="1"/>
    </xf>
    <xf numFmtId="0" fontId="5" fillId="0" borderId="17" xfId="0" applyFont="1" applyBorder="1" applyAlignment="1">
      <alignment horizontal="left" vertical="top" wrapText="1"/>
    </xf>
    <xf numFmtId="0" fontId="5" fillId="0" borderId="18" xfId="0" applyFont="1" applyBorder="1" applyAlignment="1">
      <alignment horizontal="center" vertical="top" wrapText="1"/>
    </xf>
    <xf numFmtId="0" fontId="5" fillId="0" borderId="8" xfId="0" applyFont="1" applyBorder="1" applyAlignment="1">
      <alignment horizontal="center" vertical="top" wrapText="1"/>
    </xf>
    <xf numFmtId="0" fontId="5" fillId="0" borderId="8" xfId="0" quotePrefix="1" applyFont="1" applyBorder="1" applyAlignment="1">
      <alignment horizontal="center" vertical="top" wrapText="1"/>
    </xf>
    <xf numFmtId="0" fontId="5" fillId="0" borderId="19" xfId="0" applyFont="1" applyBorder="1" applyAlignment="1">
      <alignment horizontal="left" vertical="top" wrapText="1"/>
    </xf>
    <xf numFmtId="0" fontId="5" fillId="3" borderId="14" xfId="0" applyFont="1" applyFill="1" applyBorder="1" applyAlignment="1">
      <alignment horizontal="center" vertical="top" wrapText="1"/>
    </xf>
    <xf numFmtId="0" fontId="5" fillId="3" borderId="6" xfId="0" applyFont="1" applyFill="1" applyBorder="1" applyAlignment="1">
      <alignment horizontal="center" vertical="top" wrapText="1"/>
    </xf>
    <xf numFmtId="0" fontId="5" fillId="3" borderId="6" xfId="0" quotePrefix="1" applyFont="1" applyFill="1" applyBorder="1" applyAlignment="1">
      <alignment horizontal="center" vertical="top" wrapText="1"/>
    </xf>
    <xf numFmtId="0" fontId="5" fillId="3" borderId="15" xfId="0" applyFont="1" applyFill="1" applyBorder="1" applyAlignment="1">
      <alignment horizontal="left" vertical="top" wrapText="1"/>
    </xf>
    <xf numFmtId="0" fontId="5" fillId="0" borderId="21" xfId="0" applyFont="1" applyBorder="1" applyAlignment="1">
      <alignment horizontal="center" vertical="top" wrapText="1"/>
    </xf>
    <xf numFmtId="0" fontId="5" fillId="0" borderId="21" xfId="0" quotePrefix="1" applyFont="1" applyBorder="1" applyAlignment="1">
      <alignment horizontal="center" vertical="top" wrapText="1"/>
    </xf>
    <xf numFmtId="0" fontId="5" fillId="0" borderId="22" xfId="0" applyFont="1" applyBorder="1" applyAlignment="1">
      <alignment horizontal="left" vertical="top" wrapText="1"/>
    </xf>
    <xf numFmtId="178" fontId="3" fillId="0" borderId="85" xfId="0" applyNumberFormat="1" applyFont="1" applyBorder="1" applyAlignment="1">
      <alignment horizontal="right" vertical="top"/>
    </xf>
    <xf numFmtId="178" fontId="3" fillId="0" borderId="31" xfId="0" applyNumberFormat="1" applyFont="1" applyBorder="1" applyAlignment="1">
      <alignment horizontal="right" vertical="top"/>
    </xf>
    <xf numFmtId="178" fontId="3" fillId="0" borderId="1" xfId="0" applyNumberFormat="1" applyFont="1" applyBorder="1" applyAlignment="1">
      <alignment horizontal="right" vertical="top"/>
    </xf>
    <xf numFmtId="178" fontId="3" fillId="0" borderId="83" xfId="0" applyNumberFormat="1" applyFont="1" applyBorder="1" applyAlignment="1">
      <alignment horizontal="right" vertical="top"/>
    </xf>
    <xf numFmtId="178" fontId="5" fillId="0" borderId="1" xfId="0" applyNumberFormat="1" applyFont="1" applyBorder="1" applyAlignment="1">
      <alignment horizontal="right" vertical="top"/>
    </xf>
    <xf numFmtId="178" fontId="5" fillId="0" borderId="83" xfId="0" applyNumberFormat="1" applyFont="1" applyBorder="1" applyAlignment="1">
      <alignment horizontal="right" vertical="top"/>
    </xf>
    <xf numFmtId="178" fontId="11" fillId="5" borderId="76" xfId="0" applyNumberFormat="1" applyFont="1" applyFill="1" applyBorder="1" applyAlignment="1">
      <alignment horizontal="right" vertical="top"/>
    </xf>
    <xf numFmtId="178" fontId="11" fillId="5" borderId="79" xfId="0" applyNumberFormat="1" applyFont="1" applyFill="1" applyBorder="1" applyAlignment="1">
      <alignment horizontal="right" vertical="top"/>
    </xf>
    <xf numFmtId="178" fontId="5" fillId="0" borderId="85" xfId="0" applyNumberFormat="1" applyFont="1" applyBorder="1" applyAlignment="1">
      <alignment horizontal="right" vertical="top"/>
    </xf>
    <xf numFmtId="178" fontId="5" fillId="0" borderId="31" xfId="0" applyNumberFormat="1" applyFont="1" applyBorder="1" applyAlignment="1">
      <alignment horizontal="right" vertical="top"/>
    </xf>
    <xf numFmtId="178" fontId="11" fillId="6" borderId="87" xfId="0" applyNumberFormat="1" applyFont="1" applyFill="1" applyBorder="1" applyAlignment="1">
      <alignment horizontal="right" vertical="top"/>
    </xf>
    <xf numFmtId="178" fontId="11" fillId="6" borderId="90" xfId="0" applyNumberFormat="1" applyFont="1" applyFill="1" applyBorder="1" applyAlignment="1">
      <alignment horizontal="right" vertical="top"/>
    </xf>
    <xf numFmtId="178" fontId="5" fillId="0" borderId="65" xfId="0" applyNumberFormat="1" applyFont="1" applyBorder="1" applyAlignment="1">
      <alignment horizontal="right" vertical="top"/>
    </xf>
    <xf numFmtId="178" fontId="5" fillId="0" borderId="33" xfId="0" applyNumberFormat="1" applyFont="1" applyBorder="1" applyAlignment="1">
      <alignment horizontal="right" vertical="top"/>
    </xf>
    <xf numFmtId="178" fontId="5" fillId="0" borderId="82" xfId="0" applyNumberFormat="1" applyFont="1" applyBorder="1" applyAlignment="1">
      <alignment horizontal="right" vertical="top"/>
    </xf>
    <xf numFmtId="178" fontId="5" fillId="0" borderId="84" xfId="0" applyNumberFormat="1" applyFont="1" applyBorder="1" applyAlignment="1">
      <alignment horizontal="right" vertical="top"/>
    </xf>
    <xf numFmtId="178" fontId="11" fillId="7" borderId="63" xfId="0" applyNumberFormat="1" applyFont="1" applyFill="1" applyBorder="1" applyAlignment="1">
      <alignment horizontal="right" vertical="top"/>
    </xf>
    <xf numFmtId="178" fontId="11" fillId="7" borderId="77" xfId="0" applyNumberFormat="1" applyFont="1" applyFill="1" applyBorder="1" applyAlignment="1">
      <alignment horizontal="right" vertical="top"/>
    </xf>
    <xf numFmtId="0" fontId="4" fillId="2" borderId="10" xfId="0" applyFont="1" applyFill="1" applyBorder="1" applyAlignment="1">
      <alignment horizontal="center" vertical="top" wrapText="1"/>
    </xf>
    <xf numFmtId="0" fontId="4" fillId="2" borderId="30" xfId="0" applyFont="1" applyFill="1" applyBorder="1" applyAlignment="1">
      <alignment horizontal="center" vertical="top"/>
    </xf>
    <xf numFmtId="0" fontId="4" fillId="2" borderId="65" xfId="0" applyFont="1" applyFill="1" applyBorder="1" applyAlignment="1">
      <alignment horizontal="center" vertical="top"/>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34" xfId="0" applyFont="1" applyFill="1" applyBorder="1" applyAlignment="1">
      <alignment horizontal="center" vertical="top"/>
    </xf>
    <xf numFmtId="0" fontId="4" fillId="2" borderId="65" xfId="0" applyFont="1" applyFill="1" applyBorder="1" applyAlignment="1">
      <alignment horizontal="center" vertical="top" wrapText="1"/>
    </xf>
    <xf numFmtId="0" fontId="4" fillId="2" borderId="61" xfId="0" applyFont="1" applyFill="1" applyBorder="1" applyAlignment="1">
      <alignment horizontal="center" vertical="top" wrapText="1"/>
    </xf>
    <xf numFmtId="0" fontId="4" fillId="2" borderId="61" xfId="0" applyFont="1" applyFill="1" applyBorder="1" applyAlignment="1">
      <alignment horizontal="center" vertical="top"/>
    </xf>
    <xf numFmtId="0" fontId="4" fillId="2" borderId="59" xfId="0" applyFont="1" applyFill="1" applyBorder="1" applyAlignment="1">
      <alignment horizontal="center" vertical="top" wrapText="1"/>
    </xf>
    <xf numFmtId="0" fontId="4" fillId="2" borderId="60" xfId="0" applyFont="1" applyFill="1" applyBorder="1" applyAlignment="1">
      <alignment horizontal="center" vertical="top" wrapText="1"/>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3">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10093-4238-4802-820D-7D4F2F876808}">
  <sheetPr codeName="Sheet1">
    <tabColor rgb="FFFFFF00"/>
  </sheetPr>
  <dimension ref="B2:C16"/>
  <sheetViews>
    <sheetView workbookViewId="0">
      <selection activeCell="G24" sqref="G24"/>
    </sheetView>
  </sheetViews>
  <sheetFormatPr defaultRowHeight="14.45" customHeight="1" x14ac:dyDescent="0.2"/>
  <cols>
    <col min="1" max="1" width="1.7109375" style="78" customWidth="1"/>
    <col min="2" max="2" width="15" style="78" customWidth="1"/>
    <col min="3" max="3" width="9.140625" style="80"/>
    <col min="4" max="16384" width="9.140625" style="78"/>
  </cols>
  <sheetData>
    <row r="2" spans="2:3" ht="14.45" customHeight="1" x14ac:dyDescent="0.2">
      <c r="B2" s="77" t="s">
        <v>2867</v>
      </c>
      <c r="C2" s="77" t="s">
        <v>2868</v>
      </c>
    </row>
    <row r="3" spans="2:3" ht="14.45" customHeight="1" x14ac:dyDescent="0.2">
      <c r="B3" s="79" t="s">
        <v>2869</v>
      </c>
      <c r="C3" s="79" t="s">
        <v>2870</v>
      </c>
    </row>
    <row r="5" spans="2:3" ht="14.45" customHeight="1" x14ac:dyDescent="0.2">
      <c r="B5" s="77" t="s">
        <v>2871</v>
      </c>
    </row>
    <row r="6" spans="2:3" ht="14.45" customHeight="1" x14ac:dyDescent="0.2">
      <c r="B6" s="79" t="s">
        <v>2872</v>
      </c>
    </row>
    <row r="7" spans="2:3" ht="14.45" customHeight="1" x14ac:dyDescent="0.2">
      <c r="B7" s="79" t="s">
        <v>2873</v>
      </c>
    </row>
    <row r="8" spans="2:3" ht="14.45" customHeight="1" x14ac:dyDescent="0.2">
      <c r="B8" s="79" t="s">
        <v>2874</v>
      </c>
    </row>
    <row r="9" spans="2:3" ht="14.45" customHeight="1" x14ac:dyDescent="0.2">
      <c r="B9" s="79" t="s">
        <v>2875</v>
      </c>
    </row>
    <row r="10" spans="2:3" ht="14.45" customHeight="1" x14ac:dyDescent="0.2">
      <c r="B10" s="79" t="s">
        <v>2876</v>
      </c>
    </row>
    <row r="11" spans="2:3" ht="14.45" customHeight="1" x14ac:dyDescent="0.2">
      <c r="B11" s="79" t="s">
        <v>2877</v>
      </c>
    </row>
    <row r="13" spans="2:3" ht="14.45" customHeight="1" x14ac:dyDescent="0.2">
      <c r="B13" s="77" t="s">
        <v>2878</v>
      </c>
    </row>
    <row r="14" spans="2:3" ht="14.45" customHeight="1" x14ac:dyDescent="0.2">
      <c r="B14" s="79" t="s">
        <v>2879</v>
      </c>
    </row>
    <row r="15" spans="2:3" ht="14.45" customHeight="1" x14ac:dyDescent="0.2">
      <c r="B15" s="79" t="s">
        <v>2880</v>
      </c>
    </row>
    <row r="16" spans="2:3" ht="14.45" customHeight="1" x14ac:dyDescent="0.2">
      <c r="B16" s="79" t="s">
        <v>2881</v>
      </c>
    </row>
  </sheetData>
  <phoneticPr fontId="2" type="noConversion"/>
  <dataValidations count="1">
    <dataValidation type="list" allowBlank="1" showInputMessage="1" showErrorMessage="1" sqref="C3" xr:uid="{55527A0B-5EC3-43A5-98E2-D989D0B8FA36}">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0B5B8-AC3C-40F2-A870-0074FE262DC8}">
  <sheetPr codeName="Sheet13">
    <pageSetUpPr fitToPage="1"/>
  </sheetPr>
  <dimension ref="B1:O151"/>
  <sheetViews>
    <sheetView showGridLines="0" zoomScaleNormal="100" workbookViewId="0">
      <pane ySplit="3" topLeftCell="A16" activePane="bottomLeft" state="frozen"/>
      <selection pane="bottomLeft" activeCell="H32" sqref="H32"/>
    </sheetView>
  </sheetViews>
  <sheetFormatPr defaultRowHeight="14.45" customHeight="1" x14ac:dyDescent="0.2"/>
  <cols>
    <col min="1" max="1" width="1.28515625" style="118" customWidth="1"/>
    <col min="2" max="2" width="17.7109375" style="118" customWidth="1"/>
    <col min="3" max="3" width="27.7109375" style="118" customWidth="1"/>
    <col min="4" max="4" width="34.7109375" style="118" customWidth="1"/>
    <col min="5" max="5" width="4.7109375" style="118" customWidth="1"/>
    <col min="6" max="6" width="47.7109375" style="118" customWidth="1"/>
    <col min="7" max="7" width="3.28515625" style="118" customWidth="1"/>
    <col min="8" max="8" width="84.7109375" style="118" customWidth="1"/>
    <col min="9" max="9" width="4.42578125" style="70" customWidth="1"/>
    <col min="10" max="10" width="7" style="70" customWidth="1"/>
    <col min="11" max="11" width="3.28515625" style="4" customWidth="1"/>
    <col min="12" max="12" width="12" style="4" customWidth="1"/>
    <col min="13" max="14" width="5.7109375" style="4" customWidth="1"/>
    <col min="15" max="15" width="6.28515625" style="4" customWidth="1"/>
    <col min="16" max="16384" width="9.140625" style="118"/>
  </cols>
  <sheetData>
    <row r="1" spans="2:15" ht="14.45" customHeight="1" thickBot="1" x14ac:dyDescent="0.25">
      <c r="K1" s="70"/>
      <c r="L1" s="70"/>
      <c r="M1" s="70"/>
      <c r="N1" s="70"/>
      <c r="O1" s="70"/>
    </row>
    <row r="2" spans="2:15" ht="14.45" customHeight="1" x14ac:dyDescent="0.2">
      <c r="B2" s="254" t="s">
        <v>2882</v>
      </c>
      <c r="C2" s="255"/>
      <c r="D2" s="256"/>
      <c r="E2" s="257" t="s">
        <v>2883</v>
      </c>
      <c r="F2" s="258"/>
      <c r="G2" s="258"/>
      <c r="H2" s="259"/>
      <c r="I2" s="260" t="s">
        <v>2884</v>
      </c>
      <c r="J2" s="261"/>
      <c r="K2" s="81" t="s">
        <v>2885</v>
      </c>
      <c r="L2" s="81" t="s">
        <v>79</v>
      </c>
      <c r="M2" s="254" t="s">
        <v>2886</v>
      </c>
      <c r="N2" s="262"/>
      <c r="O2" s="81" t="s">
        <v>2887</v>
      </c>
    </row>
    <row r="3" spans="2:15" ht="14.45" customHeight="1" thickBot="1" x14ac:dyDescent="0.25">
      <c r="B3" s="82" t="s">
        <v>2900</v>
      </c>
      <c r="C3" s="82" t="s">
        <v>2888</v>
      </c>
      <c r="D3" s="83" t="s">
        <v>2889</v>
      </c>
      <c r="E3" s="82" t="s">
        <v>2871</v>
      </c>
      <c r="F3" s="83" t="s">
        <v>2890</v>
      </c>
      <c r="G3" s="85"/>
      <c r="H3" s="84" t="s">
        <v>2891</v>
      </c>
      <c r="I3" s="85" t="s">
        <v>2872</v>
      </c>
      <c r="J3" s="84" t="s">
        <v>2892</v>
      </c>
      <c r="K3" s="86"/>
      <c r="L3" s="86"/>
      <c r="M3" s="82" t="s">
        <v>2893</v>
      </c>
      <c r="N3" s="84" t="s">
        <v>2894</v>
      </c>
      <c r="O3" s="86"/>
    </row>
    <row r="4" spans="2:15" ht="14.45" customHeight="1" x14ac:dyDescent="0.2">
      <c r="B4" s="119" t="s">
        <v>2902</v>
      </c>
      <c r="C4" s="143" t="s">
        <v>2910</v>
      </c>
      <c r="D4" s="151" t="s">
        <v>2904</v>
      </c>
      <c r="E4" s="87" t="s">
        <v>2872</v>
      </c>
      <c r="F4" s="120" t="s">
        <v>3133</v>
      </c>
      <c r="G4" s="162"/>
      <c r="H4" s="121" t="s">
        <v>3478</v>
      </c>
      <c r="I4" s="88" t="s">
        <v>3479</v>
      </c>
      <c r="J4" s="122"/>
      <c r="K4" s="123"/>
      <c r="L4" s="89"/>
      <c r="M4" s="90"/>
      <c r="N4" s="91"/>
      <c r="O4" s="124" t="str">
        <f t="shared" ref="O4:O148" si="0">B4&amp;"-"&amp;C4&amp;"-"&amp;D4&amp;"-"&amp;G4</f>
        <v>제1편 민법총칙-제01장 민법 서론-제01절 서설-</v>
      </c>
    </row>
    <row r="5" spans="2:15" ht="14.45" customHeight="1" x14ac:dyDescent="0.2">
      <c r="B5" s="125" t="s">
        <v>2901</v>
      </c>
      <c r="C5" s="144" t="s">
        <v>2909</v>
      </c>
      <c r="D5" s="110" t="s">
        <v>2903</v>
      </c>
      <c r="E5" s="92"/>
      <c r="F5" s="126"/>
      <c r="G5" s="127"/>
      <c r="H5" s="128"/>
      <c r="I5" s="94"/>
      <c r="J5" s="129"/>
      <c r="K5" s="130"/>
      <c r="L5" s="95"/>
      <c r="M5" s="96"/>
      <c r="N5" s="97"/>
      <c r="O5" s="131" t="str">
        <f t="shared" si="0"/>
        <v>제1편 민법총칙-제01장 민법 서론-제01절 서설-</v>
      </c>
    </row>
    <row r="6" spans="2:15" ht="14.45" customHeight="1" x14ac:dyDescent="0.2">
      <c r="B6" s="125" t="s">
        <v>2901</v>
      </c>
      <c r="C6" s="144" t="s">
        <v>2909</v>
      </c>
      <c r="D6" s="155" t="s">
        <v>2906</v>
      </c>
      <c r="E6" s="98" t="s">
        <v>2895</v>
      </c>
      <c r="F6" s="132" t="s">
        <v>3133</v>
      </c>
      <c r="G6" s="163"/>
      <c r="H6" s="133" t="s">
        <v>3163</v>
      </c>
      <c r="I6" s="100" t="s">
        <v>3069</v>
      </c>
      <c r="J6" s="134"/>
      <c r="K6" s="135"/>
      <c r="L6" s="101"/>
      <c r="M6" s="102"/>
      <c r="N6" s="103"/>
      <c r="O6" s="136" t="str">
        <f t="shared" si="0"/>
        <v>제1편 민법총칙-제01장 민법 서론-제02절 민법의 법원-</v>
      </c>
    </row>
    <row r="7" spans="2:15" ht="14.45" customHeight="1" x14ac:dyDescent="0.2">
      <c r="B7" s="125" t="s">
        <v>2901</v>
      </c>
      <c r="C7" s="144" t="s">
        <v>2909</v>
      </c>
      <c r="D7" s="110" t="s">
        <v>2905</v>
      </c>
      <c r="E7" s="92"/>
      <c r="F7" s="156"/>
      <c r="G7" s="127"/>
      <c r="H7" s="157"/>
      <c r="I7" s="94"/>
      <c r="J7" s="129"/>
      <c r="K7" s="130"/>
      <c r="L7" s="95"/>
      <c r="M7" s="96"/>
      <c r="N7" s="97"/>
      <c r="O7" s="131" t="str">
        <f t="shared" si="0"/>
        <v>제1편 민법총칙-제01장 민법 서론-제02절 민법의 법원-</v>
      </c>
    </row>
    <row r="8" spans="2:15" ht="14.45" customHeight="1" x14ac:dyDescent="0.2">
      <c r="B8" s="125" t="s">
        <v>2901</v>
      </c>
      <c r="C8" s="144" t="s">
        <v>2909</v>
      </c>
      <c r="D8" s="108" t="s">
        <v>2908</v>
      </c>
      <c r="E8" s="98" t="s">
        <v>2895</v>
      </c>
      <c r="F8" s="132" t="s">
        <v>3133</v>
      </c>
      <c r="G8" s="163"/>
      <c r="H8" s="133" t="s">
        <v>3164</v>
      </c>
      <c r="I8" s="100" t="s">
        <v>3070</v>
      </c>
      <c r="J8" s="134"/>
      <c r="K8" s="135"/>
      <c r="L8" s="101"/>
      <c r="M8" s="102"/>
      <c r="N8" s="103"/>
      <c r="O8" s="136" t="str">
        <f t="shared" si="0"/>
        <v>제1편 민법총칙-제01장 민법 서론-제03절 민법의 기본원리-</v>
      </c>
    </row>
    <row r="9" spans="2:15" ht="14.45" customHeight="1" thickBot="1" x14ac:dyDescent="0.25">
      <c r="B9" s="125" t="s">
        <v>2901</v>
      </c>
      <c r="C9" s="145" t="s">
        <v>2909</v>
      </c>
      <c r="D9" s="152" t="s">
        <v>2907</v>
      </c>
      <c r="E9" s="31"/>
      <c r="F9" s="137"/>
      <c r="G9" s="138"/>
      <c r="H9" s="64"/>
      <c r="I9" s="104"/>
      <c r="J9" s="139"/>
      <c r="K9" s="140"/>
      <c r="L9" s="105"/>
      <c r="M9" s="106"/>
      <c r="N9" s="107"/>
      <c r="O9" s="141" t="str">
        <f t="shared" si="0"/>
        <v>제1편 민법총칙-제01장 민법 서론-제03절 민법의 기본원리-</v>
      </c>
    </row>
    <row r="10" spans="2:15" ht="14.45" customHeight="1" x14ac:dyDescent="0.2">
      <c r="B10" s="125" t="s">
        <v>2901</v>
      </c>
      <c r="C10" s="153" t="s">
        <v>2912</v>
      </c>
      <c r="D10" s="154" t="s">
        <v>2914</v>
      </c>
      <c r="E10" s="87" t="s">
        <v>2895</v>
      </c>
      <c r="F10" s="120" t="s">
        <v>3134</v>
      </c>
      <c r="G10" s="162"/>
      <c r="H10" s="121" t="s">
        <v>3165</v>
      </c>
      <c r="I10" s="88" t="s">
        <v>3071</v>
      </c>
      <c r="J10" s="122"/>
      <c r="K10" s="123"/>
      <c r="L10" s="89"/>
      <c r="M10" s="90"/>
      <c r="N10" s="91"/>
      <c r="O10" s="124" t="str">
        <f t="shared" si="0"/>
        <v>제1편 민법총칙-제02장 권리 일반-제01절 법률관계의 권리・의무-</v>
      </c>
    </row>
    <row r="11" spans="2:15" ht="14.45" customHeight="1" x14ac:dyDescent="0.2">
      <c r="B11" s="125" t="s">
        <v>2901</v>
      </c>
      <c r="C11" s="144" t="s">
        <v>2911</v>
      </c>
      <c r="D11" s="110" t="s">
        <v>2913</v>
      </c>
      <c r="E11" s="92"/>
      <c r="F11" s="126"/>
      <c r="G11" s="127"/>
      <c r="H11" s="128"/>
      <c r="I11" s="94"/>
      <c r="J11" s="129"/>
      <c r="K11" s="130"/>
      <c r="L11" s="95"/>
      <c r="M11" s="96"/>
      <c r="N11" s="97"/>
      <c r="O11" s="131" t="str">
        <f t="shared" si="0"/>
        <v>제1편 민법총칙-제02장 권리 일반-제01절 법률관계의 권리・의무-</v>
      </c>
    </row>
    <row r="12" spans="2:15" ht="14.45" customHeight="1" x14ac:dyDescent="0.2">
      <c r="B12" s="125" t="s">
        <v>2901</v>
      </c>
      <c r="C12" s="144" t="s">
        <v>2911</v>
      </c>
      <c r="D12" s="108" t="s">
        <v>2916</v>
      </c>
      <c r="E12" s="98" t="s">
        <v>2895</v>
      </c>
      <c r="F12" s="132" t="s">
        <v>3134</v>
      </c>
      <c r="G12" s="163"/>
      <c r="H12" s="133" t="s">
        <v>3166</v>
      </c>
      <c r="I12" s="100" t="s">
        <v>3072</v>
      </c>
      <c r="J12" s="134"/>
      <c r="K12" s="135"/>
      <c r="L12" s="101"/>
      <c r="M12" s="102"/>
      <c r="N12" s="103"/>
      <c r="O12" s="136" t="str">
        <f t="shared" si="0"/>
        <v>제1편 민법총칙-제02장 권리 일반-제02절 신의성실의 원칙-</v>
      </c>
    </row>
    <row r="13" spans="2:15" ht="14.45" customHeight="1" thickBot="1" x14ac:dyDescent="0.25">
      <c r="B13" s="125" t="s">
        <v>2901</v>
      </c>
      <c r="C13" s="145" t="s">
        <v>2911</v>
      </c>
      <c r="D13" s="152" t="s">
        <v>2915</v>
      </c>
      <c r="E13" s="31"/>
      <c r="F13" s="137"/>
      <c r="G13" s="138"/>
      <c r="H13" s="64"/>
      <c r="I13" s="104"/>
      <c r="J13" s="139"/>
      <c r="K13" s="140"/>
      <c r="L13" s="105"/>
      <c r="M13" s="106"/>
      <c r="N13" s="107"/>
      <c r="O13" s="141" t="str">
        <f t="shared" si="0"/>
        <v>제1편 민법총칙-제02장 권리 일반-제02절 신의성실의 원칙-</v>
      </c>
    </row>
    <row r="14" spans="2:15" ht="14.45" customHeight="1" x14ac:dyDescent="0.2">
      <c r="B14" s="125" t="s">
        <v>2901</v>
      </c>
      <c r="C14" s="153" t="s">
        <v>2918</v>
      </c>
      <c r="D14" s="154" t="s">
        <v>3451</v>
      </c>
      <c r="E14" s="87" t="s">
        <v>2895</v>
      </c>
      <c r="F14" s="120" t="s">
        <v>3136</v>
      </c>
      <c r="G14" s="162"/>
      <c r="H14" s="121" t="s">
        <v>3453</v>
      </c>
      <c r="I14" s="88" t="s">
        <v>3480</v>
      </c>
      <c r="J14" s="122"/>
      <c r="K14" s="123"/>
      <c r="L14" s="89"/>
      <c r="M14" s="90"/>
      <c r="N14" s="91"/>
      <c r="O14" s="124" t="str">
        <f t="shared" si="0"/>
        <v>제1편 민법총칙-제03장 권리의 주체-제01절 권리주체 서설-</v>
      </c>
    </row>
    <row r="15" spans="2:15" ht="14.45" customHeight="1" x14ac:dyDescent="0.2">
      <c r="B15" s="125" t="s">
        <v>2901</v>
      </c>
      <c r="C15" s="144" t="s">
        <v>2917</v>
      </c>
      <c r="D15" s="110" t="s">
        <v>3452</v>
      </c>
      <c r="E15" s="92"/>
      <c r="F15" s="126"/>
      <c r="G15" s="127"/>
      <c r="H15" s="128"/>
      <c r="I15" s="94"/>
      <c r="J15" s="129"/>
      <c r="K15" s="130"/>
      <c r="L15" s="95"/>
      <c r="M15" s="96"/>
      <c r="N15" s="97"/>
      <c r="O15" s="131" t="str">
        <f t="shared" si="0"/>
        <v>제1편 민법총칙-제03장 권리의 주체-제01절 권리주체 서설-</v>
      </c>
    </row>
    <row r="16" spans="2:15" ht="14.45" customHeight="1" x14ac:dyDescent="0.2">
      <c r="B16" s="125" t="s">
        <v>2901</v>
      </c>
      <c r="C16" s="144" t="s">
        <v>2917</v>
      </c>
      <c r="D16" s="108" t="s">
        <v>2920</v>
      </c>
      <c r="E16" s="98" t="s">
        <v>2895</v>
      </c>
      <c r="F16" s="132" t="s">
        <v>3135</v>
      </c>
      <c r="G16" s="163"/>
      <c r="H16" s="133" t="s">
        <v>3150</v>
      </c>
      <c r="I16" s="100" t="s">
        <v>3073</v>
      </c>
      <c r="J16" s="134"/>
      <c r="K16" s="135"/>
      <c r="L16" s="101"/>
      <c r="M16" s="102"/>
      <c r="N16" s="103"/>
      <c r="O16" s="136" t="str">
        <f t="shared" si="0"/>
        <v>제1편 민법총칙-제03장 권리의 주체-제02절 자연인-</v>
      </c>
    </row>
    <row r="17" spans="2:15" ht="14.45" customHeight="1" x14ac:dyDescent="0.2">
      <c r="B17" s="125" t="s">
        <v>2901</v>
      </c>
      <c r="C17" s="144" t="s">
        <v>2917</v>
      </c>
      <c r="D17" s="110" t="s">
        <v>2919</v>
      </c>
      <c r="E17" s="92"/>
      <c r="F17" s="126"/>
      <c r="G17" s="127"/>
      <c r="H17" s="128"/>
      <c r="I17" s="94"/>
      <c r="J17" s="129"/>
      <c r="K17" s="130"/>
      <c r="L17" s="95"/>
      <c r="M17" s="96"/>
      <c r="N17" s="97"/>
      <c r="O17" s="131" t="str">
        <f t="shared" si="0"/>
        <v>제1편 민법총칙-제03장 권리의 주체-제02절 자연인-</v>
      </c>
    </row>
    <row r="18" spans="2:15" ht="14.45" customHeight="1" x14ac:dyDescent="0.2">
      <c r="B18" s="125" t="s">
        <v>2901</v>
      </c>
      <c r="C18" s="144" t="s">
        <v>2917</v>
      </c>
      <c r="D18" s="108" t="s">
        <v>2922</v>
      </c>
      <c r="E18" s="98" t="s">
        <v>2895</v>
      </c>
      <c r="F18" s="132" t="s">
        <v>3135</v>
      </c>
      <c r="G18" s="163"/>
      <c r="H18" s="133" t="s">
        <v>3151</v>
      </c>
      <c r="I18" s="100" t="s">
        <v>3074</v>
      </c>
      <c r="J18" s="134"/>
      <c r="K18" s="135"/>
      <c r="L18" s="101"/>
      <c r="M18" s="102"/>
      <c r="N18" s="103"/>
      <c r="O18" s="136" t="str">
        <f t="shared" si="0"/>
        <v>제1편 민법총칙-제03장 권리의 주체-제03절 법인-</v>
      </c>
    </row>
    <row r="19" spans="2:15" ht="14.45" customHeight="1" thickBot="1" x14ac:dyDescent="0.25">
      <c r="B19" s="125" t="s">
        <v>2901</v>
      </c>
      <c r="C19" s="145" t="s">
        <v>2917</v>
      </c>
      <c r="D19" s="152" t="s">
        <v>2921</v>
      </c>
      <c r="E19" s="31"/>
      <c r="F19" s="137"/>
      <c r="G19" s="138"/>
      <c r="H19" s="64"/>
      <c r="I19" s="104"/>
      <c r="J19" s="139"/>
      <c r="K19" s="140"/>
      <c r="L19" s="105"/>
      <c r="M19" s="106"/>
      <c r="N19" s="107"/>
      <c r="O19" s="141" t="str">
        <f t="shared" si="0"/>
        <v>제1편 민법총칙-제03장 권리의 주체-제03절 법인-</v>
      </c>
    </row>
    <row r="20" spans="2:15" ht="14.45" customHeight="1" x14ac:dyDescent="0.2">
      <c r="B20" s="125" t="s">
        <v>2901</v>
      </c>
      <c r="C20" s="153" t="s">
        <v>2924</v>
      </c>
      <c r="D20" s="154" t="s">
        <v>3475</v>
      </c>
      <c r="E20" s="87" t="s">
        <v>2895</v>
      </c>
      <c r="F20" s="120" t="s">
        <v>3137</v>
      </c>
      <c r="G20" s="162"/>
      <c r="H20" s="121" t="s">
        <v>3477</v>
      </c>
      <c r="I20" s="88" t="s">
        <v>3481</v>
      </c>
      <c r="J20" s="122"/>
      <c r="K20" s="123"/>
      <c r="L20" s="89"/>
      <c r="M20" s="90"/>
      <c r="N20" s="91"/>
      <c r="O20" s="124" t="str">
        <f t="shared" si="0"/>
        <v>제1편 민법총칙-제04장 권리의 객체-제01절 권리객체 서설-</v>
      </c>
    </row>
    <row r="21" spans="2:15" ht="14.45" customHeight="1" x14ac:dyDescent="0.2">
      <c r="B21" s="125" t="s">
        <v>2901</v>
      </c>
      <c r="C21" s="144" t="s">
        <v>2923</v>
      </c>
      <c r="D21" s="110" t="s">
        <v>3476</v>
      </c>
      <c r="E21" s="92"/>
      <c r="F21" s="126"/>
      <c r="G21" s="127"/>
      <c r="H21" s="128"/>
      <c r="I21" s="94"/>
      <c r="J21" s="129"/>
      <c r="K21" s="130"/>
      <c r="L21" s="95"/>
      <c r="M21" s="96"/>
      <c r="N21" s="97"/>
      <c r="O21" s="131" t="str">
        <f t="shared" si="0"/>
        <v>제1편 민법총칙-제04장 권리의 객체-제01절 권리객체 서설-</v>
      </c>
    </row>
    <row r="22" spans="2:15" ht="14.45" customHeight="1" x14ac:dyDescent="0.2">
      <c r="B22" s="125" t="s">
        <v>2901</v>
      </c>
      <c r="C22" s="144" t="s">
        <v>2923</v>
      </c>
      <c r="D22" s="108" t="s">
        <v>2926</v>
      </c>
      <c r="E22" s="98" t="s">
        <v>2895</v>
      </c>
      <c r="F22" s="132" t="s">
        <v>3137</v>
      </c>
      <c r="G22" s="163"/>
      <c r="H22" s="133" t="s">
        <v>3152</v>
      </c>
      <c r="I22" s="100" t="s">
        <v>3075</v>
      </c>
      <c r="J22" s="134"/>
      <c r="K22" s="135"/>
      <c r="L22" s="101"/>
      <c r="M22" s="102"/>
      <c r="N22" s="103"/>
      <c r="O22" s="136" t="str">
        <f t="shared" si="0"/>
        <v>제1편 민법총칙-제04장 권리의 객체-제02절 물건-</v>
      </c>
    </row>
    <row r="23" spans="2:15" ht="14.45" customHeight="1" x14ac:dyDescent="0.2">
      <c r="B23" s="125" t="s">
        <v>2901</v>
      </c>
      <c r="C23" s="144" t="s">
        <v>2923</v>
      </c>
      <c r="D23" s="110" t="s">
        <v>2925</v>
      </c>
      <c r="E23" s="92"/>
      <c r="F23" s="126"/>
      <c r="G23" s="127"/>
      <c r="H23" s="128"/>
      <c r="I23" s="94"/>
      <c r="J23" s="129"/>
      <c r="K23" s="130"/>
      <c r="L23" s="95"/>
      <c r="M23" s="96"/>
      <c r="N23" s="97"/>
      <c r="O23" s="131" t="str">
        <f t="shared" si="0"/>
        <v>제1편 민법총칙-제04장 권리의 객체-제02절 물건-</v>
      </c>
    </row>
    <row r="24" spans="2:15" ht="14.45" customHeight="1" x14ac:dyDescent="0.2">
      <c r="B24" s="125" t="s">
        <v>2901</v>
      </c>
      <c r="C24" s="144" t="s">
        <v>2923</v>
      </c>
      <c r="D24" s="108" t="s">
        <v>2928</v>
      </c>
      <c r="E24" s="98" t="s">
        <v>2895</v>
      </c>
      <c r="F24" s="132" t="s">
        <v>3137</v>
      </c>
      <c r="G24" s="163"/>
      <c r="H24" s="133" t="s">
        <v>3167</v>
      </c>
      <c r="I24" s="100" t="s">
        <v>3076</v>
      </c>
      <c r="J24" s="134"/>
      <c r="K24" s="135"/>
      <c r="L24" s="101"/>
      <c r="M24" s="102"/>
      <c r="N24" s="103"/>
      <c r="O24" s="136" t="str">
        <f t="shared" si="0"/>
        <v>제1편 민법총칙-제04장 권리의 객체-제03절 동산과 부동산-</v>
      </c>
    </row>
    <row r="25" spans="2:15" ht="14.45" customHeight="1" x14ac:dyDescent="0.2">
      <c r="B25" s="125" t="s">
        <v>2901</v>
      </c>
      <c r="C25" s="144" t="s">
        <v>2923</v>
      </c>
      <c r="D25" s="110" t="s">
        <v>2927</v>
      </c>
      <c r="E25" s="92"/>
      <c r="F25" s="126"/>
      <c r="G25" s="127"/>
      <c r="H25" s="128"/>
      <c r="I25" s="94"/>
      <c r="J25" s="129"/>
      <c r="K25" s="130"/>
      <c r="L25" s="95"/>
      <c r="M25" s="96"/>
      <c r="N25" s="97"/>
      <c r="O25" s="131" t="str">
        <f t="shared" si="0"/>
        <v>제1편 민법총칙-제04장 권리의 객체-제03절 동산과 부동산-</v>
      </c>
    </row>
    <row r="26" spans="2:15" ht="14.45" customHeight="1" x14ac:dyDescent="0.2">
      <c r="B26" s="125" t="s">
        <v>2901</v>
      </c>
      <c r="C26" s="144" t="s">
        <v>2923</v>
      </c>
      <c r="D26" s="108" t="s">
        <v>2930</v>
      </c>
      <c r="E26" s="98" t="s">
        <v>2895</v>
      </c>
      <c r="F26" s="132" t="s">
        <v>3137</v>
      </c>
      <c r="G26" s="163"/>
      <c r="H26" s="133" t="s">
        <v>3168</v>
      </c>
      <c r="I26" s="100" t="s">
        <v>3077</v>
      </c>
      <c r="J26" s="134"/>
      <c r="K26" s="135"/>
      <c r="L26" s="101"/>
      <c r="M26" s="102"/>
      <c r="N26" s="103"/>
      <c r="O26" s="136" t="str">
        <f t="shared" si="0"/>
        <v>제1편 민법총칙-제04장 권리의 객체-제04절 주물과 종물-</v>
      </c>
    </row>
    <row r="27" spans="2:15" ht="14.45" customHeight="1" x14ac:dyDescent="0.2">
      <c r="B27" s="125" t="s">
        <v>2901</v>
      </c>
      <c r="C27" s="144" t="s">
        <v>2923</v>
      </c>
      <c r="D27" s="110" t="s">
        <v>2929</v>
      </c>
      <c r="E27" s="92"/>
      <c r="F27" s="126"/>
      <c r="G27" s="127"/>
      <c r="H27" s="128"/>
      <c r="I27" s="94"/>
      <c r="J27" s="129"/>
      <c r="K27" s="130"/>
      <c r="L27" s="95"/>
      <c r="M27" s="96"/>
      <c r="N27" s="97"/>
      <c r="O27" s="131" t="str">
        <f t="shared" si="0"/>
        <v>제1편 민법총칙-제04장 권리의 객체-제04절 주물과 종물-</v>
      </c>
    </row>
    <row r="28" spans="2:15" ht="14.45" customHeight="1" x14ac:dyDescent="0.2">
      <c r="B28" s="125" t="s">
        <v>2901</v>
      </c>
      <c r="C28" s="144" t="s">
        <v>2923</v>
      </c>
      <c r="D28" s="108" t="s">
        <v>2932</v>
      </c>
      <c r="E28" s="98" t="s">
        <v>2895</v>
      </c>
      <c r="F28" s="132" t="s">
        <v>3137</v>
      </c>
      <c r="G28" s="163"/>
      <c r="H28" s="133" t="s">
        <v>3169</v>
      </c>
      <c r="I28" s="100" t="s">
        <v>3078</v>
      </c>
      <c r="J28" s="134"/>
      <c r="K28" s="135"/>
      <c r="L28" s="101"/>
      <c r="M28" s="102"/>
      <c r="N28" s="103"/>
      <c r="O28" s="136" t="str">
        <f t="shared" si="0"/>
        <v>제1편 민법총칙-제04장 권리의 객체-제05절 원물과 과실-</v>
      </c>
    </row>
    <row r="29" spans="2:15" ht="14.45" customHeight="1" thickBot="1" x14ac:dyDescent="0.25">
      <c r="B29" s="125" t="s">
        <v>2901</v>
      </c>
      <c r="C29" s="145" t="s">
        <v>2923</v>
      </c>
      <c r="D29" s="152" t="s">
        <v>2931</v>
      </c>
      <c r="E29" s="31"/>
      <c r="F29" s="137"/>
      <c r="G29" s="138"/>
      <c r="H29" s="64"/>
      <c r="I29" s="104"/>
      <c r="J29" s="139"/>
      <c r="K29" s="140"/>
      <c r="L29" s="105"/>
      <c r="M29" s="106"/>
      <c r="N29" s="107"/>
      <c r="O29" s="141" t="str">
        <f t="shared" si="0"/>
        <v>제1편 민법총칙-제04장 권리의 객체-제05절 원물과 과실-</v>
      </c>
    </row>
    <row r="30" spans="2:15" ht="14.45" customHeight="1" x14ac:dyDescent="0.2">
      <c r="B30" s="125" t="s">
        <v>2901</v>
      </c>
      <c r="C30" s="153" t="s">
        <v>2934</v>
      </c>
      <c r="D30" s="154" t="s">
        <v>3454</v>
      </c>
      <c r="E30" s="87" t="s">
        <v>2895</v>
      </c>
      <c r="F30" s="120" t="s">
        <v>3138</v>
      </c>
      <c r="G30" s="162"/>
      <c r="H30" s="121" t="s">
        <v>3456</v>
      </c>
      <c r="I30" s="88" t="s">
        <v>3482</v>
      </c>
      <c r="J30" s="122"/>
      <c r="K30" s="123"/>
      <c r="L30" s="89"/>
      <c r="M30" s="90"/>
      <c r="N30" s="91"/>
      <c r="O30" s="124" t="str">
        <f t="shared" si="0"/>
        <v>제1편 민법총칙-제05장 권리의 변동-제01절 권리변동 서설-</v>
      </c>
    </row>
    <row r="31" spans="2:15" ht="14.45" customHeight="1" x14ac:dyDescent="0.2">
      <c r="B31" s="125" t="s">
        <v>2901</v>
      </c>
      <c r="C31" s="144" t="s">
        <v>2933</v>
      </c>
      <c r="D31" s="110" t="s">
        <v>3455</v>
      </c>
      <c r="E31" s="92"/>
      <c r="F31" s="126"/>
      <c r="G31" s="127"/>
      <c r="H31" s="128"/>
      <c r="I31" s="94"/>
      <c r="J31" s="129"/>
      <c r="K31" s="130"/>
      <c r="L31" s="95"/>
      <c r="M31" s="96"/>
      <c r="N31" s="97"/>
      <c r="O31" s="131" t="str">
        <f t="shared" si="0"/>
        <v>제1편 민법총칙-제05장 권리의 변동-제01절 권리변동 서설-</v>
      </c>
    </row>
    <row r="32" spans="2:15" ht="14.45" customHeight="1" x14ac:dyDescent="0.2">
      <c r="B32" s="125" t="s">
        <v>2901</v>
      </c>
      <c r="C32" s="144" t="s">
        <v>2933</v>
      </c>
      <c r="D32" s="108" t="s">
        <v>2936</v>
      </c>
      <c r="E32" s="98" t="s">
        <v>2895</v>
      </c>
      <c r="F32" s="132" t="s">
        <v>3138</v>
      </c>
      <c r="G32" s="163"/>
      <c r="H32" s="133" t="s">
        <v>3153</v>
      </c>
      <c r="I32" s="100" t="s">
        <v>3079</v>
      </c>
      <c r="J32" s="134"/>
      <c r="K32" s="135"/>
      <c r="L32" s="101"/>
      <c r="M32" s="102"/>
      <c r="N32" s="103"/>
      <c r="O32" s="136" t="str">
        <f t="shared" si="0"/>
        <v>제1편 민법총칙-제05장 권리의 변동-제02절 법률행위-</v>
      </c>
    </row>
    <row r="33" spans="2:15" ht="14.45" customHeight="1" x14ac:dyDescent="0.2">
      <c r="B33" s="125" t="s">
        <v>2901</v>
      </c>
      <c r="C33" s="144" t="s">
        <v>2933</v>
      </c>
      <c r="D33" s="110" t="s">
        <v>2935</v>
      </c>
      <c r="E33" s="92"/>
      <c r="F33" s="126"/>
      <c r="G33" s="127"/>
      <c r="H33" s="128"/>
      <c r="I33" s="94"/>
      <c r="J33" s="129"/>
      <c r="K33" s="130"/>
      <c r="L33" s="95"/>
      <c r="M33" s="96"/>
      <c r="N33" s="97"/>
      <c r="O33" s="131" t="str">
        <f t="shared" si="0"/>
        <v>제1편 민법총칙-제05장 권리의 변동-제02절 법률행위-</v>
      </c>
    </row>
    <row r="34" spans="2:15" ht="14.45" customHeight="1" x14ac:dyDescent="0.2">
      <c r="B34" s="125" t="s">
        <v>2901</v>
      </c>
      <c r="C34" s="144" t="s">
        <v>2933</v>
      </c>
      <c r="D34" s="108" t="s">
        <v>2938</v>
      </c>
      <c r="E34" s="98" t="s">
        <v>2895</v>
      </c>
      <c r="F34" s="132" t="s">
        <v>3138</v>
      </c>
      <c r="G34" s="163"/>
      <c r="H34" s="133" t="s">
        <v>3154</v>
      </c>
      <c r="I34" s="100" t="s">
        <v>3080</v>
      </c>
      <c r="J34" s="134"/>
      <c r="K34" s="135"/>
      <c r="L34" s="101"/>
      <c r="M34" s="102"/>
      <c r="N34" s="103"/>
      <c r="O34" s="136" t="str">
        <f t="shared" si="0"/>
        <v>제1편 민법총칙-제05장 권리의 변동-제03절 의사표시-</v>
      </c>
    </row>
    <row r="35" spans="2:15" ht="14.45" customHeight="1" x14ac:dyDescent="0.2">
      <c r="B35" s="125" t="s">
        <v>2901</v>
      </c>
      <c r="C35" s="144" t="s">
        <v>2933</v>
      </c>
      <c r="D35" s="110" t="s">
        <v>2937</v>
      </c>
      <c r="E35" s="92"/>
      <c r="F35" s="126"/>
      <c r="G35" s="127"/>
      <c r="H35" s="128"/>
      <c r="I35" s="94"/>
      <c r="J35" s="129"/>
      <c r="K35" s="130"/>
      <c r="L35" s="95"/>
      <c r="M35" s="96"/>
      <c r="N35" s="97"/>
      <c r="O35" s="131" t="str">
        <f t="shared" si="0"/>
        <v>제1편 민법총칙-제05장 권리의 변동-제03절 의사표시-</v>
      </c>
    </row>
    <row r="36" spans="2:15" ht="14.45" customHeight="1" x14ac:dyDescent="0.2">
      <c r="B36" s="125" t="s">
        <v>2901</v>
      </c>
      <c r="C36" s="144" t="s">
        <v>2933</v>
      </c>
      <c r="D36" s="108" t="s">
        <v>2940</v>
      </c>
      <c r="E36" s="98" t="s">
        <v>2895</v>
      </c>
      <c r="F36" s="132" t="s">
        <v>3138</v>
      </c>
      <c r="G36" s="163"/>
      <c r="H36" s="133" t="s">
        <v>3170</v>
      </c>
      <c r="I36" s="100" t="s">
        <v>3081</v>
      </c>
      <c r="J36" s="134"/>
      <c r="K36" s="135"/>
      <c r="L36" s="101"/>
      <c r="M36" s="102"/>
      <c r="N36" s="103"/>
      <c r="O36" s="136" t="str">
        <f t="shared" si="0"/>
        <v>제1편 민법총칙-제05장 권리의 변동-제04절 법률행위의 대리-</v>
      </c>
    </row>
    <row r="37" spans="2:15" ht="14.45" customHeight="1" x14ac:dyDescent="0.2">
      <c r="B37" s="125" t="s">
        <v>2901</v>
      </c>
      <c r="C37" s="144" t="s">
        <v>2933</v>
      </c>
      <c r="D37" s="110" t="s">
        <v>2939</v>
      </c>
      <c r="E37" s="92"/>
      <c r="F37" s="126"/>
      <c r="G37" s="127"/>
      <c r="H37" s="128"/>
      <c r="I37" s="94"/>
      <c r="J37" s="129"/>
      <c r="K37" s="130"/>
      <c r="L37" s="95"/>
      <c r="M37" s="96"/>
      <c r="N37" s="97"/>
      <c r="O37" s="131" t="str">
        <f t="shared" si="0"/>
        <v>제1편 민법총칙-제05장 권리의 변동-제04절 법률행위의 대리-</v>
      </c>
    </row>
    <row r="38" spans="2:15" ht="14.45" customHeight="1" x14ac:dyDescent="0.2">
      <c r="B38" s="125" t="s">
        <v>2901</v>
      </c>
      <c r="C38" s="144" t="s">
        <v>2933</v>
      </c>
      <c r="D38" s="108" t="s">
        <v>2942</v>
      </c>
      <c r="E38" s="98" t="s">
        <v>2895</v>
      </c>
      <c r="F38" s="132" t="s">
        <v>3138</v>
      </c>
      <c r="G38" s="163"/>
      <c r="H38" s="133" t="s">
        <v>3171</v>
      </c>
      <c r="I38" s="100" t="s">
        <v>3082</v>
      </c>
      <c r="J38" s="134"/>
      <c r="K38" s="135"/>
      <c r="L38" s="101"/>
      <c r="M38" s="102"/>
      <c r="N38" s="103"/>
      <c r="O38" s="136" t="str">
        <f t="shared" si="0"/>
        <v>제1편 민법총칙-제05장 권리의 변동-제05절 법률행위의 무효와 취소-</v>
      </c>
    </row>
    <row r="39" spans="2:15" ht="14.45" customHeight="1" x14ac:dyDescent="0.2">
      <c r="B39" s="125" t="s">
        <v>2901</v>
      </c>
      <c r="C39" s="144" t="s">
        <v>2933</v>
      </c>
      <c r="D39" s="110" t="s">
        <v>2941</v>
      </c>
      <c r="E39" s="92"/>
      <c r="F39" s="126"/>
      <c r="G39" s="127"/>
      <c r="H39" s="128"/>
      <c r="I39" s="94"/>
      <c r="J39" s="129"/>
      <c r="K39" s="130"/>
      <c r="L39" s="95"/>
      <c r="M39" s="96"/>
      <c r="N39" s="97"/>
      <c r="O39" s="131" t="str">
        <f t="shared" si="0"/>
        <v>제1편 민법총칙-제05장 권리의 변동-제05절 법률행위의 무효와 취소-</v>
      </c>
    </row>
    <row r="40" spans="2:15" ht="14.45" customHeight="1" x14ac:dyDescent="0.2">
      <c r="B40" s="125" t="s">
        <v>2901</v>
      </c>
      <c r="C40" s="144" t="s">
        <v>2933</v>
      </c>
      <c r="D40" s="108" t="s">
        <v>2944</v>
      </c>
      <c r="E40" s="98" t="s">
        <v>2895</v>
      </c>
      <c r="F40" s="132" t="s">
        <v>3138</v>
      </c>
      <c r="G40" s="163"/>
      <c r="H40" s="133" t="s">
        <v>3172</v>
      </c>
      <c r="I40" s="100" t="s">
        <v>3083</v>
      </c>
      <c r="J40" s="134"/>
      <c r="K40" s="135"/>
      <c r="L40" s="101"/>
      <c r="M40" s="102"/>
      <c r="N40" s="103"/>
      <c r="O40" s="136" t="str">
        <f t="shared" si="0"/>
        <v>제1편 민법총칙-제05장 권리의 변동-제06절 법률행위의 부관-</v>
      </c>
    </row>
    <row r="41" spans="2:15" ht="14.45" customHeight="1" thickBot="1" x14ac:dyDescent="0.25">
      <c r="B41" s="125" t="s">
        <v>2901</v>
      </c>
      <c r="C41" s="145" t="s">
        <v>2933</v>
      </c>
      <c r="D41" s="152" t="s">
        <v>2943</v>
      </c>
      <c r="E41" s="31"/>
      <c r="F41" s="137"/>
      <c r="G41" s="138"/>
      <c r="H41" s="64"/>
      <c r="I41" s="104"/>
      <c r="J41" s="139"/>
      <c r="K41" s="140"/>
      <c r="L41" s="105"/>
      <c r="M41" s="106"/>
      <c r="N41" s="107"/>
      <c r="O41" s="141" t="str">
        <f t="shared" si="0"/>
        <v>제1편 민법총칙-제05장 권리의 변동-제06절 법률행위의 부관-</v>
      </c>
    </row>
    <row r="42" spans="2:15" ht="14.45" customHeight="1" x14ac:dyDescent="0.2">
      <c r="B42" s="125" t="s">
        <v>2901</v>
      </c>
      <c r="C42" s="153" t="s">
        <v>2946</v>
      </c>
      <c r="D42" s="154" t="s">
        <v>2948</v>
      </c>
      <c r="E42" s="87" t="s">
        <v>2895</v>
      </c>
      <c r="F42" s="120" t="s">
        <v>3139</v>
      </c>
      <c r="G42" s="162"/>
      <c r="H42" s="121" t="s">
        <v>3173</v>
      </c>
      <c r="I42" s="88" t="s">
        <v>3084</v>
      </c>
      <c r="J42" s="122"/>
      <c r="K42" s="123"/>
      <c r="L42" s="89"/>
      <c r="M42" s="90"/>
      <c r="N42" s="91"/>
      <c r="O42" s="124" t="str">
        <f t="shared" si="0"/>
        <v>제1편 민법총칙-제06장 기간-제01절 기간의 의의-</v>
      </c>
    </row>
    <row r="43" spans="2:15" ht="14.45" customHeight="1" x14ac:dyDescent="0.2">
      <c r="B43" s="125" t="s">
        <v>2901</v>
      </c>
      <c r="C43" s="144" t="s">
        <v>2945</v>
      </c>
      <c r="D43" s="110" t="s">
        <v>2947</v>
      </c>
      <c r="E43" s="92"/>
      <c r="F43" s="126"/>
      <c r="G43" s="127"/>
      <c r="H43" s="128"/>
      <c r="I43" s="94"/>
      <c r="J43" s="129"/>
      <c r="K43" s="130"/>
      <c r="L43" s="95"/>
      <c r="M43" s="96"/>
      <c r="N43" s="97"/>
      <c r="O43" s="131" t="str">
        <f t="shared" si="0"/>
        <v>제1편 민법총칙-제06장 기간-제01절 기간의 의의-</v>
      </c>
    </row>
    <row r="44" spans="2:15" ht="14.45" customHeight="1" x14ac:dyDescent="0.2">
      <c r="B44" s="125" t="s">
        <v>2901</v>
      </c>
      <c r="C44" s="144" t="s">
        <v>2945</v>
      </c>
      <c r="D44" s="108" t="s">
        <v>2950</v>
      </c>
      <c r="E44" s="98" t="s">
        <v>2895</v>
      </c>
      <c r="F44" s="132" t="s">
        <v>3139</v>
      </c>
      <c r="G44" s="163"/>
      <c r="H44" s="133" t="s">
        <v>3174</v>
      </c>
      <c r="I44" s="100" t="s">
        <v>3085</v>
      </c>
      <c r="J44" s="134"/>
      <c r="K44" s="135"/>
      <c r="L44" s="101"/>
      <c r="M44" s="102"/>
      <c r="N44" s="103"/>
      <c r="O44" s="136" t="str">
        <f t="shared" si="0"/>
        <v>제1편 민법총칙-제06장 기간-제02절 기간의 계산방법-</v>
      </c>
    </row>
    <row r="45" spans="2:15" ht="14.45" customHeight="1" thickBot="1" x14ac:dyDescent="0.25">
      <c r="B45" s="125" t="s">
        <v>2901</v>
      </c>
      <c r="C45" s="145" t="s">
        <v>2945</v>
      </c>
      <c r="D45" s="152" t="s">
        <v>2949</v>
      </c>
      <c r="E45" s="31"/>
      <c r="F45" s="137"/>
      <c r="G45" s="138"/>
      <c r="H45" s="64"/>
      <c r="I45" s="104"/>
      <c r="J45" s="139"/>
      <c r="K45" s="140"/>
      <c r="L45" s="105"/>
      <c r="M45" s="106"/>
      <c r="N45" s="107"/>
      <c r="O45" s="141" t="str">
        <f t="shared" si="0"/>
        <v>제1편 민법총칙-제06장 기간-제02절 기간의 계산방법-</v>
      </c>
    </row>
    <row r="46" spans="2:15" ht="14.45" customHeight="1" x14ac:dyDescent="0.2">
      <c r="B46" s="125" t="s">
        <v>2901</v>
      </c>
      <c r="C46" s="153" t="s">
        <v>2952</v>
      </c>
      <c r="D46" s="154" t="s">
        <v>3457</v>
      </c>
      <c r="E46" s="87" t="s">
        <v>2895</v>
      </c>
      <c r="F46" s="120" t="s">
        <v>3140</v>
      </c>
      <c r="G46" s="162"/>
      <c r="H46" s="121" t="s">
        <v>3459</v>
      </c>
      <c r="I46" s="88" t="s">
        <v>3483</v>
      </c>
      <c r="J46" s="122"/>
      <c r="K46" s="123"/>
      <c r="L46" s="89"/>
      <c r="M46" s="90"/>
      <c r="N46" s="91"/>
      <c r="O46" s="124" t="str">
        <f t="shared" si="0"/>
        <v>제1편 민법총칙-제07장 소멸시효-제01절 소멸시효 서설-</v>
      </c>
    </row>
    <row r="47" spans="2:15" ht="14.45" customHeight="1" x14ac:dyDescent="0.2">
      <c r="B47" s="125" t="s">
        <v>2901</v>
      </c>
      <c r="C47" s="144" t="s">
        <v>2951</v>
      </c>
      <c r="D47" s="110" t="s">
        <v>3458</v>
      </c>
      <c r="E47" s="92"/>
      <c r="F47" s="126"/>
      <c r="G47" s="127"/>
      <c r="H47" s="128"/>
      <c r="I47" s="94"/>
      <c r="J47" s="129"/>
      <c r="K47" s="130"/>
      <c r="L47" s="95"/>
      <c r="M47" s="96"/>
      <c r="N47" s="97"/>
      <c r="O47" s="131" t="str">
        <f t="shared" si="0"/>
        <v>제1편 민법총칙-제07장 소멸시효-제01절 소멸시효 서설-</v>
      </c>
    </row>
    <row r="48" spans="2:15" ht="14.45" customHeight="1" x14ac:dyDescent="0.2">
      <c r="B48" s="125" t="s">
        <v>2901</v>
      </c>
      <c r="C48" s="144" t="s">
        <v>2951</v>
      </c>
      <c r="D48" s="108" t="s">
        <v>2954</v>
      </c>
      <c r="E48" s="98" t="s">
        <v>2895</v>
      </c>
      <c r="F48" s="132" t="s">
        <v>3140</v>
      </c>
      <c r="G48" s="163"/>
      <c r="H48" s="133" t="s">
        <v>3175</v>
      </c>
      <c r="I48" s="100" t="s">
        <v>3086</v>
      </c>
      <c r="J48" s="134"/>
      <c r="K48" s="135"/>
      <c r="L48" s="101"/>
      <c r="M48" s="102"/>
      <c r="N48" s="103"/>
      <c r="O48" s="136" t="str">
        <f t="shared" si="0"/>
        <v>제1편 민법총칙-제07장 소멸시효-제02절 소멸시효의 요건-</v>
      </c>
    </row>
    <row r="49" spans="2:15" ht="14.45" customHeight="1" x14ac:dyDescent="0.2">
      <c r="B49" s="125" t="s">
        <v>2901</v>
      </c>
      <c r="C49" s="144" t="s">
        <v>2951</v>
      </c>
      <c r="D49" s="110" t="s">
        <v>2953</v>
      </c>
      <c r="E49" s="92"/>
      <c r="F49" s="126"/>
      <c r="G49" s="127"/>
      <c r="H49" s="128"/>
      <c r="I49" s="94"/>
      <c r="J49" s="129"/>
      <c r="K49" s="130"/>
      <c r="L49" s="95"/>
      <c r="M49" s="96"/>
      <c r="N49" s="97"/>
      <c r="O49" s="131" t="str">
        <f t="shared" si="0"/>
        <v>제1편 민법총칙-제07장 소멸시효-제02절 소멸시효의 요건-</v>
      </c>
    </row>
    <row r="50" spans="2:15" ht="14.45" customHeight="1" x14ac:dyDescent="0.2">
      <c r="B50" s="125" t="s">
        <v>2901</v>
      </c>
      <c r="C50" s="144" t="s">
        <v>2951</v>
      </c>
      <c r="D50" s="108" t="s">
        <v>2956</v>
      </c>
      <c r="E50" s="98" t="s">
        <v>2895</v>
      </c>
      <c r="F50" s="132" t="s">
        <v>3140</v>
      </c>
      <c r="G50" s="163"/>
      <c r="H50" s="133" t="s">
        <v>3176</v>
      </c>
      <c r="I50" s="100" t="s">
        <v>3087</v>
      </c>
      <c r="J50" s="134"/>
      <c r="K50" s="135"/>
      <c r="L50" s="101"/>
      <c r="M50" s="102"/>
      <c r="N50" s="103"/>
      <c r="O50" s="136" t="str">
        <f t="shared" si="0"/>
        <v>제1편 민법총칙-제07장 소멸시효-제03절 소멸시효의 중단과 정지-</v>
      </c>
    </row>
    <row r="51" spans="2:15" ht="14.45" customHeight="1" x14ac:dyDescent="0.2">
      <c r="B51" s="125" t="s">
        <v>2901</v>
      </c>
      <c r="C51" s="144" t="s">
        <v>2951</v>
      </c>
      <c r="D51" s="110" t="s">
        <v>2955</v>
      </c>
      <c r="E51" s="92"/>
      <c r="F51" s="126"/>
      <c r="G51" s="127"/>
      <c r="H51" s="128"/>
      <c r="I51" s="94"/>
      <c r="J51" s="129"/>
      <c r="K51" s="130"/>
      <c r="L51" s="95"/>
      <c r="M51" s="96"/>
      <c r="N51" s="97"/>
      <c r="O51" s="131" t="str">
        <f t="shared" si="0"/>
        <v>제1편 민법총칙-제07장 소멸시효-제03절 소멸시효의 중단과 정지-</v>
      </c>
    </row>
    <row r="52" spans="2:15" ht="14.45" customHeight="1" x14ac:dyDescent="0.2">
      <c r="B52" s="125" t="s">
        <v>2901</v>
      </c>
      <c r="C52" s="144" t="s">
        <v>2951</v>
      </c>
      <c r="D52" s="108" t="s">
        <v>2958</v>
      </c>
      <c r="E52" s="98" t="s">
        <v>2895</v>
      </c>
      <c r="F52" s="132" t="s">
        <v>3140</v>
      </c>
      <c r="G52" s="163"/>
      <c r="H52" s="133" t="s">
        <v>3177</v>
      </c>
      <c r="I52" s="100" t="s">
        <v>3088</v>
      </c>
      <c r="J52" s="134"/>
      <c r="K52" s="135"/>
      <c r="L52" s="101"/>
      <c r="M52" s="102"/>
      <c r="N52" s="103"/>
      <c r="O52" s="136" t="str">
        <f t="shared" si="0"/>
        <v>제1편 민법총칙-제07장 소멸시효-제04절 소멸시효의 효과-</v>
      </c>
    </row>
    <row r="53" spans="2:15" ht="14.45" customHeight="1" thickBot="1" x14ac:dyDescent="0.25">
      <c r="B53" s="142" t="s">
        <v>2901</v>
      </c>
      <c r="C53" s="145" t="s">
        <v>2951</v>
      </c>
      <c r="D53" s="152" t="s">
        <v>2957</v>
      </c>
      <c r="E53" s="31"/>
      <c r="F53" s="137"/>
      <c r="G53" s="138"/>
      <c r="H53" s="64"/>
      <c r="I53" s="104"/>
      <c r="J53" s="139"/>
      <c r="K53" s="140"/>
      <c r="L53" s="105"/>
      <c r="M53" s="106"/>
      <c r="N53" s="107"/>
      <c r="O53" s="141" t="str">
        <f t="shared" si="0"/>
        <v>제1편 민법총칙-제07장 소멸시효-제04절 소멸시효의 효과-</v>
      </c>
    </row>
    <row r="54" spans="2:15" ht="14.45" customHeight="1" x14ac:dyDescent="0.2">
      <c r="B54" s="146" t="s">
        <v>2960</v>
      </c>
      <c r="C54" s="153" t="s">
        <v>2962</v>
      </c>
      <c r="D54" s="154" t="s">
        <v>2964</v>
      </c>
      <c r="E54" s="87" t="s">
        <v>2895</v>
      </c>
      <c r="F54" s="120" t="s">
        <v>3141</v>
      </c>
      <c r="G54" s="162"/>
      <c r="H54" s="121" t="s">
        <v>3178</v>
      </c>
      <c r="I54" s="88" t="s">
        <v>3089</v>
      </c>
      <c r="J54" s="122"/>
      <c r="K54" s="123"/>
      <c r="L54" s="89"/>
      <c r="M54" s="90"/>
      <c r="N54" s="91"/>
      <c r="O54" s="124" t="str">
        <f t="shared" si="0"/>
        <v>제2편 채권총론-제01장 채권법 서론-제01절 채권법의 의의-</v>
      </c>
    </row>
    <row r="55" spans="2:15" ht="14.45" customHeight="1" x14ac:dyDescent="0.2">
      <c r="B55" s="125" t="s">
        <v>2959</v>
      </c>
      <c r="C55" s="144" t="s">
        <v>2961</v>
      </c>
      <c r="D55" s="110" t="s">
        <v>2963</v>
      </c>
      <c r="E55" s="92"/>
      <c r="F55" s="126"/>
      <c r="G55" s="127"/>
      <c r="H55" s="128"/>
      <c r="I55" s="94"/>
      <c r="J55" s="129"/>
      <c r="K55" s="130"/>
      <c r="L55" s="95"/>
      <c r="M55" s="96"/>
      <c r="N55" s="97"/>
      <c r="O55" s="131" t="str">
        <f t="shared" si="0"/>
        <v>제2편 채권총론-제01장 채권법 서론-제01절 채권법의 의의-</v>
      </c>
    </row>
    <row r="56" spans="2:15" ht="14.45" customHeight="1" x14ac:dyDescent="0.2">
      <c r="B56" s="125" t="s">
        <v>2959</v>
      </c>
      <c r="C56" s="144" t="s">
        <v>2961</v>
      </c>
      <c r="D56" s="108" t="s">
        <v>2966</v>
      </c>
      <c r="E56" s="98" t="s">
        <v>2895</v>
      </c>
      <c r="F56" s="132" t="s">
        <v>3141</v>
      </c>
      <c r="G56" s="163"/>
      <c r="H56" s="133" t="s">
        <v>3179</v>
      </c>
      <c r="I56" s="100" t="s">
        <v>3090</v>
      </c>
      <c r="J56" s="134"/>
      <c r="K56" s="135"/>
      <c r="L56" s="101"/>
      <c r="M56" s="102"/>
      <c r="N56" s="103"/>
      <c r="O56" s="136" t="str">
        <f t="shared" si="0"/>
        <v>제2편 채권총론-제01장 채권법 서론-제02절 채권의 목적(급부)-</v>
      </c>
    </row>
    <row r="57" spans="2:15" ht="14.45" customHeight="1" x14ac:dyDescent="0.2">
      <c r="B57" s="125" t="s">
        <v>2959</v>
      </c>
      <c r="C57" s="144" t="s">
        <v>2961</v>
      </c>
      <c r="D57" s="110" t="s">
        <v>2965</v>
      </c>
      <c r="E57" s="92"/>
      <c r="F57" s="126"/>
      <c r="G57" s="127"/>
      <c r="H57" s="128"/>
      <c r="I57" s="94"/>
      <c r="J57" s="129"/>
      <c r="K57" s="130"/>
      <c r="L57" s="95"/>
      <c r="M57" s="96"/>
      <c r="N57" s="97"/>
      <c r="O57" s="131" t="str">
        <f t="shared" si="0"/>
        <v>제2편 채권총론-제01장 채권법 서론-제02절 채권의 목적(급부)-</v>
      </c>
    </row>
    <row r="58" spans="2:15" ht="14.45" customHeight="1" x14ac:dyDescent="0.2">
      <c r="B58" s="125" t="s">
        <v>2959</v>
      </c>
      <c r="C58" s="144" t="s">
        <v>2961</v>
      </c>
      <c r="D58" s="108" t="s">
        <v>2968</v>
      </c>
      <c r="E58" s="98" t="s">
        <v>2895</v>
      </c>
      <c r="F58" s="132" t="s">
        <v>3141</v>
      </c>
      <c r="G58" s="163"/>
      <c r="H58" s="133" t="s">
        <v>3180</v>
      </c>
      <c r="I58" s="100" t="s">
        <v>3091</v>
      </c>
      <c r="J58" s="134"/>
      <c r="K58" s="135"/>
      <c r="L58" s="101"/>
      <c r="M58" s="102"/>
      <c r="N58" s="103"/>
      <c r="O58" s="136" t="str">
        <f t="shared" si="0"/>
        <v>제2편 채권총론-제01장 채권법 서론-제03절 채무의 내용(채무구조론)-</v>
      </c>
    </row>
    <row r="59" spans="2:15" ht="14.45" customHeight="1" thickBot="1" x14ac:dyDescent="0.25">
      <c r="B59" s="125" t="s">
        <v>2959</v>
      </c>
      <c r="C59" s="145" t="s">
        <v>2961</v>
      </c>
      <c r="D59" s="152" t="s">
        <v>2967</v>
      </c>
      <c r="E59" s="31"/>
      <c r="F59" s="137"/>
      <c r="G59" s="138"/>
      <c r="H59" s="64"/>
      <c r="I59" s="104"/>
      <c r="J59" s="139"/>
      <c r="K59" s="140"/>
      <c r="L59" s="105"/>
      <c r="M59" s="106"/>
      <c r="N59" s="107"/>
      <c r="O59" s="141" t="str">
        <f t="shared" si="0"/>
        <v>제2편 채권총론-제01장 채권법 서론-제03절 채무의 내용(채무구조론)-</v>
      </c>
    </row>
    <row r="60" spans="2:15" ht="14.45" customHeight="1" x14ac:dyDescent="0.2">
      <c r="B60" s="125" t="s">
        <v>2959</v>
      </c>
      <c r="C60" s="153" t="s">
        <v>2984</v>
      </c>
      <c r="D60" s="154" t="s">
        <v>2970</v>
      </c>
      <c r="E60" s="87" t="s">
        <v>2895</v>
      </c>
      <c r="F60" s="120" t="s">
        <v>3142</v>
      </c>
      <c r="G60" s="162"/>
      <c r="H60" s="121" t="s">
        <v>3155</v>
      </c>
      <c r="I60" s="88" t="s">
        <v>3092</v>
      </c>
      <c r="J60" s="122"/>
      <c r="K60" s="123"/>
      <c r="L60" s="89"/>
      <c r="M60" s="90"/>
      <c r="N60" s="91"/>
      <c r="O60" s="124" t="str">
        <f t="shared" si="0"/>
        <v>제2편 채권총론-제02장 채권의 목적-제01절 특정물채권-</v>
      </c>
    </row>
    <row r="61" spans="2:15" ht="14.45" customHeight="1" x14ac:dyDescent="0.2">
      <c r="B61" s="125" t="s">
        <v>2959</v>
      </c>
      <c r="C61" s="144" t="s">
        <v>2983</v>
      </c>
      <c r="D61" s="110" t="s">
        <v>2969</v>
      </c>
      <c r="E61" s="92"/>
      <c r="F61" s="126"/>
      <c r="G61" s="127"/>
      <c r="H61" s="128"/>
      <c r="I61" s="94"/>
      <c r="J61" s="129"/>
      <c r="K61" s="130"/>
      <c r="L61" s="95"/>
      <c r="M61" s="96"/>
      <c r="N61" s="97"/>
      <c r="O61" s="131" t="str">
        <f t="shared" si="0"/>
        <v>제2편 채권총론-제02장 채권의 목적-제01절 특정물채권-</v>
      </c>
    </row>
    <row r="62" spans="2:15" ht="14.45" customHeight="1" x14ac:dyDescent="0.2">
      <c r="B62" s="125" t="s">
        <v>2959</v>
      </c>
      <c r="C62" s="144" t="s">
        <v>2983</v>
      </c>
      <c r="D62" s="108" t="s">
        <v>2972</v>
      </c>
      <c r="E62" s="98" t="s">
        <v>2895</v>
      </c>
      <c r="F62" s="132" t="s">
        <v>3142</v>
      </c>
      <c r="G62" s="163"/>
      <c r="H62" s="133" t="s">
        <v>3156</v>
      </c>
      <c r="I62" s="100" t="s">
        <v>3093</v>
      </c>
      <c r="J62" s="134"/>
      <c r="K62" s="135"/>
      <c r="L62" s="101"/>
      <c r="M62" s="102"/>
      <c r="N62" s="103"/>
      <c r="O62" s="136" t="str">
        <f t="shared" si="0"/>
        <v>제2편 채권총론-제02장 채권의 목적-제02절 종류채권-</v>
      </c>
    </row>
    <row r="63" spans="2:15" ht="14.45" customHeight="1" x14ac:dyDescent="0.2">
      <c r="B63" s="125" t="s">
        <v>2959</v>
      </c>
      <c r="C63" s="144" t="s">
        <v>2983</v>
      </c>
      <c r="D63" s="110" t="s">
        <v>2971</v>
      </c>
      <c r="E63" s="92"/>
      <c r="F63" s="126"/>
      <c r="G63" s="127"/>
      <c r="H63" s="128"/>
      <c r="I63" s="94"/>
      <c r="J63" s="129"/>
      <c r="K63" s="130"/>
      <c r="L63" s="95"/>
      <c r="M63" s="96"/>
      <c r="N63" s="97"/>
      <c r="O63" s="131" t="str">
        <f t="shared" si="0"/>
        <v>제2편 채권총론-제02장 채권의 목적-제02절 종류채권-</v>
      </c>
    </row>
    <row r="64" spans="2:15" ht="14.45" customHeight="1" x14ac:dyDescent="0.2">
      <c r="B64" s="125" t="s">
        <v>2959</v>
      </c>
      <c r="C64" s="144" t="s">
        <v>2983</v>
      </c>
      <c r="D64" s="108" t="s">
        <v>2974</v>
      </c>
      <c r="E64" s="98" t="s">
        <v>2895</v>
      </c>
      <c r="F64" s="132" t="s">
        <v>3142</v>
      </c>
      <c r="G64" s="163"/>
      <c r="H64" s="133" t="s">
        <v>3157</v>
      </c>
      <c r="I64" s="100" t="s">
        <v>3094</v>
      </c>
      <c r="J64" s="134"/>
      <c r="K64" s="135"/>
      <c r="L64" s="101"/>
      <c r="M64" s="102"/>
      <c r="N64" s="103"/>
      <c r="O64" s="136" t="str">
        <f t="shared" si="0"/>
        <v>제2편 채권총론-제02장 채권의 목적-제03절 금전채권-</v>
      </c>
    </row>
    <row r="65" spans="2:15" ht="14.45" customHeight="1" x14ac:dyDescent="0.2">
      <c r="B65" s="125" t="s">
        <v>2959</v>
      </c>
      <c r="C65" s="144" t="s">
        <v>2983</v>
      </c>
      <c r="D65" s="110" t="s">
        <v>2973</v>
      </c>
      <c r="E65" s="92"/>
      <c r="F65" s="126"/>
      <c r="G65" s="127"/>
      <c r="H65" s="128"/>
      <c r="I65" s="94"/>
      <c r="J65" s="129"/>
      <c r="K65" s="130"/>
      <c r="L65" s="95"/>
      <c r="M65" s="96"/>
      <c r="N65" s="97"/>
      <c r="O65" s="131" t="str">
        <f t="shared" si="0"/>
        <v>제2편 채권총론-제02장 채권의 목적-제03절 금전채권-</v>
      </c>
    </row>
    <row r="66" spans="2:15" ht="14.45" customHeight="1" x14ac:dyDescent="0.2">
      <c r="B66" s="125" t="s">
        <v>2959</v>
      </c>
      <c r="C66" s="144" t="s">
        <v>2983</v>
      </c>
      <c r="D66" s="108" t="s">
        <v>2976</v>
      </c>
      <c r="E66" s="98" t="s">
        <v>2895</v>
      </c>
      <c r="F66" s="132" t="s">
        <v>3142</v>
      </c>
      <c r="G66" s="163"/>
      <c r="H66" s="133" t="s">
        <v>3158</v>
      </c>
      <c r="I66" s="100" t="s">
        <v>3095</v>
      </c>
      <c r="J66" s="134"/>
      <c r="K66" s="135"/>
      <c r="L66" s="101"/>
      <c r="M66" s="102"/>
      <c r="N66" s="103"/>
      <c r="O66" s="136" t="str">
        <f t="shared" si="0"/>
        <v>제2편 채권총론-제02장 채권의 목적-제04절 이자채권-</v>
      </c>
    </row>
    <row r="67" spans="2:15" ht="14.45" customHeight="1" x14ac:dyDescent="0.2">
      <c r="B67" s="125" t="s">
        <v>2959</v>
      </c>
      <c r="C67" s="144" t="s">
        <v>2983</v>
      </c>
      <c r="D67" s="110" t="s">
        <v>2975</v>
      </c>
      <c r="E67" s="92"/>
      <c r="F67" s="126"/>
      <c r="G67" s="127"/>
      <c r="H67" s="128"/>
      <c r="I67" s="94"/>
      <c r="J67" s="129"/>
      <c r="K67" s="130"/>
      <c r="L67" s="95"/>
      <c r="M67" s="96"/>
      <c r="N67" s="97"/>
      <c r="O67" s="131" t="str">
        <f t="shared" si="0"/>
        <v>제2편 채권총론-제02장 채권의 목적-제04절 이자채권-</v>
      </c>
    </row>
    <row r="68" spans="2:15" ht="14.45" customHeight="1" x14ac:dyDescent="0.2">
      <c r="B68" s="125" t="s">
        <v>2959</v>
      </c>
      <c r="C68" s="144" t="s">
        <v>2983</v>
      </c>
      <c r="D68" s="108" t="s">
        <v>2978</v>
      </c>
      <c r="E68" s="98" t="s">
        <v>2895</v>
      </c>
      <c r="F68" s="132" t="s">
        <v>3142</v>
      </c>
      <c r="G68" s="163"/>
      <c r="H68" s="133" t="s">
        <v>3159</v>
      </c>
      <c r="I68" s="100" t="s">
        <v>3096</v>
      </c>
      <c r="J68" s="134"/>
      <c r="K68" s="135"/>
      <c r="L68" s="101"/>
      <c r="M68" s="102"/>
      <c r="N68" s="103"/>
      <c r="O68" s="136" t="str">
        <f t="shared" si="0"/>
        <v>제2편 채권총론-제02장 채권의 목적-제05절 선택채권-</v>
      </c>
    </row>
    <row r="69" spans="2:15" ht="14.45" customHeight="1" x14ac:dyDescent="0.2">
      <c r="B69" s="125" t="s">
        <v>2959</v>
      </c>
      <c r="C69" s="144" t="s">
        <v>2983</v>
      </c>
      <c r="D69" s="110" t="s">
        <v>2977</v>
      </c>
      <c r="E69" s="92"/>
      <c r="F69" s="126"/>
      <c r="G69" s="127"/>
      <c r="H69" s="128"/>
      <c r="I69" s="94"/>
      <c r="J69" s="129"/>
      <c r="K69" s="130"/>
      <c r="L69" s="95"/>
      <c r="M69" s="96"/>
      <c r="N69" s="97"/>
      <c r="O69" s="131" t="str">
        <f t="shared" si="0"/>
        <v>제2편 채권총론-제02장 채권의 목적-제05절 선택채권-</v>
      </c>
    </row>
    <row r="70" spans="2:15" ht="14.45" customHeight="1" x14ac:dyDescent="0.2">
      <c r="B70" s="125" t="s">
        <v>2959</v>
      </c>
      <c r="C70" s="144" t="s">
        <v>2983</v>
      </c>
      <c r="D70" s="108" t="s">
        <v>2980</v>
      </c>
      <c r="E70" s="98" t="s">
        <v>2895</v>
      </c>
      <c r="F70" s="132" t="s">
        <v>3142</v>
      </c>
      <c r="G70" s="163"/>
      <c r="H70" s="133" t="s">
        <v>3160</v>
      </c>
      <c r="I70" s="100" t="s">
        <v>3097</v>
      </c>
      <c r="J70" s="134"/>
      <c r="K70" s="135"/>
      <c r="L70" s="101"/>
      <c r="M70" s="102"/>
      <c r="N70" s="103"/>
      <c r="O70" s="136" t="str">
        <f t="shared" si="0"/>
        <v>제2편 채권총론-제02장 채권의 목적-제06절 임의채권-</v>
      </c>
    </row>
    <row r="71" spans="2:15" ht="14.45" customHeight="1" thickBot="1" x14ac:dyDescent="0.25">
      <c r="B71" s="125" t="s">
        <v>2959</v>
      </c>
      <c r="C71" s="145" t="s">
        <v>2983</v>
      </c>
      <c r="D71" s="152" t="s">
        <v>2979</v>
      </c>
      <c r="E71" s="31"/>
      <c r="F71" s="137"/>
      <c r="G71" s="138"/>
      <c r="H71" s="64"/>
      <c r="I71" s="104"/>
      <c r="J71" s="139"/>
      <c r="K71" s="140"/>
      <c r="L71" s="105"/>
      <c r="M71" s="106"/>
      <c r="N71" s="107"/>
      <c r="O71" s="141" t="str">
        <f t="shared" si="0"/>
        <v>제2편 채권총론-제02장 채권의 목적-제06절 임의채권-</v>
      </c>
    </row>
    <row r="72" spans="2:15" ht="14.45" customHeight="1" x14ac:dyDescent="0.2">
      <c r="B72" s="125" t="s">
        <v>2959</v>
      </c>
      <c r="C72" s="153" t="s">
        <v>2982</v>
      </c>
      <c r="D72" s="154" t="s">
        <v>3460</v>
      </c>
      <c r="E72" s="87" t="s">
        <v>2895</v>
      </c>
      <c r="F72" s="120" t="s">
        <v>3143</v>
      </c>
      <c r="G72" s="162"/>
      <c r="H72" s="121" t="s">
        <v>3462</v>
      </c>
      <c r="I72" s="88" t="s">
        <v>3484</v>
      </c>
      <c r="J72" s="122"/>
      <c r="K72" s="123"/>
      <c r="L72" s="89"/>
      <c r="M72" s="90"/>
      <c r="N72" s="91"/>
      <c r="O72" s="124" t="str">
        <f t="shared" si="0"/>
        <v>제2편 채권총론-제03장 채권의 효력-제01절 채권효력 서설-</v>
      </c>
    </row>
    <row r="73" spans="2:15" ht="14.45" customHeight="1" x14ac:dyDescent="0.2">
      <c r="B73" s="125" t="s">
        <v>2959</v>
      </c>
      <c r="C73" s="144" t="s">
        <v>2981</v>
      </c>
      <c r="D73" s="110" t="s">
        <v>3461</v>
      </c>
      <c r="E73" s="92"/>
      <c r="F73" s="126"/>
      <c r="G73" s="127"/>
      <c r="H73" s="128"/>
      <c r="I73" s="94"/>
      <c r="J73" s="129"/>
      <c r="K73" s="130"/>
      <c r="L73" s="95"/>
      <c r="M73" s="96"/>
      <c r="N73" s="97"/>
      <c r="O73" s="131" t="str">
        <f t="shared" si="0"/>
        <v>제2편 채권총론-제03장 채권의 효력-제01절 채권효력 서설-</v>
      </c>
    </row>
    <row r="74" spans="2:15" ht="14.45" customHeight="1" x14ac:dyDescent="0.2">
      <c r="B74" s="125" t="s">
        <v>2959</v>
      </c>
      <c r="C74" s="144" t="s">
        <v>2981</v>
      </c>
      <c r="D74" s="108" t="s">
        <v>2986</v>
      </c>
      <c r="E74" s="98" t="s">
        <v>2895</v>
      </c>
      <c r="F74" s="132" t="s">
        <v>3143</v>
      </c>
      <c r="G74" s="163"/>
      <c r="H74" s="133" t="s">
        <v>3181</v>
      </c>
      <c r="I74" s="100" t="s">
        <v>3098</v>
      </c>
      <c r="J74" s="134"/>
      <c r="K74" s="135"/>
      <c r="L74" s="101"/>
      <c r="M74" s="102"/>
      <c r="N74" s="103"/>
      <c r="O74" s="136" t="str">
        <f t="shared" si="0"/>
        <v>제2편 채권총론-제03장 채권의 효력-제02절 채무불이행의 유형과 그 효과-</v>
      </c>
    </row>
    <row r="75" spans="2:15" ht="14.45" customHeight="1" x14ac:dyDescent="0.2">
      <c r="B75" s="125" t="s">
        <v>2959</v>
      </c>
      <c r="C75" s="144" t="s">
        <v>2981</v>
      </c>
      <c r="D75" s="110" t="s">
        <v>2985</v>
      </c>
      <c r="E75" s="92"/>
      <c r="F75" s="126"/>
      <c r="G75" s="127"/>
      <c r="H75" s="128"/>
      <c r="I75" s="94"/>
      <c r="J75" s="129"/>
      <c r="K75" s="130"/>
      <c r="L75" s="95"/>
      <c r="M75" s="96"/>
      <c r="N75" s="97"/>
      <c r="O75" s="131" t="str">
        <f t="shared" si="0"/>
        <v>제2편 채권총론-제03장 채권의 효력-제02절 채무불이행의 유형과 그 효과-</v>
      </c>
    </row>
    <row r="76" spans="2:15" ht="14.45" customHeight="1" x14ac:dyDescent="0.2">
      <c r="B76" s="125" t="s">
        <v>2959</v>
      </c>
      <c r="C76" s="144" t="s">
        <v>2981</v>
      </c>
      <c r="D76" s="108" t="s">
        <v>2988</v>
      </c>
      <c r="E76" s="98" t="s">
        <v>2895</v>
      </c>
      <c r="F76" s="132" t="s">
        <v>3143</v>
      </c>
      <c r="G76" s="163"/>
      <c r="H76" s="133" t="s">
        <v>3182</v>
      </c>
      <c r="I76" s="100" t="s">
        <v>3099</v>
      </c>
      <c r="J76" s="134"/>
      <c r="K76" s="135"/>
      <c r="L76" s="101"/>
      <c r="M76" s="102"/>
      <c r="N76" s="103"/>
      <c r="O76" s="136" t="str">
        <f t="shared" si="0"/>
        <v>제2편 채권총론-제03장 채권의 효력-제03절 채권의 대외적 효력(제3자 채권침해)-</v>
      </c>
    </row>
    <row r="77" spans="2:15" ht="14.45" customHeight="1" x14ac:dyDescent="0.2">
      <c r="B77" s="125" t="s">
        <v>2959</v>
      </c>
      <c r="C77" s="144" t="s">
        <v>2981</v>
      </c>
      <c r="D77" s="110" t="s">
        <v>2987</v>
      </c>
      <c r="E77" s="92"/>
      <c r="F77" s="126"/>
      <c r="G77" s="127"/>
      <c r="H77" s="128"/>
      <c r="I77" s="94"/>
      <c r="J77" s="129"/>
      <c r="K77" s="130"/>
      <c r="L77" s="95"/>
      <c r="M77" s="96"/>
      <c r="N77" s="97"/>
      <c r="O77" s="131" t="str">
        <f t="shared" si="0"/>
        <v>제2편 채권총론-제03장 채권의 효력-제03절 채권의 대외적 효력(제3자 채권침해)-</v>
      </c>
    </row>
    <row r="78" spans="2:15" ht="14.45" customHeight="1" x14ac:dyDescent="0.2">
      <c r="B78" s="125" t="s">
        <v>2959</v>
      </c>
      <c r="C78" s="144" t="s">
        <v>2981</v>
      </c>
      <c r="D78" s="108" t="s">
        <v>2990</v>
      </c>
      <c r="E78" s="98" t="s">
        <v>2895</v>
      </c>
      <c r="F78" s="132" t="s">
        <v>3143</v>
      </c>
      <c r="G78" s="163"/>
      <c r="H78" s="133" t="s">
        <v>3183</v>
      </c>
      <c r="I78" s="100" t="s">
        <v>3100</v>
      </c>
      <c r="J78" s="134"/>
      <c r="K78" s="135"/>
      <c r="L78" s="101"/>
      <c r="M78" s="102"/>
      <c r="N78" s="103"/>
      <c r="O78" s="136" t="str">
        <f t="shared" si="0"/>
        <v>제2편 채권총론-제03장 채권의 효력-제04절 책임재산의 보전-</v>
      </c>
    </row>
    <row r="79" spans="2:15" ht="14.45" customHeight="1" thickBot="1" x14ac:dyDescent="0.25">
      <c r="B79" s="125" t="s">
        <v>2959</v>
      </c>
      <c r="C79" s="145" t="s">
        <v>2981</v>
      </c>
      <c r="D79" s="152" t="s">
        <v>2989</v>
      </c>
      <c r="E79" s="31"/>
      <c r="F79" s="137"/>
      <c r="G79" s="138"/>
      <c r="H79" s="64"/>
      <c r="I79" s="104"/>
      <c r="J79" s="139"/>
      <c r="K79" s="140"/>
      <c r="L79" s="105"/>
      <c r="M79" s="106"/>
      <c r="N79" s="107"/>
      <c r="O79" s="141" t="str">
        <f t="shared" si="0"/>
        <v>제2편 채권총론-제03장 채권의 효력-제04절 책임재산의 보전-</v>
      </c>
    </row>
    <row r="80" spans="2:15" ht="14.45" customHeight="1" x14ac:dyDescent="0.2">
      <c r="B80" s="125" t="s">
        <v>2959</v>
      </c>
      <c r="C80" s="153" t="s">
        <v>2992</v>
      </c>
      <c r="D80" s="154" t="s">
        <v>3463</v>
      </c>
      <c r="E80" s="87" t="s">
        <v>2895</v>
      </c>
      <c r="F80" s="120" t="s">
        <v>3144</v>
      </c>
      <c r="G80" s="162"/>
      <c r="H80" s="121" t="s">
        <v>3465</v>
      </c>
      <c r="I80" s="88" t="s">
        <v>3485</v>
      </c>
      <c r="J80" s="122"/>
      <c r="K80" s="123"/>
      <c r="L80" s="89"/>
      <c r="M80" s="90"/>
      <c r="N80" s="91"/>
      <c r="O80" s="124" t="str">
        <f t="shared" si="0"/>
        <v>제2편 채권총론-제04장 다수당사자의 채권관계-제01절 다수당사자 채권관계 서설-</v>
      </c>
    </row>
    <row r="81" spans="2:15" ht="14.45" customHeight="1" x14ac:dyDescent="0.2">
      <c r="B81" s="125" t="s">
        <v>2959</v>
      </c>
      <c r="C81" s="144" t="s">
        <v>2991</v>
      </c>
      <c r="D81" s="110" t="s">
        <v>3464</v>
      </c>
      <c r="E81" s="92"/>
      <c r="F81" s="126"/>
      <c r="G81" s="127"/>
      <c r="H81" s="128"/>
      <c r="I81" s="94"/>
      <c r="J81" s="129"/>
      <c r="K81" s="130"/>
      <c r="L81" s="95"/>
      <c r="M81" s="96"/>
      <c r="N81" s="97"/>
      <c r="O81" s="131" t="str">
        <f t="shared" si="0"/>
        <v>제2편 채권총론-제04장 다수당사자의 채권관계-제01절 다수당사자 채권관계 서설-</v>
      </c>
    </row>
    <row r="82" spans="2:15" ht="14.45" customHeight="1" x14ac:dyDescent="0.2">
      <c r="B82" s="125" t="s">
        <v>2959</v>
      </c>
      <c r="C82" s="144" t="s">
        <v>2991</v>
      </c>
      <c r="D82" s="108" t="s">
        <v>2994</v>
      </c>
      <c r="E82" s="98" t="s">
        <v>2895</v>
      </c>
      <c r="F82" s="132" t="s">
        <v>3144</v>
      </c>
      <c r="G82" s="163"/>
      <c r="H82" s="133" t="s">
        <v>3161</v>
      </c>
      <c r="I82" s="100" t="s">
        <v>3101</v>
      </c>
      <c r="J82" s="134"/>
      <c r="K82" s="135"/>
      <c r="L82" s="101"/>
      <c r="M82" s="102"/>
      <c r="N82" s="103"/>
      <c r="O82" s="136" t="str">
        <f t="shared" si="0"/>
        <v>제2편 채권총론-제04장 다수당사자의 채권관계-제02절 분할채권관계-</v>
      </c>
    </row>
    <row r="83" spans="2:15" ht="14.45" customHeight="1" x14ac:dyDescent="0.2">
      <c r="B83" s="125" t="s">
        <v>2959</v>
      </c>
      <c r="C83" s="144" t="s">
        <v>2991</v>
      </c>
      <c r="D83" s="110" t="s">
        <v>2993</v>
      </c>
      <c r="E83" s="92"/>
      <c r="F83" s="126"/>
      <c r="G83" s="127"/>
      <c r="H83" s="128"/>
      <c r="I83" s="94"/>
      <c r="J83" s="129"/>
      <c r="K83" s="130"/>
      <c r="L83" s="95"/>
      <c r="M83" s="96"/>
      <c r="N83" s="97"/>
      <c r="O83" s="131" t="str">
        <f t="shared" si="0"/>
        <v>제2편 채권총론-제04장 다수당사자의 채권관계-제02절 분할채권관계-</v>
      </c>
    </row>
    <row r="84" spans="2:15" ht="14.45" customHeight="1" x14ac:dyDescent="0.2">
      <c r="B84" s="125" t="s">
        <v>2959</v>
      </c>
      <c r="C84" s="144" t="s">
        <v>2991</v>
      </c>
      <c r="D84" s="108" t="s">
        <v>2996</v>
      </c>
      <c r="E84" s="98" t="s">
        <v>2895</v>
      </c>
      <c r="F84" s="132" t="s">
        <v>3144</v>
      </c>
      <c r="G84" s="163"/>
      <c r="H84" s="133" t="s">
        <v>3162</v>
      </c>
      <c r="I84" s="100" t="s">
        <v>3102</v>
      </c>
      <c r="J84" s="134"/>
      <c r="K84" s="135"/>
      <c r="L84" s="101"/>
      <c r="M84" s="102"/>
      <c r="N84" s="103"/>
      <c r="O84" s="136" t="str">
        <f t="shared" si="0"/>
        <v>제2편 채권총론-제04장 다수당사자의 채권관계-제03절 불가분채권관계-</v>
      </c>
    </row>
    <row r="85" spans="2:15" ht="14.45" customHeight="1" x14ac:dyDescent="0.2">
      <c r="B85" s="125" t="s">
        <v>2959</v>
      </c>
      <c r="C85" s="144" t="s">
        <v>2991</v>
      </c>
      <c r="D85" s="110" t="s">
        <v>2995</v>
      </c>
      <c r="E85" s="92"/>
      <c r="F85" s="126"/>
      <c r="G85" s="127"/>
      <c r="H85" s="128"/>
      <c r="I85" s="94"/>
      <c r="J85" s="129"/>
      <c r="K85" s="130"/>
      <c r="L85" s="95"/>
      <c r="M85" s="96"/>
      <c r="N85" s="97"/>
      <c r="O85" s="131" t="str">
        <f t="shared" si="0"/>
        <v>제2편 채권총론-제04장 다수당사자의 채권관계-제03절 불가분채권관계-</v>
      </c>
    </row>
    <row r="86" spans="2:15" ht="14.45" customHeight="1" x14ac:dyDescent="0.2">
      <c r="B86" s="125" t="s">
        <v>2959</v>
      </c>
      <c r="C86" s="144" t="s">
        <v>2991</v>
      </c>
      <c r="D86" s="108" t="s">
        <v>2998</v>
      </c>
      <c r="E86" s="98" t="s">
        <v>2895</v>
      </c>
      <c r="F86" s="132" t="s">
        <v>3144</v>
      </c>
      <c r="G86" s="163"/>
      <c r="H86" s="133" t="s">
        <v>3184</v>
      </c>
      <c r="I86" s="100" t="s">
        <v>3103</v>
      </c>
      <c r="J86" s="134"/>
      <c r="K86" s="135"/>
      <c r="L86" s="101"/>
      <c r="M86" s="102"/>
      <c r="N86" s="103"/>
      <c r="O86" s="136" t="str">
        <f t="shared" si="0"/>
        <v>제2편 채권총론-제04장 다수당사자의 채권관계-제04절 연대채무-</v>
      </c>
    </row>
    <row r="87" spans="2:15" ht="14.45" customHeight="1" x14ac:dyDescent="0.2">
      <c r="B87" s="125" t="s">
        <v>2959</v>
      </c>
      <c r="C87" s="144" t="s">
        <v>2991</v>
      </c>
      <c r="D87" s="110" t="s">
        <v>2997</v>
      </c>
      <c r="E87" s="92"/>
      <c r="F87" s="126"/>
      <c r="G87" s="127"/>
      <c r="H87" s="128"/>
      <c r="I87" s="94"/>
      <c r="J87" s="129"/>
      <c r="K87" s="130"/>
      <c r="L87" s="95"/>
      <c r="M87" s="96"/>
      <c r="N87" s="97"/>
      <c r="O87" s="131" t="str">
        <f t="shared" si="0"/>
        <v>제2편 채권총론-제04장 다수당사자의 채권관계-제04절 연대채무-</v>
      </c>
    </row>
    <row r="88" spans="2:15" ht="14.45" customHeight="1" x14ac:dyDescent="0.2">
      <c r="B88" s="125" t="s">
        <v>2959</v>
      </c>
      <c r="C88" s="144" t="s">
        <v>2991</v>
      </c>
      <c r="D88" s="108" t="s">
        <v>3000</v>
      </c>
      <c r="E88" s="98" t="s">
        <v>2895</v>
      </c>
      <c r="F88" s="132" t="s">
        <v>3144</v>
      </c>
      <c r="G88" s="163"/>
      <c r="H88" s="133" t="s">
        <v>3185</v>
      </c>
      <c r="I88" s="100" t="s">
        <v>3104</v>
      </c>
      <c r="J88" s="134"/>
      <c r="K88" s="135"/>
      <c r="L88" s="101"/>
      <c r="M88" s="102"/>
      <c r="N88" s="103"/>
      <c r="O88" s="136" t="str">
        <f t="shared" si="0"/>
        <v>제2편 채권총론-제04장 다수당사자의 채권관계-제05절 보증채무-</v>
      </c>
    </row>
    <row r="89" spans="2:15" ht="14.45" customHeight="1" thickBot="1" x14ac:dyDescent="0.25">
      <c r="B89" s="125" t="s">
        <v>2959</v>
      </c>
      <c r="C89" s="145" t="s">
        <v>2991</v>
      </c>
      <c r="D89" s="152" t="s">
        <v>2999</v>
      </c>
      <c r="E89" s="31"/>
      <c r="F89" s="137"/>
      <c r="G89" s="138"/>
      <c r="H89" s="64"/>
      <c r="I89" s="104"/>
      <c r="J89" s="139"/>
      <c r="K89" s="140"/>
      <c r="L89" s="105"/>
      <c r="M89" s="106"/>
      <c r="N89" s="107"/>
      <c r="O89" s="141" t="str">
        <f t="shared" si="0"/>
        <v>제2편 채권총론-제04장 다수당사자의 채권관계-제05절 보증채무-</v>
      </c>
    </row>
    <row r="90" spans="2:15" ht="14.45" customHeight="1" x14ac:dyDescent="0.2">
      <c r="B90" s="125" t="s">
        <v>2959</v>
      </c>
      <c r="C90" s="153" t="s">
        <v>3002</v>
      </c>
      <c r="D90" s="154" t="s">
        <v>3004</v>
      </c>
      <c r="E90" s="87" t="s">
        <v>2895</v>
      </c>
      <c r="F90" s="120" t="s">
        <v>3145</v>
      </c>
      <c r="G90" s="162"/>
      <c r="H90" s="121" t="s">
        <v>3186</v>
      </c>
      <c r="I90" s="88" t="s">
        <v>3105</v>
      </c>
      <c r="J90" s="122"/>
      <c r="K90" s="123"/>
      <c r="L90" s="89"/>
      <c r="M90" s="90"/>
      <c r="N90" s="91"/>
      <c r="O90" s="124" t="str">
        <f t="shared" si="0"/>
        <v>제2편 채권총론-제05장 채권양도와 채무인수-제01절 채권의 양도-</v>
      </c>
    </row>
    <row r="91" spans="2:15" ht="14.45" customHeight="1" x14ac:dyDescent="0.2">
      <c r="B91" s="125" t="s">
        <v>2959</v>
      </c>
      <c r="C91" s="144" t="s">
        <v>3001</v>
      </c>
      <c r="D91" s="110" t="s">
        <v>3003</v>
      </c>
      <c r="E91" s="92"/>
      <c r="F91" s="126"/>
      <c r="G91" s="127"/>
      <c r="H91" s="158"/>
      <c r="I91" s="94"/>
      <c r="J91" s="129"/>
      <c r="K91" s="130"/>
      <c r="L91" s="95"/>
      <c r="M91" s="96"/>
      <c r="N91" s="97"/>
      <c r="O91" s="131" t="str">
        <f t="shared" si="0"/>
        <v>제2편 채권총론-제05장 채권양도와 채무인수-제01절 채권의 양도-</v>
      </c>
    </row>
    <row r="92" spans="2:15" ht="14.45" customHeight="1" x14ac:dyDescent="0.2">
      <c r="B92" s="125" t="s">
        <v>2959</v>
      </c>
      <c r="C92" s="144" t="s">
        <v>3001</v>
      </c>
      <c r="D92" s="108" t="s">
        <v>3006</v>
      </c>
      <c r="E92" s="98" t="s">
        <v>2895</v>
      </c>
      <c r="F92" s="132" t="s">
        <v>3145</v>
      </c>
      <c r="G92" s="163"/>
      <c r="H92" s="133" t="s">
        <v>3187</v>
      </c>
      <c r="I92" s="100" t="s">
        <v>3106</v>
      </c>
      <c r="J92" s="134"/>
      <c r="K92" s="135"/>
      <c r="L92" s="101"/>
      <c r="M92" s="102"/>
      <c r="N92" s="103"/>
      <c r="O92" s="136" t="str">
        <f t="shared" si="0"/>
        <v>제2편 채권총론-제05장 채권양도와 채무인수-제02절 채무의 인수-</v>
      </c>
    </row>
    <row r="93" spans="2:15" ht="14.45" customHeight="1" thickBot="1" x14ac:dyDescent="0.25">
      <c r="B93" s="125" t="s">
        <v>2959</v>
      </c>
      <c r="C93" s="145" t="s">
        <v>3001</v>
      </c>
      <c r="D93" s="152" t="s">
        <v>3005</v>
      </c>
      <c r="E93" s="31"/>
      <c r="F93" s="137"/>
      <c r="G93" s="138"/>
      <c r="H93" s="36"/>
      <c r="I93" s="104"/>
      <c r="J93" s="139"/>
      <c r="K93" s="140"/>
      <c r="L93" s="105"/>
      <c r="M93" s="106"/>
      <c r="N93" s="107"/>
      <c r="O93" s="141" t="str">
        <f t="shared" si="0"/>
        <v>제2편 채권총론-제05장 채권양도와 채무인수-제02절 채무의 인수-</v>
      </c>
    </row>
    <row r="94" spans="2:15" ht="14.45" customHeight="1" x14ac:dyDescent="0.2">
      <c r="B94" s="125" t="s">
        <v>2959</v>
      </c>
      <c r="C94" s="153" t="s">
        <v>3008</v>
      </c>
      <c r="D94" s="154" t="s">
        <v>3466</v>
      </c>
      <c r="E94" s="87" t="s">
        <v>2895</v>
      </c>
      <c r="F94" s="120" t="s">
        <v>3146</v>
      </c>
      <c r="G94" s="162"/>
      <c r="H94" s="121" t="s">
        <v>3468</v>
      </c>
      <c r="I94" s="88" t="s">
        <v>3486</v>
      </c>
      <c r="J94" s="122"/>
      <c r="K94" s="123"/>
      <c r="L94" s="89"/>
      <c r="M94" s="90"/>
      <c r="N94" s="91"/>
      <c r="O94" s="124" t="str">
        <f t="shared" si="0"/>
        <v>제2편 채권총론-제06장 채권의 소멸-제01절 채권소멸 서설-</v>
      </c>
    </row>
    <row r="95" spans="2:15" ht="14.45" customHeight="1" x14ac:dyDescent="0.2">
      <c r="B95" s="125" t="s">
        <v>2959</v>
      </c>
      <c r="C95" s="144" t="s">
        <v>3007</v>
      </c>
      <c r="D95" s="110" t="s">
        <v>3467</v>
      </c>
      <c r="E95" s="92"/>
      <c r="F95" s="126"/>
      <c r="G95" s="127"/>
      <c r="H95" s="128"/>
      <c r="I95" s="94"/>
      <c r="J95" s="129"/>
      <c r="K95" s="130"/>
      <c r="L95" s="95"/>
      <c r="M95" s="96"/>
      <c r="N95" s="97"/>
      <c r="O95" s="131" t="str">
        <f t="shared" si="0"/>
        <v>제2편 채권총론-제06장 채권의 소멸-제01절 채권소멸 서설-</v>
      </c>
    </row>
    <row r="96" spans="2:15" ht="14.45" customHeight="1" x14ac:dyDescent="0.2">
      <c r="B96" s="125" t="s">
        <v>2959</v>
      </c>
      <c r="C96" s="144" t="s">
        <v>3007</v>
      </c>
      <c r="D96" s="108" t="s">
        <v>3010</v>
      </c>
      <c r="E96" s="98" t="s">
        <v>2895</v>
      </c>
      <c r="F96" s="132" t="s">
        <v>3146</v>
      </c>
      <c r="G96" s="163"/>
      <c r="H96" s="133" t="s">
        <v>800</v>
      </c>
      <c r="I96" s="100" t="s">
        <v>3107</v>
      </c>
      <c r="J96" s="134"/>
      <c r="K96" s="135"/>
      <c r="L96" s="101"/>
      <c r="M96" s="102"/>
      <c r="N96" s="103"/>
      <c r="O96" s="136" t="str">
        <f t="shared" si="0"/>
        <v>제2편 채권총론-제06장 채권의 소멸-제02절 변제-</v>
      </c>
    </row>
    <row r="97" spans="2:15" ht="14.45" customHeight="1" x14ac:dyDescent="0.2">
      <c r="B97" s="125" t="s">
        <v>2959</v>
      </c>
      <c r="C97" s="144" t="s">
        <v>3007</v>
      </c>
      <c r="D97" s="110" t="s">
        <v>3009</v>
      </c>
      <c r="E97" s="92"/>
      <c r="F97" s="126"/>
      <c r="G97" s="127"/>
      <c r="H97" s="128"/>
      <c r="I97" s="94"/>
      <c r="J97" s="129"/>
      <c r="K97" s="130"/>
      <c r="L97" s="95"/>
      <c r="M97" s="96"/>
      <c r="N97" s="97"/>
      <c r="O97" s="131" t="str">
        <f t="shared" si="0"/>
        <v>제2편 채권총론-제06장 채권의 소멸-제02절 변제-</v>
      </c>
    </row>
    <row r="98" spans="2:15" ht="14.45" customHeight="1" x14ac:dyDescent="0.2">
      <c r="B98" s="125" t="s">
        <v>2959</v>
      </c>
      <c r="C98" s="144" t="s">
        <v>3007</v>
      </c>
      <c r="D98" s="108" t="s">
        <v>3012</v>
      </c>
      <c r="E98" s="98" t="s">
        <v>2895</v>
      </c>
      <c r="F98" s="132" t="s">
        <v>3146</v>
      </c>
      <c r="G98" s="163"/>
      <c r="H98" s="133" t="s">
        <v>1643</v>
      </c>
      <c r="I98" s="100" t="s">
        <v>3108</v>
      </c>
      <c r="J98" s="134"/>
      <c r="K98" s="135"/>
      <c r="L98" s="101"/>
      <c r="M98" s="102"/>
      <c r="N98" s="103"/>
      <c r="O98" s="136" t="str">
        <f t="shared" si="0"/>
        <v>제2편 채권총론-제06장 채권의 소멸-제03절 대물변제-</v>
      </c>
    </row>
    <row r="99" spans="2:15" ht="14.45" customHeight="1" x14ac:dyDescent="0.2">
      <c r="B99" s="125" t="s">
        <v>2959</v>
      </c>
      <c r="C99" s="144" t="s">
        <v>3007</v>
      </c>
      <c r="D99" s="110" t="s">
        <v>3011</v>
      </c>
      <c r="E99" s="92"/>
      <c r="F99" s="126"/>
      <c r="G99" s="127"/>
      <c r="H99" s="128"/>
      <c r="I99" s="94"/>
      <c r="J99" s="129"/>
      <c r="K99" s="130"/>
      <c r="L99" s="95"/>
      <c r="M99" s="96"/>
      <c r="N99" s="97"/>
      <c r="O99" s="131" t="str">
        <f t="shared" si="0"/>
        <v>제2편 채권총론-제06장 채권의 소멸-제03절 대물변제-</v>
      </c>
    </row>
    <row r="100" spans="2:15" ht="14.45" customHeight="1" x14ac:dyDescent="0.2">
      <c r="B100" s="125" t="s">
        <v>2959</v>
      </c>
      <c r="C100" s="144" t="s">
        <v>3007</v>
      </c>
      <c r="D100" s="108" t="s">
        <v>3014</v>
      </c>
      <c r="E100" s="98" t="s">
        <v>2895</v>
      </c>
      <c r="F100" s="132" t="s">
        <v>3146</v>
      </c>
      <c r="G100" s="163"/>
      <c r="H100" s="133" t="s">
        <v>1196</v>
      </c>
      <c r="I100" s="100" t="s">
        <v>3109</v>
      </c>
      <c r="J100" s="134"/>
      <c r="K100" s="135"/>
      <c r="L100" s="101"/>
      <c r="M100" s="102"/>
      <c r="N100" s="103"/>
      <c r="O100" s="136" t="str">
        <f t="shared" si="0"/>
        <v>제2편 채권총론-제06장 채권의 소멸-제04절 공탁-</v>
      </c>
    </row>
    <row r="101" spans="2:15" ht="14.45" customHeight="1" x14ac:dyDescent="0.2">
      <c r="B101" s="125" t="s">
        <v>2959</v>
      </c>
      <c r="C101" s="144" t="s">
        <v>3007</v>
      </c>
      <c r="D101" s="110" t="s">
        <v>3013</v>
      </c>
      <c r="E101" s="92"/>
      <c r="F101" s="126"/>
      <c r="G101" s="127"/>
      <c r="H101" s="128"/>
      <c r="I101" s="94"/>
      <c r="J101" s="129"/>
      <c r="K101" s="130"/>
      <c r="L101" s="95"/>
      <c r="M101" s="96"/>
      <c r="N101" s="97"/>
      <c r="O101" s="131" t="str">
        <f t="shared" si="0"/>
        <v>제2편 채권총론-제06장 채권의 소멸-제04절 공탁-</v>
      </c>
    </row>
    <row r="102" spans="2:15" ht="14.45" customHeight="1" x14ac:dyDescent="0.2">
      <c r="B102" s="125" t="s">
        <v>2959</v>
      </c>
      <c r="C102" s="144" t="s">
        <v>3007</v>
      </c>
      <c r="D102" s="108" t="s">
        <v>3016</v>
      </c>
      <c r="E102" s="98" t="s">
        <v>2895</v>
      </c>
      <c r="F102" s="132" t="s">
        <v>3146</v>
      </c>
      <c r="G102" s="163"/>
      <c r="H102" s="133" t="s">
        <v>2039</v>
      </c>
      <c r="I102" s="100" t="s">
        <v>3110</v>
      </c>
      <c r="J102" s="134"/>
      <c r="K102" s="135"/>
      <c r="L102" s="101"/>
      <c r="M102" s="102"/>
      <c r="N102" s="103"/>
      <c r="O102" s="136" t="str">
        <f t="shared" si="0"/>
        <v>제2편 채권총론-제06장 채권의 소멸-제05절 상계-</v>
      </c>
    </row>
    <row r="103" spans="2:15" ht="14.45" customHeight="1" x14ac:dyDescent="0.2">
      <c r="B103" s="125" t="s">
        <v>2959</v>
      </c>
      <c r="C103" s="144" t="s">
        <v>3007</v>
      </c>
      <c r="D103" s="110" t="s">
        <v>3015</v>
      </c>
      <c r="E103" s="92"/>
      <c r="F103" s="126"/>
      <c r="G103" s="127"/>
      <c r="H103" s="128"/>
      <c r="I103" s="94"/>
      <c r="J103" s="129"/>
      <c r="K103" s="130"/>
      <c r="L103" s="95"/>
      <c r="M103" s="96"/>
      <c r="N103" s="97"/>
      <c r="O103" s="131" t="str">
        <f t="shared" si="0"/>
        <v>제2편 채권총론-제06장 채권의 소멸-제05절 상계-</v>
      </c>
    </row>
    <row r="104" spans="2:15" ht="14.45" customHeight="1" x14ac:dyDescent="0.2">
      <c r="B104" s="125" t="s">
        <v>2959</v>
      </c>
      <c r="C104" s="144" t="s">
        <v>3007</v>
      </c>
      <c r="D104" s="108" t="s">
        <v>3018</v>
      </c>
      <c r="E104" s="98" t="s">
        <v>2895</v>
      </c>
      <c r="F104" s="132" t="s">
        <v>3146</v>
      </c>
      <c r="G104" s="163"/>
      <c r="H104" s="133" t="s">
        <v>3188</v>
      </c>
      <c r="I104" s="100" t="s">
        <v>3111</v>
      </c>
      <c r="J104" s="134"/>
      <c r="K104" s="135"/>
      <c r="L104" s="101"/>
      <c r="M104" s="102"/>
      <c r="N104" s="103"/>
      <c r="O104" s="136" t="str">
        <f t="shared" si="0"/>
        <v>제2편 채권총론-제06장 채권의 소멸-제06절 기타 채권의 소멸원인-</v>
      </c>
    </row>
    <row r="105" spans="2:15" ht="14.45" customHeight="1" thickBot="1" x14ac:dyDescent="0.25">
      <c r="B105" s="125" t="s">
        <v>2959</v>
      </c>
      <c r="C105" s="145" t="s">
        <v>3007</v>
      </c>
      <c r="D105" s="152" t="s">
        <v>3017</v>
      </c>
      <c r="E105" s="31"/>
      <c r="F105" s="137"/>
      <c r="G105" s="138"/>
      <c r="H105" s="64"/>
      <c r="I105" s="104"/>
      <c r="J105" s="139"/>
      <c r="K105" s="140"/>
      <c r="L105" s="105"/>
      <c r="M105" s="106"/>
      <c r="N105" s="107"/>
      <c r="O105" s="141" t="str">
        <f t="shared" si="0"/>
        <v>제2편 채권총론-제06장 채권의 소멸-제06절 기타 채권의 소멸원인-</v>
      </c>
    </row>
    <row r="106" spans="2:15" ht="14.45" customHeight="1" x14ac:dyDescent="0.2">
      <c r="B106" s="146" t="s">
        <v>3020</v>
      </c>
      <c r="C106" s="153" t="s">
        <v>3022</v>
      </c>
      <c r="D106" s="154" t="s">
        <v>3469</v>
      </c>
      <c r="E106" s="87" t="s">
        <v>2895</v>
      </c>
      <c r="F106" s="120" t="s">
        <v>3147</v>
      </c>
      <c r="G106" s="162"/>
      <c r="H106" s="121" t="s">
        <v>3471</v>
      </c>
      <c r="I106" s="88" t="s">
        <v>3487</v>
      </c>
      <c r="J106" s="122"/>
      <c r="K106" s="123"/>
      <c r="L106" s="89"/>
      <c r="M106" s="90"/>
      <c r="N106" s="91"/>
      <c r="O106" s="124" t="str">
        <f t="shared" si="0"/>
        <v>제3편 채권각론-제01장 계약총론-제01절 계약총론 서설-</v>
      </c>
    </row>
    <row r="107" spans="2:15" ht="14.45" customHeight="1" x14ac:dyDescent="0.2">
      <c r="B107" s="125" t="s">
        <v>3019</v>
      </c>
      <c r="C107" s="144" t="s">
        <v>3021</v>
      </c>
      <c r="D107" s="110" t="s">
        <v>3470</v>
      </c>
      <c r="E107" s="92"/>
      <c r="F107" s="126"/>
      <c r="G107" s="127"/>
      <c r="H107" s="128"/>
      <c r="I107" s="94"/>
      <c r="J107" s="129"/>
      <c r="K107" s="130"/>
      <c r="L107" s="95"/>
      <c r="M107" s="96"/>
      <c r="N107" s="97"/>
      <c r="O107" s="131" t="str">
        <f t="shared" si="0"/>
        <v>제3편 채권각론-제01장 계약총론-제01절 계약총론 서설-</v>
      </c>
    </row>
    <row r="108" spans="2:15" ht="14.45" customHeight="1" x14ac:dyDescent="0.2">
      <c r="B108" s="125" t="s">
        <v>3019</v>
      </c>
      <c r="C108" s="144" t="s">
        <v>3021</v>
      </c>
      <c r="D108" s="108" t="s">
        <v>3024</v>
      </c>
      <c r="E108" s="98" t="s">
        <v>2895</v>
      </c>
      <c r="F108" s="132" t="s">
        <v>3147</v>
      </c>
      <c r="G108" s="163"/>
      <c r="H108" s="133" t="s">
        <v>3189</v>
      </c>
      <c r="I108" s="100" t="s">
        <v>3112</v>
      </c>
      <c r="J108" s="134"/>
      <c r="K108" s="135"/>
      <c r="L108" s="101"/>
      <c r="M108" s="102"/>
      <c r="N108" s="103"/>
      <c r="O108" s="136" t="str">
        <f t="shared" si="0"/>
        <v>제3편 채권각론-제01장 계약총론-제02절 계약의 성립-</v>
      </c>
    </row>
    <row r="109" spans="2:15" ht="14.45" customHeight="1" x14ac:dyDescent="0.2">
      <c r="B109" s="125" t="s">
        <v>3019</v>
      </c>
      <c r="C109" s="144" t="s">
        <v>3021</v>
      </c>
      <c r="D109" s="110" t="s">
        <v>3023</v>
      </c>
      <c r="E109" s="92"/>
      <c r="F109" s="126"/>
      <c r="G109" s="127"/>
      <c r="H109" s="128"/>
      <c r="I109" s="94"/>
      <c r="J109" s="129"/>
      <c r="K109" s="130"/>
      <c r="L109" s="95"/>
      <c r="M109" s="96"/>
      <c r="N109" s="97"/>
      <c r="O109" s="131" t="str">
        <f t="shared" si="0"/>
        <v>제3편 채권각론-제01장 계약총론-제02절 계약의 성립-</v>
      </c>
    </row>
    <row r="110" spans="2:15" ht="14.45" customHeight="1" x14ac:dyDescent="0.2">
      <c r="B110" s="125" t="s">
        <v>3019</v>
      </c>
      <c r="C110" s="144" t="s">
        <v>3021</v>
      </c>
      <c r="D110" s="108" t="s">
        <v>3026</v>
      </c>
      <c r="E110" s="98" t="s">
        <v>2895</v>
      </c>
      <c r="F110" s="132" t="s">
        <v>3147</v>
      </c>
      <c r="G110" s="163"/>
      <c r="H110" s="133" t="s">
        <v>3190</v>
      </c>
      <c r="I110" s="100" t="s">
        <v>3113</v>
      </c>
      <c r="J110" s="134"/>
      <c r="K110" s="135"/>
      <c r="L110" s="101"/>
      <c r="M110" s="102"/>
      <c r="N110" s="103"/>
      <c r="O110" s="136" t="str">
        <f t="shared" si="0"/>
        <v>제3편 채권각론-제01장 계약총론-제03절 계약의 효력-</v>
      </c>
    </row>
    <row r="111" spans="2:15" ht="14.45" customHeight="1" x14ac:dyDescent="0.2">
      <c r="B111" s="125" t="s">
        <v>3019</v>
      </c>
      <c r="C111" s="144" t="s">
        <v>3021</v>
      </c>
      <c r="D111" s="110" t="s">
        <v>3025</v>
      </c>
      <c r="E111" s="92"/>
      <c r="F111" s="126"/>
      <c r="G111" s="127"/>
      <c r="H111" s="128"/>
      <c r="I111" s="94"/>
      <c r="J111" s="129"/>
      <c r="K111" s="130"/>
      <c r="L111" s="95"/>
      <c r="M111" s="96"/>
      <c r="N111" s="97"/>
      <c r="O111" s="131" t="str">
        <f t="shared" si="0"/>
        <v>제3편 채권각론-제01장 계약총론-제03절 계약의 효력-</v>
      </c>
    </row>
    <row r="112" spans="2:15" ht="14.45" customHeight="1" x14ac:dyDescent="0.2">
      <c r="B112" s="125" t="s">
        <v>3019</v>
      </c>
      <c r="C112" s="144" t="s">
        <v>3021</v>
      </c>
      <c r="D112" s="108" t="s">
        <v>3028</v>
      </c>
      <c r="E112" s="98" t="s">
        <v>2895</v>
      </c>
      <c r="F112" s="132" t="s">
        <v>3147</v>
      </c>
      <c r="G112" s="163"/>
      <c r="H112" s="133" t="s">
        <v>3191</v>
      </c>
      <c r="I112" s="100" t="s">
        <v>3114</v>
      </c>
      <c r="J112" s="134"/>
      <c r="K112" s="135"/>
      <c r="L112" s="101"/>
      <c r="M112" s="102"/>
      <c r="N112" s="103"/>
      <c r="O112" s="136" t="str">
        <f t="shared" si="0"/>
        <v>제3편 채권각론-제01장 계약총론-제04절 계약의 해제와 해지-</v>
      </c>
    </row>
    <row r="113" spans="2:15" ht="14.45" customHeight="1" thickBot="1" x14ac:dyDescent="0.25">
      <c r="B113" s="125" t="s">
        <v>3019</v>
      </c>
      <c r="C113" s="145" t="s">
        <v>3021</v>
      </c>
      <c r="D113" s="152" t="s">
        <v>3027</v>
      </c>
      <c r="E113" s="31"/>
      <c r="F113" s="137"/>
      <c r="G113" s="138"/>
      <c r="H113" s="64"/>
      <c r="I113" s="104"/>
      <c r="J113" s="139"/>
      <c r="K113" s="140"/>
      <c r="L113" s="105"/>
      <c r="M113" s="106"/>
      <c r="N113" s="107"/>
      <c r="O113" s="141" t="str">
        <f t="shared" si="0"/>
        <v>제3편 채권각론-제01장 계약총론-제04절 계약의 해제와 해지-</v>
      </c>
    </row>
    <row r="114" spans="2:15" ht="14.45" customHeight="1" x14ac:dyDescent="0.2">
      <c r="B114" s="125" t="s">
        <v>3019</v>
      </c>
      <c r="C114" s="153" t="s">
        <v>3030</v>
      </c>
      <c r="D114" s="154" t="s">
        <v>3472</v>
      </c>
      <c r="E114" s="87" t="s">
        <v>2895</v>
      </c>
      <c r="F114" s="120" t="s">
        <v>3148</v>
      </c>
      <c r="G114" s="162"/>
      <c r="H114" s="121" t="s">
        <v>3474</v>
      </c>
      <c r="I114" s="88" t="s">
        <v>3488</v>
      </c>
      <c r="J114" s="122"/>
      <c r="K114" s="123"/>
      <c r="L114" s="89"/>
      <c r="M114" s="90"/>
      <c r="N114" s="91"/>
      <c r="O114" s="124" t="str">
        <f t="shared" si="0"/>
        <v>제3편 채권각론-제02장 계약각론-제00절 계약각론 서설-</v>
      </c>
    </row>
    <row r="115" spans="2:15" ht="14.45" customHeight="1" x14ac:dyDescent="0.2">
      <c r="B115" s="125" t="s">
        <v>3019</v>
      </c>
      <c r="C115" s="144" t="s">
        <v>3029</v>
      </c>
      <c r="D115" s="110" t="s">
        <v>3473</v>
      </c>
      <c r="E115" s="92"/>
      <c r="F115" s="126"/>
      <c r="G115" s="127"/>
      <c r="H115" s="128"/>
      <c r="I115" s="94"/>
      <c r="J115" s="129"/>
      <c r="K115" s="130"/>
      <c r="L115" s="95"/>
      <c r="M115" s="96"/>
      <c r="N115" s="97"/>
      <c r="O115" s="131" t="str">
        <f t="shared" si="0"/>
        <v>제3편 채권각론-제02장 계약각론-제00절 계약각론 서설-</v>
      </c>
    </row>
    <row r="116" spans="2:15" ht="14.45" customHeight="1" x14ac:dyDescent="0.2">
      <c r="B116" s="125" t="s">
        <v>3019</v>
      </c>
      <c r="C116" s="144" t="s">
        <v>3029</v>
      </c>
      <c r="D116" s="108" t="s">
        <v>3032</v>
      </c>
      <c r="E116" s="98" t="s">
        <v>2895</v>
      </c>
      <c r="F116" s="132" t="s">
        <v>3148</v>
      </c>
      <c r="G116" s="163"/>
      <c r="H116" s="133" t="s">
        <v>3192</v>
      </c>
      <c r="I116" s="100" t="s">
        <v>3115</v>
      </c>
      <c r="J116" s="134"/>
      <c r="K116" s="135"/>
      <c r="L116" s="101"/>
      <c r="M116" s="102"/>
      <c r="N116" s="103"/>
      <c r="O116" s="136" t="str">
        <f t="shared" si="0"/>
        <v>제3편 채권각론-제02장 계약각론-제01절 증여-</v>
      </c>
    </row>
    <row r="117" spans="2:15" ht="14.45" customHeight="1" x14ac:dyDescent="0.2">
      <c r="B117" s="125" t="s">
        <v>3019</v>
      </c>
      <c r="C117" s="144" t="s">
        <v>3029</v>
      </c>
      <c r="D117" s="110" t="s">
        <v>3031</v>
      </c>
      <c r="E117" s="92"/>
      <c r="F117" s="126"/>
      <c r="G117" s="127"/>
      <c r="H117" s="128"/>
      <c r="I117" s="94"/>
      <c r="J117" s="129"/>
      <c r="K117" s="130"/>
      <c r="L117" s="95"/>
      <c r="M117" s="96"/>
      <c r="N117" s="97"/>
      <c r="O117" s="131" t="str">
        <f t="shared" si="0"/>
        <v>제3편 채권각론-제02장 계약각론-제01절 증여-</v>
      </c>
    </row>
    <row r="118" spans="2:15" ht="14.45" customHeight="1" x14ac:dyDescent="0.2">
      <c r="B118" s="125" t="s">
        <v>3019</v>
      </c>
      <c r="C118" s="144" t="s">
        <v>3029</v>
      </c>
      <c r="D118" s="108" t="s">
        <v>3034</v>
      </c>
      <c r="E118" s="98" t="s">
        <v>2895</v>
      </c>
      <c r="F118" s="132" t="s">
        <v>3148</v>
      </c>
      <c r="G118" s="163"/>
      <c r="H118" s="133" t="s">
        <v>3193</v>
      </c>
      <c r="I118" s="100" t="s">
        <v>3116</v>
      </c>
      <c r="J118" s="134"/>
      <c r="K118" s="135"/>
      <c r="L118" s="101"/>
      <c r="M118" s="102"/>
      <c r="N118" s="103"/>
      <c r="O118" s="136" t="str">
        <f t="shared" si="0"/>
        <v>제3편 채권각론-제02장 계약각론-제02절 매매-</v>
      </c>
    </row>
    <row r="119" spans="2:15" ht="14.45" customHeight="1" x14ac:dyDescent="0.2">
      <c r="B119" s="125" t="s">
        <v>3019</v>
      </c>
      <c r="C119" s="144" t="s">
        <v>3029</v>
      </c>
      <c r="D119" s="110" t="s">
        <v>3033</v>
      </c>
      <c r="E119" s="92"/>
      <c r="F119" s="126"/>
      <c r="G119" s="127"/>
      <c r="H119" s="128"/>
      <c r="I119" s="94"/>
      <c r="J119" s="129"/>
      <c r="K119" s="130"/>
      <c r="L119" s="95"/>
      <c r="M119" s="96"/>
      <c r="N119" s="97"/>
      <c r="O119" s="131" t="str">
        <f t="shared" si="0"/>
        <v>제3편 채권각론-제02장 계약각론-제02절 매매-</v>
      </c>
    </row>
    <row r="120" spans="2:15" ht="14.45" customHeight="1" x14ac:dyDescent="0.2">
      <c r="B120" s="125" t="s">
        <v>3019</v>
      </c>
      <c r="C120" s="144" t="s">
        <v>3029</v>
      </c>
      <c r="D120" s="108" t="s">
        <v>3036</v>
      </c>
      <c r="E120" s="98" t="s">
        <v>2895</v>
      </c>
      <c r="F120" s="132" t="s">
        <v>3148</v>
      </c>
      <c r="G120" s="163"/>
      <c r="H120" s="133" t="s">
        <v>3194</v>
      </c>
      <c r="I120" s="100" t="s">
        <v>3117</v>
      </c>
      <c r="J120" s="134"/>
      <c r="K120" s="135"/>
      <c r="L120" s="101"/>
      <c r="M120" s="102"/>
      <c r="N120" s="103"/>
      <c r="O120" s="136" t="str">
        <f t="shared" si="0"/>
        <v>제3편 채권각론-제02장 계약각론-제03절 교환-</v>
      </c>
    </row>
    <row r="121" spans="2:15" ht="14.45" customHeight="1" x14ac:dyDescent="0.2">
      <c r="B121" s="125" t="s">
        <v>3019</v>
      </c>
      <c r="C121" s="144" t="s">
        <v>3029</v>
      </c>
      <c r="D121" s="110" t="s">
        <v>3035</v>
      </c>
      <c r="E121" s="92"/>
      <c r="F121" s="126"/>
      <c r="G121" s="127"/>
      <c r="H121" s="128"/>
      <c r="I121" s="94"/>
      <c r="J121" s="129"/>
      <c r="K121" s="130"/>
      <c r="L121" s="95"/>
      <c r="M121" s="96"/>
      <c r="N121" s="97"/>
      <c r="O121" s="131" t="str">
        <f t="shared" si="0"/>
        <v>제3편 채권각론-제02장 계약각론-제03절 교환-</v>
      </c>
    </row>
    <row r="122" spans="2:15" ht="14.45" customHeight="1" x14ac:dyDescent="0.2">
      <c r="B122" s="125" t="s">
        <v>3019</v>
      </c>
      <c r="C122" s="144" t="s">
        <v>3029</v>
      </c>
      <c r="D122" s="108" t="s">
        <v>3038</v>
      </c>
      <c r="E122" s="98" t="s">
        <v>2895</v>
      </c>
      <c r="F122" s="132" t="s">
        <v>3148</v>
      </c>
      <c r="G122" s="163"/>
      <c r="H122" s="133" t="s">
        <v>3195</v>
      </c>
      <c r="I122" s="100" t="s">
        <v>3118</v>
      </c>
      <c r="J122" s="134"/>
      <c r="K122" s="135"/>
      <c r="L122" s="101"/>
      <c r="M122" s="102"/>
      <c r="N122" s="103"/>
      <c r="O122" s="136" t="str">
        <f t="shared" si="0"/>
        <v>제3편 채권각론-제02장 계약각론-제04절 소비대차-</v>
      </c>
    </row>
    <row r="123" spans="2:15" ht="14.45" customHeight="1" x14ac:dyDescent="0.2">
      <c r="B123" s="125" t="s">
        <v>3019</v>
      </c>
      <c r="C123" s="144" t="s">
        <v>3029</v>
      </c>
      <c r="D123" s="110" t="s">
        <v>3037</v>
      </c>
      <c r="E123" s="92"/>
      <c r="F123" s="126"/>
      <c r="G123" s="127"/>
      <c r="H123" s="128"/>
      <c r="I123" s="94"/>
      <c r="J123" s="129"/>
      <c r="K123" s="130"/>
      <c r="L123" s="95"/>
      <c r="M123" s="96"/>
      <c r="N123" s="97"/>
      <c r="O123" s="131" t="str">
        <f t="shared" si="0"/>
        <v>제3편 채권각론-제02장 계약각론-제04절 소비대차-</v>
      </c>
    </row>
    <row r="124" spans="2:15" ht="14.45" customHeight="1" x14ac:dyDescent="0.2">
      <c r="B124" s="125" t="s">
        <v>3019</v>
      </c>
      <c r="C124" s="144" t="s">
        <v>3029</v>
      </c>
      <c r="D124" s="108" t="s">
        <v>3040</v>
      </c>
      <c r="E124" s="98" t="s">
        <v>2895</v>
      </c>
      <c r="F124" s="132" t="s">
        <v>3148</v>
      </c>
      <c r="G124" s="163"/>
      <c r="H124" s="133" t="s">
        <v>3196</v>
      </c>
      <c r="I124" s="100" t="s">
        <v>3119</v>
      </c>
      <c r="J124" s="134"/>
      <c r="K124" s="135"/>
      <c r="L124" s="101"/>
      <c r="M124" s="102"/>
      <c r="N124" s="103"/>
      <c r="O124" s="136" t="str">
        <f t="shared" si="0"/>
        <v>제3편 채권각론-제02장 계약각론-제05절 사용대차-</v>
      </c>
    </row>
    <row r="125" spans="2:15" ht="14.45" customHeight="1" x14ac:dyDescent="0.2">
      <c r="B125" s="125" t="s">
        <v>3019</v>
      </c>
      <c r="C125" s="144" t="s">
        <v>3029</v>
      </c>
      <c r="D125" s="110" t="s">
        <v>3039</v>
      </c>
      <c r="E125" s="92"/>
      <c r="F125" s="126"/>
      <c r="G125" s="127"/>
      <c r="H125" s="128"/>
      <c r="I125" s="94"/>
      <c r="J125" s="129"/>
      <c r="K125" s="130"/>
      <c r="L125" s="95"/>
      <c r="M125" s="96"/>
      <c r="N125" s="97"/>
      <c r="O125" s="131" t="str">
        <f t="shared" si="0"/>
        <v>제3편 채권각론-제02장 계약각론-제05절 사용대차-</v>
      </c>
    </row>
    <row r="126" spans="2:15" ht="14.45" customHeight="1" x14ac:dyDescent="0.2">
      <c r="B126" s="125" t="s">
        <v>3019</v>
      </c>
      <c r="C126" s="144" t="s">
        <v>3029</v>
      </c>
      <c r="D126" s="108" t="s">
        <v>3042</v>
      </c>
      <c r="E126" s="98" t="s">
        <v>2895</v>
      </c>
      <c r="F126" s="132" t="s">
        <v>3148</v>
      </c>
      <c r="G126" s="163"/>
      <c r="H126" s="133" t="s">
        <v>3197</v>
      </c>
      <c r="I126" s="100" t="s">
        <v>3120</v>
      </c>
      <c r="J126" s="134"/>
      <c r="K126" s="135"/>
      <c r="L126" s="101"/>
      <c r="M126" s="102"/>
      <c r="N126" s="103"/>
      <c r="O126" s="136" t="str">
        <f t="shared" si="0"/>
        <v>제3편 채권각론-제02장 계약각론-제06절 임대차-</v>
      </c>
    </row>
    <row r="127" spans="2:15" ht="14.45" customHeight="1" x14ac:dyDescent="0.2">
      <c r="B127" s="125" t="s">
        <v>3019</v>
      </c>
      <c r="C127" s="144" t="s">
        <v>3029</v>
      </c>
      <c r="D127" s="110" t="s">
        <v>3041</v>
      </c>
      <c r="E127" s="92"/>
      <c r="F127" s="126"/>
      <c r="G127" s="127"/>
      <c r="H127" s="128"/>
      <c r="I127" s="94"/>
      <c r="J127" s="129"/>
      <c r="K127" s="130"/>
      <c r="L127" s="95"/>
      <c r="M127" s="96"/>
      <c r="N127" s="97"/>
      <c r="O127" s="131" t="str">
        <f t="shared" si="0"/>
        <v>제3편 채권각론-제02장 계약각론-제06절 임대차-</v>
      </c>
    </row>
    <row r="128" spans="2:15" ht="14.45" customHeight="1" x14ac:dyDescent="0.2">
      <c r="B128" s="125" t="s">
        <v>3019</v>
      </c>
      <c r="C128" s="144" t="s">
        <v>3029</v>
      </c>
      <c r="D128" s="108" t="s">
        <v>3044</v>
      </c>
      <c r="E128" s="98" t="s">
        <v>2895</v>
      </c>
      <c r="F128" s="132" t="s">
        <v>3148</v>
      </c>
      <c r="G128" s="163"/>
      <c r="H128" s="133" t="s">
        <v>3198</v>
      </c>
      <c r="I128" s="100" t="s">
        <v>3121</v>
      </c>
      <c r="J128" s="134"/>
      <c r="K128" s="135"/>
      <c r="L128" s="101"/>
      <c r="M128" s="102"/>
      <c r="N128" s="103"/>
      <c r="O128" s="136" t="str">
        <f t="shared" si="0"/>
        <v>제3편 채권각론-제02장 계약각론-제07절 고용-</v>
      </c>
    </row>
    <row r="129" spans="2:15" ht="14.45" customHeight="1" x14ac:dyDescent="0.2">
      <c r="B129" s="125" t="s">
        <v>3019</v>
      </c>
      <c r="C129" s="144" t="s">
        <v>3029</v>
      </c>
      <c r="D129" s="110" t="s">
        <v>3043</v>
      </c>
      <c r="E129" s="92"/>
      <c r="F129" s="126"/>
      <c r="G129" s="127"/>
      <c r="H129" s="128"/>
      <c r="I129" s="94"/>
      <c r="J129" s="129"/>
      <c r="K129" s="130"/>
      <c r="L129" s="95"/>
      <c r="M129" s="96"/>
      <c r="N129" s="97"/>
      <c r="O129" s="131" t="str">
        <f t="shared" si="0"/>
        <v>제3편 채권각론-제02장 계약각론-제07절 고용-</v>
      </c>
    </row>
    <row r="130" spans="2:15" ht="14.45" customHeight="1" x14ac:dyDescent="0.2">
      <c r="B130" s="125" t="s">
        <v>3019</v>
      </c>
      <c r="C130" s="144" t="s">
        <v>3029</v>
      </c>
      <c r="D130" s="108" t="s">
        <v>3046</v>
      </c>
      <c r="E130" s="98" t="s">
        <v>2895</v>
      </c>
      <c r="F130" s="132" t="s">
        <v>3148</v>
      </c>
      <c r="G130" s="163"/>
      <c r="H130" s="133" t="s">
        <v>3199</v>
      </c>
      <c r="I130" s="100" t="s">
        <v>3122</v>
      </c>
      <c r="J130" s="134"/>
      <c r="K130" s="135"/>
      <c r="L130" s="101"/>
      <c r="M130" s="102"/>
      <c r="N130" s="103"/>
      <c r="O130" s="136" t="str">
        <f t="shared" si="0"/>
        <v>제3편 채권각론-제02장 계약각론-제08절 도급-</v>
      </c>
    </row>
    <row r="131" spans="2:15" ht="14.45" customHeight="1" x14ac:dyDescent="0.2">
      <c r="B131" s="125" t="s">
        <v>3019</v>
      </c>
      <c r="C131" s="144" t="s">
        <v>3029</v>
      </c>
      <c r="D131" s="110" t="s">
        <v>3045</v>
      </c>
      <c r="E131" s="92"/>
      <c r="F131" s="126"/>
      <c r="G131" s="127"/>
      <c r="H131" s="128"/>
      <c r="I131" s="94"/>
      <c r="J131" s="129"/>
      <c r="K131" s="130"/>
      <c r="L131" s="95"/>
      <c r="M131" s="96"/>
      <c r="N131" s="97"/>
      <c r="O131" s="131" t="str">
        <f t="shared" si="0"/>
        <v>제3편 채권각론-제02장 계약각론-제08절 도급-</v>
      </c>
    </row>
    <row r="132" spans="2:15" ht="14.45" customHeight="1" x14ac:dyDescent="0.2">
      <c r="B132" s="125" t="s">
        <v>3019</v>
      </c>
      <c r="C132" s="144" t="s">
        <v>3029</v>
      </c>
      <c r="D132" s="108" t="s">
        <v>3048</v>
      </c>
      <c r="E132" s="98" t="s">
        <v>2895</v>
      </c>
      <c r="F132" s="132" t="s">
        <v>3148</v>
      </c>
      <c r="G132" s="163"/>
      <c r="H132" s="133" t="s">
        <v>3200</v>
      </c>
      <c r="I132" s="100" t="s">
        <v>3123</v>
      </c>
      <c r="J132" s="134"/>
      <c r="K132" s="135"/>
      <c r="L132" s="101"/>
      <c r="M132" s="102"/>
      <c r="N132" s="103"/>
      <c r="O132" s="136" t="str">
        <f t="shared" si="0"/>
        <v>제3편 채권각론-제02장 계약각론-제08절의2 여행계약-</v>
      </c>
    </row>
    <row r="133" spans="2:15" ht="14.45" customHeight="1" x14ac:dyDescent="0.2">
      <c r="B133" s="125" t="s">
        <v>3019</v>
      </c>
      <c r="C133" s="144" t="s">
        <v>3029</v>
      </c>
      <c r="D133" s="110" t="s">
        <v>3047</v>
      </c>
      <c r="E133" s="92"/>
      <c r="F133" s="126"/>
      <c r="G133" s="127"/>
      <c r="H133" s="128"/>
      <c r="I133" s="94"/>
      <c r="J133" s="129"/>
      <c r="K133" s="130"/>
      <c r="L133" s="95"/>
      <c r="M133" s="96"/>
      <c r="N133" s="97"/>
      <c r="O133" s="131" t="str">
        <f t="shared" si="0"/>
        <v>제3편 채권각론-제02장 계약각론-제08절의2 여행계약-</v>
      </c>
    </row>
    <row r="134" spans="2:15" ht="14.45" customHeight="1" x14ac:dyDescent="0.2">
      <c r="B134" s="125" t="s">
        <v>3019</v>
      </c>
      <c r="C134" s="144" t="s">
        <v>3029</v>
      </c>
      <c r="D134" s="108" t="s">
        <v>3050</v>
      </c>
      <c r="E134" s="98" t="s">
        <v>2895</v>
      </c>
      <c r="F134" s="132" t="s">
        <v>3148</v>
      </c>
      <c r="G134" s="163"/>
      <c r="H134" s="133" t="s">
        <v>3201</v>
      </c>
      <c r="I134" s="100" t="s">
        <v>3124</v>
      </c>
      <c r="J134" s="134"/>
      <c r="K134" s="135"/>
      <c r="L134" s="101"/>
      <c r="M134" s="102"/>
      <c r="N134" s="103"/>
      <c r="O134" s="136" t="str">
        <f t="shared" si="0"/>
        <v>제3편 채권각론-제02장 계약각론-제09절 현상광고-</v>
      </c>
    </row>
    <row r="135" spans="2:15" ht="14.45" customHeight="1" x14ac:dyDescent="0.2">
      <c r="B135" s="125" t="s">
        <v>3019</v>
      </c>
      <c r="C135" s="144" t="s">
        <v>3029</v>
      </c>
      <c r="D135" s="110" t="s">
        <v>3049</v>
      </c>
      <c r="E135" s="92"/>
      <c r="F135" s="126"/>
      <c r="G135" s="127"/>
      <c r="H135" s="128"/>
      <c r="I135" s="94"/>
      <c r="J135" s="129"/>
      <c r="K135" s="130"/>
      <c r="L135" s="95"/>
      <c r="M135" s="96"/>
      <c r="N135" s="97"/>
      <c r="O135" s="131" t="str">
        <f t="shared" si="0"/>
        <v>제3편 채권각론-제02장 계약각론-제09절 현상광고-</v>
      </c>
    </row>
    <row r="136" spans="2:15" ht="14.45" customHeight="1" x14ac:dyDescent="0.2">
      <c r="B136" s="125" t="s">
        <v>3019</v>
      </c>
      <c r="C136" s="144" t="s">
        <v>3029</v>
      </c>
      <c r="D136" s="108" t="s">
        <v>3052</v>
      </c>
      <c r="E136" s="98" t="s">
        <v>2895</v>
      </c>
      <c r="F136" s="132" t="s">
        <v>3148</v>
      </c>
      <c r="G136" s="163"/>
      <c r="H136" s="133" t="s">
        <v>3202</v>
      </c>
      <c r="I136" s="100" t="s">
        <v>3125</v>
      </c>
      <c r="J136" s="134"/>
      <c r="K136" s="135"/>
      <c r="L136" s="101"/>
      <c r="M136" s="102"/>
      <c r="N136" s="103"/>
      <c r="O136" s="136" t="str">
        <f t="shared" si="0"/>
        <v>제3편 채권각론-제02장 계약각론-제10절 위임-</v>
      </c>
    </row>
    <row r="137" spans="2:15" ht="14.45" customHeight="1" x14ac:dyDescent="0.2">
      <c r="B137" s="125" t="s">
        <v>3019</v>
      </c>
      <c r="C137" s="144" t="s">
        <v>3029</v>
      </c>
      <c r="D137" s="110" t="s">
        <v>3051</v>
      </c>
      <c r="E137" s="92"/>
      <c r="F137" s="126"/>
      <c r="G137" s="127"/>
      <c r="H137" s="128"/>
      <c r="I137" s="94"/>
      <c r="J137" s="129"/>
      <c r="K137" s="130"/>
      <c r="L137" s="95"/>
      <c r="M137" s="96"/>
      <c r="N137" s="97"/>
      <c r="O137" s="131" t="str">
        <f t="shared" si="0"/>
        <v>제3편 채권각론-제02장 계약각론-제10절 위임-</v>
      </c>
    </row>
    <row r="138" spans="2:15" ht="14.45" customHeight="1" x14ac:dyDescent="0.2">
      <c r="B138" s="125" t="s">
        <v>3019</v>
      </c>
      <c r="C138" s="144" t="s">
        <v>3029</v>
      </c>
      <c r="D138" s="108" t="s">
        <v>3054</v>
      </c>
      <c r="E138" s="98" t="s">
        <v>2895</v>
      </c>
      <c r="F138" s="132" t="s">
        <v>3148</v>
      </c>
      <c r="G138" s="163"/>
      <c r="H138" s="133" t="s">
        <v>3203</v>
      </c>
      <c r="I138" s="100" t="s">
        <v>3126</v>
      </c>
      <c r="J138" s="134"/>
      <c r="K138" s="135"/>
      <c r="L138" s="101"/>
      <c r="M138" s="102"/>
      <c r="N138" s="103"/>
      <c r="O138" s="136" t="str">
        <f t="shared" si="0"/>
        <v>제3편 채권각론-제02장 계약각론-제11절 임치-</v>
      </c>
    </row>
    <row r="139" spans="2:15" ht="14.45" customHeight="1" x14ac:dyDescent="0.2">
      <c r="B139" s="125" t="s">
        <v>3019</v>
      </c>
      <c r="C139" s="144" t="s">
        <v>3029</v>
      </c>
      <c r="D139" s="110" t="s">
        <v>3053</v>
      </c>
      <c r="E139" s="92"/>
      <c r="F139" s="126"/>
      <c r="G139" s="127"/>
      <c r="H139" s="128"/>
      <c r="I139" s="94"/>
      <c r="J139" s="129"/>
      <c r="K139" s="130"/>
      <c r="L139" s="95"/>
      <c r="M139" s="96"/>
      <c r="N139" s="97"/>
      <c r="O139" s="131" t="str">
        <f t="shared" si="0"/>
        <v>제3편 채권각론-제02장 계약각론-제11절 임치-</v>
      </c>
    </row>
    <row r="140" spans="2:15" ht="14.45" customHeight="1" x14ac:dyDescent="0.2">
      <c r="B140" s="125" t="s">
        <v>3019</v>
      </c>
      <c r="C140" s="144" t="s">
        <v>3029</v>
      </c>
      <c r="D140" s="108" t="s">
        <v>3056</v>
      </c>
      <c r="E140" s="98" t="s">
        <v>2895</v>
      </c>
      <c r="F140" s="132" t="s">
        <v>3148</v>
      </c>
      <c r="G140" s="163"/>
      <c r="H140" s="133" t="s">
        <v>3204</v>
      </c>
      <c r="I140" s="100" t="s">
        <v>3127</v>
      </c>
      <c r="J140" s="134"/>
      <c r="K140" s="135"/>
      <c r="L140" s="101"/>
      <c r="M140" s="102"/>
      <c r="N140" s="103"/>
      <c r="O140" s="136" t="str">
        <f t="shared" si="0"/>
        <v>제3편 채권각론-제02장 계약각론-제12절 조합-</v>
      </c>
    </row>
    <row r="141" spans="2:15" ht="14.45" customHeight="1" x14ac:dyDescent="0.2">
      <c r="B141" s="125" t="s">
        <v>3019</v>
      </c>
      <c r="C141" s="144" t="s">
        <v>3029</v>
      </c>
      <c r="D141" s="110" t="s">
        <v>3055</v>
      </c>
      <c r="E141" s="92"/>
      <c r="F141" s="126"/>
      <c r="G141" s="127"/>
      <c r="H141" s="128"/>
      <c r="I141" s="94"/>
      <c r="J141" s="129"/>
      <c r="K141" s="130"/>
      <c r="L141" s="95"/>
      <c r="M141" s="96"/>
      <c r="N141" s="97"/>
      <c r="O141" s="131" t="str">
        <f t="shared" si="0"/>
        <v>제3편 채권각론-제02장 계약각론-제12절 조합-</v>
      </c>
    </row>
    <row r="142" spans="2:15" ht="14.45" customHeight="1" x14ac:dyDescent="0.2">
      <c r="B142" s="125" t="s">
        <v>3019</v>
      </c>
      <c r="C142" s="144" t="s">
        <v>3029</v>
      </c>
      <c r="D142" s="108" t="s">
        <v>3058</v>
      </c>
      <c r="E142" s="98" t="s">
        <v>2895</v>
      </c>
      <c r="F142" s="132" t="s">
        <v>3148</v>
      </c>
      <c r="G142" s="163"/>
      <c r="H142" s="133" t="s">
        <v>3205</v>
      </c>
      <c r="I142" s="100" t="s">
        <v>3128</v>
      </c>
      <c r="J142" s="134"/>
      <c r="K142" s="135"/>
      <c r="L142" s="101"/>
      <c r="M142" s="102"/>
      <c r="N142" s="103"/>
      <c r="O142" s="136" t="str">
        <f t="shared" si="0"/>
        <v>제3편 채권각론-제02장 계약각론-제13절 종신정기금-</v>
      </c>
    </row>
    <row r="143" spans="2:15" ht="14.45" customHeight="1" x14ac:dyDescent="0.2">
      <c r="B143" s="125" t="s">
        <v>3019</v>
      </c>
      <c r="C143" s="144" t="s">
        <v>3029</v>
      </c>
      <c r="D143" s="110" t="s">
        <v>3057</v>
      </c>
      <c r="E143" s="92"/>
      <c r="F143" s="126"/>
      <c r="G143" s="127"/>
      <c r="H143" s="128"/>
      <c r="I143" s="94"/>
      <c r="J143" s="129"/>
      <c r="K143" s="130"/>
      <c r="L143" s="95"/>
      <c r="M143" s="96"/>
      <c r="N143" s="97"/>
      <c r="O143" s="131" t="str">
        <f t="shared" si="0"/>
        <v>제3편 채권각론-제02장 계약각론-제13절 종신정기금-</v>
      </c>
    </row>
    <row r="144" spans="2:15" ht="14.45" customHeight="1" x14ac:dyDescent="0.2">
      <c r="B144" s="125" t="s">
        <v>3019</v>
      </c>
      <c r="C144" s="144" t="s">
        <v>3029</v>
      </c>
      <c r="D144" s="108" t="s">
        <v>3060</v>
      </c>
      <c r="E144" s="98" t="s">
        <v>2895</v>
      </c>
      <c r="F144" s="132" t="s">
        <v>3148</v>
      </c>
      <c r="G144" s="163"/>
      <c r="H144" s="133" t="s">
        <v>3206</v>
      </c>
      <c r="I144" s="100" t="s">
        <v>3129</v>
      </c>
      <c r="J144" s="134"/>
      <c r="K144" s="135"/>
      <c r="L144" s="101"/>
      <c r="M144" s="102"/>
      <c r="N144" s="103"/>
      <c r="O144" s="136" t="str">
        <f t="shared" si="0"/>
        <v>제3편 채권각론-제02장 계약각론-제14절 화해-</v>
      </c>
    </row>
    <row r="145" spans="2:15" ht="14.45" customHeight="1" thickBot="1" x14ac:dyDescent="0.25">
      <c r="B145" s="125" t="s">
        <v>3019</v>
      </c>
      <c r="C145" s="145" t="s">
        <v>3029</v>
      </c>
      <c r="D145" s="152" t="s">
        <v>3059</v>
      </c>
      <c r="E145" s="31"/>
      <c r="F145" s="137"/>
      <c r="G145" s="138"/>
      <c r="H145" s="64"/>
      <c r="I145" s="104"/>
      <c r="J145" s="139"/>
      <c r="K145" s="140"/>
      <c r="L145" s="105"/>
      <c r="M145" s="106"/>
      <c r="N145" s="107"/>
      <c r="O145" s="141" t="str">
        <f t="shared" si="0"/>
        <v>제3편 채권각론-제02장 계약각론-제14절 화해-</v>
      </c>
    </row>
    <row r="146" spans="2:15" ht="14.45" customHeight="1" x14ac:dyDescent="0.2">
      <c r="B146" s="125" t="s">
        <v>3019</v>
      </c>
      <c r="C146" s="153" t="s">
        <v>3062</v>
      </c>
      <c r="D146" s="154" t="s">
        <v>3064</v>
      </c>
      <c r="E146" s="87" t="s">
        <v>2895</v>
      </c>
      <c r="F146" s="120" t="s">
        <v>3149</v>
      </c>
      <c r="G146" s="162"/>
      <c r="H146" s="121" t="s">
        <v>3207</v>
      </c>
      <c r="I146" s="88" t="s">
        <v>3130</v>
      </c>
      <c r="J146" s="122"/>
      <c r="K146" s="123"/>
      <c r="L146" s="89"/>
      <c r="M146" s="90"/>
      <c r="N146" s="91"/>
      <c r="O146" s="124" t="str">
        <f t="shared" si="0"/>
        <v>제3편 채권각론-제03장 법정채권-제01절 사무관리-</v>
      </c>
    </row>
    <row r="147" spans="2:15" ht="14.45" customHeight="1" x14ac:dyDescent="0.2">
      <c r="B147" s="125" t="s">
        <v>3019</v>
      </c>
      <c r="C147" s="144" t="s">
        <v>3061</v>
      </c>
      <c r="D147" s="110" t="s">
        <v>3063</v>
      </c>
      <c r="E147" s="92"/>
      <c r="F147" s="126"/>
      <c r="G147" s="127"/>
      <c r="H147" s="128"/>
      <c r="I147" s="94"/>
      <c r="J147" s="129"/>
      <c r="K147" s="130"/>
      <c r="L147" s="95"/>
      <c r="M147" s="96"/>
      <c r="N147" s="97"/>
      <c r="O147" s="131" t="str">
        <f t="shared" si="0"/>
        <v>제3편 채권각론-제03장 법정채권-제01절 사무관리-</v>
      </c>
    </row>
    <row r="148" spans="2:15" ht="14.45" customHeight="1" x14ac:dyDescent="0.2">
      <c r="B148" s="125" t="s">
        <v>3019</v>
      </c>
      <c r="C148" s="144" t="s">
        <v>3061</v>
      </c>
      <c r="D148" s="108" t="s">
        <v>3066</v>
      </c>
      <c r="E148" s="98" t="s">
        <v>2895</v>
      </c>
      <c r="F148" s="132" t="s">
        <v>3149</v>
      </c>
      <c r="G148" s="99"/>
      <c r="H148" s="164" t="s">
        <v>3208</v>
      </c>
      <c r="I148" s="100" t="s">
        <v>3131</v>
      </c>
      <c r="J148" s="134"/>
      <c r="K148" s="135"/>
      <c r="L148" s="101"/>
      <c r="M148" s="102"/>
      <c r="N148" s="103"/>
      <c r="O148" s="136" t="str">
        <f t="shared" si="0"/>
        <v>제3편 채권각론-제03장 법정채권-제02절 부당이득-</v>
      </c>
    </row>
    <row r="149" spans="2:15" ht="14.45" customHeight="1" x14ac:dyDescent="0.2">
      <c r="B149" s="125" t="s">
        <v>3019</v>
      </c>
      <c r="C149" s="144" t="s">
        <v>3061</v>
      </c>
      <c r="D149" s="110" t="s">
        <v>3065</v>
      </c>
      <c r="E149" s="92"/>
      <c r="F149" s="126"/>
      <c r="G149" s="93"/>
      <c r="H149" s="159"/>
      <c r="I149" s="94"/>
      <c r="J149" s="160"/>
      <c r="K149" s="130"/>
      <c r="L149" s="95"/>
      <c r="M149" s="96"/>
      <c r="N149" s="161"/>
      <c r="O149" s="161" t="str">
        <f t="shared" ref="O149:O151" si="1">B149&amp;"-"&amp;C149&amp;"-"&amp;D149&amp;"-"&amp;G149</f>
        <v>제3편 채권각론-제03장 법정채권-제02절 부당이득-</v>
      </c>
    </row>
    <row r="150" spans="2:15" ht="14.45" customHeight="1" x14ac:dyDescent="0.2">
      <c r="B150" s="125" t="s">
        <v>3019</v>
      </c>
      <c r="C150" s="144" t="s">
        <v>3061</v>
      </c>
      <c r="D150" s="108" t="s">
        <v>3068</v>
      </c>
      <c r="E150" s="165" t="s">
        <v>2895</v>
      </c>
      <c r="F150" s="166" t="s">
        <v>3149</v>
      </c>
      <c r="G150" s="167"/>
      <c r="H150" s="168" t="s">
        <v>3209</v>
      </c>
      <c r="I150" s="169" t="s">
        <v>3132</v>
      </c>
      <c r="J150" s="170"/>
      <c r="K150" s="171"/>
      <c r="L150" s="172"/>
      <c r="M150" s="173"/>
      <c r="N150" s="174"/>
      <c r="O150" s="174" t="str">
        <f t="shared" si="1"/>
        <v>제3편 채권각론-제03장 법정채권-제03절 불법행위-</v>
      </c>
    </row>
    <row r="151" spans="2:15" ht="14.45" customHeight="1" thickBot="1" x14ac:dyDescent="0.25">
      <c r="B151" s="142" t="s">
        <v>3019</v>
      </c>
      <c r="C151" s="145" t="s">
        <v>3061</v>
      </c>
      <c r="D151" s="152" t="s">
        <v>3067</v>
      </c>
      <c r="E151" s="31"/>
      <c r="F151" s="137"/>
      <c r="G151" s="109"/>
      <c r="H151" s="147"/>
      <c r="I151" s="148"/>
      <c r="J151" s="149"/>
      <c r="K151" s="140"/>
      <c r="L151" s="105"/>
      <c r="M151" s="106"/>
      <c r="N151" s="150"/>
      <c r="O151" s="150" t="str">
        <f t="shared" si="1"/>
        <v>제3편 채권각론-제03장 법정채권-제03절 불법행위-</v>
      </c>
    </row>
  </sheetData>
  <autoFilter ref="B3:O151" xr:uid="{4FAC6D25-28DA-469F-8AA5-9FBA38CDD426}">
    <sortState xmlns:xlrd2="http://schemas.microsoft.com/office/spreadsheetml/2017/richdata2" ref="B4:O148">
      <sortCondition ref="O3"/>
    </sortState>
  </autoFilter>
  <mergeCells count="4">
    <mergeCell ref="B2:D2"/>
    <mergeCell ref="E2:H2"/>
    <mergeCell ref="I2:J2"/>
    <mergeCell ref="M2:N2"/>
  </mergeCells>
  <phoneticPr fontId="2" type="noConversion"/>
  <conditionalFormatting sqref="B4:O151">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2A419AB9-ED14-4A76-AE00-10C8DE7B65B5}">
          <x14:formula1>
            <xm:f>설정!$B$6:$B$11</xm:f>
          </x14:formula1>
          <xm:sqref>E4:E151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CE9F7-5072-484E-A3D0-F91CF20BB048}">
  <sheetPr codeName="Sheet11"/>
  <dimension ref="B1:O3"/>
  <sheetViews>
    <sheetView showGridLines="0" zoomScaleNormal="100" workbookViewId="0">
      <pane ySplit="2" topLeftCell="A3" activePane="bottomLeft" state="frozen"/>
      <selection activeCell="C3" sqref="C3"/>
      <selection pane="bottomLeft" activeCell="D3" sqref="D3"/>
    </sheetView>
  </sheetViews>
  <sheetFormatPr defaultRowHeight="14.45" customHeight="1" x14ac:dyDescent="0.2"/>
  <cols>
    <col min="1" max="1" width="1.28515625" style="111" customWidth="1"/>
    <col min="2" max="2" width="50.7109375" style="111" customWidth="1"/>
    <col min="3" max="3" width="9.7109375" style="112" customWidth="1"/>
    <col min="4" max="4" width="4.42578125" style="112" customWidth="1"/>
    <col min="5" max="6" width="9.140625" style="111"/>
    <col min="7" max="9" width="9.140625" style="5"/>
    <col min="10" max="15" width="9.140625" style="112"/>
    <col min="16" max="16384" width="9.140625" style="111"/>
  </cols>
  <sheetData>
    <row r="1" spans="2:9" ht="14.45" customHeight="1" thickBot="1" x14ac:dyDescent="0.25"/>
    <row r="2" spans="2:9" s="112" customFormat="1" ht="14.45" customHeight="1" thickBot="1" x14ac:dyDescent="0.25">
      <c r="B2" s="263" t="s">
        <v>2877</v>
      </c>
      <c r="C2" s="264"/>
      <c r="D2" s="113" t="s">
        <v>2896</v>
      </c>
      <c r="E2" s="111"/>
      <c r="F2" s="111"/>
      <c r="G2" s="5"/>
      <c r="H2" s="5"/>
      <c r="I2" s="5"/>
    </row>
    <row r="3" spans="2:9" s="112" customFormat="1" ht="14.45" customHeight="1" thickBot="1" x14ac:dyDescent="0.25">
      <c r="B3" s="115" t="s">
        <v>2898</v>
      </c>
      <c r="C3" s="116" t="s">
        <v>2897</v>
      </c>
      <c r="D3" s="117" t="s">
        <v>2899</v>
      </c>
      <c r="E3" s="111"/>
      <c r="F3" s="111"/>
      <c r="G3" s="5"/>
      <c r="H3" s="5"/>
      <c r="I3" s="114"/>
    </row>
  </sheetData>
  <mergeCells count="1">
    <mergeCell ref="B2:C2"/>
  </mergeCells>
  <phoneticPr fontId="2" type="noConversion"/>
  <conditionalFormatting sqref="B3:D3">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446D0-C115-4BCD-AFBF-EEAAF8450812}">
  <sheetPr codeName="Sheet14">
    <pageSetUpPr fitToPage="1"/>
  </sheetPr>
  <dimension ref="B2:W97"/>
  <sheetViews>
    <sheetView showGridLines="0" zoomScaleNormal="100" workbookViewId="0">
      <pane ySplit="3" topLeftCell="A4" activePane="bottomLeft" state="frozen"/>
      <selection pane="bottomLeft" activeCell="U16" sqref="U16"/>
    </sheetView>
  </sheetViews>
  <sheetFormatPr defaultRowHeight="14.45" customHeight="1" x14ac:dyDescent="0.2"/>
  <cols>
    <col min="1" max="1" width="1.28515625" style="118" customWidth="1"/>
    <col min="2" max="2" width="20.7109375" style="118" customWidth="1"/>
    <col min="3" max="3" width="32.7109375" style="118" customWidth="1"/>
    <col min="4" max="4" width="38.7109375" style="118" customWidth="1"/>
    <col min="5" max="21" width="5.7109375" style="118" customWidth="1"/>
    <col min="22" max="22" width="4.42578125" style="70" customWidth="1"/>
    <col min="23" max="23" width="9.140625" style="118" hidden="1" customWidth="1"/>
    <col min="24" max="16384" width="9.140625" style="118"/>
  </cols>
  <sheetData>
    <row r="2" spans="2:23" ht="14.45" customHeight="1" thickBot="1" x14ac:dyDescent="0.25">
      <c r="B2" s="118" t="s">
        <v>3495</v>
      </c>
    </row>
    <row r="3" spans="2:23" ht="14.45" customHeight="1" thickBot="1" x14ac:dyDescent="0.25">
      <c r="B3" s="203" t="s">
        <v>2900</v>
      </c>
      <c r="C3" s="180" t="s">
        <v>2888</v>
      </c>
      <c r="D3" s="185" t="s">
        <v>2889</v>
      </c>
      <c r="E3" s="185">
        <v>2010</v>
      </c>
      <c r="F3" s="185">
        <v>2011</v>
      </c>
      <c r="G3" s="185">
        <v>2012</v>
      </c>
      <c r="H3" s="185">
        <v>2013</v>
      </c>
      <c r="I3" s="185">
        <v>2014</v>
      </c>
      <c r="J3" s="185">
        <v>2015</v>
      </c>
      <c r="K3" s="185">
        <v>2016</v>
      </c>
      <c r="L3" s="185">
        <v>2017</v>
      </c>
      <c r="M3" s="185">
        <v>2018</v>
      </c>
      <c r="N3" s="185">
        <v>2019</v>
      </c>
      <c r="O3" s="185">
        <v>2020</v>
      </c>
      <c r="P3" s="185">
        <v>2021</v>
      </c>
      <c r="Q3" s="185">
        <v>2022</v>
      </c>
      <c r="R3" s="185">
        <v>2023</v>
      </c>
      <c r="S3" s="185">
        <v>2024</v>
      </c>
      <c r="T3" s="185">
        <v>2025</v>
      </c>
      <c r="U3" s="179">
        <v>2026</v>
      </c>
      <c r="V3" s="203" t="s">
        <v>2872</v>
      </c>
    </row>
    <row r="4" spans="2:23" ht="14.45" customHeight="1" x14ac:dyDescent="0.2">
      <c r="B4" s="194" t="s">
        <v>2902</v>
      </c>
      <c r="C4" s="195" t="s">
        <v>2910</v>
      </c>
      <c r="D4" s="186" t="s">
        <v>3489</v>
      </c>
      <c r="E4" s="235">
        <f>COUNTIFS(기출문제!$H:$H,기출빈도!$W4,기출문제!$C:$C,기출빈도!E$3)</f>
        <v>0</v>
      </c>
      <c r="F4" s="235">
        <f>COUNTIFS(기출문제!$H:$H,기출빈도!$W4,기출문제!$C:$C,기출빈도!F$3)</f>
        <v>0</v>
      </c>
      <c r="G4" s="235">
        <f>COUNTIFS(기출문제!$H:$H,기출빈도!$W4,기출문제!$C:$C,기출빈도!G$3)</f>
        <v>0</v>
      </c>
      <c r="H4" s="235">
        <f>COUNTIFS(기출문제!$H:$H,기출빈도!$W4,기출문제!$C:$C,기출빈도!H$3)</f>
        <v>0</v>
      </c>
      <c r="I4" s="235">
        <f>COUNTIFS(기출문제!$H:$H,기출빈도!$W4,기출문제!$C:$C,기출빈도!I$3)</f>
        <v>0</v>
      </c>
      <c r="J4" s="235">
        <f>COUNTIFS(기출문제!$H:$H,기출빈도!$W4,기출문제!$C:$C,기출빈도!J$3)</f>
        <v>0</v>
      </c>
      <c r="K4" s="235">
        <f>COUNTIFS(기출문제!$H:$H,기출빈도!$W4,기출문제!$C:$C,기출빈도!K$3)</f>
        <v>0</v>
      </c>
      <c r="L4" s="235">
        <f>COUNTIFS(기출문제!$H:$H,기출빈도!$W4,기출문제!$C:$C,기출빈도!L$3)</f>
        <v>0</v>
      </c>
      <c r="M4" s="235">
        <f>COUNTIFS(기출문제!$H:$H,기출빈도!$W4,기출문제!$C:$C,기출빈도!M$3)</f>
        <v>0</v>
      </c>
      <c r="N4" s="235">
        <f>COUNTIFS(기출문제!$H:$H,기출빈도!$W4,기출문제!$C:$C,기출빈도!N$3)</f>
        <v>0</v>
      </c>
      <c r="O4" s="235">
        <f>COUNTIFS(기출문제!$H:$H,기출빈도!$W4,기출문제!$C:$C,기출빈도!O$3)</f>
        <v>0</v>
      </c>
      <c r="P4" s="235">
        <f>COUNTIFS(기출문제!$H:$H,기출빈도!$W4,기출문제!$C:$C,기출빈도!P$3)</f>
        <v>0</v>
      </c>
      <c r="Q4" s="235">
        <f>COUNTIFS(기출문제!$H:$H,기출빈도!$W4,기출문제!$C:$C,기출빈도!Q$3)</f>
        <v>0</v>
      </c>
      <c r="R4" s="235">
        <f>COUNTIFS(기출문제!$H:$H,기출빈도!$W4,기출문제!$C:$C,기출빈도!R$3)</f>
        <v>0</v>
      </c>
      <c r="S4" s="235">
        <f>COUNTIFS(기출문제!$H:$H,기출빈도!$W4,기출문제!$C:$C,기출빈도!S$3)</f>
        <v>0</v>
      </c>
      <c r="T4" s="235">
        <f>COUNTIFS(기출문제!$H:$H,기출빈도!$W4,기출문제!$C:$C,기출빈도!T$3)</f>
        <v>0</v>
      </c>
      <c r="U4" s="236">
        <f>COUNTIFS(기출문제!$H:$H,기출빈도!$W4,기출문제!$C:$C,기출빈도!U$3)</f>
        <v>0</v>
      </c>
      <c r="V4" s="204" t="s">
        <v>3479</v>
      </c>
      <c r="W4" s="118" t="str">
        <f>MID(D4,6,30)</f>
        <v>민법 서론 서설</v>
      </c>
    </row>
    <row r="5" spans="2:23" ht="14.45" customHeight="1" x14ac:dyDescent="0.2">
      <c r="B5" s="189" t="s">
        <v>2901</v>
      </c>
      <c r="C5" s="192" t="s">
        <v>2909</v>
      </c>
      <c r="D5" s="181" t="s">
        <v>2906</v>
      </c>
      <c r="E5" s="237">
        <f>COUNTIFS(기출문제!$H:$H,기출빈도!$W5,기출문제!$C:$C,기출빈도!E$3)</f>
        <v>0</v>
      </c>
      <c r="F5" s="237">
        <f>COUNTIFS(기출문제!$H:$H,기출빈도!$W5,기출문제!$C:$C,기출빈도!F$3)</f>
        <v>0</v>
      </c>
      <c r="G5" s="237">
        <f>COUNTIFS(기출문제!$H:$H,기출빈도!$W5,기출문제!$C:$C,기출빈도!G$3)</f>
        <v>0</v>
      </c>
      <c r="H5" s="237">
        <f>COUNTIFS(기출문제!$H:$H,기출빈도!$W5,기출문제!$C:$C,기출빈도!H$3)</f>
        <v>0</v>
      </c>
      <c r="I5" s="237">
        <f>COUNTIFS(기출문제!$H:$H,기출빈도!$W5,기출문제!$C:$C,기출빈도!I$3)</f>
        <v>0</v>
      </c>
      <c r="J5" s="237">
        <f>COUNTIFS(기출문제!$H:$H,기출빈도!$W5,기출문제!$C:$C,기출빈도!J$3)</f>
        <v>0</v>
      </c>
      <c r="K5" s="237">
        <f>COUNTIFS(기출문제!$H:$H,기출빈도!$W5,기출문제!$C:$C,기출빈도!K$3)</f>
        <v>0</v>
      </c>
      <c r="L5" s="237">
        <f>COUNTIFS(기출문제!$H:$H,기출빈도!$W5,기출문제!$C:$C,기출빈도!L$3)</f>
        <v>0</v>
      </c>
      <c r="M5" s="237">
        <f>COUNTIFS(기출문제!$H:$H,기출빈도!$W5,기출문제!$C:$C,기출빈도!M$3)</f>
        <v>0</v>
      </c>
      <c r="N5" s="237">
        <f>COUNTIFS(기출문제!$H:$H,기출빈도!$W5,기출문제!$C:$C,기출빈도!N$3)</f>
        <v>0</v>
      </c>
      <c r="O5" s="237">
        <f>COUNTIFS(기출문제!$H:$H,기출빈도!$W5,기출문제!$C:$C,기출빈도!O$3)</f>
        <v>0</v>
      </c>
      <c r="P5" s="237">
        <f>COUNTIFS(기출문제!$H:$H,기출빈도!$W5,기출문제!$C:$C,기출빈도!P$3)</f>
        <v>0</v>
      </c>
      <c r="Q5" s="237">
        <f>COUNTIFS(기출문제!$H:$H,기출빈도!$W5,기출문제!$C:$C,기출빈도!Q$3)</f>
        <v>0</v>
      </c>
      <c r="R5" s="237">
        <f>COUNTIFS(기출문제!$H:$H,기출빈도!$W5,기출문제!$C:$C,기출빈도!R$3)</f>
        <v>0</v>
      </c>
      <c r="S5" s="237">
        <f>COUNTIFS(기출문제!$H:$H,기출빈도!$W5,기출문제!$C:$C,기출빈도!S$3)</f>
        <v>0</v>
      </c>
      <c r="T5" s="237">
        <f>COUNTIFS(기출문제!$H:$H,기출빈도!$W5,기출문제!$C:$C,기출빈도!T$3)</f>
        <v>0</v>
      </c>
      <c r="U5" s="238">
        <f>COUNTIFS(기출문제!$H:$H,기출빈도!$W5,기출문제!$C:$C,기출빈도!U$3)</f>
        <v>1</v>
      </c>
      <c r="V5" s="205" t="s">
        <v>3069</v>
      </c>
      <c r="W5" s="118" t="str">
        <f t="shared" ref="W5:W68" si="0">MID(D5,6,30)</f>
        <v>민법의 법원</v>
      </c>
    </row>
    <row r="6" spans="2:23" ht="14.45" customHeight="1" x14ac:dyDescent="0.2">
      <c r="B6" s="189" t="s">
        <v>2901</v>
      </c>
      <c r="C6" s="192" t="s">
        <v>2909</v>
      </c>
      <c r="D6" s="182" t="s">
        <v>2908</v>
      </c>
      <c r="E6" s="239">
        <f>COUNTIFS(기출문제!$H:$H,기출빈도!$W6,기출문제!$C:$C,기출빈도!E$3)</f>
        <v>0</v>
      </c>
      <c r="F6" s="239">
        <f>COUNTIFS(기출문제!$H:$H,기출빈도!$W6,기출문제!$C:$C,기출빈도!F$3)</f>
        <v>0</v>
      </c>
      <c r="G6" s="239">
        <f>COUNTIFS(기출문제!$H:$H,기출빈도!$W6,기출문제!$C:$C,기출빈도!G$3)</f>
        <v>0</v>
      </c>
      <c r="H6" s="239">
        <f>COUNTIFS(기출문제!$H:$H,기출빈도!$W6,기출문제!$C:$C,기출빈도!H$3)</f>
        <v>0</v>
      </c>
      <c r="I6" s="239">
        <f>COUNTIFS(기출문제!$H:$H,기출빈도!$W6,기출문제!$C:$C,기출빈도!I$3)</f>
        <v>0</v>
      </c>
      <c r="J6" s="239">
        <f>COUNTIFS(기출문제!$H:$H,기출빈도!$W6,기출문제!$C:$C,기출빈도!J$3)</f>
        <v>0</v>
      </c>
      <c r="K6" s="239">
        <f>COUNTIFS(기출문제!$H:$H,기출빈도!$W6,기출문제!$C:$C,기출빈도!K$3)</f>
        <v>0</v>
      </c>
      <c r="L6" s="239">
        <f>COUNTIFS(기출문제!$H:$H,기출빈도!$W6,기출문제!$C:$C,기출빈도!L$3)</f>
        <v>0</v>
      </c>
      <c r="M6" s="239">
        <f>COUNTIFS(기출문제!$H:$H,기출빈도!$W6,기출문제!$C:$C,기출빈도!M$3)</f>
        <v>0</v>
      </c>
      <c r="N6" s="239">
        <f>COUNTIFS(기출문제!$H:$H,기출빈도!$W6,기출문제!$C:$C,기출빈도!N$3)</f>
        <v>0</v>
      </c>
      <c r="O6" s="239">
        <f>COUNTIFS(기출문제!$H:$H,기출빈도!$W6,기출문제!$C:$C,기출빈도!O$3)</f>
        <v>0</v>
      </c>
      <c r="P6" s="239">
        <f>COUNTIFS(기출문제!$H:$H,기출빈도!$W6,기출문제!$C:$C,기출빈도!P$3)</f>
        <v>0</v>
      </c>
      <c r="Q6" s="239">
        <f>COUNTIFS(기출문제!$H:$H,기출빈도!$W6,기출문제!$C:$C,기출빈도!Q$3)</f>
        <v>0</v>
      </c>
      <c r="R6" s="239">
        <f>COUNTIFS(기출문제!$H:$H,기출빈도!$W6,기출문제!$C:$C,기출빈도!R$3)</f>
        <v>0</v>
      </c>
      <c r="S6" s="239">
        <f>COUNTIFS(기출문제!$H:$H,기출빈도!$W6,기출문제!$C:$C,기출빈도!S$3)</f>
        <v>0</v>
      </c>
      <c r="T6" s="239">
        <f>COUNTIFS(기출문제!$H:$H,기출빈도!$W6,기출문제!$C:$C,기출빈도!T$3)</f>
        <v>0</v>
      </c>
      <c r="U6" s="240">
        <f>COUNTIFS(기출문제!$H:$H,기출빈도!$W6,기출문제!$C:$C,기출빈도!U$3)</f>
        <v>0</v>
      </c>
      <c r="V6" s="205" t="s">
        <v>3070</v>
      </c>
      <c r="W6" s="118" t="str">
        <f t="shared" si="0"/>
        <v>민법의 기본원리</v>
      </c>
    </row>
    <row r="7" spans="2:23" ht="14.45" customHeight="1" thickBot="1" x14ac:dyDescent="0.25">
      <c r="B7" s="189"/>
      <c r="C7" s="145" t="s">
        <v>2909</v>
      </c>
      <c r="D7" s="198" t="s">
        <v>3491</v>
      </c>
      <c r="E7" s="241">
        <f>SUM(E4:E6)</f>
        <v>0</v>
      </c>
      <c r="F7" s="241">
        <f t="shared" ref="F7:U7" si="1">SUM(F4:F6)</f>
        <v>0</v>
      </c>
      <c r="G7" s="241">
        <f t="shared" si="1"/>
        <v>0</v>
      </c>
      <c r="H7" s="241">
        <f t="shared" si="1"/>
        <v>0</v>
      </c>
      <c r="I7" s="241">
        <f t="shared" si="1"/>
        <v>0</v>
      </c>
      <c r="J7" s="241">
        <f t="shared" si="1"/>
        <v>0</v>
      </c>
      <c r="K7" s="241">
        <f t="shared" si="1"/>
        <v>0</v>
      </c>
      <c r="L7" s="241">
        <f t="shared" si="1"/>
        <v>0</v>
      </c>
      <c r="M7" s="241">
        <f t="shared" si="1"/>
        <v>0</v>
      </c>
      <c r="N7" s="241">
        <f t="shared" si="1"/>
        <v>0</v>
      </c>
      <c r="O7" s="241">
        <f t="shared" si="1"/>
        <v>0</v>
      </c>
      <c r="P7" s="241">
        <f t="shared" si="1"/>
        <v>0</v>
      </c>
      <c r="Q7" s="241">
        <f t="shared" si="1"/>
        <v>0</v>
      </c>
      <c r="R7" s="241">
        <f t="shared" si="1"/>
        <v>0</v>
      </c>
      <c r="S7" s="241">
        <f t="shared" si="1"/>
        <v>0</v>
      </c>
      <c r="T7" s="241">
        <f t="shared" si="1"/>
        <v>0</v>
      </c>
      <c r="U7" s="242">
        <f t="shared" si="1"/>
        <v>1</v>
      </c>
      <c r="V7" s="206"/>
      <c r="W7" s="118" t="str">
        <f t="shared" si="0"/>
        <v/>
      </c>
    </row>
    <row r="8" spans="2:23" ht="14.45" customHeight="1" x14ac:dyDescent="0.2">
      <c r="B8" s="189" t="s">
        <v>2901</v>
      </c>
      <c r="C8" s="190" t="s">
        <v>2912</v>
      </c>
      <c r="D8" s="187" t="s">
        <v>2914</v>
      </c>
      <c r="E8" s="243">
        <f>COUNTIFS(기출문제!$H:$H,기출빈도!$W8,기출문제!$C:$C,기출빈도!E$3)</f>
        <v>0</v>
      </c>
      <c r="F8" s="243">
        <f>COUNTIFS(기출문제!$H:$H,기출빈도!$W8,기출문제!$C:$C,기출빈도!F$3)</f>
        <v>0</v>
      </c>
      <c r="G8" s="243">
        <f>COUNTIFS(기출문제!$H:$H,기출빈도!$W8,기출문제!$C:$C,기출빈도!G$3)</f>
        <v>0</v>
      </c>
      <c r="H8" s="243">
        <f>COUNTIFS(기출문제!$H:$H,기출빈도!$W8,기출문제!$C:$C,기출빈도!H$3)</f>
        <v>0</v>
      </c>
      <c r="I8" s="243">
        <f>COUNTIFS(기출문제!$H:$H,기출빈도!$W8,기출문제!$C:$C,기출빈도!I$3)</f>
        <v>0</v>
      </c>
      <c r="J8" s="243">
        <f>COUNTIFS(기출문제!$H:$H,기출빈도!$W8,기출문제!$C:$C,기출빈도!J$3)</f>
        <v>0</v>
      </c>
      <c r="K8" s="243">
        <f>COUNTIFS(기출문제!$H:$H,기출빈도!$W8,기출문제!$C:$C,기출빈도!K$3)</f>
        <v>0</v>
      </c>
      <c r="L8" s="243">
        <f>COUNTIFS(기출문제!$H:$H,기출빈도!$W8,기출문제!$C:$C,기출빈도!L$3)</f>
        <v>0</v>
      </c>
      <c r="M8" s="243">
        <f>COUNTIFS(기출문제!$H:$H,기출빈도!$W8,기출문제!$C:$C,기출빈도!M$3)</f>
        <v>0</v>
      </c>
      <c r="N8" s="243">
        <f>COUNTIFS(기출문제!$H:$H,기출빈도!$W8,기출문제!$C:$C,기출빈도!N$3)</f>
        <v>0</v>
      </c>
      <c r="O8" s="243">
        <f>COUNTIFS(기출문제!$H:$H,기출빈도!$W8,기출문제!$C:$C,기출빈도!O$3)</f>
        <v>0</v>
      </c>
      <c r="P8" s="243">
        <f>COUNTIFS(기출문제!$H:$H,기출빈도!$W8,기출문제!$C:$C,기출빈도!P$3)</f>
        <v>0</v>
      </c>
      <c r="Q8" s="243">
        <f>COUNTIFS(기출문제!$H:$H,기출빈도!$W8,기출문제!$C:$C,기출빈도!Q$3)</f>
        <v>0</v>
      </c>
      <c r="R8" s="243">
        <f>COUNTIFS(기출문제!$H:$H,기출빈도!$W8,기출문제!$C:$C,기출빈도!R$3)</f>
        <v>0</v>
      </c>
      <c r="S8" s="243">
        <f>COUNTIFS(기출문제!$H:$H,기출빈도!$W8,기출문제!$C:$C,기출빈도!S$3)</f>
        <v>0</v>
      </c>
      <c r="T8" s="243">
        <f>COUNTIFS(기출문제!$H:$H,기출빈도!$W8,기출문제!$C:$C,기출빈도!T$3)</f>
        <v>0</v>
      </c>
      <c r="U8" s="244">
        <f>COUNTIFS(기출문제!$H:$H,기출빈도!$W8,기출문제!$C:$C,기출빈도!U$3)</f>
        <v>0</v>
      </c>
      <c r="V8" s="204" t="s">
        <v>3071</v>
      </c>
      <c r="W8" s="118" t="str">
        <f t="shared" si="0"/>
        <v>법률관계의 권리・의무</v>
      </c>
    </row>
    <row r="9" spans="2:23" ht="14.45" customHeight="1" x14ac:dyDescent="0.2">
      <c r="B9" s="189" t="s">
        <v>2901</v>
      </c>
      <c r="C9" s="192" t="s">
        <v>2911</v>
      </c>
      <c r="D9" s="182" t="s">
        <v>2916</v>
      </c>
      <c r="E9" s="239">
        <f>COUNTIFS(기출문제!$H:$H,기출빈도!$W9,기출문제!$C:$C,기출빈도!E$3)</f>
        <v>0</v>
      </c>
      <c r="F9" s="239">
        <f>COUNTIFS(기출문제!$H:$H,기출빈도!$W9,기출문제!$C:$C,기출빈도!F$3)</f>
        <v>0</v>
      </c>
      <c r="G9" s="239">
        <f>COUNTIFS(기출문제!$H:$H,기출빈도!$W9,기출문제!$C:$C,기출빈도!G$3)</f>
        <v>0</v>
      </c>
      <c r="H9" s="239">
        <f>COUNTIFS(기출문제!$H:$H,기출빈도!$W9,기출문제!$C:$C,기출빈도!H$3)</f>
        <v>0</v>
      </c>
      <c r="I9" s="239">
        <f>COUNTIFS(기출문제!$H:$H,기출빈도!$W9,기출문제!$C:$C,기출빈도!I$3)</f>
        <v>0</v>
      </c>
      <c r="J9" s="239">
        <f>COUNTIFS(기출문제!$H:$H,기출빈도!$W9,기출문제!$C:$C,기출빈도!J$3)</f>
        <v>0</v>
      </c>
      <c r="K9" s="239">
        <f>COUNTIFS(기출문제!$H:$H,기출빈도!$W9,기출문제!$C:$C,기출빈도!K$3)</f>
        <v>0</v>
      </c>
      <c r="L9" s="239">
        <f>COUNTIFS(기출문제!$H:$H,기출빈도!$W9,기출문제!$C:$C,기출빈도!L$3)</f>
        <v>0</v>
      </c>
      <c r="M9" s="239">
        <f>COUNTIFS(기출문제!$H:$H,기출빈도!$W9,기출문제!$C:$C,기출빈도!M$3)</f>
        <v>0</v>
      </c>
      <c r="N9" s="239">
        <f>COUNTIFS(기출문제!$H:$H,기출빈도!$W9,기출문제!$C:$C,기출빈도!N$3)</f>
        <v>0</v>
      </c>
      <c r="O9" s="239">
        <f>COUNTIFS(기출문제!$H:$H,기출빈도!$W9,기출문제!$C:$C,기출빈도!O$3)</f>
        <v>0</v>
      </c>
      <c r="P9" s="239">
        <f>COUNTIFS(기출문제!$H:$H,기출빈도!$W9,기출문제!$C:$C,기출빈도!P$3)</f>
        <v>0</v>
      </c>
      <c r="Q9" s="239">
        <f>COUNTIFS(기출문제!$H:$H,기출빈도!$W9,기출문제!$C:$C,기출빈도!Q$3)</f>
        <v>0</v>
      </c>
      <c r="R9" s="239">
        <f>COUNTIFS(기출문제!$H:$H,기출빈도!$W9,기출문제!$C:$C,기출빈도!R$3)</f>
        <v>0</v>
      </c>
      <c r="S9" s="239">
        <f>COUNTIFS(기출문제!$H:$H,기출빈도!$W9,기출문제!$C:$C,기출빈도!S$3)</f>
        <v>0</v>
      </c>
      <c r="T9" s="239">
        <f>COUNTIFS(기출문제!$H:$H,기출빈도!$W9,기출문제!$C:$C,기출빈도!T$3)</f>
        <v>0</v>
      </c>
      <c r="U9" s="240">
        <f>COUNTIFS(기출문제!$H:$H,기출빈도!$W9,기출문제!$C:$C,기출빈도!U$3)</f>
        <v>0</v>
      </c>
      <c r="V9" s="205" t="s">
        <v>3072</v>
      </c>
      <c r="W9" s="118" t="str">
        <f t="shared" si="0"/>
        <v>신의성실의 원칙</v>
      </c>
    </row>
    <row r="10" spans="2:23" ht="14.45" customHeight="1" thickBot="1" x14ac:dyDescent="0.25">
      <c r="B10" s="189"/>
      <c r="C10" s="145" t="s">
        <v>2911</v>
      </c>
      <c r="D10" s="198" t="s">
        <v>3491</v>
      </c>
      <c r="E10" s="241">
        <f>SUM(E8:E9)</f>
        <v>0</v>
      </c>
      <c r="F10" s="241">
        <f t="shared" ref="F10:U10" si="2">SUM(F8:F9)</f>
        <v>0</v>
      </c>
      <c r="G10" s="241">
        <f t="shared" si="2"/>
        <v>0</v>
      </c>
      <c r="H10" s="241">
        <f t="shared" si="2"/>
        <v>0</v>
      </c>
      <c r="I10" s="241">
        <f t="shared" si="2"/>
        <v>0</v>
      </c>
      <c r="J10" s="241">
        <f t="shared" si="2"/>
        <v>0</v>
      </c>
      <c r="K10" s="241">
        <f t="shared" si="2"/>
        <v>0</v>
      </c>
      <c r="L10" s="241">
        <f t="shared" si="2"/>
        <v>0</v>
      </c>
      <c r="M10" s="241">
        <f t="shared" si="2"/>
        <v>0</v>
      </c>
      <c r="N10" s="241">
        <f t="shared" si="2"/>
        <v>0</v>
      </c>
      <c r="O10" s="241">
        <f t="shared" si="2"/>
        <v>0</v>
      </c>
      <c r="P10" s="241">
        <f t="shared" si="2"/>
        <v>0</v>
      </c>
      <c r="Q10" s="241">
        <f t="shared" si="2"/>
        <v>0</v>
      </c>
      <c r="R10" s="241">
        <f t="shared" si="2"/>
        <v>0</v>
      </c>
      <c r="S10" s="241">
        <f t="shared" si="2"/>
        <v>0</v>
      </c>
      <c r="T10" s="241">
        <f t="shared" si="2"/>
        <v>0</v>
      </c>
      <c r="U10" s="242">
        <f t="shared" si="2"/>
        <v>0</v>
      </c>
      <c r="V10" s="206"/>
      <c r="W10" s="118" t="str">
        <f t="shared" si="0"/>
        <v/>
      </c>
    </row>
    <row r="11" spans="2:23" ht="14.45" customHeight="1" x14ac:dyDescent="0.2">
      <c r="B11" s="189" t="s">
        <v>2901</v>
      </c>
      <c r="C11" s="190" t="s">
        <v>2918</v>
      </c>
      <c r="D11" s="187" t="s">
        <v>3451</v>
      </c>
      <c r="E11" s="243">
        <f>COUNTIFS(기출문제!$H:$H,기출빈도!$W11,기출문제!$C:$C,기출빈도!E$3)</f>
        <v>0</v>
      </c>
      <c r="F11" s="243">
        <f>COUNTIFS(기출문제!$H:$H,기출빈도!$W11,기출문제!$C:$C,기출빈도!F$3)</f>
        <v>0</v>
      </c>
      <c r="G11" s="243">
        <f>COUNTIFS(기출문제!$H:$H,기출빈도!$W11,기출문제!$C:$C,기출빈도!G$3)</f>
        <v>0</v>
      </c>
      <c r="H11" s="243">
        <f>COUNTIFS(기출문제!$H:$H,기출빈도!$W11,기출문제!$C:$C,기출빈도!H$3)</f>
        <v>0</v>
      </c>
      <c r="I11" s="243">
        <f>COUNTIFS(기출문제!$H:$H,기출빈도!$W11,기출문제!$C:$C,기출빈도!I$3)</f>
        <v>0</v>
      </c>
      <c r="J11" s="243">
        <f>COUNTIFS(기출문제!$H:$H,기출빈도!$W11,기출문제!$C:$C,기출빈도!J$3)</f>
        <v>0</v>
      </c>
      <c r="K11" s="243">
        <f>COUNTIFS(기출문제!$H:$H,기출빈도!$W11,기출문제!$C:$C,기출빈도!K$3)</f>
        <v>0</v>
      </c>
      <c r="L11" s="243">
        <f>COUNTIFS(기출문제!$H:$H,기출빈도!$W11,기출문제!$C:$C,기출빈도!L$3)</f>
        <v>0</v>
      </c>
      <c r="M11" s="243">
        <f>COUNTIFS(기출문제!$H:$H,기출빈도!$W11,기출문제!$C:$C,기출빈도!M$3)</f>
        <v>0</v>
      </c>
      <c r="N11" s="243">
        <f>COUNTIFS(기출문제!$H:$H,기출빈도!$W11,기출문제!$C:$C,기출빈도!N$3)</f>
        <v>0</v>
      </c>
      <c r="O11" s="243">
        <f>COUNTIFS(기출문제!$H:$H,기출빈도!$W11,기출문제!$C:$C,기출빈도!O$3)</f>
        <v>0</v>
      </c>
      <c r="P11" s="243">
        <f>COUNTIFS(기출문제!$H:$H,기출빈도!$W11,기출문제!$C:$C,기출빈도!P$3)</f>
        <v>0</v>
      </c>
      <c r="Q11" s="243">
        <f>COUNTIFS(기출문제!$H:$H,기출빈도!$W11,기출문제!$C:$C,기출빈도!Q$3)</f>
        <v>0</v>
      </c>
      <c r="R11" s="243">
        <f>COUNTIFS(기출문제!$H:$H,기출빈도!$W11,기출문제!$C:$C,기출빈도!R$3)</f>
        <v>0</v>
      </c>
      <c r="S11" s="243">
        <f>COUNTIFS(기출문제!$H:$H,기출빈도!$W11,기출문제!$C:$C,기출빈도!S$3)</f>
        <v>0</v>
      </c>
      <c r="T11" s="243">
        <f>COUNTIFS(기출문제!$H:$H,기출빈도!$W11,기출문제!$C:$C,기출빈도!T$3)</f>
        <v>0</v>
      </c>
      <c r="U11" s="244">
        <f>COUNTIFS(기출문제!$H:$H,기출빈도!$W11,기출문제!$C:$C,기출빈도!U$3)</f>
        <v>0</v>
      </c>
      <c r="V11" s="204" t="s">
        <v>3480</v>
      </c>
      <c r="W11" s="118" t="str">
        <f t="shared" si="0"/>
        <v>권리주체 서설</v>
      </c>
    </row>
    <row r="12" spans="2:23" ht="14.45" customHeight="1" x14ac:dyDescent="0.2">
      <c r="B12" s="189" t="s">
        <v>2901</v>
      </c>
      <c r="C12" s="192" t="s">
        <v>2917</v>
      </c>
      <c r="D12" s="182" t="s">
        <v>2920</v>
      </c>
      <c r="E12" s="239">
        <f>COUNTIFS(기출문제!$H:$H,기출빈도!$W12,기출문제!$C:$C,기출빈도!E$3)</f>
        <v>0</v>
      </c>
      <c r="F12" s="239">
        <f>COUNTIFS(기출문제!$H:$H,기출빈도!$W12,기출문제!$C:$C,기출빈도!F$3)</f>
        <v>0</v>
      </c>
      <c r="G12" s="239">
        <f>COUNTIFS(기출문제!$H:$H,기출빈도!$W12,기출문제!$C:$C,기출빈도!G$3)</f>
        <v>0</v>
      </c>
      <c r="H12" s="239">
        <f>COUNTIFS(기출문제!$H:$H,기출빈도!$W12,기출문제!$C:$C,기출빈도!H$3)</f>
        <v>0</v>
      </c>
      <c r="I12" s="239">
        <f>COUNTIFS(기출문제!$H:$H,기출빈도!$W12,기출문제!$C:$C,기출빈도!I$3)</f>
        <v>0</v>
      </c>
      <c r="J12" s="239">
        <f>COUNTIFS(기출문제!$H:$H,기출빈도!$W12,기출문제!$C:$C,기출빈도!J$3)</f>
        <v>0</v>
      </c>
      <c r="K12" s="239">
        <f>COUNTIFS(기출문제!$H:$H,기출빈도!$W12,기출문제!$C:$C,기출빈도!K$3)</f>
        <v>0</v>
      </c>
      <c r="L12" s="239">
        <f>COUNTIFS(기출문제!$H:$H,기출빈도!$W12,기출문제!$C:$C,기출빈도!L$3)</f>
        <v>0</v>
      </c>
      <c r="M12" s="239">
        <f>COUNTIFS(기출문제!$H:$H,기출빈도!$W12,기출문제!$C:$C,기출빈도!M$3)</f>
        <v>0</v>
      </c>
      <c r="N12" s="239">
        <f>COUNTIFS(기출문제!$H:$H,기출빈도!$W12,기출문제!$C:$C,기출빈도!N$3)</f>
        <v>0</v>
      </c>
      <c r="O12" s="239">
        <f>COUNTIFS(기출문제!$H:$H,기출빈도!$W12,기출문제!$C:$C,기출빈도!O$3)</f>
        <v>0</v>
      </c>
      <c r="P12" s="239">
        <f>COUNTIFS(기출문제!$H:$H,기출빈도!$W12,기출문제!$C:$C,기출빈도!P$3)</f>
        <v>0</v>
      </c>
      <c r="Q12" s="239">
        <f>COUNTIFS(기출문제!$H:$H,기출빈도!$W12,기출문제!$C:$C,기출빈도!Q$3)</f>
        <v>0</v>
      </c>
      <c r="R12" s="239">
        <f>COUNTIFS(기출문제!$H:$H,기출빈도!$W12,기출문제!$C:$C,기출빈도!R$3)</f>
        <v>0</v>
      </c>
      <c r="S12" s="239">
        <f>COUNTIFS(기출문제!$H:$H,기출빈도!$W12,기출문제!$C:$C,기출빈도!S$3)</f>
        <v>0</v>
      </c>
      <c r="T12" s="239">
        <f>COUNTIFS(기출문제!$H:$H,기출빈도!$W12,기출문제!$C:$C,기출빈도!T$3)</f>
        <v>0</v>
      </c>
      <c r="U12" s="240">
        <f>COUNTIFS(기출문제!$H:$H,기출빈도!$W12,기출문제!$C:$C,기출빈도!U$3)</f>
        <v>0</v>
      </c>
      <c r="V12" s="205" t="s">
        <v>3073</v>
      </c>
      <c r="W12" s="118" t="str">
        <f t="shared" si="0"/>
        <v>자연인</v>
      </c>
    </row>
    <row r="13" spans="2:23" ht="14.45" customHeight="1" x14ac:dyDescent="0.2">
      <c r="B13" s="189" t="s">
        <v>2901</v>
      </c>
      <c r="C13" s="192" t="s">
        <v>2917</v>
      </c>
      <c r="D13" s="182" t="s">
        <v>2922</v>
      </c>
      <c r="E13" s="239">
        <f>COUNTIFS(기출문제!$H:$H,기출빈도!$W13,기출문제!$C:$C,기출빈도!E$3)</f>
        <v>0</v>
      </c>
      <c r="F13" s="239">
        <f>COUNTIFS(기출문제!$H:$H,기출빈도!$W13,기출문제!$C:$C,기출빈도!F$3)</f>
        <v>0</v>
      </c>
      <c r="G13" s="239">
        <f>COUNTIFS(기출문제!$H:$H,기출빈도!$W13,기출문제!$C:$C,기출빈도!G$3)</f>
        <v>0</v>
      </c>
      <c r="H13" s="239">
        <f>COUNTIFS(기출문제!$H:$H,기출빈도!$W13,기출문제!$C:$C,기출빈도!H$3)</f>
        <v>0</v>
      </c>
      <c r="I13" s="239">
        <f>COUNTIFS(기출문제!$H:$H,기출빈도!$W13,기출문제!$C:$C,기출빈도!I$3)</f>
        <v>0</v>
      </c>
      <c r="J13" s="239">
        <f>COUNTIFS(기출문제!$H:$H,기출빈도!$W13,기출문제!$C:$C,기출빈도!J$3)</f>
        <v>0</v>
      </c>
      <c r="K13" s="239">
        <f>COUNTIFS(기출문제!$H:$H,기출빈도!$W13,기출문제!$C:$C,기출빈도!K$3)</f>
        <v>0</v>
      </c>
      <c r="L13" s="239">
        <f>COUNTIFS(기출문제!$H:$H,기출빈도!$W13,기출문제!$C:$C,기출빈도!L$3)</f>
        <v>0</v>
      </c>
      <c r="M13" s="239">
        <f>COUNTIFS(기출문제!$H:$H,기출빈도!$W13,기출문제!$C:$C,기출빈도!M$3)</f>
        <v>0</v>
      </c>
      <c r="N13" s="239">
        <f>COUNTIFS(기출문제!$H:$H,기출빈도!$W13,기출문제!$C:$C,기출빈도!N$3)</f>
        <v>0</v>
      </c>
      <c r="O13" s="239">
        <f>COUNTIFS(기출문제!$H:$H,기출빈도!$W13,기출문제!$C:$C,기출빈도!O$3)</f>
        <v>0</v>
      </c>
      <c r="P13" s="239">
        <f>COUNTIFS(기출문제!$H:$H,기출빈도!$W13,기출문제!$C:$C,기출빈도!P$3)</f>
        <v>0</v>
      </c>
      <c r="Q13" s="239">
        <f>COUNTIFS(기출문제!$H:$H,기출빈도!$W13,기출문제!$C:$C,기출빈도!Q$3)</f>
        <v>0</v>
      </c>
      <c r="R13" s="239">
        <f>COUNTIFS(기출문제!$H:$H,기출빈도!$W13,기출문제!$C:$C,기출빈도!R$3)</f>
        <v>0</v>
      </c>
      <c r="S13" s="239">
        <f>COUNTIFS(기출문제!$H:$H,기출빈도!$W13,기출문제!$C:$C,기출빈도!S$3)</f>
        <v>0</v>
      </c>
      <c r="T13" s="239">
        <f>COUNTIFS(기출문제!$H:$H,기출빈도!$W13,기출문제!$C:$C,기출빈도!T$3)</f>
        <v>0</v>
      </c>
      <c r="U13" s="240">
        <f>COUNTIFS(기출문제!$H:$H,기출빈도!$W13,기출문제!$C:$C,기출빈도!U$3)</f>
        <v>0</v>
      </c>
      <c r="V13" s="205" t="s">
        <v>3074</v>
      </c>
      <c r="W13" s="118" t="str">
        <f t="shared" si="0"/>
        <v>법인</v>
      </c>
    </row>
    <row r="14" spans="2:23" ht="14.45" customHeight="1" thickBot="1" x14ac:dyDescent="0.25">
      <c r="B14" s="189"/>
      <c r="C14" s="145" t="s">
        <v>2917</v>
      </c>
      <c r="D14" s="198" t="s">
        <v>3491</v>
      </c>
      <c r="E14" s="241">
        <f>SUM(E11:E13)</f>
        <v>0</v>
      </c>
      <c r="F14" s="241">
        <f t="shared" ref="F14:U14" si="3">SUM(F11:F13)</f>
        <v>0</v>
      </c>
      <c r="G14" s="241">
        <f t="shared" si="3"/>
        <v>0</v>
      </c>
      <c r="H14" s="241">
        <f t="shared" si="3"/>
        <v>0</v>
      </c>
      <c r="I14" s="241">
        <f t="shared" si="3"/>
        <v>0</v>
      </c>
      <c r="J14" s="241">
        <f t="shared" si="3"/>
        <v>0</v>
      </c>
      <c r="K14" s="241">
        <f t="shared" si="3"/>
        <v>0</v>
      </c>
      <c r="L14" s="241">
        <f t="shared" si="3"/>
        <v>0</v>
      </c>
      <c r="M14" s="241">
        <f t="shared" si="3"/>
        <v>0</v>
      </c>
      <c r="N14" s="241">
        <f t="shared" si="3"/>
        <v>0</v>
      </c>
      <c r="O14" s="241">
        <f t="shared" si="3"/>
        <v>0</v>
      </c>
      <c r="P14" s="241">
        <f t="shared" si="3"/>
        <v>0</v>
      </c>
      <c r="Q14" s="241">
        <f t="shared" si="3"/>
        <v>0</v>
      </c>
      <c r="R14" s="241">
        <f t="shared" si="3"/>
        <v>0</v>
      </c>
      <c r="S14" s="241">
        <f t="shared" si="3"/>
        <v>0</v>
      </c>
      <c r="T14" s="241">
        <f t="shared" si="3"/>
        <v>0</v>
      </c>
      <c r="U14" s="242">
        <f t="shared" si="3"/>
        <v>0</v>
      </c>
      <c r="V14" s="206"/>
      <c r="W14" s="118" t="str">
        <f t="shared" si="0"/>
        <v/>
      </c>
    </row>
    <row r="15" spans="2:23" ht="14.45" customHeight="1" x14ac:dyDescent="0.2">
      <c r="B15" s="189" t="s">
        <v>2901</v>
      </c>
      <c r="C15" s="190" t="s">
        <v>2924</v>
      </c>
      <c r="D15" s="187" t="s">
        <v>3475</v>
      </c>
      <c r="E15" s="243">
        <f>COUNTIFS(기출문제!$H:$H,기출빈도!$W15,기출문제!$C:$C,기출빈도!E$3)</f>
        <v>0</v>
      </c>
      <c r="F15" s="243">
        <f>COUNTIFS(기출문제!$H:$H,기출빈도!$W15,기출문제!$C:$C,기출빈도!F$3)</f>
        <v>0</v>
      </c>
      <c r="G15" s="243">
        <f>COUNTIFS(기출문제!$H:$H,기출빈도!$W15,기출문제!$C:$C,기출빈도!G$3)</f>
        <v>0</v>
      </c>
      <c r="H15" s="243">
        <f>COUNTIFS(기출문제!$H:$H,기출빈도!$W15,기출문제!$C:$C,기출빈도!H$3)</f>
        <v>0</v>
      </c>
      <c r="I15" s="243">
        <f>COUNTIFS(기출문제!$H:$H,기출빈도!$W15,기출문제!$C:$C,기출빈도!I$3)</f>
        <v>0</v>
      </c>
      <c r="J15" s="243">
        <f>COUNTIFS(기출문제!$H:$H,기출빈도!$W15,기출문제!$C:$C,기출빈도!J$3)</f>
        <v>0</v>
      </c>
      <c r="K15" s="243">
        <f>COUNTIFS(기출문제!$H:$H,기출빈도!$W15,기출문제!$C:$C,기출빈도!K$3)</f>
        <v>0</v>
      </c>
      <c r="L15" s="243">
        <f>COUNTIFS(기출문제!$H:$H,기출빈도!$W15,기출문제!$C:$C,기출빈도!L$3)</f>
        <v>0</v>
      </c>
      <c r="M15" s="243">
        <f>COUNTIFS(기출문제!$H:$H,기출빈도!$W15,기출문제!$C:$C,기출빈도!M$3)</f>
        <v>0</v>
      </c>
      <c r="N15" s="243">
        <f>COUNTIFS(기출문제!$H:$H,기출빈도!$W15,기출문제!$C:$C,기출빈도!N$3)</f>
        <v>0</v>
      </c>
      <c r="O15" s="243">
        <f>COUNTIFS(기출문제!$H:$H,기출빈도!$W15,기출문제!$C:$C,기출빈도!O$3)</f>
        <v>0</v>
      </c>
      <c r="P15" s="243">
        <f>COUNTIFS(기출문제!$H:$H,기출빈도!$W15,기출문제!$C:$C,기출빈도!P$3)</f>
        <v>0</v>
      </c>
      <c r="Q15" s="243">
        <f>COUNTIFS(기출문제!$H:$H,기출빈도!$W15,기출문제!$C:$C,기출빈도!Q$3)</f>
        <v>0</v>
      </c>
      <c r="R15" s="243">
        <f>COUNTIFS(기출문제!$H:$H,기출빈도!$W15,기출문제!$C:$C,기출빈도!R$3)</f>
        <v>0</v>
      </c>
      <c r="S15" s="243">
        <f>COUNTIFS(기출문제!$H:$H,기출빈도!$W15,기출문제!$C:$C,기출빈도!S$3)</f>
        <v>0</v>
      </c>
      <c r="T15" s="243">
        <f>COUNTIFS(기출문제!$H:$H,기출빈도!$W15,기출문제!$C:$C,기출빈도!T$3)</f>
        <v>0</v>
      </c>
      <c r="U15" s="244">
        <f>COUNTIFS(기출문제!$H:$H,기출빈도!$W15,기출문제!$C:$C,기출빈도!U$3)</f>
        <v>0</v>
      </c>
      <c r="V15" s="204" t="s">
        <v>3481</v>
      </c>
      <c r="W15" s="118" t="str">
        <f t="shared" si="0"/>
        <v>권리객체 서설</v>
      </c>
    </row>
    <row r="16" spans="2:23" ht="14.45" customHeight="1" x14ac:dyDescent="0.2">
      <c r="B16" s="189" t="s">
        <v>2901</v>
      </c>
      <c r="C16" s="192" t="s">
        <v>2923</v>
      </c>
      <c r="D16" s="182" t="s">
        <v>2926</v>
      </c>
      <c r="E16" s="239">
        <f>COUNTIFS(기출문제!$H:$H,기출빈도!$W16,기출문제!$C:$C,기출빈도!E$3)</f>
        <v>0</v>
      </c>
      <c r="F16" s="239">
        <f>COUNTIFS(기출문제!$H:$H,기출빈도!$W16,기출문제!$C:$C,기출빈도!F$3)</f>
        <v>0</v>
      </c>
      <c r="G16" s="239">
        <f>COUNTIFS(기출문제!$H:$H,기출빈도!$W16,기출문제!$C:$C,기출빈도!G$3)</f>
        <v>0</v>
      </c>
      <c r="H16" s="239">
        <f>COUNTIFS(기출문제!$H:$H,기출빈도!$W16,기출문제!$C:$C,기출빈도!H$3)</f>
        <v>0</v>
      </c>
      <c r="I16" s="239">
        <f>COUNTIFS(기출문제!$H:$H,기출빈도!$W16,기출문제!$C:$C,기출빈도!I$3)</f>
        <v>0</v>
      </c>
      <c r="J16" s="239">
        <f>COUNTIFS(기출문제!$H:$H,기출빈도!$W16,기출문제!$C:$C,기출빈도!J$3)</f>
        <v>0</v>
      </c>
      <c r="K16" s="239">
        <f>COUNTIFS(기출문제!$H:$H,기출빈도!$W16,기출문제!$C:$C,기출빈도!K$3)</f>
        <v>0</v>
      </c>
      <c r="L16" s="239">
        <f>COUNTIFS(기출문제!$H:$H,기출빈도!$W16,기출문제!$C:$C,기출빈도!L$3)</f>
        <v>0</v>
      </c>
      <c r="M16" s="239">
        <f>COUNTIFS(기출문제!$H:$H,기출빈도!$W16,기출문제!$C:$C,기출빈도!M$3)</f>
        <v>0</v>
      </c>
      <c r="N16" s="239">
        <f>COUNTIFS(기출문제!$H:$H,기출빈도!$W16,기출문제!$C:$C,기출빈도!N$3)</f>
        <v>0</v>
      </c>
      <c r="O16" s="239">
        <f>COUNTIFS(기출문제!$H:$H,기출빈도!$W16,기출문제!$C:$C,기출빈도!O$3)</f>
        <v>0</v>
      </c>
      <c r="P16" s="239">
        <f>COUNTIFS(기출문제!$H:$H,기출빈도!$W16,기출문제!$C:$C,기출빈도!P$3)</f>
        <v>0</v>
      </c>
      <c r="Q16" s="239">
        <f>COUNTIFS(기출문제!$H:$H,기출빈도!$W16,기출문제!$C:$C,기출빈도!Q$3)</f>
        <v>0</v>
      </c>
      <c r="R16" s="239">
        <f>COUNTIFS(기출문제!$H:$H,기출빈도!$W16,기출문제!$C:$C,기출빈도!R$3)</f>
        <v>0</v>
      </c>
      <c r="S16" s="239">
        <f>COUNTIFS(기출문제!$H:$H,기출빈도!$W16,기출문제!$C:$C,기출빈도!S$3)</f>
        <v>0</v>
      </c>
      <c r="T16" s="239">
        <f>COUNTIFS(기출문제!$H:$H,기출빈도!$W16,기출문제!$C:$C,기출빈도!T$3)</f>
        <v>0</v>
      </c>
      <c r="U16" s="240">
        <f>COUNTIFS(기출문제!$H:$H,기출빈도!$W16,기출문제!$C:$C,기출빈도!U$3)</f>
        <v>1</v>
      </c>
      <c r="V16" s="205" t="s">
        <v>3075</v>
      </c>
      <c r="W16" s="118" t="str">
        <f t="shared" si="0"/>
        <v>물건</v>
      </c>
    </row>
    <row r="17" spans="2:23" ht="14.45" customHeight="1" x14ac:dyDescent="0.2">
      <c r="B17" s="189" t="s">
        <v>2901</v>
      </c>
      <c r="C17" s="192" t="s">
        <v>2923</v>
      </c>
      <c r="D17" s="182" t="s">
        <v>2928</v>
      </c>
      <c r="E17" s="239">
        <f>COUNTIFS(기출문제!$H:$H,기출빈도!$W17,기출문제!$C:$C,기출빈도!E$3)</f>
        <v>0</v>
      </c>
      <c r="F17" s="239">
        <f>COUNTIFS(기출문제!$H:$H,기출빈도!$W17,기출문제!$C:$C,기출빈도!F$3)</f>
        <v>0</v>
      </c>
      <c r="G17" s="239">
        <f>COUNTIFS(기출문제!$H:$H,기출빈도!$W17,기출문제!$C:$C,기출빈도!G$3)</f>
        <v>0</v>
      </c>
      <c r="H17" s="239">
        <f>COUNTIFS(기출문제!$H:$H,기출빈도!$W17,기출문제!$C:$C,기출빈도!H$3)</f>
        <v>0</v>
      </c>
      <c r="I17" s="239">
        <f>COUNTIFS(기출문제!$H:$H,기출빈도!$W17,기출문제!$C:$C,기출빈도!I$3)</f>
        <v>0</v>
      </c>
      <c r="J17" s="239">
        <f>COUNTIFS(기출문제!$H:$H,기출빈도!$W17,기출문제!$C:$C,기출빈도!J$3)</f>
        <v>0</v>
      </c>
      <c r="K17" s="239">
        <f>COUNTIFS(기출문제!$H:$H,기출빈도!$W17,기출문제!$C:$C,기출빈도!K$3)</f>
        <v>0</v>
      </c>
      <c r="L17" s="239">
        <f>COUNTIFS(기출문제!$H:$H,기출빈도!$W17,기출문제!$C:$C,기출빈도!L$3)</f>
        <v>0</v>
      </c>
      <c r="M17" s="239">
        <f>COUNTIFS(기출문제!$H:$H,기출빈도!$W17,기출문제!$C:$C,기출빈도!M$3)</f>
        <v>0</v>
      </c>
      <c r="N17" s="239">
        <f>COUNTIFS(기출문제!$H:$H,기출빈도!$W17,기출문제!$C:$C,기출빈도!N$3)</f>
        <v>0</v>
      </c>
      <c r="O17" s="239">
        <f>COUNTIFS(기출문제!$H:$H,기출빈도!$W17,기출문제!$C:$C,기출빈도!O$3)</f>
        <v>0</v>
      </c>
      <c r="P17" s="239">
        <f>COUNTIFS(기출문제!$H:$H,기출빈도!$W17,기출문제!$C:$C,기출빈도!P$3)</f>
        <v>0</v>
      </c>
      <c r="Q17" s="239">
        <f>COUNTIFS(기출문제!$H:$H,기출빈도!$W17,기출문제!$C:$C,기출빈도!Q$3)</f>
        <v>0</v>
      </c>
      <c r="R17" s="239">
        <f>COUNTIFS(기출문제!$H:$H,기출빈도!$W17,기출문제!$C:$C,기출빈도!R$3)</f>
        <v>0</v>
      </c>
      <c r="S17" s="239">
        <f>COUNTIFS(기출문제!$H:$H,기출빈도!$W17,기출문제!$C:$C,기출빈도!S$3)</f>
        <v>0</v>
      </c>
      <c r="T17" s="239">
        <f>COUNTIFS(기출문제!$H:$H,기출빈도!$W17,기출문제!$C:$C,기출빈도!T$3)</f>
        <v>0</v>
      </c>
      <c r="U17" s="240">
        <f>COUNTIFS(기출문제!$H:$H,기출빈도!$W17,기출문제!$C:$C,기출빈도!U$3)</f>
        <v>0</v>
      </c>
      <c r="V17" s="205" t="s">
        <v>3076</v>
      </c>
      <c r="W17" s="118" t="str">
        <f t="shared" si="0"/>
        <v>동산과 부동산</v>
      </c>
    </row>
    <row r="18" spans="2:23" ht="14.45" customHeight="1" x14ac:dyDescent="0.2">
      <c r="B18" s="189" t="s">
        <v>2901</v>
      </c>
      <c r="C18" s="192" t="s">
        <v>2923</v>
      </c>
      <c r="D18" s="182" t="s">
        <v>2930</v>
      </c>
      <c r="E18" s="239">
        <f>COUNTIFS(기출문제!$H:$H,기출빈도!$W18,기출문제!$C:$C,기출빈도!E$3)</f>
        <v>0</v>
      </c>
      <c r="F18" s="239">
        <f>COUNTIFS(기출문제!$H:$H,기출빈도!$W18,기출문제!$C:$C,기출빈도!F$3)</f>
        <v>0</v>
      </c>
      <c r="G18" s="239">
        <f>COUNTIFS(기출문제!$H:$H,기출빈도!$W18,기출문제!$C:$C,기출빈도!G$3)</f>
        <v>0</v>
      </c>
      <c r="H18" s="239">
        <f>COUNTIFS(기출문제!$H:$H,기출빈도!$W18,기출문제!$C:$C,기출빈도!H$3)</f>
        <v>0</v>
      </c>
      <c r="I18" s="239">
        <f>COUNTIFS(기출문제!$H:$H,기출빈도!$W18,기출문제!$C:$C,기출빈도!I$3)</f>
        <v>0</v>
      </c>
      <c r="J18" s="239">
        <f>COUNTIFS(기출문제!$H:$H,기출빈도!$W18,기출문제!$C:$C,기출빈도!J$3)</f>
        <v>0</v>
      </c>
      <c r="K18" s="239">
        <f>COUNTIFS(기출문제!$H:$H,기출빈도!$W18,기출문제!$C:$C,기출빈도!K$3)</f>
        <v>0</v>
      </c>
      <c r="L18" s="239">
        <f>COUNTIFS(기출문제!$H:$H,기출빈도!$W18,기출문제!$C:$C,기출빈도!L$3)</f>
        <v>0</v>
      </c>
      <c r="M18" s="239">
        <f>COUNTIFS(기출문제!$H:$H,기출빈도!$W18,기출문제!$C:$C,기출빈도!M$3)</f>
        <v>0</v>
      </c>
      <c r="N18" s="239">
        <f>COUNTIFS(기출문제!$H:$H,기출빈도!$W18,기출문제!$C:$C,기출빈도!N$3)</f>
        <v>0</v>
      </c>
      <c r="O18" s="239">
        <f>COUNTIFS(기출문제!$H:$H,기출빈도!$W18,기출문제!$C:$C,기출빈도!O$3)</f>
        <v>0</v>
      </c>
      <c r="P18" s="239">
        <f>COUNTIFS(기출문제!$H:$H,기출빈도!$W18,기출문제!$C:$C,기출빈도!P$3)</f>
        <v>0</v>
      </c>
      <c r="Q18" s="239">
        <f>COUNTIFS(기출문제!$H:$H,기출빈도!$W18,기출문제!$C:$C,기출빈도!Q$3)</f>
        <v>0</v>
      </c>
      <c r="R18" s="239">
        <f>COUNTIFS(기출문제!$H:$H,기출빈도!$W18,기출문제!$C:$C,기출빈도!R$3)</f>
        <v>0</v>
      </c>
      <c r="S18" s="239">
        <f>COUNTIFS(기출문제!$H:$H,기출빈도!$W18,기출문제!$C:$C,기출빈도!S$3)</f>
        <v>0</v>
      </c>
      <c r="T18" s="239">
        <f>COUNTIFS(기출문제!$H:$H,기출빈도!$W18,기출문제!$C:$C,기출빈도!T$3)</f>
        <v>0</v>
      </c>
      <c r="U18" s="240">
        <f>COUNTIFS(기출문제!$H:$H,기출빈도!$W18,기출문제!$C:$C,기출빈도!U$3)</f>
        <v>0</v>
      </c>
      <c r="V18" s="205" t="s">
        <v>3077</v>
      </c>
      <c r="W18" s="118" t="str">
        <f t="shared" si="0"/>
        <v>주물과 종물</v>
      </c>
    </row>
    <row r="19" spans="2:23" ht="14.45" customHeight="1" x14ac:dyDescent="0.2">
      <c r="B19" s="189" t="s">
        <v>2901</v>
      </c>
      <c r="C19" s="192" t="s">
        <v>2923</v>
      </c>
      <c r="D19" s="182" t="s">
        <v>2932</v>
      </c>
      <c r="E19" s="239">
        <f>COUNTIFS(기출문제!$H:$H,기출빈도!$W19,기출문제!$C:$C,기출빈도!E$3)</f>
        <v>0</v>
      </c>
      <c r="F19" s="239">
        <f>COUNTIFS(기출문제!$H:$H,기출빈도!$W19,기출문제!$C:$C,기출빈도!F$3)</f>
        <v>0</v>
      </c>
      <c r="G19" s="239">
        <f>COUNTIFS(기출문제!$H:$H,기출빈도!$W19,기출문제!$C:$C,기출빈도!G$3)</f>
        <v>0</v>
      </c>
      <c r="H19" s="239">
        <f>COUNTIFS(기출문제!$H:$H,기출빈도!$W19,기출문제!$C:$C,기출빈도!H$3)</f>
        <v>0</v>
      </c>
      <c r="I19" s="239">
        <f>COUNTIFS(기출문제!$H:$H,기출빈도!$W19,기출문제!$C:$C,기출빈도!I$3)</f>
        <v>0</v>
      </c>
      <c r="J19" s="239">
        <f>COUNTIFS(기출문제!$H:$H,기출빈도!$W19,기출문제!$C:$C,기출빈도!J$3)</f>
        <v>0</v>
      </c>
      <c r="K19" s="239">
        <f>COUNTIFS(기출문제!$H:$H,기출빈도!$W19,기출문제!$C:$C,기출빈도!K$3)</f>
        <v>0</v>
      </c>
      <c r="L19" s="239">
        <f>COUNTIFS(기출문제!$H:$H,기출빈도!$W19,기출문제!$C:$C,기출빈도!L$3)</f>
        <v>0</v>
      </c>
      <c r="M19" s="239">
        <f>COUNTIFS(기출문제!$H:$H,기출빈도!$W19,기출문제!$C:$C,기출빈도!M$3)</f>
        <v>0</v>
      </c>
      <c r="N19" s="239">
        <f>COUNTIFS(기출문제!$H:$H,기출빈도!$W19,기출문제!$C:$C,기출빈도!N$3)</f>
        <v>0</v>
      </c>
      <c r="O19" s="239">
        <f>COUNTIFS(기출문제!$H:$H,기출빈도!$W19,기출문제!$C:$C,기출빈도!O$3)</f>
        <v>0</v>
      </c>
      <c r="P19" s="239">
        <f>COUNTIFS(기출문제!$H:$H,기출빈도!$W19,기출문제!$C:$C,기출빈도!P$3)</f>
        <v>0</v>
      </c>
      <c r="Q19" s="239">
        <f>COUNTIFS(기출문제!$H:$H,기출빈도!$W19,기출문제!$C:$C,기출빈도!Q$3)</f>
        <v>0</v>
      </c>
      <c r="R19" s="239">
        <f>COUNTIFS(기출문제!$H:$H,기출빈도!$W19,기출문제!$C:$C,기출빈도!R$3)</f>
        <v>0</v>
      </c>
      <c r="S19" s="239">
        <f>COUNTIFS(기출문제!$H:$H,기출빈도!$W19,기출문제!$C:$C,기출빈도!S$3)</f>
        <v>0</v>
      </c>
      <c r="T19" s="239">
        <f>COUNTIFS(기출문제!$H:$H,기출빈도!$W19,기출문제!$C:$C,기출빈도!T$3)</f>
        <v>0</v>
      </c>
      <c r="U19" s="240">
        <f>COUNTIFS(기출문제!$H:$H,기출빈도!$W19,기출문제!$C:$C,기출빈도!U$3)</f>
        <v>0</v>
      </c>
      <c r="V19" s="205" t="s">
        <v>3078</v>
      </c>
      <c r="W19" s="118" t="str">
        <f t="shared" si="0"/>
        <v>원물과 과실</v>
      </c>
    </row>
    <row r="20" spans="2:23" ht="14.45" customHeight="1" thickBot="1" x14ac:dyDescent="0.25">
      <c r="B20" s="189"/>
      <c r="C20" s="145" t="s">
        <v>2923</v>
      </c>
      <c r="D20" s="198" t="s">
        <v>3491</v>
      </c>
      <c r="E20" s="241">
        <f>SUM(E15:E19)</f>
        <v>0</v>
      </c>
      <c r="F20" s="241">
        <f t="shared" ref="F20:U20" si="4">SUM(F15:F19)</f>
        <v>0</v>
      </c>
      <c r="G20" s="241">
        <f t="shared" si="4"/>
        <v>0</v>
      </c>
      <c r="H20" s="241">
        <f t="shared" si="4"/>
        <v>0</v>
      </c>
      <c r="I20" s="241">
        <f t="shared" si="4"/>
        <v>0</v>
      </c>
      <c r="J20" s="241">
        <f t="shared" si="4"/>
        <v>0</v>
      </c>
      <c r="K20" s="241">
        <f t="shared" si="4"/>
        <v>0</v>
      </c>
      <c r="L20" s="241">
        <f t="shared" si="4"/>
        <v>0</v>
      </c>
      <c r="M20" s="241">
        <f t="shared" si="4"/>
        <v>0</v>
      </c>
      <c r="N20" s="241">
        <f t="shared" si="4"/>
        <v>0</v>
      </c>
      <c r="O20" s="241">
        <f t="shared" si="4"/>
        <v>0</v>
      </c>
      <c r="P20" s="241">
        <f t="shared" si="4"/>
        <v>0</v>
      </c>
      <c r="Q20" s="241">
        <f t="shared" si="4"/>
        <v>0</v>
      </c>
      <c r="R20" s="241">
        <f t="shared" si="4"/>
        <v>0</v>
      </c>
      <c r="S20" s="241">
        <f t="shared" si="4"/>
        <v>0</v>
      </c>
      <c r="T20" s="241">
        <f t="shared" si="4"/>
        <v>0</v>
      </c>
      <c r="U20" s="242">
        <f t="shared" si="4"/>
        <v>1</v>
      </c>
      <c r="V20" s="206"/>
      <c r="W20" s="118" t="str">
        <f t="shared" si="0"/>
        <v/>
      </c>
    </row>
    <row r="21" spans="2:23" ht="14.45" customHeight="1" x14ac:dyDescent="0.2">
      <c r="B21" s="189" t="s">
        <v>2901</v>
      </c>
      <c r="C21" s="190" t="s">
        <v>2934</v>
      </c>
      <c r="D21" s="187" t="s">
        <v>3454</v>
      </c>
      <c r="E21" s="243">
        <f>COUNTIFS(기출문제!$H:$H,기출빈도!$W21,기출문제!$C:$C,기출빈도!E$3)</f>
        <v>0</v>
      </c>
      <c r="F21" s="243">
        <f>COUNTIFS(기출문제!$H:$H,기출빈도!$W21,기출문제!$C:$C,기출빈도!F$3)</f>
        <v>0</v>
      </c>
      <c r="G21" s="243">
        <f>COUNTIFS(기출문제!$H:$H,기출빈도!$W21,기출문제!$C:$C,기출빈도!G$3)</f>
        <v>0</v>
      </c>
      <c r="H21" s="243">
        <f>COUNTIFS(기출문제!$H:$H,기출빈도!$W21,기출문제!$C:$C,기출빈도!H$3)</f>
        <v>0</v>
      </c>
      <c r="I21" s="243">
        <f>COUNTIFS(기출문제!$H:$H,기출빈도!$W21,기출문제!$C:$C,기출빈도!I$3)</f>
        <v>0</v>
      </c>
      <c r="J21" s="243">
        <f>COUNTIFS(기출문제!$H:$H,기출빈도!$W21,기출문제!$C:$C,기출빈도!J$3)</f>
        <v>0</v>
      </c>
      <c r="K21" s="243">
        <f>COUNTIFS(기출문제!$H:$H,기출빈도!$W21,기출문제!$C:$C,기출빈도!K$3)</f>
        <v>0</v>
      </c>
      <c r="L21" s="243">
        <f>COUNTIFS(기출문제!$H:$H,기출빈도!$W21,기출문제!$C:$C,기출빈도!L$3)</f>
        <v>0</v>
      </c>
      <c r="M21" s="243">
        <f>COUNTIFS(기출문제!$H:$H,기출빈도!$W21,기출문제!$C:$C,기출빈도!M$3)</f>
        <v>0</v>
      </c>
      <c r="N21" s="243">
        <f>COUNTIFS(기출문제!$H:$H,기출빈도!$W21,기출문제!$C:$C,기출빈도!N$3)</f>
        <v>0</v>
      </c>
      <c r="O21" s="243">
        <f>COUNTIFS(기출문제!$H:$H,기출빈도!$W21,기출문제!$C:$C,기출빈도!O$3)</f>
        <v>0</v>
      </c>
      <c r="P21" s="243">
        <f>COUNTIFS(기출문제!$H:$H,기출빈도!$W21,기출문제!$C:$C,기출빈도!P$3)</f>
        <v>0</v>
      </c>
      <c r="Q21" s="243">
        <f>COUNTIFS(기출문제!$H:$H,기출빈도!$W21,기출문제!$C:$C,기출빈도!Q$3)</f>
        <v>0</v>
      </c>
      <c r="R21" s="243">
        <f>COUNTIFS(기출문제!$H:$H,기출빈도!$W21,기출문제!$C:$C,기출빈도!R$3)</f>
        <v>0</v>
      </c>
      <c r="S21" s="243">
        <f>COUNTIFS(기출문제!$H:$H,기출빈도!$W21,기출문제!$C:$C,기출빈도!S$3)</f>
        <v>0</v>
      </c>
      <c r="T21" s="243">
        <f>COUNTIFS(기출문제!$H:$H,기출빈도!$W21,기출문제!$C:$C,기출빈도!T$3)</f>
        <v>0</v>
      </c>
      <c r="U21" s="244">
        <f>COUNTIFS(기출문제!$H:$H,기출빈도!$W21,기출문제!$C:$C,기출빈도!U$3)</f>
        <v>0</v>
      </c>
      <c r="V21" s="204" t="s">
        <v>3482</v>
      </c>
      <c r="W21" s="118" t="str">
        <f t="shared" si="0"/>
        <v>권리변동 서설</v>
      </c>
    </row>
    <row r="22" spans="2:23" ht="14.45" customHeight="1" x14ac:dyDescent="0.2">
      <c r="B22" s="189" t="s">
        <v>2901</v>
      </c>
      <c r="C22" s="192" t="s">
        <v>2933</v>
      </c>
      <c r="D22" s="182" t="s">
        <v>2936</v>
      </c>
      <c r="E22" s="239">
        <f>COUNTIFS(기출문제!$H:$H,기출빈도!$W22,기출문제!$C:$C,기출빈도!E$3)</f>
        <v>0</v>
      </c>
      <c r="F22" s="239">
        <f>COUNTIFS(기출문제!$H:$H,기출빈도!$W22,기출문제!$C:$C,기출빈도!F$3)</f>
        <v>0</v>
      </c>
      <c r="G22" s="239">
        <f>COUNTIFS(기출문제!$H:$H,기출빈도!$W22,기출문제!$C:$C,기출빈도!G$3)</f>
        <v>0</v>
      </c>
      <c r="H22" s="239">
        <f>COUNTIFS(기출문제!$H:$H,기출빈도!$W22,기출문제!$C:$C,기출빈도!H$3)</f>
        <v>0</v>
      </c>
      <c r="I22" s="239">
        <f>COUNTIFS(기출문제!$H:$H,기출빈도!$W22,기출문제!$C:$C,기출빈도!I$3)</f>
        <v>0</v>
      </c>
      <c r="J22" s="239">
        <f>COUNTIFS(기출문제!$H:$H,기출빈도!$W22,기출문제!$C:$C,기출빈도!J$3)</f>
        <v>0</v>
      </c>
      <c r="K22" s="239">
        <f>COUNTIFS(기출문제!$H:$H,기출빈도!$W22,기출문제!$C:$C,기출빈도!K$3)</f>
        <v>0</v>
      </c>
      <c r="L22" s="239">
        <f>COUNTIFS(기출문제!$H:$H,기출빈도!$W22,기출문제!$C:$C,기출빈도!L$3)</f>
        <v>0</v>
      </c>
      <c r="M22" s="239">
        <f>COUNTIFS(기출문제!$H:$H,기출빈도!$W22,기출문제!$C:$C,기출빈도!M$3)</f>
        <v>0</v>
      </c>
      <c r="N22" s="239">
        <f>COUNTIFS(기출문제!$H:$H,기출빈도!$W22,기출문제!$C:$C,기출빈도!N$3)</f>
        <v>0</v>
      </c>
      <c r="O22" s="239">
        <f>COUNTIFS(기출문제!$H:$H,기출빈도!$W22,기출문제!$C:$C,기출빈도!O$3)</f>
        <v>0</v>
      </c>
      <c r="P22" s="239">
        <f>COUNTIFS(기출문제!$H:$H,기출빈도!$W22,기출문제!$C:$C,기출빈도!P$3)</f>
        <v>0</v>
      </c>
      <c r="Q22" s="239">
        <f>COUNTIFS(기출문제!$H:$H,기출빈도!$W22,기출문제!$C:$C,기출빈도!Q$3)</f>
        <v>0</v>
      </c>
      <c r="R22" s="239">
        <f>COUNTIFS(기출문제!$H:$H,기출빈도!$W22,기출문제!$C:$C,기출빈도!R$3)</f>
        <v>0</v>
      </c>
      <c r="S22" s="239">
        <f>COUNTIFS(기출문제!$H:$H,기출빈도!$W22,기출문제!$C:$C,기출빈도!S$3)</f>
        <v>0</v>
      </c>
      <c r="T22" s="239">
        <f>COUNTIFS(기출문제!$H:$H,기출빈도!$W22,기출문제!$C:$C,기출빈도!T$3)</f>
        <v>0</v>
      </c>
      <c r="U22" s="240">
        <f>COUNTIFS(기출문제!$H:$H,기출빈도!$W22,기출문제!$C:$C,기출빈도!U$3)</f>
        <v>1</v>
      </c>
      <c r="V22" s="205" t="s">
        <v>3079</v>
      </c>
      <c r="W22" s="118" t="str">
        <f t="shared" si="0"/>
        <v>법률행위</v>
      </c>
    </row>
    <row r="23" spans="2:23" ht="14.45" customHeight="1" x14ac:dyDescent="0.2">
      <c r="B23" s="189" t="s">
        <v>2901</v>
      </c>
      <c r="C23" s="192" t="s">
        <v>2933</v>
      </c>
      <c r="D23" s="182" t="s">
        <v>2938</v>
      </c>
      <c r="E23" s="239">
        <f>COUNTIFS(기출문제!$H:$H,기출빈도!$W23,기출문제!$C:$C,기출빈도!E$3)</f>
        <v>0</v>
      </c>
      <c r="F23" s="239">
        <f>COUNTIFS(기출문제!$H:$H,기출빈도!$W23,기출문제!$C:$C,기출빈도!F$3)</f>
        <v>0</v>
      </c>
      <c r="G23" s="239">
        <f>COUNTIFS(기출문제!$H:$H,기출빈도!$W23,기출문제!$C:$C,기출빈도!G$3)</f>
        <v>0</v>
      </c>
      <c r="H23" s="239">
        <f>COUNTIFS(기출문제!$H:$H,기출빈도!$W23,기출문제!$C:$C,기출빈도!H$3)</f>
        <v>0</v>
      </c>
      <c r="I23" s="239">
        <f>COUNTIFS(기출문제!$H:$H,기출빈도!$W23,기출문제!$C:$C,기출빈도!I$3)</f>
        <v>0</v>
      </c>
      <c r="J23" s="239">
        <f>COUNTIFS(기출문제!$H:$H,기출빈도!$W23,기출문제!$C:$C,기출빈도!J$3)</f>
        <v>0</v>
      </c>
      <c r="K23" s="239">
        <f>COUNTIFS(기출문제!$H:$H,기출빈도!$W23,기출문제!$C:$C,기출빈도!K$3)</f>
        <v>0</v>
      </c>
      <c r="L23" s="239">
        <f>COUNTIFS(기출문제!$H:$H,기출빈도!$W23,기출문제!$C:$C,기출빈도!L$3)</f>
        <v>0</v>
      </c>
      <c r="M23" s="239">
        <f>COUNTIFS(기출문제!$H:$H,기출빈도!$W23,기출문제!$C:$C,기출빈도!M$3)</f>
        <v>0</v>
      </c>
      <c r="N23" s="239">
        <f>COUNTIFS(기출문제!$H:$H,기출빈도!$W23,기출문제!$C:$C,기출빈도!N$3)</f>
        <v>0</v>
      </c>
      <c r="O23" s="239">
        <f>COUNTIFS(기출문제!$H:$H,기출빈도!$W23,기출문제!$C:$C,기출빈도!O$3)</f>
        <v>0</v>
      </c>
      <c r="P23" s="239">
        <f>COUNTIFS(기출문제!$H:$H,기출빈도!$W23,기출문제!$C:$C,기출빈도!P$3)</f>
        <v>0</v>
      </c>
      <c r="Q23" s="239">
        <f>COUNTIFS(기출문제!$H:$H,기출빈도!$W23,기출문제!$C:$C,기출빈도!Q$3)</f>
        <v>0</v>
      </c>
      <c r="R23" s="239">
        <f>COUNTIFS(기출문제!$H:$H,기출빈도!$W23,기출문제!$C:$C,기출빈도!R$3)</f>
        <v>0</v>
      </c>
      <c r="S23" s="239">
        <f>COUNTIFS(기출문제!$H:$H,기출빈도!$W23,기출문제!$C:$C,기출빈도!S$3)</f>
        <v>0</v>
      </c>
      <c r="T23" s="239">
        <f>COUNTIFS(기출문제!$H:$H,기출빈도!$W23,기출문제!$C:$C,기출빈도!T$3)</f>
        <v>0</v>
      </c>
      <c r="U23" s="240">
        <f>COUNTIFS(기출문제!$H:$H,기출빈도!$W23,기출문제!$C:$C,기출빈도!U$3)</f>
        <v>0</v>
      </c>
      <c r="V23" s="205" t="s">
        <v>3080</v>
      </c>
      <c r="W23" s="118" t="str">
        <f t="shared" si="0"/>
        <v>의사표시</v>
      </c>
    </row>
    <row r="24" spans="2:23" ht="14.45" customHeight="1" x14ac:dyDescent="0.2">
      <c r="B24" s="189" t="s">
        <v>2901</v>
      </c>
      <c r="C24" s="192" t="s">
        <v>2933</v>
      </c>
      <c r="D24" s="182" t="s">
        <v>2940</v>
      </c>
      <c r="E24" s="239">
        <f>COUNTIFS(기출문제!$H:$H,기출빈도!$W24,기출문제!$C:$C,기출빈도!E$3)</f>
        <v>0</v>
      </c>
      <c r="F24" s="239">
        <f>COUNTIFS(기출문제!$H:$H,기출빈도!$W24,기출문제!$C:$C,기출빈도!F$3)</f>
        <v>0</v>
      </c>
      <c r="G24" s="239">
        <f>COUNTIFS(기출문제!$H:$H,기출빈도!$W24,기출문제!$C:$C,기출빈도!G$3)</f>
        <v>0</v>
      </c>
      <c r="H24" s="239">
        <f>COUNTIFS(기출문제!$H:$H,기출빈도!$W24,기출문제!$C:$C,기출빈도!H$3)</f>
        <v>0</v>
      </c>
      <c r="I24" s="239">
        <f>COUNTIFS(기출문제!$H:$H,기출빈도!$W24,기출문제!$C:$C,기출빈도!I$3)</f>
        <v>0</v>
      </c>
      <c r="J24" s="239">
        <f>COUNTIFS(기출문제!$H:$H,기출빈도!$W24,기출문제!$C:$C,기출빈도!J$3)</f>
        <v>0</v>
      </c>
      <c r="K24" s="239">
        <f>COUNTIFS(기출문제!$H:$H,기출빈도!$W24,기출문제!$C:$C,기출빈도!K$3)</f>
        <v>0</v>
      </c>
      <c r="L24" s="239">
        <f>COUNTIFS(기출문제!$H:$H,기출빈도!$W24,기출문제!$C:$C,기출빈도!L$3)</f>
        <v>0</v>
      </c>
      <c r="M24" s="239">
        <f>COUNTIFS(기출문제!$H:$H,기출빈도!$W24,기출문제!$C:$C,기출빈도!M$3)</f>
        <v>0</v>
      </c>
      <c r="N24" s="239">
        <f>COUNTIFS(기출문제!$H:$H,기출빈도!$W24,기출문제!$C:$C,기출빈도!N$3)</f>
        <v>0</v>
      </c>
      <c r="O24" s="239">
        <f>COUNTIFS(기출문제!$H:$H,기출빈도!$W24,기출문제!$C:$C,기출빈도!O$3)</f>
        <v>0</v>
      </c>
      <c r="P24" s="239">
        <f>COUNTIFS(기출문제!$H:$H,기출빈도!$W24,기출문제!$C:$C,기출빈도!P$3)</f>
        <v>0</v>
      </c>
      <c r="Q24" s="239">
        <f>COUNTIFS(기출문제!$H:$H,기출빈도!$W24,기출문제!$C:$C,기출빈도!Q$3)</f>
        <v>0</v>
      </c>
      <c r="R24" s="239">
        <f>COUNTIFS(기출문제!$H:$H,기출빈도!$W24,기출문제!$C:$C,기출빈도!R$3)</f>
        <v>0</v>
      </c>
      <c r="S24" s="239">
        <f>COUNTIFS(기출문제!$H:$H,기출빈도!$W24,기출문제!$C:$C,기출빈도!S$3)</f>
        <v>0</v>
      </c>
      <c r="T24" s="239">
        <f>COUNTIFS(기출문제!$H:$H,기출빈도!$W24,기출문제!$C:$C,기출빈도!T$3)</f>
        <v>0</v>
      </c>
      <c r="U24" s="240">
        <f>COUNTIFS(기출문제!$H:$H,기출빈도!$W24,기출문제!$C:$C,기출빈도!U$3)</f>
        <v>0</v>
      </c>
      <c r="V24" s="205" t="s">
        <v>3081</v>
      </c>
      <c r="W24" s="118" t="str">
        <f t="shared" si="0"/>
        <v>법률행위의 대리</v>
      </c>
    </row>
    <row r="25" spans="2:23" ht="14.45" customHeight="1" x14ac:dyDescent="0.2">
      <c r="B25" s="189" t="s">
        <v>2901</v>
      </c>
      <c r="C25" s="192" t="s">
        <v>2933</v>
      </c>
      <c r="D25" s="182" t="s">
        <v>2942</v>
      </c>
      <c r="E25" s="239">
        <f>COUNTIFS(기출문제!$H:$H,기출빈도!$W25,기출문제!$C:$C,기출빈도!E$3)</f>
        <v>0</v>
      </c>
      <c r="F25" s="239">
        <f>COUNTIFS(기출문제!$H:$H,기출빈도!$W25,기출문제!$C:$C,기출빈도!F$3)</f>
        <v>0</v>
      </c>
      <c r="G25" s="239">
        <f>COUNTIFS(기출문제!$H:$H,기출빈도!$W25,기출문제!$C:$C,기출빈도!G$3)</f>
        <v>0</v>
      </c>
      <c r="H25" s="239">
        <f>COUNTIFS(기출문제!$H:$H,기출빈도!$W25,기출문제!$C:$C,기출빈도!H$3)</f>
        <v>0</v>
      </c>
      <c r="I25" s="239">
        <f>COUNTIFS(기출문제!$H:$H,기출빈도!$W25,기출문제!$C:$C,기출빈도!I$3)</f>
        <v>0</v>
      </c>
      <c r="J25" s="239">
        <f>COUNTIFS(기출문제!$H:$H,기출빈도!$W25,기출문제!$C:$C,기출빈도!J$3)</f>
        <v>0</v>
      </c>
      <c r="K25" s="239">
        <f>COUNTIFS(기출문제!$H:$H,기출빈도!$W25,기출문제!$C:$C,기출빈도!K$3)</f>
        <v>0</v>
      </c>
      <c r="L25" s="239">
        <f>COUNTIFS(기출문제!$H:$H,기출빈도!$W25,기출문제!$C:$C,기출빈도!L$3)</f>
        <v>0</v>
      </c>
      <c r="M25" s="239">
        <f>COUNTIFS(기출문제!$H:$H,기출빈도!$W25,기출문제!$C:$C,기출빈도!M$3)</f>
        <v>0</v>
      </c>
      <c r="N25" s="239">
        <f>COUNTIFS(기출문제!$H:$H,기출빈도!$W25,기출문제!$C:$C,기출빈도!N$3)</f>
        <v>0</v>
      </c>
      <c r="O25" s="239">
        <f>COUNTIFS(기출문제!$H:$H,기출빈도!$W25,기출문제!$C:$C,기출빈도!O$3)</f>
        <v>0</v>
      </c>
      <c r="P25" s="239">
        <f>COUNTIFS(기출문제!$H:$H,기출빈도!$W25,기출문제!$C:$C,기출빈도!P$3)</f>
        <v>0</v>
      </c>
      <c r="Q25" s="239">
        <f>COUNTIFS(기출문제!$H:$H,기출빈도!$W25,기출문제!$C:$C,기출빈도!Q$3)</f>
        <v>0</v>
      </c>
      <c r="R25" s="239">
        <f>COUNTIFS(기출문제!$H:$H,기출빈도!$W25,기출문제!$C:$C,기출빈도!R$3)</f>
        <v>0</v>
      </c>
      <c r="S25" s="239">
        <f>COUNTIFS(기출문제!$H:$H,기출빈도!$W25,기출문제!$C:$C,기출빈도!S$3)</f>
        <v>0</v>
      </c>
      <c r="T25" s="239">
        <f>COUNTIFS(기출문제!$H:$H,기출빈도!$W25,기출문제!$C:$C,기출빈도!T$3)</f>
        <v>0</v>
      </c>
      <c r="U25" s="240">
        <f>COUNTIFS(기출문제!$H:$H,기출빈도!$W25,기출문제!$C:$C,기출빈도!U$3)</f>
        <v>0</v>
      </c>
      <c r="V25" s="205" t="s">
        <v>3082</v>
      </c>
      <c r="W25" s="118" t="str">
        <f t="shared" si="0"/>
        <v>법률행위의 무효와 취소</v>
      </c>
    </row>
    <row r="26" spans="2:23" ht="14.45" customHeight="1" x14ac:dyDescent="0.2">
      <c r="B26" s="189" t="s">
        <v>2901</v>
      </c>
      <c r="C26" s="192" t="s">
        <v>2933</v>
      </c>
      <c r="D26" s="182" t="s">
        <v>2944</v>
      </c>
      <c r="E26" s="239">
        <f>COUNTIFS(기출문제!$H:$H,기출빈도!$W26,기출문제!$C:$C,기출빈도!E$3)</f>
        <v>0</v>
      </c>
      <c r="F26" s="239">
        <f>COUNTIFS(기출문제!$H:$H,기출빈도!$W26,기출문제!$C:$C,기출빈도!F$3)</f>
        <v>0</v>
      </c>
      <c r="G26" s="239">
        <f>COUNTIFS(기출문제!$H:$H,기출빈도!$W26,기출문제!$C:$C,기출빈도!G$3)</f>
        <v>0</v>
      </c>
      <c r="H26" s="239">
        <f>COUNTIFS(기출문제!$H:$H,기출빈도!$W26,기출문제!$C:$C,기출빈도!H$3)</f>
        <v>0</v>
      </c>
      <c r="I26" s="239">
        <f>COUNTIFS(기출문제!$H:$H,기출빈도!$W26,기출문제!$C:$C,기출빈도!I$3)</f>
        <v>0</v>
      </c>
      <c r="J26" s="239">
        <f>COUNTIFS(기출문제!$H:$H,기출빈도!$W26,기출문제!$C:$C,기출빈도!J$3)</f>
        <v>0</v>
      </c>
      <c r="K26" s="239">
        <f>COUNTIFS(기출문제!$H:$H,기출빈도!$W26,기출문제!$C:$C,기출빈도!K$3)</f>
        <v>0</v>
      </c>
      <c r="L26" s="239">
        <f>COUNTIFS(기출문제!$H:$H,기출빈도!$W26,기출문제!$C:$C,기출빈도!L$3)</f>
        <v>0</v>
      </c>
      <c r="M26" s="239">
        <f>COUNTIFS(기출문제!$H:$H,기출빈도!$W26,기출문제!$C:$C,기출빈도!M$3)</f>
        <v>0</v>
      </c>
      <c r="N26" s="239">
        <f>COUNTIFS(기출문제!$H:$H,기출빈도!$W26,기출문제!$C:$C,기출빈도!N$3)</f>
        <v>0</v>
      </c>
      <c r="O26" s="239">
        <f>COUNTIFS(기출문제!$H:$H,기출빈도!$W26,기출문제!$C:$C,기출빈도!O$3)</f>
        <v>0</v>
      </c>
      <c r="P26" s="239">
        <f>COUNTIFS(기출문제!$H:$H,기출빈도!$W26,기출문제!$C:$C,기출빈도!P$3)</f>
        <v>0</v>
      </c>
      <c r="Q26" s="239">
        <f>COUNTIFS(기출문제!$H:$H,기출빈도!$W26,기출문제!$C:$C,기출빈도!Q$3)</f>
        <v>0</v>
      </c>
      <c r="R26" s="239">
        <f>COUNTIFS(기출문제!$H:$H,기출빈도!$W26,기출문제!$C:$C,기출빈도!R$3)</f>
        <v>0</v>
      </c>
      <c r="S26" s="239">
        <f>COUNTIFS(기출문제!$H:$H,기출빈도!$W26,기출문제!$C:$C,기출빈도!S$3)</f>
        <v>0</v>
      </c>
      <c r="T26" s="239">
        <f>COUNTIFS(기출문제!$H:$H,기출빈도!$W26,기출문제!$C:$C,기출빈도!T$3)</f>
        <v>0</v>
      </c>
      <c r="U26" s="240">
        <f>COUNTIFS(기출문제!$H:$H,기출빈도!$W26,기출문제!$C:$C,기출빈도!U$3)</f>
        <v>0</v>
      </c>
      <c r="V26" s="205" t="s">
        <v>3083</v>
      </c>
      <c r="W26" s="118" t="str">
        <f t="shared" si="0"/>
        <v>법률행위의 부관</v>
      </c>
    </row>
    <row r="27" spans="2:23" ht="14.45" customHeight="1" thickBot="1" x14ac:dyDescent="0.25">
      <c r="B27" s="189"/>
      <c r="C27" s="145" t="s">
        <v>2933</v>
      </c>
      <c r="D27" s="198" t="s">
        <v>3491</v>
      </c>
      <c r="E27" s="241">
        <f>SUM(E21:E26)</f>
        <v>0</v>
      </c>
      <c r="F27" s="241">
        <f t="shared" ref="F27:U27" si="5">SUM(F21:F26)</f>
        <v>0</v>
      </c>
      <c r="G27" s="241">
        <f t="shared" si="5"/>
        <v>0</v>
      </c>
      <c r="H27" s="241">
        <f t="shared" si="5"/>
        <v>0</v>
      </c>
      <c r="I27" s="241">
        <f t="shared" si="5"/>
        <v>0</v>
      </c>
      <c r="J27" s="241">
        <f t="shared" si="5"/>
        <v>0</v>
      </c>
      <c r="K27" s="241">
        <f t="shared" si="5"/>
        <v>0</v>
      </c>
      <c r="L27" s="241">
        <f t="shared" si="5"/>
        <v>0</v>
      </c>
      <c r="M27" s="241">
        <f t="shared" si="5"/>
        <v>0</v>
      </c>
      <c r="N27" s="241">
        <f t="shared" si="5"/>
        <v>0</v>
      </c>
      <c r="O27" s="241">
        <f t="shared" si="5"/>
        <v>0</v>
      </c>
      <c r="P27" s="241">
        <f t="shared" si="5"/>
        <v>0</v>
      </c>
      <c r="Q27" s="241">
        <f t="shared" si="5"/>
        <v>0</v>
      </c>
      <c r="R27" s="241">
        <f t="shared" si="5"/>
        <v>0</v>
      </c>
      <c r="S27" s="241">
        <f t="shared" si="5"/>
        <v>0</v>
      </c>
      <c r="T27" s="241">
        <f t="shared" si="5"/>
        <v>0</v>
      </c>
      <c r="U27" s="242">
        <f t="shared" si="5"/>
        <v>1</v>
      </c>
      <c r="V27" s="206"/>
      <c r="W27" s="118" t="str">
        <f t="shared" si="0"/>
        <v/>
      </c>
    </row>
    <row r="28" spans="2:23" ht="14.45" customHeight="1" x14ac:dyDescent="0.2">
      <c r="B28" s="189" t="s">
        <v>2901</v>
      </c>
      <c r="C28" s="190" t="s">
        <v>2946</v>
      </c>
      <c r="D28" s="187" t="s">
        <v>2948</v>
      </c>
      <c r="E28" s="243">
        <f>COUNTIFS(기출문제!$H:$H,기출빈도!$W28,기출문제!$C:$C,기출빈도!E$3)</f>
        <v>0</v>
      </c>
      <c r="F28" s="243">
        <f>COUNTIFS(기출문제!$H:$H,기출빈도!$W28,기출문제!$C:$C,기출빈도!F$3)</f>
        <v>0</v>
      </c>
      <c r="G28" s="243">
        <f>COUNTIFS(기출문제!$H:$H,기출빈도!$W28,기출문제!$C:$C,기출빈도!G$3)</f>
        <v>0</v>
      </c>
      <c r="H28" s="243">
        <f>COUNTIFS(기출문제!$H:$H,기출빈도!$W28,기출문제!$C:$C,기출빈도!H$3)</f>
        <v>0</v>
      </c>
      <c r="I28" s="243">
        <f>COUNTIFS(기출문제!$H:$H,기출빈도!$W28,기출문제!$C:$C,기출빈도!I$3)</f>
        <v>0</v>
      </c>
      <c r="J28" s="243">
        <f>COUNTIFS(기출문제!$H:$H,기출빈도!$W28,기출문제!$C:$C,기출빈도!J$3)</f>
        <v>0</v>
      </c>
      <c r="K28" s="243">
        <f>COUNTIFS(기출문제!$H:$H,기출빈도!$W28,기출문제!$C:$C,기출빈도!K$3)</f>
        <v>0</v>
      </c>
      <c r="L28" s="243">
        <f>COUNTIFS(기출문제!$H:$H,기출빈도!$W28,기출문제!$C:$C,기출빈도!L$3)</f>
        <v>0</v>
      </c>
      <c r="M28" s="243">
        <f>COUNTIFS(기출문제!$H:$H,기출빈도!$W28,기출문제!$C:$C,기출빈도!M$3)</f>
        <v>0</v>
      </c>
      <c r="N28" s="243">
        <f>COUNTIFS(기출문제!$H:$H,기출빈도!$W28,기출문제!$C:$C,기출빈도!N$3)</f>
        <v>0</v>
      </c>
      <c r="O28" s="243">
        <f>COUNTIFS(기출문제!$H:$H,기출빈도!$W28,기출문제!$C:$C,기출빈도!O$3)</f>
        <v>0</v>
      </c>
      <c r="P28" s="243">
        <f>COUNTIFS(기출문제!$H:$H,기출빈도!$W28,기출문제!$C:$C,기출빈도!P$3)</f>
        <v>0</v>
      </c>
      <c r="Q28" s="243">
        <f>COUNTIFS(기출문제!$H:$H,기출빈도!$W28,기출문제!$C:$C,기출빈도!Q$3)</f>
        <v>0</v>
      </c>
      <c r="R28" s="243">
        <f>COUNTIFS(기출문제!$H:$H,기출빈도!$W28,기출문제!$C:$C,기출빈도!R$3)</f>
        <v>0</v>
      </c>
      <c r="S28" s="243">
        <f>COUNTIFS(기출문제!$H:$H,기출빈도!$W28,기출문제!$C:$C,기출빈도!S$3)</f>
        <v>0</v>
      </c>
      <c r="T28" s="243">
        <f>COUNTIFS(기출문제!$H:$H,기출빈도!$W28,기출문제!$C:$C,기출빈도!T$3)</f>
        <v>0</v>
      </c>
      <c r="U28" s="244">
        <f>COUNTIFS(기출문제!$H:$H,기출빈도!$W28,기출문제!$C:$C,기출빈도!U$3)</f>
        <v>0</v>
      </c>
      <c r="V28" s="204" t="s">
        <v>3084</v>
      </c>
      <c r="W28" s="118" t="str">
        <f t="shared" si="0"/>
        <v>기간의 의의</v>
      </c>
    </row>
    <row r="29" spans="2:23" ht="14.45" customHeight="1" x14ac:dyDescent="0.2">
      <c r="B29" s="189" t="s">
        <v>2901</v>
      </c>
      <c r="C29" s="192" t="s">
        <v>2945</v>
      </c>
      <c r="D29" s="182" t="s">
        <v>2950</v>
      </c>
      <c r="E29" s="239">
        <f>COUNTIFS(기출문제!$H:$H,기출빈도!$W29,기출문제!$C:$C,기출빈도!E$3)</f>
        <v>0</v>
      </c>
      <c r="F29" s="239">
        <f>COUNTIFS(기출문제!$H:$H,기출빈도!$W29,기출문제!$C:$C,기출빈도!F$3)</f>
        <v>0</v>
      </c>
      <c r="G29" s="239">
        <f>COUNTIFS(기출문제!$H:$H,기출빈도!$W29,기출문제!$C:$C,기출빈도!G$3)</f>
        <v>0</v>
      </c>
      <c r="H29" s="239">
        <f>COUNTIFS(기출문제!$H:$H,기출빈도!$W29,기출문제!$C:$C,기출빈도!H$3)</f>
        <v>0</v>
      </c>
      <c r="I29" s="239">
        <f>COUNTIFS(기출문제!$H:$H,기출빈도!$W29,기출문제!$C:$C,기출빈도!I$3)</f>
        <v>0</v>
      </c>
      <c r="J29" s="239">
        <f>COUNTIFS(기출문제!$H:$H,기출빈도!$W29,기출문제!$C:$C,기출빈도!J$3)</f>
        <v>0</v>
      </c>
      <c r="K29" s="239">
        <f>COUNTIFS(기출문제!$H:$H,기출빈도!$W29,기출문제!$C:$C,기출빈도!K$3)</f>
        <v>0</v>
      </c>
      <c r="L29" s="239">
        <f>COUNTIFS(기출문제!$H:$H,기출빈도!$W29,기출문제!$C:$C,기출빈도!L$3)</f>
        <v>0</v>
      </c>
      <c r="M29" s="239">
        <f>COUNTIFS(기출문제!$H:$H,기출빈도!$W29,기출문제!$C:$C,기출빈도!M$3)</f>
        <v>0</v>
      </c>
      <c r="N29" s="239">
        <f>COUNTIFS(기출문제!$H:$H,기출빈도!$W29,기출문제!$C:$C,기출빈도!N$3)</f>
        <v>0</v>
      </c>
      <c r="O29" s="239">
        <f>COUNTIFS(기출문제!$H:$H,기출빈도!$W29,기출문제!$C:$C,기출빈도!O$3)</f>
        <v>0</v>
      </c>
      <c r="P29" s="239">
        <f>COUNTIFS(기출문제!$H:$H,기출빈도!$W29,기출문제!$C:$C,기출빈도!P$3)</f>
        <v>0</v>
      </c>
      <c r="Q29" s="239">
        <f>COUNTIFS(기출문제!$H:$H,기출빈도!$W29,기출문제!$C:$C,기출빈도!Q$3)</f>
        <v>0</v>
      </c>
      <c r="R29" s="239">
        <f>COUNTIFS(기출문제!$H:$H,기출빈도!$W29,기출문제!$C:$C,기출빈도!R$3)</f>
        <v>0</v>
      </c>
      <c r="S29" s="239">
        <f>COUNTIFS(기출문제!$H:$H,기출빈도!$W29,기출문제!$C:$C,기출빈도!S$3)</f>
        <v>0</v>
      </c>
      <c r="T29" s="239">
        <f>COUNTIFS(기출문제!$H:$H,기출빈도!$W29,기출문제!$C:$C,기출빈도!T$3)</f>
        <v>0</v>
      </c>
      <c r="U29" s="240">
        <f>COUNTIFS(기출문제!$H:$H,기출빈도!$W29,기출문제!$C:$C,기출빈도!U$3)</f>
        <v>0</v>
      </c>
      <c r="V29" s="205" t="s">
        <v>3085</v>
      </c>
      <c r="W29" s="118" t="str">
        <f t="shared" si="0"/>
        <v>기간의 계산방법</v>
      </c>
    </row>
    <row r="30" spans="2:23" ht="14.45" customHeight="1" thickBot="1" x14ac:dyDescent="0.25">
      <c r="B30" s="189"/>
      <c r="C30" s="145" t="s">
        <v>2945</v>
      </c>
      <c r="D30" s="198" t="s">
        <v>3491</v>
      </c>
      <c r="E30" s="241">
        <f>SUM(E28:E29)</f>
        <v>0</v>
      </c>
      <c r="F30" s="241">
        <f t="shared" ref="F30:U30" si="6">SUM(F28:F29)</f>
        <v>0</v>
      </c>
      <c r="G30" s="241">
        <f t="shared" si="6"/>
        <v>0</v>
      </c>
      <c r="H30" s="241">
        <f t="shared" si="6"/>
        <v>0</v>
      </c>
      <c r="I30" s="241">
        <f t="shared" si="6"/>
        <v>0</v>
      </c>
      <c r="J30" s="241">
        <f t="shared" si="6"/>
        <v>0</v>
      </c>
      <c r="K30" s="241">
        <f t="shared" si="6"/>
        <v>0</v>
      </c>
      <c r="L30" s="241">
        <f t="shared" si="6"/>
        <v>0</v>
      </c>
      <c r="M30" s="241">
        <f t="shared" si="6"/>
        <v>0</v>
      </c>
      <c r="N30" s="241">
        <f t="shared" si="6"/>
        <v>0</v>
      </c>
      <c r="O30" s="241">
        <f t="shared" si="6"/>
        <v>0</v>
      </c>
      <c r="P30" s="241">
        <f t="shared" si="6"/>
        <v>0</v>
      </c>
      <c r="Q30" s="241">
        <f t="shared" si="6"/>
        <v>0</v>
      </c>
      <c r="R30" s="241">
        <f t="shared" si="6"/>
        <v>0</v>
      </c>
      <c r="S30" s="241">
        <f t="shared" si="6"/>
        <v>0</v>
      </c>
      <c r="T30" s="241">
        <f t="shared" si="6"/>
        <v>0</v>
      </c>
      <c r="U30" s="242">
        <f t="shared" si="6"/>
        <v>0</v>
      </c>
      <c r="V30" s="206"/>
      <c r="W30" s="118" t="str">
        <f t="shared" si="0"/>
        <v/>
      </c>
    </row>
    <row r="31" spans="2:23" ht="14.45" customHeight="1" x14ac:dyDescent="0.2">
      <c r="B31" s="189" t="s">
        <v>2901</v>
      </c>
      <c r="C31" s="190" t="s">
        <v>2952</v>
      </c>
      <c r="D31" s="187" t="s">
        <v>3457</v>
      </c>
      <c r="E31" s="243">
        <f>COUNTIFS(기출문제!$H:$H,기출빈도!$W31,기출문제!$C:$C,기출빈도!E$3)</f>
        <v>0</v>
      </c>
      <c r="F31" s="243">
        <f>COUNTIFS(기출문제!$H:$H,기출빈도!$W31,기출문제!$C:$C,기출빈도!F$3)</f>
        <v>0</v>
      </c>
      <c r="G31" s="243">
        <f>COUNTIFS(기출문제!$H:$H,기출빈도!$W31,기출문제!$C:$C,기출빈도!G$3)</f>
        <v>0</v>
      </c>
      <c r="H31" s="243">
        <f>COUNTIFS(기출문제!$H:$H,기출빈도!$W31,기출문제!$C:$C,기출빈도!H$3)</f>
        <v>0</v>
      </c>
      <c r="I31" s="243">
        <f>COUNTIFS(기출문제!$H:$H,기출빈도!$W31,기출문제!$C:$C,기출빈도!I$3)</f>
        <v>0</v>
      </c>
      <c r="J31" s="243">
        <f>COUNTIFS(기출문제!$H:$H,기출빈도!$W31,기출문제!$C:$C,기출빈도!J$3)</f>
        <v>0</v>
      </c>
      <c r="K31" s="243">
        <f>COUNTIFS(기출문제!$H:$H,기출빈도!$W31,기출문제!$C:$C,기출빈도!K$3)</f>
        <v>0</v>
      </c>
      <c r="L31" s="243">
        <f>COUNTIFS(기출문제!$H:$H,기출빈도!$W31,기출문제!$C:$C,기출빈도!L$3)</f>
        <v>0</v>
      </c>
      <c r="M31" s="243">
        <f>COUNTIFS(기출문제!$H:$H,기출빈도!$W31,기출문제!$C:$C,기출빈도!M$3)</f>
        <v>0</v>
      </c>
      <c r="N31" s="243">
        <f>COUNTIFS(기출문제!$H:$H,기출빈도!$W31,기출문제!$C:$C,기출빈도!N$3)</f>
        <v>0</v>
      </c>
      <c r="O31" s="243">
        <f>COUNTIFS(기출문제!$H:$H,기출빈도!$W31,기출문제!$C:$C,기출빈도!O$3)</f>
        <v>0</v>
      </c>
      <c r="P31" s="243">
        <f>COUNTIFS(기출문제!$H:$H,기출빈도!$W31,기출문제!$C:$C,기출빈도!P$3)</f>
        <v>0</v>
      </c>
      <c r="Q31" s="243">
        <f>COUNTIFS(기출문제!$H:$H,기출빈도!$W31,기출문제!$C:$C,기출빈도!Q$3)</f>
        <v>0</v>
      </c>
      <c r="R31" s="243">
        <f>COUNTIFS(기출문제!$H:$H,기출빈도!$W31,기출문제!$C:$C,기출빈도!R$3)</f>
        <v>0</v>
      </c>
      <c r="S31" s="243">
        <f>COUNTIFS(기출문제!$H:$H,기출빈도!$W31,기출문제!$C:$C,기출빈도!S$3)</f>
        <v>0</v>
      </c>
      <c r="T31" s="243">
        <f>COUNTIFS(기출문제!$H:$H,기출빈도!$W31,기출문제!$C:$C,기출빈도!T$3)</f>
        <v>0</v>
      </c>
      <c r="U31" s="244">
        <f>COUNTIFS(기출문제!$H:$H,기출빈도!$W31,기출문제!$C:$C,기출빈도!U$3)</f>
        <v>0</v>
      </c>
      <c r="V31" s="204" t="s">
        <v>3483</v>
      </c>
      <c r="W31" s="118" t="str">
        <f t="shared" si="0"/>
        <v>소멸시효 서설</v>
      </c>
    </row>
    <row r="32" spans="2:23" ht="14.45" customHeight="1" x14ac:dyDescent="0.2">
      <c r="B32" s="189" t="s">
        <v>2901</v>
      </c>
      <c r="C32" s="192" t="s">
        <v>2951</v>
      </c>
      <c r="D32" s="182" t="s">
        <v>2954</v>
      </c>
      <c r="E32" s="239">
        <f>COUNTIFS(기출문제!$H:$H,기출빈도!$W32,기출문제!$C:$C,기출빈도!E$3)</f>
        <v>0</v>
      </c>
      <c r="F32" s="239">
        <f>COUNTIFS(기출문제!$H:$H,기출빈도!$W32,기출문제!$C:$C,기출빈도!F$3)</f>
        <v>0</v>
      </c>
      <c r="G32" s="239">
        <f>COUNTIFS(기출문제!$H:$H,기출빈도!$W32,기출문제!$C:$C,기출빈도!G$3)</f>
        <v>0</v>
      </c>
      <c r="H32" s="239">
        <f>COUNTIFS(기출문제!$H:$H,기출빈도!$W32,기출문제!$C:$C,기출빈도!H$3)</f>
        <v>0</v>
      </c>
      <c r="I32" s="239">
        <f>COUNTIFS(기출문제!$H:$H,기출빈도!$W32,기출문제!$C:$C,기출빈도!I$3)</f>
        <v>0</v>
      </c>
      <c r="J32" s="239">
        <f>COUNTIFS(기출문제!$H:$H,기출빈도!$W32,기출문제!$C:$C,기출빈도!J$3)</f>
        <v>0</v>
      </c>
      <c r="K32" s="239">
        <f>COUNTIFS(기출문제!$H:$H,기출빈도!$W32,기출문제!$C:$C,기출빈도!K$3)</f>
        <v>0</v>
      </c>
      <c r="L32" s="239">
        <f>COUNTIFS(기출문제!$H:$H,기출빈도!$W32,기출문제!$C:$C,기출빈도!L$3)</f>
        <v>0</v>
      </c>
      <c r="M32" s="239">
        <f>COUNTIFS(기출문제!$H:$H,기출빈도!$W32,기출문제!$C:$C,기출빈도!M$3)</f>
        <v>0</v>
      </c>
      <c r="N32" s="239">
        <f>COUNTIFS(기출문제!$H:$H,기출빈도!$W32,기출문제!$C:$C,기출빈도!N$3)</f>
        <v>0</v>
      </c>
      <c r="O32" s="239">
        <f>COUNTIFS(기출문제!$H:$H,기출빈도!$W32,기출문제!$C:$C,기출빈도!O$3)</f>
        <v>0</v>
      </c>
      <c r="P32" s="239">
        <f>COUNTIFS(기출문제!$H:$H,기출빈도!$W32,기출문제!$C:$C,기출빈도!P$3)</f>
        <v>0</v>
      </c>
      <c r="Q32" s="239">
        <f>COUNTIFS(기출문제!$H:$H,기출빈도!$W32,기출문제!$C:$C,기출빈도!Q$3)</f>
        <v>0</v>
      </c>
      <c r="R32" s="239">
        <f>COUNTIFS(기출문제!$H:$H,기출빈도!$W32,기출문제!$C:$C,기출빈도!R$3)</f>
        <v>0</v>
      </c>
      <c r="S32" s="239">
        <f>COUNTIFS(기출문제!$H:$H,기출빈도!$W32,기출문제!$C:$C,기출빈도!S$3)</f>
        <v>0</v>
      </c>
      <c r="T32" s="239">
        <f>COUNTIFS(기출문제!$H:$H,기출빈도!$W32,기출문제!$C:$C,기출빈도!T$3)</f>
        <v>0</v>
      </c>
      <c r="U32" s="240">
        <f>COUNTIFS(기출문제!$H:$H,기출빈도!$W32,기출문제!$C:$C,기출빈도!U$3)</f>
        <v>0</v>
      </c>
      <c r="V32" s="205" t="s">
        <v>3086</v>
      </c>
      <c r="W32" s="118" t="str">
        <f t="shared" si="0"/>
        <v>소멸시효의 요건</v>
      </c>
    </row>
    <row r="33" spans="2:23" ht="14.45" customHeight="1" x14ac:dyDescent="0.2">
      <c r="B33" s="189" t="s">
        <v>2901</v>
      </c>
      <c r="C33" s="192" t="s">
        <v>2951</v>
      </c>
      <c r="D33" s="182" t="s">
        <v>2956</v>
      </c>
      <c r="E33" s="239">
        <f>COUNTIFS(기출문제!$H:$H,기출빈도!$W33,기출문제!$C:$C,기출빈도!E$3)</f>
        <v>0</v>
      </c>
      <c r="F33" s="239">
        <f>COUNTIFS(기출문제!$H:$H,기출빈도!$W33,기출문제!$C:$C,기출빈도!F$3)</f>
        <v>0</v>
      </c>
      <c r="G33" s="239">
        <f>COUNTIFS(기출문제!$H:$H,기출빈도!$W33,기출문제!$C:$C,기출빈도!G$3)</f>
        <v>0</v>
      </c>
      <c r="H33" s="239">
        <f>COUNTIFS(기출문제!$H:$H,기출빈도!$W33,기출문제!$C:$C,기출빈도!H$3)</f>
        <v>0</v>
      </c>
      <c r="I33" s="239">
        <f>COUNTIFS(기출문제!$H:$H,기출빈도!$W33,기출문제!$C:$C,기출빈도!I$3)</f>
        <v>0</v>
      </c>
      <c r="J33" s="239">
        <f>COUNTIFS(기출문제!$H:$H,기출빈도!$W33,기출문제!$C:$C,기출빈도!J$3)</f>
        <v>0</v>
      </c>
      <c r="K33" s="239">
        <f>COUNTIFS(기출문제!$H:$H,기출빈도!$W33,기출문제!$C:$C,기출빈도!K$3)</f>
        <v>0</v>
      </c>
      <c r="L33" s="239">
        <f>COUNTIFS(기출문제!$H:$H,기출빈도!$W33,기출문제!$C:$C,기출빈도!L$3)</f>
        <v>0</v>
      </c>
      <c r="M33" s="239">
        <f>COUNTIFS(기출문제!$H:$H,기출빈도!$W33,기출문제!$C:$C,기출빈도!M$3)</f>
        <v>0</v>
      </c>
      <c r="N33" s="239">
        <f>COUNTIFS(기출문제!$H:$H,기출빈도!$W33,기출문제!$C:$C,기출빈도!N$3)</f>
        <v>0</v>
      </c>
      <c r="O33" s="239">
        <f>COUNTIFS(기출문제!$H:$H,기출빈도!$W33,기출문제!$C:$C,기출빈도!O$3)</f>
        <v>0</v>
      </c>
      <c r="P33" s="239">
        <f>COUNTIFS(기출문제!$H:$H,기출빈도!$W33,기출문제!$C:$C,기출빈도!P$3)</f>
        <v>0</v>
      </c>
      <c r="Q33" s="239">
        <f>COUNTIFS(기출문제!$H:$H,기출빈도!$W33,기출문제!$C:$C,기출빈도!Q$3)</f>
        <v>0</v>
      </c>
      <c r="R33" s="239">
        <f>COUNTIFS(기출문제!$H:$H,기출빈도!$W33,기출문제!$C:$C,기출빈도!R$3)</f>
        <v>0</v>
      </c>
      <c r="S33" s="239">
        <f>COUNTIFS(기출문제!$H:$H,기출빈도!$W33,기출문제!$C:$C,기출빈도!S$3)</f>
        <v>0</v>
      </c>
      <c r="T33" s="239">
        <f>COUNTIFS(기출문제!$H:$H,기출빈도!$W33,기출문제!$C:$C,기출빈도!T$3)</f>
        <v>0</v>
      </c>
      <c r="U33" s="240">
        <f>COUNTIFS(기출문제!$H:$H,기출빈도!$W33,기출문제!$C:$C,기출빈도!U$3)</f>
        <v>0</v>
      </c>
      <c r="V33" s="205" t="s">
        <v>3087</v>
      </c>
      <c r="W33" s="118" t="str">
        <f t="shared" si="0"/>
        <v>소멸시효의 중단과 정지</v>
      </c>
    </row>
    <row r="34" spans="2:23" ht="14.45" customHeight="1" x14ac:dyDescent="0.2">
      <c r="B34" s="189" t="s">
        <v>2901</v>
      </c>
      <c r="C34" s="192" t="s">
        <v>2951</v>
      </c>
      <c r="D34" s="182" t="s">
        <v>2958</v>
      </c>
      <c r="E34" s="239">
        <f>COUNTIFS(기출문제!$H:$H,기출빈도!$W34,기출문제!$C:$C,기출빈도!E$3)</f>
        <v>0</v>
      </c>
      <c r="F34" s="239">
        <f>COUNTIFS(기출문제!$H:$H,기출빈도!$W34,기출문제!$C:$C,기출빈도!F$3)</f>
        <v>0</v>
      </c>
      <c r="G34" s="239">
        <f>COUNTIFS(기출문제!$H:$H,기출빈도!$W34,기출문제!$C:$C,기출빈도!G$3)</f>
        <v>0</v>
      </c>
      <c r="H34" s="239">
        <f>COUNTIFS(기출문제!$H:$H,기출빈도!$W34,기출문제!$C:$C,기출빈도!H$3)</f>
        <v>0</v>
      </c>
      <c r="I34" s="239">
        <f>COUNTIFS(기출문제!$H:$H,기출빈도!$W34,기출문제!$C:$C,기출빈도!I$3)</f>
        <v>0</v>
      </c>
      <c r="J34" s="239">
        <f>COUNTIFS(기출문제!$H:$H,기출빈도!$W34,기출문제!$C:$C,기출빈도!J$3)</f>
        <v>0</v>
      </c>
      <c r="K34" s="239">
        <f>COUNTIFS(기출문제!$H:$H,기출빈도!$W34,기출문제!$C:$C,기출빈도!K$3)</f>
        <v>0</v>
      </c>
      <c r="L34" s="239">
        <f>COUNTIFS(기출문제!$H:$H,기출빈도!$W34,기출문제!$C:$C,기출빈도!L$3)</f>
        <v>0</v>
      </c>
      <c r="M34" s="239">
        <f>COUNTIFS(기출문제!$H:$H,기출빈도!$W34,기출문제!$C:$C,기출빈도!M$3)</f>
        <v>0</v>
      </c>
      <c r="N34" s="239">
        <f>COUNTIFS(기출문제!$H:$H,기출빈도!$W34,기출문제!$C:$C,기출빈도!N$3)</f>
        <v>0</v>
      </c>
      <c r="O34" s="239">
        <f>COUNTIFS(기출문제!$H:$H,기출빈도!$W34,기출문제!$C:$C,기출빈도!O$3)</f>
        <v>0</v>
      </c>
      <c r="P34" s="239">
        <f>COUNTIFS(기출문제!$H:$H,기출빈도!$W34,기출문제!$C:$C,기출빈도!P$3)</f>
        <v>0</v>
      </c>
      <c r="Q34" s="239">
        <f>COUNTIFS(기출문제!$H:$H,기출빈도!$W34,기출문제!$C:$C,기출빈도!Q$3)</f>
        <v>0</v>
      </c>
      <c r="R34" s="239">
        <f>COUNTIFS(기출문제!$H:$H,기출빈도!$W34,기출문제!$C:$C,기출빈도!R$3)</f>
        <v>0</v>
      </c>
      <c r="S34" s="239">
        <f>COUNTIFS(기출문제!$H:$H,기출빈도!$W34,기출문제!$C:$C,기출빈도!S$3)</f>
        <v>0</v>
      </c>
      <c r="T34" s="239">
        <f>COUNTIFS(기출문제!$H:$H,기출빈도!$W34,기출문제!$C:$C,기출빈도!T$3)</f>
        <v>0</v>
      </c>
      <c r="U34" s="240">
        <f>COUNTIFS(기출문제!$H:$H,기출빈도!$W34,기출문제!$C:$C,기출빈도!U$3)</f>
        <v>0</v>
      </c>
      <c r="V34" s="205" t="s">
        <v>3088</v>
      </c>
      <c r="W34" s="118" t="str">
        <f t="shared" si="0"/>
        <v>소멸시효의 효과</v>
      </c>
    </row>
    <row r="35" spans="2:23" ht="14.45" customHeight="1" thickBot="1" x14ac:dyDescent="0.25">
      <c r="B35" s="189" t="s">
        <v>2901</v>
      </c>
      <c r="C35" s="145" t="s">
        <v>2951</v>
      </c>
      <c r="D35" s="198" t="s">
        <v>3491</v>
      </c>
      <c r="E35" s="241">
        <f>SUM(E31:E34)</f>
        <v>0</v>
      </c>
      <c r="F35" s="241">
        <f t="shared" ref="F35:U35" si="7">SUM(F31:F34)</f>
        <v>0</v>
      </c>
      <c r="G35" s="241">
        <f t="shared" si="7"/>
        <v>0</v>
      </c>
      <c r="H35" s="241">
        <f t="shared" si="7"/>
        <v>0</v>
      </c>
      <c r="I35" s="241">
        <f t="shared" si="7"/>
        <v>0</v>
      </c>
      <c r="J35" s="241">
        <f t="shared" si="7"/>
        <v>0</v>
      </c>
      <c r="K35" s="241">
        <f t="shared" si="7"/>
        <v>0</v>
      </c>
      <c r="L35" s="241">
        <f t="shared" si="7"/>
        <v>0</v>
      </c>
      <c r="M35" s="241">
        <f t="shared" si="7"/>
        <v>0</v>
      </c>
      <c r="N35" s="241">
        <f t="shared" si="7"/>
        <v>0</v>
      </c>
      <c r="O35" s="241">
        <f t="shared" si="7"/>
        <v>0</v>
      </c>
      <c r="P35" s="241">
        <f t="shared" si="7"/>
        <v>0</v>
      </c>
      <c r="Q35" s="241">
        <f t="shared" si="7"/>
        <v>0</v>
      </c>
      <c r="R35" s="241">
        <f t="shared" si="7"/>
        <v>0</v>
      </c>
      <c r="S35" s="241">
        <f t="shared" si="7"/>
        <v>0</v>
      </c>
      <c r="T35" s="241">
        <f t="shared" si="7"/>
        <v>0</v>
      </c>
      <c r="U35" s="242">
        <f t="shared" si="7"/>
        <v>0</v>
      </c>
      <c r="V35" s="206"/>
      <c r="W35" s="118" t="str">
        <f t="shared" si="0"/>
        <v/>
      </c>
    </row>
    <row r="36" spans="2:23" ht="14.45" customHeight="1" thickBot="1" x14ac:dyDescent="0.25">
      <c r="B36" s="184" t="s">
        <v>2901</v>
      </c>
      <c r="C36" s="188"/>
      <c r="D36" s="199" t="s">
        <v>3492</v>
      </c>
      <c r="E36" s="245">
        <f>SUM(E7,E10,E14,E20,E27,E30,E35)</f>
        <v>0</v>
      </c>
      <c r="F36" s="245">
        <f t="shared" ref="F36:U36" si="8">SUM(F7,F10,F14,F20,F27,F30,F35)</f>
        <v>0</v>
      </c>
      <c r="G36" s="245">
        <f t="shared" si="8"/>
        <v>0</v>
      </c>
      <c r="H36" s="245">
        <f t="shared" si="8"/>
        <v>0</v>
      </c>
      <c r="I36" s="245">
        <f t="shared" si="8"/>
        <v>0</v>
      </c>
      <c r="J36" s="245">
        <f t="shared" si="8"/>
        <v>0</v>
      </c>
      <c r="K36" s="245">
        <f t="shared" si="8"/>
        <v>0</v>
      </c>
      <c r="L36" s="245">
        <f t="shared" si="8"/>
        <v>0</v>
      </c>
      <c r="M36" s="245">
        <f t="shared" si="8"/>
        <v>0</v>
      </c>
      <c r="N36" s="245">
        <f t="shared" si="8"/>
        <v>0</v>
      </c>
      <c r="O36" s="245">
        <f t="shared" si="8"/>
        <v>0</v>
      </c>
      <c r="P36" s="245">
        <f t="shared" si="8"/>
        <v>0</v>
      </c>
      <c r="Q36" s="245">
        <f t="shared" si="8"/>
        <v>0</v>
      </c>
      <c r="R36" s="245">
        <f t="shared" si="8"/>
        <v>0</v>
      </c>
      <c r="S36" s="245">
        <f t="shared" si="8"/>
        <v>0</v>
      </c>
      <c r="T36" s="245">
        <f t="shared" si="8"/>
        <v>0</v>
      </c>
      <c r="U36" s="246">
        <f t="shared" si="8"/>
        <v>3</v>
      </c>
      <c r="V36" s="208"/>
    </row>
    <row r="37" spans="2:23" ht="14.45" customHeight="1" x14ac:dyDescent="0.2">
      <c r="B37" s="196" t="s">
        <v>2960</v>
      </c>
      <c r="C37" s="190" t="s">
        <v>2962</v>
      </c>
      <c r="D37" s="187" t="s">
        <v>2964</v>
      </c>
      <c r="E37" s="243">
        <f>COUNTIFS(기출문제!$H:$H,기출빈도!$W37,기출문제!$C:$C,기출빈도!E$3)</f>
        <v>0</v>
      </c>
      <c r="F37" s="243">
        <f>COUNTIFS(기출문제!$H:$H,기출빈도!$W37,기출문제!$C:$C,기출빈도!F$3)</f>
        <v>0</v>
      </c>
      <c r="G37" s="243">
        <f>COUNTIFS(기출문제!$H:$H,기출빈도!$W37,기출문제!$C:$C,기출빈도!G$3)</f>
        <v>0</v>
      </c>
      <c r="H37" s="243">
        <f>COUNTIFS(기출문제!$H:$H,기출빈도!$W37,기출문제!$C:$C,기출빈도!H$3)</f>
        <v>0</v>
      </c>
      <c r="I37" s="243">
        <f>COUNTIFS(기출문제!$H:$H,기출빈도!$W37,기출문제!$C:$C,기출빈도!I$3)</f>
        <v>0</v>
      </c>
      <c r="J37" s="243">
        <f>COUNTIFS(기출문제!$H:$H,기출빈도!$W37,기출문제!$C:$C,기출빈도!J$3)</f>
        <v>0</v>
      </c>
      <c r="K37" s="243">
        <f>COUNTIFS(기출문제!$H:$H,기출빈도!$W37,기출문제!$C:$C,기출빈도!K$3)</f>
        <v>0</v>
      </c>
      <c r="L37" s="243">
        <f>COUNTIFS(기출문제!$H:$H,기출빈도!$W37,기출문제!$C:$C,기출빈도!L$3)</f>
        <v>0</v>
      </c>
      <c r="M37" s="243">
        <f>COUNTIFS(기출문제!$H:$H,기출빈도!$W37,기출문제!$C:$C,기출빈도!M$3)</f>
        <v>0</v>
      </c>
      <c r="N37" s="243">
        <f>COUNTIFS(기출문제!$H:$H,기출빈도!$W37,기출문제!$C:$C,기출빈도!N$3)</f>
        <v>0</v>
      </c>
      <c r="O37" s="243">
        <f>COUNTIFS(기출문제!$H:$H,기출빈도!$W37,기출문제!$C:$C,기출빈도!O$3)</f>
        <v>0</v>
      </c>
      <c r="P37" s="243">
        <f>COUNTIFS(기출문제!$H:$H,기출빈도!$W37,기출문제!$C:$C,기출빈도!P$3)</f>
        <v>0</v>
      </c>
      <c r="Q37" s="243">
        <f>COUNTIFS(기출문제!$H:$H,기출빈도!$W37,기출문제!$C:$C,기출빈도!Q$3)</f>
        <v>0</v>
      </c>
      <c r="R37" s="243">
        <f>COUNTIFS(기출문제!$H:$H,기출빈도!$W37,기출문제!$C:$C,기출빈도!R$3)</f>
        <v>0</v>
      </c>
      <c r="S37" s="243">
        <f>COUNTIFS(기출문제!$H:$H,기출빈도!$W37,기출문제!$C:$C,기출빈도!S$3)</f>
        <v>0</v>
      </c>
      <c r="T37" s="243">
        <f>COUNTIFS(기출문제!$H:$H,기출빈도!$W37,기출문제!$C:$C,기출빈도!T$3)</f>
        <v>0</v>
      </c>
      <c r="U37" s="244">
        <f>COUNTIFS(기출문제!$H:$H,기출빈도!$W37,기출문제!$C:$C,기출빈도!U$3)</f>
        <v>0</v>
      </c>
      <c r="V37" s="204" t="s">
        <v>3089</v>
      </c>
      <c r="W37" s="118" t="str">
        <f t="shared" si="0"/>
        <v>채권법의 의의</v>
      </c>
    </row>
    <row r="38" spans="2:23" ht="14.45" customHeight="1" x14ac:dyDescent="0.2">
      <c r="B38" s="189" t="s">
        <v>2959</v>
      </c>
      <c r="C38" s="192" t="s">
        <v>2961</v>
      </c>
      <c r="D38" s="182" t="s">
        <v>2966</v>
      </c>
      <c r="E38" s="239">
        <f>COUNTIFS(기출문제!$H:$H,기출빈도!$W38,기출문제!$C:$C,기출빈도!E$3)</f>
        <v>0</v>
      </c>
      <c r="F38" s="239">
        <f>COUNTIFS(기출문제!$H:$H,기출빈도!$W38,기출문제!$C:$C,기출빈도!F$3)</f>
        <v>0</v>
      </c>
      <c r="G38" s="239">
        <f>COUNTIFS(기출문제!$H:$H,기출빈도!$W38,기출문제!$C:$C,기출빈도!G$3)</f>
        <v>0</v>
      </c>
      <c r="H38" s="239">
        <f>COUNTIFS(기출문제!$H:$H,기출빈도!$W38,기출문제!$C:$C,기출빈도!H$3)</f>
        <v>0</v>
      </c>
      <c r="I38" s="239">
        <f>COUNTIFS(기출문제!$H:$H,기출빈도!$W38,기출문제!$C:$C,기출빈도!I$3)</f>
        <v>0</v>
      </c>
      <c r="J38" s="239">
        <f>COUNTIFS(기출문제!$H:$H,기출빈도!$W38,기출문제!$C:$C,기출빈도!J$3)</f>
        <v>0</v>
      </c>
      <c r="K38" s="239">
        <f>COUNTIFS(기출문제!$H:$H,기출빈도!$W38,기출문제!$C:$C,기출빈도!K$3)</f>
        <v>0</v>
      </c>
      <c r="L38" s="239">
        <f>COUNTIFS(기출문제!$H:$H,기출빈도!$W38,기출문제!$C:$C,기출빈도!L$3)</f>
        <v>0</v>
      </c>
      <c r="M38" s="239">
        <f>COUNTIFS(기출문제!$H:$H,기출빈도!$W38,기출문제!$C:$C,기출빈도!M$3)</f>
        <v>0</v>
      </c>
      <c r="N38" s="239">
        <f>COUNTIFS(기출문제!$H:$H,기출빈도!$W38,기출문제!$C:$C,기출빈도!N$3)</f>
        <v>0</v>
      </c>
      <c r="O38" s="239">
        <f>COUNTIFS(기출문제!$H:$H,기출빈도!$W38,기출문제!$C:$C,기출빈도!O$3)</f>
        <v>0</v>
      </c>
      <c r="P38" s="239">
        <f>COUNTIFS(기출문제!$H:$H,기출빈도!$W38,기출문제!$C:$C,기출빈도!P$3)</f>
        <v>0</v>
      </c>
      <c r="Q38" s="239">
        <f>COUNTIFS(기출문제!$H:$H,기출빈도!$W38,기출문제!$C:$C,기출빈도!Q$3)</f>
        <v>0</v>
      </c>
      <c r="R38" s="239">
        <f>COUNTIFS(기출문제!$H:$H,기출빈도!$W38,기출문제!$C:$C,기출빈도!R$3)</f>
        <v>0</v>
      </c>
      <c r="S38" s="239">
        <f>COUNTIFS(기출문제!$H:$H,기출빈도!$W38,기출문제!$C:$C,기출빈도!S$3)</f>
        <v>0</v>
      </c>
      <c r="T38" s="239">
        <f>COUNTIFS(기출문제!$H:$H,기출빈도!$W38,기출문제!$C:$C,기출빈도!T$3)</f>
        <v>0</v>
      </c>
      <c r="U38" s="240">
        <f>COUNTIFS(기출문제!$H:$H,기출빈도!$W38,기출문제!$C:$C,기출빈도!U$3)</f>
        <v>0</v>
      </c>
      <c r="V38" s="205" t="s">
        <v>3090</v>
      </c>
      <c r="W38" s="118" t="str">
        <f t="shared" si="0"/>
        <v>채권의 목적(급부)</v>
      </c>
    </row>
    <row r="39" spans="2:23" ht="14.45" customHeight="1" x14ac:dyDescent="0.2">
      <c r="B39" s="189" t="s">
        <v>2959</v>
      </c>
      <c r="C39" s="192" t="s">
        <v>2961</v>
      </c>
      <c r="D39" s="182" t="s">
        <v>2968</v>
      </c>
      <c r="E39" s="239">
        <f>SUM(E37:E38)</f>
        <v>0</v>
      </c>
      <c r="F39" s="239">
        <f t="shared" ref="F39:U39" si="9">SUM(F37:F38)</f>
        <v>0</v>
      </c>
      <c r="G39" s="239">
        <f t="shared" si="9"/>
        <v>0</v>
      </c>
      <c r="H39" s="239">
        <f t="shared" si="9"/>
        <v>0</v>
      </c>
      <c r="I39" s="239">
        <f t="shared" si="9"/>
        <v>0</v>
      </c>
      <c r="J39" s="239">
        <f t="shared" si="9"/>
        <v>0</v>
      </c>
      <c r="K39" s="239">
        <f t="shared" si="9"/>
        <v>0</v>
      </c>
      <c r="L39" s="239">
        <f t="shared" si="9"/>
        <v>0</v>
      </c>
      <c r="M39" s="239">
        <f t="shared" si="9"/>
        <v>0</v>
      </c>
      <c r="N39" s="239">
        <f t="shared" si="9"/>
        <v>0</v>
      </c>
      <c r="O39" s="239">
        <f t="shared" si="9"/>
        <v>0</v>
      </c>
      <c r="P39" s="239">
        <f t="shared" si="9"/>
        <v>0</v>
      </c>
      <c r="Q39" s="239">
        <f t="shared" si="9"/>
        <v>0</v>
      </c>
      <c r="R39" s="239">
        <f t="shared" si="9"/>
        <v>0</v>
      </c>
      <c r="S39" s="239">
        <f t="shared" si="9"/>
        <v>0</v>
      </c>
      <c r="T39" s="239">
        <f t="shared" si="9"/>
        <v>0</v>
      </c>
      <c r="U39" s="240">
        <f t="shared" si="9"/>
        <v>0</v>
      </c>
      <c r="V39" s="205" t="s">
        <v>3091</v>
      </c>
      <c r="W39" s="118" t="str">
        <f t="shared" si="0"/>
        <v>채무의 내용(채무구조론)</v>
      </c>
    </row>
    <row r="40" spans="2:23" ht="14.45" customHeight="1" thickBot="1" x14ac:dyDescent="0.25">
      <c r="B40" s="189" t="s">
        <v>2959</v>
      </c>
      <c r="C40" s="145" t="s">
        <v>2961</v>
      </c>
      <c r="D40" s="198" t="s">
        <v>3491</v>
      </c>
      <c r="E40" s="241">
        <f>SUM(E37:E39)</f>
        <v>0</v>
      </c>
      <c r="F40" s="241">
        <f t="shared" ref="F40:U40" si="10">SUM(F37:F39)</f>
        <v>0</v>
      </c>
      <c r="G40" s="241">
        <f t="shared" si="10"/>
        <v>0</v>
      </c>
      <c r="H40" s="241">
        <f t="shared" si="10"/>
        <v>0</v>
      </c>
      <c r="I40" s="241">
        <f t="shared" si="10"/>
        <v>0</v>
      </c>
      <c r="J40" s="241">
        <f t="shared" si="10"/>
        <v>0</v>
      </c>
      <c r="K40" s="241">
        <f t="shared" si="10"/>
        <v>0</v>
      </c>
      <c r="L40" s="241">
        <f t="shared" si="10"/>
        <v>0</v>
      </c>
      <c r="M40" s="241">
        <f t="shared" si="10"/>
        <v>0</v>
      </c>
      <c r="N40" s="241">
        <f t="shared" si="10"/>
        <v>0</v>
      </c>
      <c r="O40" s="241">
        <f t="shared" si="10"/>
        <v>0</v>
      </c>
      <c r="P40" s="241">
        <f t="shared" si="10"/>
        <v>0</v>
      </c>
      <c r="Q40" s="241">
        <f t="shared" si="10"/>
        <v>0</v>
      </c>
      <c r="R40" s="241">
        <f t="shared" si="10"/>
        <v>0</v>
      </c>
      <c r="S40" s="241">
        <f t="shared" si="10"/>
        <v>0</v>
      </c>
      <c r="T40" s="241">
        <f t="shared" si="10"/>
        <v>0</v>
      </c>
      <c r="U40" s="242">
        <f t="shared" si="10"/>
        <v>0</v>
      </c>
      <c r="V40" s="206"/>
      <c r="W40" s="118" t="str">
        <f t="shared" si="0"/>
        <v/>
      </c>
    </row>
    <row r="41" spans="2:23" ht="14.45" customHeight="1" x14ac:dyDescent="0.2">
      <c r="B41" s="189" t="s">
        <v>2959</v>
      </c>
      <c r="C41" s="190" t="s">
        <v>2984</v>
      </c>
      <c r="D41" s="191" t="s">
        <v>2970</v>
      </c>
      <c r="E41" s="243">
        <f>COUNTIFS(기출문제!$H:$H,기출빈도!$W41,기출문제!$C:$C,기출빈도!E$3)</f>
        <v>0</v>
      </c>
      <c r="F41" s="243">
        <f>COUNTIFS(기출문제!$H:$H,기출빈도!$W41,기출문제!$C:$C,기출빈도!F$3)</f>
        <v>0</v>
      </c>
      <c r="G41" s="243">
        <f>COUNTIFS(기출문제!$H:$H,기출빈도!$W41,기출문제!$C:$C,기출빈도!G$3)</f>
        <v>0</v>
      </c>
      <c r="H41" s="243">
        <f>COUNTIFS(기출문제!$H:$H,기출빈도!$W41,기출문제!$C:$C,기출빈도!H$3)</f>
        <v>0</v>
      </c>
      <c r="I41" s="243">
        <f>COUNTIFS(기출문제!$H:$H,기출빈도!$W41,기출문제!$C:$C,기출빈도!I$3)</f>
        <v>0</v>
      </c>
      <c r="J41" s="243">
        <f>COUNTIFS(기출문제!$H:$H,기출빈도!$W41,기출문제!$C:$C,기출빈도!J$3)</f>
        <v>0</v>
      </c>
      <c r="K41" s="243">
        <f>COUNTIFS(기출문제!$H:$H,기출빈도!$W41,기출문제!$C:$C,기출빈도!K$3)</f>
        <v>0</v>
      </c>
      <c r="L41" s="243">
        <f>COUNTIFS(기출문제!$H:$H,기출빈도!$W41,기출문제!$C:$C,기출빈도!L$3)</f>
        <v>0</v>
      </c>
      <c r="M41" s="243">
        <f>COUNTIFS(기출문제!$H:$H,기출빈도!$W41,기출문제!$C:$C,기출빈도!M$3)</f>
        <v>0</v>
      </c>
      <c r="N41" s="243">
        <f>COUNTIFS(기출문제!$H:$H,기출빈도!$W41,기출문제!$C:$C,기출빈도!N$3)</f>
        <v>0</v>
      </c>
      <c r="O41" s="243">
        <f>COUNTIFS(기출문제!$H:$H,기출빈도!$W41,기출문제!$C:$C,기출빈도!O$3)</f>
        <v>0</v>
      </c>
      <c r="P41" s="243">
        <f>COUNTIFS(기출문제!$H:$H,기출빈도!$W41,기출문제!$C:$C,기출빈도!P$3)</f>
        <v>0</v>
      </c>
      <c r="Q41" s="243">
        <f>COUNTIFS(기출문제!$H:$H,기출빈도!$W41,기출문제!$C:$C,기출빈도!Q$3)</f>
        <v>0</v>
      </c>
      <c r="R41" s="243">
        <f>COUNTIFS(기출문제!$H:$H,기출빈도!$W41,기출문제!$C:$C,기출빈도!R$3)</f>
        <v>0</v>
      </c>
      <c r="S41" s="243">
        <f>COUNTIFS(기출문제!$H:$H,기출빈도!$W41,기출문제!$C:$C,기출빈도!S$3)</f>
        <v>0</v>
      </c>
      <c r="T41" s="243">
        <f>COUNTIFS(기출문제!$H:$H,기출빈도!$W41,기출문제!$C:$C,기출빈도!T$3)</f>
        <v>0</v>
      </c>
      <c r="U41" s="244">
        <f>COUNTIFS(기출문제!$H:$H,기출빈도!$W41,기출문제!$C:$C,기출빈도!U$3)</f>
        <v>0</v>
      </c>
      <c r="V41" s="204" t="s">
        <v>3092</v>
      </c>
      <c r="W41" s="118" t="str">
        <f t="shared" si="0"/>
        <v>특정물채권</v>
      </c>
    </row>
    <row r="42" spans="2:23" ht="14.45" customHeight="1" x14ac:dyDescent="0.2">
      <c r="B42" s="189" t="s">
        <v>2959</v>
      </c>
      <c r="C42" s="192" t="s">
        <v>2983</v>
      </c>
      <c r="D42" s="183" t="s">
        <v>2972</v>
      </c>
      <c r="E42" s="239">
        <f>COUNTIFS(기출문제!$H:$H,기출빈도!$W42,기출문제!$C:$C,기출빈도!E$3)</f>
        <v>0</v>
      </c>
      <c r="F42" s="239">
        <f>COUNTIFS(기출문제!$H:$H,기출빈도!$W42,기출문제!$C:$C,기출빈도!F$3)</f>
        <v>0</v>
      </c>
      <c r="G42" s="239">
        <f>COUNTIFS(기출문제!$H:$H,기출빈도!$W42,기출문제!$C:$C,기출빈도!G$3)</f>
        <v>0</v>
      </c>
      <c r="H42" s="239">
        <f>COUNTIFS(기출문제!$H:$H,기출빈도!$W42,기출문제!$C:$C,기출빈도!H$3)</f>
        <v>0</v>
      </c>
      <c r="I42" s="239">
        <f>COUNTIFS(기출문제!$H:$H,기출빈도!$W42,기출문제!$C:$C,기출빈도!I$3)</f>
        <v>0</v>
      </c>
      <c r="J42" s="239">
        <f>COUNTIFS(기출문제!$H:$H,기출빈도!$W42,기출문제!$C:$C,기출빈도!J$3)</f>
        <v>0</v>
      </c>
      <c r="K42" s="239">
        <f>COUNTIFS(기출문제!$H:$H,기출빈도!$W42,기출문제!$C:$C,기출빈도!K$3)</f>
        <v>0</v>
      </c>
      <c r="L42" s="239">
        <f>COUNTIFS(기출문제!$H:$H,기출빈도!$W42,기출문제!$C:$C,기출빈도!L$3)</f>
        <v>0</v>
      </c>
      <c r="M42" s="239">
        <f>COUNTIFS(기출문제!$H:$H,기출빈도!$W42,기출문제!$C:$C,기출빈도!M$3)</f>
        <v>0</v>
      </c>
      <c r="N42" s="239">
        <f>COUNTIFS(기출문제!$H:$H,기출빈도!$W42,기출문제!$C:$C,기출빈도!N$3)</f>
        <v>0</v>
      </c>
      <c r="O42" s="239">
        <f>COUNTIFS(기출문제!$H:$H,기출빈도!$W42,기출문제!$C:$C,기출빈도!O$3)</f>
        <v>0</v>
      </c>
      <c r="P42" s="239">
        <f>COUNTIFS(기출문제!$H:$H,기출빈도!$W42,기출문제!$C:$C,기출빈도!P$3)</f>
        <v>0</v>
      </c>
      <c r="Q42" s="239">
        <f>COUNTIFS(기출문제!$H:$H,기출빈도!$W42,기출문제!$C:$C,기출빈도!Q$3)</f>
        <v>0</v>
      </c>
      <c r="R42" s="239">
        <f>COUNTIFS(기출문제!$H:$H,기출빈도!$W42,기출문제!$C:$C,기출빈도!R$3)</f>
        <v>0</v>
      </c>
      <c r="S42" s="239">
        <f>COUNTIFS(기출문제!$H:$H,기출빈도!$W42,기출문제!$C:$C,기출빈도!S$3)</f>
        <v>0</v>
      </c>
      <c r="T42" s="239">
        <f>COUNTIFS(기출문제!$H:$H,기출빈도!$W42,기출문제!$C:$C,기출빈도!T$3)</f>
        <v>0</v>
      </c>
      <c r="U42" s="240">
        <f>COUNTIFS(기출문제!$H:$H,기출빈도!$W42,기출문제!$C:$C,기출빈도!U$3)</f>
        <v>0</v>
      </c>
      <c r="V42" s="205" t="s">
        <v>3093</v>
      </c>
      <c r="W42" s="118" t="str">
        <f t="shared" si="0"/>
        <v>종류채권</v>
      </c>
    </row>
    <row r="43" spans="2:23" ht="14.45" customHeight="1" x14ac:dyDescent="0.2">
      <c r="B43" s="189" t="s">
        <v>2959</v>
      </c>
      <c r="C43" s="192" t="s">
        <v>2983</v>
      </c>
      <c r="D43" s="183" t="s">
        <v>2974</v>
      </c>
      <c r="E43" s="239">
        <f>COUNTIFS(기출문제!$H:$H,기출빈도!$W43,기출문제!$C:$C,기출빈도!E$3)</f>
        <v>0</v>
      </c>
      <c r="F43" s="239">
        <f>COUNTIFS(기출문제!$H:$H,기출빈도!$W43,기출문제!$C:$C,기출빈도!F$3)</f>
        <v>0</v>
      </c>
      <c r="G43" s="239">
        <f>COUNTIFS(기출문제!$H:$H,기출빈도!$W43,기출문제!$C:$C,기출빈도!G$3)</f>
        <v>0</v>
      </c>
      <c r="H43" s="239">
        <f>COUNTIFS(기출문제!$H:$H,기출빈도!$W43,기출문제!$C:$C,기출빈도!H$3)</f>
        <v>0</v>
      </c>
      <c r="I43" s="239">
        <f>COUNTIFS(기출문제!$H:$H,기출빈도!$W43,기출문제!$C:$C,기출빈도!I$3)</f>
        <v>0</v>
      </c>
      <c r="J43" s="239">
        <f>COUNTIFS(기출문제!$H:$H,기출빈도!$W43,기출문제!$C:$C,기출빈도!J$3)</f>
        <v>0</v>
      </c>
      <c r="K43" s="239">
        <f>COUNTIFS(기출문제!$H:$H,기출빈도!$W43,기출문제!$C:$C,기출빈도!K$3)</f>
        <v>0</v>
      </c>
      <c r="L43" s="239">
        <f>COUNTIFS(기출문제!$H:$H,기출빈도!$W43,기출문제!$C:$C,기출빈도!L$3)</f>
        <v>0</v>
      </c>
      <c r="M43" s="239">
        <f>COUNTIFS(기출문제!$H:$H,기출빈도!$W43,기출문제!$C:$C,기출빈도!M$3)</f>
        <v>0</v>
      </c>
      <c r="N43" s="239">
        <f>COUNTIFS(기출문제!$H:$H,기출빈도!$W43,기출문제!$C:$C,기출빈도!N$3)</f>
        <v>0</v>
      </c>
      <c r="O43" s="239">
        <f>COUNTIFS(기출문제!$H:$H,기출빈도!$W43,기출문제!$C:$C,기출빈도!O$3)</f>
        <v>0</v>
      </c>
      <c r="P43" s="239">
        <f>COUNTIFS(기출문제!$H:$H,기출빈도!$W43,기출문제!$C:$C,기출빈도!P$3)</f>
        <v>0</v>
      </c>
      <c r="Q43" s="239">
        <f>COUNTIFS(기출문제!$H:$H,기출빈도!$W43,기출문제!$C:$C,기출빈도!Q$3)</f>
        <v>0</v>
      </c>
      <c r="R43" s="239">
        <f>COUNTIFS(기출문제!$H:$H,기출빈도!$W43,기출문제!$C:$C,기출빈도!R$3)</f>
        <v>0</v>
      </c>
      <c r="S43" s="239">
        <f>COUNTIFS(기출문제!$H:$H,기출빈도!$W43,기출문제!$C:$C,기출빈도!S$3)</f>
        <v>0</v>
      </c>
      <c r="T43" s="239">
        <f>COUNTIFS(기출문제!$H:$H,기출빈도!$W43,기출문제!$C:$C,기출빈도!T$3)</f>
        <v>0</v>
      </c>
      <c r="U43" s="240">
        <f>COUNTIFS(기출문제!$H:$H,기출빈도!$W43,기출문제!$C:$C,기출빈도!U$3)</f>
        <v>0</v>
      </c>
      <c r="V43" s="205" t="s">
        <v>3094</v>
      </c>
      <c r="W43" s="118" t="str">
        <f t="shared" si="0"/>
        <v>금전채권</v>
      </c>
    </row>
    <row r="44" spans="2:23" ht="14.45" customHeight="1" x14ac:dyDescent="0.2">
      <c r="B44" s="189" t="s">
        <v>2959</v>
      </c>
      <c r="C44" s="192" t="s">
        <v>2983</v>
      </c>
      <c r="D44" s="183" t="s">
        <v>2976</v>
      </c>
      <c r="E44" s="239">
        <f>COUNTIFS(기출문제!$H:$H,기출빈도!$W44,기출문제!$C:$C,기출빈도!E$3)</f>
        <v>0</v>
      </c>
      <c r="F44" s="239">
        <f>COUNTIFS(기출문제!$H:$H,기출빈도!$W44,기출문제!$C:$C,기출빈도!F$3)</f>
        <v>0</v>
      </c>
      <c r="G44" s="239">
        <f>COUNTIFS(기출문제!$H:$H,기출빈도!$W44,기출문제!$C:$C,기출빈도!G$3)</f>
        <v>0</v>
      </c>
      <c r="H44" s="239">
        <f>COUNTIFS(기출문제!$H:$H,기출빈도!$W44,기출문제!$C:$C,기출빈도!H$3)</f>
        <v>0</v>
      </c>
      <c r="I44" s="239">
        <f>COUNTIFS(기출문제!$H:$H,기출빈도!$W44,기출문제!$C:$C,기출빈도!I$3)</f>
        <v>0</v>
      </c>
      <c r="J44" s="239">
        <f>COUNTIFS(기출문제!$H:$H,기출빈도!$W44,기출문제!$C:$C,기출빈도!J$3)</f>
        <v>0</v>
      </c>
      <c r="K44" s="239">
        <f>COUNTIFS(기출문제!$H:$H,기출빈도!$W44,기출문제!$C:$C,기출빈도!K$3)</f>
        <v>0</v>
      </c>
      <c r="L44" s="239">
        <f>COUNTIFS(기출문제!$H:$H,기출빈도!$W44,기출문제!$C:$C,기출빈도!L$3)</f>
        <v>0</v>
      </c>
      <c r="M44" s="239">
        <f>COUNTIFS(기출문제!$H:$H,기출빈도!$W44,기출문제!$C:$C,기출빈도!M$3)</f>
        <v>0</v>
      </c>
      <c r="N44" s="239">
        <f>COUNTIFS(기출문제!$H:$H,기출빈도!$W44,기출문제!$C:$C,기출빈도!N$3)</f>
        <v>0</v>
      </c>
      <c r="O44" s="239">
        <f>COUNTIFS(기출문제!$H:$H,기출빈도!$W44,기출문제!$C:$C,기출빈도!O$3)</f>
        <v>0</v>
      </c>
      <c r="P44" s="239">
        <f>COUNTIFS(기출문제!$H:$H,기출빈도!$W44,기출문제!$C:$C,기출빈도!P$3)</f>
        <v>0</v>
      </c>
      <c r="Q44" s="239">
        <f>COUNTIFS(기출문제!$H:$H,기출빈도!$W44,기출문제!$C:$C,기출빈도!Q$3)</f>
        <v>0</v>
      </c>
      <c r="R44" s="239">
        <f>COUNTIFS(기출문제!$H:$H,기출빈도!$W44,기출문제!$C:$C,기출빈도!R$3)</f>
        <v>0</v>
      </c>
      <c r="S44" s="239">
        <f>COUNTIFS(기출문제!$H:$H,기출빈도!$W44,기출문제!$C:$C,기출빈도!S$3)</f>
        <v>0</v>
      </c>
      <c r="T44" s="239">
        <f>COUNTIFS(기출문제!$H:$H,기출빈도!$W44,기출문제!$C:$C,기출빈도!T$3)</f>
        <v>0</v>
      </c>
      <c r="U44" s="240">
        <f>COUNTIFS(기출문제!$H:$H,기출빈도!$W44,기출문제!$C:$C,기출빈도!U$3)</f>
        <v>0</v>
      </c>
      <c r="V44" s="205" t="s">
        <v>3095</v>
      </c>
      <c r="W44" s="118" t="str">
        <f t="shared" si="0"/>
        <v>이자채권</v>
      </c>
    </row>
    <row r="45" spans="2:23" ht="14.45" customHeight="1" x14ac:dyDescent="0.2">
      <c r="B45" s="189" t="s">
        <v>2959</v>
      </c>
      <c r="C45" s="192" t="s">
        <v>2983</v>
      </c>
      <c r="D45" s="183" t="s">
        <v>2978</v>
      </c>
      <c r="E45" s="239">
        <f>COUNTIFS(기출문제!$H:$H,기출빈도!$W45,기출문제!$C:$C,기출빈도!E$3)</f>
        <v>0</v>
      </c>
      <c r="F45" s="239">
        <f>COUNTIFS(기출문제!$H:$H,기출빈도!$W45,기출문제!$C:$C,기출빈도!F$3)</f>
        <v>0</v>
      </c>
      <c r="G45" s="239">
        <f>COUNTIFS(기출문제!$H:$H,기출빈도!$W45,기출문제!$C:$C,기출빈도!G$3)</f>
        <v>0</v>
      </c>
      <c r="H45" s="239">
        <f>COUNTIFS(기출문제!$H:$H,기출빈도!$W45,기출문제!$C:$C,기출빈도!H$3)</f>
        <v>0</v>
      </c>
      <c r="I45" s="239">
        <f>COUNTIFS(기출문제!$H:$H,기출빈도!$W45,기출문제!$C:$C,기출빈도!I$3)</f>
        <v>0</v>
      </c>
      <c r="J45" s="239">
        <f>COUNTIFS(기출문제!$H:$H,기출빈도!$W45,기출문제!$C:$C,기출빈도!J$3)</f>
        <v>0</v>
      </c>
      <c r="K45" s="239">
        <f>COUNTIFS(기출문제!$H:$H,기출빈도!$W45,기출문제!$C:$C,기출빈도!K$3)</f>
        <v>0</v>
      </c>
      <c r="L45" s="239">
        <f>COUNTIFS(기출문제!$H:$H,기출빈도!$W45,기출문제!$C:$C,기출빈도!L$3)</f>
        <v>0</v>
      </c>
      <c r="M45" s="239">
        <f>COUNTIFS(기출문제!$H:$H,기출빈도!$W45,기출문제!$C:$C,기출빈도!M$3)</f>
        <v>0</v>
      </c>
      <c r="N45" s="239">
        <f>COUNTIFS(기출문제!$H:$H,기출빈도!$W45,기출문제!$C:$C,기출빈도!N$3)</f>
        <v>0</v>
      </c>
      <c r="O45" s="239">
        <f>COUNTIFS(기출문제!$H:$H,기출빈도!$W45,기출문제!$C:$C,기출빈도!O$3)</f>
        <v>0</v>
      </c>
      <c r="P45" s="239">
        <f>COUNTIFS(기출문제!$H:$H,기출빈도!$W45,기출문제!$C:$C,기출빈도!P$3)</f>
        <v>0</v>
      </c>
      <c r="Q45" s="239">
        <f>COUNTIFS(기출문제!$H:$H,기출빈도!$W45,기출문제!$C:$C,기출빈도!Q$3)</f>
        <v>0</v>
      </c>
      <c r="R45" s="239">
        <f>COUNTIFS(기출문제!$H:$H,기출빈도!$W45,기출문제!$C:$C,기출빈도!R$3)</f>
        <v>0</v>
      </c>
      <c r="S45" s="239">
        <f>COUNTIFS(기출문제!$H:$H,기출빈도!$W45,기출문제!$C:$C,기출빈도!S$3)</f>
        <v>0</v>
      </c>
      <c r="T45" s="239">
        <f>COUNTIFS(기출문제!$H:$H,기출빈도!$W45,기출문제!$C:$C,기출빈도!T$3)</f>
        <v>0</v>
      </c>
      <c r="U45" s="240">
        <f>COUNTIFS(기출문제!$H:$H,기출빈도!$W45,기출문제!$C:$C,기출빈도!U$3)</f>
        <v>0</v>
      </c>
      <c r="V45" s="205" t="s">
        <v>3096</v>
      </c>
      <c r="W45" s="118" t="str">
        <f t="shared" si="0"/>
        <v>선택채권</v>
      </c>
    </row>
    <row r="46" spans="2:23" ht="14.45" customHeight="1" x14ac:dyDescent="0.2">
      <c r="B46" s="189" t="s">
        <v>2959</v>
      </c>
      <c r="C46" s="192" t="s">
        <v>2983</v>
      </c>
      <c r="D46" s="183" t="s">
        <v>2980</v>
      </c>
      <c r="E46" s="239">
        <f>COUNTIFS(기출문제!$H:$H,기출빈도!$W46,기출문제!$C:$C,기출빈도!E$3)</f>
        <v>0</v>
      </c>
      <c r="F46" s="239">
        <f>COUNTIFS(기출문제!$H:$H,기출빈도!$W46,기출문제!$C:$C,기출빈도!F$3)</f>
        <v>0</v>
      </c>
      <c r="G46" s="239">
        <f>COUNTIFS(기출문제!$H:$H,기출빈도!$W46,기출문제!$C:$C,기출빈도!G$3)</f>
        <v>0</v>
      </c>
      <c r="H46" s="239">
        <f>COUNTIFS(기출문제!$H:$H,기출빈도!$W46,기출문제!$C:$C,기출빈도!H$3)</f>
        <v>0</v>
      </c>
      <c r="I46" s="239">
        <f>COUNTIFS(기출문제!$H:$H,기출빈도!$W46,기출문제!$C:$C,기출빈도!I$3)</f>
        <v>0</v>
      </c>
      <c r="J46" s="239">
        <f>COUNTIFS(기출문제!$H:$H,기출빈도!$W46,기출문제!$C:$C,기출빈도!J$3)</f>
        <v>0</v>
      </c>
      <c r="K46" s="239">
        <f>COUNTIFS(기출문제!$H:$H,기출빈도!$W46,기출문제!$C:$C,기출빈도!K$3)</f>
        <v>0</v>
      </c>
      <c r="L46" s="239">
        <f>COUNTIFS(기출문제!$H:$H,기출빈도!$W46,기출문제!$C:$C,기출빈도!L$3)</f>
        <v>0</v>
      </c>
      <c r="M46" s="239">
        <f>COUNTIFS(기출문제!$H:$H,기출빈도!$W46,기출문제!$C:$C,기출빈도!M$3)</f>
        <v>0</v>
      </c>
      <c r="N46" s="239">
        <f>COUNTIFS(기출문제!$H:$H,기출빈도!$W46,기출문제!$C:$C,기출빈도!N$3)</f>
        <v>0</v>
      </c>
      <c r="O46" s="239">
        <f>COUNTIFS(기출문제!$H:$H,기출빈도!$W46,기출문제!$C:$C,기출빈도!O$3)</f>
        <v>0</v>
      </c>
      <c r="P46" s="239">
        <f>COUNTIFS(기출문제!$H:$H,기출빈도!$W46,기출문제!$C:$C,기출빈도!P$3)</f>
        <v>0</v>
      </c>
      <c r="Q46" s="239">
        <f>COUNTIFS(기출문제!$H:$H,기출빈도!$W46,기출문제!$C:$C,기출빈도!Q$3)</f>
        <v>0</v>
      </c>
      <c r="R46" s="239">
        <f>COUNTIFS(기출문제!$H:$H,기출빈도!$W46,기출문제!$C:$C,기출빈도!R$3)</f>
        <v>0</v>
      </c>
      <c r="S46" s="239">
        <f>COUNTIFS(기출문제!$H:$H,기출빈도!$W46,기출문제!$C:$C,기출빈도!S$3)</f>
        <v>0</v>
      </c>
      <c r="T46" s="239">
        <f>COUNTIFS(기출문제!$H:$H,기출빈도!$W46,기출문제!$C:$C,기출빈도!T$3)</f>
        <v>0</v>
      </c>
      <c r="U46" s="240">
        <f>COUNTIFS(기출문제!$H:$H,기출빈도!$W46,기출문제!$C:$C,기출빈도!U$3)</f>
        <v>0</v>
      </c>
      <c r="V46" s="205" t="s">
        <v>3097</v>
      </c>
      <c r="W46" s="118" t="str">
        <f t="shared" si="0"/>
        <v>임의채권</v>
      </c>
    </row>
    <row r="47" spans="2:23" ht="14.45" customHeight="1" thickBot="1" x14ac:dyDescent="0.25">
      <c r="B47" s="189" t="s">
        <v>2959</v>
      </c>
      <c r="C47" s="145" t="s">
        <v>2983</v>
      </c>
      <c r="D47" s="198" t="s">
        <v>3491</v>
      </c>
      <c r="E47" s="241">
        <f>SUM(E41:E46)</f>
        <v>0</v>
      </c>
      <c r="F47" s="241">
        <f t="shared" ref="F47:U47" si="11">SUM(F41:F46)</f>
        <v>0</v>
      </c>
      <c r="G47" s="241">
        <f t="shared" si="11"/>
        <v>0</v>
      </c>
      <c r="H47" s="241">
        <f t="shared" si="11"/>
        <v>0</v>
      </c>
      <c r="I47" s="241">
        <f t="shared" si="11"/>
        <v>0</v>
      </c>
      <c r="J47" s="241">
        <f t="shared" si="11"/>
        <v>0</v>
      </c>
      <c r="K47" s="241">
        <f t="shared" si="11"/>
        <v>0</v>
      </c>
      <c r="L47" s="241">
        <f t="shared" si="11"/>
        <v>0</v>
      </c>
      <c r="M47" s="241">
        <f t="shared" si="11"/>
        <v>0</v>
      </c>
      <c r="N47" s="241">
        <f t="shared" si="11"/>
        <v>0</v>
      </c>
      <c r="O47" s="241">
        <f t="shared" si="11"/>
        <v>0</v>
      </c>
      <c r="P47" s="241">
        <f t="shared" si="11"/>
        <v>0</v>
      </c>
      <c r="Q47" s="241">
        <f t="shared" si="11"/>
        <v>0</v>
      </c>
      <c r="R47" s="241">
        <f t="shared" si="11"/>
        <v>0</v>
      </c>
      <c r="S47" s="241">
        <f t="shared" si="11"/>
        <v>0</v>
      </c>
      <c r="T47" s="241">
        <f t="shared" si="11"/>
        <v>0</v>
      </c>
      <c r="U47" s="242">
        <f t="shared" si="11"/>
        <v>0</v>
      </c>
      <c r="V47" s="206"/>
      <c r="W47" s="118" t="str">
        <f t="shared" si="0"/>
        <v/>
      </c>
    </row>
    <row r="48" spans="2:23" ht="14.45" customHeight="1" x14ac:dyDescent="0.2">
      <c r="B48" s="189" t="s">
        <v>2959</v>
      </c>
      <c r="C48" s="190" t="s">
        <v>2982</v>
      </c>
      <c r="D48" s="187" t="s">
        <v>3460</v>
      </c>
      <c r="E48" s="243">
        <f>COUNTIFS(기출문제!$H:$H,기출빈도!$W48,기출문제!$C:$C,기출빈도!E$3)</f>
        <v>0</v>
      </c>
      <c r="F48" s="243">
        <f>COUNTIFS(기출문제!$H:$H,기출빈도!$W48,기출문제!$C:$C,기출빈도!F$3)</f>
        <v>0</v>
      </c>
      <c r="G48" s="243">
        <f>COUNTIFS(기출문제!$H:$H,기출빈도!$W48,기출문제!$C:$C,기출빈도!G$3)</f>
        <v>0</v>
      </c>
      <c r="H48" s="243">
        <f>COUNTIFS(기출문제!$H:$H,기출빈도!$W48,기출문제!$C:$C,기출빈도!H$3)</f>
        <v>0</v>
      </c>
      <c r="I48" s="243">
        <f>COUNTIFS(기출문제!$H:$H,기출빈도!$W48,기출문제!$C:$C,기출빈도!I$3)</f>
        <v>0</v>
      </c>
      <c r="J48" s="243">
        <f>COUNTIFS(기출문제!$H:$H,기출빈도!$W48,기출문제!$C:$C,기출빈도!J$3)</f>
        <v>0</v>
      </c>
      <c r="K48" s="243">
        <f>COUNTIFS(기출문제!$H:$H,기출빈도!$W48,기출문제!$C:$C,기출빈도!K$3)</f>
        <v>0</v>
      </c>
      <c r="L48" s="243">
        <f>COUNTIFS(기출문제!$H:$H,기출빈도!$W48,기출문제!$C:$C,기출빈도!L$3)</f>
        <v>0</v>
      </c>
      <c r="M48" s="243">
        <f>COUNTIFS(기출문제!$H:$H,기출빈도!$W48,기출문제!$C:$C,기출빈도!M$3)</f>
        <v>0</v>
      </c>
      <c r="N48" s="243">
        <f>COUNTIFS(기출문제!$H:$H,기출빈도!$W48,기출문제!$C:$C,기출빈도!N$3)</f>
        <v>0</v>
      </c>
      <c r="O48" s="243">
        <f>COUNTIFS(기출문제!$H:$H,기출빈도!$W48,기출문제!$C:$C,기출빈도!O$3)</f>
        <v>0</v>
      </c>
      <c r="P48" s="243">
        <f>COUNTIFS(기출문제!$H:$H,기출빈도!$W48,기출문제!$C:$C,기출빈도!P$3)</f>
        <v>0</v>
      </c>
      <c r="Q48" s="243">
        <f>COUNTIFS(기출문제!$H:$H,기출빈도!$W48,기출문제!$C:$C,기출빈도!Q$3)</f>
        <v>0</v>
      </c>
      <c r="R48" s="243">
        <f>COUNTIFS(기출문제!$H:$H,기출빈도!$W48,기출문제!$C:$C,기출빈도!R$3)</f>
        <v>0</v>
      </c>
      <c r="S48" s="243">
        <f>COUNTIFS(기출문제!$H:$H,기출빈도!$W48,기출문제!$C:$C,기출빈도!S$3)</f>
        <v>0</v>
      </c>
      <c r="T48" s="243">
        <f>COUNTIFS(기출문제!$H:$H,기출빈도!$W48,기출문제!$C:$C,기출빈도!T$3)</f>
        <v>0</v>
      </c>
      <c r="U48" s="244">
        <f>COUNTIFS(기출문제!$H:$H,기출빈도!$W48,기출문제!$C:$C,기출빈도!U$3)</f>
        <v>0</v>
      </c>
      <c r="V48" s="204" t="s">
        <v>3484</v>
      </c>
      <c r="W48" s="118" t="str">
        <f t="shared" si="0"/>
        <v>채권효력 서설</v>
      </c>
    </row>
    <row r="49" spans="2:23" ht="14.45" customHeight="1" x14ac:dyDescent="0.2">
      <c r="B49" s="189" t="s">
        <v>2959</v>
      </c>
      <c r="C49" s="192" t="s">
        <v>2981</v>
      </c>
      <c r="D49" s="182" t="s">
        <v>2986</v>
      </c>
      <c r="E49" s="239">
        <f>COUNTIFS(기출문제!$H:$H,기출빈도!$W49,기출문제!$C:$C,기출빈도!E$3)</f>
        <v>0</v>
      </c>
      <c r="F49" s="239">
        <f>COUNTIFS(기출문제!$H:$H,기출빈도!$W49,기출문제!$C:$C,기출빈도!F$3)</f>
        <v>0</v>
      </c>
      <c r="G49" s="239">
        <f>COUNTIFS(기출문제!$H:$H,기출빈도!$W49,기출문제!$C:$C,기출빈도!G$3)</f>
        <v>0</v>
      </c>
      <c r="H49" s="239">
        <f>COUNTIFS(기출문제!$H:$H,기출빈도!$W49,기출문제!$C:$C,기출빈도!H$3)</f>
        <v>0</v>
      </c>
      <c r="I49" s="239">
        <f>COUNTIFS(기출문제!$H:$H,기출빈도!$W49,기출문제!$C:$C,기출빈도!I$3)</f>
        <v>0</v>
      </c>
      <c r="J49" s="239">
        <f>COUNTIFS(기출문제!$H:$H,기출빈도!$W49,기출문제!$C:$C,기출빈도!J$3)</f>
        <v>0</v>
      </c>
      <c r="K49" s="239">
        <f>COUNTIFS(기출문제!$H:$H,기출빈도!$W49,기출문제!$C:$C,기출빈도!K$3)</f>
        <v>0</v>
      </c>
      <c r="L49" s="239">
        <f>COUNTIFS(기출문제!$H:$H,기출빈도!$W49,기출문제!$C:$C,기출빈도!L$3)</f>
        <v>0</v>
      </c>
      <c r="M49" s="239">
        <f>COUNTIFS(기출문제!$H:$H,기출빈도!$W49,기출문제!$C:$C,기출빈도!M$3)</f>
        <v>0</v>
      </c>
      <c r="N49" s="239">
        <f>COUNTIFS(기출문제!$H:$H,기출빈도!$W49,기출문제!$C:$C,기출빈도!N$3)</f>
        <v>0</v>
      </c>
      <c r="O49" s="239">
        <f>COUNTIFS(기출문제!$H:$H,기출빈도!$W49,기출문제!$C:$C,기출빈도!O$3)</f>
        <v>0</v>
      </c>
      <c r="P49" s="239">
        <f>COUNTIFS(기출문제!$H:$H,기출빈도!$W49,기출문제!$C:$C,기출빈도!P$3)</f>
        <v>0</v>
      </c>
      <c r="Q49" s="239">
        <f>COUNTIFS(기출문제!$H:$H,기출빈도!$W49,기출문제!$C:$C,기출빈도!Q$3)</f>
        <v>0</v>
      </c>
      <c r="R49" s="239">
        <f>COUNTIFS(기출문제!$H:$H,기출빈도!$W49,기출문제!$C:$C,기출빈도!R$3)</f>
        <v>0</v>
      </c>
      <c r="S49" s="239">
        <f>COUNTIFS(기출문제!$H:$H,기출빈도!$W49,기출문제!$C:$C,기출빈도!S$3)</f>
        <v>0</v>
      </c>
      <c r="T49" s="239">
        <f>COUNTIFS(기출문제!$H:$H,기출빈도!$W49,기출문제!$C:$C,기출빈도!T$3)</f>
        <v>0</v>
      </c>
      <c r="U49" s="240">
        <f>COUNTIFS(기출문제!$H:$H,기출빈도!$W49,기출문제!$C:$C,기출빈도!U$3)</f>
        <v>0</v>
      </c>
      <c r="V49" s="205" t="s">
        <v>3098</v>
      </c>
      <c r="W49" s="118" t="str">
        <f t="shared" si="0"/>
        <v>채무불이행의 유형과 그 효과</v>
      </c>
    </row>
    <row r="50" spans="2:23" ht="14.45" customHeight="1" x14ac:dyDescent="0.2">
      <c r="B50" s="189" t="s">
        <v>2959</v>
      </c>
      <c r="C50" s="192" t="s">
        <v>2981</v>
      </c>
      <c r="D50" s="182" t="s">
        <v>2988</v>
      </c>
      <c r="E50" s="239">
        <f>COUNTIFS(기출문제!$H:$H,기출빈도!$W50,기출문제!$C:$C,기출빈도!E$3)</f>
        <v>0</v>
      </c>
      <c r="F50" s="239">
        <f>COUNTIFS(기출문제!$H:$H,기출빈도!$W50,기출문제!$C:$C,기출빈도!F$3)</f>
        <v>0</v>
      </c>
      <c r="G50" s="239">
        <f>COUNTIFS(기출문제!$H:$H,기출빈도!$W50,기출문제!$C:$C,기출빈도!G$3)</f>
        <v>0</v>
      </c>
      <c r="H50" s="239">
        <f>COUNTIFS(기출문제!$H:$H,기출빈도!$W50,기출문제!$C:$C,기출빈도!H$3)</f>
        <v>0</v>
      </c>
      <c r="I50" s="239">
        <f>COUNTIFS(기출문제!$H:$H,기출빈도!$W50,기출문제!$C:$C,기출빈도!I$3)</f>
        <v>0</v>
      </c>
      <c r="J50" s="239">
        <f>COUNTIFS(기출문제!$H:$H,기출빈도!$W50,기출문제!$C:$C,기출빈도!J$3)</f>
        <v>0</v>
      </c>
      <c r="K50" s="239">
        <f>COUNTIFS(기출문제!$H:$H,기출빈도!$W50,기출문제!$C:$C,기출빈도!K$3)</f>
        <v>0</v>
      </c>
      <c r="L50" s="239">
        <f>COUNTIFS(기출문제!$H:$H,기출빈도!$W50,기출문제!$C:$C,기출빈도!L$3)</f>
        <v>0</v>
      </c>
      <c r="M50" s="239">
        <f>COUNTIFS(기출문제!$H:$H,기출빈도!$W50,기출문제!$C:$C,기출빈도!M$3)</f>
        <v>0</v>
      </c>
      <c r="N50" s="239">
        <f>COUNTIFS(기출문제!$H:$H,기출빈도!$W50,기출문제!$C:$C,기출빈도!N$3)</f>
        <v>0</v>
      </c>
      <c r="O50" s="239">
        <f>COUNTIFS(기출문제!$H:$H,기출빈도!$W50,기출문제!$C:$C,기출빈도!O$3)</f>
        <v>0</v>
      </c>
      <c r="P50" s="239">
        <f>COUNTIFS(기출문제!$H:$H,기출빈도!$W50,기출문제!$C:$C,기출빈도!P$3)</f>
        <v>0</v>
      </c>
      <c r="Q50" s="239">
        <f>COUNTIFS(기출문제!$H:$H,기출빈도!$W50,기출문제!$C:$C,기출빈도!Q$3)</f>
        <v>0</v>
      </c>
      <c r="R50" s="239">
        <f>COUNTIFS(기출문제!$H:$H,기출빈도!$W50,기출문제!$C:$C,기출빈도!R$3)</f>
        <v>0</v>
      </c>
      <c r="S50" s="239">
        <f>COUNTIFS(기출문제!$H:$H,기출빈도!$W50,기출문제!$C:$C,기출빈도!S$3)</f>
        <v>0</v>
      </c>
      <c r="T50" s="239">
        <f>COUNTIFS(기출문제!$H:$H,기출빈도!$W50,기출문제!$C:$C,기출빈도!T$3)</f>
        <v>0</v>
      </c>
      <c r="U50" s="240">
        <f>COUNTIFS(기출문제!$H:$H,기출빈도!$W50,기출문제!$C:$C,기출빈도!U$3)</f>
        <v>0</v>
      </c>
      <c r="V50" s="205" t="s">
        <v>3099</v>
      </c>
      <c r="W50" s="118" t="str">
        <f t="shared" si="0"/>
        <v>채권의 대외적 효력(제3자 채권침해)</v>
      </c>
    </row>
    <row r="51" spans="2:23" ht="14.45" customHeight="1" x14ac:dyDescent="0.2">
      <c r="B51" s="189" t="s">
        <v>2959</v>
      </c>
      <c r="C51" s="192" t="s">
        <v>2981</v>
      </c>
      <c r="D51" s="182" t="s">
        <v>2990</v>
      </c>
      <c r="E51" s="239">
        <f>COUNTIFS(기출문제!$H:$H,기출빈도!$W51,기출문제!$C:$C,기출빈도!E$3)</f>
        <v>0</v>
      </c>
      <c r="F51" s="239">
        <f>COUNTIFS(기출문제!$H:$H,기출빈도!$W51,기출문제!$C:$C,기출빈도!F$3)</f>
        <v>0</v>
      </c>
      <c r="G51" s="239">
        <f>COUNTIFS(기출문제!$H:$H,기출빈도!$W51,기출문제!$C:$C,기출빈도!G$3)</f>
        <v>0</v>
      </c>
      <c r="H51" s="239">
        <f>COUNTIFS(기출문제!$H:$H,기출빈도!$W51,기출문제!$C:$C,기출빈도!H$3)</f>
        <v>0</v>
      </c>
      <c r="I51" s="239">
        <f>COUNTIFS(기출문제!$H:$H,기출빈도!$W51,기출문제!$C:$C,기출빈도!I$3)</f>
        <v>0</v>
      </c>
      <c r="J51" s="239">
        <f>COUNTIFS(기출문제!$H:$H,기출빈도!$W51,기출문제!$C:$C,기출빈도!J$3)</f>
        <v>0</v>
      </c>
      <c r="K51" s="239">
        <f>COUNTIFS(기출문제!$H:$H,기출빈도!$W51,기출문제!$C:$C,기출빈도!K$3)</f>
        <v>0</v>
      </c>
      <c r="L51" s="239">
        <f>COUNTIFS(기출문제!$H:$H,기출빈도!$W51,기출문제!$C:$C,기출빈도!L$3)</f>
        <v>0</v>
      </c>
      <c r="M51" s="239">
        <f>COUNTIFS(기출문제!$H:$H,기출빈도!$W51,기출문제!$C:$C,기출빈도!M$3)</f>
        <v>0</v>
      </c>
      <c r="N51" s="239">
        <f>COUNTIFS(기출문제!$H:$H,기출빈도!$W51,기출문제!$C:$C,기출빈도!N$3)</f>
        <v>0</v>
      </c>
      <c r="O51" s="239">
        <f>COUNTIFS(기출문제!$H:$H,기출빈도!$W51,기출문제!$C:$C,기출빈도!O$3)</f>
        <v>0</v>
      </c>
      <c r="P51" s="239">
        <f>COUNTIFS(기출문제!$H:$H,기출빈도!$W51,기출문제!$C:$C,기출빈도!P$3)</f>
        <v>0</v>
      </c>
      <c r="Q51" s="239">
        <f>COUNTIFS(기출문제!$H:$H,기출빈도!$W51,기출문제!$C:$C,기출빈도!Q$3)</f>
        <v>0</v>
      </c>
      <c r="R51" s="239">
        <f>COUNTIFS(기출문제!$H:$H,기출빈도!$W51,기출문제!$C:$C,기출빈도!R$3)</f>
        <v>0</v>
      </c>
      <c r="S51" s="239">
        <f>COUNTIFS(기출문제!$H:$H,기출빈도!$W51,기출문제!$C:$C,기출빈도!S$3)</f>
        <v>0</v>
      </c>
      <c r="T51" s="239">
        <f>COUNTIFS(기출문제!$H:$H,기출빈도!$W51,기출문제!$C:$C,기출빈도!T$3)</f>
        <v>0</v>
      </c>
      <c r="U51" s="240">
        <f>COUNTIFS(기출문제!$H:$H,기출빈도!$W51,기출문제!$C:$C,기출빈도!U$3)</f>
        <v>0</v>
      </c>
      <c r="V51" s="205" t="s">
        <v>3100</v>
      </c>
      <c r="W51" s="118" t="str">
        <f t="shared" si="0"/>
        <v>책임재산의 보전</v>
      </c>
    </row>
    <row r="52" spans="2:23" ht="14.45" customHeight="1" thickBot="1" x14ac:dyDescent="0.25">
      <c r="B52" s="189" t="s">
        <v>2959</v>
      </c>
      <c r="C52" s="145" t="s">
        <v>2981</v>
      </c>
      <c r="D52" s="198" t="s">
        <v>3491</v>
      </c>
      <c r="E52" s="241">
        <f>SUM(E48:E51)</f>
        <v>0</v>
      </c>
      <c r="F52" s="241">
        <f t="shared" ref="F52:U52" si="12">SUM(F48:F51)</f>
        <v>0</v>
      </c>
      <c r="G52" s="241">
        <f t="shared" si="12"/>
        <v>0</v>
      </c>
      <c r="H52" s="241">
        <f t="shared" si="12"/>
        <v>0</v>
      </c>
      <c r="I52" s="241">
        <f t="shared" si="12"/>
        <v>0</v>
      </c>
      <c r="J52" s="241">
        <f t="shared" si="12"/>
        <v>0</v>
      </c>
      <c r="K52" s="241">
        <f t="shared" si="12"/>
        <v>0</v>
      </c>
      <c r="L52" s="241">
        <f t="shared" si="12"/>
        <v>0</v>
      </c>
      <c r="M52" s="241">
        <f t="shared" si="12"/>
        <v>0</v>
      </c>
      <c r="N52" s="241">
        <f t="shared" si="12"/>
        <v>0</v>
      </c>
      <c r="O52" s="241">
        <f t="shared" si="12"/>
        <v>0</v>
      </c>
      <c r="P52" s="241">
        <f t="shared" si="12"/>
        <v>0</v>
      </c>
      <c r="Q52" s="241">
        <f t="shared" si="12"/>
        <v>0</v>
      </c>
      <c r="R52" s="241">
        <f t="shared" si="12"/>
        <v>0</v>
      </c>
      <c r="S52" s="241">
        <f t="shared" si="12"/>
        <v>0</v>
      </c>
      <c r="T52" s="241">
        <f t="shared" si="12"/>
        <v>0</v>
      </c>
      <c r="U52" s="242">
        <f t="shared" si="12"/>
        <v>0</v>
      </c>
      <c r="V52" s="206"/>
      <c r="W52" s="118" t="str">
        <f t="shared" si="0"/>
        <v/>
      </c>
    </row>
    <row r="53" spans="2:23" ht="14.45" customHeight="1" x14ac:dyDescent="0.2">
      <c r="B53" s="189" t="s">
        <v>2959</v>
      </c>
      <c r="C53" s="190" t="s">
        <v>2992</v>
      </c>
      <c r="D53" s="187" t="s">
        <v>3463</v>
      </c>
      <c r="E53" s="243">
        <f>COUNTIFS(기출문제!$H:$H,기출빈도!$W53,기출문제!$C:$C,기출빈도!E$3)</f>
        <v>0</v>
      </c>
      <c r="F53" s="243">
        <f>COUNTIFS(기출문제!$H:$H,기출빈도!$W53,기출문제!$C:$C,기출빈도!F$3)</f>
        <v>0</v>
      </c>
      <c r="G53" s="243">
        <f>COUNTIFS(기출문제!$H:$H,기출빈도!$W53,기출문제!$C:$C,기출빈도!G$3)</f>
        <v>0</v>
      </c>
      <c r="H53" s="243">
        <f>COUNTIFS(기출문제!$H:$H,기출빈도!$W53,기출문제!$C:$C,기출빈도!H$3)</f>
        <v>0</v>
      </c>
      <c r="I53" s="243">
        <f>COUNTIFS(기출문제!$H:$H,기출빈도!$W53,기출문제!$C:$C,기출빈도!I$3)</f>
        <v>0</v>
      </c>
      <c r="J53" s="243">
        <f>COUNTIFS(기출문제!$H:$H,기출빈도!$W53,기출문제!$C:$C,기출빈도!J$3)</f>
        <v>0</v>
      </c>
      <c r="K53" s="243">
        <f>COUNTIFS(기출문제!$H:$H,기출빈도!$W53,기출문제!$C:$C,기출빈도!K$3)</f>
        <v>0</v>
      </c>
      <c r="L53" s="243">
        <f>COUNTIFS(기출문제!$H:$H,기출빈도!$W53,기출문제!$C:$C,기출빈도!L$3)</f>
        <v>0</v>
      </c>
      <c r="M53" s="243">
        <f>COUNTIFS(기출문제!$H:$H,기출빈도!$W53,기출문제!$C:$C,기출빈도!M$3)</f>
        <v>0</v>
      </c>
      <c r="N53" s="243">
        <f>COUNTIFS(기출문제!$H:$H,기출빈도!$W53,기출문제!$C:$C,기출빈도!N$3)</f>
        <v>0</v>
      </c>
      <c r="O53" s="243">
        <f>COUNTIFS(기출문제!$H:$H,기출빈도!$W53,기출문제!$C:$C,기출빈도!O$3)</f>
        <v>0</v>
      </c>
      <c r="P53" s="243">
        <f>COUNTIFS(기출문제!$H:$H,기출빈도!$W53,기출문제!$C:$C,기출빈도!P$3)</f>
        <v>0</v>
      </c>
      <c r="Q53" s="243">
        <f>COUNTIFS(기출문제!$H:$H,기출빈도!$W53,기출문제!$C:$C,기출빈도!Q$3)</f>
        <v>0</v>
      </c>
      <c r="R53" s="243">
        <f>COUNTIFS(기출문제!$H:$H,기출빈도!$W53,기출문제!$C:$C,기출빈도!R$3)</f>
        <v>0</v>
      </c>
      <c r="S53" s="243">
        <f>COUNTIFS(기출문제!$H:$H,기출빈도!$W53,기출문제!$C:$C,기출빈도!S$3)</f>
        <v>0</v>
      </c>
      <c r="T53" s="243">
        <f>COUNTIFS(기출문제!$H:$H,기출빈도!$W53,기출문제!$C:$C,기출빈도!T$3)</f>
        <v>0</v>
      </c>
      <c r="U53" s="244">
        <f>COUNTIFS(기출문제!$H:$H,기출빈도!$W53,기출문제!$C:$C,기출빈도!U$3)</f>
        <v>0</v>
      </c>
      <c r="V53" s="204" t="s">
        <v>3485</v>
      </c>
      <c r="W53" s="118" t="str">
        <f t="shared" si="0"/>
        <v>다수당사자 채권관계 서설</v>
      </c>
    </row>
    <row r="54" spans="2:23" ht="14.45" customHeight="1" x14ac:dyDescent="0.2">
      <c r="B54" s="189" t="s">
        <v>2959</v>
      </c>
      <c r="C54" s="192" t="s">
        <v>2991</v>
      </c>
      <c r="D54" s="182" t="s">
        <v>2994</v>
      </c>
      <c r="E54" s="239">
        <f>COUNTIFS(기출문제!$H:$H,기출빈도!$W54,기출문제!$C:$C,기출빈도!E$3)</f>
        <v>0</v>
      </c>
      <c r="F54" s="239">
        <f>COUNTIFS(기출문제!$H:$H,기출빈도!$W54,기출문제!$C:$C,기출빈도!F$3)</f>
        <v>0</v>
      </c>
      <c r="G54" s="239">
        <f>COUNTIFS(기출문제!$H:$H,기출빈도!$W54,기출문제!$C:$C,기출빈도!G$3)</f>
        <v>0</v>
      </c>
      <c r="H54" s="239">
        <f>COUNTIFS(기출문제!$H:$H,기출빈도!$W54,기출문제!$C:$C,기출빈도!H$3)</f>
        <v>0</v>
      </c>
      <c r="I54" s="239">
        <f>COUNTIFS(기출문제!$H:$H,기출빈도!$W54,기출문제!$C:$C,기출빈도!I$3)</f>
        <v>0</v>
      </c>
      <c r="J54" s="239">
        <f>COUNTIFS(기출문제!$H:$H,기출빈도!$W54,기출문제!$C:$C,기출빈도!J$3)</f>
        <v>0</v>
      </c>
      <c r="K54" s="239">
        <f>COUNTIFS(기출문제!$H:$H,기출빈도!$W54,기출문제!$C:$C,기출빈도!K$3)</f>
        <v>0</v>
      </c>
      <c r="L54" s="239">
        <f>COUNTIFS(기출문제!$H:$H,기출빈도!$W54,기출문제!$C:$C,기출빈도!L$3)</f>
        <v>0</v>
      </c>
      <c r="M54" s="239">
        <f>COUNTIFS(기출문제!$H:$H,기출빈도!$W54,기출문제!$C:$C,기출빈도!M$3)</f>
        <v>0</v>
      </c>
      <c r="N54" s="239">
        <f>COUNTIFS(기출문제!$H:$H,기출빈도!$W54,기출문제!$C:$C,기출빈도!N$3)</f>
        <v>0</v>
      </c>
      <c r="O54" s="239">
        <f>COUNTIFS(기출문제!$H:$H,기출빈도!$W54,기출문제!$C:$C,기출빈도!O$3)</f>
        <v>0</v>
      </c>
      <c r="P54" s="239">
        <f>COUNTIFS(기출문제!$H:$H,기출빈도!$W54,기출문제!$C:$C,기출빈도!P$3)</f>
        <v>0</v>
      </c>
      <c r="Q54" s="239">
        <f>COUNTIFS(기출문제!$H:$H,기출빈도!$W54,기출문제!$C:$C,기출빈도!Q$3)</f>
        <v>0</v>
      </c>
      <c r="R54" s="239">
        <f>COUNTIFS(기출문제!$H:$H,기출빈도!$W54,기출문제!$C:$C,기출빈도!R$3)</f>
        <v>0</v>
      </c>
      <c r="S54" s="239">
        <f>COUNTIFS(기출문제!$H:$H,기출빈도!$W54,기출문제!$C:$C,기출빈도!S$3)</f>
        <v>0</v>
      </c>
      <c r="T54" s="239">
        <f>COUNTIFS(기출문제!$H:$H,기출빈도!$W54,기출문제!$C:$C,기출빈도!T$3)</f>
        <v>0</v>
      </c>
      <c r="U54" s="240">
        <f>COUNTIFS(기출문제!$H:$H,기출빈도!$W54,기출문제!$C:$C,기출빈도!U$3)</f>
        <v>0</v>
      </c>
      <c r="V54" s="205" t="s">
        <v>3101</v>
      </c>
      <c r="W54" s="118" t="str">
        <f t="shared" si="0"/>
        <v>분할채권관계</v>
      </c>
    </row>
    <row r="55" spans="2:23" ht="14.45" customHeight="1" x14ac:dyDescent="0.2">
      <c r="B55" s="189" t="s">
        <v>2959</v>
      </c>
      <c r="C55" s="192" t="s">
        <v>2991</v>
      </c>
      <c r="D55" s="182" t="s">
        <v>2996</v>
      </c>
      <c r="E55" s="239">
        <f>COUNTIFS(기출문제!$H:$H,기출빈도!$W55,기출문제!$C:$C,기출빈도!E$3)</f>
        <v>0</v>
      </c>
      <c r="F55" s="239">
        <f>COUNTIFS(기출문제!$H:$H,기출빈도!$W55,기출문제!$C:$C,기출빈도!F$3)</f>
        <v>0</v>
      </c>
      <c r="G55" s="239">
        <f>COUNTIFS(기출문제!$H:$H,기출빈도!$W55,기출문제!$C:$C,기출빈도!G$3)</f>
        <v>0</v>
      </c>
      <c r="H55" s="239">
        <f>COUNTIFS(기출문제!$H:$H,기출빈도!$W55,기출문제!$C:$C,기출빈도!H$3)</f>
        <v>0</v>
      </c>
      <c r="I55" s="239">
        <f>COUNTIFS(기출문제!$H:$H,기출빈도!$W55,기출문제!$C:$C,기출빈도!I$3)</f>
        <v>0</v>
      </c>
      <c r="J55" s="239">
        <f>COUNTIFS(기출문제!$H:$H,기출빈도!$W55,기출문제!$C:$C,기출빈도!J$3)</f>
        <v>0</v>
      </c>
      <c r="K55" s="239">
        <f>COUNTIFS(기출문제!$H:$H,기출빈도!$W55,기출문제!$C:$C,기출빈도!K$3)</f>
        <v>0</v>
      </c>
      <c r="L55" s="239">
        <f>COUNTIFS(기출문제!$H:$H,기출빈도!$W55,기출문제!$C:$C,기출빈도!L$3)</f>
        <v>0</v>
      </c>
      <c r="M55" s="239">
        <f>COUNTIFS(기출문제!$H:$H,기출빈도!$W55,기출문제!$C:$C,기출빈도!M$3)</f>
        <v>0</v>
      </c>
      <c r="N55" s="239">
        <f>COUNTIFS(기출문제!$H:$H,기출빈도!$W55,기출문제!$C:$C,기출빈도!N$3)</f>
        <v>0</v>
      </c>
      <c r="O55" s="239">
        <f>COUNTIFS(기출문제!$H:$H,기출빈도!$W55,기출문제!$C:$C,기출빈도!O$3)</f>
        <v>0</v>
      </c>
      <c r="P55" s="239">
        <f>COUNTIFS(기출문제!$H:$H,기출빈도!$W55,기출문제!$C:$C,기출빈도!P$3)</f>
        <v>0</v>
      </c>
      <c r="Q55" s="239">
        <f>COUNTIFS(기출문제!$H:$H,기출빈도!$W55,기출문제!$C:$C,기출빈도!Q$3)</f>
        <v>0</v>
      </c>
      <c r="R55" s="239">
        <f>COUNTIFS(기출문제!$H:$H,기출빈도!$W55,기출문제!$C:$C,기출빈도!R$3)</f>
        <v>0</v>
      </c>
      <c r="S55" s="239">
        <f>COUNTIFS(기출문제!$H:$H,기출빈도!$W55,기출문제!$C:$C,기출빈도!S$3)</f>
        <v>0</v>
      </c>
      <c r="T55" s="239">
        <f>COUNTIFS(기출문제!$H:$H,기출빈도!$W55,기출문제!$C:$C,기출빈도!T$3)</f>
        <v>0</v>
      </c>
      <c r="U55" s="240">
        <f>COUNTIFS(기출문제!$H:$H,기출빈도!$W55,기출문제!$C:$C,기출빈도!U$3)</f>
        <v>0</v>
      </c>
      <c r="V55" s="205" t="s">
        <v>3102</v>
      </c>
      <c r="W55" s="118" t="str">
        <f t="shared" si="0"/>
        <v>불가분채권관계</v>
      </c>
    </row>
    <row r="56" spans="2:23" ht="14.45" customHeight="1" x14ac:dyDescent="0.2">
      <c r="B56" s="189" t="s">
        <v>2959</v>
      </c>
      <c r="C56" s="192" t="s">
        <v>2991</v>
      </c>
      <c r="D56" s="182" t="s">
        <v>2998</v>
      </c>
      <c r="E56" s="239">
        <f>COUNTIFS(기출문제!$H:$H,기출빈도!$W56,기출문제!$C:$C,기출빈도!E$3)</f>
        <v>0</v>
      </c>
      <c r="F56" s="239">
        <f>COUNTIFS(기출문제!$H:$H,기출빈도!$W56,기출문제!$C:$C,기출빈도!F$3)</f>
        <v>0</v>
      </c>
      <c r="G56" s="239">
        <f>COUNTIFS(기출문제!$H:$H,기출빈도!$W56,기출문제!$C:$C,기출빈도!G$3)</f>
        <v>0</v>
      </c>
      <c r="H56" s="239">
        <f>COUNTIFS(기출문제!$H:$H,기출빈도!$W56,기출문제!$C:$C,기출빈도!H$3)</f>
        <v>0</v>
      </c>
      <c r="I56" s="239">
        <f>COUNTIFS(기출문제!$H:$H,기출빈도!$W56,기출문제!$C:$C,기출빈도!I$3)</f>
        <v>0</v>
      </c>
      <c r="J56" s="239">
        <f>COUNTIFS(기출문제!$H:$H,기출빈도!$W56,기출문제!$C:$C,기출빈도!J$3)</f>
        <v>0</v>
      </c>
      <c r="K56" s="239">
        <f>COUNTIFS(기출문제!$H:$H,기출빈도!$W56,기출문제!$C:$C,기출빈도!K$3)</f>
        <v>0</v>
      </c>
      <c r="L56" s="239">
        <f>COUNTIFS(기출문제!$H:$H,기출빈도!$W56,기출문제!$C:$C,기출빈도!L$3)</f>
        <v>0</v>
      </c>
      <c r="M56" s="239">
        <f>COUNTIFS(기출문제!$H:$H,기출빈도!$W56,기출문제!$C:$C,기출빈도!M$3)</f>
        <v>0</v>
      </c>
      <c r="N56" s="239">
        <f>COUNTIFS(기출문제!$H:$H,기출빈도!$W56,기출문제!$C:$C,기출빈도!N$3)</f>
        <v>0</v>
      </c>
      <c r="O56" s="239">
        <f>COUNTIFS(기출문제!$H:$H,기출빈도!$W56,기출문제!$C:$C,기출빈도!O$3)</f>
        <v>0</v>
      </c>
      <c r="P56" s="239">
        <f>COUNTIFS(기출문제!$H:$H,기출빈도!$W56,기출문제!$C:$C,기출빈도!P$3)</f>
        <v>0</v>
      </c>
      <c r="Q56" s="239">
        <f>COUNTIFS(기출문제!$H:$H,기출빈도!$W56,기출문제!$C:$C,기출빈도!Q$3)</f>
        <v>0</v>
      </c>
      <c r="R56" s="239">
        <f>COUNTIFS(기출문제!$H:$H,기출빈도!$W56,기출문제!$C:$C,기출빈도!R$3)</f>
        <v>0</v>
      </c>
      <c r="S56" s="239">
        <f>COUNTIFS(기출문제!$H:$H,기출빈도!$W56,기출문제!$C:$C,기출빈도!S$3)</f>
        <v>0</v>
      </c>
      <c r="T56" s="239">
        <f>COUNTIFS(기출문제!$H:$H,기출빈도!$W56,기출문제!$C:$C,기출빈도!T$3)</f>
        <v>0</v>
      </c>
      <c r="U56" s="240">
        <f>COUNTIFS(기출문제!$H:$H,기출빈도!$W56,기출문제!$C:$C,기출빈도!U$3)</f>
        <v>0</v>
      </c>
      <c r="V56" s="205" t="s">
        <v>3103</v>
      </c>
      <c r="W56" s="118" t="str">
        <f t="shared" si="0"/>
        <v>연대채무</v>
      </c>
    </row>
    <row r="57" spans="2:23" ht="14.45" customHeight="1" x14ac:dyDescent="0.2">
      <c r="B57" s="189" t="s">
        <v>2959</v>
      </c>
      <c r="C57" s="192" t="s">
        <v>2991</v>
      </c>
      <c r="D57" s="182" t="s">
        <v>3000</v>
      </c>
      <c r="E57" s="239">
        <f>COUNTIFS(기출문제!$H:$H,기출빈도!$W57,기출문제!$C:$C,기출빈도!E$3)</f>
        <v>0</v>
      </c>
      <c r="F57" s="239">
        <f>COUNTIFS(기출문제!$H:$H,기출빈도!$W57,기출문제!$C:$C,기출빈도!F$3)</f>
        <v>0</v>
      </c>
      <c r="G57" s="239">
        <f>COUNTIFS(기출문제!$H:$H,기출빈도!$W57,기출문제!$C:$C,기출빈도!G$3)</f>
        <v>0</v>
      </c>
      <c r="H57" s="239">
        <f>COUNTIFS(기출문제!$H:$H,기출빈도!$W57,기출문제!$C:$C,기출빈도!H$3)</f>
        <v>0</v>
      </c>
      <c r="I57" s="239">
        <f>COUNTIFS(기출문제!$H:$H,기출빈도!$W57,기출문제!$C:$C,기출빈도!I$3)</f>
        <v>0</v>
      </c>
      <c r="J57" s="239">
        <f>COUNTIFS(기출문제!$H:$H,기출빈도!$W57,기출문제!$C:$C,기출빈도!J$3)</f>
        <v>0</v>
      </c>
      <c r="K57" s="239">
        <f>COUNTIFS(기출문제!$H:$H,기출빈도!$W57,기출문제!$C:$C,기출빈도!K$3)</f>
        <v>0</v>
      </c>
      <c r="L57" s="239">
        <f>COUNTIFS(기출문제!$H:$H,기출빈도!$W57,기출문제!$C:$C,기출빈도!L$3)</f>
        <v>0</v>
      </c>
      <c r="M57" s="239">
        <f>COUNTIFS(기출문제!$H:$H,기출빈도!$W57,기출문제!$C:$C,기출빈도!M$3)</f>
        <v>0</v>
      </c>
      <c r="N57" s="239">
        <f>COUNTIFS(기출문제!$H:$H,기출빈도!$W57,기출문제!$C:$C,기출빈도!N$3)</f>
        <v>0</v>
      </c>
      <c r="O57" s="239">
        <f>COUNTIFS(기출문제!$H:$H,기출빈도!$W57,기출문제!$C:$C,기출빈도!O$3)</f>
        <v>0</v>
      </c>
      <c r="P57" s="239">
        <f>COUNTIFS(기출문제!$H:$H,기출빈도!$W57,기출문제!$C:$C,기출빈도!P$3)</f>
        <v>0</v>
      </c>
      <c r="Q57" s="239">
        <f>COUNTIFS(기출문제!$H:$H,기출빈도!$W57,기출문제!$C:$C,기출빈도!Q$3)</f>
        <v>0</v>
      </c>
      <c r="R57" s="239">
        <f>COUNTIFS(기출문제!$H:$H,기출빈도!$W57,기출문제!$C:$C,기출빈도!R$3)</f>
        <v>0</v>
      </c>
      <c r="S57" s="239">
        <f>COUNTIFS(기출문제!$H:$H,기출빈도!$W57,기출문제!$C:$C,기출빈도!S$3)</f>
        <v>0</v>
      </c>
      <c r="T57" s="239">
        <f>COUNTIFS(기출문제!$H:$H,기출빈도!$W57,기출문제!$C:$C,기출빈도!T$3)</f>
        <v>0</v>
      </c>
      <c r="U57" s="240">
        <f>COUNTIFS(기출문제!$H:$H,기출빈도!$W57,기출문제!$C:$C,기출빈도!U$3)</f>
        <v>0</v>
      </c>
      <c r="V57" s="205" t="s">
        <v>3104</v>
      </c>
      <c r="W57" s="118" t="str">
        <f t="shared" si="0"/>
        <v>보증채무</v>
      </c>
    </row>
    <row r="58" spans="2:23" ht="14.45" customHeight="1" thickBot="1" x14ac:dyDescent="0.25">
      <c r="B58" s="189" t="s">
        <v>2959</v>
      </c>
      <c r="C58" s="145" t="s">
        <v>2991</v>
      </c>
      <c r="D58" s="198" t="s">
        <v>3491</v>
      </c>
      <c r="E58" s="241">
        <f>SUM(E53:E57)</f>
        <v>0</v>
      </c>
      <c r="F58" s="241">
        <f t="shared" ref="F58:U58" si="13">SUM(F53:F57)</f>
        <v>0</v>
      </c>
      <c r="G58" s="241">
        <f t="shared" si="13"/>
        <v>0</v>
      </c>
      <c r="H58" s="241">
        <f t="shared" si="13"/>
        <v>0</v>
      </c>
      <c r="I58" s="241">
        <f t="shared" si="13"/>
        <v>0</v>
      </c>
      <c r="J58" s="241">
        <f t="shared" si="13"/>
        <v>0</v>
      </c>
      <c r="K58" s="241">
        <f t="shared" si="13"/>
        <v>0</v>
      </c>
      <c r="L58" s="241">
        <f t="shared" si="13"/>
        <v>0</v>
      </c>
      <c r="M58" s="241">
        <f t="shared" si="13"/>
        <v>0</v>
      </c>
      <c r="N58" s="241">
        <f t="shared" si="13"/>
        <v>0</v>
      </c>
      <c r="O58" s="241">
        <f t="shared" si="13"/>
        <v>0</v>
      </c>
      <c r="P58" s="241">
        <f t="shared" si="13"/>
        <v>0</v>
      </c>
      <c r="Q58" s="241">
        <f t="shared" si="13"/>
        <v>0</v>
      </c>
      <c r="R58" s="241">
        <f t="shared" si="13"/>
        <v>0</v>
      </c>
      <c r="S58" s="241">
        <f t="shared" si="13"/>
        <v>0</v>
      </c>
      <c r="T58" s="241">
        <f t="shared" si="13"/>
        <v>0</v>
      </c>
      <c r="U58" s="242">
        <f t="shared" si="13"/>
        <v>0</v>
      </c>
      <c r="V58" s="206"/>
      <c r="W58" s="118" t="str">
        <f t="shared" si="0"/>
        <v/>
      </c>
    </row>
    <row r="59" spans="2:23" ht="14.45" customHeight="1" x14ac:dyDescent="0.2">
      <c r="B59" s="189" t="s">
        <v>2959</v>
      </c>
      <c r="C59" s="190" t="s">
        <v>3002</v>
      </c>
      <c r="D59" s="187" t="s">
        <v>3004</v>
      </c>
      <c r="E59" s="243">
        <f>COUNTIFS(기출문제!$H:$H,기출빈도!$W59,기출문제!$C:$C,기출빈도!E$3)</f>
        <v>0</v>
      </c>
      <c r="F59" s="243">
        <f>COUNTIFS(기출문제!$H:$H,기출빈도!$W59,기출문제!$C:$C,기출빈도!F$3)</f>
        <v>0</v>
      </c>
      <c r="G59" s="243">
        <f>COUNTIFS(기출문제!$H:$H,기출빈도!$W59,기출문제!$C:$C,기출빈도!G$3)</f>
        <v>0</v>
      </c>
      <c r="H59" s="243">
        <f>COUNTIFS(기출문제!$H:$H,기출빈도!$W59,기출문제!$C:$C,기출빈도!H$3)</f>
        <v>0</v>
      </c>
      <c r="I59" s="243">
        <f>COUNTIFS(기출문제!$H:$H,기출빈도!$W59,기출문제!$C:$C,기출빈도!I$3)</f>
        <v>0</v>
      </c>
      <c r="J59" s="243">
        <f>COUNTIFS(기출문제!$H:$H,기출빈도!$W59,기출문제!$C:$C,기출빈도!J$3)</f>
        <v>0</v>
      </c>
      <c r="K59" s="243">
        <f>COUNTIFS(기출문제!$H:$H,기출빈도!$W59,기출문제!$C:$C,기출빈도!K$3)</f>
        <v>0</v>
      </c>
      <c r="L59" s="243">
        <f>COUNTIFS(기출문제!$H:$H,기출빈도!$W59,기출문제!$C:$C,기출빈도!L$3)</f>
        <v>0</v>
      </c>
      <c r="M59" s="243">
        <f>COUNTIFS(기출문제!$H:$H,기출빈도!$W59,기출문제!$C:$C,기출빈도!M$3)</f>
        <v>0</v>
      </c>
      <c r="N59" s="243">
        <f>COUNTIFS(기출문제!$H:$H,기출빈도!$W59,기출문제!$C:$C,기출빈도!N$3)</f>
        <v>0</v>
      </c>
      <c r="O59" s="243">
        <f>COUNTIFS(기출문제!$H:$H,기출빈도!$W59,기출문제!$C:$C,기출빈도!O$3)</f>
        <v>0</v>
      </c>
      <c r="P59" s="243">
        <f>COUNTIFS(기출문제!$H:$H,기출빈도!$W59,기출문제!$C:$C,기출빈도!P$3)</f>
        <v>0</v>
      </c>
      <c r="Q59" s="243">
        <f>COUNTIFS(기출문제!$H:$H,기출빈도!$W59,기출문제!$C:$C,기출빈도!Q$3)</f>
        <v>0</v>
      </c>
      <c r="R59" s="243">
        <f>COUNTIFS(기출문제!$H:$H,기출빈도!$W59,기출문제!$C:$C,기출빈도!R$3)</f>
        <v>0</v>
      </c>
      <c r="S59" s="243">
        <f>COUNTIFS(기출문제!$H:$H,기출빈도!$W59,기출문제!$C:$C,기출빈도!S$3)</f>
        <v>0</v>
      </c>
      <c r="T59" s="243">
        <f>COUNTIFS(기출문제!$H:$H,기출빈도!$W59,기출문제!$C:$C,기출빈도!T$3)</f>
        <v>0</v>
      </c>
      <c r="U59" s="244">
        <f>COUNTIFS(기출문제!$H:$H,기출빈도!$W59,기출문제!$C:$C,기출빈도!U$3)</f>
        <v>0</v>
      </c>
      <c r="V59" s="204" t="s">
        <v>3105</v>
      </c>
      <c r="W59" s="118" t="str">
        <f t="shared" si="0"/>
        <v>채권의 양도</v>
      </c>
    </row>
    <row r="60" spans="2:23" ht="14.45" customHeight="1" x14ac:dyDescent="0.2">
      <c r="B60" s="189" t="s">
        <v>2959</v>
      </c>
      <c r="C60" s="192" t="s">
        <v>3001</v>
      </c>
      <c r="D60" s="182" t="s">
        <v>3006</v>
      </c>
      <c r="E60" s="239">
        <f>COUNTIFS(기출문제!$H:$H,기출빈도!$W60,기출문제!$C:$C,기출빈도!E$3)</f>
        <v>0</v>
      </c>
      <c r="F60" s="239">
        <f>COUNTIFS(기출문제!$H:$H,기출빈도!$W60,기출문제!$C:$C,기출빈도!F$3)</f>
        <v>0</v>
      </c>
      <c r="G60" s="239">
        <f>COUNTIFS(기출문제!$H:$H,기출빈도!$W60,기출문제!$C:$C,기출빈도!G$3)</f>
        <v>0</v>
      </c>
      <c r="H60" s="239">
        <f>COUNTIFS(기출문제!$H:$H,기출빈도!$W60,기출문제!$C:$C,기출빈도!H$3)</f>
        <v>0</v>
      </c>
      <c r="I60" s="239">
        <f>COUNTIFS(기출문제!$H:$H,기출빈도!$W60,기출문제!$C:$C,기출빈도!I$3)</f>
        <v>0</v>
      </c>
      <c r="J60" s="239">
        <f>COUNTIFS(기출문제!$H:$H,기출빈도!$W60,기출문제!$C:$C,기출빈도!J$3)</f>
        <v>0</v>
      </c>
      <c r="K60" s="239">
        <f>COUNTIFS(기출문제!$H:$H,기출빈도!$W60,기출문제!$C:$C,기출빈도!K$3)</f>
        <v>0</v>
      </c>
      <c r="L60" s="239">
        <f>COUNTIFS(기출문제!$H:$H,기출빈도!$W60,기출문제!$C:$C,기출빈도!L$3)</f>
        <v>0</v>
      </c>
      <c r="M60" s="239">
        <f>COUNTIFS(기출문제!$H:$H,기출빈도!$W60,기출문제!$C:$C,기출빈도!M$3)</f>
        <v>0</v>
      </c>
      <c r="N60" s="239">
        <f>COUNTIFS(기출문제!$H:$H,기출빈도!$W60,기출문제!$C:$C,기출빈도!N$3)</f>
        <v>0</v>
      </c>
      <c r="O60" s="239">
        <f>COUNTIFS(기출문제!$H:$H,기출빈도!$W60,기출문제!$C:$C,기출빈도!O$3)</f>
        <v>0</v>
      </c>
      <c r="P60" s="239">
        <f>COUNTIFS(기출문제!$H:$H,기출빈도!$W60,기출문제!$C:$C,기출빈도!P$3)</f>
        <v>0</v>
      </c>
      <c r="Q60" s="239">
        <f>COUNTIFS(기출문제!$H:$H,기출빈도!$W60,기출문제!$C:$C,기출빈도!Q$3)</f>
        <v>0</v>
      </c>
      <c r="R60" s="239">
        <f>COUNTIFS(기출문제!$H:$H,기출빈도!$W60,기출문제!$C:$C,기출빈도!R$3)</f>
        <v>0</v>
      </c>
      <c r="S60" s="239">
        <f>COUNTIFS(기출문제!$H:$H,기출빈도!$W60,기출문제!$C:$C,기출빈도!S$3)</f>
        <v>0</v>
      </c>
      <c r="T60" s="239">
        <f>COUNTIFS(기출문제!$H:$H,기출빈도!$W60,기출문제!$C:$C,기출빈도!T$3)</f>
        <v>0</v>
      </c>
      <c r="U60" s="240">
        <f>COUNTIFS(기출문제!$H:$H,기출빈도!$W60,기출문제!$C:$C,기출빈도!U$3)</f>
        <v>0</v>
      </c>
      <c r="V60" s="205" t="s">
        <v>3106</v>
      </c>
      <c r="W60" s="118" t="str">
        <f t="shared" si="0"/>
        <v>채무의 인수</v>
      </c>
    </row>
    <row r="61" spans="2:23" ht="14.45" customHeight="1" thickBot="1" x14ac:dyDescent="0.25">
      <c r="B61" s="189" t="s">
        <v>2959</v>
      </c>
      <c r="C61" s="145" t="s">
        <v>3001</v>
      </c>
      <c r="D61" s="198" t="s">
        <v>3491</v>
      </c>
      <c r="E61" s="241">
        <f>SUM(E59:E60)</f>
        <v>0</v>
      </c>
      <c r="F61" s="241">
        <f t="shared" ref="F61:U61" si="14">SUM(F59:F60)</f>
        <v>0</v>
      </c>
      <c r="G61" s="241">
        <f t="shared" si="14"/>
        <v>0</v>
      </c>
      <c r="H61" s="241">
        <f t="shared" si="14"/>
        <v>0</v>
      </c>
      <c r="I61" s="241">
        <f t="shared" si="14"/>
        <v>0</v>
      </c>
      <c r="J61" s="241">
        <f t="shared" si="14"/>
        <v>0</v>
      </c>
      <c r="K61" s="241">
        <f t="shared" si="14"/>
        <v>0</v>
      </c>
      <c r="L61" s="241">
        <f t="shared" si="14"/>
        <v>0</v>
      </c>
      <c r="M61" s="241">
        <f t="shared" si="14"/>
        <v>0</v>
      </c>
      <c r="N61" s="241">
        <f t="shared" si="14"/>
        <v>0</v>
      </c>
      <c r="O61" s="241">
        <f t="shared" si="14"/>
        <v>0</v>
      </c>
      <c r="P61" s="241">
        <f t="shared" si="14"/>
        <v>0</v>
      </c>
      <c r="Q61" s="241">
        <f t="shared" si="14"/>
        <v>0</v>
      </c>
      <c r="R61" s="241">
        <f t="shared" si="14"/>
        <v>0</v>
      </c>
      <c r="S61" s="241">
        <f t="shared" si="14"/>
        <v>0</v>
      </c>
      <c r="T61" s="241">
        <f t="shared" si="14"/>
        <v>0</v>
      </c>
      <c r="U61" s="242">
        <f t="shared" si="14"/>
        <v>0</v>
      </c>
      <c r="V61" s="206"/>
      <c r="W61" s="118" t="str">
        <f t="shared" si="0"/>
        <v/>
      </c>
    </row>
    <row r="62" spans="2:23" ht="14.45" customHeight="1" x14ac:dyDescent="0.2">
      <c r="B62" s="189" t="s">
        <v>2959</v>
      </c>
      <c r="C62" s="190" t="s">
        <v>3008</v>
      </c>
      <c r="D62" s="191" t="s">
        <v>3466</v>
      </c>
      <c r="E62" s="243">
        <f>COUNTIFS(기출문제!$H:$H,기출빈도!$W62,기출문제!$C:$C,기출빈도!E$3)</f>
        <v>0</v>
      </c>
      <c r="F62" s="243">
        <f>COUNTIFS(기출문제!$H:$H,기출빈도!$W62,기출문제!$C:$C,기출빈도!F$3)</f>
        <v>0</v>
      </c>
      <c r="G62" s="243">
        <f>COUNTIFS(기출문제!$H:$H,기출빈도!$W62,기출문제!$C:$C,기출빈도!G$3)</f>
        <v>0</v>
      </c>
      <c r="H62" s="243">
        <f>COUNTIFS(기출문제!$H:$H,기출빈도!$W62,기출문제!$C:$C,기출빈도!H$3)</f>
        <v>0</v>
      </c>
      <c r="I62" s="243">
        <f>COUNTIFS(기출문제!$H:$H,기출빈도!$W62,기출문제!$C:$C,기출빈도!I$3)</f>
        <v>0</v>
      </c>
      <c r="J62" s="243">
        <f>COUNTIFS(기출문제!$H:$H,기출빈도!$W62,기출문제!$C:$C,기출빈도!J$3)</f>
        <v>0</v>
      </c>
      <c r="K62" s="243">
        <f>COUNTIFS(기출문제!$H:$H,기출빈도!$W62,기출문제!$C:$C,기출빈도!K$3)</f>
        <v>0</v>
      </c>
      <c r="L62" s="243">
        <f>COUNTIFS(기출문제!$H:$H,기출빈도!$W62,기출문제!$C:$C,기출빈도!L$3)</f>
        <v>0</v>
      </c>
      <c r="M62" s="243">
        <f>COUNTIFS(기출문제!$H:$H,기출빈도!$W62,기출문제!$C:$C,기출빈도!M$3)</f>
        <v>0</v>
      </c>
      <c r="N62" s="243">
        <f>COUNTIFS(기출문제!$H:$H,기출빈도!$W62,기출문제!$C:$C,기출빈도!N$3)</f>
        <v>0</v>
      </c>
      <c r="O62" s="243">
        <f>COUNTIFS(기출문제!$H:$H,기출빈도!$W62,기출문제!$C:$C,기출빈도!O$3)</f>
        <v>0</v>
      </c>
      <c r="P62" s="243">
        <f>COUNTIFS(기출문제!$H:$H,기출빈도!$W62,기출문제!$C:$C,기출빈도!P$3)</f>
        <v>0</v>
      </c>
      <c r="Q62" s="243">
        <f>COUNTIFS(기출문제!$H:$H,기출빈도!$W62,기출문제!$C:$C,기출빈도!Q$3)</f>
        <v>0</v>
      </c>
      <c r="R62" s="243">
        <f>COUNTIFS(기출문제!$H:$H,기출빈도!$W62,기출문제!$C:$C,기출빈도!R$3)</f>
        <v>0</v>
      </c>
      <c r="S62" s="243">
        <f>COUNTIFS(기출문제!$H:$H,기출빈도!$W62,기출문제!$C:$C,기출빈도!S$3)</f>
        <v>0</v>
      </c>
      <c r="T62" s="243">
        <f>COUNTIFS(기출문제!$H:$H,기출빈도!$W62,기출문제!$C:$C,기출빈도!T$3)</f>
        <v>0</v>
      </c>
      <c r="U62" s="244">
        <f>COUNTIFS(기출문제!$H:$H,기출빈도!$W62,기출문제!$C:$C,기출빈도!U$3)</f>
        <v>0</v>
      </c>
      <c r="V62" s="204" t="s">
        <v>3486</v>
      </c>
      <c r="W62" s="118" t="str">
        <f t="shared" si="0"/>
        <v>채권소멸 서설</v>
      </c>
    </row>
    <row r="63" spans="2:23" ht="14.45" customHeight="1" x14ac:dyDescent="0.2">
      <c r="B63" s="189" t="s">
        <v>2959</v>
      </c>
      <c r="C63" s="192" t="s">
        <v>3007</v>
      </c>
      <c r="D63" s="183" t="s">
        <v>3010</v>
      </c>
      <c r="E63" s="239">
        <f>COUNTIFS(기출문제!$H:$H,기출빈도!$W63,기출문제!$C:$C,기출빈도!E$3)</f>
        <v>0</v>
      </c>
      <c r="F63" s="239">
        <f>COUNTIFS(기출문제!$H:$H,기출빈도!$W63,기출문제!$C:$C,기출빈도!F$3)</f>
        <v>0</v>
      </c>
      <c r="G63" s="239">
        <f>COUNTIFS(기출문제!$H:$H,기출빈도!$W63,기출문제!$C:$C,기출빈도!G$3)</f>
        <v>0</v>
      </c>
      <c r="H63" s="239">
        <f>COUNTIFS(기출문제!$H:$H,기출빈도!$W63,기출문제!$C:$C,기출빈도!H$3)</f>
        <v>0</v>
      </c>
      <c r="I63" s="239">
        <f>COUNTIFS(기출문제!$H:$H,기출빈도!$W63,기출문제!$C:$C,기출빈도!I$3)</f>
        <v>0</v>
      </c>
      <c r="J63" s="239">
        <f>COUNTIFS(기출문제!$H:$H,기출빈도!$W63,기출문제!$C:$C,기출빈도!J$3)</f>
        <v>0</v>
      </c>
      <c r="K63" s="239">
        <f>COUNTIFS(기출문제!$H:$H,기출빈도!$W63,기출문제!$C:$C,기출빈도!K$3)</f>
        <v>0</v>
      </c>
      <c r="L63" s="239">
        <f>COUNTIFS(기출문제!$H:$H,기출빈도!$W63,기출문제!$C:$C,기출빈도!L$3)</f>
        <v>0</v>
      </c>
      <c r="M63" s="239">
        <f>COUNTIFS(기출문제!$H:$H,기출빈도!$W63,기출문제!$C:$C,기출빈도!M$3)</f>
        <v>0</v>
      </c>
      <c r="N63" s="239">
        <f>COUNTIFS(기출문제!$H:$H,기출빈도!$W63,기출문제!$C:$C,기출빈도!N$3)</f>
        <v>0</v>
      </c>
      <c r="O63" s="239">
        <f>COUNTIFS(기출문제!$H:$H,기출빈도!$W63,기출문제!$C:$C,기출빈도!O$3)</f>
        <v>0</v>
      </c>
      <c r="P63" s="239">
        <f>COUNTIFS(기출문제!$H:$H,기출빈도!$W63,기출문제!$C:$C,기출빈도!P$3)</f>
        <v>0</v>
      </c>
      <c r="Q63" s="239">
        <f>COUNTIFS(기출문제!$H:$H,기출빈도!$W63,기출문제!$C:$C,기출빈도!Q$3)</f>
        <v>0</v>
      </c>
      <c r="R63" s="239">
        <f>COUNTIFS(기출문제!$H:$H,기출빈도!$W63,기출문제!$C:$C,기출빈도!R$3)</f>
        <v>0</v>
      </c>
      <c r="S63" s="239">
        <f>COUNTIFS(기출문제!$H:$H,기출빈도!$W63,기출문제!$C:$C,기출빈도!S$3)</f>
        <v>0</v>
      </c>
      <c r="T63" s="239">
        <f>COUNTIFS(기출문제!$H:$H,기출빈도!$W63,기출문제!$C:$C,기출빈도!T$3)</f>
        <v>0</v>
      </c>
      <c r="U63" s="240">
        <f>COUNTIFS(기출문제!$H:$H,기출빈도!$W63,기출문제!$C:$C,기출빈도!U$3)</f>
        <v>0</v>
      </c>
      <c r="V63" s="205" t="s">
        <v>3107</v>
      </c>
      <c r="W63" s="118" t="str">
        <f t="shared" si="0"/>
        <v>변제</v>
      </c>
    </row>
    <row r="64" spans="2:23" ht="14.45" customHeight="1" x14ac:dyDescent="0.2">
      <c r="B64" s="189" t="s">
        <v>2959</v>
      </c>
      <c r="C64" s="192" t="s">
        <v>3007</v>
      </c>
      <c r="D64" s="183" t="s">
        <v>3012</v>
      </c>
      <c r="E64" s="239">
        <f>COUNTIFS(기출문제!$H:$H,기출빈도!$W64,기출문제!$C:$C,기출빈도!E$3)</f>
        <v>0</v>
      </c>
      <c r="F64" s="239">
        <f>COUNTIFS(기출문제!$H:$H,기출빈도!$W64,기출문제!$C:$C,기출빈도!F$3)</f>
        <v>0</v>
      </c>
      <c r="G64" s="239">
        <f>COUNTIFS(기출문제!$H:$H,기출빈도!$W64,기출문제!$C:$C,기출빈도!G$3)</f>
        <v>0</v>
      </c>
      <c r="H64" s="239">
        <f>COUNTIFS(기출문제!$H:$H,기출빈도!$W64,기출문제!$C:$C,기출빈도!H$3)</f>
        <v>0</v>
      </c>
      <c r="I64" s="239">
        <f>COUNTIFS(기출문제!$H:$H,기출빈도!$W64,기출문제!$C:$C,기출빈도!I$3)</f>
        <v>0</v>
      </c>
      <c r="J64" s="239">
        <f>COUNTIFS(기출문제!$H:$H,기출빈도!$W64,기출문제!$C:$C,기출빈도!J$3)</f>
        <v>0</v>
      </c>
      <c r="K64" s="239">
        <f>COUNTIFS(기출문제!$H:$H,기출빈도!$W64,기출문제!$C:$C,기출빈도!K$3)</f>
        <v>0</v>
      </c>
      <c r="L64" s="239">
        <f>COUNTIFS(기출문제!$H:$H,기출빈도!$W64,기출문제!$C:$C,기출빈도!L$3)</f>
        <v>0</v>
      </c>
      <c r="M64" s="239">
        <f>COUNTIFS(기출문제!$H:$H,기출빈도!$W64,기출문제!$C:$C,기출빈도!M$3)</f>
        <v>0</v>
      </c>
      <c r="N64" s="239">
        <f>COUNTIFS(기출문제!$H:$H,기출빈도!$W64,기출문제!$C:$C,기출빈도!N$3)</f>
        <v>0</v>
      </c>
      <c r="O64" s="239">
        <f>COUNTIFS(기출문제!$H:$H,기출빈도!$W64,기출문제!$C:$C,기출빈도!O$3)</f>
        <v>0</v>
      </c>
      <c r="P64" s="239">
        <f>COUNTIFS(기출문제!$H:$H,기출빈도!$W64,기출문제!$C:$C,기출빈도!P$3)</f>
        <v>0</v>
      </c>
      <c r="Q64" s="239">
        <f>COUNTIFS(기출문제!$H:$H,기출빈도!$W64,기출문제!$C:$C,기출빈도!Q$3)</f>
        <v>0</v>
      </c>
      <c r="R64" s="239">
        <f>COUNTIFS(기출문제!$H:$H,기출빈도!$W64,기출문제!$C:$C,기출빈도!R$3)</f>
        <v>0</v>
      </c>
      <c r="S64" s="239">
        <f>COUNTIFS(기출문제!$H:$H,기출빈도!$W64,기출문제!$C:$C,기출빈도!S$3)</f>
        <v>0</v>
      </c>
      <c r="T64" s="239">
        <f>COUNTIFS(기출문제!$H:$H,기출빈도!$W64,기출문제!$C:$C,기출빈도!T$3)</f>
        <v>0</v>
      </c>
      <c r="U64" s="240">
        <f>COUNTIFS(기출문제!$H:$H,기출빈도!$W64,기출문제!$C:$C,기출빈도!U$3)</f>
        <v>0</v>
      </c>
      <c r="V64" s="205" t="s">
        <v>3108</v>
      </c>
      <c r="W64" s="118" t="str">
        <f t="shared" si="0"/>
        <v>대물변제</v>
      </c>
    </row>
    <row r="65" spans="2:23" ht="14.45" customHeight="1" x14ac:dyDescent="0.2">
      <c r="B65" s="189" t="s">
        <v>2959</v>
      </c>
      <c r="C65" s="192" t="s">
        <v>3007</v>
      </c>
      <c r="D65" s="183" t="s">
        <v>3014</v>
      </c>
      <c r="E65" s="239">
        <f>COUNTIFS(기출문제!$H:$H,기출빈도!$W65,기출문제!$C:$C,기출빈도!E$3)</f>
        <v>0</v>
      </c>
      <c r="F65" s="239">
        <f>COUNTIFS(기출문제!$H:$H,기출빈도!$W65,기출문제!$C:$C,기출빈도!F$3)</f>
        <v>0</v>
      </c>
      <c r="G65" s="239">
        <f>COUNTIFS(기출문제!$H:$H,기출빈도!$W65,기출문제!$C:$C,기출빈도!G$3)</f>
        <v>0</v>
      </c>
      <c r="H65" s="239">
        <f>COUNTIFS(기출문제!$H:$H,기출빈도!$W65,기출문제!$C:$C,기출빈도!H$3)</f>
        <v>0</v>
      </c>
      <c r="I65" s="239">
        <f>COUNTIFS(기출문제!$H:$H,기출빈도!$W65,기출문제!$C:$C,기출빈도!I$3)</f>
        <v>0</v>
      </c>
      <c r="J65" s="239">
        <f>COUNTIFS(기출문제!$H:$H,기출빈도!$W65,기출문제!$C:$C,기출빈도!J$3)</f>
        <v>0</v>
      </c>
      <c r="K65" s="239">
        <f>COUNTIFS(기출문제!$H:$H,기출빈도!$W65,기출문제!$C:$C,기출빈도!K$3)</f>
        <v>0</v>
      </c>
      <c r="L65" s="239">
        <f>COUNTIFS(기출문제!$H:$H,기출빈도!$W65,기출문제!$C:$C,기출빈도!L$3)</f>
        <v>0</v>
      </c>
      <c r="M65" s="239">
        <f>COUNTIFS(기출문제!$H:$H,기출빈도!$W65,기출문제!$C:$C,기출빈도!M$3)</f>
        <v>0</v>
      </c>
      <c r="N65" s="239">
        <f>COUNTIFS(기출문제!$H:$H,기출빈도!$W65,기출문제!$C:$C,기출빈도!N$3)</f>
        <v>0</v>
      </c>
      <c r="O65" s="239">
        <f>COUNTIFS(기출문제!$H:$H,기출빈도!$W65,기출문제!$C:$C,기출빈도!O$3)</f>
        <v>0</v>
      </c>
      <c r="P65" s="239">
        <f>COUNTIFS(기출문제!$H:$H,기출빈도!$W65,기출문제!$C:$C,기출빈도!P$3)</f>
        <v>0</v>
      </c>
      <c r="Q65" s="239">
        <f>COUNTIFS(기출문제!$H:$H,기출빈도!$W65,기출문제!$C:$C,기출빈도!Q$3)</f>
        <v>0</v>
      </c>
      <c r="R65" s="239">
        <f>COUNTIFS(기출문제!$H:$H,기출빈도!$W65,기출문제!$C:$C,기출빈도!R$3)</f>
        <v>0</v>
      </c>
      <c r="S65" s="239">
        <f>COUNTIFS(기출문제!$H:$H,기출빈도!$W65,기출문제!$C:$C,기출빈도!S$3)</f>
        <v>0</v>
      </c>
      <c r="T65" s="239">
        <f>COUNTIFS(기출문제!$H:$H,기출빈도!$W65,기출문제!$C:$C,기출빈도!T$3)</f>
        <v>0</v>
      </c>
      <c r="U65" s="240">
        <f>COUNTIFS(기출문제!$H:$H,기출빈도!$W65,기출문제!$C:$C,기출빈도!U$3)</f>
        <v>0</v>
      </c>
      <c r="V65" s="205" t="s">
        <v>3109</v>
      </c>
      <c r="W65" s="118" t="str">
        <f t="shared" si="0"/>
        <v>공탁</v>
      </c>
    </row>
    <row r="66" spans="2:23" ht="14.45" customHeight="1" x14ac:dyDescent="0.2">
      <c r="B66" s="189" t="s">
        <v>2959</v>
      </c>
      <c r="C66" s="192" t="s">
        <v>3007</v>
      </c>
      <c r="D66" s="183" t="s">
        <v>3016</v>
      </c>
      <c r="E66" s="239">
        <f>COUNTIFS(기출문제!$H:$H,기출빈도!$W66,기출문제!$C:$C,기출빈도!E$3)</f>
        <v>0</v>
      </c>
      <c r="F66" s="239">
        <f>COUNTIFS(기출문제!$H:$H,기출빈도!$W66,기출문제!$C:$C,기출빈도!F$3)</f>
        <v>0</v>
      </c>
      <c r="G66" s="239">
        <f>COUNTIFS(기출문제!$H:$H,기출빈도!$W66,기출문제!$C:$C,기출빈도!G$3)</f>
        <v>0</v>
      </c>
      <c r="H66" s="239">
        <f>COUNTIFS(기출문제!$H:$H,기출빈도!$W66,기출문제!$C:$C,기출빈도!H$3)</f>
        <v>0</v>
      </c>
      <c r="I66" s="239">
        <f>COUNTIFS(기출문제!$H:$H,기출빈도!$W66,기출문제!$C:$C,기출빈도!I$3)</f>
        <v>0</v>
      </c>
      <c r="J66" s="239">
        <f>COUNTIFS(기출문제!$H:$H,기출빈도!$W66,기출문제!$C:$C,기출빈도!J$3)</f>
        <v>0</v>
      </c>
      <c r="K66" s="239">
        <f>COUNTIFS(기출문제!$H:$H,기출빈도!$W66,기출문제!$C:$C,기출빈도!K$3)</f>
        <v>0</v>
      </c>
      <c r="L66" s="239">
        <f>COUNTIFS(기출문제!$H:$H,기출빈도!$W66,기출문제!$C:$C,기출빈도!L$3)</f>
        <v>0</v>
      </c>
      <c r="M66" s="239">
        <f>COUNTIFS(기출문제!$H:$H,기출빈도!$W66,기출문제!$C:$C,기출빈도!M$3)</f>
        <v>0</v>
      </c>
      <c r="N66" s="239">
        <f>COUNTIFS(기출문제!$H:$H,기출빈도!$W66,기출문제!$C:$C,기출빈도!N$3)</f>
        <v>0</v>
      </c>
      <c r="O66" s="239">
        <f>COUNTIFS(기출문제!$H:$H,기출빈도!$W66,기출문제!$C:$C,기출빈도!O$3)</f>
        <v>0</v>
      </c>
      <c r="P66" s="239">
        <f>COUNTIFS(기출문제!$H:$H,기출빈도!$W66,기출문제!$C:$C,기출빈도!P$3)</f>
        <v>0</v>
      </c>
      <c r="Q66" s="239">
        <f>COUNTIFS(기출문제!$H:$H,기출빈도!$W66,기출문제!$C:$C,기출빈도!Q$3)</f>
        <v>0</v>
      </c>
      <c r="R66" s="239">
        <f>COUNTIFS(기출문제!$H:$H,기출빈도!$W66,기출문제!$C:$C,기출빈도!R$3)</f>
        <v>0</v>
      </c>
      <c r="S66" s="239">
        <f>COUNTIFS(기출문제!$H:$H,기출빈도!$W66,기출문제!$C:$C,기출빈도!S$3)</f>
        <v>0</v>
      </c>
      <c r="T66" s="239">
        <f>COUNTIFS(기출문제!$H:$H,기출빈도!$W66,기출문제!$C:$C,기출빈도!T$3)</f>
        <v>0</v>
      </c>
      <c r="U66" s="240">
        <f>COUNTIFS(기출문제!$H:$H,기출빈도!$W66,기출문제!$C:$C,기출빈도!U$3)</f>
        <v>0</v>
      </c>
      <c r="V66" s="205" t="s">
        <v>3110</v>
      </c>
      <c r="W66" s="118" t="str">
        <f t="shared" si="0"/>
        <v>상계</v>
      </c>
    </row>
    <row r="67" spans="2:23" ht="14.45" customHeight="1" x14ac:dyDescent="0.2">
      <c r="B67" s="189" t="s">
        <v>2959</v>
      </c>
      <c r="C67" s="192" t="s">
        <v>3007</v>
      </c>
      <c r="D67" s="183" t="s">
        <v>3018</v>
      </c>
      <c r="E67" s="239">
        <f>COUNTIFS(기출문제!$H:$H,기출빈도!$W67,기출문제!$C:$C,기출빈도!E$3)</f>
        <v>0</v>
      </c>
      <c r="F67" s="239">
        <f>COUNTIFS(기출문제!$H:$H,기출빈도!$W67,기출문제!$C:$C,기출빈도!F$3)</f>
        <v>0</v>
      </c>
      <c r="G67" s="239">
        <f>COUNTIFS(기출문제!$H:$H,기출빈도!$W67,기출문제!$C:$C,기출빈도!G$3)</f>
        <v>0</v>
      </c>
      <c r="H67" s="239">
        <f>COUNTIFS(기출문제!$H:$H,기출빈도!$W67,기출문제!$C:$C,기출빈도!H$3)</f>
        <v>0</v>
      </c>
      <c r="I67" s="239">
        <f>COUNTIFS(기출문제!$H:$H,기출빈도!$W67,기출문제!$C:$C,기출빈도!I$3)</f>
        <v>0</v>
      </c>
      <c r="J67" s="239">
        <f>COUNTIFS(기출문제!$H:$H,기출빈도!$W67,기출문제!$C:$C,기출빈도!J$3)</f>
        <v>0</v>
      </c>
      <c r="K67" s="239">
        <f>COUNTIFS(기출문제!$H:$H,기출빈도!$W67,기출문제!$C:$C,기출빈도!K$3)</f>
        <v>0</v>
      </c>
      <c r="L67" s="239">
        <f>COUNTIFS(기출문제!$H:$H,기출빈도!$W67,기출문제!$C:$C,기출빈도!L$3)</f>
        <v>0</v>
      </c>
      <c r="M67" s="239">
        <f>COUNTIFS(기출문제!$H:$H,기출빈도!$W67,기출문제!$C:$C,기출빈도!M$3)</f>
        <v>0</v>
      </c>
      <c r="N67" s="239">
        <f>COUNTIFS(기출문제!$H:$H,기출빈도!$W67,기출문제!$C:$C,기출빈도!N$3)</f>
        <v>0</v>
      </c>
      <c r="O67" s="239">
        <f>COUNTIFS(기출문제!$H:$H,기출빈도!$W67,기출문제!$C:$C,기출빈도!O$3)</f>
        <v>0</v>
      </c>
      <c r="P67" s="239">
        <f>COUNTIFS(기출문제!$H:$H,기출빈도!$W67,기출문제!$C:$C,기출빈도!P$3)</f>
        <v>0</v>
      </c>
      <c r="Q67" s="239">
        <f>COUNTIFS(기출문제!$H:$H,기출빈도!$W67,기출문제!$C:$C,기출빈도!Q$3)</f>
        <v>0</v>
      </c>
      <c r="R67" s="239">
        <f>COUNTIFS(기출문제!$H:$H,기출빈도!$W67,기출문제!$C:$C,기출빈도!R$3)</f>
        <v>0</v>
      </c>
      <c r="S67" s="239">
        <f>COUNTIFS(기출문제!$H:$H,기출빈도!$W67,기출문제!$C:$C,기출빈도!S$3)</f>
        <v>0</v>
      </c>
      <c r="T67" s="239">
        <f>COUNTIFS(기출문제!$H:$H,기출빈도!$W67,기출문제!$C:$C,기출빈도!T$3)</f>
        <v>0</v>
      </c>
      <c r="U67" s="240">
        <f>COUNTIFS(기출문제!$H:$H,기출빈도!$W67,기출문제!$C:$C,기출빈도!U$3)</f>
        <v>0</v>
      </c>
      <c r="V67" s="205" t="s">
        <v>3111</v>
      </c>
      <c r="W67" s="118" t="str">
        <f t="shared" si="0"/>
        <v>기타 채권의 소멸원인</v>
      </c>
    </row>
    <row r="68" spans="2:23" ht="14.45" customHeight="1" thickBot="1" x14ac:dyDescent="0.25">
      <c r="B68" s="189" t="s">
        <v>2959</v>
      </c>
      <c r="C68" s="145" t="s">
        <v>3007</v>
      </c>
      <c r="D68" s="198" t="s">
        <v>3491</v>
      </c>
      <c r="E68" s="241">
        <f>SUM(E62:E67)</f>
        <v>0</v>
      </c>
      <c r="F68" s="241">
        <f t="shared" ref="F68:U68" si="15">SUM(F62:F67)</f>
        <v>0</v>
      </c>
      <c r="G68" s="241">
        <f t="shared" si="15"/>
        <v>0</v>
      </c>
      <c r="H68" s="241">
        <f t="shared" si="15"/>
        <v>0</v>
      </c>
      <c r="I68" s="241">
        <f t="shared" si="15"/>
        <v>0</v>
      </c>
      <c r="J68" s="241">
        <f t="shared" si="15"/>
        <v>0</v>
      </c>
      <c r="K68" s="241">
        <f t="shared" si="15"/>
        <v>0</v>
      </c>
      <c r="L68" s="241">
        <f t="shared" si="15"/>
        <v>0</v>
      </c>
      <c r="M68" s="241">
        <f t="shared" si="15"/>
        <v>0</v>
      </c>
      <c r="N68" s="241">
        <f t="shared" si="15"/>
        <v>0</v>
      </c>
      <c r="O68" s="241">
        <f t="shared" si="15"/>
        <v>0</v>
      </c>
      <c r="P68" s="241">
        <f t="shared" si="15"/>
        <v>0</v>
      </c>
      <c r="Q68" s="241">
        <f t="shared" si="15"/>
        <v>0</v>
      </c>
      <c r="R68" s="241">
        <f t="shared" si="15"/>
        <v>0</v>
      </c>
      <c r="S68" s="241">
        <f t="shared" si="15"/>
        <v>0</v>
      </c>
      <c r="T68" s="241">
        <f t="shared" si="15"/>
        <v>0</v>
      </c>
      <c r="U68" s="242">
        <f t="shared" si="15"/>
        <v>0</v>
      </c>
      <c r="V68" s="206"/>
      <c r="W68" s="118" t="str">
        <f t="shared" si="0"/>
        <v/>
      </c>
    </row>
    <row r="69" spans="2:23" ht="14.45" customHeight="1" thickBot="1" x14ac:dyDescent="0.25">
      <c r="B69" s="184" t="s">
        <v>2959</v>
      </c>
      <c r="C69" s="188"/>
      <c r="D69" s="199" t="s">
        <v>3493</v>
      </c>
      <c r="E69" s="245">
        <f>SUM(E40,E47,E52,E58,E61,E68)</f>
        <v>0</v>
      </c>
      <c r="F69" s="245">
        <f t="shared" ref="F69:U69" si="16">SUM(F40,F47,F52,F58,F61,F68)</f>
        <v>0</v>
      </c>
      <c r="G69" s="245">
        <f t="shared" si="16"/>
        <v>0</v>
      </c>
      <c r="H69" s="245">
        <f t="shared" si="16"/>
        <v>0</v>
      </c>
      <c r="I69" s="245">
        <f t="shared" si="16"/>
        <v>0</v>
      </c>
      <c r="J69" s="245">
        <f t="shared" si="16"/>
        <v>0</v>
      </c>
      <c r="K69" s="245">
        <f t="shared" si="16"/>
        <v>0</v>
      </c>
      <c r="L69" s="245">
        <f t="shared" si="16"/>
        <v>0</v>
      </c>
      <c r="M69" s="245">
        <f t="shared" si="16"/>
        <v>0</v>
      </c>
      <c r="N69" s="245">
        <f t="shared" si="16"/>
        <v>0</v>
      </c>
      <c r="O69" s="245">
        <f t="shared" si="16"/>
        <v>0</v>
      </c>
      <c r="P69" s="245">
        <f t="shared" si="16"/>
        <v>0</v>
      </c>
      <c r="Q69" s="245">
        <f t="shared" si="16"/>
        <v>0</v>
      </c>
      <c r="R69" s="245">
        <f t="shared" si="16"/>
        <v>0</v>
      </c>
      <c r="S69" s="245">
        <f t="shared" si="16"/>
        <v>0</v>
      </c>
      <c r="T69" s="245">
        <f t="shared" si="16"/>
        <v>0</v>
      </c>
      <c r="U69" s="246">
        <f t="shared" si="16"/>
        <v>0</v>
      </c>
      <c r="V69" s="208"/>
    </row>
    <row r="70" spans="2:23" ht="14.45" customHeight="1" x14ac:dyDescent="0.2">
      <c r="B70" s="193" t="s">
        <v>3020</v>
      </c>
      <c r="C70" s="190" t="s">
        <v>3022</v>
      </c>
      <c r="D70" s="187" t="s">
        <v>3469</v>
      </c>
      <c r="E70" s="243">
        <f>COUNTIFS(기출문제!$H:$H,기출빈도!$W70,기출문제!$C:$C,기출빈도!E$3)</f>
        <v>0</v>
      </c>
      <c r="F70" s="243">
        <f>COUNTIFS(기출문제!$H:$H,기출빈도!$W70,기출문제!$C:$C,기출빈도!F$3)</f>
        <v>0</v>
      </c>
      <c r="G70" s="243">
        <f>COUNTIFS(기출문제!$H:$H,기출빈도!$W70,기출문제!$C:$C,기출빈도!G$3)</f>
        <v>0</v>
      </c>
      <c r="H70" s="243">
        <f>COUNTIFS(기출문제!$H:$H,기출빈도!$W70,기출문제!$C:$C,기출빈도!H$3)</f>
        <v>0</v>
      </c>
      <c r="I70" s="243">
        <f>COUNTIFS(기출문제!$H:$H,기출빈도!$W70,기출문제!$C:$C,기출빈도!I$3)</f>
        <v>0</v>
      </c>
      <c r="J70" s="243">
        <f>COUNTIFS(기출문제!$H:$H,기출빈도!$W70,기출문제!$C:$C,기출빈도!J$3)</f>
        <v>0</v>
      </c>
      <c r="K70" s="243">
        <f>COUNTIFS(기출문제!$H:$H,기출빈도!$W70,기출문제!$C:$C,기출빈도!K$3)</f>
        <v>0</v>
      </c>
      <c r="L70" s="243">
        <f>COUNTIFS(기출문제!$H:$H,기출빈도!$W70,기출문제!$C:$C,기출빈도!L$3)</f>
        <v>0</v>
      </c>
      <c r="M70" s="243">
        <f>COUNTIFS(기출문제!$H:$H,기출빈도!$W70,기출문제!$C:$C,기출빈도!M$3)</f>
        <v>0</v>
      </c>
      <c r="N70" s="243">
        <f>COUNTIFS(기출문제!$H:$H,기출빈도!$W70,기출문제!$C:$C,기출빈도!N$3)</f>
        <v>0</v>
      </c>
      <c r="O70" s="243">
        <f>COUNTIFS(기출문제!$H:$H,기출빈도!$W70,기출문제!$C:$C,기출빈도!O$3)</f>
        <v>0</v>
      </c>
      <c r="P70" s="243">
        <f>COUNTIFS(기출문제!$H:$H,기출빈도!$W70,기출문제!$C:$C,기출빈도!P$3)</f>
        <v>0</v>
      </c>
      <c r="Q70" s="243">
        <f>COUNTIFS(기출문제!$H:$H,기출빈도!$W70,기출문제!$C:$C,기출빈도!Q$3)</f>
        <v>0</v>
      </c>
      <c r="R70" s="243">
        <f>COUNTIFS(기출문제!$H:$H,기출빈도!$W70,기출문제!$C:$C,기출빈도!R$3)</f>
        <v>0</v>
      </c>
      <c r="S70" s="243">
        <f>COUNTIFS(기출문제!$H:$H,기출빈도!$W70,기출문제!$C:$C,기출빈도!S$3)</f>
        <v>0</v>
      </c>
      <c r="T70" s="243">
        <f>COUNTIFS(기출문제!$H:$H,기출빈도!$W70,기출문제!$C:$C,기출빈도!T$3)</f>
        <v>0</v>
      </c>
      <c r="U70" s="244">
        <f>COUNTIFS(기출문제!$H:$H,기출빈도!$W70,기출문제!$C:$C,기출빈도!U$3)</f>
        <v>0</v>
      </c>
      <c r="V70" s="204" t="s">
        <v>3487</v>
      </c>
      <c r="W70" s="118" t="str">
        <f t="shared" ref="W70:W95" si="17">MID(D70,6,30)</f>
        <v>계약총론 서설</v>
      </c>
    </row>
    <row r="71" spans="2:23" ht="14.45" customHeight="1" x14ac:dyDescent="0.2">
      <c r="B71" s="189" t="s">
        <v>3019</v>
      </c>
      <c r="C71" s="192" t="s">
        <v>3021</v>
      </c>
      <c r="D71" s="182" t="s">
        <v>3024</v>
      </c>
      <c r="E71" s="239">
        <f>COUNTIFS(기출문제!$H:$H,기출빈도!$W71,기출문제!$C:$C,기출빈도!E$3)</f>
        <v>0</v>
      </c>
      <c r="F71" s="239">
        <f>COUNTIFS(기출문제!$H:$H,기출빈도!$W71,기출문제!$C:$C,기출빈도!F$3)</f>
        <v>0</v>
      </c>
      <c r="G71" s="239">
        <f>COUNTIFS(기출문제!$H:$H,기출빈도!$W71,기출문제!$C:$C,기출빈도!G$3)</f>
        <v>0</v>
      </c>
      <c r="H71" s="239">
        <f>COUNTIFS(기출문제!$H:$H,기출빈도!$W71,기출문제!$C:$C,기출빈도!H$3)</f>
        <v>0</v>
      </c>
      <c r="I71" s="239">
        <f>COUNTIFS(기출문제!$H:$H,기출빈도!$W71,기출문제!$C:$C,기출빈도!I$3)</f>
        <v>0</v>
      </c>
      <c r="J71" s="239">
        <f>COUNTIFS(기출문제!$H:$H,기출빈도!$W71,기출문제!$C:$C,기출빈도!J$3)</f>
        <v>0</v>
      </c>
      <c r="K71" s="239">
        <f>COUNTIFS(기출문제!$H:$H,기출빈도!$W71,기출문제!$C:$C,기출빈도!K$3)</f>
        <v>0</v>
      </c>
      <c r="L71" s="239">
        <f>COUNTIFS(기출문제!$H:$H,기출빈도!$W71,기출문제!$C:$C,기출빈도!L$3)</f>
        <v>0</v>
      </c>
      <c r="M71" s="239">
        <f>COUNTIFS(기출문제!$H:$H,기출빈도!$W71,기출문제!$C:$C,기출빈도!M$3)</f>
        <v>0</v>
      </c>
      <c r="N71" s="239">
        <f>COUNTIFS(기출문제!$H:$H,기출빈도!$W71,기출문제!$C:$C,기출빈도!N$3)</f>
        <v>0</v>
      </c>
      <c r="O71" s="239">
        <f>COUNTIFS(기출문제!$H:$H,기출빈도!$W71,기출문제!$C:$C,기출빈도!O$3)</f>
        <v>0</v>
      </c>
      <c r="P71" s="239">
        <f>COUNTIFS(기출문제!$H:$H,기출빈도!$W71,기출문제!$C:$C,기출빈도!P$3)</f>
        <v>0</v>
      </c>
      <c r="Q71" s="239">
        <f>COUNTIFS(기출문제!$H:$H,기출빈도!$W71,기출문제!$C:$C,기출빈도!Q$3)</f>
        <v>0</v>
      </c>
      <c r="R71" s="239">
        <f>COUNTIFS(기출문제!$H:$H,기출빈도!$W71,기출문제!$C:$C,기출빈도!R$3)</f>
        <v>0</v>
      </c>
      <c r="S71" s="239">
        <f>COUNTIFS(기출문제!$H:$H,기출빈도!$W71,기출문제!$C:$C,기출빈도!S$3)</f>
        <v>0</v>
      </c>
      <c r="T71" s="239">
        <f>COUNTIFS(기출문제!$H:$H,기출빈도!$W71,기출문제!$C:$C,기출빈도!T$3)</f>
        <v>0</v>
      </c>
      <c r="U71" s="240">
        <f>COUNTIFS(기출문제!$H:$H,기출빈도!$W71,기출문제!$C:$C,기출빈도!U$3)</f>
        <v>0</v>
      </c>
      <c r="V71" s="205" t="s">
        <v>3112</v>
      </c>
      <c r="W71" s="118" t="str">
        <f t="shared" si="17"/>
        <v>계약의 성립</v>
      </c>
    </row>
    <row r="72" spans="2:23" ht="14.45" customHeight="1" x14ac:dyDescent="0.2">
      <c r="B72" s="189" t="s">
        <v>3019</v>
      </c>
      <c r="C72" s="192" t="s">
        <v>3021</v>
      </c>
      <c r="D72" s="182" t="s">
        <v>3026</v>
      </c>
      <c r="E72" s="239">
        <f>COUNTIFS(기출문제!$H:$H,기출빈도!$W72,기출문제!$C:$C,기출빈도!E$3)</f>
        <v>0</v>
      </c>
      <c r="F72" s="239">
        <f>COUNTIFS(기출문제!$H:$H,기출빈도!$W72,기출문제!$C:$C,기출빈도!F$3)</f>
        <v>0</v>
      </c>
      <c r="G72" s="239">
        <f>COUNTIFS(기출문제!$H:$H,기출빈도!$W72,기출문제!$C:$C,기출빈도!G$3)</f>
        <v>0</v>
      </c>
      <c r="H72" s="239">
        <f>COUNTIFS(기출문제!$H:$H,기출빈도!$W72,기출문제!$C:$C,기출빈도!H$3)</f>
        <v>0</v>
      </c>
      <c r="I72" s="239">
        <f>COUNTIFS(기출문제!$H:$H,기출빈도!$W72,기출문제!$C:$C,기출빈도!I$3)</f>
        <v>0</v>
      </c>
      <c r="J72" s="239">
        <f>COUNTIFS(기출문제!$H:$H,기출빈도!$W72,기출문제!$C:$C,기출빈도!J$3)</f>
        <v>0</v>
      </c>
      <c r="K72" s="239">
        <f>COUNTIFS(기출문제!$H:$H,기출빈도!$W72,기출문제!$C:$C,기출빈도!K$3)</f>
        <v>0</v>
      </c>
      <c r="L72" s="239">
        <f>COUNTIFS(기출문제!$H:$H,기출빈도!$W72,기출문제!$C:$C,기출빈도!L$3)</f>
        <v>0</v>
      </c>
      <c r="M72" s="239">
        <f>COUNTIFS(기출문제!$H:$H,기출빈도!$W72,기출문제!$C:$C,기출빈도!M$3)</f>
        <v>0</v>
      </c>
      <c r="N72" s="239">
        <f>COUNTIFS(기출문제!$H:$H,기출빈도!$W72,기출문제!$C:$C,기출빈도!N$3)</f>
        <v>0</v>
      </c>
      <c r="O72" s="239">
        <f>COUNTIFS(기출문제!$H:$H,기출빈도!$W72,기출문제!$C:$C,기출빈도!O$3)</f>
        <v>0</v>
      </c>
      <c r="P72" s="239">
        <f>COUNTIFS(기출문제!$H:$H,기출빈도!$W72,기출문제!$C:$C,기출빈도!P$3)</f>
        <v>0</v>
      </c>
      <c r="Q72" s="239">
        <f>COUNTIFS(기출문제!$H:$H,기출빈도!$W72,기출문제!$C:$C,기출빈도!Q$3)</f>
        <v>0</v>
      </c>
      <c r="R72" s="239">
        <f>COUNTIFS(기출문제!$H:$H,기출빈도!$W72,기출문제!$C:$C,기출빈도!R$3)</f>
        <v>0</v>
      </c>
      <c r="S72" s="239">
        <f>COUNTIFS(기출문제!$H:$H,기출빈도!$W72,기출문제!$C:$C,기출빈도!S$3)</f>
        <v>0</v>
      </c>
      <c r="T72" s="239">
        <f>COUNTIFS(기출문제!$H:$H,기출빈도!$W72,기출문제!$C:$C,기출빈도!T$3)</f>
        <v>0</v>
      </c>
      <c r="U72" s="240">
        <f>COUNTIFS(기출문제!$H:$H,기출빈도!$W72,기출문제!$C:$C,기출빈도!U$3)</f>
        <v>0</v>
      </c>
      <c r="V72" s="205" t="s">
        <v>3113</v>
      </c>
      <c r="W72" s="118" t="str">
        <f t="shared" si="17"/>
        <v>계약의 효력</v>
      </c>
    </row>
    <row r="73" spans="2:23" ht="14.45" customHeight="1" x14ac:dyDescent="0.2">
      <c r="B73" s="189" t="s">
        <v>3019</v>
      </c>
      <c r="C73" s="192" t="s">
        <v>3021</v>
      </c>
      <c r="D73" s="182" t="s">
        <v>3028</v>
      </c>
      <c r="E73" s="239">
        <f>SUM(E70:E72)</f>
        <v>0</v>
      </c>
      <c r="F73" s="239">
        <f t="shared" ref="F73:U73" si="18">SUM(F70:F72)</f>
        <v>0</v>
      </c>
      <c r="G73" s="239">
        <f t="shared" si="18"/>
        <v>0</v>
      </c>
      <c r="H73" s="239">
        <f t="shared" si="18"/>
        <v>0</v>
      </c>
      <c r="I73" s="239">
        <f t="shared" si="18"/>
        <v>0</v>
      </c>
      <c r="J73" s="239">
        <f t="shared" si="18"/>
        <v>0</v>
      </c>
      <c r="K73" s="239">
        <f t="shared" si="18"/>
        <v>0</v>
      </c>
      <c r="L73" s="239">
        <f t="shared" si="18"/>
        <v>0</v>
      </c>
      <c r="M73" s="239">
        <f t="shared" si="18"/>
        <v>0</v>
      </c>
      <c r="N73" s="239">
        <f t="shared" si="18"/>
        <v>0</v>
      </c>
      <c r="O73" s="239">
        <f t="shared" si="18"/>
        <v>0</v>
      </c>
      <c r="P73" s="239">
        <f t="shared" si="18"/>
        <v>0</v>
      </c>
      <c r="Q73" s="239">
        <f t="shared" si="18"/>
        <v>0</v>
      </c>
      <c r="R73" s="239">
        <f t="shared" si="18"/>
        <v>0</v>
      </c>
      <c r="S73" s="239">
        <f t="shared" si="18"/>
        <v>0</v>
      </c>
      <c r="T73" s="239">
        <f t="shared" si="18"/>
        <v>0</v>
      </c>
      <c r="U73" s="240">
        <f t="shared" si="18"/>
        <v>0</v>
      </c>
      <c r="V73" s="205" t="s">
        <v>3114</v>
      </c>
      <c r="W73" s="118" t="str">
        <f t="shared" si="17"/>
        <v>계약의 해제와 해지</v>
      </c>
    </row>
    <row r="74" spans="2:23" ht="14.45" customHeight="1" thickBot="1" x14ac:dyDescent="0.25">
      <c r="B74" s="189" t="s">
        <v>3019</v>
      </c>
      <c r="C74" s="145" t="s">
        <v>3021</v>
      </c>
      <c r="D74" s="198" t="s">
        <v>3491</v>
      </c>
      <c r="E74" s="241">
        <f>SUM(E70:E73)</f>
        <v>0</v>
      </c>
      <c r="F74" s="241">
        <f t="shared" ref="F74:U74" si="19">SUM(F70:F73)</f>
        <v>0</v>
      </c>
      <c r="G74" s="241">
        <f t="shared" si="19"/>
        <v>0</v>
      </c>
      <c r="H74" s="241">
        <f t="shared" si="19"/>
        <v>0</v>
      </c>
      <c r="I74" s="241">
        <f t="shared" si="19"/>
        <v>0</v>
      </c>
      <c r="J74" s="241">
        <f t="shared" si="19"/>
        <v>0</v>
      </c>
      <c r="K74" s="241">
        <f t="shared" si="19"/>
        <v>0</v>
      </c>
      <c r="L74" s="241">
        <f t="shared" si="19"/>
        <v>0</v>
      </c>
      <c r="M74" s="241">
        <f t="shared" si="19"/>
        <v>0</v>
      </c>
      <c r="N74" s="241">
        <f t="shared" si="19"/>
        <v>0</v>
      </c>
      <c r="O74" s="241">
        <f t="shared" si="19"/>
        <v>0</v>
      </c>
      <c r="P74" s="241">
        <f t="shared" si="19"/>
        <v>0</v>
      </c>
      <c r="Q74" s="241">
        <f t="shared" si="19"/>
        <v>0</v>
      </c>
      <c r="R74" s="241">
        <f t="shared" si="19"/>
        <v>0</v>
      </c>
      <c r="S74" s="241">
        <f t="shared" si="19"/>
        <v>0</v>
      </c>
      <c r="T74" s="241">
        <f t="shared" si="19"/>
        <v>0</v>
      </c>
      <c r="U74" s="242">
        <f t="shared" si="19"/>
        <v>0</v>
      </c>
      <c r="V74" s="206"/>
      <c r="W74" s="118" t="str">
        <f t="shared" si="17"/>
        <v/>
      </c>
    </row>
    <row r="75" spans="2:23" ht="14.45" customHeight="1" x14ac:dyDescent="0.2">
      <c r="B75" s="189" t="s">
        <v>3019</v>
      </c>
      <c r="C75" s="190" t="s">
        <v>3030</v>
      </c>
      <c r="D75" s="187" t="s">
        <v>3472</v>
      </c>
      <c r="E75" s="243">
        <f>COUNTIFS(기출문제!$H:$H,기출빈도!$W75,기출문제!$C:$C,기출빈도!E$3)</f>
        <v>0</v>
      </c>
      <c r="F75" s="243">
        <f>COUNTIFS(기출문제!$H:$H,기출빈도!$W75,기출문제!$C:$C,기출빈도!F$3)</f>
        <v>0</v>
      </c>
      <c r="G75" s="243">
        <f>COUNTIFS(기출문제!$H:$H,기출빈도!$W75,기출문제!$C:$C,기출빈도!G$3)</f>
        <v>0</v>
      </c>
      <c r="H75" s="243">
        <f>COUNTIFS(기출문제!$H:$H,기출빈도!$W75,기출문제!$C:$C,기출빈도!H$3)</f>
        <v>0</v>
      </c>
      <c r="I75" s="243">
        <f>COUNTIFS(기출문제!$H:$H,기출빈도!$W75,기출문제!$C:$C,기출빈도!I$3)</f>
        <v>0</v>
      </c>
      <c r="J75" s="243">
        <f>COUNTIFS(기출문제!$H:$H,기출빈도!$W75,기출문제!$C:$C,기출빈도!J$3)</f>
        <v>0</v>
      </c>
      <c r="K75" s="243">
        <f>COUNTIFS(기출문제!$H:$H,기출빈도!$W75,기출문제!$C:$C,기출빈도!K$3)</f>
        <v>0</v>
      </c>
      <c r="L75" s="243">
        <f>COUNTIFS(기출문제!$H:$H,기출빈도!$W75,기출문제!$C:$C,기출빈도!L$3)</f>
        <v>0</v>
      </c>
      <c r="M75" s="243">
        <f>COUNTIFS(기출문제!$H:$H,기출빈도!$W75,기출문제!$C:$C,기출빈도!M$3)</f>
        <v>0</v>
      </c>
      <c r="N75" s="243">
        <f>COUNTIFS(기출문제!$H:$H,기출빈도!$W75,기출문제!$C:$C,기출빈도!N$3)</f>
        <v>0</v>
      </c>
      <c r="O75" s="243">
        <f>COUNTIFS(기출문제!$H:$H,기출빈도!$W75,기출문제!$C:$C,기출빈도!O$3)</f>
        <v>0</v>
      </c>
      <c r="P75" s="243">
        <f>COUNTIFS(기출문제!$H:$H,기출빈도!$W75,기출문제!$C:$C,기출빈도!P$3)</f>
        <v>0</v>
      </c>
      <c r="Q75" s="243">
        <f>COUNTIFS(기출문제!$H:$H,기출빈도!$W75,기출문제!$C:$C,기출빈도!Q$3)</f>
        <v>0</v>
      </c>
      <c r="R75" s="243">
        <f>COUNTIFS(기출문제!$H:$H,기출빈도!$W75,기출문제!$C:$C,기출빈도!R$3)</f>
        <v>0</v>
      </c>
      <c r="S75" s="243">
        <f>COUNTIFS(기출문제!$H:$H,기출빈도!$W75,기출문제!$C:$C,기출빈도!S$3)</f>
        <v>0</v>
      </c>
      <c r="T75" s="243">
        <f>COUNTIFS(기출문제!$H:$H,기출빈도!$W75,기출문제!$C:$C,기출빈도!T$3)</f>
        <v>0</v>
      </c>
      <c r="U75" s="244">
        <f>COUNTIFS(기출문제!$H:$H,기출빈도!$W75,기출문제!$C:$C,기출빈도!U$3)</f>
        <v>0</v>
      </c>
      <c r="V75" s="204" t="s">
        <v>3488</v>
      </c>
      <c r="W75" s="118" t="str">
        <f t="shared" si="17"/>
        <v>계약각론 서설</v>
      </c>
    </row>
    <row r="76" spans="2:23" ht="14.45" customHeight="1" x14ac:dyDescent="0.2">
      <c r="B76" s="189" t="s">
        <v>3019</v>
      </c>
      <c r="C76" s="192" t="s">
        <v>3029</v>
      </c>
      <c r="D76" s="182" t="s">
        <v>3032</v>
      </c>
      <c r="E76" s="239">
        <f>COUNTIFS(기출문제!$H:$H,기출빈도!$W76,기출문제!$C:$C,기출빈도!E$3)</f>
        <v>0</v>
      </c>
      <c r="F76" s="239">
        <f>COUNTIFS(기출문제!$H:$H,기출빈도!$W76,기출문제!$C:$C,기출빈도!F$3)</f>
        <v>0</v>
      </c>
      <c r="G76" s="239">
        <f>COUNTIFS(기출문제!$H:$H,기출빈도!$W76,기출문제!$C:$C,기출빈도!G$3)</f>
        <v>0</v>
      </c>
      <c r="H76" s="239">
        <f>COUNTIFS(기출문제!$H:$H,기출빈도!$W76,기출문제!$C:$C,기출빈도!H$3)</f>
        <v>0</v>
      </c>
      <c r="I76" s="239">
        <f>COUNTIFS(기출문제!$H:$H,기출빈도!$W76,기출문제!$C:$C,기출빈도!I$3)</f>
        <v>0</v>
      </c>
      <c r="J76" s="239">
        <f>COUNTIFS(기출문제!$H:$H,기출빈도!$W76,기출문제!$C:$C,기출빈도!J$3)</f>
        <v>0</v>
      </c>
      <c r="K76" s="239">
        <f>COUNTIFS(기출문제!$H:$H,기출빈도!$W76,기출문제!$C:$C,기출빈도!K$3)</f>
        <v>0</v>
      </c>
      <c r="L76" s="239">
        <f>COUNTIFS(기출문제!$H:$H,기출빈도!$W76,기출문제!$C:$C,기출빈도!L$3)</f>
        <v>0</v>
      </c>
      <c r="M76" s="239">
        <f>COUNTIFS(기출문제!$H:$H,기출빈도!$W76,기출문제!$C:$C,기출빈도!M$3)</f>
        <v>0</v>
      </c>
      <c r="N76" s="239">
        <f>COUNTIFS(기출문제!$H:$H,기출빈도!$W76,기출문제!$C:$C,기출빈도!N$3)</f>
        <v>0</v>
      </c>
      <c r="O76" s="239">
        <f>COUNTIFS(기출문제!$H:$H,기출빈도!$W76,기출문제!$C:$C,기출빈도!O$3)</f>
        <v>0</v>
      </c>
      <c r="P76" s="239">
        <f>COUNTIFS(기출문제!$H:$H,기출빈도!$W76,기출문제!$C:$C,기출빈도!P$3)</f>
        <v>0</v>
      </c>
      <c r="Q76" s="239">
        <f>COUNTIFS(기출문제!$H:$H,기출빈도!$W76,기출문제!$C:$C,기출빈도!Q$3)</f>
        <v>0</v>
      </c>
      <c r="R76" s="239">
        <f>COUNTIFS(기출문제!$H:$H,기출빈도!$W76,기출문제!$C:$C,기출빈도!R$3)</f>
        <v>0</v>
      </c>
      <c r="S76" s="239">
        <f>COUNTIFS(기출문제!$H:$H,기출빈도!$W76,기출문제!$C:$C,기출빈도!S$3)</f>
        <v>0</v>
      </c>
      <c r="T76" s="239">
        <f>COUNTIFS(기출문제!$H:$H,기출빈도!$W76,기출문제!$C:$C,기출빈도!T$3)</f>
        <v>0</v>
      </c>
      <c r="U76" s="240">
        <f>COUNTIFS(기출문제!$H:$H,기출빈도!$W76,기출문제!$C:$C,기출빈도!U$3)</f>
        <v>0</v>
      </c>
      <c r="V76" s="205" t="s">
        <v>3115</v>
      </c>
      <c r="W76" s="118" t="str">
        <f t="shared" si="17"/>
        <v>증여</v>
      </c>
    </row>
    <row r="77" spans="2:23" ht="14.45" customHeight="1" x14ac:dyDescent="0.2">
      <c r="B77" s="189" t="s">
        <v>3019</v>
      </c>
      <c r="C77" s="192" t="s">
        <v>3029</v>
      </c>
      <c r="D77" s="182" t="s">
        <v>3034</v>
      </c>
      <c r="E77" s="239">
        <f>COUNTIFS(기출문제!$H:$H,기출빈도!$W77,기출문제!$C:$C,기출빈도!E$3)</f>
        <v>0</v>
      </c>
      <c r="F77" s="239">
        <f>COUNTIFS(기출문제!$H:$H,기출빈도!$W77,기출문제!$C:$C,기출빈도!F$3)</f>
        <v>0</v>
      </c>
      <c r="G77" s="239">
        <f>COUNTIFS(기출문제!$H:$H,기출빈도!$W77,기출문제!$C:$C,기출빈도!G$3)</f>
        <v>0</v>
      </c>
      <c r="H77" s="239">
        <f>COUNTIFS(기출문제!$H:$H,기출빈도!$W77,기출문제!$C:$C,기출빈도!H$3)</f>
        <v>0</v>
      </c>
      <c r="I77" s="239">
        <f>COUNTIFS(기출문제!$H:$H,기출빈도!$W77,기출문제!$C:$C,기출빈도!I$3)</f>
        <v>0</v>
      </c>
      <c r="J77" s="239">
        <f>COUNTIFS(기출문제!$H:$H,기출빈도!$W77,기출문제!$C:$C,기출빈도!J$3)</f>
        <v>0</v>
      </c>
      <c r="K77" s="239">
        <f>COUNTIFS(기출문제!$H:$H,기출빈도!$W77,기출문제!$C:$C,기출빈도!K$3)</f>
        <v>0</v>
      </c>
      <c r="L77" s="239">
        <f>COUNTIFS(기출문제!$H:$H,기출빈도!$W77,기출문제!$C:$C,기출빈도!L$3)</f>
        <v>0</v>
      </c>
      <c r="M77" s="239">
        <f>COUNTIFS(기출문제!$H:$H,기출빈도!$W77,기출문제!$C:$C,기출빈도!M$3)</f>
        <v>0</v>
      </c>
      <c r="N77" s="239">
        <f>COUNTIFS(기출문제!$H:$H,기출빈도!$W77,기출문제!$C:$C,기출빈도!N$3)</f>
        <v>0</v>
      </c>
      <c r="O77" s="239">
        <f>COUNTIFS(기출문제!$H:$H,기출빈도!$W77,기출문제!$C:$C,기출빈도!O$3)</f>
        <v>0</v>
      </c>
      <c r="P77" s="239">
        <f>COUNTIFS(기출문제!$H:$H,기출빈도!$W77,기출문제!$C:$C,기출빈도!P$3)</f>
        <v>0</v>
      </c>
      <c r="Q77" s="239">
        <f>COUNTIFS(기출문제!$H:$H,기출빈도!$W77,기출문제!$C:$C,기출빈도!Q$3)</f>
        <v>0</v>
      </c>
      <c r="R77" s="239">
        <f>COUNTIFS(기출문제!$H:$H,기출빈도!$W77,기출문제!$C:$C,기출빈도!R$3)</f>
        <v>0</v>
      </c>
      <c r="S77" s="239">
        <f>COUNTIFS(기출문제!$H:$H,기출빈도!$W77,기출문제!$C:$C,기출빈도!S$3)</f>
        <v>0</v>
      </c>
      <c r="T77" s="239">
        <f>COUNTIFS(기출문제!$H:$H,기출빈도!$W77,기출문제!$C:$C,기출빈도!T$3)</f>
        <v>0</v>
      </c>
      <c r="U77" s="240">
        <f>COUNTIFS(기출문제!$H:$H,기출빈도!$W77,기출문제!$C:$C,기출빈도!U$3)</f>
        <v>0</v>
      </c>
      <c r="V77" s="205" t="s">
        <v>3116</v>
      </c>
      <c r="W77" s="118" t="str">
        <f t="shared" si="17"/>
        <v>매매</v>
      </c>
    </row>
    <row r="78" spans="2:23" ht="14.45" customHeight="1" x14ac:dyDescent="0.2">
      <c r="B78" s="189" t="s">
        <v>3019</v>
      </c>
      <c r="C78" s="192" t="s">
        <v>3029</v>
      </c>
      <c r="D78" s="182" t="s">
        <v>3036</v>
      </c>
      <c r="E78" s="239">
        <f>COUNTIFS(기출문제!$H:$H,기출빈도!$W78,기출문제!$C:$C,기출빈도!E$3)</f>
        <v>0</v>
      </c>
      <c r="F78" s="239">
        <f>COUNTIFS(기출문제!$H:$H,기출빈도!$W78,기출문제!$C:$C,기출빈도!F$3)</f>
        <v>0</v>
      </c>
      <c r="G78" s="239">
        <f>COUNTIFS(기출문제!$H:$H,기출빈도!$W78,기출문제!$C:$C,기출빈도!G$3)</f>
        <v>0</v>
      </c>
      <c r="H78" s="239">
        <f>COUNTIFS(기출문제!$H:$H,기출빈도!$W78,기출문제!$C:$C,기출빈도!H$3)</f>
        <v>0</v>
      </c>
      <c r="I78" s="239">
        <f>COUNTIFS(기출문제!$H:$H,기출빈도!$W78,기출문제!$C:$C,기출빈도!I$3)</f>
        <v>0</v>
      </c>
      <c r="J78" s="239">
        <f>COUNTIFS(기출문제!$H:$H,기출빈도!$W78,기출문제!$C:$C,기출빈도!J$3)</f>
        <v>0</v>
      </c>
      <c r="K78" s="239">
        <f>COUNTIFS(기출문제!$H:$H,기출빈도!$W78,기출문제!$C:$C,기출빈도!K$3)</f>
        <v>0</v>
      </c>
      <c r="L78" s="239">
        <f>COUNTIFS(기출문제!$H:$H,기출빈도!$W78,기출문제!$C:$C,기출빈도!L$3)</f>
        <v>0</v>
      </c>
      <c r="M78" s="239">
        <f>COUNTIFS(기출문제!$H:$H,기출빈도!$W78,기출문제!$C:$C,기출빈도!M$3)</f>
        <v>0</v>
      </c>
      <c r="N78" s="239">
        <f>COUNTIFS(기출문제!$H:$H,기출빈도!$W78,기출문제!$C:$C,기출빈도!N$3)</f>
        <v>0</v>
      </c>
      <c r="O78" s="239">
        <f>COUNTIFS(기출문제!$H:$H,기출빈도!$W78,기출문제!$C:$C,기출빈도!O$3)</f>
        <v>0</v>
      </c>
      <c r="P78" s="239">
        <f>COUNTIFS(기출문제!$H:$H,기출빈도!$W78,기출문제!$C:$C,기출빈도!P$3)</f>
        <v>0</v>
      </c>
      <c r="Q78" s="239">
        <f>COUNTIFS(기출문제!$H:$H,기출빈도!$W78,기출문제!$C:$C,기출빈도!Q$3)</f>
        <v>0</v>
      </c>
      <c r="R78" s="239">
        <f>COUNTIFS(기출문제!$H:$H,기출빈도!$W78,기출문제!$C:$C,기출빈도!R$3)</f>
        <v>0</v>
      </c>
      <c r="S78" s="239">
        <f>COUNTIFS(기출문제!$H:$H,기출빈도!$W78,기출문제!$C:$C,기출빈도!S$3)</f>
        <v>0</v>
      </c>
      <c r="T78" s="239">
        <f>COUNTIFS(기출문제!$H:$H,기출빈도!$W78,기출문제!$C:$C,기출빈도!T$3)</f>
        <v>0</v>
      </c>
      <c r="U78" s="240">
        <f>COUNTIFS(기출문제!$H:$H,기출빈도!$W78,기출문제!$C:$C,기출빈도!U$3)</f>
        <v>0</v>
      </c>
      <c r="V78" s="205" t="s">
        <v>3117</v>
      </c>
      <c r="W78" s="118" t="str">
        <f t="shared" si="17"/>
        <v>교환</v>
      </c>
    </row>
    <row r="79" spans="2:23" ht="14.45" customHeight="1" x14ac:dyDescent="0.2">
      <c r="B79" s="189" t="s">
        <v>3019</v>
      </c>
      <c r="C79" s="192" t="s">
        <v>3029</v>
      </c>
      <c r="D79" s="182" t="s">
        <v>3038</v>
      </c>
      <c r="E79" s="239">
        <f>COUNTIFS(기출문제!$H:$H,기출빈도!$W79,기출문제!$C:$C,기출빈도!E$3)</f>
        <v>0</v>
      </c>
      <c r="F79" s="239">
        <f>COUNTIFS(기출문제!$H:$H,기출빈도!$W79,기출문제!$C:$C,기출빈도!F$3)</f>
        <v>0</v>
      </c>
      <c r="G79" s="239">
        <f>COUNTIFS(기출문제!$H:$H,기출빈도!$W79,기출문제!$C:$C,기출빈도!G$3)</f>
        <v>0</v>
      </c>
      <c r="H79" s="239">
        <f>COUNTIFS(기출문제!$H:$H,기출빈도!$W79,기출문제!$C:$C,기출빈도!H$3)</f>
        <v>0</v>
      </c>
      <c r="I79" s="239">
        <f>COUNTIFS(기출문제!$H:$H,기출빈도!$W79,기출문제!$C:$C,기출빈도!I$3)</f>
        <v>0</v>
      </c>
      <c r="J79" s="239">
        <f>COUNTIFS(기출문제!$H:$H,기출빈도!$W79,기출문제!$C:$C,기출빈도!J$3)</f>
        <v>0</v>
      </c>
      <c r="K79" s="239">
        <f>COUNTIFS(기출문제!$H:$H,기출빈도!$W79,기출문제!$C:$C,기출빈도!K$3)</f>
        <v>0</v>
      </c>
      <c r="L79" s="239">
        <f>COUNTIFS(기출문제!$H:$H,기출빈도!$W79,기출문제!$C:$C,기출빈도!L$3)</f>
        <v>0</v>
      </c>
      <c r="M79" s="239">
        <f>COUNTIFS(기출문제!$H:$H,기출빈도!$W79,기출문제!$C:$C,기출빈도!M$3)</f>
        <v>0</v>
      </c>
      <c r="N79" s="239">
        <f>COUNTIFS(기출문제!$H:$H,기출빈도!$W79,기출문제!$C:$C,기출빈도!N$3)</f>
        <v>0</v>
      </c>
      <c r="O79" s="239">
        <f>COUNTIFS(기출문제!$H:$H,기출빈도!$W79,기출문제!$C:$C,기출빈도!O$3)</f>
        <v>0</v>
      </c>
      <c r="P79" s="239">
        <f>COUNTIFS(기출문제!$H:$H,기출빈도!$W79,기출문제!$C:$C,기출빈도!P$3)</f>
        <v>0</v>
      </c>
      <c r="Q79" s="239">
        <f>COUNTIFS(기출문제!$H:$H,기출빈도!$W79,기출문제!$C:$C,기출빈도!Q$3)</f>
        <v>0</v>
      </c>
      <c r="R79" s="239">
        <f>COUNTIFS(기출문제!$H:$H,기출빈도!$W79,기출문제!$C:$C,기출빈도!R$3)</f>
        <v>0</v>
      </c>
      <c r="S79" s="239">
        <f>COUNTIFS(기출문제!$H:$H,기출빈도!$W79,기출문제!$C:$C,기출빈도!S$3)</f>
        <v>0</v>
      </c>
      <c r="T79" s="239">
        <f>COUNTIFS(기출문제!$H:$H,기출빈도!$W79,기출문제!$C:$C,기출빈도!T$3)</f>
        <v>0</v>
      </c>
      <c r="U79" s="240">
        <f>COUNTIFS(기출문제!$H:$H,기출빈도!$W79,기출문제!$C:$C,기출빈도!U$3)</f>
        <v>0</v>
      </c>
      <c r="V79" s="205" t="s">
        <v>3118</v>
      </c>
      <c r="W79" s="118" t="str">
        <f t="shared" si="17"/>
        <v>소비대차</v>
      </c>
    </row>
    <row r="80" spans="2:23" ht="14.45" customHeight="1" x14ac:dyDescent="0.2">
      <c r="B80" s="189" t="s">
        <v>3019</v>
      </c>
      <c r="C80" s="192" t="s">
        <v>3029</v>
      </c>
      <c r="D80" s="182" t="s">
        <v>3040</v>
      </c>
      <c r="E80" s="239">
        <f>COUNTIFS(기출문제!$H:$H,기출빈도!$W80,기출문제!$C:$C,기출빈도!E$3)</f>
        <v>0</v>
      </c>
      <c r="F80" s="239">
        <f>COUNTIFS(기출문제!$H:$H,기출빈도!$W80,기출문제!$C:$C,기출빈도!F$3)</f>
        <v>0</v>
      </c>
      <c r="G80" s="239">
        <f>COUNTIFS(기출문제!$H:$H,기출빈도!$W80,기출문제!$C:$C,기출빈도!G$3)</f>
        <v>0</v>
      </c>
      <c r="H80" s="239">
        <f>COUNTIFS(기출문제!$H:$H,기출빈도!$W80,기출문제!$C:$C,기출빈도!H$3)</f>
        <v>0</v>
      </c>
      <c r="I80" s="239">
        <f>COUNTIFS(기출문제!$H:$H,기출빈도!$W80,기출문제!$C:$C,기출빈도!I$3)</f>
        <v>0</v>
      </c>
      <c r="J80" s="239">
        <f>COUNTIFS(기출문제!$H:$H,기출빈도!$W80,기출문제!$C:$C,기출빈도!J$3)</f>
        <v>0</v>
      </c>
      <c r="K80" s="239">
        <f>COUNTIFS(기출문제!$H:$H,기출빈도!$W80,기출문제!$C:$C,기출빈도!K$3)</f>
        <v>0</v>
      </c>
      <c r="L80" s="239">
        <f>COUNTIFS(기출문제!$H:$H,기출빈도!$W80,기출문제!$C:$C,기출빈도!L$3)</f>
        <v>0</v>
      </c>
      <c r="M80" s="239">
        <f>COUNTIFS(기출문제!$H:$H,기출빈도!$W80,기출문제!$C:$C,기출빈도!M$3)</f>
        <v>0</v>
      </c>
      <c r="N80" s="239">
        <f>COUNTIFS(기출문제!$H:$H,기출빈도!$W80,기출문제!$C:$C,기출빈도!N$3)</f>
        <v>0</v>
      </c>
      <c r="O80" s="239">
        <f>COUNTIFS(기출문제!$H:$H,기출빈도!$W80,기출문제!$C:$C,기출빈도!O$3)</f>
        <v>0</v>
      </c>
      <c r="P80" s="239">
        <f>COUNTIFS(기출문제!$H:$H,기출빈도!$W80,기출문제!$C:$C,기출빈도!P$3)</f>
        <v>0</v>
      </c>
      <c r="Q80" s="239">
        <f>COUNTIFS(기출문제!$H:$H,기출빈도!$W80,기출문제!$C:$C,기출빈도!Q$3)</f>
        <v>0</v>
      </c>
      <c r="R80" s="239">
        <f>COUNTIFS(기출문제!$H:$H,기출빈도!$W80,기출문제!$C:$C,기출빈도!R$3)</f>
        <v>0</v>
      </c>
      <c r="S80" s="239">
        <f>COUNTIFS(기출문제!$H:$H,기출빈도!$W80,기출문제!$C:$C,기출빈도!S$3)</f>
        <v>0</v>
      </c>
      <c r="T80" s="239">
        <f>COUNTIFS(기출문제!$H:$H,기출빈도!$W80,기출문제!$C:$C,기출빈도!T$3)</f>
        <v>0</v>
      </c>
      <c r="U80" s="240">
        <f>COUNTIFS(기출문제!$H:$H,기출빈도!$W80,기출문제!$C:$C,기출빈도!U$3)</f>
        <v>0</v>
      </c>
      <c r="V80" s="205" t="s">
        <v>3119</v>
      </c>
      <c r="W80" s="118" t="str">
        <f t="shared" si="17"/>
        <v>사용대차</v>
      </c>
    </row>
    <row r="81" spans="2:23" ht="14.45" customHeight="1" x14ac:dyDescent="0.2">
      <c r="B81" s="189" t="s">
        <v>3019</v>
      </c>
      <c r="C81" s="192" t="s">
        <v>3029</v>
      </c>
      <c r="D81" s="182" t="s">
        <v>3042</v>
      </c>
      <c r="E81" s="239">
        <f>COUNTIFS(기출문제!$H:$H,기출빈도!$W81,기출문제!$C:$C,기출빈도!E$3)</f>
        <v>0</v>
      </c>
      <c r="F81" s="239">
        <f>COUNTIFS(기출문제!$H:$H,기출빈도!$W81,기출문제!$C:$C,기출빈도!F$3)</f>
        <v>0</v>
      </c>
      <c r="G81" s="239">
        <f>COUNTIFS(기출문제!$H:$H,기출빈도!$W81,기출문제!$C:$C,기출빈도!G$3)</f>
        <v>0</v>
      </c>
      <c r="H81" s="239">
        <f>COUNTIFS(기출문제!$H:$H,기출빈도!$W81,기출문제!$C:$C,기출빈도!H$3)</f>
        <v>0</v>
      </c>
      <c r="I81" s="239">
        <f>COUNTIFS(기출문제!$H:$H,기출빈도!$W81,기출문제!$C:$C,기출빈도!I$3)</f>
        <v>0</v>
      </c>
      <c r="J81" s="239">
        <f>COUNTIFS(기출문제!$H:$H,기출빈도!$W81,기출문제!$C:$C,기출빈도!J$3)</f>
        <v>0</v>
      </c>
      <c r="K81" s="239">
        <f>COUNTIFS(기출문제!$H:$H,기출빈도!$W81,기출문제!$C:$C,기출빈도!K$3)</f>
        <v>0</v>
      </c>
      <c r="L81" s="239">
        <f>COUNTIFS(기출문제!$H:$H,기출빈도!$W81,기출문제!$C:$C,기출빈도!L$3)</f>
        <v>0</v>
      </c>
      <c r="M81" s="239">
        <f>COUNTIFS(기출문제!$H:$H,기출빈도!$W81,기출문제!$C:$C,기출빈도!M$3)</f>
        <v>0</v>
      </c>
      <c r="N81" s="239">
        <f>COUNTIFS(기출문제!$H:$H,기출빈도!$W81,기출문제!$C:$C,기출빈도!N$3)</f>
        <v>0</v>
      </c>
      <c r="O81" s="239">
        <f>COUNTIFS(기출문제!$H:$H,기출빈도!$W81,기출문제!$C:$C,기출빈도!O$3)</f>
        <v>0</v>
      </c>
      <c r="P81" s="239">
        <f>COUNTIFS(기출문제!$H:$H,기출빈도!$W81,기출문제!$C:$C,기출빈도!P$3)</f>
        <v>0</v>
      </c>
      <c r="Q81" s="239">
        <f>COUNTIFS(기출문제!$H:$H,기출빈도!$W81,기출문제!$C:$C,기출빈도!Q$3)</f>
        <v>0</v>
      </c>
      <c r="R81" s="239">
        <f>COUNTIFS(기출문제!$H:$H,기출빈도!$W81,기출문제!$C:$C,기출빈도!R$3)</f>
        <v>0</v>
      </c>
      <c r="S81" s="239">
        <f>COUNTIFS(기출문제!$H:$H,기출빈도!$W81,기출문제!$C:$C,기출빈도!S$3)</f>
        <v>0</v>
      </c>
      <c r="T81" s="239">
        <f>COUNTIFS(기출문제!$H:$H,기출빈도!$W81,기출문제!$C:$C,기출빈도!T$3)</f>
        <v>0</v>
      </c>
      <c r="U81" s="240">
        <f>COUNTIFS(기출문제!$H:$H,기출빈도!$W81,기출문제!$C:$C,기출빈도!U$3)</f>
        <v>0</v>
      </c>
      <c r="V81" s="205" t="s">
        <v>3120</v>
      </c>
      <c r="W81" s="118" t="str">
        <f t="shared" si="17"/>
        <v>임대차</v>
      </c>
    </row>
    <row r="82" spans="2:23" ht="14.45" customHeight="1" x14ac:dyDescent="0.2">
      <c r="B82" s="189" t="s">
        <v>3019</v>
      </c>
      <c r="C82" s="192" t="s">
        <v>3029</v>
      </c>
      <c r="D82" s="182" t="s">
        <v>3044</v>
      </c>
      <c r="E82" s="239">
        <f>COUNTIFS(기출문제!$H:$H,기출빈도!$W82,기출문제!$C:$C,기출빈도!E$3)</f>
        <v>0</v>
      </c>
      <c r="F82" s="239">
        <f>COUNTIFS(기출문제!$H:$H,기출빈도!$W82,기출문제!$C:$C,기출빈도!F$3)</f>
        <v>0</v>
      </c>
      <c r="G82" s="239">
        <f>COUNTIFS(기출문제!$H:$H,기출빈도!$W82,기출문제!$C:$C,기출빈도!G$3)</f>
        <v>0</v>
      </c>
      <c r="H82" s="239">
        <f>COUNTIFS(기출문제!$H:$H,기출빈도!$W82,기출문제!$C:$C,기출빈도!H$3)</f>
        <v>0</v>
      </c>
      <c r="I82" s="239">
        <f>COUNTIFS(기출문제!$H:$H,기출빈도!$W82,기출문제!$C:$C,기출빈도!I$3)</f>
        <v>0</v>
      </c>
      <c r="J82" s="239">
        <f>COUNTIFS(기출문제!$H:$H,기출빈도!$W82,기출문제!$C:$C,기출빈도!J$3)</f>
        <v>0</v>
      </c>
      <c r="K82" s="239">
        <f>COUNTIFS(기출문제!$H:$H,기출빈도!$W82,기출문제!$C:$C,기출빈도!K$3)</f>
        <v>0</v>
      </c>
      <c r="L82" s="239">
        <f>COUNTIFS(기출문제!$H:$H,기출빈도!$W82,기출문제!$C:$C,기출빈도!L$3)</f>
        <v>0</v>
      </c>
      <c r="M82" s="239">
        <f>COUNTIFS(기출문제!$H:$H,기출빈도!$W82,기출문제!$C:$C,기출빈도!M$3)</f>
        <v>0</v>
      </c>
      <c r="N82" s="239">
        <f>COUNTIFS(기출문제!$H:$H,기출빈도!$W82,기출문제!$C:$C,기출빈도!N$3)</f>
        <v>0</v>
      </c>
      <c r="O82" s="239">
        <f>COUNTIFS(기출문제!$H:$H,기출빈도!$W82,기출문제!$C:$C,기출빈도!O$3)</f>
        <v>0</v>
      </c>
      <c r="P82" s="239">
        <f>COUNTIFS(기출문제!$H:$H,기출빈도!$W82,기출문제!$C:$C,기출빈도!P$3)</f>
        <v>0</v>
      </c>
      <c r="Q82" s="239">
        <f>COUNTIFS(기출문제!$H:$H,기출빈도!$W82,기출문제!$C:$C,기출빈도!Q$3)</f>
        <v>0</v>
      </c>
      <c r="R82" s="239">
        <f>COUNTIFS(기출문제!$H:$H,기출빈도!$W82,기출문제!$C:$C,기출빈도!R$3)</f>
        <v>0</v>
      </c>
      <c r="S82" s="239">
        <f>COUNTIFS(기출문제!$H:$H,기출빈도!$W82,기출문제!$C:$C,기출빈도!S$3)</f>
        <v>0</v>
      </c>
      <c r="T82" s="239">
        <f>COUNTIFS(기출문제!$H:$H,기출빈도!$W82,기출문제!$C:$C,기출빈도!T$3)</f>
        <v>0</v>
      </c>
      <c r="U82" s="240">
        <f>COUNTIFS(기출문제!$H:$H,기출빈도!$W82,기출문제!$C:$C,기출빈도!U$3)</f>
        <v>0</v>
      </c>
      <c r="V82" s="205" t="s">
        <v>3121</v>
      </c>
      <c r="W82" s="118" t="str">
        <f t="shared" si="17"/>
        <v>고용</v>
      </c>
    </row>
    <row r="83" spans="2:23" ht="14.45" customHeight="1" x14ac:dyDescent="0.2">
      <c r="B83" s="189" t="s">
        <v>3019</v>
      </c>
      <c r="C83" s="192" t="s">
        <v>3029</v>
      </c>
      <c r="D83" s="182" t="s">
        <v>3046</v>
      </c>
      <c r="E83" s="239">
        <f>COUNTIFS(기출문제!$H:$H,기출빈도!$W83,기출문제!$C:$C,기출빈도!E$3)</f>
        <v>0</v>
      </c>
      <c r="F83" s="239">
        <f>COUNTIFS(기출문제!$H:$H,기출빈도!$W83,기출문제!$C:$C,기출빈도!F$3)</f>
        <v>0</v>
      </c>
      <c r="G83" s="239">
        <f>COUNTIFS(기출문제!$H:$H,기출빈도!$W83,기출문제!$C:$C,기출빈도!G$3)</f>
        <v>0</v>
      </c>
      <c r="H83" s="239">
        <f>COUNTIFS(기출문제!$H:$H,기출빈도!$W83,기출문제!$C:$C,기출빈도!H$3)</f>
        <v>0</v>
      </c>
      <c r="I83" s="239">
        <f>COUNTIFS(기출문제!$H:$H,기출빈도!$W83,기출문제!$C:$C,기출빈도!I$3)</f>
        <v>0</v>
      </c>
      <c r="J83" s="239">
        <f>COUNTIFS(기출문제!$H:$H,기출빈도!$W83,기출문제!$C:$C,기출빈도!J$3)</f>
        <v>0</v>
      </c>
      <c r="K83" s="239">
        <f>COUNTIFS(기출문제!$H:$H,기출빈도!$W83,기출문제!$C:$C,기출빈도!K$3)</f>
        <v>0</v>
      </c>
      <c r="L83" s="239">
        <f>COUNTIFS(기출문제!$H:$H,기출빈도!$W83,기출문제!$C:$C,기출빈도!L$3)</f>
        <v>0</v>
      </c>
      <c r="M83" s="239">
        <f>COUNTIFS(기출문제!$H:$H,기출빈도!$W83,기출문제!$C:$C,기출빈도!M$3)</f>
        <v>0</v>
      </c>
      <c r="N83" s="239">
        <f>COUNTIFS(기출문제!$H:$H,기출빈도!$W83,기출문제!$C:$C,기출빈도!N$3)</f>
        <v>0</v>
      </c>
      <c r="O83" s="239">
        <f>COUNTIFS(기출문제!$H:$H,기출빈도!$W83,기출문제!$C:$C,기출빈도!O$3)</f>
        <v>0</v>
      </c>
      <c r="P83" s="239">
        <f>COUNTIFS(기출문제!$H:$H,기출빈도!$W83,기출문제!$C:$C,기출빈도!P$3)</f>
        <v>0</v>
      </c>
      <c r="Q83" s="239">
        <f>COUNTIFS(기출문제!$H:$H,기출빈도!$W83,기출문제!$C:$C,기출빈도!Q$3)</f>
        <v>0</v>
      </c>
      <c r="R83" s="239">
        <f>COUNTIFS(기출문제!$H:$H,기출빈도!$W83,기출문제!$C:$C,기출빈도!R$3)</f>
        <v>0</v>
      </c>
      <c r="S83" s="239">
        <f>COUNTIFS(기출문제!$H:$H,기출빈도!$W83,기출문제!$C:$C,기출빈도!S$3)</f>
        <v>0</v>
      </c>
      <c r="T83" s="239">
        <f>COUNTIFS(기출문제!$H:$H,기출빈도!$W83,기출문제!$C:$C,기출빈도!T$3)</f>
        <v>0</v>
      </c>
      <c r="U83" s="240">
        <f>COUNTIFS(기출문제!$H:$H,기출빈도!$W83,기출문제!$C:$C,기출빈도!U$3)</f>
        <v>0</v>
      </c>
      <c r="V83" s="205" t="s">
        <v>3122</v>
      </c>
      <c r="W83" s="118" t="str">
        <f t="shared" si="17"/>
        <v>도급</v>
      </c>
    </row>
    <row r="84" spans="2:23" ht="14.45" customHeight="1" x14ac:dyDescent="0.2">
      <c r="B84" s="189" t="s">
        <v>3019</v>
      </c>
      <c r="C84" s="192" t="s">
        <v>3029</v>
      </c>
      <c r="D84" s="182" t="s">
        <v>3048</v>
      </c>
      <c r="E84" s="239">
        <f>COUNTIFS(기출문제!$H:$H,기출빈도!$W84,기출문제!$C:$C,기출빈도!E$3)</f>
        <v>0</v>
      </c>
      <c r="F84" s="239">
        <f>COUNTIFS(기출문제!$H:$H,기출빈도!$W84,기출문제!$C:$C,기출빈도!F$3)</f>
        <v>0</v>
      </c>
      <c r="G84" s="239">
        <f>COUNTIFS(기출문제!$H:$H,기출빈도!$W84,기출문제!$C:$C,기출빈도!G$3)</f>
        <v>0</v>
      </c>
      <c r="H84" s="239">
        <f>COUNTIFS(기출문제!$H:$H,기출빈도!$W84,기출문제!$C:$C,기출빈도!H$3)</f>
        <v>0</v>
      </c>
      <c r="I84" s="239">
        <f>COUNTIFS(기출문제!$H:$H,기출빈도!$W84,기출문제!$C:$C,기출빈도!I$3)</f>
        <v>0</v>
      </c>
      <c r="J84" s="239">
        <f>COUNTIFS(기출문제!$H:$H,기출빈도!$W84,기출문제!$C:$C,기출빈도!J$3)</f>
        <v>0</v>
      </c>
      <c r="K84" s="239">
        <f>COUNTIFS(기출문제!$H:$H,기출빈도!$W84,기출문제!$C:$C,기출빈도!K$3)</f>
        <v>0</v>
      </c>
      <c r="L84" s="239">
        <f>COUNTIFS(기출문제!$H:$H,기출빈도!$W84,기출문제!$C:$C,기출빈도!L$3)</f>
        <v>0</v>
      </c>
      <c r="M84" s="239">
        <f>COUNTIFS(기출문제!$H:$H,기출빈도!$W84,기출문제!$C:$C,기출빈도!M$3)</f>
        <v>0</v>
      </c>
      <c r="N84" s="239">
        <f>COUNTIFS(기출문제!$H:$H,기출빈도!$W84,기출문제!$C:$C,기출빈도!N$3)</f>
        <v>0</v>
      </c>
      <c r="O84" s="239">
        <f>COUNTIFS(기출문제!$H:$H,기출빈도!$W84,기출문제!$C:$C,기출빈도!O$3)</f>
        <v>0</v>
      </c>
      <c r="P84" s="239">
        <f>COUNTIFS(기출문제!$H:$H,기출빈도!$W84,기출문제!$C:$C,기출빈도!P$3)</f>
        <v>0</v>
      </c>
      <c r="Q84" s="239">
        <f>COUNTIFS(기출문제!$H:$H,기출빈도!$W84,기출문제!$C:$C,기출빈도!Q$3)</f>
        <v>0</v>
      </c>
      <c r="R84" s="239">
        <f>COUNTIFS(기출문제!$H:$H,기출빈도!$W84,기출문제!$C:$C,기출빈도!R$3)</f>
        <v>0</v>
      </c>
      <c r="S84" s="239">
        <f>COUNTIFS(기출문제!$H:$H,기출빈도!$W84,기출문제!$C:$C,기출빈도!S$3)</f>
        <v>0</v>
      </c>
      <c r="T84" s="239">
        <f>COUNTIFS(기출문제!$H:$H,기출빈도!$W84,기출문제!$C:$C,기출빈도!T$3)</f>
        <v>0</v>
      </c>
      <c r="U84" s="240">
        <f>COUNTIFS(기출문제!$H:$H,기출빈도!$W84,기출문제!$C:$C,기출빈도!U$3)</f>
        <v>0</v>
      </c>
      <c r="V84" s="205" t="s">
        <v>3123</v>
      </c>
      <c r="W84" s="118" t="str">
        <f t="shared" si="17"/>
        <v>2 여행계약</v>
      </c>
    </row>
    <row r="85" spans="2:23" ht="14.45" customHeight="1" x14ac:dyDescent="0.2">
      <c r="B85" s="189" t="s">
        <v>3019</v>
      </c>
      <c r="C85" s="192" t="s">
        <v>3029</v>
      </c>
      <c r="D85" s="182" t="s">
        <v>3050</v>
      </c>
      <c r="E85" s="239">
        <f>COUNTIFS(기출문제!$H:$H,기출빈도!$W85,기출문제!$C:$C,기출빈도!E$3)</f>
        <v>0</v>
      </c>
      <c r="F85" s="239">
        <f>COUNTIFS(기출문제!$H:$H,기출빈도!$W85,기출문제!$C:$C,기출빈도!F$3)</f>
        <v>0</v>
      </c>
      <c r="G85" s="239">
        <f>COUNTIFS(기출문제!$H:$H,기출빈도!$W85,기출문제!$C:$C,기출빈도!G$3)</f>
        <v>0</v>
      </c>
      <c r="H85" s="239">
        <f>COUNTIFS(기출문제!$H:$H,기출빈도!$W85,기출문제!$C:$C,기출빈도!H$3)</f>
        <v>0</v>
      </c>
      <c r="I85" s="239">
        <f>COUNTIFS(기출문제!$H:$H,기출빈도!$W85,기출문제!$C:$C,기출빈도!I$3)</f>
        <v>0</v>
      </c>
      <c r="J85" s="239">
        <f>COUNTIFS(기출문제!$H:$H,기출빈도!$W85,기출문제!$C:$C,기출빈도!J$3)</f>
        <v>0</v>
      </c>
      <c r="K85" s="239">
        <f>COUNTIFS(기출문제!$H:$H,기출빈도!$W85,기출문제!$C:$C,기출빈도!K$3)</f>
        <v>0</v>
      </c>
      <c r="L85" s="239">
        <f>COUNTIFS(기출문제!$H:$H,기출빈도!$W85,기출문제!$C:$C,기출빈도!L$3)</f>
        <v>0</v>
      </c>
      <c r="M85" s="239">
        <f>COUNTIFS(기출문제!$H:$H,기출빈도!$W85,기출문제!$C:$C,기출빈도!M$3)</f>
        <v>0</v>
      </c>
      <c r="N85" s="239">
        <f>COUNTIFS(기출문제!$H:$H,기출빈도!$W85,기출문제!$C:$C,기출빈도!N$3)</f>
        <v>0</v>
      </c>
      <c r="O85" s="239">
        <f>COUNTIFS(기출문제!$H:$H,기출빈도!$W85,기출문제!$C:$C,기출빈도!O$3)</f>
        <v>0</v>
      </c>
      <c r="P85" s="239">
        <f>COUNTIFS(기출문제!$H:$H,기출빈도!$W85,기출문제!$C:$C,기출빈도!P$3)</f>
        <v>0</v>
      </c>
      <c r="Q85" s="239">
        <f>COUNTIFS(기출문제!$H:$H,기출빈도!$W85,기출문제!$C:$C,기출빈도!Q$3)</f>
        <v>0</v>
      </c>
      <c r="R85" s="239">
        <f>COUNTIFS(기출문제!$H:$H,기출빈도!$W85,기출문제!$C:$C,기출빈도!R$3)</f>
        <v>0</v>
      </c>
      <c r="S85" s="239">
        <f>COUNTIFS(기출문제!$H:$H,기출빈도!$W85,기출문제!$C:$C,기출빈도!S$3)</f>
        <v>0</v>
      </c>
      <c r="T85" s="239">
        <f>COUNTIFS(기출문제!$H:$H,기출빈도!$W85,기출문제!$C:$C,기출빈도!T$3)</f>
        <v>0</v>
      </c>
      <c r="U85" s="240">
        <f>COUNTIFS(기출문제!$H:$H,기출빈도!$W85,기출문제!$C:$C,기출빈도!U$3)</f>
        <v>0</v>
      </c>
      <c r="V85" s="205" t="s">
        <v>3124</v>
      </c>
      <c r="W85" s="118" t="str">
        <f t="shared" si="17"/>
        <v>현상광고</v>
      </c>
    </row>
    <row r="86" spans="2:23" ht="14.45" customHeight="1" x14ac:dyDescent="0.2">
      <c r="B86" s="189" t="s">
        <v>3019</v>
      </c>
      <c r="C86" s="192" t="s">
        <v>3029</v>
      </c>
      <c r="D86" s="182" t="s">
        <v>3052</v>
      </c>
      <c r="E86" s="239">
        <f>COUNTIFS(기출문제!$H:$H,기출빈도!$W86,기출문제!$C:$C,기출빈도!E$3)</f>
        <v>0</v>
      </c>
      <c r="F86" s="239">
        <f>COUNTIFS(기출문제!$H:$H,기출빈도!$W86,기출문제!$C:$C,기출빈도!F$3)</f>
        <v>0</v>
      </c>
      <c r="G86" s="239">
        <f>COUNTIFS(기출문제!$H:$H,기출빈도!$W86,기출문제!$C:$C,기출빈도!G$3)</f>
        <v>0</v>
      </c>
      <c r="H86" s="239">
        <f>COUNTIFS(기출문제!$H:$H,기출빈도!$W86,기출문제!$C:$C,기출빈도!H$3)</f>
        <v>0</v>
      </c>
      <c r="I86" s="239">
        <f>COUNTIFS(기출문제!$H:$H,기출빈도!$W86,기출문제!$C:$C,기출빈도!I$3)</f>
        <v>0</v>
      </c>
      <c r="J86" s="239">
        <f>COUNTIFS(기출문제!$H:$H,기출빈도!$W86,기출문제!$C:$C,기출빈도!J$3)</f>
        <v>0</v>
      </c>
      <c r="K86" s="239">
        <f>COUNTIFS(기출문제!$H:$H,기출빈도!$W86,기출문제!$C:$C,기출빈도!K$3)</f>
        <v>0</v>
      </c>
      <c r="L86" s="239">
        <f>COUNTIFS(기출문제!$H:$H,기출빈도!$W86,기출문제!$C:$C,기출빈도!L$3)</f>
        <v>0</v>
      </c>
      <c r="M86" s="239">
        <f>COUNTIFS(기출문제!$H:$H,기출빈도!$W86,기출문제!$C:$C,기출빈도!M$3)</f>
        <v>0</v>
      </c>
      <c r="N86" s="239">
        <f>COUNTIFS(기출문제!$H:$H,기출빈도!$W86,기출문제!$C:$C,기출빈도!N$3)</f>
        <v>0</v>
      </c>
      <c r="O86" s="239">
        <f>COUNTIFS(기출문제!$H:$H,기출빈도!$W86,기출문제!$C:$C,기출빈도!O$3)</f>
        <v>0</v>
      </c>
      <c r="P86" s="239">
        <f>COUNTIFS(기출문제!$H:$H,기출빈도!$W86,기출문제!$C:$C,기출빈도!P$3)</f>
        <v>0</v>
      </c>
      <c r="Q86" s="239">
        <f>COUNTIFS(기출문제!$H:$H,기출빈도!$W86,기출문제!$C:$C,기출빈도!Q$3)</f>
        <v>0</v>
      </c>
      <c r="R86" s="239">
        <f>COUNTIFS(기출문제!$H:$H,기출빈도!$W86,기출문제!$C:$C,기출빈도!R$3)</f>
        <v>0</v>
      </c>
      <c r="S86" s="239">
        <f>COUNTIFS(기출문제!$H:$H,기출빈도!$W86,기출문제!$C:$C,기출빈도!S$3)</f>
        <v>0</v>
      </c>
      <c r="T86" s="239">
        <f>COUNTIFS(기출문제!$H:$H,기출빈도!$W86,기출문제!$C:$C,기출빈도!T$3)</f>
        <v>0</v>
      </c>
      <c r="U86" s="240">
        <f>COUNTIFS(기출문제!$H:$H,기출빈도!$W86,기출문제!$C:$C,기출빈도!U$3)</f>
        <v>0</v>
      </c>
      <c r="V86" s="205" t="s">
        <v>3125</v>
      </c>
      <c r="W86" s="118" t="str">
        <f t="shared" si="17"/>
        <v>위임</v>
      </c>
    </row>
    <row r="87" spans="2:23" ht="14.45" customHeight="1" x14ac:dyDescent="0.2">
      <c r="B87" s="189" t="s">
        <v>3019</v>
      </c>
      <c r="C87" s="192" t="s">
        <v>3029</v>
      </c>
      <c r="D87" s="182" t="s">
        <v>3054</v>
      </c>
      <c r="E87" s="239">
        <f>COUNTIFS(기출문제!$H:$H,기출빈도!$W87,기출문제!$C:$C,기출빈도!E$3)</f>
        <v>0</v>
      </c>
      <c r="F87" s="239">
        <f>COUNTIFS(기출문제!$H:$H,기출빈도!$W87,기출문제!$C:$C,기출빈도!F$3)</f>
        <v>0</v>
      </c>
      <c r="G87" s="239">
        <f>COUNTIFS(기출문제!$H:$H,기출빈도!$W87,기출문제!$C:$C,기출빈도!G$3)</f>
        <v>0</v>
      </c>
      <c r="H87" s="239">
        <f>COUNTIFS(기출문제!$H:$H,기출빈도!$W87,기출문제!$C:$C,기출빈도!H$3)</f>
        <v>0</v>
      </c>
      <c r="I87" s="239">
        <f>COUNTIFS(기출문제!$H:$H,기출빈도!$W87,기출문제!$C:$C,기출빈도!I$3)</f>
        <v>0</v>
      </c>
      <c r="J87" s="239">
        <f>COUNTIFS(기출문제!$H:$H,기출빈도!$W87,기출문제!$C:$C,기출빈도!J$3)</f>
        <v>0</v>
      </c>
      <c r="K87" s="239">
        <f>COUNTIFS(기출문제!$H:$H,기출빈도!$W87,기출문제!$C:$C,기출빈도!K$3)</f>
        <v>0</v>
      </c>
      <c r="L87" s="239">
        <f>COUNTIFS(기출문제!$H:$H,기출빈도!$W87,기출문제!$C:$C,기출빈도!L$3)</f>
        <v>0</v>
      </c>
      <c r="M87" s="239">
        <f>COUNTIFS(기출문제!$H:$H,기출빈도!$W87,기출문제!$C:$C,기출빈도!M$3)</f>
        <v>0</v>
      </c>
      <c r="N87" s="239">
        <f>COUNTIFS(기출문제!$H:$H,기출빈도!$W87,기출문제!$C:$C,기출빈도!N$3)</f>
        <v>0</v>
      </c>
      <c r="O87" s="239">
        <f>COUNTIFS(기출문제!$H:$H,기출빈도!$W87,기출문제!$C:$C,기출빈도!O$3)</f>
        <v>0</v>
      </c>
      <c r="P87" s="239">
        <f>COUNTIFS(기출문제!$H:$H,기출빈도!$W87,기출문제!$C:$C,기출빈도!P$3)</f>
        <v>0</v>
      </c>
      <c r="Q87" s="239">
        <f>COUNTIFS(기출문제!$H:$H,기출빈도!$W87,기출문제!$C:$C,기출빈도!Q$3)</f>
        <v>0</v>
      </c>
      <c r="R87" s="239">
        <f>COUNTIFS(기출문제!$H:$H,기출빈도!$W87,기출문제!$C:$C,기출빈도!R$3)</f>
        <v>0</v>
      </c>
      <c r="S87" s="239">
        <f>COUNTIFS(기출문제!$H:$H,기출빈도!$W87,기출문제!$C:$C,기출빈도!S$3)</f>
        <v>0</v>
      </c>
      <c r="T87" s="239">
        <f>COUNTIFS(기출문제!$H:$H,기출빈도!$W87,기출문제!$C:$C,기출빈도!T$3)</f>
        <v>0</v>
      </c>
      <c r="U87" s="240">
        <f>COUNTIFS(기출문제!$H:$H,기출빈도!$W87,기출문제!$C:$C,기출빈도!U$3)</f>
        <v>0</v>
      </c>
      <c r="V87" s="205" t="s">
        <v>3126</v>
      </c>
      <c r="W87" s="118" t="str">
        <f t="shared" si="17"/>
        <v>임치</v>
      </c>
    </row>
    <row r="88" spans="2:23" ht="14.45" customHeight="1" x14ac:dyDescent="0.2">
      <c r="B88" s="189" t="s">
        <v>3019</v>
      </c>
      <c r="C88" s="192" t="s">
        <v>3029</v>
      </c>
      <c r="D88" s="182" t="s">
        <v>3056</v>
      </c>
      <c r="E88" s="239">
        <f>COUNTIFS(기출문제!$H:$H,기출빈도!$W88,기출문제!$C:$C,기출빈도!E$3)</f>
        <v>0</v>
      </c>
      <c r="F88" s="239">
        <f>COUNTIFS(기출문제!$H:$H,기출빈도!$W88,기출문제!$C:$C,기출빈도!F$3)</f>
        <v>0</v>
      </c>
      <c r="G88" s="239">
        <f>COUNTIFS(기출문제!$H:$H,기출빈도!$W88,기출문제!$C:$C,기출빈도!G$3)</f>
        <v>0</v>
      </c>
      <c r="H88" s="239">
        <f>COUNTIFS(기출문제!$H:$H,기출빈도!$W88,기출문제!$C:$C,기출빈도!H$3)</f>
        <v>0</v>
      </c>
      <c r="I88" s="239">
        <f>COUNTIFS(기출문제!$H:$H,기출빈도!$W88,기출문제!$C:$C,기출빈도!I$3)</f>
        <v>0</v>
      </c>
      <c r="J88" s="239">
        <f>COUNTIFS(기출문제!$H:$H,기출빈도!$W88,기출문제!$C:$C,기출빈도!J$3)</f>
        <v>0</v>
      </c>
      <c r="K88" s="239">
        <f>COUNTIFS(기출문제!$H:$H,기출빈도!$W88,기출문제!$C:$C,기출빈도!K$3)</f>
        <v>0</v>
      </c>
      <c r="L88" s="239">
        <f>COUNTIFS(기출문제!$H:$H,기출빈도!$W88,기출문제!$C:$C,기출빈도!L$3)</f>
        <v>0</v>
      </c>
      <c r="M88" s="239">
        <f>COUNTIFS(기출문제!$H:$H,기출빈도!$W88,기출문제!$C:$C,기출빈도!M$3)</f>
        <v>0</v>
      </c>
      <c r="N88" s="239">
        <f>COUNTIFS(기출문제!$H:$H,기출빈도!$W88,기출문제!$C:$C,기출빈도!N$3)</f>
        <v>0</v>
      </c>
      <c r="O88" s="239">
        <f>COUNTIFS(기출문제!$H:$H,기출빈도!$W88,기출문제!$C:$C,기출빈도!O$3)</f>
        <v>0</v>
      </c>
      <c r="P88" s="239">
        <f>COUNTIFS(기출문제!$H:$H,기출빈도!$W88,기출문제!$C:$C,기출빈도!P$3)</f>
        <v>0</v>
      </c>
      <c r="Q88" s="239">
        <f>COUNTIFS(기출문제!$H:$H,기출빈도!$W88,기출문제!$C:$C,기출빈도!Q$3)</f>
        <v>0</v>
      </c>
      <c r="R88" s="239">
        <f>COUNTIFS(기출문제!$H:$H,기출빈도!$W88,기출문제!$C:$C,기출빈도!R$3)</f>
        <v>0</v>
      </c>
      <c r="S88" s="239">
        <f>COUNTIFS(기출문제!$H:$H,기출빈도!$W88,기출문제!$C:$C,기출빈도!S$3)</f>
        <v>0</v>
      </c>
      <c r="T88" s="239">
        <f>COUNTIFS(기출문제!$H:$H,기출빈도!$W88,기출문제!$C:$C,기출빈도!T$3)</f>
        <v>0</v>
      </c>
      <c r="U88" s="240">
        <f>COUNTIFS(기출문제!$H:$H,기출빈도!$W88,기출문제!$C:$C,기출빈도!U$3)</f>
        <v>0</v>
      </c>
      <c r="V88" s="205" t="s">
        <v>3127</v>
      </c>
      <c r="W88" s="118" t="str">
        <f t="shared" si="17"/>
        <v>조합</v>
      </c>
    </row>
    <row r="89" spans="2:23" ht="14.45" customHeight="1" x14ac:dyDescent="0.2">
      <c r="B89" s="189" t="s">
        <v>3019</v>
      </c>
      <c r="C89" s="192" t="s">
        <v>3029</v>
      </c>
      <c r="D89" s="182" t="s">
        <v>3058</v>
      </c>
      <c r="E89" s="239">
        <f>COUNTIFS(기출문제!$H:$H,기출빈도!$W89,기출문제!$C:$C,기출빈도!E$3)</f>
        <v>0</v>
      </c>
      <c r="F89" s="239">
        <f>COUNTIFS(기출문제!$H:$H,기출빈도!$W89,기출문제!$C:$C,기출빈도!F$3)</f>
        <v>0</v>
      </c>
      <c r="G89" s="239">
        <f>COUNTIFS(기출문제!$H:$H,기출빈도!$W89,기출문제!$C:$C,기출빈도!G$3)</f>
        <v>0</v>
      </c>
      <c r="H89" s="239">
        <f>COUNTIFS(기출문제!$H:$H,기출빈도!$W89,기출문제!$C:$C,기출빈도!H$3)</f>
        <v>0</v>
      </c>
      <c r="I89" s="239">
        <f>COUNTIFS(기출문제!$H:$H,기출빈도!$W89,기출문제!$C:$C,기출빈도!I$3)</f>
        <v>0</v>
      </c>
      <c r="J89" s="239">
        <f>COUNTIFS(기출문제!$H:$H,기출빈도!$W89,기출문제!$C:$C,기출빈도!J$3)</f>
        <v>0</v>
      </c>
      <c r="K89" s="239">
        <f>COUNTIFS(기출문제!$H:$H,기출빈도!$W89,기출문제!$C:$C,기출빈도!K$3)</f>
        <v>0</v>
      </c>
      <c r="L89" s="239">
        <f>COUNTIFS(기출문제!$H:$H,기출빈도!$W89,기출문제!$C:$C,기출빈도!L$3)</f>
        <v>0</v>
      </c>
      <c r="M89" s="239">
        <f>COUNTIFS(기출문제!$H:$H,기출빈도!$W89,기출문제!$C:$C,기출빈도!M$3)</f>
        <v>0</v>
      </c>
      <c r="N89" s="239">
        <f>COUNTIFS(기출문제!$H:$H,기출빈도!$W89,기출문제!$C:$C,기출빈도!N$3)</f>
        <v>0</v>
      </c>
      <c r="O89" s="239">
        <f>COUNTIFS(기출문제!$H:$H,기출빈도!$W89,기출문제!$C:$C,기출빈도!O$3)</f>
        <v>0</v>
      </c>
      <c r="P89" s="239">
        <f>COUNTIFS(기출문제!$H:$H,기출빈도!$W89,기출문제!$C:$C,기출빈도!P$3)</f>
        <v>0</v>
      </c>
      <c r="Q89" s="239">
        <f>COUNTIFS(기출문제!$H:$H,기출빈도!$W89,기출문제!$C:$C,기출빈도!Q$3)</f>
        <v>0</v>
      </c>
      <c r="R89" s="239">
        <f>COUNTIFS(기출문제!$H:$H,기출빈도!$W89,기출문제!$C:$C,기출빈도!R$3)</f>
        <v>0</v>
      </c>
      <c r="S89" s="239">
        <f>COUNTIFS(기출문제!$H:$H,기출빈도!$W89,기출문제!$C:$C,기출빈도!S$3)</f>
        <v>0</v>
      </c>
      <c r="T89" s="239">
        <f>COUNTIFS(기출문제!$H:$H,기출빈도!$W89,기출문제!$C:$C,기출빈도!T$3)</f>
        <v>0</v>
      </c>
      <c r="U89" s="240">
        <f>COUNTIFS(기출문제!$H:$H,기출빈도!$W89,기출문제!$C:$C,기출빈도!U$3)</f>
        <v>0</v>
      </c>
      <c r="V89" s="205" t="s">
        <v>3128</v>
      </c>
      <c r="W89" s="118" t="str">
        <f t="shared" si="17"/>
        <v>종신정기금</v>
      </c>
    </row>
    <row r="90" spans="2:23" ht="14.45" customHeight="1" x14ac:dyDescent="0.2">
      <c r="B90" s="189" t="s">
        <v>3019</v>
      </c>
      <c r="C90" s="192" t="s">
        <v>3029</v>
      </c>
      <c r="D90" s="182" t="s">
        <v>3060</v>
      </c>
      <c r="E90" s="239">
        <f>COUNTIFS(기출문제!$H:$H,기출빈도!$W90,기출문제!$C:$C,기출빈도!E$3)</f>
        <v>0</v>
      </c>
      <c r="F90" s="239">
        <f>COUNTIFS(기출문제!$H:$H,기출빈도!$W90,기출문제!$C:$C,기출빈도!F$3)</f>
        <v>0</v>
      </c>
      <c r="G90" s="239">
        <f>COUNTIFS(기출문제!$H:$H,기출빈도!$W90,기출문제!$C:$C,기출빈도!G$3)</f>
        <v>0</v>
      </c>
      <c r="H90" s="239">
        <f>COUNTIFS(기출문제!$H:$H,기출빈도!$W90,기출문제!$C:$C,기출빈도!H$3)</f>
        <v>0</v>
      </c>
      <c r="I90" s="239">
        <f>COUNTIFS(기출문제!$H:$H,기출빈도!$W90,기출문제!$C:$C,기출빈도!I$3)</f>
        <v>0</v>
      </c>
      <c r="J90" s="239">
        <f>COUNTIFS(기출문제!$H:$H,기출빈도!$W90,기출문제!$C:$C,기출빈도!J$3)</f>
        <v>0</v>
      </c>
      <c r="K90" s="239">
        <f>COUNTIFS(기출문제!$H:$H,기출빈도!$W90,기출문제!$C:$C,기출빈도!K$3)</f>
        <v>0</v>
      </c>
      <c r="L90" s="239">
        <f>COUNTIFS(기출문제!$H:$H,기출빈도!$W90,기출문제!$C:$C,기출빈도!L$3)</f>
        <v>0</v>
      </c>
      <c r="M90" s="239">
        <f>COUNTIFS(기출문제!$H:$H,기출빈도!$W90,기출문제!$C:$C,기출빈도!M$3)</f>
        <v>0</v>
      </c>
      <c r="N90" s="239">
        <f>COUNTIFS(기출문제!$H:$H,기출빈도!$W90,기출문제!$C:$C,기출빈도!N$3)</f>
        <v>0</v>
      </c>
      <c r="O90" s="239">
        <f>COUNTIFS(기출문제!$H:$H,기출빈도!$W90,기출문제!$C:$C,기출빈도!O$3)</f>
        <v>0</v>
      </c>
      <c r="P90" s="239">
        <f>COUNTIFS(기출문제!$H:$H,기출빈도!$W90,기출문제!$C:$C,기출빈도!P$3)</f>
        <v>0</v>
      </c>
      <c r="Q90" s="239">
        <f>COUNTIFS(기출문제!$H:$H,기출빈도!$W90,기출문제!$C:$C,기출빈도!Q$3)</f>
        <v>0</v>
      </c>
      <c r="R90" s="239">
        <f>COUNTIFS(기출문제!$H:$H,기출빈도!$W90,기출문제!$C:$C,기출빈도!R$3)</f>
        <v>0</v>
      </c>
      <c r="S90" s="239">
        <f>COUNTIFS(기출문제!$H:$H,기출빈도!$W90,기출문제!$C:$C,기출빈도!S$3)</f>
        <v>0</v>
      </c>
      <c r="T90" s="239">
        <f>COUNTIFS(기출문제!$H:$H,기출빈도!$W90,기출문제!$C:$C,기출빈도!T$3)</f>
        <v>0</v>
      </c>
      <c r="U90" s="240">
        <f>COUNTIFS(기출문제!$H:$H,기출빈도!$W90,기출문제!$C:$C,기출빈도!U$3)</f>
        <v>0</v>
      </c>
      <c r="V90" s="205" t="s">
        <v>3129</v>
      </c>
      <c r="W90" s="118" t="str">
        <f t="shared" si="17"/>
        <v>화해</v>
      </c>
    </row>
    <row r="91" spans="2:23" ht="14.45" customHeight="1" thickBot="1" x14ac:dyDescent="0.25">
      <c r="B91" s="189" t="s">
        <v>3019</v>
      </c>
      <c r="C91" s="145" t="s">
        <v>3029</v>
      </c>
      <c r="D91" s="198" t="s">
        <v>3491</v>
      </c>
      <c r="E91" s="241">
        <f>SUM(E75:E90)</f>
        <v>0</v>
      </c>
      <c r="F91" s="241">
        <f t="shared" ref="F91:U91" si="20">SUM(F75:F90)</f>
        <v>0</v>
      </c>
      <c r="G91" s="241">
        <f t="shared" si="20"/>
        <v>0</v>
      </c>
      <c r="H91" s="241">
        <f t="shared" si="20"/>
        <v>0</v>
      </c>
      <c r="I91" s="241">
        <f t="shared" si="20"/>
        <v>0</v>
      </c>
      <c r="J91" s="241">
        <f t="shared" si="20"/>
        <v>0</v>
      </c>
      <c r="K91" s="241">
        <f t="shared" si="20"/>
        <v>0</v>
      </c>
      <c r="L91" s="241">
        <f t="shared" si="20"/>
        <v>0</v>
      </c>
      <c r="M91" s="241">
        <f t="shared" si="20"/>
        <v>0</v>
      </c>
      <c r="N91" s="241">
        <f t="shared" si="20"/>
        <v>0</v>
      </c>
      <c r="O91" s="241">
        <f t="shared" si="20"/>
        <v>0</v>
      </c>
      <c r="P91" s="241">
        <f t="shared" si="20"/>
        <v>0</v>
      </c>
      <c r="Q91" s="241">
        <f t="shared" si="20"/>
        <v>0</v>
      </c>
      <c r="R91" s="241">
        <f t="shared" si="20"/>
        <v>0</v>
      </c>
      <c r="S91" s="241">
        <f t="shared" si="20"/>
        <v>0</v>
      </c>
      <c r="T91" s="241">
        <f t="shared" si="20"/>
        <v>0</v>
      </c>
      <c r="U91" s="242">
        <f t="shared" si="20"/>
        <v>0</v>
      </c>
      <c r="V91" s="206"/>
      <c r="W91" s="118" t="str">
        <f t="shared" si="17"/>
        <v/>
      </c>
    </row>
    <row r="92" spans="2:23" ht="14.45" customHeight="1" x14ac:dyDescent="0.2">
      <c r="B92" s="189" t="s">
        <v>3019</v>
      </c>
      <c r="C92" s="190" t="s">
        <v>3062</v>
      </c>
      <c r="D92" s="191" t="s">
        <v>3064</v>
      </c>
      <c r="E92" s="247">
        <f>COUNTIFS(기출문제!$H:$H,기출빈도!$W92,기출문제!$C:$C,기출빈도!E$3)</f>
        <v>0</v>
      </c>
      <c r="F92" s="247">
        <f>COUNTIFS(기출문제!$H:$H,기출빈도!$W92,기출문제!$C:$C,기출빈도!F$3)</f>
        <v>0</v>
      </c>
      <c r="G92" s="247">
        <f>COUNTIFS(기출문제!$H:$H,기출빈도!$W92,기출문제!$C:$C,기출빈도!G$3)</f>
        <v>0</v>
      </c>
      <c r="H92" s="247">
        <f>COUNTIFS(기출문제!$H:$H,기출빈도!$W92,기출문제!$C:$C,기출빈도!H$3)</f>
        <v>0</v>
      </c>
      <c r="I92" s="247">
        <f>COUNTIFS(기출문제!$H:$H,기출빈도!$W92,기출문제!$C:$C,기출빈도!I$3)</f>
        <v>0</v>
      </c>
      <c r="J92" s="247">
        <f>COUNTIFS(기출문제!$H:$H,기출빈도!$W92,기출문제!$C:$C,기출빈도!J$3)</f>
        <v>0</v>
      </c>
      <c r="K92" s="247">
        <f>COUNTIFS(기출문제!$H:$H,기출빈도!$W92,기출문제!$C:$C,기출빈도!K$3)</f>
        <v>0</v>
      </c>
      <c r="L92" s="247">
        <f>COUNTIFS(기출문제!$H:$H,기출빈도!$W92,기출문제!$C:$C,기출빈도!L$3)</f>
        <v>0</v>
      </c>
      <c r="M92" s="247">
        <f>COUNTIFS(기출문제!$H:$H,기출빈도!$W92,기출문제!$C:$C,기출빈도!M$3)</f>
        <v>0</v>
      </c>
      <c r="N92" s="247">
        <f>COUNTIFS(기출문제!$H:$H,기출빈도!$W92,기출문제!$C:$C,기출빈도!N$3)</f>
        <v>0</v>
      </c>
      <c r="O92" s="247">
        <f>COUNTIFS(기출문제!$H:$H,기출빈도!$W92,기출문제!$C:$C,기출빈도!O$3)</f>
        <v>0</v>
      </c>
      <c r="P92" s="247">
        <f>COUNTIFS(기출문제!$H:$H,기출빈도!$W92,기출문제!$C:$C,기출빈도!P$3)</f>
        <v>0</v>
      </c>
      <c r="Q92" s="247">
        <f>COUNTIFS(기출문제!$H:$H,기출빈도!$W92,기출문제!$C:$C,기출빈도!Q$3)</f>
        <v>0</v>
      </c>
      <c r="R92" s="247">
        <f>COUNTIFS(기출문제!$H:$H,기출빈도!$W92,기출문제!$C:$C,기출빈도!R$3)</f>
        <v>0</v>
      </c>
      <c r="S92" s="247">
        <f>COUNTIFS(기출문제!$H:$H,기출빈도!$W92,기출문제!$C:$C,기출빈도!S$3)</f>
        <v>0</v>
      </c>
      <c r="T92" s="247">
        <f>COUNTIFS(기출문제!$H:$H,기출빈도!$W92,기출문제!$C:$C,기출빈도!T$3)</f>
        <v>0</v>
      </c>
      <c r="U92" s="248">
        <f>COUNTIFS(기출문제!$H:$H,기출빈도!$W92,기출문제!$C:$C,기출빈도!U$3)</f>
        <v>0</v>
      </c>
      <c r="V92" s="204" t="s">
        <v>3130</v>
      </c>
      <c r="W92" s="118" t="str">
        <f t="shared" si="17"/>
        <v>사무관리</v>
      </c>
    </row>
    <row r="93" spans="2:23" ht="14.45" customHeight="1" x14ac:dyDescent="0.2">
      <c r="B93" s="189" t="s">
        <v>3019</v>
      </c>
      <c r="C93" s="192" t="s">
        <v>3061</v>
      </c>
      <c r="D93" s="183" t="s">
        <v>3066</v>
      </c>
      <c r="E93" s="249">
        <f>COUNTIFS(기출문제!$H:$H,기출빈도!$W93,기출문제!$C:$C,기출빈도!E$3)</f>
        <v>0</v>
      </c>
      <c r="F93" s="249">
        <f>COUNTIFS(기출문제!$H:$H,기출빈도!$W93,기출문제!$C:$C,기출빈도!F$3)</f>
        <v>0</v>
      </c>
      <c r="G93" s="249">
        <f>COUNTIFS(기출문제!$H:$H,기출빈도!$W93,기출문제!$C:$C,기출빈도!G$3)</f>
        <v>0</v>
      </c>
      <c r="H93" s="249">
        <f>COUNTIFS(기출문제!$H:$H,기출빈도!$W93,기출문제!$C:$C,기출빈도!H$3)</f>
        <v>0</v>
      </c>
      <c r="I93" s="249">
        <f>COUNTIFS(기출문제!$H:$H,기출빈도!$W93,기출문제!$C:$C,기출빈도!I$3)</f>
        <v>0</v>
      </c>
      <c r="J93" s="249">
        <f>COUNTIFS(기출문제!$H:$H,기출빈도!$W93,기출문제!$C:$C,기출빈도!J$3)</f>
        <v>0</v>
      </c>
      <c r="K93" s="249">
        <f>COUNTIFS(기출문제!$H:$H,기출빈도!$W93,기출문제!$C:$C,기출빈도!K$3)</f>
        <v>0</v>
      </c>
      <c r="L93" s="249">
        <f>COUNTIFS(기출문제!$H:$H,기출빈도!$W93,기출문제!$C:$C,기출빈도!L$3)</f>
        <v>0</v>
      </c>
      <c r="M93" s="249">
        <f>COUNTIFS(기출문제!$H:$H,기출빈도!$W93,기출문제!$C:$C,기출빈도!M$3)</f>
        <v>0</v>
      </c>
      <c r="N93" s="249">
        <f>COUNTIFS(기출문제!$H:$H,기출빈도!$W93,기출문제!$C:$C,기출빈도!N$3)</f>
        <v>0</v>
      </c>
      <c r="O93" s="249">
        <f>COUNTIFS(기출문제!$H:$H,기출빈도!$W93,기출문제!$C:$C,기출빈도!O$3)</f>
        <v>0</v>
      </c>
      <c r="P93" s="249">
        <f>COUNTIFS(기출문제!$H:$H,기출빈도!$W93,기출문제!$C:$C,기출빈도!P$3)</f>
        <v>0</v>
      </c>
      <c r="Q93" s="249">
        <f>COUNTIFS(기출문제!$H:$H,기출빈도!$W93,기출문제!$C:$C,기출빈도!Q$3)</f>
        <v>0</v>
      </c>
      <c r="R93" s="249">
        <f>COUNTIFS(기출문제!$H:$H,기출빈도!$W93,기출문제!$C:$C,기출빈도!R$3)</f>
        <v>0</v>
      </c>
      <c r="S93" s="249">
        <f>COUNTIFS(기출문제!$H:$H,기출빈도!$W93,기출문제!$C:$C,기출빈도!S$3)</f>
        <v>0</v>
      </c>
      <c r="T93" s="249">
        <f>COUNTIFS(기출문제!$H:$H,기출빈도!$W93,기출문제!$C:$C,기출빈도!T$3)</f>
        <v>0</v>
      </c>
      <c r="U93" s="250">
        <f>COUNTIFS(기출문제!$H:$H,기출빈도!$W93,기출문제!$C:$C,기출빈도!U$3)</f>
        <v>0</v>
      </c>
      <c r="V93" s="205" t="s">
        <v>3131</v>
      </c>
      <c r="W93" s="118" t="str">
        <f t="shared" si="17"/>
        <v>부당이득</v>
      </c>
    </row>
    <row r="94" spans="2:23" ht="14.45" customHeight="1" x14ac:dyDescent="0.2">
      <c r="B94" s="189" t="s">
        <v>3019</v>
      </c>
      <c r="C94" s="192" t="s">
        <v>3061</v>
      </c>
      <c r="D94" s="183" t="s">
        <v>3068</v>
      </c>
      <c r="E94" s="249">
        <f>COUNTIFS(기출문제!$H:$H,기출빈도!$W94,기출문제!$C:$C,기출빈도!E$3)</f>
        <v>0</v>
      </c>
      <c r="F94" s="249">
        <f>COUNTIFS(기출문제!$H:$H,기출빈도!$W94,기출문제!$C:$C,기출빈도!F$3)</f>
        <v>0</v>
      </c>
      <c r="G94" s="249">
        <f>COUNTIFS(기출문제!$H:$H,기출빈도!$W94,기출문제!$C:$C,기출빈도!G$3)</f>
        <v>0</v>
      </c>
      <c r="H94" s="249">
        <f>COUNTIFS(기출문제!$H:$H,기출빈도!$W94,기출문제!$C:$C,기출빈도!H$3)</f>
        <v>0</v>
      </c>
      <c r="I94" s="249">
        <f>COUNTIFS(기출문제!$H:$H,기출빈도!$W94,기출문제!$C:$C,기출빈도!I$3)</f>
        <v>0</v>
      </c>
      <c r="J94" s="249">
        <f>COUNTIFS(기출문제!$H:$H,기출빈도!$W94,기출문제!$C:$C,기출빈도!J$3)</f>
        <v>0</v>
      </c>
      <c r="K94" s="249">
        <f>COUNTIFS(기출문제!$H:$H,기출빈도!$W94,기출문제!$C:$C,기출빈도!K$3)</f>
        <v>0</v>
      </c>
      <c r="L94" s="249">
        <f>COUNTIFS(기출문제!$H:$H,기출빈도!$W94,기출문제!$C:$C,기출빈도!L$3)</f>
        <v>0</v>
      </c>
      <c r="M94" s="249">
        <f>COUNTIFS(기출문제!$H:$H,기출빈도!$W94,기출문제!$C:$C,기출빈도!M$3)</f>
        <v>0</v>
      </c>
      <c r="N94" s="249">
        <f>COUNTIFS(기출문제!$H:$H,기출빈도!$W94,기출문제!$C:$C,기출빈도!N$3)</f>
        <v>0</v>
      </c>
      <c r="O94" s="249">
        <f>COUNTIFS(기출문제!$H:$H,기출빈도!$W94,기출문제!$C:$C,기출빈도!O$3)</f>
        <v>0</v>
      </c>
      <c r="P94" s="249">
        <f>COUNTIFS(기출문제!$H:$H,기출빈도!$W94,기출문제!$C:$C,기출빈도!P$3)</f>
        <v>0</v>
      </c>
      <c r="Q94" s="249">
        <f>COUNTIFS(기출문제!$H:$H,기출빈도!$W94,기출문제!$C:$C,기출빈도!Q$3)</f>
        <v>0</v>
      </c>
      <c r="R94" s="249">
        <f>COUNTIFS(기출문제!$H:$H,기출빈도!$W94,기출문제!$C:$C,기출빈도!R$3)</f>
        <v>0</v>
      </c>
      <c r="S94" s="249">
        <f>COUNTIFS(기출문제!$H:$H,기출빈도!$W94,기출문제!$C:$C,기출빈도!S$3)</f>
        <v>0</v>
      </c>
      <c r="T94" s="249">
        <f>COUNTIFS(기출문제!$H:$H,기출빈도!$W94,기출문제!$C:$C,기출빈도!T$3)</f>
        <v>0</v>
      </c>
      <c r="U94" s="250">
        <f>COUNTIFS(기출문제!$H:$H,기출빈도!$W94,기출문제!$C:$C,기출빈도!U$3)</f>
        <v>0</v>
      </c>
      <c r="V94" s="205" t="s">
        <v>3132</v>
      </c>
      <c r="W94" s="118" t="str">
        <f t="shared" si="17"/>
        <v>불법행위</v>
      </c>
    </row>
    <row r="95" spans="2:23" ht="14.45" customHeight="1" thickBot="1" x14ac:dyDescent="0.25">
      <c r="B95" s="189" t="s">
        <v>3019</v>
      </c>
      <c r="C95" s="145" t="s">
        <v>3061</v>
      </c>
      <c r="D95" s="198" t="s">
        <v>3491</v>
      </c>
      <c r="E95" s="241">
        <f>SUM(E92:E94)</f>
        <v>0</v>
      </c>
      <c r="F95" s="241">
        <f t="shared" ref="F95:U95" si="21">SUM(F92:F94)</f>
        <v>0</v>
      </c>
      <c r="G95" s="241">
        <f t="shared" si="21"/>
        <v>0</v>
      </c>
      <c r="H95" s="241">
        <f t="shared" si="21"/>
        <v>0</v>
      </c>
      <c r="I95" s="241">
        <f t="shared" si="21"/>
        <v>0</v>
      </c>
      <c r="J95" s="241">
        <f t="shared" si="21"/>
        <v>0</v>
      </c>
      <c r="K95" s="241">
        <f t="shared" si="21"/>
        <v>0</v>
      </c>
      <c r="L95" s="241">
        <f t="shared" si="21"/>
        <v>0</v>
      </c>
      <c r="M95" s="241">
        <f t="shared" si="21"/>
        <v>0</v>
      </c>
      <c r="N95" s="241">
        <f t="shared" si="21"/>
        <v>0</v>
      </c>
      <c r="O95" s="241">
        <f t="shared" si="21"/>
        <v>0</v>
      </c>
      <c r="P95" s="241">
        <f t="shared" si="21"/>
        <v>0</v>
      </c>
      <c r="Q95" s="241">
        <f t="shared" si="21"/>
        <v>0</v>
      </c>
      <c r="R95" s="241">
        <f t="shared" si="21"/>
        <v>0</v>
      </c>
      <c r="S95" s="241">
        <f t="shared" si="21"/>
        <v>0</v>
      </c>
      <c r="T95" s="241">
        <f t="shared" si="21"/>
        <v>0</v>
      </c>
      <c r="U95" s="242">
        <f t="shared" si="21"/>
        <v>0</v>
      </c>
      <c r="V95" s="206"/>
      <c r="W95" s="118" t="str">
        <f t="shared" si="17"/>
        <v/>
      </c>
    </row>
    <row r="96" spans="2:23" ht="14.45" customHeight="1" thickBot="1" x14ac:dyDescent="0.25">
      <c r="B96" s="184" t="s">
        <v>3019</v>
      </c>
      <c r="C96" s="188"/>
      <c r="D96" s="197" t="s">
        <v>3494</v>
      </c>
      <c r="E96" s="245">
        <f>SUM(E95,E91,E74)</f>
        <v>0</v>
      </c>
      <c r="F96" s="245">
        <f t="shared" ref="F96:U96" si="22">SUM(F95,F91,F74)</f>
        <v>0</v>
      </c>
      <c r="G96" s="245">
        <f t="shared" si="22"/>
        <v>0</v>
      </c>
      <c r="H96" s="245">
        <f t="shared" si="22"/>
        <v>0</v>
      </c>
      <c r="I96" s="245">
        <f t="shared" si="22"/>
        <v>0</v>
      </c>
      <c r="J96" s="245">
        <f t="shared" si="22"/>
        <v>0</v>
      </c>
      <c r="K96" s="245">
        <f t="shared" si="22"/>
        <v>0</v>
      </c>
      <c r="L96" s="245">
        <f t="shared" si="22"/>
        <v>0</v>
      </c>
      <c r="M96" s="245">
        <f t="shared" si="22"/>
        <v>0</v>
      </c>
      <c r="N96" s="245">
        <f t="shared" si="22"/>
        <v>0</v>
      </c>
      <c r="O96" s="245">
        <f t="shared" si="22"/>
        <v>0</v>
      </c>
      <c r="P96" s="245">
        <f t="shared" si="22"/>
        <v>0</v>
      </c>
      <c r="Q96" s="245">
        <f t="shared" si="22"/>
        <v>0</v>
      </c>
      <c r="R96" s="245">
        <f t="shared" si="22"/>
        <v>0</v>
      </c>
      <c r="S96" s="245">
        <f t="shared" si="22"/>
        <v>0</v>
      </c>
      <c r="T96" s="245">
        <f t="shared" si="22"/>
        <v>0</v>
      </c>
      <c r="U96" s="246">
        <f t="shared" si="22"/>
        <v>0</v>
      </c>
      <c r="V96" s="208"/>
    </row>
    <row r="97" spans="2:22" ht="14.45" customHeight="1" thickBot="1" x14ac:dyDescent="0.25">
      <c r="B97" s="200"/>
      <c r="C97" s="201"/>
      <c r="D97" s="202" t="s">
        <v>3490</v>
      </c>
      <c r="E97" s="251">
        <f>SUM(E36,E69,E96)</f>
        <v>0</v>
      </c>
      <c r="F97" s="251">
        <f t="shared" ref="F97:U97" si="23">SUM(F36,F69,F96)</f>
        <v>0</v>
      </c>
      <c r="G97" s="251">
        <f t="shared" si="23"/>
        <v>0</v>
      </c>
      <c r="H97" s="251">
        <f t="shared" si="23"/>
        <v>0</v>
      </c>
      <c r="I97" s="251">
        <f t="shared" si="23"/>
        <v>0</v>
      </c>
      <c r="J97" s="251">
        <f t="shared" si="23"/>
        <v>0</v>
      </c>
      <c r="K97" s="251">
        <f t="shared" si="23"/>
        <v>0</v>
      </c>
      <c r="L97" s="251">
        <f t="shared" si="23"/>
        <v>0</v>
      </c>
      <c r="M97" s="251">
        <f t="shared" si="23"/>
        <v>0</v>
      </c>
      <c r="N97" s="251">
        <f t="shared" si="23"/>
        <v>0</v>
      </c>
      <c r="O97" s="251">
        <f t="shared" si="23"/>
        <v>0</v>
      </c>
      <c r="P97" s="251">
        <f t="shared" si="23"/>
        <v>0</v>
      </c>
      <c r="Q97" s="251">
        <f t="shared" si="23"/>
        <v>0</v>
      </c>
      <c r="R97" s="251">
        <f t="shared" si="23"/>
        <v>0</v>
      </c>
      <c r="S97" s="251">
        <f t="shared" si="23"/>
        <v>0</v>
      </c>
      <c r="T97" s="251">
        <f t="shared" si="23"/>
        <v>0</v>
      </c>
      <c r="U97" s="252">
        <f t="shared" si="23"/>
        <v>3</v>
      </c>
      <c r="V97" s="207"/>
    </row>
  </sheetData>
  <phoneticPr fontId="2" type="noConversion"/>
  <conditionalFormatting sqref="B4:V97">
    <cfRule type="expression" dxfId="0"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tabSelected="1" workbookViewId="0">
      <pane ySplit="3" topLeftCell="A184" activePane="bottomLeft" state="frozen"/>
      <selection pane="bottomLeft" activeCell="F196" sqref="F196"/>
    </sheetView>
  </sheetViews>
  <sheetFormatPr defaultRowHeight="13.5" x14ac:dyDescent="0.2"/>
  <cols>
    <col min="1" max="1" width="1.28515625" style="209" customWidth="1"/>
    <col min="2" max="2" width="11.7109375" style="112" customWidth="1"/>
    <col min="3" max="3" width="5.7109375" style="112" customWidth="1"/>
    <col min="4" max="4" width="4.7109375" style="112" customWidth="1"/>
    <col min="5" max="5" width="2.7109375" style="112" customWidth="1"/>
    <col min="6" max="6" width="98.7109375" style="5" customWidth="1"/>
    <col min="7" max="7" width="4.7109375" style="112" customWidth="1"/>
    <col min="8" max="8" width="50.7109375" style="112" customWidth="1"/>
    <col min="9" max="9" width="85.7109375" style="112" customWidth="1"/>
    <col min="10" max="16384" width="9.140625" style="209"/>
  </cols>
  <sheetData>
    <row r="1" spans="2:9" ht="14.25" thickBot="1" x14ac:dyDescent="0.25"/>
    <row r="2" spans="2:9" x14ac:dyDescent="0.2">
      <c r="B2" s="210" t="s">
        <v>65</v>
      </c>
      <c r="C2" s="6" t="s">
        <v>0</v>
      </c>
      <c r="D2" s="253" t="s">
        <v>1</v>
      </c>
      <c r="E2" s="253"/>
      <c r="F2" s="6" t="s">
        <v>2</v>
      </c>
      <c r="G2" s="6" t="s">
        <v>3</v>
      </c>
      <c r="H2" s="6" t="s">
        <v>78</v>
      </c>
      <c r="I2" s="113" t="s">
        <v>75</v>
      </c>
    </row>
    <row r="3" spans="2:9" ht="14.25" thickBot="1" x14ac:dyDescent="0.25">
      <c r="B3" s="211"/>
      <c r="C3" s="7"/>
      <c r="D3" s="212"/>
      <c r="E3" s="213"/>
      <c r="F3" s="7"/>
      <c r="G3" s="7"/>
      <c r="H3" s="7"/>
      <c r="I3" s="214"/>
    </row>
    <row r="4" spans="2:9" x14ac:dyDescent="0.2">
      <c r="B4" s="215" t="str">
        <f t="shared" ref="B4:B190" si="0">C4&amp;"-"&amp;D4&amp;"-"&amp;E4</f>
        <v>2026-001-0</v>
      </c>
      <c r="C4" s="216">
        <v>2026</v>
      </c>
      <c r="D4" s="217" t="s">
        <v>4</v>
      </c>
      <c r="E4" s="218">
        <v>0</v>
      </c>
      <c r="F4" s="10" t="s">
        <v>2487</v>
      </c>
      <c r="G4" s="216"/>
      <c r="H4" s="10" t="s">
        <v>3163</v>
      </c>
      <c r="I4" s="219"/>
    </row>
    <row r="5" spans="2:9" x14ac:dyDescent="0.2">
      <c r="B5" s="220" t="str">
        <f t="shared" si="0"/>
        <v>2026-001-1</v>
      </c>
      <c r="C5" s="221">
        <v>2026</v>
      </c>
      <c r="D5" s="222" t="s">
        <v>4</v>
      </c>
      <c r="E5" s="221">
        <v>1</v>
      </c>
      <c r="F5" s="16" t="s">
        <v>2856</v>
      </c>
      <c r="G5" s="221"/>
      <c r="H5" s="16" t="s">
        <v>3497</v>
      </c>
      <c r="I5" s="223"/>
    </row>
    <row r="6" spans="2:9" x14ac:dyDescent="0.2">
      <c r="B6" s="220" t="str">
        <f t="shared" si="0"/>
        <v>2026-001-2</v>
      </c>
      <c r="C6" s="221">
        <v>2026</v>
      </c>
      <c r="D6" s="222" t="s">
        <v>4</v>
      </c>
      <c r="E6" s="221">
        <v>2</v>
      </c>
      <c r="F6" s="16" t="s">
        <v>2488</v>
      </c>
      <c r="G6" s="221"/>
      <c r="H6" s="16" t="s">
        <v>3498</v>
      </c>
      <c r="I6" s="223"/>
    </row>
    <row r="7" spans="2:9" x14ac:dyDescent="0.2">
      <c r="B7" s="220" t="str">
        <f t="shared" si="0"/>
        <v>2026-001-3</v>
      </c>
      <c r="C7" s="221">
        <v>2026</v>
      </c>
      <c r="D7" s="222" t="s">
        <v>4</v>
      </c>
      <c r="E7" s="221">
        <v>3</v>
      </c>
      <c r="F7" s="16" t="s">
        <v>2489</v>
      </c>
      <c r="G7" s="221"/>
      <c r="H7" s="16" t="s">
        <v>3499</v>
      </c>
      <c r="I7" s="223"/>
    </row>
    <row r="8" spans="2:9" x14ac:dyDescent="0.2">
      <c r="B8" s="220" t="str">
        <f t="shared" si="0"/>
        <v>2026-001-4</v>
      </c>
      <c r="C8" s="221">
        <v>2026</v>
      </c>
      <c r="D8" s="222" t="s">
        <v>4</v>
      </c>
      <c r="E8" s="221">
        <v>4</v>
      </c>
      <c r="F8" s="16" t="s">
        <v>2857</v>
      </c>
      <c r="G8" s="221" t="s">
        <v>3496</v>
      </c>
      <c r="H8" s="16" t="s">
        <v>3500</v>
      </c>
      <c r="I8" s="223" t="s">
        <v>3511</v>
      </c>
    </row>
    <row r="9" spans="2:9" x14ac:dyDescent="0.2">
      <c r="B9" s="224" t="str">
        <f t="shared" si="0"/>
        <v>2026-001-5</v>
      </c>
      <c r="C9" s="225">
        <v>2026</v>
      </c>
      <c r="D9" s="226" t="s">
        <v>4</v>
      </c>
      <c r="E9" s="225">
        <v>5</v>
      </c>
      <c r="F9" s="22" t="s">
        <v>2490</v>
      </c>
      <c r="G9" s="225"/>
      <c r="H9" s="22" t="s">
        <v>3497</v>
      </c>
      <c r="I9" s="227"/>
    </row>
    <row r="10" spans="2:9" x14ac:dyDescent="0.2">
      <c r="B10" s="228" t="str">
        <f t="shared" si="0"/>
        <v>2026-002-0</v>
      </c>
      <c r="C10" s="229">
        <v>2026</v>
      </c>
      <c r="D10" s="230" t="s">
        <v>5</v>
      </c>
      <c r="E10" s="229">
        <v>0</v>
      </c>
      <c r="F10" s="28" t="s">
        <v>2501</v>
      </c>
      <c r="G10" s="229"/>
      <c r="H10" s="28"/>
      <c r="I10" s="231"/>
    </row>
    <row r="11" spans="2:9" x14ac:dyDescent="0.2">
      <c r="B11" s="220" t="str">
        <f t="shared" si="0"/>
        <v>2026-002-1</v>
      </c>
      <c r="C11" s="221">
        <v>2026</v>
      </c>
      <c r="D11" s="222" t="s">
        <v>5</v>
      </c>
      <c r="E11" s="221">
        <v>1</v>
      </c>
      <c r="F11" s="16" t="s">
        <v>2502</v>
      </c>
      <c r="G11" s="221"/>
      <c r="H11" s="16" t="s">
        <v>3501</v>
      </c>
      <c r="I11" s="223" t="s">
        <v>3508</v>
      </c>
    </row>
    <row r="12" spans="2:9" x14ac:dyDescent="0.2">
      <c r="B12" s="220" t="str">
        <f t="shared" si="0"/>
        <v>2026-002-2</v>
      </c>
      <c r="C12" s="221">
        <v>2026</v>
      </c>
      <c r="D12" s="222" t="s">
        <v>5</v>
      </c>
      <c r="E12" s="221">
        <v>2</v>
      </c>
      <c r="F12" s="16" t="s">
        <v>2503</v>
      </c>
      <c r="G12" s="221"/>
      <c r="H12" s="16" t="s">
        <v>3502</v>
      </c>
      <c r="I12" s="223" t="s">
        <v>3506</v>
      </c>
    </row>
    <row r="13" spans="2:9" x14ac:dyDescent="0.2">
      <c r="B13" s="220" t="str">
        <f t="shared" si="0"/>
        <v>2026-002-3</v>
      </c>
      <c r="C13" s="221">
        <v>2026</v>
      </c>
      <c r="D13" s="222" t="s">
        <v>5</v>
      </c>
      <c r="E13" s="221">
        <v>3</v>
      </c>
      <c r="F13" s="16" t="s">
        <v>2504</v>
      </c>
      <c r="G13" s="221" t="s">
        <v>3496</v>
      </c>
      <c r="H13" s="16" t="s">
        <v>3503</v>
      </c>
      <c r="I13" s="223" t="s">
        <v>3507</v>
      </c>
    </row>
    <row r="14" spans="2:9" x14ac:dyDescent="0.2">
      <c r="B14" s="220" t="str">
        <f t="shared" si="0"/>
        <v>2026-002-4</v>
      </c>
      <c r="C14" s="221">
        <v>2026</v>
      </c>
      <c r="D14" s="222" t="s">
        <v>5</v>
      </c>
      <c r="E14" s="221">
        <v>4</v>
      </c>
      <c r="F14" s="16" t="s">
        <v>2505</v>
      </c>
      <c r="G14" s="221"/>
      <c r="H14" s="16" t="s">
        <v>3504</v>
      </c>
      <c r="I14" s="223" t="s">
        <v>3509</v>
      </c>
    </row>
    <row r="15" spans="2:9" x14ac:dyDescent="0.2">
      <c r="B15" s="224" t="str">
        <f t="shared" si="0"/>
        <v>2026-002-5</v>
      </c>
      <c r="C15" s="225">
        <v>2026</v>
      </c>
      <c r="D15" s="226" t="s">
        <v>5</v>
      </c>
      <c r="E15" s="225">
        <v>5</v>
      </c>
      <c r="F15" s="22" t="s">
        <v>2506</v>
      </c>
      <c r="G15" s="225"/>
      <c r="H15" s="22" t="s">
        <v>3505</v>
      </c>
      <c r="I15" s="227" t="s">
        <v>3510</v>
      </c>
    </row>
    <row r="16" spans="2:9" x14ac:dyDescent="0.2">
      <c r="B16" s="228" t="str">
        <f t="shared" si="0"/>
        <v>2026-003-0</v>
      </c>
      <c r="C16" s="229">
        <v>2026</v>
      </c>
      <c r="D16" s="230" t="s">
        <v>6</v>
      </c>
      <c r="E16" s="229">
        <v>0</v>
      </c>
      <c r="F16" s="28" t="s">
        <v>2507</v>
      </c>
      <c r="G16" s="229"/>
      <c r="H16" s="28"/>
      <c r="I16" s="231"/>
    </row>
    <row r="17" spans="2:9" x14ac:dyDescent="0.2">
      <c r="B17" s="220" t="str">
        <f t="shared" si="0"/>
        <v>2026-003-1</v>
      </c>
      <c r="C17" s="221">
        <v>2026</v>
      </c>
      <c r="D17" s="222" t="s">
        <v>6</v>
      </c>
      <c r="E17" s="221">
        <v>1</v>
      </c>
      <c r="F17" s="16" t="s">
        <v>2508</v>
      </c>
      <c r="G17" s="221"/>
      <c r="H17" s="16" t="s">
        <v>3515</v>
      </c>
      <c r="I17" s="223"/>
    </row>
    <row r="18" spans="2:9" x14ac:dyDescent="0.2">
      <c r="B18" s="220" t="str">
        <f t="shared" si="0"/>
        <v>2026-003-2</v>
      </c>
      <c r="C18" s="221">
        <v>2026</v>
      </c>
      <c r="D18" s="222" t="s">
        <v>6</v>
      </c>
      <c r="E18" s="221">
        <v>2</v>
      </c>
      <c r="F18" s="16" t="s">
        <v>2509</v>
      </c>
      <c r="G18" s="221" t="s">
        <v>3496</v>
      </c>
      <c r="H18" s="16" t="s">
        <v>3516</v>
      </c>
      <c r="I18" s="223" t="s">
        <v>3512</v>
      </c>
    </row>
    <row r="19" spans="2:9" x14ac:dyDescent="0.2">
      <c r="B19" s="220" t="str">
        <f t="shared" si="0"/>
        <v>2026-003-3</v>
      </c>
      <c r="C19" s="221">
        <v>2026</v>
      </c>
      <c r="D19" s="222" t="s">
        <v>6</v>
      </c>
      <c r="E19" s="221">
        <v>3</v>
      </c>
      <c r="F19" s="16" t="s">
        <v>2510</v>
      </c>
      <c r="G19" s="221"/>
      <c r="H19" s="16" t="s">
        <v>3517</v>
      </c>
      <c r="I19" s="223"/>
    </row>
    <row r="20" spans="2:9" x14ac:dyDescent="0.2">
      <c r="B20" s="220" t="str">
        <f t="shared" si="0"/>
        <v>2026-003-4</v>
      </c>
      <c r="C20" s="221">
        <v>2026</v>
      </c>
      <c r="D20" s="222" t="s">
        <v>6</v>
      </c>
      <c r="E20" s="221">
        <v>4</v>
      </c>
      <c r="F20" s="16" t="s">
        <v>2858</v>
      </c>
      <c r="G20" s="221"/>
      <c r="H20" s="16" t="s">
        <v>3513</v>
      </c>
      <c r="I20" s="223"/>
    </row>
    <row r="21" spans="2:9" x14ac:dyDescent="0.2">
      <c r="B21" s="224" t="str">
        <f t="shared" si="0"/>
        <v>2026-003-5</v>
      </c>
      <c r="C21" s="225">
        <v>2026</v>
      </c>
      <c r="D21" s="226" t="s">
        <v>6</v>
      </c>
      <c r="E21" s="225">
        <v>5</v>
      </c>
      <c r="F21" s="22" t="s">
        <v>2511</v>
      </c>
      <c r="G21" s="225"/>
      <c r="H21" s="22" t="s">
        <v>3514</v>
      </c>
      <c r="I21" s="227"/>
    </row>
    <row r="22" spans="2:9" x14ac:dyDescent="0.2">
      <c r="B22" s="228" t="str">
        <f t="shared" si="0"/>
        <v>2026-004-0</v>
      </c>
      <c r="C22" s="229">
        <v>2026</v>
      </c>
      <c r="D22" s="230" t="s">
        <v>7</v>
      </c>
      <c r="E22" s="229">
        <v>0</v>
      </c>
      <c r="F22" s="28" t="s">
        <v>2512</v>
      </c>
      <c r="G22" s="229"/>
      <c r="H22" s="28"/>
      <c r="I22" s="231"/>
    </row>
    <row r="23" spans="2:9" x14ac:dyDescent="0.2">
      <c r="B23" s="220" t="str">
        <f t="shared" si="0"/>
        <v>2026-004-1</v>
      </c>
      <c r="C23" s="221">
        <v>2026</v>
      </c>
      <c r="D23" s="222" t="s">
        <v>7</v>
      </c>
      <c r="E23" s="221">
        <v>1</v>
      </c>
      <c r="F23" s="16" t="s">
        <v>2513</v>
      </c>
      <c r="G23" s="221" t="s">
        <v>3496</v>
      </c>
      <c r="H23" s="16" t="s">
        <v>3518</v>
      </c>
      <c r="I23" s="223" t="s">
        <v>3523</v>
      </c>
    </row>
    <row r="24" spans="2:9" x14ac:dyDescent="0.2">
      <c r="B24" s="220" t="str">
        <f t="shared" si="0"/>
        <v>2026-004-2</v>
      </c>
      <c r="C24" s="221">
        <v>2026</v>
      </c>
      <c r="D24" s="222" t="s">
        <v>7</v>
      </c>
      <c r="E24" s="221">
        <v>2</v>
      </c>
      <c r="F24" s="16" t="s">
        <v>2859</v>
      </c>
      <c r="G24" s="221"/>
      <c r="H24" s="16" t="s">
        <v>3519</v>
      </c>
      <c r="I24" s="223"/>
    </row>
    <row r="25" spans="2:9" x14ac:dyDescent="0.2">
      <c r="B25" s="220" t="str">
        <f t="shared" si="0"/>
        <v>2026-004-3</v>
      </c>
      <c r="C25" s="221">
        <v>2026</v>
      </c>
      <c r="D25" s="222" t="s">
        <v>7</v>
      </c>
      <c r="E25" s="221">
        <v>3</v>
      </c>
      <c r="F25" s="16" t="s">
        <v>2514</v>
      </c>
      <c r="G25" s="221"/>
      <c r="H25" s="16" t="s">
        <v>3520</v>
      </c>
      <c r="I25" s="223"/>
    </row>
    <row r="26" spans="2:9" x14ac:dyDescent="0.2">
      <c r="B26" s="220" t="str">
        <f t="shared" si="0"/>
        <v>2026-004-4</v>
      </c>
      <c r="C26" s="221">
        <v>2026</v>
      </c>
      <c r="D26" s="222" t="s">
        <v>7</v>
      </c>
      <c r="E26" s="221">
        <v>4</v>
      </c>
      <c r="F26" s="16" t="s">
        <v>2515</v>
      </c>
      <c r="G26" s="221"/>
      <c r="H26" s="16" t="s">
        <v>3521</v>
      </c>
      <c r="I26" s="223"/>
    </row>
    <row r="27" spans="2:9" x14ac:dyDescent="0.2">
      <c r="B27" s="224" t="str">
        <f t="shared" si="0"/>
        <v>2026-004-5</v>
      </c>
      <c r="C27" s="225">
        <v>2026</v>
      </c>
      <c r="D27" s="226" t="s">
        <v>7</v>
      </c>
      <c r="E27" s="225">
        <v>5</v>
      </c>
      <c r="F27" s="22" t="s">
        <v>2516</v>
      </c>
      <c r="G27" s="225"/>
      <c r="H27" s="22" t="s">
        <v>3522</v>
      </c>
      <c r="I27" s="227"/>
    </row>
    <row r="28" spans="2:9" x14ac:dyDescent="0.2">
      <c r="B28" s="228" t="str">
        <f t="shared" si="0"/>
        <v>2026-005-0</v>
      </c>
      <c r="C28" s="229">
        <v>2026</v>
      </c>
      <c r="D28" s="230" t="s">
        <v>8</v>
      </c>
      <c r="E28" s="229">
        <v>0</v>
      </c>
      <c r="F28" s="28" t="s">
        <v>2517</v>
      </c>
      <c r="G28" s="229"/>
      <c r="H28" s="28" t="s">
        <v>3529</v>
      </c>
      <c r="I28" s="231"/>
    </row>
    <row r="29" spans="2:9" x14ac:dyDescent="0.2">
      <c r="B29" s="220" t="str">
        <f t="shared" si="0"/>
        <v>2026-005-1</v>
      </c>
      <c r="C29" s="221">
        <v>2026</v>
      </c>
      <c r="D29" s="222" t="s">
        <v>8</v>
      </c>
      <c r="E29" s="221">
        <v>1</v>
      </c>
      <c r="F29" s="16" t="s">
        <v>2518</v>
      </c>
      <c r="G29" s="221"/>
      <c r="H29" s="16" t="s">
        <v>3524</v>
      </c>
      <c r="I29" s="223" t="s">
        <v>3532</v>
      </c>
    </row>
    <row r="30" spans="2:9" x14ac:dyDescent="0.2">
      <c r="B30" s="220" t="str">
        <f t="shared" si="0"/>
        <v>2026-005-2</v>
      </c>
      <c r="C30" s="221">
        <v>2026</v>
      </c>
      <c r="D30" s="222" t="s">
        <v>8</v>
      </c>
      <c r="E30" s="221">
        <v>2</v>
      </c>
      <c r="F30" s="16" t="s">
        <v>2519</v>
      </c>
      <c r="G30" s="221" t="s">
        <v>3496</v>
      </c>
      <c r="H30" s="16" t="s">
        <v>3525</v>
      </c>
      <c r="I30" s="223" t="s">
        <v>3526</v>
      </c>
    </row>
    <row r="31" spans="2:9" x14ac:dyDescent="0.2">
      <c r="B31" s="220" t="str">
        <f t="shared" si="0"/>
        <v>2026-005-3</v>
      </c>
      <c r="C31" s="221">
        <v>2026</v>
      </c>
      <c r="D31" s="222" t="s">
        <v>8</v>
      </c>
      <c r="E31" s="221">
        <v>3</v>
      </c>
      <c r="F31" s="16" t="s">
        <v>2520</v>
      </c>
      <c r="G31" s="221"/>
      <c r="H31" s="16" t="s">
        <v>3527</v>
      </c>
      <c r="I31" s="223"/>
    </row>
    <row r="32" spans="2:9" x14ac:dyDescent="0.2">
      <c r="B32" s="220" t="str">
        <f t="shared" si="0"/>
        <v>2026-005-4</v>
      </c>
      <c r="C32" s="221">
        <v>2026</v>
      </c>
      <c r="D32" s="222" t="s">
        <v>8</v>
      </c>
      <c r="E32" s="221">
        <v>4</v>
      </c>
      <c r="F32" s="16" t="s">
        <v>2521</v>
      </c>
      <c r="G32" s="221"/>
      <c r="H32" s="16" t="s">
        <v>3528</v>
      </c>
      <c r="I32" s="223" t="s">
        <v>3533</v>
      </c>
    </row>
    <row r="33" spans="2:9" x14ac:dyDescent="0.2">
      <c r="B33" s="224" t="str">
        <f t="shared" si="0"/>
        <v>2026-005-5</v>
      </c>
      <c r="C33" s="225">
        <v>2026</v>
      </c>
      <c r="D33" s="226" t="s">
        <v>8</v>
      </c>
      <c r="E33" s="225">
        <v>5</v>
      </c>
      <c r="F33" s="22" t="s">
        <v>2522</v>
      </c>
      <c r="G33" s="225"/>
      <c r="H33" s="22" t="s">
        <v>3530</v>
      </c>
      <c r="I33" s="227" t="s">
        <v>3531</v>
      </c>
    </row>
    <row r="34" spans="2:9" ht="81" x14ac:dyDescent="0.2">
      <c r="B34" s="228" t="str">
        <f t="shared" si="0"/>
        <v>2026-006-0</v>
      </c>
      <c r="C34" s="229">
        <v>2026</v>
      </c>
      <c r="D34" s="230" t="s">
        <v>9</v>
      </c>
      <c r="E34" s="229">
        <v>0</v>
      </c>
      <c r="F34" s="28" t="s">
        <v>2523</v>
      </c>
      <c r="G34" s="229"/>
      <c r="H34" s="28"/>
      <c r="I34" s="231" t="s">
        <v>3534</v>
      </c>
    </row>
    <row r="35" spans="2:9" x14ac:dyDescent="0.2">
      <c r="B35" s="220" t="str">
        <f t="shared" si="0"/>
        <v>2026-006-1</v>
      </c>
      <c r="C35" s="221">
        <v>2026</v>
      </c>
      <c r="D35" s="222" t="s">
        <v>9</v>
      </c>
      <c r="E35" s="221">
        <v>1</v>
      </c>
      <c r="F35" s="16" t="s">
        <v>2524</v>
      </c>
      <c r="G35" s="221"/>
      <c r="H35" s="16"/>
      <c r="I35" s="223"/>
    </row>
    <row r="36" spans="2:9" x14ac:dyDescent="0.2">
      <c r="B36" s="220" t="str">
        <f t="shared" si="0"/>
        <v>2026-006-2</v>
      </c>
      <c r="C36" s="221">
        <v>2026</v>
      </c>
      <c r="D36" s="222" t="s">
        <v>9</v>
      </c>
      <c r="E36" s="221">
        <v>2</v>
      </c>
      <c r="F36" s="16" t="s">
        <v>2525</v>
      </c>
      <c r="G36" s="221"/>
      <c r="H36" s="16"/>
      <c r="I36" s="223"/>
    </row>
    <row r="37" spans="2:9" x14ac:dyDescent="0.2">
      <c r="B37" s="220" t="str">
        <f t="shared" si="0"/>
        <v>2026-006-3</v>
      </c>
      <c r="C37" s="221">
        <v>2026</v>
      </c>
      <c r="D37" s="222" t="s">
        <v>9</v>
      </c>
      <c r="E37" s="221">
        <v>3</v>
      </c>
      <c r="F37" s="16" t="s">
        <v>2527</v>
      </c>
      <c r="G37" s="221"/>
      <c r="H37" s="16"/>
      <c r="I37" s="223"/>
    </row>
    <row r="38" spans="2:9" x14ac:dyDescent="0.2">
      <c r="B38" s="220" t="str">
        <f t="shared" si="0"/>
        <v>2026-006-4</v>
      </c>
      <c r="C38" s="221">
        <v>2026</v>
      </c>
      <c r="D38" s="222" t="s">
        <v>9</v>
      </c>
      <c r="E38" s="221">
        <v>4</v>
      </c>
      <c r="F38" s="16" t="s">
        <v>2528</v>
      </c>
      <c r="G38" s="221" t="s">
        <v>3496</v>
      </c>
      <c r="H38" s="16"/>
      <c r="I38" s="223"/>
    </row>
    <row r="39" spans="2:9" x14ac:dyDescent="0.2">
      <c r="B39" s="224" t="str">
        <f t="shared" si="0"/>
        <v>2026-006-5</v>
      </c>
      <c r="C39" s="225">
        <v>2026</v>
      </c>
      <c r="D39" s="226" t="s">
        <v>9</v>
      </c>
      <c r="E39" s="225">
        <v>5</v>
      </c>
      <c r="F39" s="22" t="s">
        <v>2529</v>
      </c>
      <c r="G39" s="225"/>
      <c r="H39" s="22"/>
      <c r="I39" s="227"/>
    </row>
    <row r="40" spans="2:9" x14ac:dyDescent="0.2">
      <c r="B40" s="228" t="str">
        <f t="shared" si="0"/>
        <v>2026-007-0</v>
      </c>
      <c r="C40" s="229">
        <v>2026</v>
      </c>
      <c r="D40" s="230" t="s">
        <v>10</v>
      </c>
      <c r="E40" s="229">
        <v>0</v>
      </c>
      <c r="F40" s="28" t="s">
        <v>2530</v>
      </c>
      <c r="G40" s="229"/>
      <c r="H40" s="28" t="s">
        <v>3542</v>
      </c>
      <c r="I40" s="231"/>
    </row>
    <row r="41" spans="2:9" ht="27" x14ac:dyDescent="0.2">
      <c r="B41" s="220" t="str">
        <f t="shared" si="0"/>
        <v>2026-007-1</v>
      </c>
      <c r="C41" s="221">
        <v>2026</v>
      </c>
      <c r="D41" s="222" t="s">
        <v>10</v>
      </c>
      <c r="E41" s="221">
        <v>1</v>
      </c>
      <c r="F41" s="16" t="s">
        <v>2531</v>
      </c>
      <c r="G41" s="221" t="s">
        <v>3496</v>
      </c>
      <c r="H41" s="16" t="s">
        <v>3535</v>
      </c>
      <c r="I41" s="223"/>
    </row>
    <row r="42" spans="2:9" x14ac:dyDescent="0.2">
      <c r="B42" s="220" t="str">
        <f t="shared" si="0"/>
        <v>2026-007-2</v>
      </c>
      <c r="C42" s="221">
        <v>2026</v>
      </c>
      <c r="D42" s="222" t="s">
        <v>10</v>
      </c>
      <c r="E42" s="221">
        <v>2</v>
      </c>
      <c r="F42" s="16" t="s">
        <v>2860</v>
      </c>
      <c r="G42" s="221"/>
      <c r="H42" s="16" t="s">
        <v>3536</v>
      </c>
      <c r="I42" s="223" t="s">
        <v>3537</v>
      </c>
    </row>
    <row r="43" spans="2:9" x14ac:dyDescent="0.2">
      <c r="B43" s="220" t="str">
        <f t="shared" si="0"/>
        <v>2026-007-3</v>
      </c>
      <c r="C43" s="221">
        <v>2026</v>
      </c>
      <c r="D43" s="222" t="s">
        <v>10</v>
      </c>
      <c r="E43" s="221">
        <v>3</v>
      </c>
      <c r="F43" s="16" t="s">
        <v>2861</v>
      </c>
      <c r="G43" s="221"/>
      <c r="H43" s="16" t="s">
        <v>3536</v>
      </c>
      <c r="I43" s="223" t="s">
        <v>3541</v>
      </c>
    </row>
    <row r="44" spans="2:9" x14ac:dyDescent="0.2">
      <c r="B44" s="220" t="str">
        <f t="shared" si="0"/>
        <v>2026-007-4</v>
      </c>
      <c r="C44" s="221">
        <v>2026</v>
      </c>
      <c r="D44" s="222" t="s">
        <v>10</v>
      </c>
      <c r="E44" s="221">
        <v>4</v>
      </c>
      <c r="F44" s="16" t="s">
        <v>2532</v>
      </c>
      <c r="G44" s="221"/>
      <c r="H44" s="16" t="s">
        <v>3536</v>
      </c>
      <c r="I44" s="223" t="s">
        <v>3538</v>
      </c>
    </row>
    <row r="45" spans="2:9" x14ac:dyDescent="0.2">
      <c r="B45" s="224" t="str">
        <f t="shared" si="0"/>
        <v>2026-007-5</v>
      </c>
      <c r="C45" s="225">
        <v>2026</v>
      </c>
      <c r="D45" s="226" t="s">
        <v>10</v>
      </c>
      <c r="E45" s="225">
        <v>5</v>
      </c>
      <c r="F45" s="22" t="s">
        <v>2533</v>
      </c>
      <c r="G45" s="225"/>
      <c r="H45" s="22" t="s">
        <v>3539</v>
      </c>
      <c r="I45" s="227" t="s">
        <v>3540</v>
      </c>
    </row>
    <row r="46" spans="2:9" ht="81" x14ac:dyDescent="0.2">
      <c r="B46" s="228" t="str">
        <f t="shared" si="0"/>
        <v>2026-008-0</v>
      </c>
      <c r="C46" s="229">
        <v>2026</v>
      </c>
      <c r="D46" s="230" t="s">
        <v>11</v>
      </c>
      <c r="E46" s="229">
        <v>0</v>
      </c>
      <c r="F46" s="28" t="s">
        <v>2534</v>
      </c>
      <c r="G46" s="229"/>
      <c r="H46" s="28"/>
      <c r="I46" s="231"/>
    </row>
    <row r="47" spans="2:9" x14ac:dyDescent="0.2">
      <c r="B47" s="220" t="str">
        <f t="shared" si="0"/>
        <v>2026-008-1</v>
      </c>
      <c r="C47" s="221">
        <v>2026</v>
      </c>
      <c r="D47" s="222" t="s">
        <v>11</v>
      </c>
      <c r="E47" s="221">
        <v>1</v>
      </c>
      <c r="F47" s="16" t="s">
        <v>2524</v>
      </c>
      <c r="G47" s="221"/>
      <c r="H47" s="16"/>
      <c r="I47" s="223"/>
    </row>
    <row r="48" spans="2:9" x14ac:dyDescent="0.2">
      <c r="B48" s="220" t="str">
        <f t="shared" si="0"/>
        <v>2026-008-2</v>
      </c>
      <c r="C48" s="221">
        <v>2026</v>
      </c>
      <c r="D48" s="222" t="s">
        <v>11</v>
      </c>
      <c r="E48" s="221">
        <v>2</v>
      </c>
      <c r="F48" s="16" t="s">
        <v>2527</v>
      </c>
      <c r="G48" s="221"/>
      <c r="H48" s="16"/>
      <c r="I48" s="223"/>
    </row>
    <row r="49" spans="2:9" x14ac:dyDescent="0.2">
      <c r="B49" s="220" t="str">
        <f t="shared" si="0"/>
        <v>2026-008-3</v>
      </c>
      <c r="C49" s="221">
        <v>2026</v>
      </c>
      <c r="D49" s="222" t="s">
        <v>11</v>
      </c>
      <c r="E49" s="221">
        <v>3</v>
      </c>
      <c r="F49" s="16" t="s">
        <v>2526</v>
      </c>
      <c r="G49" s="221"/>
      <c r="H49" s="16"/>
      <c r="I49" s="223"/>
    </row>
    <row r="50" spans="2:9" x14ac:dyDescent="0.2">
      <c r="B50" s="220" t="str">
        <f t="shared" si="0"/>
        <v>2026-008-4</v>
      </c>
      <c r="C50" s="221">
        <v>2026</v>
      </c>
      <c r="D50" s="222" t="s">
        <v>11</v>
      </c>
      <c r="E50" s="221">
        <v>4</v>
      </c>
      <c r="F50" s="16" t="s">
        <v>2528</v>
      </c>
      <c r="G50" s="221"/>
      <c r="H50" s="16"/>
      <c r="I50" s="223"/>
    </row>
    <row r="51" spans="2:9" x14ac:dyDescent="0.2">
      <c r="B51" s="224" t="str">
        <f t="shared" si="0"/>
        <v>2026-008-5</v>
      </c>
      <c r="C51" s="225">
        <v>2026</v>
      </c>
      <c r="D51" s="226" t="s">
        <v>11</v>
      </c>
      <c r="E51" s="225">
        <v>5</v>
      </c>
      <c r="F51" s="22" t="s">
        <v>2529</v>
      </c>
      <c r="G51" s="225" t="s">
        <v>3496</v>
      </c>
      <c r="H51" s="22"/>
      <c r="I51" s="227"/>
    </row>
    <row r="52" spans="2:9" ht="81" x14ac:dyDescent="0.2">
      <c r="B52" s="228" t="str">
        <f t="shared" si="0"/>
        <v>2026-009-0</v>
      </c>
      <c r="C52" s="229">
        <v>2026</v>
      </c>
      <c r="D52" s="230" t="s">
        <v>12</v>
      </c>
      <c r="E52" s="229">
        <v>0</v>
      </c>
      <c r="F52" s="28" t="s">
        <v>2535</v>
      </c>
      <c r="G52" s="229"/>
      <c r="H52" s="28"/>
      <c r="I52" s="231"/>
    </row>
    <row r="53" spans="2:9" x14ac:dyDescent="0.2">
      <c r="B53" s="220" t="str">
        <f t="shared" si="0"/>
        <v>2026-009-1</v>
      </c>
      <c r="C53" s="221">
        <v>2026</v>
      </c>
      <c r="D53" s="222" t="s">
        <v>12</v>
      </c>
      <c r="E53" s="221">
        <v>1</v>
      </c>
      <c r="F53" s="16" t="s">
        <v>2524</v>
      </c>
      <c r="G53" s="221"/>
      <c r="H53" s="16"/>
      <c r="I53" s="223"/>
    </row>
    <row r="54" spans="2:9" x14ac:dyDescent="0.2">
      <c r="B54" s="220" t="str">
        <f t="shared" si="0"/>
        <v>2026-009-2</v>
      </c>
      <c r="C54" s="221">
        <v>2026</v>
      </c>
      <c r="D54" s="222" t="s">
        <v>12</v>
      </c>
      <c r="E54" s="221">
        <v>2</v>
      </c>
      <c r="F54" s="16" t="s">
        <v>2525</v>
      </c>
      <c r="G54" s="221"/>
      <c r="H54" s="16"/>
      <c r="I54" s="223"/>
    </row>
    <row r="55" spans="2:9" x14ac:dyDescent="0.2">
      <c r="B55" s="220" t="str">
        <f t="shared" si="0"/>
        <v>2026-009-3</v>
      </c>
      <c r="C55" s="221">
        <v>2026</v>
      </c>
      <c r="D55" s="222" t="s">
        <v>12</v>
      </c>
      <c r="E55" s="221">
        <v>3</v>
      </c>
      <c r="F55" s="16" t="s">
        <v>2536</v>
      </c>
      <c r="G55" s="221"/>
      <c r="H55" s="16"/>
      <c r="I55" s="223"/>
    </row>
    <row r="56" spans="2:9" x14ac:dyDescent="0.2">
      <c r="B56" s="220" t="str">
        <f t="shared" si="0"/>
        <v>2026-009-4</v>
      </c>
      <c r="C56" s="221">
        <v>2026</v>
      </c>
      <c r="D56" s="222" t="s">
        <v>12</v>
      </c>
      <c r="E56" s="221">
        <v>4</v>
      </c>
      <c r="F56" s="16" t="s">
        <v>2527</v>
      </c>
      <c r="G56" s="221" t="s">
        <v>3496</v>
      </c>
      <c r="H56" s="16"/>
      <c r="I56" s="223"/>
    </row>
    <row r="57" spans="2:9" x14ac:dyDescent="0.2">
      <c r="B57" s="224" t="str">
        <f t="shared" si="0"/>
        <v>2026-009-5</v>
      </c>
      <c r="C57" s="225">
        <v>2026</v>
      </c>
      <c r="D57" s="226" t="s">
        <v>12</v>
      </c>
      <c r="E57" s="225">
        <v>5</v>
      </c>
      <c r="F57" s="22" t="s">
        <v>2528</v>
      </c>
      <c r="G57" s="225"/>
      <c r="H57" s="22"/>
      <c r="I57" s="227"/>
    </row>
    <row r="58" spans="2:9" ht="54" x14ac:dyDescent="0.2">
      <c r="B58" s="228" t="str">
        <f t="shared" si="0"/>
        <v>2026-010-0</v>
      </c>
      <c r="C58" s="229">
        <v>2026</v>
      </c>
      <c r="D58" s="230" t="s">
        <v>13</v>
      </c>
      <c r="E58" s="229">
        <v>0</v>
      </c>
      <c r="F58" s="28" t="s">
        <v>2537</v>
      </c>
      <c r="G58" s="229"/>
      <c r="H58" s="28"/>
      <c r="I58" s="231"/>
    </row>
    <row r="59" spans="2:9" x14ac:dyDescent="0.2">
      <c r="B59" s="220" t="str">
        <f t="shared" si="0"/>
        <v>2026-010-1</v>
      </c>
      <c r="C59" s="221">
        <v>2026</v>
      </c>
      <c r="D59" s="222" t="s">
        <v>13</v>
      </c>
      <c r="E59" s="221">
        <v>1</v>
      </c>
      <c r="F59" s="16" t="s">
        <v>2539</v>
      </c>
      <c r="G59" s="221"/>
      <c r="H59" s="16"/>
      <c r="I59" s="223"/>
    </row>
    <row r="60" spans="2:9" x14ac:dyDescent="0.2">
      <c r="B60" s="220" t="str">
        <f t="shared" si="0"/>
        <v>2026-010-2</v>
      </c>
      <c r="C60" s="221">
        <v>2026</v>
      </c>
      <c r="D60" s="222" t="s">
        <v>13</v>
      </c>
      <c r="E60" s="221">
        <v>2</v>
      </c>
      <c r="F60" s="16" t="s">
        <v>2540</v>
      </c>
      <c r="G60" s="221" t="s">
        <v>3496</v>
      </c>
      <c r="H60" s="16"/>
      <c r="I60" s="223"/>
    </row>
    <row r="61" spans="2:9" x14ac:dyDescent="0.2">
      <c r="B61" s="220" t="str">
        <f t="shared" si="0"/>
        <v>2026-010-3</v>
      </c>
      <c r="C61" s="221">
        <v>2026</v>
      </c>
      <c r="D61" s="222" t="s">
        <v>13</v>
      </c>
      <c r="E61" s="221">
        <v>3</v>
      </c>
      <c r="F61" s="16" t="s">
        <v>2541</v>
      </c>
      <c r="G61" s="221"/>
      <c r="H61" s="16"/>
      <c r="I61" s="223"/>
    </row>
    <row r="62" spans="2:9" ht="27" x14ac:dyDescent="0.2">
      <c r="B62" s="220" t="str">
        <f t="shared" si="0"/>
        <v>2026-010-4</v>
      </c>
      <c r="C62" s="221">
        <v>2026</v>
      </c>
      <c r="D62" s="222" t="s">
        <v>13</v>
      </c>
      <c r="E62" s="221">
        <v>4</v>
      </c>
      <c r="F62" s="16" t="s">
        <v>2542</v>
      </c>
      <c r="G62" s="221"/>
      <c r="H62" s="16"/>
      <c r="I62" s="223"/>
    </row>
    <row r="63" spans="2:9" x14ac:dyDescent="0.2">
      <c r="B63" s="224" t="str">
        <f t="shared" si="0"/>
        <v>2026-010-5</v>
      </c>
      <c r="C63" s="225">
        <v>2026</v>
      </c>
      <c r="D63" s="226" t="s">
        <v>13</v>
      </c>
      <c r="E63" s="225">
        <v>5</v>
      </c>
      <c r="F63" s="22" t="s">
        <v>2538</v>
      </c>
      <c r="G63" s="225"/>
      <c r="H63" s="22"/>
      <c r="I63" s="227"/>
    </row>
    <row r="64" spans="2:9" x14ac:dyDescent="0.2">
      <c r="B64" s="228" t="str">
        <f t="shared" si="0"/>
        <v>2026-011-0</v>
      </c>
      <c r="C64" s="229">
        <v>2026</v>
      </c>
      <c r="D64" s="230" t="s">
        <v>14</v>
      </c>
      <c r="E64" s="229">
        <v>0</v>
      </c>
      <c r="F64" s="28" t="s">
        <v>2543</v>
      </c>
      <c r="G64" s="229"/>
      <c r="H64" s="28"/>
      <c r="I64" s="231"/>
    </row>
    <row r="65" spans="2:9" ht="27" x14ac:dyDescent="0.2">
      <c r="B65" s="220" t="str">
        <f t="shared" si="0"/>
        <v>2026-011-1</v>
      </c>
      <c r="C65" s="221">
        <v>2026</v>
      </c>
      <c r="D65" s="222" t="s">
        <v>14</v>
      </c>
      <c r="E65" s="221">
        <v>1</v>
      </c>
      <c r="F65" s="16" t="s">
        <v>2576</v>
      </c>
      <c r="G65" s="221" t="s">
        <v>3496</v>
      </c>
      <c r="H65" s="16"/>
      <c r="I65" s="223"/>
    </row>
    <row r="66" spans="2:9" x14ac:dyDescent="0.2">
      <c r="B66" s="220" t="str">
        <f t="shared" si="0"/>
        <v>2026-011-2</v>
      </c>
      <c r="C66" s="221">
        <v>2026</v>
      </c>
      <c r="D66" s="222" t="s">
        <v>14</v>
      </c>
      <c r="E66" s="221">
        <v>2</v>
      </c>
      <c r="F66" s="16" t="s">
        <v>2577</v>
      </c>
      <c r="G66" s="221"/>
      <c r="H66" s="16"/>
      <c r="I66" s="223"/>
    </row>
    <row r="67" spans="2:9" ht="27" x14ac:dyDescent="0.2">
      <c r="B67" s="220" t="str">
        <f t="shared" si="0"/>
        <v>2026-011-3</v>
      </c>
      <c r="C67" s="221">
        <v>2026</v>
      </c>
      <c r="D67" s="222" t="s">
        <v>14</v>
      </c>
      <c r="E67" s="221">
        <v>3</v>
      </c>
      <c r="F67" s="16" t="s">
        <v>2578</v>
      </c>
      <c r="G67" s="221"/>
      <c r="H67" s="16"/>
      <c r="I67" s="223"/>
    </row>
    <row r="68" spans="2:9" x14ac:dyDescent="0.2">
      <c r="B68" s="220" t="str">
        <f t="shared" si="0"/>
        <v>2026-011-4</v>
      </c>
      <c r="C68" s="221">
        <v>2026</v>
      </c>
      <c r="D68" s="222" t="s">
        <v>14</v>
      </c>
      <c r="E68" s="221">
        <v>4</v>
      </c>
      <c r="F68" s="16" t="s">
        <v>2579</v>
      </c>
      <c r="G68" s="221"/>
      <c r="H68" s="16"/>
      <c r="I68" s="223"/>
    </row>
    <row r="69" spans="2:9" ht="27" x14ac:dyDescent="0.2">
      <c r="B69" s="224" t="str">
        <f t="shared" si="0"/>
        <v>2026-011-5</v>
      </c>
      <c r="C69" s="225">
        <v>2026</v>
      </c>
      <c r="D69" s="226" t="s">
        <v>14</v>
      </c>
      <c r="E69" s="225">
        <v>5</v>
      </c>
      <c r="F69" s="22" t="s">
        <v>2580</v>
      </c>
      <c r="G69" s="225"/>
      <c r="H69" s="22"/>
      <c r="I69" s="227"/>
    </row>
    <row r="70" spans="2:9" ht="94.5" x14ac:dyDescent="0.2">
      <c r="B70" s="228" t="str">
        <f t="shared" si="0"/>
        <v>2026-012-0</v>
      </c>
      <c r="C70" s="229">
        <v>2026</v>
      </c>
      <c r="D70" s="230" t="s">
        <v>15</v>
      </c>
      <c r="E70" s="229">
        <v>0</v>
      </c>
      <c r="F70" s="28" t="s">
        <v>2544</v>
      </c>
      <c r="G70" s="229"/>
      <c r="H70" s="28"/>
      <c r="I70" s="231"/>
    </row>
    <row r="71" spans="2:9" x14ac:dyDescent="0.2">
      <c r="B71" s="220" t="str">
        <f t="shared" si="0"/>
        <v>2026-012-1</v>
      </c>
      <c r="C71" s="221">
        <v>2026</v>
      </c>
      <c r="D71" s="222" t="s">
        <v>15</v>
      </c>
      <c r="E71" s="221">
        <v>1</v>
      </c>
      <c r="F71" s="16" t="s">
        <v>2524</v>
      </c>
      <c r="G71" s="221"/>
      <c r="H71" s="16"/>
      <c r="I71" s="223"/>
    </row>
    <row r="72" spans="2:9" x14ac:dyDescent="0.2">
      <c r="B72" s="220" t="str">
        <f t="shared" si="0"/>
        <v>2026-012-2</v>
      </c>
      <c r="C72" s="221">
        <v>2026</v>
      </c>
      <c r="D72" s="222" t="s">
        <v>15</v>
      </c>
      <c r="E72" s="221">
        <v>2</v>
      </c>
      <c r="F72" s="16" t="s">
        <v>2527</v>
      </c>
      <c r="G72" s="221"/>
      <c r="H72" s="16"/>
      <c r="I72" s="223"/>
    </row>
    <row r="73" spans="2:9" x14ac:dyDescent="0.2">
      <c r="B73" s="220" t="str">
        <f t="shared" si="0"/>
        <v>2026-012-3</v>
      </c>
      <c r="C73" s="221">
        <v>2026</v>
      </c>
      <c r="D73" s="222" t="s">
        <v>15</v>
      </c>
      <c r="E73" s="221">
        <v>3</v>
      </c>
      <c r="F73" s="16" t="s">
        <v>2526</v>
      </c>
      <c r="G73" s="221"/>
      <c r="H73" s="16"/>
      <c r="I73" s="223"/>
    </row>
    <row r="74" spans="2:9" x14ac:dyDescent="0.2">
      <c r="B74" s="220" t="str">
        <f t="shared" si="0"/>
        <v>2026-012-4</v>
      </c>
      <c r="C74" s="221">
        <v>2026</v>
      </c>
      <c r="D74" s="222" t="s">
        <v>15</v>
      </c>
      <c r="E74" s="221">
        <v>4</v>
      </c>
      <c r="F74" s="16" t="s">
        <v>2528</v>
      </c>
      <c r="G74" s="221"/>
      <c r="H74" s="16"/>
      <c r="I74" s="223"/>
    </row>
    <row r="75" spans="2:9" x14ac:dyDescent="0.2">
      <c r="B75" s="224" t="str">
        <f t="shared" si="0"/>
        <v>2026-012-5</v>
      </c>
      <c r="C75" s="225">
        <v>2026</v>
      </c>
      <c r="D75" s="226" t="s">
        <v>15</v>
      </c>
      <c r="E75" s="225">
        <v>5</v>
      </c>
      <c r="F75" s="22" t="s">
        <v>2529</v>
      </c>
      <c r="G75" s="225" t="s">
        <v>3496</v>
      </c>
      <c r="H75" s="22"/>
      <c r="I75" s="227"/>
    </row>
    <row r="76" spans="2:9" x14ac:dyDescent="0.2">
      <c r="B76" s="228" t="str">
        <f t="shared" si="0"/>
        <v>2026-013-0</v>
      </c>
      <c r="C76" s="229">
        <v>2026</v>
      </c>
      <c r="D76" s="230" t="s">
        <v>16</v>
      </c>
      <c r="E76" s="229">
        <v>0</v>
      </c>
      <c r="F76" s="28" t="s">
        <v>2553</v>
      </c>
      <c r="G76" s="229"/>
      <c r="H76" s="28"/>
      <c r="I76" s="231"/>
    </row>
    <row r="77" spans="2:9" x14ac:dyDescent="0.2">
      <c r="B77" s="220" t="str">
        <f t="shared" si="0"/>
        <v>2026-013-1</v>
      </c>
      <c r="C77" s="221">
        <v>2026</v>
      </c>
      <c r="D77" s="222" t="s">
        <v>16</v>
      </c>
      <c r="E77" s="221">
        <v>1</v>
      </c>
      <c r="F77" s="16" t="s">
        <v>2545</v>
      </c>
      <c r="G77" s="221" t="s">
        <v>3496</v>
      </c>
      <c r="H77" s="16"/>
      <c r="I77" s="223"/>
    </row>
    <row r="78" spans="2:9" x14ac:dyDescent="0.2">
      <c r="B78" s="220" t="str">
        <f t="shared" si="0"/>
        <v>2026-013-2</v>
      </c>
      <c r="C78" s="221">
        <v>2026</v>
      </c>
      <c r="D78" s="222" t="s">
        <v>16</v>
      </c>
      <c r="E78" s="221">
        <v>2</v>
      </c>
      <c r="F78" s="16" t="s">
        <v>2546</v>
      </c>
      <c r="G78" s="221"/>
      <c r="H78" s="16"/>
      <c r="I78" s="223"/>
    </row>
    <row r="79" spans="2:9" x14ac:dyDescent="0.2">
      <c r="B79" s="220" t="str">
        <f t="shared" si="0"/>
        <v>2026-013-3</v>
      </c>
      <c r="C79" s="221">
        <v>2026</v>
      </c>
      <c r="D79" s="222" t="s">
        <v>16</v>
      </c>
      <c r="E79" s="221">
        <v>3</v>
      </c>
      <c r="F79" s="16" t="s">
        <v>2547</v>
      </c>
      <c r="G79" s="221"/>
      <c r="H79" s="16"/>
      <c r="I79" s="223"/>
    </row>
    <row r="80" spans="2:9" x14ac:dyDescent="0.2">
      <c r="B80" s="220" t="str">
        <f t="shared" si="0"/>
        <v>2026-013-4</v>
      </c>
      <c r="C80" s="221">
        <v>2026</v>
      </c>
      <c r="D80" s="222" t="s">
        <v>16</v>
      </c>
      <c r="E80" s="221">
        <v>4</v>
      </c>
      <c r="F80" s="16" t="s">
        <v>2548</v>
      </c>
      <c r="G80" s="221"/>
      <c r="H80" s="16"/>
      <c r="I80" s="223"/>
    </row>
    <row r="81" spans="2:9" x14ac:dyDescent="0.2">
      <c r="B81" s="224" t="str">
        <f t="shared" si="0"/>
        <v>2026-013-5</v>
      </c>
      <c r="C81" s="225">
        <v>2026</v>
      </c>
      <c r="D81" s="226" t="s">
        <v>16</v>
      </c>
      <c r="E81" s="225">
        <v>5</v>
      </c>
      <c r="F81" s="22" t="s">
        <v>2549</v>
      </c>
      <c r="G81" s="225"/>
      <c r="H81" s="22"/>
      <c r="I81" s="227"/>
    </row>
    <row r="82" spans="2:9" x14ac:dyDescent="0.2">
      <c r="B82" s="228" t="str">
        <f t="shared" si="0"/>
        <v>2026-014-0</v>
      </c>
      <c r="C82" s="229">
        <v>2026</v>
      </c>
      <c r="D82" s="230" t="s">
        <v>17</v>
      </c>
      <c r="E82" s="229">
        <v>0</v>
      </c>
      <c r="F82" s="28" t="s">
        <v>2552</v>
      </c>
      <c r="G82" s="229"/>
      <c r="H82" s="28"/>
      <c r="I82" s="231"/>
    </row>
    <row r="83" spans="2:9" x14ac:dyDescent="0.2">
      <c r="B83" s="220" t="str">
        <f t="shared" si="0"/>
        <v>2026-014-1</v>
      </c>
      <c r="C83" s="221">
        <v>2026</v>
      </c>
      <c r="D83" s="222" t="s">
        <v>17</v>
      </c>
      <c r="E83" s="221">
        <v>1</v>
      </c>
      <c r="F83" s="16" t="s">
        <v>2571</v>
      </c>
      <c r="G83" s="221" t="s">
        <v>3496</v>
      </c>
      <c r="H83" s="16"/>
      <c r="I83" s="223"/>
    </row>
    <row r="84" spans="2:9" x14ac:dyDescent="0.2">
      <c r="B84" s="220" t="str">
        <f t="shared" si="0"/>
        <v>2026-014-2</v>
      </c>
      <c r="C84" s="221">
        <v>2026</v>
      </c>
      <c r="D84" s="222" t="s">
        <v>17</v>
      </c>
      <c r="E84" s="221">
        <v>2</v>
      </c>
      <c r="F84" s="16" t="s">
        <v>2572</v>
      </c>
      <c r="G84" s="221"/>
      <c r="H84" s="16"/>
      <c r="I84" s="223"/>
    </row>
    <row r="85" spans="2:9" ht="27" x14ac:dyDescent="0.2">
      <c r="B85" s="220" t="str">
        <f t="shared" si="0"/>
        <v>2026-014-3</v>
      </c>
      <c r="C85" s="221">
        <v>2026</v>
      </c>
      <c r="D85" s="222" t="s">
        <v>17</v>
      </c>
      <c r="E85" s="221">
        <v>3</v>
      </c>
      <c r="F85" s="16" t="s">
        <v>2573</v>
      </c>
      <c r="G85" s="221"/>
      <c r="H85" s="16"/>
      <c r="I85" s="223"/>
    </row>
    <row r="86" spans="2:9" x14ac:dyDescent="0.2">
      <c r="B86" s="220" t="str">
        <f t="shared" si="0"/>
        <v>2026-014-4</v>
      </c>
      <c r="C86" s="221">
        <v>2026</v>
      </c>
      <c r="D86" s="222" t="s">
        <v>17</v>
      </c>
      <c r="E86" s="221">
        <v>4</v>
      </c>
      <c r="F86" s="16" t="s">
        <v>2574</v>
      </c>
      <c r="G86" s="221"/>
      <c r="H86" s="16"/>
      <c r="I86" s="223"/>
    </row>
    <row r="87" spans="2:9" x14ac:dyDescent="0.2">
      <c r="B87" s="224" t="str">
        <f t="shared" si="0"/>
        <v>2026-014-5</v>
      </c>
      <c r="C87" s="225">
        <v>2026</v>
      </c>
      <c r="D87" s="226" t="s">
        <v>17</v>
      </c>
      <c r="E87" s="225">
        <v>5</v>
      </c>
      <c r="F87" s="22" t="s">
        <v>2575</v>
      </c>
      <c r="G87" s="225"/>
      <c r="H87" s="22"/>
      <c r="I87" s="227"/>
    </row>
    <row r="88" spans="2:9" ht="67.5" x14ac:dyDescent="0.2">
      <c r="B88" s="228" t="str">
        <f t="shared" si="0"/>
        <v>2026-015-0</v>
      </c>
      <c r="C88" s="229">
        <v>2026</v>
      </c>
      <c r="D88" s="230" t="s">
        <v>18</v>
      </c>
      <c r="E88" s="229">
        <v>0</v>
      </c>
      <c r="F88" s="28" t="s">
        <v>2550</v>
      </c>
      <c r="G88" s="229"/>
      <c r="H88" s="28"/>
      <c r="I88" s="231"/>
    </row>
    <row r="89" spans="2:9" x14ac:dyDescent="0.2">
      <c r="B89" s="220" t="str">
        <f t="shared" si="0"/>
        <v>2026-015-1</v>
      </c>
      <c r="C89" s="221">
        <v>2026</v>
      </c>
      <c r="D89" s="222" t="s">
        <v>18</v>
      </c>
      <c r="E89" s="221">
        <v>1</v>
      </c>
      <c r="F89" s="16" t="s">
        <v>2524</v>
      </c>
      <c r="G89" s="221"/>
      <c r="H89" s="16"/>
      <c r="I89" s="223"/>
    </row>
    <row r="90" spans="2:9" x14ac:dyDescent="0.2">
      <c r="B90" s="220" t="str">
        <f t="shared" si="0"/>
        <v>2026-015-2</v>
      </c>
      <c r="C90" s="221">
        <v>2026</v>
      </c>
      <c r="D90" s="222" t="s">
        <v>18</v>
      </c>
      <c r="E90" s="221">
        <v>2</v>
      </c>
      <c r="F90" s="16" t="s">
        <v>2527</v>
      </c>
      <c r="G90" s="221"/>
      <c r="H90" s="16"/>
      <c r="I90" s="223"/>
    </row>
    <row r="91" spans="2:9" x14ac:dyDescent="0.2">
      <c r="B91" s="220" t="str">
        <f t="shared" si="0"/>
        <v>2026-015-3</v>
      </c>
      <c r="C91" s="221">
        <v>2026</v>
      </c>
      <c r="D91" s="222" t="s">
        <v>18</v>
      </c>
      <c r="E91" s="221">
        <v>3</v>
      </c>
      <c r="F91" s="16" t="s">
        <v>2526</v>
      </c>
      <c r="G91" s="221"/>
      <c r="H91" s="16"/>
      <c r="I91" s="223"/>
    </row>
    <row r="92" spans="2:9" x14ac:dyDescent="0.2">
      <c r="B92" s="220" t="str">
        <f t="shared" si="0"/>
        <v>2026-015-4</v>
      </c>
      <c r="C92" s="221">
        <v>2026</v>
      </c>
      <c r="D92" s="222" t="s">
        <v>18</v>
      </c>
      <c r="E92" s="221">
        <v>4</v>
      </c>
      <c r="F92" s="16" t="s">
        <v>2528</v>
      </c>
      <c r="G92" s="221"/>
      <c r="H92" s="16"/>
      <c r="I92" s="223"/>
    </row>
    <row r="93" spans="2:9" x14ac:dyDescent="0.2">
      <c r="B93" s="224" t="str">
        <f t="shared" si="0"/>
        <v>2026-015-5</v>
      </c>
      <c r="C93" s="225">
        <v>2026</v>
      </c>
      <c r="D93" s="226" t="s">
        <v>18</v>
      </c>
      <c r="E93" s="225">
        <v>5</v>
      </c>
      <c r="F93" s="22" t="s">
        <v>2529</v>
      </c>
      <c r="G93" s="225" t="s">
        <v>3496</v>
      </c>
      <c r="H93" s="22"/>
      <c r="I93" s="227"/>
    </row>
    <row r="94" spans="2:9" x14ac:dyDescent="0.2">
      <c r="B94" s="228" t="str">
        <f t="shared" si="0"/>
        <v>2026-016-0</v>
      </c>
      <c r="C94" s="229">
        <v>2026</v>
      </c>
      <c r="D94" s="230" t="s">
        <v>19</v>
      </c>
      <c r="E94" s="229">
        <v>0</v>
      </c>
      <c r="F94" s="28" t="s">
        <v>2551</v>
      </c>
      <c r="G94" s="229"/>
      <c r="H94" s="28"/>
      <c r="I94" s="231"/>
    </row>
    <row r="95" spans="2:9" ht="27" x14ac:dyDescent="0.2">
      <c r="B95" s="220" t="str">
        <f t="shared" si="0"/>
        <v>2026-016-1</v>
      </c>
      <c r="C95" s="221">
        <v>2026</v>
      </c>
      <c r="D95" s="222" t="s">
        <v>19</v>
      </c>
      <c r="E95" s="221">
        <v>1</v>
      </c>
      <c r="F95" s="16" t="s">
        <v>2554</v>
      </c>
      <c r="G95" s="221"/>
      <c r="H95" s="16"/>
      <c r="I95" s="223"/>
    </row>
    <row r="96" spans="2:9" ht="27" x14ac:dyDescent="0.2">
      <c r="B96" s="220" t="str">
        <f t="shared" si="0"/>
        <v>2026-016-2</v>
      </c>
      <c r="C96" s="221">
        <v>2026</v>
      </c>
      <c r="D96" s="222" t="s">
        <v>19</v>
      </c>
      <c r="E96" s="221">
        <v>2</v>
      </c>
      <c r="F96" s="16" t="s">
        <v>2559</v>
      </c>
      <c r="G96" s="221"/>
      <c r="H96" s="16"/>
      <c r="I96" s="223"/>
    </row>
    <row r="97" spans="2:9" ht="27" x14ac:dyDescent="0.2">
      <c r="B97" s="220" t="str">
        <f t="shared" si="0"/>
        <v>2026-016-3</v>
      </c>
      <c r="C97" s="221">
        <v>2026</v>
      </c>
      <c r="D97" s="222" t="s">
        <v>19</v>
      </c>
      <c r="E97" s="221">
        <v>3</v>
      </c>
      <c r="F97" s="16" t="s">
        <v>2557</v>
      </c>
      <c r="G97" s="221"/>
      <c r="H97" s="16"/>
      <c r="I97" s="223"/>
    </row>
    <row r="98" spans="2:9" ht="27" x14ac:dyDescent="0.2">
      <c r="B98" s="220" t="str">
        <f t="shared" si="0"/>
        <v>2026-016-4</v>
      </c>
      <c r="C98" s="221">
        <v>2026</v>
      </c>
      <c r="D98" s="222" t="s">
        <v>19</v>
      </c>
      <c r="E98" s="221">
        <v>4</v>
      </c>
      <c r="F98" s="16" t="s">
        <v>2556</v>
      </c>
      <c r="G98" s="221" t="s">
        <v>3496</v>
      </c>
      <c r="H98" s="16"/>
      <c r="I98" s="223"/>
    </row>
    <row r="99" spans="2:9" x14ac:dyDescent="0.2">
      <c r="B99" s="224" t="str">
        <f t="shared" si="0"/>
        <v>2026-016-5</v>
      </c>
      <c r="C99" s="225">
        <v>2026</v>
      </c>
      <c r="D99" s="226" t="s">
        <v>19</v>
      </c>
      <c r="E99" s="225">
        <v>5</v>
      </c>
      <c r="F99" s="22" t="s">
        <v>2555</v>
      </c>
      <c r="G99" s="225"/>
      <c r="H99" s="22"/>
      <c r="I99" s="227"/>
    </row>
    <row r="100" spans="2:9" x14ac:dyDescent="0.2">
      <c r="B100" s="228" t="str">
        <f t="shared" si="0"/>
        <v>2026-017-0</v>
      </c>
      <c r="C100" s="229">
        <v>2026</v>
      </c>
      <c r="D100" s="230" t="s">
        <v>20</v>
      </c>
      <c r="E100" s="229">
        <v>0</v>
      </c>
      <c r="F100" s="28" t="s">
        <v>2558</v>
      </c>
      <c r="G100" s="229"/>
      <c r="H100" s="28"/>
      <c r="I100" s="231"/>
    </row>
    <row r="101" spans="2:9" x14ac:dyDescent="0.2">
      <c r="B101" s="220" t="str">
        <f t="shared" si="0"/>
        <v>2026-017-1</v>
      </c>
      <c r="C101" s="221">
        <v>2026</v>
      </c>
      <c r="D101" s="222" t="s">
        <v>20</v>
      </c>
      <c r="E101" s="221">
        <v>1</v>
      </c>
      <c r="F101" s="16" t="s">
        <v>2560</v>
      </c>
      <c r="G101" s="221"/>
      <c r="H101" s="16"/>
      <c r="I101" s="223"/>
    </row>
    <row r="102" spans="2:9" ht="27" x14ac:dyDescent="0.2">
      <c r="B102" s="220" t="str">
        <f t="shared" si="0"/>
        <v>2026-017-2</v>
      </c>
      <c r="C102" s="221">
        <v>2026</v>
      </c>
      <c r="D102" s="222" t="s">
        <v>20</v>
      </c>
      <c r="E102" s="221">
        <v>2</v>
      </c>
      <c r="F102" s="16" t="s">
        <v>2561</v>
      </c>
      <c r="G102" s="221" t="s">
        <v>3496</v>
      </c>
      <c r="H102" s="16"/>
      <c r="I102" s="223"/>
    </row>
    <row r="103" spans="2:9" x14ac:dyDescent="0.2">
      <c r="B103" s="220" t="str">
        <f t="shared" si="0"/>
        <v>2026-017-3</v>
      </c>
      <c r="C103" s="221">
        <v>2026</v>
      </c>
      <c r="D103" s="222" t="s">
        <v>20</v>
      </c>
      <c r="E103" s="221">
        <v>3</v>
      </c>
      <c r="F103" s="16" t="s">
        <v>2562</v>
      </c>
      <c r="G103" s="221"/>
      <c r="H103" s="16"/>
      <c r="I103" s="223"/>
    </row>
    <row r="104" spans="2:9" ht="27" x14ac:dyDescent="0.2">
      <c r="B104" s="220" t="str">
        <f t="shared" si="0"/>
        <v>2026-017-4</v>
      </c>
      <c r="C104" s="221">
        <v>2026</v>
      </c>
      <c r="D104" s="222" t="s">
        <v>20</v>
      </c>
      <c r="E104" s="221">
        <v>4</v>
      </c>
      <c r="F104" s="16" t="s">
        <v>2563</v>
      </c>
      <c r="G104" s="221"/>
      <c r="H104" s="16"/>
      <c r="I104" s="223"/>
    </row>
    <row r="105" spans="2:9" ht="27" x14ac:dyDescent="0.2">
      <c r="B105" s="224" t="str">
        <f t="shared" si="0"/>
        <v>2026-017-5</v>
      </c>
      <c r="C105" s="225">
        <v>2026</v>
      </c>
      <c r="D105" s="226" t="s">
        <v>20</v>
      </c>
      <c r="E105" s="225">
        <v>5</v>
      </c>
      <c r="F105" s="22" t="s">
        <v>2564</v>
      </c>
      <c r="G105" s="225"/>
      <c r="H105" s="22"/>
      <c r="I105" s="227"/>
    </row>
    <row r="106" spans="2:9" x14ac:dyDescent="0.2">
      <c r="B106" s="228" t="str">
        <f t="shared" si="0"/>
        <v>2026-018-0</v>
      </c>
      <c r="C106" s="229">
        <v>2026</v>
      </c>
      <c r="D106" s="230" t="s">
        <v>21</v>
      </c>
      <c r="E106" s="229">
        <v>0</v>
      </c>
      <c r="F106" s="28" t="s">
        <v>2565</v>
      </c>
      <c r="G106" s="229"/>
      <c r="H106" s="28"/>
      <c r="I106" s="231"/>
    </row>
    <row r="107" spans="2:9" x14ac:dyDescent="0.2">
      <c r="B107" s="220" t="str">
        <f t="shared" si="0"/>
        <v>2026-018-1</v>
      </c>
      <c r="C107" s="221">
        <v>2026</v>
      </c>
      <c r="D107" s="222" t="s">
        <v>21</v>
      </c>
      <c r="E107" s="221">
        <v>1</v>
      </c>
      <c r="F107" s="16" t="s">
        <v>2566</v>
      </c>
      <c r="G107" s="221"/>
      <c r="H107" s="16"/>
      <c r="I107" s="223"/>
    </row>
    <row r="108" spans="2:9" ht="27" x14ac:dyDescent="0.2">
      <c r="B108" s="220" t="str">
        <f t="shared" si="0"/>
        <v>2026-018-2</v>
      </c>
      <c r="C108" s="221">
        <v>2026</v>
      </c>
      <c r="D108" s="222" t="s">
        <v>21</v>
      </c>
      <c r="E108" s="221">
        <v>2</v>
      </c>
      <c r="F108" s="16" t="s">
        <v>2567</v>
      </c>
      <c r="G108" s="221"/>
      <c r="H108" s="16"/>
      <c r="I108" s="223"/>
    </row>
    <row r="109" spans="2:9" x14ac:dyDescent="0.2">
      <c r="B109" s="220" t="str">
        <f t="shared" si="0"/>
        <v>2026-018-3</v>
      </c>
      <c r="C109" s="221">
        <v>2026</v>
      </c>
      <c r="D109" s="222" t="s">
        <v>21</v>
      </c>
      <c r="E109" s="221">
        <v>3</v>
      </c>
      <c r="F109" s="16" t="s">
        <v>2568</v>
      </c>
      <c r="G109" s="221"/>
      <c r="H109" s="16"/>
      <c r="I109" s="223"/>
    </row>
    <row r="110" spans="2:9" ht="27" x14ac:dyDescent="0.2">
      <c r="B110" s="220" t="str">
        <f t="shared" si="0"/>
        <v>2026-018-4</v>
      </c>
      <c r="C110" s="221">
        <v>2026</v>
      </c>
      <c r="D110" s="222" t="s">
        <v>21</v>
      </c>
      <c r="E110" s="221">
        <v>4</v>
      </c>
      <c r="F110" s="16" t="s">
        <v>2570</v>
      </c>
      <c r="G110" s="221"/>
      <c r="H110" s="16"/>
      <c r="I110" s="223"/>
    </row>
    <row r="111" spans="2:9" x14ac:dyDescent="0.2">
      <c r="B111" s="224" t="str">
        <f t="shared" si="0"/>
        <v>2026-018-5</v>
      </c>
      <c r="C111" s="225">
        <v>2026</v>
      </c>
      <c r="D111" s="226" t="s">
        <v>21</v>
      </c>
      <c r="E111" s="225">
        <v>5</v>
      </c>
      <c r="F111" s="22" t="s">
        <v>2569</v>
      </c>
      <c r="G111" s="225" t="s">
        <v>3496</v>
      </c>
      <c r="H111" s="22"/>
      <c r="I111" s="227"/>
    </row>
    <row r="112" spans="2:9" ht="81" x14ac:dyDescent="0.2">
      <c r="B112" s="228" t="str">
        <f t="shared" si="0"/>
        <v>2026-019-0</v>
      </c>
      <c r="C112" s="229">
        <v>2026</v>
      </c>
      <c r="D112" s="230" t="s">
        <v>22</v>
      </c>
      <c r="E112" s="229">
        <v>0</v>
      </c>
      <c r="F112" s="28" t="s">
        <v>2581</v>
      </c>
      <c r="G112" s="229"/>
      <c r="H112" s="28"/>
      <c r="I112" s="231"/>
    </row>
    <row r="113" spans="2:9" x14ac:dyDescent="0.2">
      <c r="B113" s="220" t="str">
        <f t="shared" si="0"/>
        <v>2026-019-1</v>
      </c>
      <c r="C113" s="221">
        <v>2026</v>
      </c>
      <c r="D113" s="222" t="s">
        <v>22</v>
      </c>
      <c r="E113" s="221">
        <v>1</v>
      </c>
      <c r="F113" s="16" t="s">
        <v>2524</v>
      </c>
      <c r="G113" s="221"/>
      <c r="H113" s="16"/>
      <c r="I113" s="223"/>
    </row>
    <row r="114" spans="2:9" x14ac:dyDescent="0.2">
      <c r="B114" s="220" t="str">
        <f t="shared" si="0"/>
        <v>2026-019-2</v>
      </c>
      <c r="C114" s="221">
        <v>2026</v>
      </c>
      <c r="D114" s="222" t="s">
        <v>22</v>
      </c>
      <c r="E114" s="221">
        <v>2</v>
      </c>
      <c r="F114" s="16" t="s">
        <v>2526</v>
      </c>
      <c r="G114" s="221" t="s">
        <v>3496</v>
      </c>
      <c r="H114" s="16"/>
      <c r="I114" s="223"/>
    </row>
    <row r="115" spans="2:9" x14ac:dyDescent="0.2">
      <c r="B115" s="220" t="str">
        <f t="shared" si="0"/>
        <v>2026-019-3</v>
      </c>
      <c r="C115" s="221">
        <v>2026</v>
      </c>
      <c r="D115" s="222" t="s">
        <v>22</v>
      </c>
      <c r="E115" s="221">
        <v>3</v>
      </c>
      <c r="F115" s="16" t="s">
        <v>2528</v>
      </c>
      <c r="G115" s="221"/>
      <c r="H115" s="16"/>
      <c r="I115" s="223"/>
    </row>
    <row r="116" spans="2:9" x14ac:dyDescent="0.2">
      <c r="B116" s="220" t="str">
        <f t="shared" si="0"/>
        <v>2026-019-4</v>
      </c>
      <c r="C116" s="221">
        <v>2026</v>
      </c>
      <c r="D116" s="222" t="s">
        <v>22</v>
      </c>
      <c r="E116" s="221">
        <v>4</v>
      </c>
      <c r="F116" s="16" t="s">
        <v>2582</v>
      </c>
      <c r="G116" s="221"/>
      <c r="H116" s="16"/>
      <c r="I116" s="223"/>
    </row>
    <row r="117" spans="2:9" x14ac:dyDescent="0.2">
      <c r="B117" s="224" t="str">
        <f t="shared" si="0"/>
        <v>2026-019-5</v>
      </c>
      <c r="C117" s="225">
        <v>2026</v>
      </c>
      <c r="D117" s="226" t="s">
        <v>22</v>
      </c>
      <c r="E117" s="225">
        <v>5</v>
      </c>
      <c r="F117" s="22" t="s">
        <v>2583</v>
      </c>
      <c r="G117" s="225"/>
      <c r="H117" s="22"/>
      <c r="I117" s="227"/>
    </row>
    <row r="118" spans="2:9" x14ac:dyDescent="0.2">
      <c r="B118" s="228" t="str">
        <f t="shared" si="0"/>
        <v>2026-020-0</v>
      </c>
      <c r="C118" s="229">
        <v>2026</v>
      </c>
      <c r="D118" s="230" t="s">
        <v>23</v>
      </c>
      <c r="E118" s="229">
        <v>0</v>
      </c>
      <c r="F118" s="28" t="s">
        <v>2584</v>
      </c>
      <c r="G118" s="229"/>
      <c r="H118" s="28"/>
      <c r="I118" s="231"/>
    </row>
    <row r="119" spans="2:9" x14ac:dyDescent="0.2">
      <c r="B119" s="220" t="str">
        <f t="shared" si="0"/>
        <v>2026-020-1</v>
      </c>
      <c r="C119" s="221">
        <v>2026</v>
      </c>
      <c r="D119" s="222" t="s">
        <v>23</v>
      </c>
      <c r="E119" s="221">
        <v>1</v>
      </c>
      <c r="F119" s="16" t="s">
        <v>2617</v>
      </c>
      <c r="G119" s="221"/>
      <c r="H119" s="16"/>
      <c r="I119" s="223"/>
    </row>
    <row r="120" spans="2:9" ht="27" x14ac:dyDescent="0.2">
      <c r="B120" s="220" t="str">
        <f t="shared" si="0"/>
        <v>2026-020-2</v>
      </c>
      <c r="C120" s="221">
        <v>2026</v>
      </c>
      <c r="D120" s="222" t="s">
        <v>23</v>
      </c>
      <c r="E120" s="221">
        <v>2</v>
      </c>
      <c r="F120" s="16" t="s">
        <v>2659</v>
      </c>
      <c r="G120" s="221"/>
      <c r="H120" s="16"/>
      <c r="I120" s="223"/>
    </row>
    <row r="121" spans="2:9" x14ac:dyDescent="0.2">
      <c r="B121" s="220" t="str">
        <f t="shared" si="0"/>
        <v>2026-020-3</v>
      </c>
      <c r="C121" s="221">
        <v>2026</v>
      </c>
      <c r="D121" s="222" t="s">
        <v>23</v>
      </c>
      <c r="E121" s="221">
        <v>3</v>
      </c>
      <c r="F121" s="16" t="s">
        <v>2703</v>
      </c>
      <c r="G121" s="221"/>
      <c r="H121" s="16"/>
      <c r="I121" s="223"/>
    </row>
    <row r="122" spans="2:9" ht="27" x14ac:dyDescent="0.2">
      <c r="B122" s="220" t="str">
        <f t="shared" si="0"/>
        <v>2026-020-4</v>
      </c>
      <c r="C122" s="221">
        <v>2026</v>
      </c>
      <c r="D122" s="222" t="s">
        <v>23</v>
      </c>
      <c r="E122" s="221">
        <v>4</v>
      </c>
      <c r="F122" s="16" t="s">
        <v>2746</v>
      </c>
      <c r="G122" s="221" t="s">
        <v>3496</v>
      </c>
      <c r="H122" s="16"/>
      <c r="I122" s="223"/>
    </row>
    <row r="123" spans="2:9" x14ac:dyDescent="0.2">
      <c r="B123" s="224" t="str">
        <f t="shared" si="0"/>
        <v>2026-020-5</v>
      </c>
      <c r="C123" s="225">
        <v>2026</v>
      </c>
      <c r="D123" s="226" t="s">
        <v>23</v>
      </c>
      <c r="E123" s="225">
        <v>5</v>
      </c>
      <c r="F123" s="22" t="s">
        <v>2784</v>
      </c>
      <c r="G123" s="225"/>
      <c r="H123" s="22"/>
      <c r="I123" s="227"/>
    </row>
    <row r="124" spans="2:9" x14ac:dyDescent="0.2">
      <c r="B124" s="228" t="str">
        <f t="shared" si="0"/>
        <v>2026-021-0</v>
      </c>
      <c r="C124" s="229">
        <v>2026</v>
      </c>
      <c r="D124" s="230" t="s">
        <v>24</v>
      </c>
      <c r="E124" s="229">
        <v>0</v>
      </c>
      <c r="F124" s="28" t="s">
        <v>2585</v>
      </c>
      <c r="G124" s="229"/>
      <c r="H124" s="28"/>
      <c r="I124" s="231"/>
    </row>
    <row r="125" spans="2:9" x14ac:dyDescent="0.2">
      <c r="B125" s="220" t="str">
        <f t="shared" si="0"/>
        <v>2026-021-1</v>
      </c>
      <c r="C125" s="221">
        <v>2026</v>
      </c>
      <c r="D125" s="222" t="s">
        <v>24</v>
      </c>
      <c r="E125" s="221">
        <v>1</v>
      </c>
      <c r="F125" s="16" t="s">
        <v>2618</v>
      </c>
      <c r="G125" s="221"/>
      <c r="H125" s="16"/>
      <c r="I125" s="223"/>
    </row>
    <row r="126" spans="2:9" x14ac:dyDescent="0.2">
      <c r="B126" s="220" t="str">
        <f t="shared" si="0"/>
        <v>2026-021-2</v>
      </c>
      <c r="C126" s="221">
        <v>2026</v>
      </c>
      <c r="D126" s="222" t="s">
        <v>24</v>
      </c>
      <c r="E126" s="221">
        <v>2</v>
      </c>
      <c r="F126" s="16" t="s">
        <v>2660</v>
      </c>
      <c r="G126" s="221"/>
      <c r="H126" s="16"/>
      <c r="I126" s="223"/>
    </row>
    <row r="127" spans="2:9" x14ac:dyDescent="0.2">
      <c r="B127" s="220" t="str">
        <f t="shared" si="0"/>
        <v>2026-021-3</v>
      </c>
      <c r="C127" s="221">
        <v>2026</v>
      </c>
      <c r="D127" s="222" t="s">
        <v>24</v>
      </c>
      <c r="E127" s="221">
        <v>3</v>
      </c>
      <c r="F127" s="16" t="s">
        <v>2704</v>
      </c>
      <c r="G127" s="221"/>
      <c r="H127" s="16"/>
      <c r="I127" s="223"/>
    </row>
    <row r="128" spans="2:9" x14ac:dyDescent="0.2">
      <c r="B128" s="220" t="str">
        <f t="shared" si="0"/>
        <v>2026-021-4</v>
      </c>
      <c r="C128" s="221">
        <v>2026</v>
      </c>
      <c r="D128" s="222" t="s">
        <v>24</v>
      </c>
      <c r="E128" s="221">
        <v>4</v>
      </c>
      <c r="F128" s="16" t="s">
        <v>2747</v>
      </c>
      <c r="G128" s="221" t="s">
        <v>3496</v>
      </c>
      <c r="H128" s="16"/>
      <c r="I128" s="223"/>
    </row>
    <row r="129" spans="2:9" x14ac:dyDescent="0.2">
      <c r="B129" s="224" t="str">
        <f t="shared" si="0"/>
        <v>2026-021-5</v>
      </c>
      <c r="C129" s="225">
        <v>2026</v>
      </c>
      <c r="D129" s="226" t="s">
        <v>24</v>
      </c>
      <c r="E129" s="225">
        <v>5</v>
      </c>
      <c r="F129" s="22" t="s">
        <v>2785</v>
      </c>
      <c r="G129" s="225"/>
      <c r="H129" s="22"/>
      <c r="I129" s="227"/>
    </row>
    <row r="130" spans="2:9" x14ac:dyDescent="0.2">
      <c r="B130" s="228" t="str">
        <f t="shared" si="0"/>
        <v>2026-022-0</v>
      </c>
      <c r="C130" s="229">
        <v>2026</v>
      </c>
      <c r="D130" s="230" t="s">
        <v>25</v>
      </c>
      <c r="E130" s="229">
        <v>0</v>
      </c>
      <c r="F130" s="28" t="s">
        <v>2586</v>
      </c>
      <c r="G130" s="229"/>
      <c r="H130" s="28"/>
      <c r="I130" s="231"/>
    </row>
    <row r="131" spans="2:9" x14ac:dyDescent="0.2">
      <c r="B131" s="220" t="str">
        <f t="shared" si="0"/>
        <v>2026-022-1</v>
      </c>
      <c r="C131" s="221">
        <v>2026</v>
      </c>
      <c r="D131" s="222" t="s">
        <v>25</v>
      </c>
      <c r="E131" s="221">
        <v>1</v>
      </c>
      <c r="F131" s="16" t="s">
        <v>2619</v>
      </c>
      <c r="G131" s="221"/>
      <c r="H131" s="16"/>
      <c r="I131" s="223"/>
    </row>
    <row r="132" spans="2:9" x14ac:dyDescent="0.2">
      <c r="B132" s="220" t="str">
        <f t="shared" si="0"/>
        <v>2026-022-2</v>
      </c>
      <c r="C132" s="221">
        <v>2026</v>
      </c>
      <c r="D132" s="222" t="s">
        <v>25</v>
      </c>
      <c r="E132" s="221">
        <v>2</v>
      </c>
      <c r="F132" s="16" t="s">
        <v>2661</v>
      </c>
      <c r="G132" s="221"/>
      <c r="H132" s="16"/>
      <c r="I132" s="223"/>
    </row>
    <row r="133" spans="2:9" ht="27" x14ac:dyDescent="0.2">
      <c r="B133" s="220" t="str">
        <f t="shared" si="0"/>
        <v>2026-022-3</v>
      </c>
      <c r="C133" s="221">
        <v>2026</v>
      </c>
      <c r="D133" s="222" t="s">
        <v>25</v>
      </c>
      <c r="E133" s="221">
        <v>3</v>
      </c>
      <c r="F133" s="16" t="s">
        <v>2705</v>
      </c>
      <c r="G133" s="221"/>
      <c r="H133" s="16"/>
      <c r="I133" s="223"/>
    </row>
    <row r="134" spans="2:9" x14ac:dyDescent="0.2">
      <c r="B134" s="220" t="str">
        <f t="shared" si="0"/>
        <v>2026-022-4</v>
      </c>
      <c r="C134" s="221">
        <v>2026</v>
      </c>
      <c r="D134" s="222" t="s">
        <v>25</v>
      </c>
      <c r="E134" s="221">
        <v>4</v>
      </c>
      <c r="F134" s="16" t="s">
        <v>2748</v>
      </c>
      <c r="G134" s="221" t="s">
        <v>3496</v>
      </c>
      <c r="H134" s="16"/>
      <c r="I134" s="223"/>
    </row>
    <row r="135" spans="2:9" ht="27" x14ac:dyDescent="0.2">
      <c r="B135" s="224" t="str">
        <f t="shared" si="0"/>
        <v>2026-022-5</v>
      </c>
      <c r="C135" s="225">
        <v>2026</v>
      </c>
      <c r="D135" s="226" t="s">
        <v>25</v>
      </c>
      <c r="E135" s="225">
        <v>5</v>
      </c>
      <c r="F135" s="22" t="s">
        <v>2786</v>
      </c>
      <c r="G135" s="225"/>
      <c r="H135" s="22"/>
      <c r="I135" s="227"/>
    </row>
    <row r="136" spans="2:9" x14ac:dyDescent="0.2">
      <c r="B136" s="228" t="str">
        <f t="shared" si="0"/>
        <v>2026-023-0</v>
      </c>
      <c r="C136" s="229">
        <v>2026</v>
      </c>
      <c r="D136" s="230" t="s">
        <v>26</v>
      </c>
      <c r="E136" s="229">
        <v>0</v>
      </c>
      <c r="F136" s="28" t="s">
        <v>2587</v>
      </c>
      <c r="G136" s="229"/>
      <c r="H136" s="28"/>
      <c r="I136" s="231"/>
    </row>
    <row r="137" spans="2:9" ht="27" x14ac:dyDescent="0.2">
      <c r="B137" s="220" t="str">
        <f t="shared" si="0"/>
        <v>2026-023-1</v>
      </c>
      <c r="C137" s="221">
        <v>2026</v>
      </c>
      <c r="D137" s="222" t="s">
        <v>26</v>
      </c>
      <c r="E137" s="221">
        <v>1</v>
      </c>
      <c r="F137" s="16" t="s">
        <v>2042</v>
      </c>
      <c r="G137" s="221"/>
      <c r="H137" s="16"/>
      <c r="I137" s="223"/>
    </row>
    <row r="138" spans="2:9" x14ac:dyDescent="0.2">
      <c r="B138" s="220" t="str">
        <f t="shared" si="0"/>
        <v>2026-023-2</v>
      </c>
      <c r="C138" s="221">
        <v>2026</v>
      </c>
      <c r="D138" s="222" t="s">
        <v>26</v>
      </c>
      <c r="E138" s="221">
        <v>2</v>
      </c>
      <c r="F138" s="16" t="s">
        <v>2662</v>
      </c>
      <c r="G138" s="221"/>
      <c r="H138" s="16"/>
      <c r="I138" s="223"/>
    </row>
    <row r="139" spans="2:9" x14ac:dyDescent="0.2">
      <c r="B139" s="220" t="str">
        <f t="shared" si="0"/>
        <v>2026-023-3</v>
      </c>
      <c r="C139" s="221">
        <v>2026</v>
      </c>
      <c r="D139" s="222" t="s">
        <v>26</v>
      </c>
      <c r="E139" s="221">
        <v>3</v>
      </c>
      <c r="F139" s="16" t="s">
        <v>2706</v>
      </c>
      <c r="G139" s="221" t="s">
        <v>3496</v>
      </c>
      <c r="H139" s="16"/>
      <c r="I139" s="223"/>
    </row>
    <row r="140" spans="2:9" x14ac:dyDescent="0.2">
      <c r="B140" s="220" t="str">
        <f t="shared" si="0"/>
        <v>2026-023-4</v>
      </c>
      <c r="C140" s="221">
        <v>2026</v>
      </c>
      <c r="D140" s="222" t="s">
        <v>26</v>
      </c>
      <c r="E140" s="221">
        <v>4</v>
      </c>
      <c r="F140" s="16" t="s">
        <v>2749</v>
      </c>
      <c r="G140" s="221"/>
      <c r="H140" s="16"/>
      <c r="I140" s="223"/>
    </row>
    <row r="141" spans="2:9" ht="27" x14ac:dyDescent="0.2">
      <c r="B141" s="224" t="str">
        <f t="shared" si="0"/>
        <v>2026-023-5</v>
      </c>
      <c r="C141" s="225">
        <v>2026</v>
      </c>
      <c r="D141" s="226" t="s">
        <v>26</v>
      </c>
      <c r="E141" s="225">
        <v>5</v>
      </c>
      <c r="F141" s="22" t="s">
        <v>2787</v>
      </c>
      <c r="G141" s="225"/>
      <c r="H141" s="22"/>
      <c r="I141" s="227"/>
    </row>
    <row r="142" spans="2:9" x14ac:dyDescent="0.2">
      <c r="B142" s="228" t="str">
        <f t="shared" si="0"/>
        <v>2026-024-0</v>
      </c>
      <c r="C142" s="229">
        <v>2026</v>
      </c>
      <c r="D142" s="230" t="s">
        <v>27</v>
      </c>
      <c r="E142" s="229">
        <v>0</v>
      </c>
      <c r="F142" s="28" t="s">
        <v>2588</v>
      </c>
      <c r="G142" s="229"/>
      <c r="H142" s="28"/>
      <c r="I142" s="231"/>
    </row>
    <row r="143" spans="2:9" x14ac:dyDescent="0.2">
      <c r="B143" s="220" t="str">
        <f t="shared" si="0"/>
        <v>2026-024-1</v>
      </c>
      <c r="C143" s="221">
        <v>2026</v>
      </c>
      <c r="D143" s="222" t="s">
        <v>27</v>
      </c>
      <c r="E143" s="221">
        <v>1</v>
      </c>
      <c r="F143" s="16" t="s">
        <v>2620</v>
      </c>
      <c r="G143" s="221"/>
      <c r="H143" s="16"/>
      <c r="I143" s="223"/>
    </row>
    <row r="144" spans="2:9" x14ac:dyDescent="0.2">
      <c r="B144" s="220" t="str">
        <f t="shared" si="0"/>
        <v>2026-024-2</v>
      </c>
      <c r="C144" s="221">
        <v>2026</v>
      </c>
      <c r="D144" s="222" t="s">
        <v>27</v>
      </c>
      <c r="E144" s="221">
        <v>2</v>
      </c>
      <c r="F144" s="16" t="s">
        <v>2663</v>
      </c>
      <c r="G144" s="221"/>
      <c r="H144" s="16"/>
      <c r="I144" s="223"/>
    </row>
    <row r="145" spans="2:9" x14ac:dyDescent="0.2">
      <c r="B145" s="220" t="str">
        <f t="shared" si="0"/>
        <v>2026-024-3</v>
      </c>
      <c r="C145" s="221">
        <v>2026</v>
      </c>
      <c r="D145" s="222" t="s">
        <v>27</v>
      </c>
      <c r="E145" s="221">
        <v>3</v>
      </c>
      <c r="F145" s="16" t="s">
        <v>2707</v>
      </c>
      <c r="G145" s="221"/>
      <c r="H145" s="16"/>
      <c r="I145" s="223"/>
    </row>
    <row r="146" spans="2:9" x14ac:dyDescent="0.2">
      <c r="B146" s="220" t="str">
        <f t="shared" si="0"/>
        <v>2026-024-4</v>
      </c>
      <c r="C146" s="221">
        <v>2026</v>
      </c>
      <c r="D146" s="222" t="s">
        <v>27</v>
      </c>
      <c r="E146" s="221">
        <v>4</v>
      </c>
      <c r="F146" s="16" t="s">
        <v>2750</v>
      </c>
      <c r="G146" s="221"/>
      <c r="H146" s="16"/>
      <c r="I146" s="223"/>
    </row>
    <row r="147" spans="2:9" x14ac:dyDescent="0.2">
      <c r="B147" s="224" t="str">
        <f t="shared" si="0"/>
        <v>2026-024-5</v>
      </c>
      <c r="C147" s="225">
        <v>2026</v>
      </c>
      <c r="D147" s="226" t="s">
        <v>27</v>
      </c>
      <c r="E147" s="225">
        <v>5</v>
      </c>
      <c r="F147" s="22" t="s">
        <v>2788</v>
      </c>
      <c r="G147" s="225" t="s">
        <v>3496</v>
      </c>
      <c r="H147" s="22"/>
      <c r="I147" s="227"/>
    </row>
    <row r="148" spans="2:9" ht="108" x14ac:dyDescent="0.2">
      <c r="B148" s="228" t="str">
        <f t="shared" si="0"/>
        <v>2026-025-0</v>
      </c>
      <c r="C148" s="229">
        <v>2026</v>
      </c>
      <c r="D148" s="230" t="s">
        <v>28</v>
      </c>
      <c r="E148" s="229">
        <v>0</v>
      </c>
      <c r="F148" s="28" t="s">
        <v>2589</v>
      </c>
      <c r="G148" s="229"/>
      <c r="H148" s="28"/>
      <c r="I148" s="231"/>
    </row>
    <row r="149" spans="2:9" x14ac:dyDescent="0.2">
      <c r="B149" s="220" t="str">
        <f t="shared" si="0"/>
        <v>2026-025-1</v>
      </c>
      <c r="C149" s="221">
        <v>2026</v>
      </c>
      <c r="D149" s="222" t="s">
        <v>28</v>
      </c>
      <c r="E149" s="221">
        <v>1</v>
      </c>
      <c r="F149" s="16" t="s">
        <v>44</v>
      </c>
      <c r="G149" s="221"/>
      <c r="H149" s="16"/>
      <c r="I149" s="223"/>
    </row>
    <row r="150" spans="2:9" x14ac:dyDescent="0.2">
      <c r="B150" s="220" t="str">
        <f t="shared" si="0"/>
        <v>2026-025-2</v>
      </c>
      <c r="C150" s="221">
        <v>2026</v>
      </c>
      <c r="D150" s="222" t="s">
        <v>28</v>
      </c>
      <c r="E150" s="221">
        <v>2</v>
      </c>
      <c r="F150" s="16" t="s">
        <v>54</v>
      </c>
      <c r="G150" s="221"/>
      <c r="H150" s="16"/>
      <c r="I150" s="223"/>
    </row>
    <row r="151" spans="2:9" x14ac:dyDescent="0.2">
      <c r="B151" s="220" t="str">
        <f t="shared" si="0"/>
        <v>2026-025-3</v>
      </c>
      <c r="C151" s="221">
        <v>2026</v>
      </c>
      <c r="D151" s="222" t="s">
        <v>28</v>
      </c>
      <c r="E151" s="221">
        <v>3</v>
      </c>
      <c r="F151" s="16" t="s">
        <v>55</v>
      </c>
      <c r="G151" s="221"/>
      <c r="H151" s="16"/>
      <c r="I151" s="223"/>
    </row>
    <row r="152" spans="2:9" x14ac:dyDescent="0.2">
      <c r="B152" s="220" t="str">
        <f t="shared" si="0"/>
        <v>2026-025-4</v>
      </c>
      <c r="C152" s="221">
        <v>2026</v>
      </c>
      <c r="D152" s="222" t="s">
        <v>28</v>
      </c>
      <c r="E152" s="221">
        <v>4</v>
      </c>
      <c r="F152" s="16" t="s">
        <v>57</v>
      </c>
      <c r="G152" s="221"/>
      <c r="H152" s="16"/>
      <c r="I152" s="223"/>
    </row>
    <row r="153" spans="2:9" x14ac:dyDescent="0.2">
      <c r="B153" s="224" t="str">
        <f t="shared" si="0"/>
        <v>2026-025-5</v>
      </c>
      <c r="C153" s="225">
        <v>2026</v>
      </c>
      <c r="D153" s="226" t="s">
        <v>28</v>
      </c>
      <c r="E153" s="225">
        <v>5</v>
      </c>
      <c r="F153" s="22" t="s">
        <v>59</v>
      </c>
      <c r="G153" s="225" t="s">
        <v>3496</v>
      </c>
      <c r="H153" s="22"/>
      <c r="I153" s="227"/>
    </row>
    <row r="154" spans="2:9" ht="27" x14ac:dyDescent="0.2">
      <c r="B154" s="228" t="str">
        <f t="shared" si="0"/>
        <v>2026-026-0</v>
      </c>
      <c r="C154" s="229">
        <v>2026</v>
      </c>
      <c r="D154" s="230" t="s">
        <v>29</v>
      </c>
      <c r="E154" s="229">
        <v>0</v>
      </c>
      <c r="F154" s="28" t="s">
        <v>2590</v>
      </c>
      <c r="G154" s="229"/>
      <c r="H154" s="28"/>
      <c r="I154" s="231"/>
    </row>
    <row r="155" spans="2:9" x14ac:dyDescent="0.2">
      <c r="B155" s="220" t="str">
        <f t="shared" si="0"/>
        <v>2026-026-1</v>
      </c>
      <c r="C155" s="221">
        <v>2026</v>
      </c>
      <c r="D155" s="222" t="s">
        <v>29</v>
      </c>
      <c r="E155" s="221">
        <v>1</v>
      </c>
      <c r="F155" s="16" t="s">
        <v>2621</v>
      </c>
      <c r="G155" s="221"/>
      <c r="H155" s="16"/>
      <c r="I155" s="223"/>
    </row>
    <row r="156" spans="2:9" x14ac:dyDescent="0.2">
      <c r="B156" s="220" t="str">
        <f t="shared" si="0"/>
        <v>2026-026-2</v>
      </c>
      <c r="C156" s="221">
        <v>2026</v>
      </c>
      <c r="D156" s="222" t="s">
        <v>29</v>
      </c>
      <c r="E156" s="221">
        <v>2</v>
      </c>
      <c r="F156" s="16" t="s">
        <v>2664</v>
      </c>
      <c r="G156" s="221"/>
      <c r="H156" s="16"/>
      <c r="I156" s="223"/>
    </row>
    <row r="157" spans="2:9" x14ac:dyDescent="0.2">
      <c r="B157" s="220" t="str">
        <f t="shared" si="0"/>
        <v>2026-026-3</v>
      </c>
      <c r="C157" s="221">
        <v>2026</v>
      </c>
      <c r="D157" s="222" t="s">
        <v>29</v>
      </c>
      <c r="E157" s="221">
        <v>3</v>
      </c>
      <c r="F157" s="16" t="s">
        <v>2708</v>
      </c>
      <c r="G157" s="221"/>
      <c r="H157" s="16"/>
      <c r="I157" s="223"/>
    </row>
    <row r="158" spans="2:9" ht="27" x14ac:dyDescent="0.2">
      <c r="B158" s="220" t="str">
        <f t="shared" si="0"/>
        <v>2026-026-4</v>
      </c>
      <c r="C158" s="221">
        <v>2026</v>
      </c>
      <c r="D158" s="222" t="s">
        <v>29</v>
      </c>
      <c r="E158" s="221">
        <v>4</v>
      </c>
      <c r="F158" s="16" t="s">
        <v>2751</v>
      </c>
      <c r="G158" s="221"/>
      <c r="H158" s="16"/>
      <c r="I158" s="223"/>
    </row>
    <row r="159" spans="2:9" ht="27" x14ac:dyDescent="0.2">
      <c r="B159" s="224" t="str">
        <f t="shared" si="0"/>
        <v>2026-026-5</v>
      </c>
      <c r="C159" s="225">
        <v>2026</v>
      </c>
      <c r="D159" s="226" t="s">
        <v>29</v>
      </c>
      <c r="E159" s="225">
        <v>5</v>
      </c>
      <c r="F159" s="22" t="s">
        <v>2789</v>
      </c>
      <c r="G159" s="225" t="s">
        <v>3496</v>
      </c>
      <c r="H159" s="22"/>
      <c r="I159" s="227"/>
    </row>
    <row r="160" spans="2:9" x14ac:dyDescent="0.2">
      <c r="B160" s="228" t="str">
        <f t="shared" si="0"/>
        <v>2026-027-0</v>
      </c>
      <c r="C160" s="229">
        <v>2026</v>
      </c>
      <c r="D160" s="230" t="s">
        <v>30</v>
      </c>
      <c r="E160" s="229">
        <v>0</v>
      </c>
      <c r="F160" s="28" t="s">
        <v>2591</v>
      </c>
      <c r="G160" s="229"/>
      <c r="H160" s="28"/>
      <c r="I160" s="231"/>
    </row>
    <row r="161" spans="2:9" x14ac:dyDescent="0.2">
      <c r="B161" s="220" t="str">
        <f t="shared" si="0"/>
        <v>2026-027-1</v>
      </c>
      <c r="C161" s="221">
        <v>2026</v>
      </c>
      <c r="D161" s="222" t="s">
        <v>30</v>
      </c>
      <c r="E161" s="221">
        <v>1</v>
      </c>
      <c r="F161" s="16" t="s">
        <v>2622</v>
      </c>
      <c r="G161" s="221" t="s">
        <v>3496</v>
      </c>
      <c r="H161" s="16"/>
      <c r="I161" s="223"/>
    </row>
    <row r="162" spans="2:9" x14ac:dyDescent="0.2">
      <c r="B162" s="220" t="str">
        <f t="shared" si="0"/>
        <v>2026-027-2</v>
      </c>
      <c r="C162" s="221">
        <v>2026</v>
      </c>
      <c r="D162" s="222" t="s">
        <v>30</v>
      </c>
      <c r="E162" s="221">
        <v>2</v>
      </c>
      <c r="F162" s="16" t="s">
        <v>2665</v>
      </c>
      <c r="G162" s="221"/>
      <c r="H162" s="16"/>
      <c r="I162" s="223"/>
    </row>
    <row r="163" spans="2:9" x14ac:dyDescent="0.2">
      <c r="B163" s="220" t="str">
        <f t="shared" si="0"/>
        <v>2026-027-3</v>
      </c>
      <c r="C163" s="221">
        <v>2026</v>
      </c>
      <c r="D163" s="222" t="s">
        <v>30</v>
      </c>
      <c r="E163" s="221">
        <v>3</v>
      </c>
      <c r="F163" s="16" t="s">
        <v>2709</v>
      </c>
      <c r="G163" s="221"/>
      <c r="H163" s="16"/>
      <c r="I163" s="223"/>
    </row>
    <row r="164" spans="2:9" x14ac:dyDescent="0.2">
      <c r="B164" s="220" t="str">
        <f t="shared" si="0"/>
        <v>2026-027-4</v>
      </c>
      <c r="C164" s="221">
        <v>2026</v>
      </c>
      <c r="D164" s="222" t="s">
        <v>30</v>
      </c>
      <c r="E164" s="221">
        <v>4</v>
      </c>
      <c r="F164" s="16" t="s">
        <v>2752</v>
      </c>
      <c r="G164" s="221"/>
      <c r="H164" s="16"/>
      <c r="I164" s="223"/>
    </row>
    <row r="165" spans="2:9" x14ac:dyDescent="0.2">
      <c r="B165" s="224" t="str">
        <f t="shared" si="0"/>
        <v>2026-027-5</v>
      </c>
      <c r="C165" s="225">
        <v>2026</v>
      </c>
      <c r="D165" s="226" t="s">
        <v>30</v>
      </c>
      <c r="E165" s="225">
        <v>5</v>
      </c>
      <c r="F165" s="22" t="s">
        <v>2790</v>
      </c>
      <c r="G165" s="225"/>
      <c r="H165" s="22"/>
      <c r="I165" s="227"/>
    </row>
    <row r="166" spans="2:9" ht="27" x14ac:dyDescent="0.2">
      <c r="B166" s="228" t="str">
        <f t="shared" si="0"/>
        <v>2026-028-0</v>
      </c>
      <c r="C166" s="229">
        <v>2026</v>
      </c>
      <c r="D166" s="230" t="s">
        <v>31</v>
      </c>
      <c r="E166" s="229">
        <v>0</v>
      </c>
      <c r="F166" s="28" t="s">
        <v>2592</v>
      </c>
      <c r="G166" s="229"/>
      <c r="H166" s="28"/>
      <c r="I166" s="231"/>
    </row>
    <row r="167" spans="2:9" x14ac:dyDescent="0.2">
      <c r="B167" s="220" t="str">
        <f t="shared" si="0"/>
        <v>2026-028-1</v>
      </c>
      <c r="C167" s="221">
        <v>2026</v>
      </c>
      <c r="D167" s="222" t="s">
        <v>31</v>
      </c>
      <c r="E167" s="221">
        <v>1</v>
      </c>
      <c r="F167" s="16" t="s">
        <v>2623</v>
      </c>
      <c r="G167" s="221"/>
      <c r="H167" s="16"/>
      <c r="I167" s="223"/>
    </row>
    <row r="168" spans="2:9" x14ac:dyDescent="0.2">
      <c r="B168" s="220" t="str">
        <f t="shared" si="0"/>
        <v>2026-028-2</v>
      </c>
      <c r="C168" s="221">
        <v>2026</v>
      </c>
      <c r="D168" s="222" t="s">
        <v>31</v>
      </c>
      <c r="E168" s="221">
        <v>2</v>
      </c>
      <c r="F168" s="16" t="s">
        <v>2666</v>
      </c>
      <c r="G168" s="221"/>
      <c r="H168" s="16"/>
      <c r="I168" s="223"/>
    </row>
    <row r="169" spans="2:9" x14ac:dyDescent="0.2">
      <c r="B169" s="220" t="str">
        <f t="shared" si="0"/>
        <v>2026-028-3</v>
      </c>
      <c r="C169" s="221">
        <v>2026</v>
      </c>
      <c r="D169" s="222" t="s">
        <v>31</v>
      </c>
      <c r="E169" s="221">
        <v>3</v>
      </c>
      <c r="F169" s="16" t="s">
        <v>2710</v>
      </c>
      <c r="G169" s="221"/>
      <c r="H169" s="16"/>
      <c r="I169" s="223"/>
    </row>
    <row r="170" spans="2:9" ht="27" x14ac:dyDescent="0.2">
      <c r="B170" s="220" t="str">
        <f t="shared" si="0"/>
        <v>2026-028-4</v>
      </c>
      <c r="C170" s="221">
        <v>2026</v>
      </c>
      <c r="D170" s="222" t="s">
        <v>31</v>
      </c>
      <c r="E170" s="221">
        <v>4</v>
      </c>
      <c r="F170" s="16" t="s">
        <v>2753</v>
      </c>
      <c r="G170" s="221" t="s">
        <v>3496</v>
      </c>
      <c r="H170" s="16"/>
      <c r="I170" s="223"/>
    </row>
    <row r="171" spans="2:9" x14ac:dyDescent="0.2">
      <c r="B171" s="224" t="str">
        <f t="shared" si="0"/>
        <v>2026-028-5</v>
      </c>
      <c r="C171" s="225">
        <v>2026</v>
      </c>
      <c r="D171" s="226" t="s">
        <v>31</v>
      </c>
      <c r="E171" s="225">
        <v>5</v>
      </c>
      <c r="F171" s="22" t="s">
        <v>2791</v>
      </c>
      <c r="G171" s="225"/>
      <c r="H171" s="22"/>
      <c r="I171" s="227"/>
    </row>
    <row r="172" spans="2:9" ht="81" x14ac:dyDescent="0.2">
      <c r="B172" s="228" t="str">
        <f t="shared" si="0"/>
        <v>2026-029-0</v>
      </c>
      <c r="C172" s="229">
        <v>2026</v>
      </c>
      <c r="D172" s="230" t="s">
        <v>32</v>
      </c>
      <c r="E172" s="229">
        <v>0</v>
      </c>
      <c r="F172" s="28" t="s">
        <v>2593</v>
      </c>
      <c r="G172" s="229"/>
      <c r="H172" s="28"/>
      <c r="I172" s="231"/>
    </row>
    <row r="173" spans="2:9" x14ac:dyDescent="0.2">
      <c r="B173" s="220" t="str">
        <f t="shared" si="0"/>
        <v>2026-029-1</v>
      </c>
      <c r="C173" s="221">
        <v>2026</v>
      </c>
      <c r="D173" s="222" t="s">
        <v>32</v>
      </c>
      <c r="E173" s="221">
        <v>1</v>
      </c>
      <c r="F173" s="16" t="s">
        <v>44</v>
      </c>
      <c r="G173" s="221" t="s">
        <v>3496</v>
      </c>
      <c r="H173" s="16"/>
      <c r="I173" s="223"/>
    </row>
    <row r="174" spans="2:9" x14ac:dyDescent="0.2">
      <c r="B174" s="220" t="str">
        <f t="shared" si="0"/>
        <v>2026-029-2</v>
      </c>
      <c r="C174" s="221">
        <v>2026</v>
      </c>
      <c r="D174" s="222" t="s">
        <v>32</v>
      </c>
      <c r="E174" s="221">
        <v>2</v>
      </c>
      <c r="F174" s="16" t="s">
        <v>55</v>
      </c>
      <c r="G174" s="221"/>
      <c r="H174" s="16"/>
      <c r="I174" s="223"/>
    </row>
    <row r="175" spans="2:9" x14ac:dyDescent="0.2">
      <c r="B175" s="220" t="str">
        <f t="shared" si="0"/>
        <v>2026-029-3</v>
      </c>
      <c r="C175" s="221">
        <v>2026</v>
      </c>
      <c r="D175" s="222" t="s">
        <v>32</v>
      </c>
      <c r="E175" s="221">
        <v>3</v>
      </c>
      <c r="F175" s="16" t="s">
        <v>49</v>
      </c>
      <c r="G175" s="221"/>
      <c r="H175" s="16"/>
      <c r="I175" s="223"/>
    </row>
    <row r="176" spans="2:9" x14ac:dyDescent="0.2">
      <c r="B176" s="220" t="str">
        <f t="shared" si="0"/>
        <v>2026-029-4</v>
      </c>
      <c r="C176" s="221">
        <v>2026</v>
      </c>
      <c r="D176" s="222" t="s">
        <v>32</v>
      </c>
      <c r="E176" s="221">
        <v>4</v>
      </c>
      <c r="F176" s="16" t="s">
        <v>51</v>
      </c>
      <c r="G176" s="221"/>
      <c r="H176" s="16"/>
      <c r="I176" s="223"/>
    </row>
    <row r="177" spans="2:9" x14ac:dyDescent="0.2">
      <c r="B177" s="224" t="str">
        <f t="shared" si="0"/>
        <v>2026-029-5</v>
      </c>
      <c r="C177" s="225">
        <v>2026</v>
      </c>
      <c r="D177" s="226" t="s">
        <v>32</v>
      </c>
      <c r="E177" s="225">
        <v>5</v>
      </c>
      <c r="F177" s="22" t="s">
        <v>57</v>
      </c>
      <c r="G177" s="225"/>
      <c r="H177" s="22"/>
      <c r="I177" s="227"/>
    </row>
    <row r="178" spans="2:9" x14ac:dyDescent="0.2">
      <c r="B178" s="228" t="str">
        <f t="shared" si="0"/>
        <v>2026-030-0</v>
      </c>
      <c r="C178" s="229">
        <v>2026</v>
      </c>
      <c r="D178" s="230" t="s">
        <v>33</v>
      </c>
      <c r="E178" s="229">
        <v>0</v>
      </c>
      <c r="F178" s="28" t="s">
        <v>2594</v>
      </c>
      <c r="G178" s="229"/>
      <c r="H178" s="28"/>
      <c r="I178" s="231"/>
    </row>
    <row r="179" spans="2:9" x14ac:dyDescent="0.2">
      <c r="B179" s="220" t="str">
        <f t="shared" si="0"/>
        <v>2026-030-1</v>
      </c>
      <c r="C179" s="221">
        <v>2026</v>
      </c>
      <c r="D179" s="222" t="s">
        <v>33</v>
      </c>
      <c r="E179" s="221">
        <v>1</v>
      </c>
      <c r="F179" s="16" t="s">
        <v>2624</v>
      </c>
      <c r="G179" s="221"/>
      <c r="H179" s="16"/>
      <c r="I179" s="223"/>
    </row>
    <row r="180" spans="2:9" x14ac:dyDescent="0.2">
      <c r="B180" s="220" t="str">
        <f t="shared" si="0"/>
        <v>2026-030-2</v>
      </c>
      <c r="C180" s="221">
        <v>2026</v>
      </c>
      <c r="D180" s="222" t="s">
        <v>33</v>
      </c>
      <c r="E180" s="221">
        <v>2</v>
      </c>
      <c r="F180" s="16" t="s">
        <v>2667</v>
      </c>
      <c r="G180" s="221"/>
      <c r="H180" s="16"/>
      <c r="I180" s="223"/>
    </row>
    <row r="181" spans="2:9" x14ac:dyDescent="0.2">
      <c r="B181" s="220" t="str">
        <f t="shared" si="0"/>
        <v>2026-030-3</v>
      </c>
      <c r="C181" s="221">
        <v>2026</v>
      </c>
      <c r="D181" s="222" t="s">
        <v>33</v>
      </c>
      <c r="E181" s="221">
        <v>3</v>
      </c>
      <c r="F181" s="16" t="s">
        <v>2711</v>
      </c>
      <c r="G181" s="221"/>
      <c r="H181" s="16"/>
      <c r="I181" s="223"/>
    </row>
    <row r="182" spans="2:9" ht="27" x14ac:dyDescent="0.2">
      <c r="B182" s="220" t="str">
        <f t="shared" si="0"/>
        <v>2026-030-4</v>
      </c>
      <c r="C182" s="221">
        <v>2026</v>
      </c>
      <c r="D182" s="222" t="s">
        <v>33</v>
      </c>
      <c r="E182" s="221">
        <v>4</v>
      </c>
      <c r="F182" s="16" t="s">
        <v>2754</v>
      </c>
      <c r="G182" s="221"/>
      <c r="H182" s="16"/>
      <c r="I182" s="223"/>
    </row>
    <row r="183" spans="2:9" ht="27" x14ac:dyDescent="0.2">
      <c r="B183" s="224" t="str">
        <f t="shared" si="0"/>
        <v>2026-030-5</v>
      </c>
      <c r="C183" s="225">
        <v>2026</v>
      </c>
      <c r="D183" s="226" t="s">
        <v>33</v>
      </c>
      <c r="E183" s="225">
        <v>5</v>
      </c>
      <c r="F183" s="22" t="s">
        <v>2792</v>
      </c>
      <c r="G183" s="225" t="s">
        <v>3496</v>
      </c>
      <c r="H183" s="22"/>
      <c r="I183" s="227"/>
    </row>
    <row r="184" spans="2:9" ht="108" x14ac:dyDescent="0.2">
      <c r="B184" s="228" t="str">
        <f t="shared" si="0"/>
        <v>2026-031-0</v>
      </c>
      <c r="C184" s="229">
        <v>2026</v>
      </c>
      <c r="D184" s="230" t="s">
        <v>34</v>
      </c>
      <c r="E184" s="229">
        <v>0</v>
      </c>
      <c r="F184" s="28" t="s">
        <v>2595</v>
      </c>
      <c r="G184" s="229"/>
      <c r="H184" s="28"/>
      <c r="I184" s="231"/>
    </row>
    <row r="185" spans="2:9" x14ac:dyDescent="0.2">
      <c r="B185" s="220" t="str">
        <f t="shared" si="0"/>
        <v>2026-031-1</v>
      </c>
      <c r="C185" s="221">
        <v>2026</v>
      </c>
      <c r="D185" s="222" t="s">
        <v>34</v>
      </c>
      <c r="E185" s="221">
        <v>1</v>
      </c>
      <c r="F185" s="16" t="s">
        <v>45</v>
      </c>
      <c r="G185" s="221"/>
      <c r="H185" s="16"/>
      <c r="I185" s="223"/>
    </row>
    <row r="186" spans="2:9" x14ac:dyDescent="0.2">
      <c r="B186" s="220" t="str">
        <f t="shared" si="0"/>
        <v>2026-031-2</v>
      </c>
      <c r="C186" s="221">
        <v>2026</v>
      </c>
      <c r="D186" s="222" t="s">
        <v>34</v>
      </c>
      <c r="E186" s="221">
        <v>2</v>
      </c>
      <c r="F186" s="16" t="s">
        <v>53</v>
      </c>
      <c r="G186" s="221"/>
      <c r="H186" s="16"/>
      <c r="I186" s="223"/>
    </row>
    <row r="187" spans="2:9" x14ac:dyDescent="0.2">
      <c r="B187" s="220" t="str">
        <f t="shared" si="0"/>
        <v>2026-031-3</v>
      </c>
      <c r="C187" s="221">
        <v>2026</v>
      </c>
      <c r="D187" s="222" t="s">
        <v>34</v>
      </c>
      <c r="E187" s="221">
        <v>3</v>
      </c>
      <c r="F187" s="16" t="s">
        <v>44</v>
      </c>
      <c r="G187" s="221" t="s">
        <v>3496</v>
      </c>
      <c r="H187" s="16"/>
      <c r="I187" s="223"/>
    </row>
    <row r="188" spans="2:9" x14ac:dyDescent="0.2">
      <c r="B188" s="220" t="str">
        <f t="shared" si="0"/>
        <v>2026-031-4</v>
      </c>
      <c r="C188" s="221">
        <v>2026</v>
      </c>
      <c r="D188" s="222" t="s">
        <v>34</v>
      </c>
      <c r="E188" s="221">
        <v>4</v>
      </c>
      <c r="F188" s="16" t="s">
        <v>55</v>
      </c>
      <c r="G188" s="221"/>
      <c r="H188" s="16"/>
      <c r="I188" s="223"/>
    </row>
    <row r="189" spans="2:9" x14ac:dyDescent="0.2">
      <c r="B189" s="224" t="str">
        <f t="shared" si="0"/>
        <v>2026-031-5</v>
      </c>
      <c r="C189" s="225">
        <v>2026</v>
      </c>
      <c r="D189" s="226" t="s">
        <v>34</v>
      </c>
      <c r="E189" s="225">
        <v>5</v>
      </c>
      <c r="F189" s="22" t="s">
        <v>46</v>
      </c>
      <c r="G189" s="225"/>
      <c r="H189" s="22"/>
      <c r="I189" s="227"/>
    </row>
    <row r="190" spans="2:9" x14ac:dyDescent="0.2">
      <c r="B190" s="228" t="str">
        <f t="shared" si="0"/>
        <v>2026-032-0</v>
      </c>
      <c r="C190" s="229">
        <v>2026</v>
      </c>
      <c r="D190" s="230" t="s">
        <v>35</v>
      </c>
      <c r="E190" s="229">
        <v>0</v>
      </c>
      <c r="F190" s="28" t="s">
        <v>2596</v>
      </c>
      <c r="G190" s="229"/>
      <c r="H190" s="28"/>
      <c r="I190" s="231"/>
    </row>
    <row r="191" spans="2:9" x14ac:dyDescent="0.2">
      <c r="B191" s="220" t="str">
        <f t="shared" ref="B191:B254" si="1">C191&amp;"-"&amp;D191&amp;"-"&amp;E191</f>
        <v>2026-032-1</v>
      </c>
      <c r="C191" s="221">
        <v>2026</v>
      </c>
      <c r="D191" s="222" t="s">
        <v>35</v>
      </c>
      <c r="E191" s="221">
        <v>1</v>
      </c>
      <c r="F191" s="16" t="s">
        <v>2625</v>
      </c>
      <c r="G191" s="221"/>
      <c r="H191" s="16"/>
      <c r="I191" s="223"/>
    </row>
    <row r="192" spans="2:9" x14ac:dyDescent="0.2">
      <c r="B192" s="220" t="str">
        <f t="shared" si="1"/>
        <v>2026-032-2</v>
      </c>
      <c r="C192" s="221">
        <v>2026</v>
      </c>
      <c r="D192" s="222" t="s">
        <v>35</v>
      </c>
      <c r="E192" s="221">
        <v>2</v>
      </c>
      <c r="F192" s="16" t="s">
        <v>2668</v>
      </c>
      <c r="G192" s="221" t="s">
        <v>3496</v>
      </c>
      <c r="H192" s="16"/>
      <c r="I192" s="223"/>
    </row>
    <row r="193" spans="2:9" ht="27" x14ac:dyDescent="0.2">
      <c r="B193" s="220" t="str">
        <f t="shared" si="1"/>
        <v>2026-032-3</v>
      </c>
      <c r="C193" s="221">
        <v>2026</v>
      </c>
      <c r="D193" s="222" t="s">
        <v>35</v>
      </c>
      <c r="E193" s="221">
        <v>3</v>
      </c>
      <c r="F193" s="16" t="s">
        <v>2712</v>
      </c>
      <c r="G193" s="221"/>
      <c r="H193" s="16"/>
      <c r="I193" s="223"/>
    </row>
    <row r="194" spans="2:9" x14ac:dyDescent="0.2">
      <c r="B194" s="220" t="str">
        <f t="shared" si="1"/>
        <v>2026-032-4</v>
      </c>
      <c r="C194" s="221">
        <v>2026</v>
      </c>
      <c r="D194" s="222" t="s">
        <v>35</v>
      </c>
      <c r="E194" s="221">
        <v>4</v>
      </c>
      <c r="F194" s="16" t="s">
        <v>2755</v>
      </c>
      <c r="G194" s="221"/>
      <c r="H194" s="16"/>
      <c r="I194" s="223"/>
    </row>
    <row r="195" spans="2:9" x14ac:dyDescent="0.2">
      <c r="B195" s="224" t="str">
        <f t="shared" si="1"/>
        <v>2026-032-5</v>
      </c>
      <c r="C195" s="225">
        <v>2026</v>
      </c>
      <c r="D195" s="226" t="s">
        <v>35</v>
      </c>
      <c r="E195" s="225">
        <v>5</v>
      </c>
      <c r="F195" s="22" t="s">
        <v>2793</v>
      </c>
      <c r="G195" s="225"/>
      <c r="H195" s="22"/>
      <c r="I195" s="227"/>
    </row>
    <row r="196" spans="2:9" ht="94.5" x14ac:dyDescent="0.2">
      <c r="B196" s="228" t="str">
        <f t="shared" si="1"/>
        <v>2026-033-0</v>
      </c>
      <c r="C196" s="229">
        <v>2026</v>
      </c>
      <c r="D196" s="230" t="s">
        <v>36</v>
      </c>
      <c r="E196" s="229">
        <v>0</v>
      </c>
      <c r="F196" s="28" t="s">
        <v>3543</v>
      </c>
      <c r="G196" s="229"/>
      <c r="H196" s="28"/>
      <c r="I196" s="231"/>
    </row>
    <row r="197" spans="2:9" x14ac:dyDescent="0.2">
      <c r="B197" s="220" t="str">
        <f t="shared" si="1"/>
        <v>2026-033-1</v>
      </c>
      <c r="C197" s="221">
        <v>2026</v>
      </c>
      <c r="D197" s="222" t="s">
        <v>36</v>
      </c>
      <c r="E197" s="221">
        <v>1</v>
      </c>
      <c r="F197" s="16" t="s">
        <v>45</v>
      </c>
      <c r="G197" s="221"/>
      <c r="H197" s="16"/>
      <c r="I197" s="223"/>
    </row>
    <row r="198" spans="2:9" x14ac:dyDescent="0.2">
      <c r="B198" s="220" t="str">
        <f t="shared" si="1"/>
        <v>2026-033-2</v>
      </c>
      <c r="C198" s="221">
        <v>2026</v>
      </c>
      <c r="D198" s="222" t="s">
        <v>36</v>
      </c>
      <c r="E198" s="221">
        <v>2</v>
      </c>
      <c r="F198" s="16" t="s">
        <v>53</v>
      </c>
      <c r="G198" s="221"/>
      <c r="H198" s="16"/>
      <c r="I198" s="223"/>
    </row>
    <row r="199" spans="2:9" x14ac:dyDescent="0.2">
      <c r="B199" s="220" t="str">
        <f t="shared" si="1"/>
        <v>2026-033-3</v>
      </c>
      <c r="C199" s="221">
        <v>2026</v>
      </c>
      <c r="D199" s="222" t="s">
        <v>36</v>
      </c>
      <c r="E199" s="221">
        <v>3</v>
      </c>
      <c r="F199" s="16" t="s">
        <v>44</v>
      </c>
      <c r="G199" s="221"/>
      <c r="H199" s="16"/>
      <c r="I199" s="223"/>
    </row>
    <row r="200" spans="2:9" x14ac:dyDescent="0.2">
      <c r="B200" s="220" t="str">
        <f t="shared" si="1"/>
        <v>2026-033-4</v>
      </c>
      <c r="C200" s="221">
        <v>2026</v>
      </c>
      <c r="D200" s="222" t="s">
        <v>36</v>
      </c>
      <c r="E200" s="221">
        <v>4</v>
      </c>
      <c r="F200" s="16" t="s">
        <v>55</v>
      </c>
      <c r="G200" s="221"/>
      <c r="H200" s="16"/>
      <c r="I200" s="223"/>
    </row>
    <row r="201" spans="2:9" x14ac:dyDescent="0.2">
      <c r="B201" s="224" t="str">
        <f t="shared" si="1"/>
        <v>2026-033-5</v>
      </c>
      <c r="C201" s="225">
        <v>2026</v>
      </c>
      <c r="D201" s="226" t="s">
        <v>36</v>
      </c>
      <c r="E201" s="225">
        <v>5</v>
      </c>
      <c r="F201" s="22" t="s">
        <v>46</v>
      </c>
      <c r="G201" s="225" t="s">
        <v>3496</v>
      </c>
      <c r="H201" s="22"/>
      <c r="I201" s="227"/>
    </row>
    <row r="202" spans="2:9" x14ac:dyDescent="0.2">
      <c r="B202" s="228" t="str">
        <f t="shared" si="1"/>
        <v>2026-034-0</v>
      </c>
      <c r="C202" s="229">
        <v>2026</v>
      </c>
      <c r="D202" s="230" t="s">
        <v>37</v>
      </c>
      <c r="E202" s="229">
        <v>0</v>
      </c>
      <c r="F202" s="28" t="s">
        <v>2597</v>
      </c>
      <c r="G202" s="229"/>
      <c r="H202" s="28"/>
      <c r="I202" s="231"/>
    </row>
    <row r="203" spans="2:9" x14ac:dyDescent="0.2">
      <c r="B203" s="220" t="str">
        <f t="shared" si="1"/>
        <v>2026-034-1</v>
      </c>
      <c r="C203" s="221">
        <v>2026</v>
      </c>
      <c r="D203" s="222" t="s">
        <v>37</v>
      </c>
      <c r="E203" s="221">
        <v>1</v>
      </c>
      <c r="F203" s="16" t="s">
        <v>2626</v>
      </c>
      <c r="G203" s="221"/>
      <c r="H203" s="16"/>
      <c r="I203" s="223"/>
    </row>
    <row r="204" spans="2:9" x14ac:dyDescent="0.2">
      <c r="B204" s="220" t="str">
        <f t="shared" si="1"/>
        <v>2026-034-2</v>
      </c>
      <c r="C204" s="221">
        <v>2026</v>
      </c>
      <c r="D204" s="222" t="s">
        <v>37</v>
      </c>
      <c r="E204" s="221">
        <v>2</v>
      </c>
      <c r="F204" s="16" t="s">
        <v>2669</v>
      </c>
      <c r="G204" s="221" t="s">
        <v>3496</v>
      </c>
      <c r="H204" s="16"/>
      <c r="I204" s="223"/>
    </row>
    <row r="205" spans="2:9" x14ac:dyDescent="0.2">
      <c r="B205" s="220" t="str">
        <f t="shared" si="1"/>
        <v>2026-034-3</v>
      </c>
      <c r="C205" s="221">
        <v>2026</v>
      </c>
      <c r="D205" s="222" t="s">
        <v>37</v>
      </c>
      <c r="E205" s="221">
        <v>3</v>
      </c>
      <c r="F205" s="16" t="s">
        <v>2713</v>
      </c>
      <c r="G205" s="221"/>
      <c r="H205" s="16"/>
      <c r="I205" s="223"/>
    </row>
    <row r="206" spans="2:9" x14ac:dyDescent="0.2">
      <c r="B206" s="220" t="str">
        <f t="shared" si="1"/>
        <v>2026-034-4</v>
      </c>
      <c r="C206" s="221">
        <v>2026</v>
      </c>
      <c r="D206" s="222" t="s">
        <v>37</v>
      </c>
      <c r="E206" s="221">
        <v>4</v>
      </c>
      <c r="F206" s="16" t="s">
        <v>2756</v>
      </c>
      <c r="G206" s="221"/>
      <c r="H206" s="16"/>
      <c r="I206" s="223"/>
    </row>
    <row r="207" spans="2:9" x14ac:dyDescent="0.2">
      <c r="B207" s="224" t="str">
        <f t="shared" si="1"/>
        <v>2026-034-5</v>
      </c>
      <c r="C207" s="225">
        <v>2026</v>
      </c>
      <c r="D207" s="226" t="s">
        <v>37</v>
      </c>
      <c r="E207" s="225">
        <v>5</v>
      </c>
      <c r="F207" s="22" t="s">
        <v>2794</v>
      </c>
      <c r="G207" s="225"/>
      <c r="H207" s="22"/>
      <c r="I207" s="227"/>
    </row>
    <row r="208" spans="2:9" x14ac:dyDescent="0.2">
      <c r="B208" s="228" t="str">
        <f t="shared" si="1"/>
        <v>2026-035-0</v>
      </c>
      <c r="C208" s="229">
        <v>2026</v>
      </c>
      <c r="D208" s="230" t="s">
        <v>38</v>
      </c>
      <c r="E208" s="229">
        <v>0</v>
      </c>
      <c r="F208" s="28" t="s">
        <v>2598</v>
      </c>
      <c r="G208" s="229"/>
      <c r="H208" s="28"/>
      <c r="I208" s="231"/>
    </row>
    <row r="209" spans="2:9" x14ac:dyDescent="0.2">
      <c r="B209" s="220" t="str">
        <f t="shared" si="1"/>
        <v>2026-035-1</v>
      </c>
      <c r="C209" s="221">
        <v>2026</v>
      </c>
      <c r="D209" s="222" t="s">
        <v>38</v>
      </c>
      <c r="E209" s="221">
        <v>1</v>
      </c>
      <c r="F209" s="16" t="s">
        <v>2627</v>
      </c>
      <c r="G209" s="221"/>
      <c r="H209" s="16"/>
      <c r="I209" s="223"/>
    </row>
    <row r="210" spans="2:9" x14ac:dyDescent="0.2">
      <c r="B210" s="220" t="str">
        <f t="shared" si="1"/>
        <v>2026-035-2</v>
      </c>
      <c r="C210" s="221">
        <v>2026</v>
      </c>
      <c r="D210" s="222" t="s">
        <v>38</v>
      </c>
      <c r="E210" s="221">
        <v>2</v>
      </c>
      <c r="F210" s="16" t="s">
        <v>2670</v>
      </c>
      <c r="G210" s="221"/>
      <c r="H210" s="16"/>
      <c r="I210" s="223"/>
    </row>
    <row r="211" spans="2:9" x14ac:dyDescent="0.2">
      <c r="B211" s="220" t="str">
        <f t="shared" si="1"/>
        <v>2026-035-3</v>
      </c>
      <c r="C211" s="221">
        <v>2026</v>
      </c>
      <c r="D211" s="222" t="s">
        <v>38</v>
      </c>
      <c r="E211" s="221">
        <v>3</v>
      </c>
      <c r="F211" s="16" t="s">
        <v>2714</v>
      </c>
      <c r="G211" s="221" t="s">
        <v>3496</v>
      </c>
      <c r="H211" s="16"/>
      <c r="I211" s="223"/>
    </row>
    <row r="212" spans="2:9" x14ac:dyDescent="0.2">
      <c r="B212" s="220" t="str">
        <f t="shared" si="1"/>
        <v>2026-035-4</v>
      </c>
      <c r="C212" s="221">
        <v>2026</v>
      </c>
      <c r="D212" s="222" t="s">
        <v>38</v>
      </c>
      <c r="E212" s="221">
        <v>4</v>
      </c>
      <c r="F212" s="16" t="s">
        <v>2757</v>
      </c>
      <c r="G212" s="221"/>
      <c r="H212" s="16"/>
      <c r="I212" s="223"/>
    </row>
    <row r="213" spans="2:9" ht="27" x14ac:dyDescent="0.2">
      <c r="B213" s="224" t="str">
        <f t="shared" si="1"/>
        <v>2026-035-5</v>
      </c>
      <c r="C213" s="225">
        <v>2026</v>
      </c>
      <c r="D213" s="226" t="s">
        <v>38</v>
      </c>
      <c r="E213" s="225">
        <v>5</v>
      </c>
      <c r="F213" s="22" t="s">
        <v>2795</v>
      </c>
      <c r="G213" s="225"/>
      <c r="H213" s="22"/>
      <c r="I213" s="227"/>
    </row>
    <row r="214" spans="2:9" ht="108" x14ac:dyDescent="0.2">
      <c r="B214" s="228" t="str">
        <f t="shared" si="1"/>
        <v>2026-036-0</v>
      </c>
      <c r="C214" s="229">
        <v>2026</v>
      </c>
      <c r="D214" s="230" t="s">
        <v>39</v>
      </c>
      <c r="E214" s="229">
        <v>0</v>
      </c>
      <c r="F214" s="28" t="s">
        <v>2599</v>
      </c>
      <c r="G214" s="229"/>
      <c r="H214" s="28"/>
      <c r="I214" s="231"/>
    </row>
    <row r="215" spans="2:9" x14ac:dyDescent="0.2">
      <c r="B215" s="220" t="str">
        <f t="shared" si="1"/>
        <v>2026-036-1</v>
      </c>
      <c r="C215" s="221">
        <v>2026</v>
      </c>
      <c r="D215" s="222" t="s">
        <v>39</v>
      </c>
      <c r="E215" s="221">
        <v>1</v>
      </c>
      <c r="F215" s="16" t="s">
        <v>45</v>
      </c>
      <c r="G215" s="221"/>
      <c r="H215" s="16"/>
      <c r="I215" s="223"/>
    </row>
    <row r="216" spans="2:9" x14ac:dyDescent="0.2">
      <c r="B216" s="220" t="str">
        <f t="shared" si="1"/>
        <v>2026-036-2</v>
      </c>
      <c r="C216" s="221">
        <v>2026</v>
      </c>
      <c r="D216" s="222" t="s">
        <v>39</v>
      </c>
      <c r="E216" s="221">
        <v>2</v>
      </c>
      <c r="F216" s="16" t="s">
        <v>50</v>
      </c>
      <c r="G216" s="221" t="s">
        <v>3496</v>
      </c>
      <c r="H216" s="16"/>
      <c r="I216" s="223"/>
    </row>
    <row r="217" spans="2:9" x14ac:dyDescent="0.2">
      <c r="B217" s="220" t="str">
        <f t="shared" si="1"/>
        <v>2026-036-3</v>
      </c>
      <c r="C217" s="221">
        <v>2026</v>
      </c>
      <c r="D217" s="222" t="s">
        <v>39</v>
      </c>
      <c r="E217" s="221">
        <v>3</v>
      </c>
      <c r="F217" s="16" t="s">
        <v>47</v>
      </c>
      <c r="G217" s="221"/>
      <c r="H217" s="16"/>
      <c r="I217" s="223"/>
    </row>
    <row r="218" spans="2:9" x14ac:dyDescent="0.2">
      <c r="B218" s="220" t="str">
        <f t="shared" si="1"/>
        <v>2026-036-4</v>
      </c>
      <c r="C218" s="221">
        <v>2026</v>
      </c>
      <c r="D218" s="222" t="s">
        <v>39</v>
      </c>
      <c r="E218" s="221">
        <v>4</v>
      </c>
      <c r="F218" s="16" t="s">
        <v>55</v>
      </c>
      <c r="G218" s="221"/>
      <c r="H218" s="16"/>
      <c r="I218" s="223"/>
    </row>
    <row r="219" spans="2:9" x14ac:dyDescent="0.2">
      <c r="B219" s="224" t="str">
        <f t="shared" si="1"/>
        <v>2026-036-5</v>
      </c>
      <c r="C219" s="225">
        <v>2026</v>
      </c>
      <c r="D219" s="226" t="s">
        <v>39</v>
      </c>
      <c r="E219" s="225">
        <v>5</v>
      </c>
      <c r="F219" s="22" t="s">
        <v>46</v>
      </c>
      <c r="G219" s="225"/>
      <c r="H219" s="22"/>
      <c r="I219" s="227"/>
    </row>
    <row r="220" spans="2:9" ht="67.5" x14ac:dyDescent="0.2">
      <c r="B220" s="228" t="str">
        <f t="shared" si="1"/>
        <v>2026-037-0</v>
      </c>
      <c r="C220" s="229">
        <v>2026</v>
      </c>
      <c r="D220" s="230" t="s">
        <v>40</v>
      </c>
      <c r="E220" s="229">
        <v>0</v>
      </c>
      <c r="F220" s="28" t="s">
        <v>2600</v>
      </c>
      <c r="G220" s="229"/>
      <c r="H220" s="28"/>
      <c r="I220" s="231"/>
    </row>
    <row r="221" spans="2:9" x14ac:dyDescent="0.2">
      <c r="B221" s="220" t="str">
        <f t="shared" si="1"/>
        <v>2026-037-1</v>
      </c>
      <c r="C221" s="221">
        <v>2026</v>
      </c>
      <c r="D221" s="222" t="s">
        <v>40</v>
      </c>
      <c r="E221" s="221">
        <v>1</v>
      </c>
      <c r="F221" s="16" t="s">
        <v>45</v>
      </c>
      <c r="G221" s="221"/>
      <c r="H221" s="16"/>
      <c r="I221" s="223"/>
    </row>
    <row r="222" spans="2:9" x14ac:dyDescent="0.2">
      <c r="B222" s="220" t="str">
        <f t="shared" si="1"/>
        <v>2026-037-2</v>
      </c>
      <c r="C222" s="221">
        <v>2026</v>
      </c>
      <c r="D222" s="222" t="s">
        <v>40</v>
      </c>
      <c r="E222" s="221">
        <v>2</v>
      </c>
      <c r="F222" s="16" t="s">
        <v>53</v>
      </c>
      <c r="G222" s="221"/>
      <c r="H222" s="16"/>
      <c r="I222" s="223"/>
    </row>
    <row r="223" spans="2:9" x14ac:dyDescent="0.2">
      <c r="B223" s="220" t="str">
        <f t="shared" si="1"/>
        <v>2026-037-3</v>
      </c>
      <c r="C223" s="221">
        <v>2026</v>
      </c>
      <c r="D223" s="222" t="s">
        <v>40</v>
      </c>
      <c r="E223" s="221">
        <v>3</v>
      </c>
      <c r="F223" s="16" t="s">
        <v>44</v>
      </c>
      <c r="G223" s="221"/>
      <c r="H223" s="16"/>
      <c r="I223" s="223"/>
    </row>
    <row r="224" spans="2:9" x14ac:dyDescent="0.2">
      <c r="B224" s="220" t="str">
        <f t="shared" si="1"/>
        <v>2026-037-4</v>
      </c>
      <c r="C224" s="221">
        <v>2026</v>
      </c>
      <c r="D224" s="222" t="s">
        <v>40</v>
      </c>
      <c r="E224" s="221">
        <v>4</v>
      </c>
      <c r="F224" s="16" t="s">
        <v>55</v>
      </c>
      <c r="G224" s="221"/>
      <c r="H224" s="16"/>
      <c r="I224" s="223"/>
    </row>
    <row r="225" spans="2:9" x14ac:dyDescent="0.2">
      <c r="B225" s="224" t="str">
        <f t="shared" si="1"/>
        <v>2026-037-5</v>
      </c>
      <c r="C225" s="225">
        <v>2026</v>
      </c>
      <c r="D225" s="226" t="s">
        <v>40</v>
      </c>
      <c r="E225" s="225">
        <v>5</v>
      </c>
      <c r="F225" s="22" t="s">
        <v>46</v>
      </c>
      <c r="G225" s="225" t="s">
        <v>3496</v>
      </c>
      <c r="H225" s="22"/>
      <c r="I225" s="227"/>
    </row>
    <row r="226" spans="2:9" ht="81" x14ac:dyDescent="0.2">
      <c r="B226" s="228" t="str">
        <f t="shared" si="1"/>
        <v>2026-038-0</v>
      </c>
      <c r="C226" s="229">
        <v>2026</v>
      </c>
      <c r="D226" s="230" t="s">
        <v>41</v>
      </c>
      <c r="E226" s="229">
        <v>0</v>
      </c>
      <c r="F226" s="28" t="s">
        <v>2601</v>
      </c>
      <c r="G226" s="229"/>
      <c r="H226" s="28"/>
      <c r="I226" s="231"/>
    </row>
    <row r="227" spans="2:9" x14ac:dyDescent="0.2">
      <c r="B227" s="220" t="str">
        <f t="shared" si="1"/>
        <v>2026-038-1</v>
      </c>
      <c r="C227" s="221">
        <v>2026</v>
      </c>
      <c r="D227" s="222" t="s">
        <v>41</v>
      </c>
      <c r="E227" s="221">
        <v>1</v>
      </c>
      <c r="F227" s="16" t="s">
        <v>50</v>
      </c>
      <c r="G227" s="221"/>
      <c r="H227" s="16"/>
      <c r="I227" s="223"/>
    </row>
    <row r="228" spans="2:9" x14ac:dyDescent="0.2">
      <c r="B228" s="220" t="str">
        <f t="shared" si="1"/>
        <v>2026-038-2</v>
      </c>
      <c r="C228" s="221">
        <v>2026</v>
      </c>
      <c r="D228" s="222" t="s">
        <v>41</v>
      </c>
      <c r="E228" s="221">
        <v>2</v>
      </c>
      <c r="F228" s="16" t="s">
        <v>53</v>
      </c>
      <c r="G228" s="221"/>
      <c r="H228" s="16"/>
      <c r="I228" s="223"/>
    </row>
    <row r="229" spans="2:9" x14ac:dyDescent="0.2">
      <c r="B229" s="220" t="str">
        <f t="shared" si="1"/>
        <v>2026-038-3</v>
      </c>
      <c r="C229" s="221">
        <v>2026</v>
      </c>
      <c r="D229" s="222" t="s">
        <v>41</v>
      </c>
      <c r="E229" s="221">
        <v>3</v>
      </c>
      <c r="F229" s="16" t="s">
        <v>44</v>
      </c>
      <c r="G229" s="221"/>
      <c r="H229" s="16"/>
      <c r="I229" s="223"/>
    </row>
    <row r="230" spans="2:9" x14ac:dyDescent="0.2">
      <c r="B230" s="220" t="str">
        <f t="shared" si="1"/>
        <v>2026-038-4</v>
      </c>
      <c r="C230" s="221">
        <v>2026</v>
      </c>
      <c r="D230" s="222" t="s">
        <v>41</v>
      </c>
      <c r="E230" s="221">
        <v>4</v>
      </c>
      <c r="F230" s="16" t="s">
        <v>47</v>
      </c>
      <c r="G230" s="221"/>
      <c r="H230" s="16"/>
      <c r="I230" s="223"/>
    </row>
    <row r="231" spans="2:9" x14ac:dyDescent="0.2">
      <c r="B231" s="224" t="str">
        <f t="shared" si="1"/>
        <v>2026-038-5</v>
      </c>
      <c r="C231" s="225">
        <v>2026</v>
      </c>
      <c r="D231" s="226" t="s">
        <v>41</v>
      </c>
      <c r="E231" s="225">
        <v>5</v>
      </c>
      <c r="F231" s="22" t="s">
        <v>46</v>
      </c>
      <c r="G231" s="225" t="s">
        <v>3496</v>
      </c>
      <c r="H231" s="22"/>
      <c r="I231" s="227"/>
    </row>
    <row r="232" spans="2:9" x14ac:dyDescent="0.2">
      <c r="B232" s="228" t="str">
        <f t="shared" si="1"/>
        <v>2026-039-0</v>
      </c>
      <c r="C232" s="229">
        <v>2026</v>
      </c>
      <c r="D232" s="230" t="s">
        <v>42</v>
      </c>
      <c r="E232" s="229">
        <v>0</v>
      </c>
      <c r="F232" s="28" t="s">
        <v>2602</v>
      </c>
      <c r="G232" s="229"/>
      <c r="H232" s="28"/>
      <c r="I232" s="231"/>
    </row>
    <row r="233" spans="2:9" x14ac:dyDescent="0.2">
      <c r="B233" s="220" t="str">
        <f t="shared" si="1"/>
        <v>2026-039-1</v>
      </c>
      <c r="C233" s="221">
        <v>2026</v>
      </c>
      <c r="D233" s="222" t="s">
        <v>42</v>
      </c>
      <c r="E233" s="221">
        <v>1</v>
      </c>
      <c r="F233" s="16" t="s">
        <v>2083</v>
      </c>
      <c r="G233" s="221" t="s">
        <v>3496</v>
      </c>
      <c r="H233" s="16"/>
      <c r="I233" s="223"/>
    </row>
    <row r="234" spans="2:9" x14ac:dyDescent="0.2">
      <c r="B234" s="220" t="str">
        <f t="shared" si="1"/>
        <v>2026-039-2</v>
      </c>
      <c r="C234" s="221">
        <v>2026</v>
      </c>
      <c r="D234" s="222" t="s">
        <v>42</v>
      </c>
      <c r="E234" s="221">
        <v>2</v>
      </c>
      <c r="F234" s="16" t="s">
        <v>2671</v>
      </c>
      <c r="G234" s="221"/>
      <c r="H234" s="16"/>
      <c r="I234" s="223"/>
    </row>
    <row r="235" spans="2:9" x14ac:dyDescent="0.2">
      <c r="B235" s="220" t="str">
        <f t="shared" si="1"/>
        <v>2026-039-3</v>
      </c>
      <c r="C235" s="221">
        <v>2026</v>
      </c>
      <c r="D235" s="222" t="s">
        <v>42</v>
      </c>
      <c r="E235" s="221">
        <v>3</v>
      </c>
      <c r="F235" s="16" t="s">
        <v>2715</v>
      </c>
      <c r="G235" s="221"/>
      <c r="H235" s="16"/>
      <c r="I235" s="223"/>
    </row>
    <row r="236" spans="2:9" x14ac:dyDescent="0.2">
      <c r="B236" s="220" t="str">
        <f t="shared" si="1"/>
        <v>2026-039-4</v>
      </c>
      <c r="C236" s="221">
        <v>2026</v>
      </c>
      <c r="D236" s="222" t="s">
        <v>42</v>
      </c>
      <c r="E236" s="221">
        <v>4</v>
      </c>
      <c r="F236" s="16" t="s">
        <v>2476</v>
      </c>
      <c r="G236" s="221"/>
      <c r="H236" s="16"/>
      <c r="I236" s="223"/>
    </row>
    <row r="237" spans="2:9" x14ac:dyDescent="0.2">
      <c r="B237" s="224" t="str">
        <f t="shared" si="1"/>
        <v>2026-039-5</v>
      </c>
      <c r="C237" s="225">
        <v>2026</v>
      </c>
      <c r="D237" s="226" t="s">
        <v>42</v>
      </c>
      <c r="E237" s="225">
        <v>5</v>
      </c>
      <c r="F237" s="22" t="s">
        <v>2796</v>
      </c>
      <c r="G237" s="225"/>
      <c r="H237" s="22"/>
      <c r="I237" s="227"/>
    </row>
    <row r="238" spans="2:9" ht="121.5" x14ac:dyDescent="0.2">
      <c r="B238" s="228" t="str">
        <f t="shared" si="1"/>
        <v>2026-040-0</v>
      </c>
      <c r="C238" s="229">
        <v>2026</v>
      </c>
      <c r="D238" s="230" t="s">
        <v>43</v>
      </c>
      <c r="E238" s="229">
        <v>0</v>
      </c>
      <c r="F238" s="28" t="s">
        <v>2862</v>
      </c>
      <c r="G238" s="229"/>
      <c r="H238" s="28"/>
      <c r="I238" s="231"/>
    </row>
    <row r="239" spans="2:9" x14ac:dyDescent="0.2">
      <c r="B239" s="220" t="str">
        <f t="shared" si="1"/>
        <v>2026-040-1</v>
      </c>
      <c r="C239" s="221">
        <v>2026</v>
      </c>
      <c r="D239" s="222" t="s">
        <v>43</v>
      </c>
      <c r="E239" s="221">
        <v>1</v>
      </c>
      <c r="F239" s="16" t="s">
        <v>45</v>
      </c>
      <c r="G239" s="221"/>
      <c r="H239" s="16"/>
      <c r="I239" s="223"/>
    </row>
    <row r="240" spans="2:9" x14ac:dyDescent="0.2">
      <c r="B240" s="220" t="str">
        <f t="shared" si="1"/>
        <v>2026-040-2</v>
      </c>
      <c r="C240" s="221">
        <v>2026</v>
      </c>
      <c r="D240" s="222" t="s">
        <v>43</v>
      </c>
      <c r="E240" s="221">
        <v>2</v>
      </c>
      <c r="F240" s="16" t="s">
        <v>53</v>
      </c>
      <c r="G240" s="221"/>
      <c r="H240" s="16"/>
      <c r="I240" s="223"/>
    </row>
    <row r="241" spans="2:9" x14ac:dyDescent="0.2">
      <c r="B241" s="220" t="str">
        <f t="shared" si="1"/>
        <v>2026-040-3</v>
      </c>
      <c r="C241" s="221">
        <v>2026</v>
      </c>
      <c r="D241" s="222" t="s">
        <v>43</v>
      </c>
      <c r="E241" s="221">
        <v>3</v>
      </c>
      <c r="F241" s="16" t="s">
        <v>44</v>
      </c>
      <c r="G241" s="221" t="s">
        <v>3496</v>
      </c>
      <c r="H241" s="16"/>
      <c r="I241" s="223"/>
    </row>
    <row r="242" spans="2:9" x14ac:dyDescent="0.2">
      <c r="B242" s="220" t="str">
        <f t="shared" si="1"/>
        <v>2026-040-4</v>
      </c>
      <c r="C242" s="221">
        <v>2026</v>
      </c>
      <c r="D242" s="222" t="s">
        <v>43</v>
      </c>
      <c r="E242" s="221">
        <v>4</v>
      </c>
      <c r="F242" s="16" t="s">
        <v>55</v>
      </c>
      <c r="G242" s="221"/>
      <c r="H242" s="16"/>
      <c r="I242" s="223"/>
    </row>
    <row r="243" spans="2:9" ht="14.25" thickBot="1" x14ac:dyDescent="0.25">
      <c r="B243" s="148" t="str">
        <f t="shared" si="1"/>
        <v>2026-040-5</v>
      </c>
      <c r="C243" s="232">
        <v>2026</v>
      </c>
      <c r="D243" s="233" t="s">
        <v>43</v>
      </c>
      <c r="E243" s="232">
        <v>5</v>
      </c>
      <c r="F243" s="34" t="s">
        <v>46</v>
      </c>
      <c r="G243" s="232"/>
      <c r="H243" s="34"/>
      <c r="I243" s="234"/>
    </row>
    <row r="244" spans="2:9" s="1" customFormat="1" ht="81" x14ac:dyDescent="0.2">
      <c r="B244" s="8" t="str">
        <f t="shared" si="1"/>
        <v>2025-001-0</v>
      </c>
      <c r="C244" s="9">
        <v>2025</v>
      </c>
      <c r="D244" s="37" t="s">
        <v>4</v>
      </c>
      <c r="E244" s="9">
        <v>0</v>
      </c>
      <c r="F244" s="10" t="s">
        <v>2603</v>
      </c>
      <c r="G244" s="9"/>
      <c r="H244" s="11"/>
      <c r="I244" s="12"/>
    </row>
    <row r="245" spans="2:9" s="1" customFormat="1" x14ac:dyDescent="0.2">
      <c r="B245" s="13" t="str">
        <f t="shared" si="1"/>
        <v>2025-001-1</v>
      </c>
      <c r="C245" s="14">
        <v>2025</v>
      </c>
      <c r="D245" s="15" t="s">
        <v>4</v>
      </c>
      <c r="E245" s="14">
        <v>1</v>
      </c>
      <c r="F245" s="16" t="s">
        <v>45</v>
      </c>
      <c r="G245" s="14"/>
      <c r="H245" s="17"/>
      <c r="I245" s="18"/>
    </row>
    <row r="246" spans="2:9" s="1" customFormat="1" x14ac:dyDescent="0.2">
      <c r="B246" s="13" t="str">
        <f t="shared" si="1"/>
        <v>2025-001-2</v>
      </c>
      <c r="C246" s="14">
        <v>2025</v>
      </c>
      <c r="D246" s="15" t="s">
        <v>4</v>
      </c>
      <c r="E246" s="14">
        <v>2</v>
      </c>
      <c r="F246" s="16" t="s">
        <v>50</v>
      </c>
      <c r="G246" s="14"/>
      <c r="H246" s="17"/>
      <c r="I246" s="18"/>
    </row>
    <row r="247" spans="2:9" s="1" customFormat="1" x14ac:dyDescent="0.2">
      <c r="B247" s="13" t="str">
        <f t="shared" si="1"/>
        <v>2025-001-3</v>
      </c>
      <c r="C247" s="14">
        <v>2025</v>
      </c>
      <c r="D247" s="15" t="s">
        <v>4</v>
      </c>
      <c r="E247" s="14">
        <v>3</v>
      </c>
      <c r="F247" s="16" t="s">
        <v>47</v>
      </c>
      <c r="G247" s="14"/>
      <c r="H247" s="17"/>
      <c r="I247" s="18"/>
    </row>
    <row r="248" spans="2:9" s="1" customFormat="1" x14ac:dyDescent="0.2">
      <c r="B248" s="13" t="str">
        <f t="shared" si="1"/>
        <v>2025-001-4</v>
      </c>
      <c r="C248" s="14">
        <v>2025</v>
      </c>
      <c r="D248" s="15" t="s">
        <v>4</v>
      </c>
      <c r="E248" s="14">
        <v>4</v>
      </c>
      <c r="F248" s="16" t="s">
        <v>55</v>
      </c>
      <c r="G248" s="14"/>
      <c r="H248" s="17"/>
      <c r="I248" s="18"/>
    </row>
    <row r="249" spans="2:9" s="1" customFormat="1" x14ac:dyDescent="0.2">
      <c r="B249" s="19" t="str">
        <f t="shared" si="1"/>
        <v>2025-001-5</v>
      </c>
      <c r="C249" s="20">
        <v>2025</v>
      </c>
      <c r="D249" s="21" t="s">
        <v>4</v>
      </c>
      <c r="E249" s="20">
        <v>5</v>
      </c>
      <c r="F249" s="22" t="s">
        <v>46</v>
      </c>
      <c r="G249" s="20" t="s">
        <v>3210</v>
      </c>
      <c r="H249" s="23"/>
      <c r="I249" s="24"/>
    </row>
    <row r="250" spans="2:9" s="1" customFormat="1" x14ac:dyDescent="0.2">
      <c r="B250" s="25" t="str">
        <f t="shared" si="1"/>
        <v>2025-002-0</v>
      </c>
      <c r="C250" s="26">
        <v>2025</v>
      </c>
      <c r="D250" s="27" t="s">
        <v>5</v>
      </c>
      <c r="E250" s="26">
        <v>0</v>
      </c>
      <c r="F250" s="28" t="s">
        <v>2604</v>
      </c>
      <c r="G250" s="26"/>
      <c r="H250" s="29"/>
      <c r="I250" s="30"/>
    </row>
    <row r="251" spans="2:9" s="1" customFormat="1" x14ac:dyDescent="0.2">
      <c r="B251" s="13" t="str">
        <f t="shared" si="1"/>
        <v>2025-002-1</v>
      </c>
      <c r="C251" s="14">
        <v>2025</v>
      </c>
      <c r="D251" s="15" t="s">
        <v>5</v>
      </c>
      <c r="E251" s="14">
        <v>1</v>
      </c>
      <c r="F251" s="16" t="s">
        <v>2628</v>
      </c>
      <c r="G251" s="14"/>
      <c r="H251" s="17"/>
      <c r="I251" s="18"/>
    </row>
    <row r="252" spans="2:9" s="1" customFormat="1" ht="27" x14ac:dyDescent="0.2">
      <c r="B252" s="13" t="str">
        <f t="shared" si="1"/>
        <v>2025-002-2</v>
      </c>
      <c r="C252" s="14">
        <v>2025</v>
      </c>
      <c r="D252" s="15" t="s">
        <v>5</v>
      </c>
      <c r="E252" s="14">
        <v>2</v>
      </c>
      <c r="F252" s="16" t="s">
        <v>2672</v>
      </c>
      <c r="G252" s="14"/>
      <c r="H252" s="17"/>
      <c r="I252" s="18"/>
    </row>
    <row r="253" spans="2:9" s="1" customFormat="1" x14ac:dyDescent="0.2">
      <c r="B253" s="13" t="str">
        <f t="shared" si="1"/>
        <v>2025-002-3</v>
      </c>
      <c r="C253" s="14">
        <v>2025</v>
      </c>
      <c r="D253" s="15" t="s">
        <v>5</v>
      </c>
      <c r="E253" s="14">
        <v>3</v>
      </c>
      <c r="F253" s="16" t="s">
        <v>2716</v>
      </c>
      <c r="G253" s="14"/>
      <c r="H253" s="17"/>
      <c r="I253" s="18"/>
    </row>
    <row r="254" spans="2:9" s="1" customFormat="1" x14ac:dyDescent="0.2">
      <c r="B254" s="13" t="str">
        <f t="shared" si="1"/>
        <v>2025-002-4</v>
      </c>
      <c r="C254" s="14">
        <v>2025</v>
      </c>
      <c r="D254" s="15" t="s">
        <v>5</v>
      </c>
      <c r="E254" s="14">
        <v>4</v>
      </c>
      <c r="F254" s="16" t="s">
        <v>2758</v>
      </c>
      <c r="G254" s="14" t="s">
        <v>3210</v>
      </c>
      <c r="H254" s="17"/>
      <c r="I254" s="18"/>
    </row>
    <row r="255" spans="2:9" s="1" customFormat="1" x14ac:dyDescent="0.2">
      <c r="B255" s="19" t="str">
        <f t="shared" ref="B255:B318" si="2">C255&amp;"-"&amp;D255&amp;"-"&amp;E255</f>
        <v>2025-002-5</v>
      </c>
      <c r="C255" s="20">
        <v>2025</v>
      </c>
      <c r="D255" s="21" t="s">
        <v>5</v>
      </c>
      <c r="E255" s="20">
        <v>5</v>
      </c>
      <c r="F255" s="22" t="s">
        <v>2797</v>
      </c>
      <c r="G255" s="20"/>
      <c r="H255" s="23"/>
      <c r="I255" s="24"/>
    </row>
    <row r="256" spans="2:9" s="1" customFormat="1" x14ac:dyDescent="0.2">
      <c r="B256" s="25" t="str">
        <f t="shared" si="2"/>
        <v>2025-003-0</v>
      </c>
      <c r="C256" s="26">
        <v>2025</v>
      </c>
      <c r="D256" s="27" t="s">
        <v>6</v>
      </c>
      <c r="E256" s="26">
        <v>0</v>
      </c>
      <c r="F256" s="28" t="s">
        <v>2605</v>
      </c>
      <c r="G256" s="26"/>
      <c r="H256" s="29"/>
      <c r="I256" s="30"/>
    </row>
    <row r="257" spans="2:9" s="1" customFormat="1" ht="27" x14ac:dyDescent="0.2">
      <c r="B257" s="13" t="str">
        <f t="shared" si="2"/>
        <v>2025-003-1</v>
      </c>
      <c r="C257" s="14">
        <v>2025</v>
      </c>
      <c r="D257" s="15" t="s">
        <v>6</v>
      </c>
      <c r="E257" s="14">
        <v>1</v>
      </c>
      <c r="F257" s="16" t="s">
        <v>2629</v>
      </c>
      <c r="G257" s="14"/>
      <c r="H257" s="17"/>
      <c r="I257" s="18"/>
    </row>
    <row r="258" spans="2:9" s="1" customFormat="1" ht="27" x14ac:dyDescent="0.2">
      <c r="B258" s="13" t="str">
        <f t="shared" si="2"/>
        <v>2025-003-2</v>
      </c>
      <c r="C258" s="14">
        <v>2025</v>
      </c>
      <c r="D258" s="15" t="s">
        <v>6</v>
      </c>
      <c r="E258" s="14">
        <v>2</v>
      </c>
      <c r="F258" s="16" t="s">
        <v>2673</v>
      </c>
      <c r="G258" s="14"/>
      <c r="H258" s="17"/>
      <c r="I258" s="18"/>
    </row>
    <row r="259" spans="2:9" s="1" customFormat="1" ht="27" x14ac:dyDescent="0.2">
      <c r="B259" s="13" t="str">
        <f t="shared" si="2"/>
        <v>2025-003-3</v>
      </c>
      <c r="C259" s="14">
        <v>2025</v>
      </c>
      <c r="D259" s="15" t="s">
        <v>6</v>
      </c>
      <c r="E259" s="14">
        <v>3</v>
      </c>
      <c r="F259" s="16" t="s">
        <v>2717</v>
      </c>
      <c r="G259" s="14" t="s">
        <v>3210</v>
      </c>
      <c r="H259" s="17"/>
      <c r="I259" s="18"/>
    </row>
    <row r="260" spans="2:9" s="1" customFormat="1" x14ac:dyDescent="0.2">
      <c r="B260" s="13" t="str">
        <f t="shared" si="2"/>
        <v>2025-003-4</v>
      </c>
      <c r="C260" s="14">
        <v>2025</v>
      </c>
      <c r="D260" s="15" t="s">
        <v>6</v>
      </c>
      <c r="E260" s="14">
        <v>4</v>
      </c>
      <c r="F260" s="16" t="s">
        <v>2759</v>
      </c>
      <c r="G260" s="14"/>
      <c r="H260" s="17"/>
      <c r="I260" s="18"/>
    </row>
    <row r="261" spans="2:9" s="1" customFormat="1" x14ac:dyDescent="0.2">
      <c r="B261" s="19" t="str">
        <f t="shared" si="2"/>
        <v>2025-003-5</v>
      </c>
      <c r="C261" s="20">
        <v>2025</v>
      </c>
      <c r="D261" s="21" t="s">
        <v>6</v>
      </c>
      <c r="E261" s="20">
        <v>5</v>
      </c>
      <c r="F261" s="22" t="s">
        <v>2798</v>
      </c>
      <c r="G261" s="20"/>
      <c r="H261" s="23"/>
      <c r="I261" s="24"/>
    </row>
    <row r="262" spans="2:9" s="1" customFormat="1" x14ac:dyDescent="0.2">
      <c r="B262" s="25" t="str">
        <f t="shared" si="2"/>
        <v>2025-004-0</v>
      </c>
      <c r="C262" s="26">
        <v>2025</v>
      </c>
      <c r="D262" s="27" t="s">
        <v>7</v>
      </c>
      <c r="E262" s="26">
        <v>0</v>
      </c>
      <c r="F262" s="28" t="s">
        <v>2606</v>
      </c>
      <c r="G262" s="26"/>
      <c r="H262" s="29"/>
      <c r="I262" s="30"/>
    </row>
    <row r="263" spans="2:9" s="1" customFormat="1" x14ac:dyDescent="0.2">
      <c r="B263" s="13" t="str">
        <f t="shared" si="2"/>
        <v>2025-004-1</v>
      </c>
      <c r="C263" s="14">
        <v>2025</v>
      </c>
      <c r="D263" s="15" t="s">
        <v>7</v>
      </c>
      <c r="E263" s="14">
        <v>1</v>
      </c>
      <c r="F263" s="16" t="s">
        <v>2630</v>
      </c>
      <c r="G263" s="14" t="s">
        <v>3210</v>
      </c>
      <c r="H263" s="17"/>
      <c r="I263" s="18"/>
    </row>
    <row r="264" spans="2:9" s="1" customFormat="1" x14ac:dyDescent="0.2">
      <c r="B264" s="13" t="str">
        <f t="shared" si="2"/>
        <v>2025-004-2</v>
      </c>
      <c r="C264" s="14">
        <v>2025</v>
      </c>
      <c r="D264" s="15" t="s">
        <v>7</v>
      </c>
      <c r="E264" s="14">
        <v>2</v>
      </c>
      <c r="F264" s="16" t="s">
        <v>2674</v>
      </c>
      <c r="G264" s="14"/>
      <c r="H264" s="17"/>
      <c r="I264" s="18"/>
    </row>
    <row r="265" spans="2:9" s="1" customFormat="1" ht="27" x14ac:dyDescent="0.2">
      <c r="B265" s="13" t="str">
        <f t="shared" si="2"/>
        <v>2025-004-3</v>
      </c>
      <c r="C265" s="14">
        <v>2025</v>
      </c>
      <c r="D265" s="15" t="s">
        <v>7</v>
      </c>
      <c r="E265" s="14">
        <v>3</v>
      </c>
      <c r="F265" s="16" t="s">
        <v>2718</v>
      </c>
      <c r="G265" s="14"/>
      <c r="H265" s="17"/>
      <c r="I265" s="18"/>
    </row>
    <row r="266" spans="2:9" s="1" customFormat="1" x14ac:dyDescent="0.2">
      <c r="B266" s="13" t="str">
        <f t="shared" si="2"/>
        <v>2025-004-4</v>
      </c>
      <c r="C266" s="14">
        <v>2025</v>
      </c>
      <c r="D266" s="15" t="s">
        <v>7</v>
      </c>
      <c r="E266" s="14">
        <v>4</v>
      </c>
      <c r="F266" s="16" t="s">
        <v>2760</v>
      </c>
      <c r="G266" s="14"/>
      <c r="H266" s="17"/>
      <c r="I266" s="18"/>
    </row>
    <row r="267" spans="2:9" s="1" customFormat="1" x14ac:dyDescent="0.2">
      <c r="B267" s="19" t="str">
        <f t="shared" si="2"/>
        <v>2025-004-5</v>
      </c>
      <c r="C267" s="20">
        <v>2025</v>
      </c>
      <c r="D267" s="21" t="s">
        <v>7</v>
      </c>
      <c r="E267" s="20">
        <v>5</v>
      </c>
      <c r="F267" s="22" t="s">
        <v>2799</v>
      </c>
      <c r="G267" s="20"/>
      <c r="H267" s="23"/>
      <c r="I267" s="24"/>
    </row>
    <row r="268" spans="2:9" s="1" customFormat="1" x14ac:dyDescent="0.2">
      <c r="B268" s="25" t="str">
        <f t="shared" si="2"/>
        <v>2025-005-0</v>
      </c>
      <c r="C268" s="26">
        <v>2025</v>
      </c>
      <c r="D268" s="27" t="s">
        <v>8</v>
      </c>
      <c r="E268" s="26">
        <v>0</v>
      </c>
      <c r="F268" s="28" t="s">
        <v>2607</v>
      </c>
      <c r="G268" s="26"/>
      <c r="H268" s="29"/>
      <c r="I268" s="30"/>
    </row>
    <row r="269" spans="2:9" s="1" customFormat="1" x14ac:dyDescent="0.2">
      <c r="B269" s="13" t="str">
        <f t="shared" si="2"/>
        <v>2025-005-1</v>
      </c>
      <c r="C269" s="14">
        <v>2025</v>
      </c>
      <c r="D269" s="15" t="s">
        <v>8</v>
      </c>
      <c r="E269" s="14">
        <v>1</v>
      </c>
      <c r="F269" s="16" t="s">
        <v>2631</v>
      </c>
      <c r="G269" s="14"/>
      <c r="H269" s="17"/>
      <c r="I269" s="18"/>
    </row>
    <row r="270" spans="2:9" s="1" customFormat="1" x14ac:dyDescent="0.2">
      <c r="B270" s="13" t="str">
        <f t="shared" si="2"/>
        <v>2025-005-2</v>
      </c>
      <c r="C270" s="14">
        <v>2025</v>
      </c>
      <c r="D270" s="15" t="s">
        <v>8</v>
      </c>
      <c r="E270" s="14">
        <v>2</v>
      </c>
      <c r="F270" s="16" t="s">
        <v>2675</v>
      </c>
      <c r="G270" s="14"/>
      <c r="H270" s="17"/>
      <c r="I270" s="18"/>
    </row>
    <row r="271" spans="2:9" s="1" customFormat="1" x14ac:dyDescent="0.2">
      <c r="B271" s="13" t="str">
        <f t="shared" si="2"/>
        <v>2025-005-3</v>
      </c>
      <c r="C271" s="14">
        <v>2025</v>
      </c>
      <c r="D271" s="15" t="s">
        <v>8</v>
      </c>
      <c r="E271" s="14">
        <v>3</v>
      </c>
      <c r="F271" s="16" t="s">
        <v>2863</v>
      </c>
      <c r="G271" s="14"/>
      <c r="H271" s="17"/>
      <c r="I271" s="18"/>
    </row>
    <row r="272" spans="2:9" s="1" customFormat="1" ht="27" x14ac:dyDescent="0.2">
      <c r="B272" s="13" t="str">
        <f t="shared" si="2"/>
        <v>2025-005-4</v>
      </c>
      <c r="C272" s="14">
        <v>2025</v>
      </c>
      <c r="D272" s="15" t="s">
        <v>8</v>
      </c>
      <c r="E272" s="14">
        <v>4</v>
      </c>
      <c r="F272" s="16" t="s">
        <v>2864</v>
      </c>
      <c r="G272" s="14"/>
      <c r="H272" s="17"/>
      <c r="I272" s="18"/>
    </row>
    <row r="273" spans="2:9" s="1" customFormat="1" ht="27" x14ac:dyDescent="0.2">
      <c r="B273" s="19" t="str">
        <f t="shared" si="2"/>
        <v>2025-005-5</v>
      </c>
      <c r="C273" s="20">
        <v>2025</v>
      </c>
      <c r="D273" s="21" t="s">
        <v>8</v>
      </c>
      <c r="E273" s="20">
        <v>5</v>
      </c>
      <c r="F273" s="22" t="s">
        <v>2800</v>
      </c>
      <c r="G273" s="20" t="s">
        <v>3210</v>
      </c>
      <c r="H273" s="23"/>
      <c r="I273" s="24"/>
    </row>
    <row r="274" spans="2:9" s="1" customFormat="1" x14ac:dyDescent="0.2">
      <c r="B274" s="25" t="str">
        <f t="shared" si="2"/>
        <v>2025-006-0</v>
      </c>
      <c r="C274" s="26">
        <v>2025</v>
      </c>
      <c r="D274" s="27" t="s">
        <v>9</v>
      </c>
      <c r="E274" s="26">
        <v>0</v>
      </c>
      <c r="F274" s="28" t="s">
        <v>2608</v>
      </c>
      <c r="G274" s="26"/>
      <c r="H274" s="29"/>
      <c r="I274" s="30"/>
    </row>
    <row r="275" spans="2:9" s="1" customFormat="1" x14ac:dyDescent="0.2">
      <c r="B275" s="13" t="str">
        <f t="shared" si="2"/>
        <v>2025-006-1</v>
      </c>
      <c r="C275" s="14">
        <v>2025</v>
      </c>
      <c r="D275" s="15" t="s">
        <v>9</v>
      </c>
      <c r="E275" s="14">
        <v>1</v>
      </c>
      <c r="F275" s="16" t="s">
        <v>2632</v>
      </c>
      <c r="G275" s="14" t="s">
        <v>3210</v>
      </c>
      <c r="H275" s="17"/>
      <c r="I275" s="18"/>
    </row>
    <row r="276" spans="2:9" s="1" customFormat="1" x14ac:dyDescent="0.2">
      <c r="B276" s="13" t="str">
        <f t="shared" si="2"/>
        <v>2025-006-2</v>
      </c>
      <c r="C276" s="14">
        <v>2025</v>
      </c>
      <c r="D276" s="15" t="s">
        <v>9</v>
      </c>
      <c r="E276" s="14">
        <v>2</v>
      </c>
      <c r="F276" s="16" t="s">
        <v>2676</v>
      </c>
      <c r="G276" s="14"/>
      <c r="H276" s="17"/>
      <c r="I276" s="18"/>
    </row>
    <row r="277" spans="2:9" s="1" customFormat="1" x14ac:dyDescent="0.2">
      <c r="B277" s="13" t="str">
        <f t="shared" si="2"/>
        <v>2025-006-3</v>
      </c>
      <c r="C277" s="14">
        <v>2025</v>
      </c>
      <c r="D277" s="15" t="s">
        <v>9</v>
      </c>
      <c r="E277" s="14">
        <v>3</v>
      </c>
      <c r="F277" s="16" t="s">
        <v>2719</v>
      </c>
      <c r="G277" s="14"/>
      <c r="H277" s="17"/>
      <c r="I277" s="18"/>
    </row>
    <row r="278" spans="2:9" s="1" customFormat="1" x14ac:dyDescent="0.2">
      <c r="B278" s="13" t="str">
        <f t="shared" si="2"/>
        <v>2025-006-4</v>
      </c>
      <c r="C278" s="14">
        <v>2025</v>
      </c>
      <c r="D278" s="15" t="s">
        <v>9</v>
      </c>
      <c r="E278" s="14">
        <v>4</v>
      </c>
      <c r="F278" s="16" t="s">
        <v>1376</v>
      </c>
      <c r="G278" s="14"/>
      <c r="H278" s="17"/>
      <c r="I278" s="18"/>
    </row>
    <row r="279" spans="2:9" s="1" customFormat="1" x14ac:dyDescent="0.2">
      <c r="B279" s="19" t="str">
        <f t="shared" si="2"/>
        <v>2025-006-5</v>
      </c>
      <c r="C279" s="20">
        <v>2025</v>
      </c>
      <c r="D279" s="21" t="s">
        <v>9</v>
      </c>
      <c r="E279" s="20">
        <v>5</v>
      </c>
      <c r="F279" s="22" t="s">
        <v>2801</v>
      </c>
      <c r="G279" s="20"/>
      <c r="H279" s="23"/>
      <c r="I279" s="24"/>
    </row>
    <row r="280" spans="2:9" s="1" customFormat="1" ht="81" x14ac:dyDescent="0.2">
      <c r="B280" s="25" t="str">
        <f t="shared" si="2"/>
        <v>2025-007-0</v>
      </c>
      <c r="C280" s="26">
        <v>2025</v>
      </c>
      <c r="D280" s="27" t="s">
        <v>10</v>
      </c>
      <c r="E280" s="26">
        <v>0</v>
      </c>
      <c r="F280" s="28" t="s">
        <v>2609</v>
      </c>
      <c r="G280" s="26"/>
      <c r="H280" s="29"/>
      <c r="I280" s="30"/>
    </row>
    <row r="281" spans="2:9" s="1" customFormat="1" x14ac:dyDescent="0.2">
      <c r="B281" s="13" t="str">
        <f t="shared" si="2"/>
        <v>2025-007-1</v>
      </c>
      <c r="C281" s="14">
        <v>2025</v>
      </c>
      <c r="D281" s="15" t="s">
        <v>10</v>
      </c>
      <c r="E281" s="14">
        <v>1</v>
      </c>
      <c r="F281" s="16" t="s">
        <v>45</v>
      </c>
      <c r="G281" s="14"/>
      <c r="H281" s="17"/>
      <c r="I281" s="18"/>
    </row>
    <row r="282" spans="2:9" s="1" customFormat="1" x14ac:dyDescent="0.2">
      <c r="B282" s="13" t="str">
        <f t="shared" si="2"/>
        <v>2025-007-2</v>
      </c>
      <c r="C282" s="14">
        <v>2025</v>
      </c>
      <c r="D282" s="15" t="s">
        <v>10</v>
      </c>
      <c r="E282" s="14">
        <v>2</v>
      </c>
      <c r="F282" s="16" t="s">
        <v>50</v>
      </c>
      <c r="G282" s="14"/>
      <c r="H282" s="17"/>
      <c r="I282" s="18"/>
    </row>
    <row r="283" spans="2:9" s="1" customFormat="1" x14ac:dyDescent="0.2">
      <c r="B283" s="13" t="str">
        <f t="shared" si="2"/>
        <v>2025-007-3</v>
      </c>
      <c r="C283" s="14">
        <v>2025</v>
      </c>
      <c r="D283" s="15" t="s">
        <v>10</v>
      </c>
      <c r="E283" s="14">
        <v>3</v>
      </c>
      <c r="F283" s="16" t="s">
        <v>47</v>
      </c>
      <c r="G283" s="14"/>
      <c r="H283" s="17"/>
      <c r="I283" s="18"/>
    </row>
    <row r="284" spans="2:9" s="1" customFormat="1" x14ac:dyDescent="0.2">
      <c r="B284" s="13" t="str">
        <f t="shared" si="2"/>
        <v>2025-007-4</v>
      </c>
      <c r="C284" s="14">
        <v>2025</v>
      </c>
      <c r="D284" s="15" t="s">
        <v>10</v>
      </c>
      <c r="E284" s="14">
        <v>4</v>
      </c>
      <c r="F284" s="16" t="s">
        <v>55</v>
      </c>
      <c r="G284" s="14"/>
      <c r="H284" s="17"/>
      <c r="I284" s="18"/>
    </row>
    <row r="285" spans="2:9" s="1" customFormat="1" x14ac:dyDescent="0.2">
      <c r="B285" s="19" t="str">
        <f t="shared" si="2"/>
        <v>2025-007-5</v>
      </c>
      <c r="C285" s="20">
        <v>2025</v>
      </c>
      <c r="D285" s="21" t="s">
        <v>10</v>
      </c>
      <c r="E285" s="20">
        <v>5</v>
      </c>
      <c r="F285" s="22" t="s">
        <v>46</v>
      </c>
      <c r="G285" s="20" t="s">
        <v>3210</v>
      </c>
      <c r="H285" s="23"/>
      <c r="I285" s="24"/>
    </row>
    <row r="286" spans="2:9" s="1" customFormat="1" x14ac:dyDescent="0.2">
      <c r="B286" s="25" t="str">
        <f t="shared" si="2"/>
        <v>2025-008-0</v>
      </c>
      <c r="C286" s="26">
        <v>2025</v>
      </c>
      <c r="D286" s="27" t="s">
        <v>11</v>
      </c>
      <c r="E286" s="26">
        <v>0</v>
      </c>
      <c r="F286" s="28" t="s">
        <v>2610</v>
      </c>
      <c r="G286" s="26"/>
      <c r="H286" s="29"/>
      <c r="I286" s="30"/>
    </row>
    <row r="287" spans="2:9" s="1" customFormat="1" x14ac:dyDescent="0.2">
      <c r="B287" s="13" t="str">
        <f t="shared" si="2"/>
        <v>2025-008-1</v>
      </c>
      <c r="C287" s="14">
        <v>2025</v>
      </c>
      <c r="D287" s="15" t="s">
        <v>11</v>
      </c>
      <c r="E287" s="14">
        <v>1</v>
      </c>
      <c r="F287" s="16" t="s">
        <v>2633</v>
      </c>
      <c r="G287" s="14"/>
      <c r="H287" s="17"/>
      <c r="I287" s="18"/>
    </row>
    <row r="288" spans="2:9" s="1" customFormat="1" ht="27" x14ac:dyDescent="0.2">
      <c r="B288" s="13" t="str">
        <f t="shared" si="2"/>
        <v>2025-008-2</v>
      </c>
      <c r="C288" s="14">
        <v>2025</v>
      </c>
      <c r="D288" s="15" t="s">
        <v>11</v>
      </c>
      <c r="E288" s="14">
        <v>2</v>
      </c>
      <c r="F288" s="16" t="s">
        <v>2677</v>
      </c>
      <c r="G288" s="14"/>
      <c r="H288" s="17"/>
      <c r="I288" s="18"/>
    </row>
    <row r="289" spans="2:9" s="1" customFormat="1" ht="27" x14ac:dyDescent="0.2">
      <c r="B289" s="13" t="str">
        <f t="shared" si="2"/>
        <v>2025-008-3</v>
      </c>
      <c r="C289" s="14">
        <v>2025</v>
      </c>
      <c r="D289" s="15" t="s">
        <v>11</v>
      </c>
      <c r="E289" s="14">
        <v>3</v>
      </c>
      <c r="F289" s="16" t="s">
        <v>2720</v>
      </c>
      <c r="G289" s="14"/>
      <c r="H289" s="17"/>
      <c r="I289" s="18"/>
    </row>
    <row r="290" spans="2:9" s="1" customFormat="1" x14ac:dyDescent="0.2">
      <c r="B290" s="13" t="str">
        <f t="shared" si="2"/>
        <v>2025-008-4</v>
      </c>
      <c r="C290" s="14">
        <v>2025</v>
      </c>
      <c r="D290" s="15" t="s">
        <v>11</v>
      </c>
      <c r="E290" s="14">
        <v>4</v>
      </c>
      <c r="F290" s="16" t="s">
        <v>651</v>
      </c>
      <c r="G290" s="14" t="s">
        <v>3210</v>
      </c>
      <c r="H290" s="17"/>
      <c r="I290" s="18"/>
    </row>
    <row r="291" spans="2:9" s="1" customFormat="1" x14ac:dyDescent="0.2">
      <c r="B291" s="19" t="str">
        <f t="shared" si="2"/>
        <v>2025-008-5</v>
      </c>
      <c r="C291" s="20">
        <v>2025</v>
      </c>
      <c r="D291" s="21" t="s">
        <v>11</v>
      </c>
      <c r="E291" s="20">
        <v>5</v>
      </c>
      <c r="F291" s="22" t="s">
        <v>2802</v>
      </c>
      <c r="G291" s="20"/>
      <c r="H291" s="23"/>
      <c r="I291" s="24"/>
    </row>
    <row r="292" spans="2:9" s="1" customFormat="1" x14ac:dyDescent="0.2">
      <c r="B292" s="25" t="str">
        <f t="shared" si="2"/>
        <v>2025-009-0</v>
      </c>
      <c r="C292" s="26">
        <v>2025</v>
      </c>
      <c r="D292" s="27" t="s">
        <v>12</v>
      </c>
      <c r="E292" s="26">
        <v>0</v>
      </c>
      <c r="F292" s="28" t="s">
        <v>2611</v>
      </c>
      <c r="G292" s="26"/>
      <c r="H292" s="29"/>
      <c r="I292" s="30"/>
    </row>
    <row r="293" spans="2:9" s="1" customFormat="1" x14ac:dyDescent="0.2">
      <c r="B293" s="13" t="str">
        <f t="shared" si="2"/>
        <v>2025-009-1</v>
      </c>
      <c r="C293" s="14">
        <v>2025</v>
      </c>
      <c r="D293" s="15" t="s">
        <v>12</v>
      </c>
      <c r="E293" s="14">
        <v>1</v>
      </c>
      <c r="F293" s="16" t="s">
        <v>2634</v>
      </c>
      <c r="G293" s="14" t="s">
        <v>3210</v>
      </c>
      <c r="H293" s="17"/>
      <c r="I293" s="18"/>
    </row>
    <row r="294" spans="2:9" s="1" customFormat="1" x14ac:dyDescent="0.2">
      <c r="B294" s="13" t="str">
        <f t="shared" si="2"/>
        <v>2025-009-2</v>
      </c>
      <c r="C294" s="14">
        <v>2025</v>
      </c>
      <c r="D294" s="15" t="s">
        <v>12</v>
      </c>
      <c r="E294" s="14">
        <v>2</v>
      </c>
      <c r="F294" s="16" t="s">
        <v>2678</v>
      </c>
      <c r="G294" s="14"/>
      <c r="H294" s="17"/>
      <c r="I294" s="18"/>
    </row>
    <row r="295" spans="2:9" s="1" customFormat="1" x14ac:dyDescent="0.2">
      <c r="B295" s="13" t="str">
        <f t="shared" si="2"/>
        <v>2025-009-3</v>
      </c>
      <c r="C295" s="14">
        <v>2025</v>
      </c>
      <c r="D295" s="15" t="s">
        <v>12</v>
      </c>
      <c r="E295" s="14">
        <v>3</v>
      </c>
      <c r="F295" s="16" t="s">
        <v>2721</v>
      </c>
      <c r="G295" s="14"/>
      <c r="H295" s="17"/>
      <c r="I295" s="18"/>
    </row>
    <row r="296" spans="2:9" s="1" customFormat="1" x14ac:dyDescent="0.2">
      <c r="B296" s="13" t="str">
        <f t="shared" si="2"/>
        <v>2025-009-4</v>
      </c>
      <c r="C296" s="14">
        <v>2025</v>
      </c>
      <c r="D296" s="15" t="s">
        <v>12</v>
      </c>
      <c r="E296" s="14">
        <v>4</v>
      </c>
      <c r="F296" s="16" t="s">
        <v>2761</v>
      </c>
      <c r="G296" s="14"/>
      <c r="H296" s="17"/>
      <c r="I296" s="18"/>
    </row>
    <row r="297" spans="2:9" s="1" customFormat="1" x14ac:dyDescent="0.2">
      <c r="B297" s="19" t="str">
        <f t="shared" si="2"/>
        <v>2025-009-5</v>
      </c>
      <c r="C297" s="20">
        <v>2025</v>
      </c>
      <c r="D297" s="21" t="s">
        <v>12</v>
      </c>
      <c r="E297" s="20">
        <v>5</v>
      </c>
      <c r="F297" s="22" t="s">
        <v>1516</v>
      </c>
      <c r="G297" s="20"/>
      <c r="H297" s="23"/>
      <c r="I297" s="24"/>
    </row>
    <row r="298" spans="2:9" s="1" customFormat="1" ht="67.5" x14ac:dyDescent="0.2">
      <c r="B298" s="25" t="str">
        <f t="shared" si="2"/>
        <v>2025-010-0</v>
      </c>
      <c r="C298" s="26">
        <v>2025</v>
      </c>
      <c r="D298" s="27" t="s">
        <v>13</v>
      </c>
      <c r="E298" s="26">
        <v>0</v>
      </c>
      <c r="F298" s="28" t="s">
        <v>2612</v>
      </c>
      <c r="G298" s="26"/>
      <c r="H298" s="29"/>
      <c r="I298" s="30"/>
    </row>
    <row r="299" spans="2:9" s="1" customFormat="1" x14ac:dyDescent="0.2">
      <c r="B299" s="13" t="str">
        <f t="shared" si="2"/>
        <v>2025-010-1</v>
      </c>
      <c r="C299" s="14">
        <v>2025</v>
      </c>
      <c r="D299" s="15" t="s">
        <v>13</v>
      </c>
      <c r="E299" s="14">
        <v>1</v>
      </c>
      <c r="F299" s="16" t="s">
        <v>45</v>
      </c>
      <c r="G299" s="14"/>
      <c r="H299" s="17"/>
      <c r="I299" s="18"/>
    </row>
    <row r="300" spans="2:9" s="1" customFormat="1" x14ac:dyDescent="0.2">
      <c r="B300" s="13" t="str">
        <f t="shared" si="2"/>
        <v>2025-010-2</v>
      </c>
      <c r="C300" s="14">
        <v>2025</v>
      </c>
      <c r="D300" s="15" t="s">
        <v>13</v>
      </c>
      <c r="E300" s="14">
        <v>2</v>
      </c>
      <c r="F300" s="16" t="s">
        <v>44</v>
      </c>
      <c r="G300" s="14"/>
      <c r="H300" s="17"/>
      <c r="I300" s="18"/>
    </row>
    <row r="301" spans="2:9" s="1" customFormat="1" x14ac:dyDescent="0.2">
      <c r="B301" s="13" t="str">
        <f t="shared" si="2"/>
        <v>2025-010-3</v>
      </c>
      <c r="C301" s="14">
        <v>2025</v>
      </c>
      <c r="D301" s="15" t="s">
        <v>13</v>
      </c>
      <c r="E301" s="14">
        <v>3</v>
      </c>
      <c r="F301" s="16" t="s">
        <v>47</v>
      </c>
      <c r="G301" s="14"/>
      <c r="H301" s="17"/>
      <c r="I301" s="18"/>
    </row>
    <row r="302" spans="2:9" s="1" customFormat="1" x14ac:dyDescent="0.2">
      <c r="B302" s="13" t="str">
        <f t="shared" si="2"/>
        <v>2025-010-4</v>
      </c>
      <c r="C302" s="14">
        <v>2025</v>
      </c>
      <c r="D302" s="15" t="s">
        <v>13</v>
      </c>
      <c r="E302" s="14">
        <v>4</v>
      </c>
      <c r="F302" s="16" t="s">
        <v>55</v>
      </c>
      <c r="G302" s="14"/>
      <c r="H302" s="17"/>
      <c r="I302" s="18"/>
    </row>
    <row r="303" spans="2:9" s="1" customFormat="1" x14ac:dyDescent="0.2">
      <c r="B303" s="19" t="str">
        <f t="shared" si="2"/>
        <v>2025-010-5</v>
      </c>
      <c r="C303" s="20">
        <v>2025</v>
      </c>
      <c r="D303" s="21" t="s">
        <v>13</v>
      </c>
      <c r="E303" s="20">
        <v>5</v>
      </c>
      <c r="F303" s="22" t="s">
        <v>46</v>
      </c>
      <c r="G303" s="20" t="s">
        <v>3210</v>
      </c>
      <c r="H303" s="23"/>
      <c r="I303" s="24"/>
    </row>
    <row r="304" spans="2:9" s="1" customFormat="1" x14ac:dyDescent="0.2">
      <c r="B304" s="25" t="str">
        <f t="shared" si="2"/>
        <v>2025-011-0</v>
      </c>
      <c r="C304" s="26">
        <v>2025</v>
      </c>
      <c r="D304" s="27" t="s">
        <v>14</v>
      </c>
      <c r="E304" s="26">
        <v>0</v>
      </c>
      <c r="F304" s="28" t="s">
        <v>2613</v>
      </c>
      <c r="G304" s="26"/>
      <c r="H304" s="29"/>
      <c r="I304" s="30"/>
    </row>
    <row r="305" spans="2:9" s="1" customFormat="1" x14ac:dyDescent="0.2">
      <c r="B305" s="13" t="str">
        <f t="shared" si="2"/>
        <v>2025-011-1</v>
      </c>
      <c r="C305" s="14">
        <v>2025</v>
      </c>
      <c r="D305" s="15" t="s">
        <v>14</v>
      </c>
      <c r="E305" s="14">
        <v>1</v>
      </c>
      <c r="F305" s="16" t="s">
        <v>2635</v>
      </c>
      <c r="G305" s="14"/>
      <c r="H305" s="17"/>
      <c r="I305" s="18"/>
    </row>
    <row r="306" spans="2:9" s="1" customFormat="1" x14ac:dyDescent="0.2">
      <c r="B306" s="13" t="str">
        <f t="shared" si="2"/>
        <v>2025-011-2</v>
      </c>
      <c r="C306" s="14">
        <v>2025</v>
      </c>
      <c r="D306" s="15" t="s">
        <v>14</v>
      </c>
      <c r="E306" s="14">
        <v>2</v>
      </c>
      <c r="F306" s="16" t="s">
        <v>2679</v>
      </c>
      <c r="G306" s="14"/>
      <c r="H306" s="17"/>
      <c r="I306" s="18"/>
    </row>
    <row r="307" spans="2:9" s="1" customFormat="1" x14ac:dyDescent="0.2">
      <c r="B307" s="13" t="str">
        <f t="shared" si="2"/>
        <v>2025-011-3</v>
      </c>
      <c r="C307" s="14">
        <v>2025</v>
      </c>
      <c r="D307" s="15" t="s">
        <v>14</v>
      </c>
      <c r="E307" s="14">
        <v>3</v>
      </c>
      <c r="F307" s="16" t="s">
        <v>2722</v>
      </c>
      <c r="G307" s="14" t="s">
        <v>3210</v>
      </c>
      <c r="H307" s="17"/>
      <c r="I307" s="18"/>
    </row>
    <row r="308" spans="2:9" s="1" customFormat="1" ht="27" x14ac:dyDescent="0.2">
      <c r="B308" s="13" t="str">
        <f t="shared" si="2"/>
        <v>2025-011-4</v>
      </c>
      <c r="C308" s="14">
        <v>2025</v>
      </c>
      <c r="D308" s="15" t="s">
        <v>14</v>
      </c>
      <c r="E308" s="14">
        <v>4</v>
      </c>
      <c r="F308" s="16" t="s">
        <v>2762</v>
      </c>
      <c r="G308" s="14"/>
      <c r="H308" s="17"/>
      <c r="I308" s="18"/>
    </row>
    <row r="309" spans="2:9" s="1" customFormat="1" x14ac:dyDescent="0.2">
      <c r="B309" s="19" t="str">
        <f t="shared" si="2"/>
        <v>2025-011-5</v>
      </c>
      <c r="C309" s="20">
        <v>2025</v>
      </c>
      <c r="D309" s="21" t="s">
        <v>14</v>
      </c>
      <c r="E309" s="20">
        <v>5</v>
      </c>
      <c r="F309" s="22" t="s">
        <v>2803</v>
      </c>
      <c r="G309" s="20"/>
      <c r="H309" s="23"/>
      <c r="I309" s="24"/>
    </row>
    <row r="310" spans="2:9" s="1" customFormat="1" x14ac:dyDescent="0.2">
      <c r="B310" s="25" t="str">
        <f t="shared" si="2"/>
        <v>2025-012-0</v>
      </c>
      <c r="C310" s="26">
        <v>2025</v>
      </c>
      <c r="D310" s="27" t="s">
        <v>15</v>
      </c>
      <c r="E310" s="26">
        <v>0</v>
      </c>
      <c r="F310" s="28" t="s">
        <v>2614</v>
      </c>
      <c r="G310" s="26"/>
      <c r="H310" s="29"/>
      <c r="I310" s="30"/>
    </row>
    <row r="311" spans="2:9" s="1" customFormat="1" x14ac:dyDescent="0.2">
      <c r="B311" s="13" t="str">
        <f t="shared" si="2"/>
        <v>2025-012-1</v>
      </c>
      <c r="C311" s="14">
        <v>2025</v>
      </c>
      <c r="D311" s="15" t="s">
        <v>15</v>
      </c>
      <c r="E311" s="14">
        <v>1</v>
      </c>
      <c r="F311" s="16" t="s">
        <v>2636</v>
      </c>
      <c r="G311" s="14"/>
      <c r="H311" s="17"/>
      <c r="I311" s="18"/>
    </row>
    <row r="312" spans="2:9" s="1" customFormat="1" ht="27" x14ac:dyDescent="0.2">
      <c r="B312" s="13" t="str">
        <f t="shared" si="2"/>
        <v>2025-012-2</v>
      </c>
      <c r="C312" s="14">
        <v>2025</v>
      </c>
      <c r="D312" s="15" t="s">
        <v>15</v>
      </c>
      <c r="E312" s="14">
        <v>2</v>
      </c>
      <c r="F312" s="16" t="s">
        <v>2680</v>
      </c>
      <c r="G312" s="14"/>
      <c r="H312" s="17"/>
      <c r="I312" s="18"/>
    </row>
    <row r="313" spans="2:9" s="1" customFormat="1" x14ac:dyDescent="0.2">
      <c r="B313" s="13" t="str">
        <f t="shared" si="2"/>
        <v>2025-012-3</v>
      </c>
      <c r="C313" s="14">
        <v>2025</v>
      </c>
      <c r="D313" s="15" t="s">
        <v>15</v>
      </c>
      <c r="E313" s="14">
        <v>3</v>
      </c>
      <c r="F313" s="16" t="s">
        <v>2723</v>
      </c>
      <c r="G313" s="14" t="s">
        <v>3210</v>
      </c>
      <c r="H313" s="17"/>
      <c r="I313" s="18"/>
    </row>
    <row r="314" spans="2:9" s="1" customFormat="1" x14ac:dyDescent="0.2">
      <c r="B314" s="13" t="str">
        <f t="shared" si="2"/>
        <v>2025-012-4</v>
      </c>
      <c r="C314" s="14">
        <v>2025</v>
      </c>
      <c r="D314" s="15" t="s">
        <v>15</v>
      </c>
      <c r="E314" s="14">
        <v>4</v>
      </c>
      <c r="F314" s="16" t="s">
        <v>2151</v>
      </c>
      <c r="G314" s="14"/>
      <c r="H314" s="17"/>
      <c r="I314" s="18"/>
    </row>
    <row r="315" spans="2:9" s="1" customFormat="1" x14ac:dyDescent="0.2">
      <c r="B315" s="19" t="str">
        <f t="shared" si="2"/>
        <v>2025-012-5</v>
      </c>
      <c r="C315" s="20">
        <v>2025</v>
      </c>
      <c r="D315" s="21" t="s">
        <v>15</v>
      </c>
      <c r="E315" s="20">
        <v>5</v>
      </c>
      <c r="F315" s="22" t="s">
        <v>2804</v>
      </c>
      <c r="G315" s="20"/>
      <c r="H315" s="23"/>
      <c r="I315" s="24"/>
    </row>
    <row r="316" spans="2:9" s="1" customFormat="1" x14ac:dyDescent="0.2">
      <c r="B316" s="25" t="str">
        <f t="shared" si="2"/>
        <v>2025-013-0</v>
      </c>
      <c r="C316" s="26">
        <v>2025</v>
      </c>
      <c r="D316" s="27" t="s">
        <v>16</v>
      </c>
      <c r="E316" s="26">
        <v>0</v>
      </c>
      <c r="F316" s="28" t="s">
        <v>2615</v>
      </c>
      <c r="G316" s="26"/>
      <c r="H316" s="29"/>
      <c r="I316" s="30"/>
    </row>
    <row r="317" spans="2:9" s="1" customFormat="1" x14ac:dyDescent="0.2">
      <c r="B317" s="13" t="str">
        <f t="shared" si="2"/>
        <v>2025-013-1</v>
      </c>
      <c r="C317" s="14">
        <v>2025</v>
      </c>
      <c r="D317" s="15" t="s">
        <v>16</v>
      </c>
      <c r="E317" s="14">
        <v>1</v>
      </c>
      <c r="F317" s="16" t="s">
        <v>2637</v>
      </c>
      <c r="G317" s="14"/>
      <c r="H317" s="17"/>
      <c r="I317" s="18"/>
    </row>
    <row r="318" spans="2:9" s="1" customFormat="1" x14ac:dyDescent="0.2">
      <c r="B318" s="13" t="str">
        <f t="shared" si="2"/>
        <v>2025-013-2</v>
      </c>
      <c r="C318" s="14">
        <v>2025</v>
      </c>
      <c r="D318" s="15" t="s">
        <v>16</v>
      </c>
      <c r="E318" s="14">
        <v>2</v>
      </c>
      <c r="F318" s="16" t="s">
        <v>2681</v>
      </c>
      <c r="G318" s="14"/>
      <c r="H318" s="17"/>
      <c r="I318" s="18"/>
    </row>
    <row r="319" spans="2:9" s="1" customFormat="1" x14ac:dyDescent="0.2">
      <c r="B319" s="13" t="str">
        <f t="shared" ref="B319:B382" si="3">C319&amp;"-"&amp;D319&amp;"-"&amp;E319</f>
        <v>2025-013-3</v>
      </c>
      <c r="C319" s="14">
        <v>2025</v>
      </c>
      <c r="D319" s="15" t="s">
        <v>16</v>
      </c>
      <c r="E319" s="14">
        <v>3</v>
      </c>
      <c r="F319" s="16" t="s">
        <v>2724</v>
      </c>
      <c r="G319" s="14"/>
      <c r="H319" s="17"/>
      <c r="I319" s="18"/>
    </row>
    <row r="320" spans="2:9" s="1" customFormat="1" x14ac:dyDescent="0.2">
      <c r="B320" s="13" t="str">
        <f t="shared" si="3"/>
        <v>2025-013-4</v>
      </c>
      <c r="C320" s="14">
        <v>2025</v>
      </c>
      <c r="D320" s="15" t="s">
        <v>16</v>
      </c>
      <c r="E320" s="14">
        <v>4</v>
      </c>
      <c r="F320" s="16" t="s">
        <v>2763</v>
      </c>
      <c r="G320" s="14" t="s">
        <v>3210</v>
      </c>
      <c r="H320" s="17"/>
      <c r="I320" s="18"/>
    </row>
    <row r="321" spans="2:9" s="1" customFormat="1" x14ac:dyDescent="0.2">
      <c r="B321" s="19" t="str">
        <f t="shared" si="3"/>
        <v>2025-013-5</v>
      </c>
      <c r="C321" s="20">
        <v>2025</v>
      </c>
      <c r="D321" s="21" t="s">
        <v>16</v>
      </c>
      <c r="E321" s="20">
        <v>5</v>
      </c>
      <c r="F321" s="22" t="s">
        <v>2805</v>
      </c>
      <c r="G321" s="20"/>
      <c r="H321" s="23"/>
      <c r="I321" s="24"/>
    </row>
    <row r="322" spans="2:9" s="1" customFormat="1" x14ac:dyDescent="0.2">
      <c r="B322" s="25" t="str">
        <f t="shared" si="3"/>
        <v>2025-014-0</v>
      </c>
      <c r="C322" s="26">
        <v>2025</v>
      </c>
      <c r="D322" s="27" t="s">
        <v>17</v>
      </c>
      <c r="E322" s="26">
        <v>0</v>
      </c>
      <c r="F322" s="28" t="s">
        <v>2616</v>
      </c>
      <c r="G322" s="26"/>
      <c r="H322" s="29"/>
      <c r="I322" s="30"/>
    </row>
    <row r="323" spans="2:9" s="1" customFormat="1" x14ac:dyDescent="0.2">
      <c r="B323" s="13" t="str">
        <f t="shared" si="3"/>
        <v>2025-014-1</v>
      </c>
      <c r="C323" s="14">
        <v>2025</v>
      </c>
      <c r="D323" s="15" t="s">
        <v>17</v>
      </c>
      <c r="E323" s="14">
        <v>1</v>
      </c>
      <c r="F323" s="16" t="s">
        <v>2638</v>
      </c>
      <c r="G323" s="14"/>
      <c r="H323" s="17"/>
      <c r="I323" s="18"/>
    </row>
    <row r="324" spans="2:9" s="1" customFormat="1" x14ac:dyDescent="0.2">
      <c r="B324" s="13" t="str">
        <f t="shared" si="3"/>
        <v>2025-014-2</v>
      </c>
      <c r="C324" s="14">
        <v>2025</v>
      </c>
      <c r="D324" s="15" t="s">
        <v>17</v>
      </c>
      <c r="E324" s="14">
        <v>2</v>
      </c>
      <c r="F324" s="16" t="s">
        <v>2682</v>
      </c>
      <c r="G324" s="14" t="s">
        <v>3210</v>
      </c>
      <c r="H324" s="17"/>
      <c r="I324" s="18"/>
    </row>
    <row r="325" spans="2:9" s="1" customFormat="1" x14ac:dyDescent="0.2">
      <c r="B325" s="13" t="str">
        <f t="shared" si="3"/>
        <v>2025-014-3</v>
      </c>
      <c r="C325" s="14">
        <v>2025</v>
      </c>
      <c r="D325" s="15" t="s">
        <v>17</v>
      </c>
      <c r="E325" s="14">
        <v>3</v>
      </c>
      <c r="F325" s="16" t="s">
        <v>2725</v>
      </c>
      <c r="G325" s="14"/>
      <c r="H325" s="17"/>
      <c r="I325" s="18"/>
    </row>
    <row r="326" spans="2:9" s="1" customFormat="1" x14ac:dyDescent="0.2">
      <c r="B326" s="13" t="str">
        <f t="shared" si="3"/>
        <v>2025-014-4</v>
      </c>
      <c r="C326" s="14">
        <v>2025</v>
      </c>
      <c r="D326" s="15" t="s">
        <v>17</v>
      </c>
      <c r="E326" s="14">
        <v>4</v>
      </c>
      <c r="F326" s="16" t="s">
        <v>2764</v>
      </c>
      <c r="G326" s="14"/>
      <c r="H326" s="17"/>
      <c r="I326" s="18"/>
    </row>
    <row r="327" spans="2:9" s="1" customFormat="1" x14ac:dyDescent="0.2">
      <c r="B327" s="19" t="str">
        <f t="shared" si="3"/>
        <v>2025-014-5</v>
      </c>
      <c r="C327" s="20">
        <v>2025</v>
      </c>
      <c r="D327" s="21" t="s">
        <v>17</v>
      </c>
      <c r="E327" s="20">
        <v>5</v>
      </c>
      <c r="F327" s="22" t="s">
        <v>2806</v>
      </c>
      <c r="G327" s="20"/>
      <c r="H327" s="23"/>
      <c r="I327" s="24"/>
    </row>
    <row r="328" spans="2:9" s="1" customFormat="1" x14ac:dyDescent="0.2">
      <c r="B328" s="25" t="str">
        <f t="shared" si="3"/>
        <v>2025-015-0</v>
      </c>
      <c r="C328" s="26">
        <v>2025</v>
      </c>
      <c r="D328" s="27" t="s">
        <v>18</v>
      </c>
      <c r="E328" s="26">
        <v>0</v>
      </c>
      <c r="F328" s="28" t="s">
        <v>2826</v>
      </c>
      <c r="G328" s="26"/>
      <c r="H328" s="29"/>
      <c r="I328" s="30"/>
    </row>
    <row r="329" spans="2:9" s="1" customFormat="1" x14ac:dyDescent="0.2">
      <c r="B329" s="13" t="str">
        <f t="shared" si="3"/>
        <v>2025-015-1</v>
      </c>
      <c r="C329" s="14">
        <v>2025</v>
      </c>
      <c r="D329" s="15" t="s">
        <v>18</v>
      </c>
      <c r="E329" s="14">
        <v>1</v>
      </c>
      <c r="F329" s="16" t="s">
        <v>2639</v>
      </c>
      <c r="G329" s="14"/>
      <c r="H329" s="17"/>
      <c r="I329" s="18"/>
    </row>
    <row r="330" spans="2:9" s="1" customFormat="1" ht="27" x14ac:dyDescent="0.2">
      <c r="B330" s="13" t="str">
        <f t="shared" si="3"/>
        <v>2025-015-2</v>
      </c>
      <c r="C330" s="14">
        <v>2025</v>
      </c>
      <c r="D330" s="15" t="s">
        <v>18</v>
      </c>
      <c r="E330" s="14">
        <v>2</v>
      </c>
      <c r="F330" s="16" t="s">
        <v>2683</v>
      </c>
      <c r="G330" s="14"/>
      <c r="H330" s="17"/>
      <c r="I330" s="18"/>
    </row>
    <row r="331" spans="2:9" s="1" customFormat="1" x14ac:dyDescent="0.2">
      <c r="B331" s="13" t="str">
        <f t="shared" si="3"/>
        <v>2025-015-3</v>
      </c>
      <c r="C331" s="14">
        <v>2025</v>
      </c>
      <c r="D331" s="15" t="s">
        <v>18</v>
      </c>
      <c r="E331" s="14">
        <v>3</v>
      </c>
      <c r="F331" s="16" t="s">
        <v>2726</v>
      </c>
      <c r="G331" s="14"/>
      <c r="H331" s="17"/>
      <c r="I331" s="18"/>
    </row>
    <row r="332" spans="2:9" s="1" customFormat="1" x14ac:dyDescent="0.2">
      <c r="B332" s="13" t="str">
        <f t="shared" si="3"/>
        <v>2025-015-4</v>
      </c>
      <c r="C332" s="14">
        <v>2025</v>
      </c>
      <c r="D332" s="15" t="s">
        <v>18</v>
      </c>
      <c r="E332" s="14">
        <v>4</v>
      </c>
      <c r="F332" s="16" t="s">
        <v>2765</v>
      </c>
      <c r="G332" s="14" t="s">
        <v>3210</v>
      </c>
      <c r="H332" s="17"/>
      <c r="I332" s="18"/>
    </row>
    <row r="333" spans="2:9" s="1" customFormat="1" x14ac:dyDescent="0.2">
      <c r="B333" s="19" t="str">
        <f t="shared" si="3"/>
        <v>2025-015-5</v>
      </c>
      <c r="C333" s="20">
        <v>2025</v>
      </c>
      <c r="D333" s="21" t="s">
        <v>18</v>
      </c>
      <c r="E333" s="20">
        <v>5</v>
      </c>
      <c r="F333" s="22" t="s">
        <v>2807</v>
      </c>
      <c r="G333" s="20"/>
      <c r="H333" s="23"/>
      <c r="I333" s="24"/>
    </row>
    <row r="334" spans="2:9" s="1" customFormat="1" x14ac:dyDescent="0.2">
      <c r="B334" s="25" t="str">
        <f t="shared" si="3"/>
        <v>2025-016-0</v>
      </c>
      <c r="C334" s="26">
        <v>2025</v>
      </c>
      <c r="D334" s="27" t="s">
        <v>19</v>
      </c>
      <c r="E334" s="26">
        <v>0</v>
      </c>
      <c r="F334" s="28" t="s">
        <v>2588</v>
      </c>
      <c r="G334" s="26"/>
      <c r="H334" s="29"/>
      <c r="I334" s="30"/>
    </row>
    <row r="335" spans="2:9" s="1" customFormat="1" x14ac:dyDescent="0.2">
      <c r="B335" s="13" t="str">
        <f t="shared" si="3"/>
        <v>2025-016-1</v>
      </c>
      <c r="C335" s="14">
        <v>2025</v>
      </c>
      <c r="D335" s="15" t="s">
        <v>19</v>
      </c>
      <c r="E335" s="14">
        <v>1</v>
      </c>
      <c r="F335" s="16" t="s">
        <v>2640</v>
      </c>
      <c r="G335" s="14"/>
      <c r="H335" s="17"/>
      <c r="I335" s="18"/>
    </row>
    <row r="336" spans="2:9" s="1" customFormat="1" x14ac:dyDescent="0.2">
      <c r="B336" s="13" t="str">
        <f t="shared" si="3"/>
        <v>2025-016-2</v>
      </c>
      <c r="C336" s="14">
        <v>2025</v>
      </c>
      <c r="D336" s="15" t="s">
        <v>19</v>
      </c>
      <c r="E336" s="14">
        <v>2</v>
      </c>
      <c r="F336" s="16" t="s">
        <v>2684</v>
      </c>
      <c r="G336" s="14"/>
      <c r="H336" s="17"/>
      <c r="I336" s="18"/>
    </row>
    <row r="337" spans="2:9" s="1" customFormat="1" x14ac:dyDescent="0.2">
      <c r="B337" s="13" t="str">
        <f t="shared" si="3"/>
        <v>2025-016-3</v>
      </c>
      <c r="C337" s="14">
        <v>2025</v>
      </c>
      <c r="D337" s="15" t="s">
        <v>19</v>
      </c>
      <c r="E337" s="14">
        <v>3</v>
      </c>
      <c r="F337" s="16" t="s">
        <v>2727</v>
      </c>
      <c r="G337" s="14" t="s">
        <v>3210</v>
      </c>
      <c r="H337" s="17"/>
      <c r="I337" s="18"/>
    </row>
    <row r="338" spans="2:9" s="1" customFormat="1" x14ac:dyDescent="0.2">
      <c r="B338" s="13" t="str">
        <f t="shared" si="3"/>
        <v>2025-016-4</v>
      </c>
      <c r="C338" s="14">
        <v>2025</v>
      </c>
      <c r="D338" s="15" t="s">
        <v>19</v>
      </c>
      <c r="E338" s="14">
        <v>4</v>
      </c>
      <c r="F338" s="16" t="s">
        <v>2766</v>
      </c>
      <c r="G338" s="14"/>
      <c r="H338" s="17"/>
      <c r="I338" s="18"/>
    </row>
    <row r="339" spans="2:9" s="1" customFormat="1" x14ac:dyDescent="0.2">
      <c r="B339" s="19" t="str">
        <f t="shared" si="3"/>
        <v>2025-016-5</v>
      </c>
      <c r="C339" s="20">
        <v>2025</v>
      </c>
      <c r="D339" s="21" t="s">
        <v>19</v>
      </c>
      <c r="E339" s="20">
        <v>5</v>
      </c>
      <c r="F339" s="22" t="s">
        <v>2808</v>
      </c>
      <c r="G339" s="20"/>
      <c r="H339" s="23"/>
      <c r="I339" s="24"/>
    </row>
    <row r="340" spans="2:9" s="1" customFormat="1" x14ac:dyDescent="0.2">
      <c r="B340" s="25" t="str">
        <f t="shared" si="3"/>
        <v>2025-017-0</v>
      </c>
      <c r="C340" s="26">
        <v>2025</v>
      </c>
      <c r="D340" s="27" t="s">
        <v>20</v>
      </c>
      <c r="E340" s="26">
        <v>0</v>
      </c>
      <c r="F340" s="28" t="s">
        <v>2827</v>
      </c>
      <c r="G340" s="26"/>
      <c r="H340" s="29"/>
      <c r="I340" s="30"/>
    </row>
    <row r="341" spans="2:9" s="1" customFormat="1" x14ac:dyDescent="0.2">
      <c r="B341" s="13" t="str">
        <f t="shared" si="3"/>
        <v>2025-017-1</v>
      </c>
      <c r="C341" s="14">
        <v>2025</v>
      </c>
      <c r="D341" s="15" t="s">
        <v>20</v>
      </c>
      <c r="E341" s="14">
        <v>1</v>
      </c>
      <c r="F341" s="16" t="s">
        <v>2641</v>
      </c>
      <c r="G341" s="14" t="s">
        <v>3210</v>
      </c>
      <c r="H341" s="17"/>
      <c r="I341" s="18"/>
    </row>
    <row r="342" spans="2:9" s="1" customFormat="1" x14ac:dyDescent="0.2">
      <c r="B342" s="13" t="str">
        <f t="shared" si="3"/>
        <v>2025-017-2</v>
      </c>
      <c r="C342" s="14">
        <v>2025</v>
      </c>
      <c r="D342" s="15" t="s">
        <v>20</v>
      </c>
      <c r="E342" s="14">
        <v>2</v>
      </c>
      <c r="F342" s="16" t="s">
        <v>2685</v>
      </c>
      <c r="G342" s="14"/>
      <c r="H342" s="17"/>
      <c r="I342" s="18"/>
    </row>
    <row r="343" spans="2:9" s="1" customFormat="1" x14ac:dyDescent="0.2">
      <c r="B343" s="13" t="str">
        <f t="shared" si="3"/>
        <v>2025-017-3</v>
      </c>
      <c r="C343" s="14">
        <v>2025</v>
      </c>
      <c r="D343" s="15" t="s">
        <v>20</v>
      </c>
      <c r="E343" s="14">
        <v>3</v>
      </c>
      <c r="F343" s="16" t="s">
        <v>2728</v>
      </c>
      <c r="G343" s="14"/>
      <c r="H343" s="17"/>
      <c r="I343" s="18"/>
    </row>
    <row r="344" spans="2:9" s="1" customFormat="1" x14ac:dyDescent="0.2">
      <c r="B344" s="13" t="str">
        <f t="shared" si="3"/>
        <v>2025-017-4</v>
      </c>
      <c r="C344" s="14">
        <v>2025</v>
      </c>
      <c r="D344" s="15" t="s">
        <v>20</v>
      </c>
      <c r="E344" s="14">
        <v>4</v>
      </c>
      <c r="F344" s="16" t="s">
        <v>2767</v>
      </c>
      <c r="G344" s="14"/>
      <c r="H344" s="17"/>
      <c r="I344" s="18"/>
    </row>
    <row r="345" spans="2:9" s="1" customFormat="1" x14ac:dyDescent="0.2">
      <c r="B345" s="19" t="str">
        <f t="shared" si="3"/>
        <v>2025-017-5</v>
      </c>
      <c r="C345" s="20">
        <v>2025</v>
      </c>
      <c r="D345" s="21" t="s">
        <v>20</v>
      </c>
      <c r="E345" s="20">
        <v>5</v>
      </c>
      <c r="F345" s="22" t="s">
        <v>2809</v>
      </c>
      <c r="G345" s="20"/>
      <c r="H345" s="23"/>
      <c r="I345" s="24"/>
    </row>
    <row r="346" spans="2:9" s="1" customFormat="1" x14ac:dyDescent="0.2">
      <c r="B346" s="25" t="str">
        <f t="shared" si="3"/>
        <v>2025-018-0</v>
      </c>
      <c r="C346" s="26">
        <v>2025</v>
      </c>
      <c r="D346" s="27" t="s">
        <v>21</v>
      </c>
      <c r="E346" s="26">
        <v>0</v>
      </c>
      <c r="F346" s="28" t="s">
        <v>2828</v>
      </c>
      <c r="G346" s="26"/>
      <c r="H346" s="29"/>
      <c r="I346" s="30"/>
    </row>
    <row r="347" spans="2:9" s="1" customFormat="1" x14ac:dyDescent="0.2">
      <c r="B347" s="13" t="str">
        <f t="shared" si="3"/>
        <v>2025-018-1</v>
      </c>
      <c r="C347" s="14">
        <v>2025</v>
      </c>
      <c r="D347" s="15" t="s">
        <v>21</v>
      </c>
      <c r="E347" s="14">
        <v>1</v>
      </c>
      <c r="F347" s="16" t="s">
        <v>2642</v>
      </c>
      <c r="G347" s="14"/>
      <c r="H347" s="17"/>
      <c r="I347" s="18"/>
    </row>
    <row r="348" spans="2:9" s="1" customFormat="1" x14ac:dyDescent="0.2">
      <c r="B348" s="13" t="str">
        <f t="shared" si="3"/>
        <v>2025-018-2</v>
      </c>
      <c r="C348" s="14">
        <v>2025</v>
      </c>
      <c r="D348" s="15" t="s">
        <v>21</v>
      </c>
      <c r="E348" s="14">
        <v>2</v>
      </c>
      <c r="F348" s="16" t="s">
        <v>2686</v>
      </c>
      <c r="G348" s="14"/>
      <c r="H348" s="17"/>
      <c r="I348" s="18"/>
    </row>
    <row r="349" spans="2:9" s="1" customFormat="1" ht="27" x14ac:dyDescent="0.2">
      <c r="B349" s="13" t="str">
        <f t="shared" si="3"/>
        <v>2025-018-3</v>
      </c>
      <c r="C349" s="14">
        <v>2025</v>
      </c>
      <c r="D349" s="15" t="s">
        <v>21</v>
      </c>
      <c r="E349" s="14">
        <v>3</v>
      </c>
      <c r="F349" s="16" t="s">
        <v>2729</v>
      </c>
      <c r="G349" s="14"/>
      <c r="H349" s="17"/>
      <c r="I349" s="18"/>
    </row>
    <row r="350" spans="2:9" s="1" customFormat="1" x14ac:dyDescent="0.2">
      <c r="B350" s="13" t="str">
        <f t="shared" si="3"/>
        <v>2025-018-4</v>
      </c>
      <c r="C350" s="14">
        <v>2025</v>
      </c>
      <c r="D350" s="15" t="s">
        <v>21</v>
      </c>
      <c r="E350" s="14">
        <v>4</v>
      </c>
      <c r="F350" s="16" t="s">
        <v>2768</v>
      </c>
      <c r="G350" s="14" t="s">
        <v>3210</v>
      </c>
      <c r="H350" s="17"/>
      <c r="I350" s="18"/>
    </row>
    <row r="351" spans="2:9" s="1" customFormat="1" ht="27" x14ac:dyDescent="0.2">
      <c r="B351" s="19" t="str">
        <f t="shared" si="3"/>
        <v>2025-018-5</v>
      </c>
      <c r="C351" s="20">
        <v>2025</v>
      </c>
      <c r="D351" s="21" t="s">
        <v>21</v>
      </c>
      <c r="E351" s="20">
        <v>5</v>
      </c>
      <c r="F351" s="22" t="s">
        <v>2810</v>
      </c>
      <c r="G351" s="20"/>
      <c r="H351" s="23"/>
      <c r="I351" s="24"/>
    </row>
    <row r="352" spans="2:9" s="1" customFormat="1" x14ac:dyDescent="0.2">
      <c r="B352" s="25" t="str">
        <f t="shared" si="3"/>
        <v>2025-019-0</v>
      </c>
      <c r="C352" s="26">
        <v>2025</v>
      </c>
      <c r="D352" s="27" t="s">
        <v>22</v>
      </c>
      <c r="E352" s="26">
        <v>0</v>
      </c>
      <c r="F352" s="28" t="s">
        <v>2585</v>
      </c>
      <c r="G352" s="26"/>
      <c r="H352" s="29"/>
      <c r="I352" s="30"/>
    </row>
    <row r="353" spans="2:9" s="1" customFormat="1" x14ac:dyDescent="0.2">
      <c r="B353" s="13" t="str">
        <f t="shared" si="3"/>
        <v>2025-019-1</v>
      </c>
      <c r="C353" s="14">
        <v>2025</v>
      </c>
      <c r="D353" s="15" t="s">
        <v>22</v>
      </c>
      <c r="E353" s="14">
        <v>1</v>
      </c>
      <c r="F353" s="16" t="s">
        <v>2643</v>
      </c>
      <c r="G353" s="14"/>
      <c r="H353" s="17"/>
      <c r="I353" s="18"/>
    </row>
    <row r="354" spans="2:9" s="1" customFormat="1" ht="27" x14ac:dyDescent="0.2">
      <c r="B354" s="13" t="str">
        <f t="shared" si="3"/>
        <v>2025-019-2</v>
      </c>
      <c r="C354" s="14">
        <v>2025</v>
      </c>
      <c r="D354" s="15" t="s">
        <v>22</v>
      </c>
      <c r="E354" s="14">
        <v>2</v>
      </c>
      <c r="F354" s="16" t="s">
        <v>2687</v>
      </c>
      <c r="G354" s="14" t="s">
        <v>3210</v>
      </c>
      <c r="H354" s="17"/>
      <c r="I354" s="18"/>
    </row>
    <row r="355" spans="2:9" s="1" customFormat="1" x14ac:dyDescent="0.2">
      <c r="B355" s="13" t="str">
        <f t="shared" si="3"/>
        <v>2025-019-3</v>
      </c>
      <c r="C355" s="14">
        <v>2025</v>
      </c>
      <c r="D355" s="15" t="s">
        <v>22</v>
      </c>
      <c r="E355" s="14">
        <v>3</v>
      </c>
      <c r="F355" s="16" t="s">
        <v>2730</v>
      </c>
      <c r="G355" s="14"/>
      <c r="H355" s="17"/>
      <c r="I355" s="18"/>
    </row>
    <row r="356" spans="2:9" s="1" customFormat="1" x14ac:dyDescent="0.2">
      <c r="B356" s="13" t="str">
        <f t="shared" si="3"/>
        <v>2025-019-4</v>
      </c>
      <c r="C356" s="14">
        <v>2025</v>
      </c>
      <c r="D356" s="15" t="s">
        <v>22</v>
      </c>
      <c r="E356" s="14">
        <v>4</v>
      </c>
      <c r="F356" s="16" t="s">
        <v>2769</v>
      </c>
      <c r="G356" s="14"/>
      <c r="H356" s="17"/>
      <c r="I356" s="18"/>
    </row>
    <row r="357" spans="2:9" s="1" customFormat="1" x14ac:dyDescent="0.2">
      <c r="B357" s="19" t="str">
        <f t="shared" si="3"/>
        <v>2025-019-5</v>
      </c>
      <c r="C357" s="20">
        <v>2025</v>
      </c>
      <c r="D357" s="21" t="s">
        <v>22</v>
      </c>
      <c r="E357" s="20">
        <v>5</v>
      </c>
      <c r="F357" s="22" t="s">
        <v>2811</v>
      </c>
      <c r="G357" s="20"/>
      <c r="H357" s="23"/>
      <c r="I357" s="24"/>
    </row>
    <row r="358" spans="2:9" s="1" customFormat="1" ht="81" x14ac:dyDescent="0.2">
      <c r="B358" s="25" t="str">
        <f t="shared" si="3"/>
        <v>2025-020-0</v>
      </c>
      <c r="C358" s="26">
        <v>2025</v>
      </c>
      <c r="D358" s="27" t="s">
        <v>23</v>
      </c>
      <c r="E358" s="26">
        <v>0</v>
      </c>
      <c r="F358" s="28" t="s">
        <v>2829</v>
      </c>
      <c r="G358" s="26"/>
      <c r="H358" s="29"/>
      <c r="I358" s="30"/>
    </row>
    <row r="359" spans="2:9" s="1" customFormat="1" x14ac:dyDescent="0.2">
      <c r="B359" s="13" t="str">
        <f t="shared" si="3"/>
        <v>2025-020-1</v>
      </c>
      <c r="C359" s="14">
        <v>2025</v>
      </c>
      <c r="D359" s="15" t="s">
        <v>23</v>
      </c>
      <c r="E359" s="14">
        <v>1</v>
      </c>
      <c r="F359" s="16" t="s">
        <v>45</v>
      </c>
      <c r="G359" s="14"/>
      <c r="H359" s="17"/>
      <c r="I359" s="18"/>
    </row>
    <row r="360" spans="2:9" s="1" customFormat="1" x14ac:dyDescent="0.2">
      <c r="B360" s="13" t="str">
        <f t="shared" si="3"/>
        <v>2025-020-2</v>
      </c>
      <c r="C360" s="14">
        <v>2025</v>
      </c>
      <c r="D360" s="15" t="s">
        <v>23</v>
      </c>
      <c r="E360" s="14">
        <v>2</v>
      </c>
      <c r="F360" s="16" t="s">
        <v>50</v>
      </c>
      <c r="G360" s="14"/>
      <c r="H360" s="17"/>
      <c r="I360" s="18"/>
    </row>
    <row r="361" spans="2:9" s="1" customFormat="1" x14ac:dyDescent="0.2">
      <c r="B361" s="13" t="str">
        <f t="shared" si="3"/>
        <v>2025-020-3</v>
      </c>
      <c r="C361" s="14">
        <v>2025</v>
      </c>
      <c r="D361" s="15" t="s">
        <v>23</v>
      </c>
      <c r="E361" s="14">
        <v>3</v>
      </c>
      <c r="F361" s="16" t="s">
        <v>47</v>
      </c>
      <c r="G361" s="14" t="s">
        <v>3210</v>
      </c>
      <c r="H361" s="17"/>
      <c r="I361" s="18"/>
    </row>
    <row r="362" spans="2:9" s="1" customFormat="1" x14ac:dyDescent="0.2">
      <c r="B362" s="13" t="str">
        <f t="shared" si="3"/>
        <v>2025-020-4</v>
      </c>
      <c r="C362" s="14">
        <v>2025</v>
      </c>
      <c r="D362" s="15" t="s">
        <v>23</v>
      </c>
      <c r="E362" s="14">
        <v>4</v>
      </c>
      <c r="F362" s="16" t="s">
        <v>55</v>
      </c>
      <c r="G362" s="14"/>
      <c r="H362" s="17"/>
      <c r="I362" s="18"/>
    </row>
    <row r="363" spans="2:9" s="1" customFormat="1" x14ac:dyDescent="0.2">
      <c r="B363" s="19" t="str">
        <f t="shared" si="3"/>
        <v>2025-020-5</v>
      </c>
      <c r="C363" s="20">
        <v>2025</v>
      </c>
      <c r="D363" s="21" t="s">
        <v>23</v>
      </c>
      <c r="E363" s="20">
        <v>5</v>
      </c>
      <c r="F363" s="22" t="s">
        <v>46</v>
      </c>
      <c r="G363" s="20"/>
      <c r="H363" s="23"/>
      <c r="I363" s="24"/>
    </row>
    <row r="364" spans="2:9" s="1" customFormat="1" x14ac:dyDescent="0.2">
      <c r="B364" s="25" t="str">
        <f t="shared" si="3"/>
        <v>2025-021-0</v>
      </c>
      <c r="C364" s="26">
        <v>2025</v>
      </c>
      <c r="D364" s="27" t="s">
        <v>24</v>
      </c>
      <c r="E364" s="26">
        <v>0</v>
      </c>
      <c r="F364" s="28" t="s">
        <v>2830</v>
      </c>
      <c r="G364" s="26"/>
      <c r="H364" s="29"/>
      <c r="I364" s="30"/>
    </row>
    <row r="365" spans="2:9" s="1" customFormat="1" ht="27" x14ac:dyDescent="0.2">
      <c r="B365" s="13" t="str">
        <f t="shared" si="3"/>
        <v>2025-021-1</v>
      </c>
      <c r="C365" s="14">
        <v>2025</v>
      </c>
      <c r="D365" s="15" t="s">
        <v>24</v>
      </c>
      <c r="E365" s="14">
        <v>1</v>
      </c>
      <c r="F365" s="16" t="s">
        <v>2644</v>
      </c>
      <c r="G365" s="14" t="s">
        <v>3210</v>
      </c>
      <c r="H365" s="17"/>
      <c r="I365" s="18"/>
    </row>
    <row r="366" spans="2:9" s="1" customFormat="1" x14ac:dyDescent="0.2">
      <c r="B366" s="13" t="str">
        <f t="shared" si="3"/>
        <v>2025-021-2</v>
      </c>
      <c r="C366" s="14">
        <v>2025</v>
      </c>
      <c r="D366" s="15" t="s">
        <v>24</v>
      </c>
      <c r="E366" s="14">
        <v>2</v>
      </c>
      <c r="F366" s="16" t="s">
        <v>2688</v>
      </c>
      <c r="G366" s="14"/>
      <c r="H366" s="17"/>
      <c r="I366" s="18"/>
    </row>
    <row r="367" spans="2:9" s="1" customFormat="1" ht="27" x14ac:dyDescent="0.2">
      <c r="B367" s="13" t="str">
        <f t="shared" si="3"/>
        <v>2025-021-3</v>
      </c>
      <c r="C367" s="14">
        <v>2025</v>
      </c>
      <c r="D367" s="15" t="s">
        <v>24</v>
      </c>
      <c r="E367" s="14">
        <v>3</v>
      </c>
      <c r="F367" s="16" t="s">
        <v>2731</v>
      </c>
      <c r="G367" s="14"/>
      <c r="H367" s="17"/>
      <c r="I367" s="18"/>
    </row>
    <row r="368" spans="2:9" s="1" customFormat="1" x14ac:dyDescent="0.2">
      <c r="B368" s="13" t="str">
        <f t="shared" si="3"/>
        <v>2025-021-4</v>
      </c>
      <c r="C368" s="14">
        <v>2025</v>
      </c>
      <c r="D368" s="15" t="s">
        <v>24</v>
      </c>
      <c r="E368" s="14">
        <v>4</v>
      </c>
      <c r="F368" s="16" t="s">
        <v>2770</v>
      </c>
      <c r="G368" s="14"/>
      <c r="H368" s="17"/>
      <c r="I368" s="18"/>
    </row>
    <row r="369" spans="2:9" s="1" customFormat="1" x14ac:dyDescent="0.2">
      <c r="B369" s="19" t="str">
        <f t="shared" si="3"/>
        <v>2025-021-5</v>
      </c>
      <c r="C369" s="20">
        <v>2025</v>
      </c>
      <c r="D369" s="21" t="s">
        <v>24</v>
      </c>
      <c r="E369" s="20">
        <v>5</v>
      </c>
      <c r="F369" s="22" t="s">
        <v>2812</v>
      </c>
      <c r="G369" s="20"/>
      <c r="H369" s="23"/>
      <c r="I369" s="24"/>
    </row>
    <row r="370" spans="2:9" s="1" customFormat="1" x14ac:dyDescent="0.2">
      <c r="B370" s="25" t="str">
        <f t="shared" si="3"/>
        <v>2025-022-0</v>
      </c>
      <c r="C370" s="26">
        <v>2025</v>
      </c>
      <c r="D370" s="27" t="s">
        <v>25</v>
      </c>
      <c r="E370" s="26">
        <v>0</v>
      </c>
      <c r="F370" s="28" t="s">
        <v>2831</v>
      </c>
      <c r="G370" s="26"/>
      <c r="H370" s="29"/>
      <c r="I370" s="30"/>
    </row>
    <row r="371" spans="2:9" s="1" customFormat="1" x14ac:dyDescent="0.2">
      <c r="B371" s="13" t="str">
        <f t="shared" si="3"/>
        <v>2025-022-1</v>
      </c>
      <c r="C371" s="14">
        <v>2025</v>
      </c>
      <c r="D371" s="15" t="s">
        <v>25</v>
      </c>
      <c r="E371" s="14">
        <v>1</v>
      </c>
      <c r="F371" s="16" t="s">
        <v>2645</v>
      </c>
      <c r="G371" s="14"/>
      <c r="H371" s="17"/>
      <c r="I371" s="18"/>
    </row>
    <row r="372" spans="2:9" s="1" customFormat="1" x14ac:dyDescent="0.2">
      <c r="B372" s="13" t="str">
        <f t="shared" si="3"/>
        <v>2025-022-2</v>
      </c>
      <c r="C372" s="14">
        <v>2025</v>
      </c>
      <c r="D372" s="15" t="s">
        <v>25</v>
      </c>
      <c r="E372" s="14">
        <v>2</v>
      </c>
      <c r="F372" s="16" t="s">
        <v>2689</v>
      </c>
      <c r="G372" s="14"/>
      <c r="H372" s="17"/>
      <c r="I372" s="18"/>
    </row>
    <row r="373" spans="2:9" s="1" customFormat="1" x14ac:dyDescent="0.2">
      <c r="B373" s="13" t="str">
        <f t="shared" si="3"/>
        <v>2025-022-3</v>
      </c>
      <c r="C373" s="14">
        <v>2025</v>
      </c>
      <c r="D373" s="15" t="s">
        <v>25</v>
      </c>
      <c r="E373" s="14">
        <v>3</v>
      </c>
      <c r="F373" s="16" t="s">
        <v>2732</v>
      </c>
      <c r="G373" s="14"/>
      <c r="H373" s="17"/>
      <c r="I373" s="18"/>
    </row>
    <row r="374" spans="2:9" s="1" customFormat="1" ht="27" x14ac:dyDescent="0.2">
      <c r="B374" s="13" t="str">
        <f t="shared" si="3"/>
        <v>2025-022-4</v>
      </c>
      <c r="C374" s="14">
        <v>2025</v>
      </c>
      <c r="D374" s="15" t="s">
        <v>25</v>
      </c>
      <c r="E374" s="14">
        <v>4</v>
      </c>
      <c r="F374" s="16" t="s">
        <v>2771</v>
      </c>
      <c r="G374" s="14" t="s">
        <v>3210</v>
      </c>
      <c r="H374" s="17"/>
      <c r="I374" s="18"/>
    </row>
    <row r="375" spans="2:9" s="1" customFormat="1" ht="27" x14ac:dyDescent="0.2">
      <c r="B375" s="19" t="str">
        <f t="shared" si="3"/>
        <v>2025-022-5</v>
      </c>
      <c r="C375" s="20">
        <v>2025</v>
      </c>
      <c r="D375" s="21" t="s">
        <v>25</v>
      </c>
      <c r="E375" s="20">
        <v>5</v>
      </c>
      <c r="F375" s="22" t="s">
        <v>2813</v>
      </c>
      <c r="G375" s="20"/>
      <c r="H375" s="23"/>
      <c r="I375" s="24"/>
    </row>
    <row r="376" spans="2:9" s="1" customFormat="1" x14ac:dyDescent="0.2">
      <c r="B376" s="25" t="str">
        <f t="shared" si="3"/>
        <v>2025-023-0</v>
      </c>
      <c r="C376" s="26">
        <v>2025</v>
      </c>
      <c r="D376" s="27" t="s">
        <v>26</v>
      </c>
      <c r="E376" s="26">
        <v>0</v>
      </c>
      <c r="F376" s="28" t="s">
        <v>2832</v>
      </c>
      <c r="G376" s="26"/>
      <c r="H376" s="29"/>
      <c r="I376" s="30"/>
    </row>
    <row r="377" spans="2:9" s="1" customFormat="1" x14ac:dyDescent="0.2">
      <c r="B377" s="13" t="str">
        <f t="shared" si="3"/>
        <v>2025-023-1</v>
      </c>
      <c r="C377" s="14">
        <v>2025</v>
      </c>
      <c r="D377" s="15" t="s">
        <v>26</v>
      </c>
      <c r="E377" s="14">
        <v>1</v>
      </c>
      <c r="F377" s="16" t="s">
        <v>2646</v>
      </c>
      <c r="G377" s="14"/>
      <c r="H377" s="17"/>
      <c r="I377" s="18"/>
    </row>
    <row r="378" spans="2:9" s="1" customFormat="1" ht="27" x14ac:dyDescent="0.2">
      <c r="B378" s="13" t="str">
        <f t="shared" si="3"/>
        <v>2025-023-2</v>
      </c>
      <c r="C378" s="14">
        <v>2025</v>
      </c>
      <c r="D378" s="15" t="s">
        <v>26</v>
      </c>
      <c r="E378" s="14">
        <v>2</v>
      </c>
      <c r="F378" s="16" t="s">
        <v>2690</v>
      </c>
      <c r="G378" s="14" t="s">
        <v>3210</v>
      </c>
      <c r="H378" s="17"/>
      <c r="I378" s="18"/>
    </row>
    <row r="379" spans="2:9" s="1" customFormat="1" x14ac:dyDescent="0.2">
      <c r="B379" s="13" t="str">
        <f t="shared" si="3"/>
        <v>2025-023-3</v>
      </c>
      <c r="C379" s="14">
        <v>2025</v>
      </c>
      <c r="D379" s="15" t="s">
        <v>26</v>
      </c>
      <c r="E379" s="14">
        <v>3</v>
      </c>
      <c r="F379" s="16" t="s">
        <v>2733</v>
      </c>
      <c r="G379" s="14"/>
      <c r="H379" s="17"/>
      <c r="I379" s="18"/>
    </row>
    <row r="380" spans="2:9" s="1" customFormat="1" ht="27" x14ac:dyDescent="0.2">
      <c r="B380" s="13" t="str">
        <f t="shared" si="3"/>
        <v>2025-023-4</v>
      </c>
      <c r="C380" s="14">
        <v>2025</v>
      </c>
      <c r="D380" s="15" t="s">
        <v>26</v>
      </c>
      <c r="E380" s="14">
        <v>4</v>
      </c>
      <c r="F380" s="16" t="s">
        <v>2772</v>
      </c>
      <c r="G380" s="14"/>
      <c r="H380" s="17"/>
      <c r="I380" s="18"/>
    </row>
    <row r="381" spans="2:9" s="1" customFormat="1" x14ac:dyDescent="0.2">
      <c r="B381" s="19" t="str">
        <f t="shared" si="3"/>
        <v>2025-023-5</v>
      </c>
      <c r="C381" s="20">
        <v>2025</v>
      </c>
      <c r="D381" s="21" t="s">
        <v>26</v>
      </c>
      <c r="E381" s="20">
        <v>5</v>
      </c>
      <c r="F381" s="22" t="s">
        <v>2814</v>
      </c>
      <c r="G381" s="20"/>
      <c r="H381" s="23"/>
      <c r="I381" s="24"/>
    </row>
    <row r="382" spans="2:9" s="1" customFormat="1" x14ac:dyDescent="0.2">
      <c r="B382" s="25" t="str">
        <f t="shared" si="3"/>
        <v>2025-024-0</v>
      </c>
      <c r="C382" s="26">
        <v>2025</v>
      </c>
      <c r="D382" s="27" t="s">
        <v>27</v>
      </c>
      <c r="E382" s="26">
        <v>0</v>
      </c>
      <c r="F382" s="28" t="s">
        <v>2833</v>
      </c>
      <c r="G382" s="26"/>
      <c r="H382" s="29"/>
      <c r="I382" s="30"/>
    </row>
    <row r="383" spans="2:9" s="1" customFormat="1" x14ac:dyDescent="0.2">
      <c r="B383" s="13" t="str">
        <f t="shared" ref="B383:B446" si="4">C383&amp;"-"&amp;D383&amp;"-"&amp;E383</f>
        <v>2025-024-1</v>
      </c>
      <c r="C383" s="14">
        <v>2025</v>
      </c>
      <c r="D383" s="15" t="s">
        <v>27</v>
      </c>
      <c r="E383" s="14">
        <v>1</v>
      </c>
      <c r="F383" s="16" t="s">
        <v>2647</v>
      </c>
      <c r="G383" s="14"/>
      <c r="H383" s="17"/>
      <c r="I383" s="18"/>
    </row>
    <row r="384" spans="2:9" s="1" customFormat="1" x14ac:dyDescent="0.2">
      <c r="B384" s="13" t="str">
        <f t="shared" si="4"/>
        <v>2025-024-2</v>
      </c>
      <c r="C384" s="14">
        <v>2025</v>
      </c>
      <c r="D384" s="15" t="s">
        <v>27</v>
      </c>
      <c r="E384" s="14">
        <v>2</v>
      </c>
      <c r="F384" s="16" t="s">
        <v>2691</v>
      </c>
      <c r="G384" s="14"/>
      <c r="H384" s="17"/>
      <c r="I384" s="18"/>
    </row>
    <row r="385" spans="2:9" s="1" customFormat="1" x14ac:dyDescent="0.2">
      <c r="B385" s="13" t="str">
        <f t="shared" si="4"/>
        <v>2025-024-3</v>
      </c>
      <c r="C385" s="14">
        <v>2025</v>
      </c>
      <c r="D385" s="15" t="s">
        <v>27</v>
      </c>
      <c r="E385" s="14">
        <v>3</v>
      </c>
      <c r="F385" s="16" t="s">
        <v>2734</v>
      </c>
      <c r="G385" s="14"/>
      <c r="H385" s="17"/>
      <c r="I385" s="18"/>
    </row>
    <row r="386" spans="2:9" s="1" customFormat="1" x14ac:dyDescent="0.2">
      <c r="B386" s="13" t="str">
        <f t="shared" si="4"/>
        <v>2025-024-4</v>
      </c>
      <c r="C386" s="14">
        <v>2025</v>
      </c>
      <c r="D386" s="15" t="s">
        <v>27</v>
      </c>
      <c r="E386" s="14">
        <v>4</v>
      </c>
      <c r="F386" s="16" t="s">
        <v>2773</v>
      </c>
      <c r="G386" s="14"/>
      <c r="H386" s="17"/>
      <c r="I386" s="18"/>
    </row>
    <row r="387" spans="2:9" s="1" customFormat="1" x14ac:dyDescent="0.2">
      <c r="B387" s="19" t="str">
        <f t="shared" si="4"/>
        <v>2025-024-5</v>
      </c>
      <c r="C387" s="20">
        <v>2025</v>
      </c>
      <c r="D387" s="21" t="s">
        <v>27</v>
      </c>
      <c r="E387" s="20">
        <v>5</v>
      </c>
      <c r="F387" s="22" t="s">
        <v>2815</v>
      </c>
      <c r="G387" s="20" t="s">
        <v>3210</v>
      </c>
      <c r="H387" s="23"/>
      <c r="I387" s="24"/>
    </row>
    <row r="388" spans="2:9" s="1" customFormat="1" x14ac:dyDescent="0.2">
      <c r="B388" s="25" t="str">
        <f t="shared" si="4"/>
        <v>2025-025-0</v>
      </c>
      <c r="C388" s="26">
        <v>2025</v>
      </c>
      <c r="D388" s="27" t="s">
        <v>28</v>
      </c>
      <c r="E388" s="26">
        <v>0</v>
      </c>
      <c r="F388" s="28" t="s">
        <v>2834</v>
      </c>
      <c r="G388" s="26"/>
      <c r="H388" s="29"/>
      <c r="I388" s="30"/>
    </row>
    <row r="389" spans="2:9" s="1" customFormat="1" x14ac:dyDescent="0.2">
      <c r="B389" s="13" t="str">
        <f t="shared" si="4"/>
        <v>2025-025-1</v>
      </c>
      <c r="C389" s="14">
        <v>2025</v>
      </c>
      <c r="D389" s="15" t="s">
        <v>28</v>
      </c>
      <c r="E389" s="14">
        <v>1</v>
      </c>
      <c r="F389" s="16" t="s">
        <v>2648</v>
      </c>
      <c r="G389" s="14"/>
      <c r="H389" s="17"/>
      <c r="I389" s="18"/>
    </row>
    <row r="390" spans="2:9" s="1" customFormat="1" x14ac:dyDescent="0.2">
      <c r="B390" s="13" t="str">
        <f t="shared" si="4"/>
        <v>2025-025-2</v>
      </c>
      <c r="C390" s="14">
        <v>2025</v>
      </c>
      <c r="D390" s="15" t="s">
        <v>28</v>
      </c>
      <c r="E390" s="14">
        <v>2</v>
      </c>
      <c r="F390" s="16" t="s">
        <v>2692</v>
      </c>
      <c r="G390" s="14"/>
      <c r="H390" s="17"/>
      <c r="I390" s="18"/>
    </row>
    <row r="391" spans="2:9" s="1" customFormat="1" ht="27" x14ac:dyDescent="0.2">
      <c r="B391" s="13" t="str">
        <f t="shared" si="4"/>
        <v>2025-025-3</v>
      </c>
      <c r="C391" s="14">
        <v>2025</v>
      </c>
      <c r="D391" s="15" t="s">
        <v>28</v>
      </c>
      <c r="E391" s="14">
        <v>3</v>
      </c>
      <c r="F391" s="16" t="s">
        <v>2735</v>
      </c>
      <c r="G391" s="14"/>
      <c r="H391" s="17"/>
      <c r="I391" s="18"/>
    </row>
    <row r="392" spans="2:9" s="1" customFormat="1" ht="27" x14ac:dyDescent="0.2">
      <c r="B392" s="13" t="str">
        <f t="shared" si="4"/>
        <v>2025-025-4</v>
      </c>
      <c r="C392" s="14">
        <v>2025</v>
      </c>
      <c r="D392" s="15" t="s">
        <v>28</v>
      </c>
      <c r="E392" s="14">
        <v>4</v>
      </c>
      <c r="F392" s="16" t="s">
        <v>2774</v>
      </c>
      <c r="G392" s="14" t="s">
        <v>3210</v>
      </c>
      <c r="H392" s="17"/>
      <c r="I392" s="18"/>
    </row>
    <row r="393" spans="2:9" s="1" customFormat="1" x14ac:dyDescent="0.2">
      <c r="B393" s="19" t="str">
        <f t="shared" si="4"/>
        <v>2025-025-5</v>
      </c>
      <c r="C393" s="20">
        <v>2025</v>
      </c>
      <c r="D393" s="21" t="s">
        <v>28</v>
      </c>
      <c r="E393" s="20">
        <v>5</v>
      </c>
      <c r="F393" s="22" t="s">
        <v>2816</v>
      </c>
      <c r="G393" s="20"/>
      <c r="H393" s="23"/>
      <c r="I393" s="24"/>
    </row>
    <row r="394" spans="2:9" s="1" customFormat="1" ht="40.5" x14ac:dyDescent="0.2">
      <c r="B394" s="25" t="str">
        <f t="shared" si="4"/>
        <v>2025-026-0</v>
      </c>
      <c r="C394" s="26">
        <v>2025</v>
      </c>
      <c r="D394" s="27" t="s">
        <v>29</v>
      </c>
      <c r="E394" s="26">
        <v>0</v>
      </c>
      <c r="F394" s="28" t="s">
        <v>2835</v>
      </c>
      <c r="G394" s="26"/>
      <c r="H394" s="29"/>
      <c r="I394" s="30"/>
    </row>
    <row r="395" spans="2:9" s="1" customFormat="1" x14ac:dyDescent="0.2">
      <c r="B395" s="13" t="str">
        <f t="shared" si="4"/>
        <v>2025-026-1</v>
      </c>
      <c r="C395" s="14">
        <v>2025</v>
      </c>
      <c r="D395" s="15" t="s">
        <v>29</v>
      </c>
      <c r="E395" s="14">
        <v>1</v>
      </c>
      <c r="F395" s="16" t="s">
        <v>2649</v>
      </c>
      <c r="G395" s="14"/>
      <c r="H395" s="17" t="s">
        <v>2852</v>
      </c>
      <c r="I395" s="18"/>
    </row>
    <row r="396" spans="2:9" s="1" customFormat="1" x14ac:dyDescent="0.2">
      <c r="B396" s="13" t="str">
        <f t="shared" si="4"/>
        <v>2025-026-2</v>
      </c>
      <c r="C396" s="14">
        <v>2025</v>
      </c>
      <c r="D396" s="15" t="s">
        <v>29</v>
      </c>
      <c r="E396" s="14">
        <v>2</v>
      </c>
      <c r="F396" s="16" t="s">
        <v>2693</v>
      </c>
      <c r="G396" s="14"/>
      <c r="H396" s="17" t="s">
        <v>2854</v>
      </c>
      <c r="I396" s="18"/>
    </row>
    <row r="397" spans="2:9" s="1" customFormat="1" x14ac:dyDescent="0.2">
      <c r="B397" s="13" t="str">
        <f t="shared" si="4"/>
        <v>2025-026-3</v>
      </c>
      <c r="C397" s="14">
        <v>2025</v>
      </c>
      <c r="D397" s="15" t="s">
        <v>29</v>
      </c>
      <c r="E397" s="14">
        <v>3</v>
      </c>
      <c r="F397" s="16" t="s">
        <v>2736</v>
      </c>
      <c r="G397" s="14"/>
      <c r="H397" s="17" t="s">
        <v>2855</v>
      </c>
      <c r="I397" s="18"/>
    </row>
    <row r="398" spans="2:9" s="1" customFormat="1" x14ac:dyDescent="0.2">
      <c r="B398" s="13" t="str">
        <f t="shared" si="4"/>
        <v>2025-026-4</v>
      </c>
      <c r="C398" s="14">
        <v>2025</v>
      </c>
      <c r="D398" s="15" t="s">
        <v>29</v>
      </c>
      <c r="E398" s="14">
        <v>4</v>
      </c>
      <c r="F398" s="16" t="s">
        <v>2775</v>
      </c>
      <c r="G398" s="14"/>
      <c r="H398" s="17" t="s">
        <v>2853</v>
      </c>
      <c r="I398" s="18"/>
    </row>
    <row r="399" spans="2:9" s="1" customFormat="1" ht="27" x14ac:dyDescent="0.2">
      <c r="B399" s="19" t="str">
        <f t="shared" si="4"/>
        <v>2025-026-5</v>
      </c>
      <c r="C399" s="20">
        <v>2025</v>
      </c>
      <c r="D399" s="21" t="s">
        <v>29</v>
      </c>
      <c r="E399" s="20">
        <v>5</v>
      </c>
      <c r="F399" s="22" t="s">
        <v>2817</v>
      </c>
      <c r="G399" s="20" t="s">
        <v>3210</v>
      </c>
      <c r="H399" s="23" t="s">
        <v>2850</v>
      </c>
      <c r="I399" s="24" t="s">
        <v>2851</v>
      </c>
    </row>
    <row r="400" spans="2:9" s="1" customFormat="1" ht="40.5" x14ac:dyDescent="0.2">
      <c r="B400" s="25" t="str">
        <f t="shared" si="4"/>
        <v>2025-027-0</v>
      </c>
      <c r="C400" s="26">
        <v>2025</v>
      </c>
      <c r="D400" s="27" t="s">
        <v>30</v>
      </c>
      <c r="E400" s="26">
        <v>0</v>
      </c>
      <c r="F400" s="28" t="s">
        <v>2836</v>
      </c>
      <c r="G400" s="26"/>
      <c r="H400" s="29"/>
      <c r="I400" s="30"/>
    </row>
    <row r="401" spans="2:9" s="1" customFormat="1" x14ac:dyDescent="0.2">
      <c r="B401" s="13" t="str">
        <f t="shared" si="4"/>
        <v>2025-027-1</v>
      </c>
      <c r="C401" s="14">
        <v>2025</v>
      </c>
      <c r="D401" s="15" t="s">
        <v>30</v>
      </c>
      <c r="E401" s="14">
        <v>1</v>
      </c>
      <c r="F401" s="16" t="s">
        <v>2650</v>
      </c>
      <c r="G401" s="14"/>
      <c r="H401" s="17"/>
      <c r="I401" s="18"/>
    </row>
    <row r="402" spans="2:9" s="1" customFormat="1" x14ac:dyDescent="0.2">
      <c r="B402" s="13" t="str">
        <f t="shared" si="4"/>
        <v>2025-027-2</v>
      </c>
      <c r="C402" s="14">
        <v>2025</v>
      </c>
      <c r="D402" s="15" t="s">
        <v>30</v>
      </c>
      <c r="E402" s="14">
        <v>2</v>
      </c>
      <c r="F402" s="16" t="s">
        <v>2694</v>
      </c>
      <c r="G402" s="14"/>
      <c r="H402" s="17"/>
      <c r="I402" s="18"/>
    </row>
    <row r="403" spans="2:9" s="1" customFormat="1" ht="27" x14ac:dyDescent="0.2">
      <c r="B403" s="13" t="str">
        <f t="shared" si="4"/>
        <v>2025-027-3</v>
      </c>
      <c r="C403" s="14">
        <v>2025</v>
      </c>
      <c r="D403" s="15" t="s">
        <v>30</v>
      </c>
      <c r="E403" s="14">
        <v>3</v>
      </c>
      <c r="F403" s="16" t="s">
        <v>2737</v>
      </c>
      <c r="G403" s="14" t="s">
        <v>3210</v>
      </c>
      <c r="H403" s="17"/>
      <c r="I403" s="18"/>
    </row>
    <row r="404" spans="2:9" s="1" customFormat="1" ht="27" x14ac:dyDescent="0.2">
      <c r="B404" s="13" t="str">
        <f t="shared" si="4"/>
        <v>2025-027-4</v>
      </c>
      <c r="C404" s="14">
        <v>2025</v>
      </c>
      <c r="D404" s="15" t="s">
        <v>30</v>
      </c>
      <c r="E404" s="14">
        <v>4</v>
      </c>
      <c r="F404" s="16" t="s">
        <v>2776</v>
      </c>
      <c r="G404" s="14"/>
      <c r="H404" s="17"/>
      <c r="I404" s="18"/>
    </row>
    <row r="405" spans="2:9" s="1" customFormat="1" x14ac:dyDescent="0.2">
      <c r="B405" s="19" t="str">
        <f t="shared" si="4"/>
        <v>2025-027-5</v>
      </c>
      <c r="C405" s="20">
        <v>2025</v>
      </c>
      <c r="D405" s="21" t="s">
        <v>30</v>
      </c>
      <c r="E405" s="20">
        <v>5</v>
      </c>
      <c r="F405" s="22" t="s">
        <v>2818</v>
      </c>
      <c r="G405" s="20"/>
      <c r="H405" s="23"/>
      <c r="I405" s="24"/>
    </row>
    <row r="406" spans="2:9" s="1" customFormat="1" x14ac:dyDescent="0.2">
      <c r="B406" s="25" t="str">
        <f t="shared" si="4"/>
        <v>2025-028-0</v>
      </c>
      <c r="C406" s="26">
        <v>2025</v>
      </c>
      <c r="D406" s="27" t="s">
        <v>31</v>
      </c>
      <c r="E406" s="26">
        <v>0</v>
      </c>
      <c r="F406" s="28" t="s">
        <v>2837</v>
      </c>
      <c r="G406" s="26"/>
      <c r="H406" s="29"/>
      <c r="I406" s="30"/>
    </row>
    <row r="407" spans="2:9" s="1" customFormat="1" x14ac:dyDescent="0.2">
      <c r="B407" s="13" t="str">
        <f t="shared" si="4"/>
        <v>2025-028-1</v>
      </c>
      <c r="C407" s="14">
        <v>2025</v>
      </c>
      <c r="D407" s="15" t="s">
        <v>31</v>
      </c>
      <c r="E407" s="14">
        <v>1</v>
      </c>
      <c r="F407" s="16" t="s">
        <v>2651</v>
      </c>
      <c r="G407" s="14"/>
      <c r="H407" s="17"/>
      <c r="I407" s="18"/>
    </row>
    <row r="408" spans="2:9" s="1" customFormat="1" ht="27" x14ac:dyDescent="0.2">
      <c r="B408" s="13" t="str">
        <f t="shared" si="4"/>
        <v>2025-028-2</v>
      </c>
      <c r="C408" s="14">
        <v>2025</v>
      </c>
      <c r="D408" s="15" t="s">
        <v>31</v>
      </c>
      <c r="E408" s="14">
        <v>2</v>
      </c>
      <c r="F408" s="16" t="s">
        <v>2695</v>
      </c>
      <c r="G408" s="14"/>
      <c r="H408" s="17"/>
      <c r="I408" s="18"/>
    </row>
    <row r="409" spans="2:9" s="1" customFormat="1" ht="27" x14ac:dyDescent="0.2">
      <c r="B409" s="13" t="str">
        <f t="shared" si="4"/>
        <v>2025-028-3</v>
      </c>
      <c r="C409" s="14">
        <v>2025</v>
      </c>
      <c r="D409" s="15" t="s">
        <v>31</v>
      </c>
      <c r="E409" s="14">
        <v>3</v>
      </c>
      <c r="F409" s="16" t="s">
        <v>2738</v>
      </c>
      <c r="G409" s="14"/>
      <c r="H409" s="17"/>
      <c r="I409" s="18"/>
    </row>
    <row r="410" spans="2:9" s="1" customFormat="1" ht="27" x14ac:dyDescent="0.2">
      <c r="B410" s="13" t="str">
        <f t="shared" si="4"/>
        <v>2025-028-4</v>
      </c>
      <c r="C410" s="14">
        <v>2025</v>
      </c>
      <c r="D410" s="15" t="s">
        <v>31</v>
      </c>
      <c r="E410" s="14">
        <v>4</v>
      </c>
      <c r="F410" s="16" t="s">
        <v>2777</v>
      </c>
      <c r="G410" s="14"/>
      <c r="H410" s="17"/>
      <c r="I410" s="18"/>
    </row>
    <row r="411" spans="2:9" s="1" customFormat="1" ht="27" x14ac:dyDescent="0.2">
      <c r="B411" s="19" t="str">
        <f t="shared" si="4"/>
        <v>2025-028-5</v>
      </c>
      <c r="C411" s="20">
        <v>2025</v>
      </c>
      <c r="D411" s="21" t="s">
        <v>31</v>
      </c>
      <c r="E411" s="20">
        <v>5</v>
      </c>
      <c r="F411" s="22" t="s">
        <v>2819</v>
      </c>
      <c r="G411" s="20" t="s">
        <v>3210</v>
      </c>
      <c r="H411" s="23"/>
      <c r="I411" s="24"/>
    </row>
    <row r="412" spans="2:9" s="1" customFormat="1" x14ac:dyDescent="0.2">
      <c r="B412" s="25" t="str">
        <f t="shared" si="4"/>
        <v>2025-029-0</v>
      </c>
      <c r="C412" s="26">
        <v>2025</v>
      </c>
      <c r="D412" s="27" t="s">
        <v>32</v>
      </c>
      <c r="E412" s="26">
        <v>0</v>
      </c>
      <c r="F412" s="28" t="s">
        <v>2838</v>
      </c>
      <c r="G412" s="26"/>
      <c r="H412" s="29"/>
      <c r="I412" s="30"/>
    </row>
    <row r="413" spans="2:9" s="1" customFormat="1" ht="27" x14ac:dyDescent="0.2">
      <c r="B413" s="13" t="str">
        <f t="shared" si="4"/>
        <v>2025-029-1</v>
      </c>
      <c r="C413" s="14">
        <v>2025</v>
      </c>
      <c r="D413" s="15" t="s">
        <v>32</v>
      </c>
      <c r="E413" s="14">
        <v>1</v>
      </c>
      <c r="F413" s="16" t="s">
        <v>2652</v>
      </c>
      <c r="G413" s="14" t="s">
        <v>3210</v>
      </c>
      <c r="H413" s="17"/>
      <c r="I413" s="18"/>
    </row>
    <row r="414" spans="2:9" s="1" customFormat="1" x14ac:dyDescent="0.2">
      <c r="B414" s="13" t="str">
        <f t="shared" si="4"/>
        <v>2025-029-2</v>
      </c>
      <c r="C414" s="14">
        <v>2025</v>
      </c>
      <c r="D414" s="15" t="s">
        <v>32</v>
      </c>
      <c r="E414" s="14">
        <v>2</v>
      </c>
      <c r="F414" s="16" t="s">
        <v>2696</v>
      </c>
      <c r="G414" s="14"/>
      <c r="H414" s="17"/>
      <c r="I414" s="18"/>
    </row>
    <row r="415" spans="2:9" s="1" customFormat="1" ht="27" x14ac:dyDescent="0.2">
      <c r="B415" s="13" t="str">
        <f t="shared" si="4"/>
        <v>2025-029-3</v>
      </c>
      <c r="C415" s="14">
        <v>2025</v>
      </c>
      <c r="D415" s="15" t="s">
        <v>32</v>
      </c>
      <c r="E415" s="14">
        <v>3</v>
      </c>
      <c r="F415" s="16" t="s">
        <v>2739</v>
      </c>
      <c r="G415" s="14"/>
      <c r="H415" s="17"/>
      <c r="I415" s="18"/>
    </row>
    <row r="416" spans="2:9" s="1" customFormat="1" ht="27" x14ac:dyDescent="0.2">
      <c r="B416" s="13" t="str">
        <f t="shared" si="4"/>
        <v>2025-029-4</v>
      </c>
      <c r="C416" s="14">
        <v>2025</v>
      </c>
      <c r="D416" s="15" t="s">
        <v>32</v>
      </c>
      <c r="E416" s="14">
        <v>4</v>
      </c>
      <c r="F416" s="16" t="s">
        <v>2778</v>
      </c>
      <c r="G416" s="14"/>
      <c r="H416" s="17"/>
      <c r="I416" s="18"/>
    </row>
    <row r="417" spans="2:9" s="1" customFormat="1" x14ac:dyDescent="0.2">
      <c r="B417" s="19" t="str">
        <f t="shared" si="4"/>
        <v>2025-029-5</v>
      </c>
      <c r="C417" s="20">
        <v>2025</v>
      </c>
      <c r="D417" s="21" t="s">
        <v>32</v>
      </c>
      <c r="E417" s="20">
        <v>5</v>
      </c>
      <c r="F417" s="22" t="s">
        <v>2820</v>
      </c>
      <c r="G417" s="20"/>
      <c r="H417" s="23"/>
      <c r="I417" s="24"/>
    </row>
    <row r="418" spans="2:9" s="1" customFormat="1" ht="94.5" x14ac:dyDescent="0.2">
      <c r="B418" s="25" t="str">
        <f t="shared" si="4"/>
        <v>2025-030-0</v>
      </c>
      <c r="C418" s="26">
        <v>2025</v>
      </c>
      <c r="D418" s="27" t="s">
        <v>33</v>
      </c>
      <c r="E418" s="26">
        <v>0</v>
      </c>
      <c r="F418" s="28" t="s">
        <v>2839</v>
      </c>
      <c r="G418" s="26"/>
      <c r="H418" s="29"/>
      <c r="I418" s="30"/>
    </row>
    <row r="419" spans="2:9" s="1" customFormat="1" x14ac:dyDescent="0.2">
      <c r="B419" s="13" t="str">
        <f t="shared" si="4"/>
        <v>2025-030-1</v>
      </c>
      <c r="C419" s="14">
        <v>2025</v>
      </c>
      <c r="D419" s="15" t="s">
        <v>33</v>
      </c>
      <c r="E419" s="14">
        <v>1</v>
      </c>
      <c r="F419" s="16" t="s">
        <v>44</v>
      </c>
      <c r="G419" s="14"/>
      <c r="H419" s="17"/>
      <c r="I419" s="18"/>
    </row>
    <row r="420" spans="2:9" s="1" customFormat="1" x14ac:dyDescent="0.2">
      <c r="B420" s="13" t="str">
        <f t="shared" si="4"/>
        <v>2025-030-2</v>
      </c>
      <c r="C420" s="14">
        <v>2025</v>
      </c>
      <c r="D420" s="15" t="s">
        <v>33</v>
      </c>
      <c r="E420" s="14">
        <v>2</v>
      </c>
      <c r="F420" s="16" t="s">
        <v>55</v>
      </c>
      <c r="G420" s="14"/>
      <c r="H420" s="17"/>
      <c r="I420" s="18"/>
    </row>
    <row r="421" spans="2:9" s="1" customFormat="1" x14ac:dyDescent="0.2">
      <c r="B421" s="13" t="str">
        <f t="shared" si="4"/>
        <v>2025-030-3</v>
      </c>
      <c r="C421" s="14">
        <v>2025</v>
      </c>
      <c r="D421" s="15" t="s">
        <v>33</v>
      </c>
      <c r="E421" s="14">
        <v>3</v>
      </c>
      <c r="F421" s="16" t="s">
        <v>57</v>
      </c>
      <c r="G421" s="14" t="s">
        <v>3210</v>
      </c>
      <c r="H421" s="17"/>
      <c r="I421" s="18"/>
    </row>
    <row r="422" spans="2:9" s="1" customFormat="1" x14ac:dyDescent="0.2">
      <c r="B422" s="13" t="str">
        <f t="shared" si="4"/>
        <v>2025-030-4</v>
      </c>
      <c r="C422" s="14">
        <v>2025</v>
      </c>
      <c r="D422" s="15" t="s">
        <v>33</v>
      </c>
      <c r="E422" s="14">
        <v>4</v>
      </c>
      <c r="F422" s="16" t="s">
        <v>59</v>
      </c>
      <c r="G422" s="14"/>
      <c r="H422" s="17"/>
      <c r="I422" s="18"/>
    </row>
    <row r="423" spans="2:9" s="1" customFormat="1" x14ac:dyDescent="0.2">
      <c r="B423" s="19" t="str">
        <f t="shared" si="4"/>
        <v>2025-030-5</v>
      </c>
      <c r="C423" s="20">
        <v>2025</v>
      </c>
      <c r="D423" s="21" t="s">
        <v>33</v>
      </c>
      <c r="E423" s="20">
        <v>5</v>
      </c>
      <c r="F423" s="22" t="s">
        <v>60</v>
      </c>
      <c r="G423" s="20"/>
      <c r="H423" s="23"/>
      <c r="I423" s="24"/>
    </row>
    <row r="424" spans="2:9" s="1" customFormat="1" ht="108" x14ac:dyDescent="0.2">
      <c r="B424" s="25" t="str">
        <f t="shared" si="4"/>
        <v>2025-031-0</v>
      </c>
      <c r="C424" s="26">
        <v>2025</v>
      </c>
      <c r="D424" s="27" t="s">
        <v>34</v>
      </c>
      <c r="E424" s="26">
        <v>0</v>
      </c>
      <c r="F424" s="28" t="s">
        <v>2840</v>
      </c>
      <c r="G424" s="26"/>
      <c r="H424" s="29"/>
      <c r="I424" s="30"/>
    </row>
    <row r="425" spans="2:9" s="1" customFormat="1" x14ac:dyDescent="0.2">
      <c r="B425" s="13" t="str">
        <f t="shared" si="4"/>
        <v>2025-031-1</v>
      </c>
      <c r="C425" s="14">
        <v>2025</v>
      </c>
      <c r="D425" s="15" t="s">
        <v>34</v>
      </c>
      <c r="E425" s="14">
        <v>1</v>
      </c>
      <c r="F425" s="16" t="s">
        <v>44</v>
      </c>
      <c r="G425" s="14"/>
      <c r="H425" s="17"/>
      <c r="I425" s="18"/>
    </row>
    <row r="426" spans="2:9" s="1" customFormat="1" x14ac:dyDescent="0.2">
      <c r="B426" s="13" t="str">
        <f t="shared" si="4"/>
        <v>2025-031-2</v>
      </c>
      <c r="C426" s="14">
        <v>2025</v>
      </c>
      <c r="D426" s="15" t="s">
        <v>34</v>
      </c>
      <c r="E426" s="14">
        <v>2</v>
      </c>
      <c r="F426" s="16" t="s">
        <v>54</v>
      </c>
      <c r="G426" s="14" t="s">
        <v>3210</v>
      </c>
      <c r="H426" s="17"/>
      <c r="I426" s="18"/>
    </row>
    <row r="427" spans="2:9" s="1" customFormat="1" x14ac:dyDescent="0.2">
      <c r="B427" s="13" t="str">
        <f t="shared" si="4"/>
        <v>2025-031-3</v>
      </c>
      <c r="C427" s="14">
        <v>2025</v>
      </c>
      <c r="D427" s="15" t="s">
        <v>34</v>
      </c>
      <c r="E427" s="14">
        <v>3</v>
      </c>
      <c r="F427" s="16" t="s">
        <v>55</v>
      </c>
      <c r="G427" s="14"/>
      <c r="H427" s="17"/>
      <c r="I427" s="18"/>
    </row>
    <row r="428" spans="2:9" s="1" customFormat="1" x14ac:dyDescent="0.2">
      <c r="B428" s="13" t="str">
        <f t="shared" si="4"/>
        <v>2025-031-4</v>
      </c>
      <c r="C428" s="14">
        <v>2025</v>
      </c>
      <c r="D428" s="15" t="s">
        <v>34</v>
      </c>
      <c r="E428" s="14">
        <v>4</v>
      </c>
      <c r="F428" s="16" t="s">
        <v>51</v>
      </c>
      <c r="G428" s="14"/>
      <c r="H428" s="17"/>
      <c r="I428" s="18"/>
    </row>
    <row r="429" spans="2:9" s="1" customFormat="1" x14ac:dyDescent="0.2">
      <c r="B429" s="19" t="str">
        <f t="shared" si="4"/>
        <v>2025-031-5</v>
      </c>
      <c r="C429" s="20">
        <v>2025</v>
      </c>
      <c r="D429" s="21" t="s">
        <v>34</v>
      </c>
      <c r="E429" s="20">
        <v>5</v>
      </c>
      <c r="F429" s="22" t="s">
        <v>59</v>
      </c>
      <c r="G429" s="20"/>
      <c r="H429" s="23"/>
      <c r="I429" s="24"/>
    </row>
    <row r="430" spans="2:9" s="1" customFormat="1" ht="40.5" x14ac:dyDescent="0.2">
      <c r="B430" s="25" t="str">
        <f t="shared" si="4"/>
        <v>2025-032-0</v>
      </c>
      <c r="C430" s="26">
        <v>2025</v>
      </c>
      <c r="D430" s="27" t="s">
        <v>35</v>
      </c>
      <c r="E430" s="26">
        <v>0</v>
      </c>
      <c r="F430" s="28" t="s">
        <v>2841</v>
      </c>
      <c r="G430" s="26"/>
      <c r="H430" s="29"/>
      <c r="I430" s="30"/>
    </row>
    <row r="431" spans="2:9" s="1" customFormat="1" x14ac:dyDescent="0.2">
      <c r="B431" s="13" t="str">
        <f t="shared" si="4"/>
        <v>2025-032-1</v>
      </c>
      <c r="C431" s="14">
        <v>2025</v>
      </c>
      <c r="D431" s="15" t="s">
        <v>35</v>
      </c>
      <c r="E431" s="14">
        <v>1</v>
      </c>
      <c r="F431" s="16" t="s">
        <v>2653</v>
      </c>
      <c r="G431" s="14"/>
      <c r="H431" s="17"/>
      <c r="I431" s="18"/>
    </row>
    <row r="432" spans="2:9" s="1" customFormat="1" x14ac:dyDescent="0.2">
      <c r="B432" s="13" t="str">
        <f t="shared" si="4"/>
        <v>2025-032-2</v>
      </c>
      <c r="C432" s="14">
        <v>2025</v>
      </c>
      <c r="D432" s="15" t="s">
        <v>35</v>
      </c>
      <c r="E432" s="14">
        <v>2</v>
      </c>
      <c r="F432" s="16" t="s">
        <v>2697</v>
      </c>
      <c r="G432" s="14" t="s">
        <v>3210</v>
      </c>
      <c r="H432" s="17"/>
      <c r="I432" s="18"/>
    </row>
    <row r="433" spans="2:9" s="1" customFormat="1" x14ac:dyDescent="0.2">
      <c r="B433" s="13" t="str">
        <f t="shared" si="4"/>
        <v>2025-032-3</v>
      </c>
      <c r="C433" s="14">
        <v>2025</v>
      </c>
      <c r="D433" s="15" t="s">
        <v>35</v>
      </c>
      <c r="E433" s="14">
        <v>3</v>
      </c>
      <c r="F433" s="16" t="s">
        <v>2740</v>
      </c>
      <c r="G433" s="14"/>
      <c r="H433" s="17"/>
      <c r="I433" s="18"/>
    </row>
    <row r="434" spans="2:9" s="1" customFormat="1" ht="27" x14ac:dyDescent="0.2">
      <c r="B434" s="13" t="str">
        <f t="shared" si="4"/>
        <v>2025-032-4</v>
      </c>
      <c r="C434" s="14">
        <v>2025</v>
      </c>
      <c r="D434" s="15" t="s">
        <v>35</v>
      </c>
      <c r="E434" s="14">
        <v>4</v>
      </c>
      <c r="F434" s="16" t="s">
        <v>2779</v>
      </c>
      <c r="G434" s="14"/>
      <c r="H434" s="17"/>
      <c r="I434" s="18"/>
    </row>
    <row r="435" spans="2:9" s="1" customFormat="1" x14ac:dyDescent="0.2">
      <c r="B435" s="19" t="str">
        <f t="shared" si="4"/>
        <v>2025-032-5</v>
      </c>
      <c r="C435" s="20">
        <v>2025</v>
      </c>
      <c r="D435" s="21" t="s">
        <v>35</v>
      </c>
      <c r="E435" s="20">
        <v>5</v>
      </c>
      <c r="F435" s="22" t="s">
        <v>2821</v>
      </c>
      <c r="G435" s="20"/>
      <c r="H435" s="23"/>
      <c r="I435" s="24"/>
    </row>
    <row r="436" spans="2:9" s="1" customFormat="1" ht="94.5" x14ac:dyDescent="0.2">
      <c r="B436" s="25" t="str">
        <f t="shared" si="4"/>
        <v>2025-033-0</v>
      </c>
      <c r="C436" s="26">
        <v>2025</v>
      </c>
      <c r="D436" s="27" t="s">
        <v>36</v>
      </c>
      <c r="E436" s="26">
        <v>0</v>
      </c>
      <c r="F436" s="28" t="s">
        <v>2842</v>
      </c>
      <c r="G436" s="26"/>
      <c r="H436" s="29"/>
      <c r="I436" s="30"/>
    </row>
    <row r="437" spans="2:9" s="1" customFormat="1" x14ac:dyDescent="0.2">
      <c r="B437" s="13" t="str">
        <f t="shared" si="4"/>
        <v>2025-033-1</v>
      </c>
      <c r="C437" s="14">
        <v>2025</v>
      </c>
      <c r="D437" s="15" t="s">
        <v>36</v>
      </c>
      <c r="E437" s="14">
        <v>1</v>
      </c>
      <c r="F437" s="16" t="s">
        <v>45</v>
      </c>
      <c r="G437" s="14"/>
      <c r="H437" s="17"/>
      <c r="I437" s="18"/>
    </row>
    <row r="438" spans="2:9" s="1" customFormat="1" x14ac:dyDescent="0.2">
      <c r="B438" s="13" t="str">
        <f t="shared" si="4"/>
        <v>2025-033-2</v>
      </c>
      <c r="C438" s="14">
        <v>2025</v>
      </c>
      <c r="D438" s="15" t="s">
        <v>36</v>
      </c>
      <c r="E438" s="14">
        <v>2</v>
      </c>
      <c r="F438" s="16" t="s">
        <v>53</v>
      </c>
      <c r="G438" s="14"/>
      <c r="H438" s="17"/>
      <c r="I438" s="18"/>
    </row>
    <row r="439" spans="2:9" s="1" customFormat="1" x14ac:dyDescent="0.2">
      <c r="B439" s="13" t="str">
        <f t="shared" si="4"/>
        <v>2025-033-3</v>
      </c>
      <c r="C439" s="14">
        <v>2025</v>
      </c>
      <c r="D439" s="15" t="s">
        <v>36</v>
      </c>
      <c r="E439" s="14">
        <v>3</v>
      </c>
      <c r="F439" s="16" t="s">
        <v>44</v>
      </c>
      <c r="G439" s="14"/>
      <c r="H439" s="17"/>
      <c r="I439" s="18"/>
    </row>
    <row r="440" spans="2:9" s="1" customFormat="1" x14ac:dyDescent="0.2">
      <c r="B440" s="13" t="str">
        <f t="shared" si="4"/>
        <v>2025-033-4</v>
      </c>
      <c r="C440" s="14">
        <v>2025</v>
      </c>
      <c r="D440" s="15" t="s">
        <v>36</v>
      </c>
      <c r="E440" s="14">
        <v>4</v>
      </c>
      <c r="F440" s="16" t="s">
        <v>55</v>
      </c>
      <c r="G440" s="14"/>
      <c r="H440" s="17"/>
      <c r="I440" s="18"/>
    </row>
    <row r="441" spans="2:9" s="1" customFormat="1" x14ac:dyDescent="0.2">
      <c r="B441" s="19" t="str">
        <f t="shared" si="4"/>
        <v>2025-033-5</v>
      </c>
      <c r="C441" s="20">
        <v>2025</v>
      </c>
      <c r="D441" s="21" t="s">
        <v>36</v>
      </c>
      <c r="E441" s="20">
        <v>5</v>
      </c>
      <c r="F441" s="22" t="s">
        <v>46</v>
      </c>
      <c r="G441" s="20" t="s">
        <v>3210</v>
      </c>
      <c r="H441" s="23"/>
      <c r="I441" s="24"/>
    </row>
    <row r="442" spans="2:9" s="1" customFormat="1" x14ac:dyDescent="0.2">
      <c r="B442" s="25" t="str">
        <f t="shared" si="4"/>
        <v>2025-034-0</v>
      </c>
      <c r="C442" s="26">
        <v>2025</v>
      </c>
      <c r="D442" s="27" t="s">
        <v>37</v>
      </c>
      <c r="E442" s="26">
        <v>0</v>
      </c>
      <c r="F442" s="28" t="s">
        <v>2843</v>
      </c>
      <c r="G442" s="26"/>
      <c r="H442" s="29"/>
      <c r="I442" s="30"/>
    </row>
    <row r="443" spans="2:9" s="1" customFormat="1" ht="27" x14ac:dyDescent="0.2">
      <c r="B443" s="13" t="str">
        <f t="shared" si="4"/>
        <v>2025-034-1</v>
      </c>
      <c r="C443" s="14">
        <v>2025</v>
      </c>
      <c r="D443" s="15" t="s">
        <v>37</v>
      </c>
      <c r="E443" s="14">
        <v>1</v>
      </c>
      <c r="F443" s="16" t="s">
        <v>2654</v>
      </c>
      <c r="G443" s="14" t="s">
        <v>3210</v>
      </c>
      <c r="H443" s="17"/>
      <c r="I443" s="18"/>
    </row>
    <row r="444" spans="2:9" s="1" customFormat="1" ht="27" x14ac:dyDescent="0.2">
      <c r="B444" s="13" t="str">
        <f t="shared" si="4"/>
        <v>2025-034-2</v>
      </c>
      <c r="C444" s="14">
        <v>2025</v>
      </c>
      <c r="D444" s="15" t="s">
        <v>37</v>
      </c>
      <c r="E444" s="14">
        <v>2</v>
      </c>
      <c r="F444" s="16" t="s">
        <v>2698</v>
      </c>
      <c r="G444" s="14"/>
      <c r="H444" s="17"/>
      <c r="I444" s="18"/>
    </row>
    <row r="445" spans="2:9" s="1" customFormat="1" x14ac:dyDescent="0.2">
      <c r="B445" s="13" t="str">
        <f t="shared" si="4"/>
        <v>2025-034-3</v>
      </c>
      <c r="C445" s="14">
        <v>2025</v>
      </c>
      <c r="D445" s="15" t="s">
        <v>37</v>
      </c>
      <c r="E445" s="14">
        <v>3</v>
      </c>
      <c r="F445" s="16" t="s">
        <v>2741</v>
      </c>
      <c r="G445" s="14"/>
      <c r="H445" s="17"/>
      <c r="I445" s="18"/>
    </row>
    <row r="446" spans="2:9" s="1" customFormat="1" ht="27" x14ac:dyDescent="0.2">
      <c r="B446" s="13" t="str">
        <f t="shared" si="4"/>
        <v>2025-034-4</v>
      </c>
      <c r="C446" s="14">
        <v>2025</v>
      </c>
      <c r="D446" s="15" t="s">
        <v>37</v>
      </c>
      <c r="E446" s="14">
        <v>4</v>
      </c>
      <c r="F446" s="16" t="s">
        <v>2780</v>
      </c>
      <c r="G446" s="14"/>
      <c r="H446" s="17"/>
      <c r="I446" s="18"/>
    </row>
    <row r="447" spans="2:9" s="1" customFormat="1" x14ac:dyDescent="0.2">
      <c r="B447" s="19" t="str">
        <f t="shared" ref="B447:B483" si="5">C447&amp;"-"&amp;D447&amp;"-"&amp;E447</f>
        <v>2025-034-5</v>
      </c>
      <c r="C447" s="20">
        <v>2025</v>
      </c>
      <c r="D447" s="21" t="s">
        <v>37</v>
      </c>
      <c r="E447" s="20">
        <v>5</v>
      </c>
      <c r="F447" s="22" t="s">
        <v>2822</v>
      </c>
      <c r="G447" s="20"/>
      <c r="H447" s="23"/>
      <c r="I447" s="24"/>
    </row>
    <row r="448" spans="2:9" s="1" customFormat="1" x14ac:dyDescent="0.2">
      <c r="B448" s="25" t="str">
        <f t="shared" si="5"/>
        <v>2025-035-0</v>
      </c>
      <c r="C448" s="26">
        <v>2025</v>
      </c>
      <c r="D448" s="27" t="s">
        <v>38</v>
      </c>
      <c r="E448" s="26">
        <v>0</v>
      </c>
      <c r="F448" s="28" t="s">
        <v>2844</v>
      </c>
      <c r="G448" s="26"/>
      <c r="H448" s="29"/>
      <c r="I448" s="30"/>
    </row>
    <row r="449" spans="2:9" s="1" customFormat="1" x14ac:dyDescent="0.2">
      <c r="B449" s="13" t="str">
        <f t="shared" si="5"/>
        <v>2025-035-1</v>
      </c>
      <c r="C449" s="14">
        <v>2025</v>
      </c>
      <c r="D449" s="15" t="s">
        <v>38</v>
      </c>
      <c r="E449" s="14">
        <v>1</v>
      </c>
      <c r="F449" s="16" t="s">
        <v>2655</v>
      </c>
      <c r="G449" s="14"/>
      <c r="H449" s="17"/>
      <c r="I449" s="18"/>
    </row>
    <row r="450" spans="2:9" s="1" customFormat="1" x14ac:dyDescent="0.2">
      <c r="B450" s="13" t="str">
        <f t="shared" si="5"/>
        <v>2025-035-2</v>
      </c>
      <c r="C450" s="14">
        <v>2025</v>
      </c>
      <c r="D450" s="15" t="s">
        <v>38</v>
      </c>
      <c r="E450" s="14">
        <v>2</v>
      </c>
      <c r="F450" s="16" t="s">
        <v>2699</v>
      </c>
      <c r="G450" s="14"/>
      <c r="H450" s="17"/>
      <c r="I450" s="18"/>
    </row>
    <row r="451" spans="2:9" s="1" customFormat="1" x14ac:dyDescent="0.2">
      <c r="B451" s="13" t="str">
        <f t="shared" si="5"/>
        <v>2025-035-3</v>
      </c>
      <c r="C451" s="14">
        <v>2025</v>
      </c>
      <c r="D451" s="15" t="s">
        <v>38</v>
      </c>
      <c r="E451" s="14">
        <v>3</v>
      </c>
      <c r="F451" s="16" t="s">
        <v>2742</v>
      </c>
      <c r="G451" s="14"/>
      <c r="H451" s="17"/>
      <c r="I451" s="18"/>
    </row>
    <row r="452" spans="2:9" s="1" customFormat="1" ht="27" x14ac:dyDescent="0.2">
      <c r="B452" s="13" t="str">
        <f t="shared" si="5"/>
        <v>2025-035-4</v>
      </c>
      <c r="C452" s="14">
        <v>2025</v>
      </c>
      <c r="D452" s="15" t="s">
        <v>38</v>
      </c>
      <c r="E452" s="14">
        <v>4</v>
      </c>
      <c r="F452" s="16" t="s">
        <v>2865</v>
      </c>
      <c r="G452" s="14"/>
      <c r="H452" s="17"/>
      <c r="I452" s="18"/>
    </row>
    <row r="453" spans="2:9" s="1" customFormat="1" x14ac:dyDescent="0.2">
      <c r="B453" s="19" t="str">
        <f t="shared" si="5"/>
        <v>2025-035-5</v>
      </c>
      <c r="C453" s="20">
        <v>2025</v>
      </c>
      <c r="D453" s="21" t="s">
        <v>38</v>
      </c>
      <c r="E453" s="20">
        <v>5</v>
      </c>
      <c r="F453" s="22" t="s">
        <v>2823</v>
      </c>
      <c r="G453" s="20" t="s">
        <v>3210</v>
      </c>
      <c r="H453" s="23"/>
      <c r="I453" s="24"/>
    </row>
    <row r="454" spans="2:9" s="1" customFormat="1" ht="40.5" x14ac:dyDescent="0.2">
      <c r="B454" s="25" t="str">
        <f t="shared" si="5"/>
        <v>2025-036-0</v>
      </c>
      <c r="C454" s="26">
        <v>2025</v>
      </c>
      <c r="D454" s="27" t="s">
        <v>39</v>
      </c>
      <c r="E454" s="26">
        <v>0</v>
      </c>
      <c r="F454" s="28" t="s">
        <v>2845</v>
      </c>
      <c r="G454" s="26"/>
      <c r="H454" s="29"/>
      <c r="I454" s="30"/>
    </row>
    <row r="455" spans="2:9" s="1" customFormat="1" ht="27" x14ac:dyDescent="0.2">
      <c r="B455" s="13" t="str">
        <f t="shared" si="5"/>
        <v>2025-036-1</v>
      </c>
      <c r="C455" s="14">
        <v>2025</v>
      </c>
      <c r="D455" s="15" t="s">
        <v>39</v>
      </c>
      <c r="E455" s="14">
        <v>1</v>
      </c>
      <c r="F455" s="16" t="s">
        <v>2656</v>
      </c>
      <c r="G455" s="14"/>
      <c r="H455" s="17"/>
      <c r="I455" s="18"/>
    </row>
    <row r="456" spans="2:9" s="1" customFormat="1" x14ac:dyDescent="0.2">
      <c r="B456" s="13" t="str">
        <f t="shared" si="5"/>
        <v>2025-036-2</v>
      </c>
      <c r="C456" s="14">
        <v>2025</v>
      </c>
      <c r="D456" s="15" t="s">
        <v>39</v>
      </c>
      <c r="E456" s="14">
        <v>2</v>
      </c>
      <c r="F456" s="16" t="s">
        <v>2700</v>
      </c>
      <c r="G456" s="14" t="s">
        <v>3210</v>
      </c>
      <c r="H456" s="17"/>
      <c r="I456" s="18"/>
    </row>
    <row r="457" spans="2:9" s="1" customFormat="1" ht="27" x14ac:dyDescent="0.2">
      <c r="B457" s="13" t="str">
        <f t="shared" si="5"/>
        <v>2025-036-3</v>
      </c>
      <c r="C457" s="14">
        <v>2025</v>
      </c>
      <c r="D457" s="15" t="s">
        <v>39</v>
      </c>
      <c r="E457" s="14">
        <v>3</v>
      </c>
      <c r="F457" s="16" t="s">
        <v>2743</v>
      </c>
      <c r="G457" s="14"/>
      <c r="H457" s="17"/>
      <c r="I457" s="18"/>
    </row>
    <row r="458" spans="2:9" s="1" customFormat="1" x14ac:dyDescent="0.2">
      <c r="B458" s="13" t="str">
        <f t="shared" si="5"/>
        <v>2025-036-4</v>
      </c>
      <c r="C458" s="14">
        <v>2025</v>
      </c>
      <c r="D458" s="15" t="s">
        <v>39</v>
      </c>
      <c r="E458" s="14">
        <v>4</v>
      </c>
      <c r="F458" s="16" t="s">
        <v>2781</v>
      </c>
      <c r="G458" s="14"/>
      <c r="H458" s="17"/>
      <c r="I458" s="18"/>
    </row>
    <row r="459" spans="2:9" s="1" customFormat="1" ht="27" x14ac:dyDescent="0.2">
      <c r="B459" s="19" t="str">
        <f t="shared" si="5"/>
        <v>2025-036-5</v>
      </c>
      <c r="C459" s="20">
        <v>2025</v>
      </c>
      <c r="D459" s="21" t="s">
        <v>39</v>
      </c>
      <c r="E459" s="20">
        <v>5</v>
      </c>
      <c r="F459" s="22" t="s">
        <v>2866</v>
      </c>
      <c r="G459" s="20"/>
      <c r="H459" s="23"/>
      <c r="I459" s="24"/>
    </row>
    <row r="460" spans="2:9" s="1" customFormat="1" ht="54" x14ac:dyDescent="0.2">
      <c r="B460" s="25" t="str">
        <f t="shared" si="5"/>
        <v>2025-037-0</v>
      </c>
      <c r="C460" s="26">
        <v>2025</v>
      </c>
      <c r="D460" s="27" t="s">
        <v>40</v>
      </c>
      <c r="E460" s="26">
        <v>0</v>
      </c>
      <c r="F460" s="28" t="s">
        <v>2846</v>
      </c>
      <c r="G460" s="26"/>
      <c r="H460" s="29"/>
      <c r="I460" s="30"/>
    </row>
    <row r="461" spans="2:9" s="1" customFormat="1" x14ac:dyDescent="0.2">
      <c r="B461" s="13" t="str">
        <f t="shared" si="5"/>
        <v>2025-037-1</v>
      </c>
      <c r="C461" s="14">
        <v>2025</v>
      </c>
      <c r="D461" s="15" t="s">
        <v>40</v>
      </c>
      <c r="E461" s="14">
        <v>1</v>
      </c>
      <c r="F461" s="16" t="s">
        <v>45</v>
      </c>
      <c r="G461" s="14"/>
      <c r="H461" s="17"/>
      <c r="I461" s="18"/>
    </row>
    <row r="462" spans="2:9" s="1" customFormat="1" x14ac:dyDescent="0.2">
      <c r="B462" s="13" t="str">
        <f t="shared" si="5"/>
        <v>2025-037-2</v>
      </c>
      <c r="C462" s="14">
        <v>2025</v>
      </c>
      <c r="D462" s="15" t="s">
        <v>40</v>
      </c>
      <c r="E462" s="14">
        <v>2</v>
      </c>
      <c r="F462" s="16" t="s">
        <v>50</v>
      </c>
      <c r="G462" s="14"/>
      <c r="H462" s="17"/>
      <c r="I462" s="18"/>
    </row>
    <row r="463" spans="2:9" s="1" customFormat="1" x14ac:dyDescent="0.2">
      <c r="B463" s="13" t="str">
        <f t="shared" si="5"/>
        <v>2025-037-3</v>
      </c>
      <c r="C463" s="14">
        <v>2025</v>
      </c>
      <c r="D463" s="15" t="s">
        <v>40</v>
      </c>
      <c r="E463" s="14">
        <v>3</v>
      </c>
      <c r="F463" s="16" t="s">
        <v>44</v>
      </c>
      <c r="G463" s="14"/>
      <c r="H463" s="17"/>
      <c r="I463" s="18"/>
    </row>
    <row r="464" spans="2:9" s="1" customFormat="1" x14ac:dyDescent="0.2">
      <c r="B464" s="13" t="str">
        <f t="shared" si="5"/>
        <v>2025-037-4</v>
      </c>
      <c r="C464" s="14">
        <v>2025</v>
      </c>
      <c r="D464" s="15" t="s">
        <v>40</v>
      </c>
      <c r="E464" s="14">
        <v>4</v>
      </c>
      <c r="F464" s="16" t="s">
        <v>55</v>
      </c>
      <c r="G464" s="14"/>
      <c r="H464" s="17"/>
      <c r="I464" s="18"/>
    </row>
    <row r="465" spans="2:9" s="1" customFormat="1" x14ac:dyDescent="0.2">
      <c r="B465" s="19" t="str">
        <f t="shared" si="5"/>
        <v>2025-037-5</v>
      </c>
      <c r="C465" s="20">
        <v>2025</v>
      </c>
      <c r="D465" s="21" t="s">
        <v>40</v>
      </c>
      <c r="E465" s="20">
        <v>5</v>
      </c>
      <c r="F465" s="22" t="s">
        <v>46</v>
      </c>
      <c r="G465" s="20" t="s">
        <v>3210</v>
      </c>
      <c r="H465" s="23"/>
      <c r="I465" s="24"/>
    </row>
    <row r="466" spans="2:9" s="1" customFormat="1" x14ac:dyDescent="0.2">
      <c r="B466" s="25" t="str">
        <f t="shared" si="5"/>
        <v>2025-038-0</v>
      </c>
      <c r="C466" s="26">
        <v>2025</v>
      </c>
      <c r="D466" s="27" t="s">
        <v>41</v>
      </c>
      <c r="E466" s="26">
        <v>0</v>
      </c>
      <c r="F466" s="28" t="s">
        <v>2848</v>
      </c>
      <c r="G466" s="26"/>
      <c r="H466" s="29"/>
      <c r="I466" s="30"/>
    </row>
    <row r="467" spans="2:9" s="1" customFormat="1" x14ac:dyDescent="0.2">
      <c r="B467" s="13" t="str">
        <f t="shared" si="5"/>
        <v>2025-038-1</v>
      </c>
      <c r="C467" s="14">
        <v>2025</v>
      </c>
      <c r="D467" s="15" t="s">
        <v>41</v>
      </c>
      <c r="E467" s="14">
        <v>1</v>
      </c>
      <c r="F467" s="16" t="s">
        <v>2657</v>
      </c>
      <c r="G467" s="14"/>
      <c r="H467" s="17"/>
      <c r="I467" s="18"/>
    </row>
    <row r="468" spans="2:9" s="1" customFormat="1" ht="27" x14ac:dyDescent="0.2">
      <c r="B468" s="13" t="str">
        <f t="shared" si="5"/>
        <v>2025-038-2</v>
      </c>
      <c r="C468" s="14">
        <v>2025</v>
      </c>
      <c r="D468" s="15" t="s">
        <v>41</v>
      </c>
      <c r="E468" s="14">
        <v>2</v>
      </c>
      <c r="F468" s="16" t="s">
        <v>2701</v>
      </c>
      <c r="G468" s="14" t="s">
        <v>3210</v>
      </c>
      <c r="H468" s="17"/>
      <c r="I468" s="18"/>
    </row>
    <row r="469" spans="2:9" s="1" customFormat="1" x14ac:dyDescent="0.2">
      <c r="B469" s="13" t="str">
        <f t="shared" si="5"/>
        <v>2025-038-3</v>
      </c>
      <c r="C469" s="14">
        <v>2025</v>
      </c>
      <c r="D469" s="15" t="s">
        <v>41</v>
      </c>
      <c r="E469" s="14">
        <v>3</v>
      </c>
      <c r="F469" s="16" t="s">
        <v>2744</v>
      </c>
      <c r="G469" s="14"/>
      <c r="H469" s="17"/>
      <c r="I469" s="18"/>
    </row>
    <row r="470" spans="2:9" s="1" customFormat="1" x14ac:dyDescent="0.2">
      <c r="B470" s="13" t="str">
        <f t="shared" si="5"/>
        <v>2025-038-4</v>
      </c>
      <c r="C470" s="14">
        <v>2025</v>
      </c>
      <c r="D470" s="15" t="s">
        <v>41</v>
      </c>
      <c r="E470" s="14">
        <v>4</v>
      </c>
      <c r="F470" s="16" t="s">
        <v>2782</v>
      </c>
      <c r="G470" s="14"/>
      <c r="H470" s="17"/>
      <c r="I470" s="18"/>
    </row>
    <row r="471" spans="2:9" s="1" customFormat="1" x14ac:dyDescent="0.2">
      <c r="B471" s="19" t="str">
        <f t="shared" si="5"/>
        <v>2025-038-5</v>
      </c>
      <c r="C471" s="20">
        <v>2025</v>
      </c>
      <c r="D471" s="21" t="s">
        <v>41</v>
      </c>
      <c r="E471" s="20">
        <v>5</v>
      </c>
      <c r="F471" s="22" t="s">
        <v>2824</v>
      </c>
      <c r="G471" s="20"/>
      <c r="H471" s="23"/>
      <c r="I471" s="24"/>
    </row>
    <row r="472" spans="2:9" s="1" customFormat="1" ht="94.5" x14ac:dyDescent="0.2">
      <c r="B472" s="25" t="str">
        <f t="shared" si="5"/>
        <v>2025-039-0</v>
      </c>
      <c r="C472" s="26">
        <v>2025</v>
      </c>
      <c r="D472" s="27" t="s">
        <v>42</v>
      </c>
      <c r="E472" s="26">
        <v>0</v>
      </c>
      <c r="F472" s="28" t="s">
        <v>2847</v>
      </c>
      <c r="G472" s="26"/>
      <c r="H472" s="29"/>
      <c r="I472" s="30"/>
    </row>
    <row r="473" spans="2:9" s="1" customFormat="1" x14ac:dyDescent="0.2">
      <c r="B473" s="13" t="str">
        <f t="shared" si="5"/>
        <v>2025-039-1</v>
      </c>
      <c r="C473" s="14">
        <v>2025</v>
      </c>
      <c r="D473" s="15" t="s">
        <v>42</v>
      </c>
      <c r="E473" s="14">
        <v>1</v>
      </c>
      <c r="F473" s="16" t="s">
        <v>45</v>
      </c>
      <c r="G473" s="14"/>
      <c r="H473" s="17"/>
      <c r="I473" s="18"/>
    </row>
    <row r="474" spans="2:9" s="1" customFormat="1" x14ac:dyDescent="0.2">
      <c r="B474" s="13" t="str">
        <f t="shared" si="5"/>
        <v>2025-039-2</v>
      </c>
      <c r="C474" s="14">
        <v>2025</v>
      </c>
      <c r="D474" s="15" t="s">
        <v>42</v>
      </c>
      <c r="E474" s="14">
        <v>2</v>
      </c>
      <c r="F474" s="16" t="s">
        <v>53</v>
      </c>
      <c r="G474" s="14"/>
      <c r="H474" s="17"/>
      <c r="I474" s="18"/>
    </row>
    <row r="475" spans="2:9" s="1" customFormat="1" x14ac:dyDescent="0.2">
      <c r="B475" s="13" t="str">
        <f t="shared" si="5"/>
        <v>2025-039-3</v>
      </c>
      <c r="C475" s="14">
        <v>2025</v>
      </c>
      <c r="D475" s="15" t="s">
        <v>42</v>
      </c>
      <c r="E475" s="14">
        <v>3</v>
      </c>
      <c r="F475" s="16" t="s">
        <v>44</v>
      </c>
      <c r="G475" s="14" t="s">
        <v>3210</v>
      </c>
      <c r="H475" s="17"/>
      <c r="I475" s="18"/>
    </row>
    <row r="476" spans="2:9" s="1" customFormat="1" x14ac:dyDescent="0.2">
      <c r="B476" s="13" t="str">
        <f t="shared" si="5"/>
        <v>2025-039-4</v>
      </c>
      <c r="C476" s="14">
        <v>2025</v>
      </c>
      <c r="D476" s="15" t="s">
        <v>42</v>
      </c>
      <c r="E476" s="14">
        <v>4</v>
      </c>
      <c r="F476" s="16" t="s">
        <v>55</v>
      </c>
      <c r="G476" s="14"/>
      <c r="H476" s="17"/>
      <c r="I476" s="18"/>
    </row>
    <row r="477" spans="2:9" s="1" customFormat="1" x14ac:dyDescent="0.2">
      <c r="B477" s="19" t="str">
        <f t="shared" si="5"/>
        <v>2025-039-5</v>
      </c>
      <c r="C477" s="20">
        <v>2025</v>
      </c>
      <c r="D477" s="21" t="s">
        <v>42</v>
      </c>
      <c r="E477" s="20">
        <v>5</v>
      </c>
      <c r="F477" s="22" t="s">
        <v>46</v>
      </c>
      <c r="G477" s="20"/>
      <c r="H477" s="23"/>
      <c r="I477" s="24"/>
    </row>
    <row r="478" spans="2:9" s="1" customFormat="1" x14ac:dyDescent="0.2">
      <c r="B478" s="25" t="str">
        <f t="shared" si="5"/>
        <v>2025-040-0</v>
      </c>
      <c r="C478" s="26">
        <v>2025</v>
      </c>
      <c r="D478" s="27" t="s">
        <v>43</v>
      </c>
      <c r="E478" s="26">
        <v>0</v>
      </c>
      <c r="F478" s="28" t="s">
        <v>2849</v>
      </c>
      <c r="G478" s="26"/>
      <c r="H478" s="29"/>
      <c r="I478" s="30"/>
    </row>
    <row r="479" spans="2:9" s="1" customFormat="1" ht="27" x14ac:dyDescent="0.2">
      <c r="B479" s="13" t="str">
        <f t="shared" si="5"/>
        <v>2025-040-1</v>
      </c>
      <c r="C479" s="14">
        <v>2025</v>
      </c>
      <c r="D479" s="15" t="s">
        <v>43</v>
      </c>
      <c r="E479" s="14">
        <v>1</v>
      </c>
      <c r="F479" s="16" t="s">
        <v>2658</v>
      </c>
      <c r="G479" s="14" t="s">
        <v>3210</v>
      </c>
      <c r="H479" s="17"/>
      <c r="I479" s="18"/>
    </row>
    <row r="480" spans="2:9" s="1" customFormat="1" ht="27" x14ac:dyDescent="0.2">
      <c r="B480" s="13" t="str">
        <f t="shared" si="5"/>
        <v>2025-040-2</v>
      </c>
      <c r="C480" s="14">
        <v>2025</v>
      </c>
      <c r="D480" s="15" t="s">
        <v>43</v>
      </c>
      <c r="E480" s="14">
        <v>2</v>
      </c>
      <c r="F480" s="16" t="s">
        <v>2702</v>
      </c>
      <c r="G480" s="14"/>
      <c r="H480" s="17"/>
      <c r="I480" s="18"/>
    </row>
    <row r="481" spans="2:9" s="1" customFormat="1" x14ac:dyDescent="0.2">
      <c r="B481" s="13" t="str">
        <f t="shared" si="5"/>
        <v>2025-040-3</v>
      </c>
      <c r="C481" s="14">
        <v>2025</v>
      </c>
      <c r="D481" s="15" t="s">
        <v>43</v>
      </c>
      <c r="E481" s="14">
        <v>3</v>
      </c>
      <c r="F481" s="16" t="s">
        <v>2745</v>
      </c>
      <c r="G481" s="14"/>
      <c r="H481" s="17"/>
      <c r="I481" s="18"/>
    </row>
    <row r="482" spans="2:9" s="1" customFormat="1" ht="27" x14ac:dyDescent="0.2">
      <c r="B482" s="13" t="str">
        <f t="shared" si="5"/>
        <v>2025-040-4</v>
      </c>
      <c r="C482" s="14">
        <v>2025</v>
      </c>
      <c r="D482" s="15" t="s">
        <v>43</v>
      </c>
      <c r="E482" s="14">
        <v>4</v>
      </c>
      <c r="F482" s="16" t="s">
        <v>2783</v>
      </c>
      <c r="G482" s="14"/>
      <c r="H482" s="17"/>
      <c r="I482" s="18"/>
    </row>
    <row r="483" spans="2:9" s="1" customFormat="1" ht="27.75" thickBot="1" x14ac:dyDescent="0.25">
      <c r="B483" s="31" t="str">
        <f t="shared" si="5"/>
        <v>2025-040-5</v>
      </c>
      <c r="C483" s="32">
        <v>2025</v>
      </c>
      <c r="D483" s="33" t="s">
        <v>43</v>
      </c>
      <c r="E483" s="32">
        <v>5</v>
      </c>
      <c r="F483" s="34" t="s">
        <v>2825</v>
      </c>
      <c r="G483" s="32"/>
      <c r="H483" s="35"/>
      <c r="I483" s="36"/>
    </row>
    <row r="484" spans="2:9" s="1" customFormat="1" x14ac:dyDescent="0.2">
      <c r="B484" s="38" t="str">
        <f>C484&amp;"-"&amp;D484&amp;"-"&amp;E484</f>
        <v>2024-001-0</v>
      </c>
      <c r="C484" s="39">
        <v>2024</v>
      </c>
      <c r="D484" s="39" t="s">
        <v>4</v>
      </c>
      <c r="E484" s="40">
        <v>0</v>
      </c>
      <c r="F484" s="41" t="s">
        <v>105</v>
      </c>
      <c r="G484" s="39"/>
      <c r="H484" s="42"/>
      <c r="I484" s="43"/>
    </row>
    <row r="485" spans="2:9" s="1" customFormat="1" x14ac:dyDescent="0.2">
      <c r="B485" s="44" t="str">
        <f t="shared" ref="B485:B548" si="6">C485&amp;"-"&amp;D485&amp;"-"&amp;E485</f>
        <v>2024-001-1</v>
      </c>
      <c r="C485" s="45">
        <v>2024</v>
      </c>
      <c r="D485" s="45" t="s">
        <v>4</v>
      </c>
      <c r="E485" s="46">
        <v>1</v>
      </c>
      <c r="F485" s="47" t="s">
        <v>506</v>
      </c>
      <c r="G485" s="45"/>
      <c r="H485" s="48"/>
      <c r="I485" s="49"/>
    </row>
    <row r="486" spans="2:9" s="1" customFormat="1" x14ac:dyDescent="0.2">
      <c r="B486" s="44" t="str">
        <f t="shared" si="6"/>
        <v>2024-001-2</v>
      </c>
      <c r="C486" s="45">
        <v>2024</v>
      </c>
      <c r="D486" s="45" t="s">
        <v>4</v>
      </c>
      <c r="E486" s="46">
        <v>2</v>
      </c>
      <c r="F486" s="47" t="s">
        <v>908</v>
      </c>
      <c r="G486" s="45"/>
      <c r="H486" s="48"/>
      <c r="I486" s="49"/>
    </row>
    <row r="487" spans="2:9" s="1" customFormat="1" x14ac:dyDescent="0.2">
      <c r="B487" s="44" t="str">
        <f t="shared" si="6"/>
        <v>2024-001-3</v>
      </c>
      <c r="C487" s="45">
        <v>2024</v>
      </c>
      <c r="D487" s="45" t="s">
        <v>4</v>
      </c>
      <c r="E487" s="46">
        <v>3</v>
      </c>
      <c r="F487" s="47" t="s">
        <v>1303</v>
      </c>
      <c r="G487" s="45"/>
      <c r="H487" s="48"/>
      <c r="I487" s="49"/>
    </row>
    <row r="488" spans="2:9" s="1" customFormat="1" ht="27" x14ac:dyDescent="0.2">
      <c r="B488" s="44" t="str">
        <f t="shared" si="6"/>
        <v>2024-001-4</v>
      </c>
      <c r="C488" s="45">
        <v>2024</v>
      </c>
      <c r="D488" s="45" t="s">
        <v>4</v>
      </c>
      <c r="E488" s="45">
        <v>4</v>
      </c>
      <c r="F488" s="47" t="s">
        <v>1699</v>
      </c>
      <c r="G488" s="45" t="s">
        <v>3210</v>
      </c>
      <c r="H488" s="48"/>
      <c r="I488" s="49"/>
    </row>
    <row r="489" spans="2:9" s="1" customFormat="1" ht="27" x14ac:dyDescent="0.2">
      <c r="B489" s="50" t="str">
        <f t="shared" si="6"/>
        <v>2024-001-5</v>
      </c>
      <c r="C489" s="51">
        <v>2024</v>
      </c>
      <c r="D489" s="51" t="s">
        <v>4</v>
      </c>
      <c r="E489" s="51">
        <v>5</v>
      </c>
      <c r="F489" s="52" t="s">
        <v>2094</v>
      </c>
      <c r="G489" s="51"/>
      <c r="H489" s="53"/>
      <c r="I489" s="54"/>
    </row>
    <row r="490" spans="2:9" s="1" customFormat="1" x14ac:dyDescent="0.2">
      <c r="B490" s="55" t="str">
        <f t="shared" si="6"/>
        <v>2024-002-0</v>
      </c>
      <c r="C490" s="56">
        <v>2024</v>
      </c>
      <c r="D490" s="56" t="s">
        <v>5</v>
      </c>
      <c r="E490" s="56">
        <v>0</v>
      </c>
      <c r="F490" s="57" t="s">
        <v>106</v>
      </c>
      <c r="G490" s="56"/>
      <c r="H490" s="58"/>
      <c r="I490" s="59"/>
    </row>
    <row r="491" spans="2:9" s="1" customFormat="1" x14ac:dyDescent="0.2">
      <c r="B491" s="44" t="str">
        <f t="shared" si="6"/>
        <v>2024-002-1</v>
      </c>
      <c r="C491" s="45">
        <v>2024</v>
      </c>
      <c r="D491" s="45" t="s">
        <v>5</v>
      </c>
      <c r="E491" s="45">
        <v>1</v>
      </c>
      <c r="F491" s="47" t="s">
        <v>507</v>
      </c>
      <c r="G491" s="45"/>
      <c r="H491" s="48"/>
      <c r="I491" s="49"/>
    </row>
    <row r="492" spans="2:9" s="1" customFormat="1" x14ac:dyDescent="0.2">
      <c r="B492" s="44" t="str">
        <f t="shared" si="6"/>
        <v>2024-002-2</v>
      </c>
      <c r="C492" s="45">
        <v>2024</v>
      </c>
      <c r="D492" s="45" t="s">
        <v>5</v>
      </c>
      <c r="E492" s="45">
        <v>2</v>
      </c>
      <c r="F492" s="47" t="s">
        <v>909</v>
      </c>
      <c r="G492" s="45" t="s">
        <v>3210</v>
      </c>
      <c r="H492" s="48"/>
      <c r="I492" s="49"/>
    </row>
    <row r="493" spans="2:9" s="1" customFormat="1" x14ac:dyDescent="0.2">
      <c r="B493" s="44" t="str">
        <f t="shared" si="6"/>
        <v>2024-002-3</v>
      </c>
      <c r="C493" s="45">
        <v>2024</v>
      </c>
      <c r="D493" s="45" t="s">
        <v>5</v>
      </c>
      <c r="E493" s="45">
        <v>3</v>
      </c>
      <c r="F493" s="47" t="s">
        <v>1304</v>
      </c>
      <c r="G493" s="45"/>
      <c r="H493" s="48"/>
      <c r="I493" s="49"/>
    </row>
    <row r="494" spans="2:9" s="1" customFormat="1" x14ac:dyDescent="0.2">
      <c r="B494" s="44" t="str">
        <f t="shared" si="6"/>
        <v>2024-002-4</v>
      </c>
      <c r="C494" s="45">
        <v>2024</v>
      </c>
      <c r="D494" s="45" t="s">
        <v>5</v>
      </c>
      <c r="E494" s="45">
        <v>4</v>
      </c>
      <c r="F494" s="47" t="s">
        <v>1700</v>
      </c>
      <c r="G494" s="45"/>
      <c r="H494" s="48"/>
      <c r="I494" s="49"/>
    </row>
    <row r="495" spans="2:9" s="1" customFormat="1" x14ac:dyDescent="0.2">
      <c r="B495" s="50" t="str">
        <f t="shared" si="6"/>
        <v>2024-002-5</v>
      </c>
      <c r="C495" s="51">
        <v>2024</v>
      </c>
      <c r="D495" s="51" t="s">
        <v>5</v>
      </c>
      <c r="E495" s="51">
        <v>5</v>
      </c>
      <c r="F495" s="52" t="s">
        <v>2095</v>
      </c>
      <c r="G495" s="51"/>
      <c r="H495" s="53"/>
      <c r="I495" s="54"/>
    </row>
    <row r="496" spans="2:9" s="1" customFormat="1" x14ac:dyDescent="0.2">
      <c r="B496" s="55" t="str">
        <f t="shared" si="6"/>
        <v>2024-003-0</v>
      </c>
      <c r="C496" s="56">
        <v>2024</v>
      </c>
      <c r="D496" s="56" t="s">
        <v>6</v>
      </c>
      <c r="E496" s="56">
        <v>0</v>
      </c>
      <c r="F496" s="57" t="s">
        <v>107</v>
      </c>
      <c r="G496" s="56"/>
      <c r="H496" s="58"/>
      <c r="I496" s="59"/>
    </row>
    <row r="497" spans="2:9" s="2" customFormat="1" ht="27" x14ac:dyDescent="0.2">
      <c r="B497" s="44" t="str">
        <f t="shared" si="6"/>
        <v>2024-003-1</v>
      </c>
      <c r="C497" s="45">
        <v>2024</v>
      </c>
      <c r="D497" s="45" t="s">
        <v>6</v>
      </c>
      <c r="E497" s="45">
        <v>1</v>
      </c>
      <c r="F497" s="47" t="s">
        <v>508</v>
      </c>
      <c r="G497" s="45" t="s">
        <v>3210</v>
      </c>
      <c r="H497" s="48"/>
      <c r="I497" s="49"/>
    </row>
    <row r="498" spans="2:9" s="2" customFormat="1" ht="27" x14ac:dyDescent="0.2">
      <c r="B498" s="44" t="str">
        <f t="shared" si="6"/>
        <v>2024-003-2</v>
      </c>
      <c r="C498" s="45">
        <v>2024</v>
      </c>
      <c r="D498" s="45" t="s">
        <v>6</v>
      </c>
      <c r="E498" s="45">
        <v>2</v>
      </c>
      <c r="F498" s="47" t="s">
        <v>910</v>
      </c>
      <c r="G498" s="45"/>
      <c r="H498" s="48"/>
      <c r="I498" s="49"/>
    </row>
    <row r="499" spans="2:9" s="2" customFormat="1" ht="27" x14ac:dyDescent="0.2">
      <c r="B499" s="44" t="str">
        <f t="shared" si="6"/>
        <v>2024-003-3</v>
      </c>
      <c r="C499" s="45">
        <v>2024</v>
      </c>
      <c r="D499" s="45" t="s">
        <v>6</v>
      </c>
      <c r="E499" s="45">
        <v>3</v>
      </c>
      <c r="F499" s="47" t="s">
        <v>1305</v>
      </c>
      <c r="G499" s="45"/>
      <c r="H499" s="48"/>
      <c r="I499" s="49"/>
    </row>
    <row r="500" spans="2:9" s="2" customFormat="1" x14ac:dyDescent="0.2">
      <c r="B500" s="44" t="str">
        <f t="shared" si="6"/>
        <v>2024-003-4</v>
      </c>
      <c r="C500" s="45">
        <v>2024</v>
      </c>
      <c r="D500" s="45" t="s">
        <v>6</v>
      </c>
      <c r="E500" s="45">
        <v>4</v>
      </c>
      <c r="F500" s="47" t="s">
        <v>1701</v>
      </c>
      <c r="G500" s="45"/>
      <c r="H500" s="48"/>
      <c r="I500" s="49"/>
    </row>
    <row r="501" spans="2:9" s="2" customFormat="1" x14ac:dyDescent="0.2">
      <c r="B501" s="50" t="str">
        <f t="shared" si="6"/>
        <v>2024-003-5</v>
      </c>
      <c r="C501" s="51">
        <v>2024</v>
      </c>
      <c r="D501" s="51" t="s">
        <v>6</v>
      </c>
      <c r="E501" s="51">
        <v>5</v>
      </c>
      <c r="F501" s="52" t="s">
        <v>2096</v>
      </c>
      <c r="G501" s="51"/>
      <c r="H501" s="53"/>
      <c r="I501" s="54"/>
    </row>
    <row r="502" spans="2:9" s="2" customFormat="1" x14ac:dyDescent="0.2">
      <c r="B502" s="55" t="str">
        <f t="shared" si="6"/>
        <v>2024-004-0</v>
      </c>
      <c r="C502" s="56">
        <v>2024</v>
      </c>
      <c r="D502" s="56" t="s">
        <v>7</v>
      </c>
      <c r="E502" s="56">
        <v>0</v>
      </c>
      <c r="F502" s="57" t="s">
        <v>108</v>
      </c>
      <c r="G502" s="56"/>
      <c r="H502" s="58"/>
      <c r="I502" s="59"/>
    </row>
    <row r="503" spans="2:9" s="2" customFormat="1" x14ac:dyDescent="0.2">
      <c r="B503" s="44" t="str">
        <f t="shared" si="6"/>
        <v>2024-004-1</v>
      </c>
      <c r="C503" s="45">
        <v>2024</v>
      </c>
      <c r="D503" s="45" t="s">
        <v>7</v>
      </c>
      <c r="E503" s="45">
        <v>1</v>
      </c>
      <c r="F503" s="47" t="s">
        <v>509</v>
      </c>
      <c r="G503" s="45" t="s">
        <v>3210</v>
      </c>
      <c r="H503" s="48"/>
      <c r="I503" s="49"/>
    </row>
    <row r="504" spans="2:9" s="2" customFormat="1" x14ac:dyDescent="0.2">
      <c r="B504" s="44" t="str">
        <f t="shared" si="6"/>
        <v>2024-004-2</v>
      </c>
      <c r="C504" s="45">
        <v>2024</v>
      </c>
      <c r="D504" s="45" t="s">
        <v>7</v>
      </c>
      <c r="E504" s="45">
        <v>2</v>
      </c>
      <c r="F504" s="47" t="s">
        <v>911</v>
      </c>
      <c r="G504" s="45"/>
      <c r="H504" s="48"/>
      <c r="I504" s="49"/>
    </row>
    <row r="505" spans="2:9" s="2" customFormat="1" ht="27" x14ac:dyDescent="0.2">
      <c r="B505" s="44" t="str">
        <f t="shared" si="6"/>
        <v>2024-004-3</v>
      </c>
      <c r="C505" s="45">
        <v>2024</v>
      </c>
      <c r="D505" s="45" t="s">
        <v>7</v>
      </c>
      <c r="E505" s="45">
        <v>3</v>
      </c>
      <c r="F505" s="47" t="s">
        <v>1306</v>
      </c>
      <c r="G505" s="45"/>
      <c r="H505" s="48"/>
      <c r="I505" s="49"/>
    </row>
    <row r="506" spans="2:9" s="2" customFormat="1" ht="27" x14ac:dyDescent="0.2">
      <c r="B506" s="44" t="str">
        <f t="shared" si="6"/>
        <v>2024-004-4</v>
      </c>
      <c r="C506" s="45">
        <v>2024</v>
      </c>
      <c r="D506" s="45" t="s">
        <v>7</v>
      </c>
      <c r="E506" s="45">
        <v>4</v>
      </c>
      <c r="F506" s="47" t="s">
        <v>1702</v>
      </c>
      <c r="G506" s="45"/>
      <c r="H506" s="48"/>
      <c r="I506" s="49"/>
    </row>
    <row r="507" spans="2:9" s="2" customFormat="1" x14ac:dyDescent="0.2">
      <c r="B507" s="50" t="str">
        <f t="shared" si="6"/>
        <v>2024-004-5</v>
      </c>
      <c r="C507" s="51">
        <v>2024</v>
      </c>
      <c r="D507" s="51" t="s">
        <v>7</v>
      </c>
      <c r="E507" s="51">
        <v>5</v>
      </c>
      <c r="F507" s="52" t="s">
        <v>2097</v>
      </c>
      <c r="G507" s="51"/>
      <c r="H507" s="53"/>
      <c r="I507" s="54"/>
    </row>
    <row r="508" spans="2:9" s="2" customFormat="1" x14ac:dyDescent="0.2">
      <c r="B508" s="55" t="str">
        <f t="shared" si="6"/>
        <v>2024-005-0</v>
      </c>
      <c r="C508" s="56">
        <v>2024</v>
      </c>
      <c r="D508" s="56" t="s">
        <v>8</v>
      </c>
      <c r="E508" s="56">
        <v>0</v>
      </c>
      <c r="F508" s="57" t="s">
        <v>109</v>
      </c>
      <c r="G508" s="56"/>
      <c r="H508" s="58"/>
      <c r="I508" s="59"/>
    </row>
    <row r="509" spans="2:9" s="2" customFormat="1" ht="27" x14ac:dyDescent="0.2">
      <c r="B509" s="44" t="str">
        <f t="shared" si="6"/>
        <v>2024-005-1</v>
      </c>
      <c r="C509" s="45">
        <v>2024</v>
      </c>
      <c r="D509" s="45" t="s">
        <v>8</v>
      </c>
      <c r="E509" s="45">
        <v>1</v>
      </c>
      <c r="F509" s="47" t="s">
        <v>510</v>
      </c>
      <c r="G509" s="45"/>
      <c r="H509" s="48"/>
      <c r="I509" s="49"/>
    </row>
    <row r="510" spans="2:9" s="2" customFormat="1" x14ac:dyDescent="0.2">
      <c r="B510" s="44" t="str">
        <f t="shared" si="6"/>
        <v>2024-005-2</v>
      </c>
      <c r="C510" s="45">
        <v>2024</v>
      </c>
      <c r="D510" s="45" t="s">
        <v>8</v>
      </c>
      <c r="E510" s="45">
        <v>2</v>
      </c>
      <c r="F510" s="47" t="s">
        <v>912</v>
      </c>
      <c r="G510" s="45" t="s">
        <v>3210</v>
      </c>
      <c r="H510" s="48"/>
      <c r="I510" s="49"/>
    </row>
    <row r="511" spans="2:9" s="2" customFormat="1" ht="27" x14ac:dyDescent="0.2">
      <c r="B511" s="44" t="str">
        <f t="shared" si="6"/>
        <v>2024-005-3</v>
      </c>
      <c r="C511" s="45">
        <v>2024</v>
      </c>
      <c r="D511" s="45" t="s">
        <v>8</v>
      </c>
      <c r="E511" s="45">
        <v>3</v>
      </c>
      <c r="F511" s="47" t="s">
        <v>1307</v>
      </c>
      <c r="G511" s="45"/>
      <c r="H511" s="48"/>
      <c r="I511" s="49"/>
    </row>
    <row r="512" spans="2:9" s="2" customFormat="1" x14ac:dyDescent="0.2">
      <c r="B512" s="44" t="str">
        <f t="shared" si="6"/>
        <v>2024-005-4</v>
      </c>
      <c r="C512" s="45">
        <v>2024</v>
      </c>
      <c r="D512" s="45" t="s">
        <v>8</v>
      </c>
      <c r="E512" s="45">
        <v>4</v>
      </c>
      <c r="F512" s="47" t="s">
        <v>1703</v>
      </c>
      <c r="G512" s="45"/>
      <c r="H512" s="48"/>
      <c r="I512" s="49"/>
    </row>
    <row r="513" spans="2:9" s="2" customFormat="1" x14ac:dyDescent="0.2">
      <c r="B513" s="50" t="str">
        <f t="shared" si="6"/>
        <v>2024-005-5</v>
      </c>
      <c r="C513" s="51">
        <v>2024</v>
      </c>
      <c r="D513" s="51" t="s">
        <v>8</v>
      </c>
      <c r="E513" s="51">
        <v>5</v>
      </c>
      <c r="F513" s="52" t="s">
        <v>2098</v>
      </c>
      <c r="G513" s="51"/>
      <c r="H513" s="53"/>
      <c r="I513" s="54"/>
    </row>
    <row r="514" spans="2:9" s="2" customFormat="1" x14ac:dyDescent="0.2">
      <c r="B514" s="55" t="str">
        <f t="shared" si="6"/>
        <v>2024-006-0</v>
      </c>
      <c r="C514" s="56">
        <v>2024</v>
      </c>
      <c r="D514" s="56" t="s">
        <v>9</v>
      </c>
      <c r="E514" s="56">
        <v>0</v>
      </c>
      <c r="F514" s="57" t="s">
        <v>110</v>
      </c>
      <c r="G514" s="56"/>
      <c r="H514" s="58"/>
      <c r="I514" s="59"/>
    </row>
    <row r="515" spans="2:9" s="2" customFormat="1" x14ac:dyDescent="0.2">
      <c r="B515" s="44" t="str">
        <f t="shared" si="6"/>
        <v>2024-006-1</v>
      </c>
      <c r="C515" s="45">
        <v>2024</v>
      </c>
      <c r="D515" s="45" t="s">
        <v>9</v>
      </c>
      <c r="E515" s="45">
        <v>1</v>
      </c>
      <c r="F515" s="47" t="s">
        <v>511</v>
      </c>
      <c r="G515" s="45"/>
      <c r="H515" s="48"/>
      <c r="I515" s="49"/>
    </row>
    <row r="516" spans="2:9" s="2" customFormat="1" x14ac:dyDescent="0.2">
      <c r="B516" s="44" t="str">
        <f t="shared" si="6"/>
        <v>2024-006-2</v>
      </c>
      <c r="C516" s="45">
        <v>2024</v>
      </c>
      <c r="D516" s="45" t="s">
        <v>9</v>
      </c>
      <c r="E516" s="45">
        <v>2</v>
      </c>
      <c r="F516" s="47" t="s">
        <v>913</v>
      </c>
      <c r="G516" s="45" t="s">
        <v>3210</v>
      </c>
      <c r="H516" s="48"/>
      <c r="I516" s="49"/>
    </row>
    <row r="517" spans="2:9" s="2" customFormat="1" ht="27" x14ac:dyDescent="0.2">
      <c r="B517" s="44" t="str">
        <f t="shared" si="6"/>
        <v>2024-006-3</v>
      </c>
      <c r="C517" s="45">
        <v>2024</v>
      </c>
      <c r="D517" s="45" t="s">
        <v>9</v>
      </c>
      <c r="E517" s="45">
        <v>3</v>
      </c>
      <c r="F517" s="47" t="s">
        <v>1308</v>
      </c>
      <c r="G517" s="45"/>
      <c r="H517" s="48"/>
      <c r="I517" s="49"/>
    </row>
    <row r="518" spans="2:9" s="2" customFormat="1" ht="27" x14ac:dyDescent="0.2">
      <c r="B518" s="44" t="str">
        <f t="shared" si="6"/>
        <v>2024-006-4</v>
      </c>
      <c r="C518" s="45">
        <v>2024</v>
      </c>
      <c r="D518" s="45" t="s">
        <v>9</v>
      </c>
      <c r="E518" s="45">
        <v>4</v>
      </c>
      <c r="F518" s="47" t="s">
        <v>1704</v>
      </c>
      <c r="G518" s="45"/>
      <c r="H518" s="48"/>
      <c r="I518" s="49"/>
    </row>
    <row r="519" spans="2:9" s="2" customFormat="1" ht="27" x14ac:dyDescent="0.2">
      <c r="B519" s="50" t="str">
        <f t="shared" si="6"/>
        <v>2024-006-5</v>
      </c>
      <c r="C519" s="51">
        <v>2024</v>
      </c>
      <c r="D519" s="51" t="s">
        <v>9</v>
      </c>
      <c r="E519" s="51">
        <v>5</v>
      </c>
      <c r="F519" s="52" t="s">
        <v>2099</v>
      </c>
      <c r="G519" s="51"/>
      <c r="H519" s="53"/>
      <c r="I519" s="54"/>
    </row>
    <row r="520" spans="2:9" s="2" customFormat="1" ht="108" x14ac:dyDescent="0.2">
      <c r="B520" s="55" t="str">
        <f t="shared" si="6"/>
        <v>2024-007-0</v>
      </c>
      <c r="C520" s="56">
        <v>2024</v>
      </c>
      <c r="D520" s="56" t="s">
        <v>10</v>
      </c>
      <c r="E520" s="56">
        <v>0</v>
      </c>
      <c r="F520" s="57" t="s">
        <v>111</v>
      </c>
      <c r="G520" s="56"/>
      <c r="H520" s="58"/>
      <c r="I520" s="59"/>
    </row>
    <row r="521" spans="2:9" s="2" customFormat="1" x14ac:dyDescent="0.2">
      <c r="B521" s="44" t="str">
        <f t="shared" si="6"/>
        <v>2024-007-1</v>
      </c>
      <c r="C521" s="45">
        <v>2024</v>
      </c>
      <c r="D521" s="45" t="s">
        <v>10</v>
      </c>
      <c r="E521" s="45">
        <v>1</v>
      </c>
      <c r="F521" s="47" t="s">
        <v>45</v>
      </c>
      <c r="G521" s="45" t="s">
        <v>3210</v>
      </c>
      <c r="H521" s="48"/>
      <c r="I521" s="49"/>
    </row>
    <row r="522" spans="2:9" s="2" customFormat="1" x14ac:dyDescent="0.2">
      <c r="B522" s="44" t="str">
        <f t="shared" si="6"/>
        <v>2024-007-2</v>
      </c>
      <c r="C522" s="45">
        <v>2024</v>
      </c>
      <c r="D522" s="45" t="s">
        <v>10</v>
      </c>
      <c r="E522" s="45">
        <v>2</v>
      </c>
      <c r="F522" s="47" t="s">
        <v>50</v>
      </c>
      <c r="G522" s="45"/>
      <c r="H522" s="48"/>
      <c r="I522" s="49"/>
    </row>
    <row r="523" spans="2:9" s="2" customFormat="1" x14ac:dyDescent="0.2">
      <c r="B523" s="44" t="str">
        <f t="shared" si="6"/>
        <v>2024-007-3</v>
      </c>
      <c r="C523" s="45">
        <v>2024</v>
      </c>
      <c r="D523" s="45" t="s">
        <v>10</v>
      </c>
      <c r="E523" s="45">
        <v>3</v>
      </c>
      <c r="F523" s="47" t="s">
        <v>47</v>
      </c>
      <c r="G523" s="45"/>
      <c r="H523" s="48"/>
      <c r="I523" s="49"/>
    </row>
    <row r="524" spans="2:9" s="2" customFormat="1" x14ac:dyDescent="0.2">
      <c r="B524" s="44" t="str">
        <f t="shared" si="6"/>
        <v>2024-007-4</v>
      </c>
      <c r="C524" s="45">
        <v>2024</v>
      </c>
      <c r="D524" s="45" t="s">
        <v>10</v>
      </c>
      <c r="E524" s="45">
        <v>4</v>
      </c>
      <c r="F524" s="47" t="s">
        <v>55</v>
      </c>
      <c r="G524" s="45"/>
      <c r="H524" s="48"/>
      <c r="I524" s="49"/>
    </row>
    <row r="525" spans="2:9" s="2" customFormat="1" x14ac:dyDescent="0.2">
      <c r="B525" s="50" t="str">
        <f t="shared" si="6"/>
        <v>2024-007-5</v>
      </c>
      <c r="C525" s="51">
        <v>2024</v>
      </c>
      <c r="D525" s="51" t="s">
        <v>10</v>
      </c>
      <c r="E525" s="51">
        <v>5</v>
      </c>
      <c r="F525" s="52" t="s">
        <v>46</v>
      </c>
      <c r="G525" s="51"/>
      <c r="H525" s="53"/>
      <c r="I525" s="54"/>
    </row>
    <row r="526" spans="2:9" s="2" customFormat="1" x14ac:dyDescent="0.2">
      <c r="B526" s="55" t="str">
        <f t="shared" si="6"/>
        <v>2024-008-0</v>
      </c>
      <c r="C526" s="56">
        <v>2024</v>
      </c>
      <c r="D526" s="56" t="s">
        <v>11</v>
      </c>
      <c r="E526" s="56">
        <v>0</v>
      </c>
      <c r="F526" s="57" t="s">
        <v>112</v>
      </c>
      <c r="G526" s="56"/>
      <c r="H526" s="58"/>
      <c r="I526" s="59"/>
    </row>
    <row r="527" spans="2:9" s="2" customFormat="1" ht="27" x14ac:dyDescent="0.2">
      <c r="B527" s="44" t="str">
        <f t="shared" si="6"/>
        <v>2024-008-1</v>
      </c>
      <c r="C527" s="45">
        <v>2024</v>
      </c>
      <c r="D527" s="45" t="s">
        <v>11</v>
      </c>
      <c r="E527" s="45">
        <v>1</v>
      </c>
      <c r="F527" s="47" t="s">
        <v>512</v>
      </c>
      <c r="G527" s="45" t="s">
        <v>3210</v>
      </c>
      <c r="H527" s="48"/>
      <c r="I527" s="49"/>
    </row>
    <row r="528" spans="2:9" s="2" customFormat="1" x14ac:dyDescent="0.2">
      <c r="B528" s="44" t="str">
        <f t="shared" si="6"/>
        <v>2024-008-2</v>
      </c>
      <c r="C528" s="45">
        <v>2024</v>
      </c>
      <c r="D528" s="45" t="s">
        <v>11</v>
      </c>
      <c r="E528" s="45">
        <v>2</v>
      </c>
      <c r="F528" s="47" t="s">
        <v>914</v>
      </c>
      <c r="G528" s="45"/>
      <c r="H528" s="48"/>
      <c r="I528" s="49"/>
    </row>
    <row r="529" spans="2:9" s="2" customFormat="1" x14ac:dyDescent="0.2">
      <c r="B529" s="44" t="str">
        <f t="shared" si="6"/>
        <v>2024-008-3</v>
      </c>
      <c r="C529" s="45">
        <v>2024</v>
      </c>
      <c r="D529" s="45" t="s">
        <v>11</v>
      </c>
      <c r="E529" s="45">
        <v>3</v>
      </c>
      <c r="F529" s="47" t="s">
        <v>1309</v>
      </c>
      <c r="G529" s="45"/>
      <c r="H529" s="48"/>
      <c r="I529" s="49"/>
    </row>
    <row r="530" spans="2:9" s="2" customFormat="1" ht="27" x14ac:dyDescent="0.2">
      <c r="B530" s="44" t="str">
        <f t="shared" si="6"/>
        <v>2024-008-4</v>
      </c>
      <c r="C530" s="45">
        <v>2024</v>
      </c>
      <c r="D530" s="45" t="s">
        <v>11</v>
      </c>
      <c r="E530" s="45">
        <v>4</v>
      </c>
      <c r="F530" s="47" t="s">
        <v>1705</v>
      </c>
      <c r="G530" s="45"/>
      <c r="H530" s="48"/>
      <c r="I530" s="49"/>
    </row>
    <row r="531" spans="2:9" s="2" customFormat="1" ht="27" x14ac:dyDescent="0.2">
      <c r="B531" s="50" t="str">
        <f t="shared" si="6"/>
        <v>2024-008-5</v>
      </c>
      <c r="C531" s="51">
        <v>2024</v>
      </c>
      <c r="D531" s="51" t="s">
        <v>11</v>
      </c>
      <c r="E531" s="51">
        <v>5</v>
      </c>
      <c r="F531" s="52" t="s">
        <v>2100</v>
      </c>
      <c r="G531" s="51"/>
      <c r="H531" s="53"/>
      <c r="I531" s="54"/>
    </row>
    <row r="532" spans="2:9" s="2" customFormat="1" x14ac:dyDescent="0.2">
      <c r="B532" s="55" t="str">
        <f t="shared" si="6"/>
        <v>2024-009-0</v>
      </c>
      <c r="C532" s="56">
        <v>2024</v>
      </c>
      <c r="D532" s="56" t="s">
        <v>12</v>
      </c>
      <c r="E532" s="56">
        <v>0</v>
      </c>
      <c r="F532" s="57" t="s">
        <v>113</v>
      </c>
      <c r="G532" s="56"/>
      <c r="H532" s="58"/>
      <c r="I532" s="59"/>
    </row>
    <row r="533" spans="2:9" s="2" customFormat="1" x14ac:dyDescent="0.2">
      <c r="B533" s="44" t="str">
        <f t="shared" si="6"/>
        <v>2024-009-1</v>
      </c>
      <c r="C533" s="45">
        <v>2024</v>
      </c>
      <c r="D533" s="45" t="s">
        <v>12</v>
      </c>
      <c r="E533" s="45">
        <v>1</v>
      </c>
      <c r="F533" s="47" t="s">
        <v>513</v>
      </c>
      <c r="G533" s="45"/>
      <c r="H533" s="48"/>
      <c r="I533" s="49"/>
    </row>
    <row r="534" spans="2:9" s="2" customFormat="1" x14ac:dyDescent="0.2">
      <c r="B534" s="44" t="str">
        <f t="shared" si="6"/>
        <v>2024-009-2</v>
      </c>
      <c r="C534" s="45">
        <v>2024</v>
      </c>
      <c r="D534" s="45" t="s">
        <v>12</v>
      </c>
      <c r="E534" s="45">
        <v>2</v>
      </c>
      <c r="F534" s="47" t="s">
        <v>915</v>
      </c>
      <c r="G534" s="45"/>
      <c r="H534" s="48"/>
      <c r="I534" s="49"/>
    </row>
    <row r="535" spans="2:9" s="2" customFormat="1" x14ac:dyDescent="0.2">
      <c r="B535" s="44" t="str">
        <f t="shared" si="6"/>
        <v>2024-009-3</v>
      </c>
      <c r="C535" s="45">
        <v>2024</v>
      </c>
      <c r="D535" s="45" t="s">
        <v>12</v>
      </c>
      <c r="E535" s="45">
        <v>3</v>
      </c>
      <c r="F535" s="47" t="s">
        <v>1310</v>
      </c>
      <c r="G535" s="45"/>
      <c r="H535" s="48"/>
      <c r="I535" s="49"/>
    </row>
    <row r="536" spans="2:9" s="2" customFormat="1" x14ac:dyDescent="0.2">
      <c r="B536" s="44" t="str">
        <f t="shared" si="6"/>
        <v>2024-009-4</v>
      </c>
      <c r="C536" s="45">
        <v>2024</v>
      </c>
      <c r="D536" s="45" t="s">
        <v>12</v>
      </c>
      <c r="E536" s="45">
        <v>4</v>
      </c>
      <c r="F536" s="47" t="s">
        <v>1706</v>
      </c>
      <c r="G536" s="45" t="s">
        <v>3210</v>
      </c>
      <c r="H536" s="48"/>
      <c r="I536" s="49"/>
    </row>
    <row r="537" spans="2:9" s="2" customFormat="1" ht="27" x14ac:dyDescent="0.2">
      <c r="B537" s="50" t="str">
        <f t="shared" si="6"/>
        <v>2024-009-5</v>
      </c>
      <c r="C537" s="51">
        <v>2024</v>
      </c>
      <c r="D537" s="51" t="s">
        <v>12</v>
      </c>
      <c r="E537" s="51">
        <v>5</v>
      </c>
      <c r="F537" s="52" t="s">
        <v>2101</v>
      </c>
      <c r="G537" s="51"/>
      <c r="H537" s="53"/>
      <c r="I537" s="54"/>
    </row>
    <row r="538" spans="2:9" s="2" customFormat="1" x14ac:dyDescent="0.2">
      <c r="B538" s="55" t="str">
        <f t="shared" si="6"/>
        <v>2024-010-0</v>
      </c>
      <c r="C538" s="56">
        <v>2024</v>
      </c>
      <c r="D538" s="56" t="s">
        <v>13</v>
      </c>
      <c r="E538" s="56">
        <v>0</v>
      </c>
      <c r="F538" s="57" t="s">
        <v>114</v>
      </c>
      <c r="G538" s="56"/>
      <c r="H538" s="58"/>
      <c r="I538" s="59"/>
    </row>
    <row r="539" spans="2:9" s="2" customFormat="1" ht="27" x14ac:dyDescent="0.2">
      <c r="B539" s="44" t="str">
        <f t="shared" si="6"/>
        <v>2024-010-1</v>
      </c>
      <c r="C539" s="45">
        <v>2024</v>
      </c>
      <c r="D539" s="45" t="s">
        <v>13</v>
      </c>
      <c r="E539" s="45">
        <v>1</v>
      </c>
      <c r="F539" s="47" t="s">
        <v>514</v>
      </c>
      <c r="G539" s="45"/>
      <c r="H539" s="48"/>
      <c r="I539" s="49"/>
    </row>
    <row r="540" spans="2:9" s="2" customFormat="1" x14ac:dyDescent="0.2">
      <c r="B540" s="44" t="str">
        <f t="shared" si="6"/>
        <v>2024-010-2</v>
      </c>
      <c r="C540" s="45">
        <v>2024</v>
      </c>
      <c r="D540" s="45" t="s">
        <v>13</v>
      </c>
      <c r="E540" s="45">
        <v>2</v>
      </c>
      <c r="F540" s="47" t="s">
        <v>916</v>
      </c>
      <c r="G540" s="45"/>
      <c r="H540" s="48"/>
      <c r="I540" s="49"/>
    </row>
    <row r="541" spans="2:9" s="2" customFormat="1" x14ac:dyDescent="0.2">
      <c r="B541" s="44" t="str">
        <f t="shared" si="6"/>
        <v>2024-010-3</v>
      </c>
      <c r="C541" s="45">
        <v>2024</v>
      </c>
      <c r="D541" s="45" t="s">
        <v>13</v>
      </c>
      <c r="E541" s="45">
        <v>3</v>
      </c>
      <c r="F541" s="47" t="s">
        <v>1311</v>
      </c>
      <c r="G541" s="45"/>
      <c r="H541" s="48"/>
      <c r="I541" s="49"/>
    </row>
    <row r="542" spans="2:9" s="2" customFormat="1" ht="27" x14ac:dyDescent="0.2">
      <c r="B542" s="44" t="str">
        <f t="shared" si="6"/>
        <v>2024-010-4</v>
      </c>
      <c r="C542" s="45">
        <v>2024</v>
      </c>
      <c r="D542" s="45" t="s">
        <v>13</v>
      </c>
      <c r="E542" s="45">
        <v>4</v>
      </c>
      <c r="F542" s="47" t="s">
        <v>1707</v>
      </c>
      <c r="G542" s="45" t="s">
        <v>3210</v>
      </c>
      <c r="H542" s="48"/>
      <c r="I542" s="49"/>
    </row>
    <row r="543" spans="2:9" s="2" customFormat="1" ht="27" x14ac:dyDescent="0.2">
      <c r="B543" s="50" t="str">
        <f t="shared" si="6"/>
        <v>2024-010-5</v>
      </c>
      <c r="C543" s="51">
        <v>2024</v>
      </c>
      <c r="D543" s="51" t="s">
        <v>13</v>
      </c>
      <c r="E543" s="51">
        <v>5</v>
      </c>
      <c r="F543" s="52" t="s">
        <v>2102</v>
      </c>
      <c r="G543" s="51"/>
      <c r="H543" s="53"/>
      <c r="I543" s="54"/>
    </row>
    <row r="544" spans="2:9" s="2" customFormat="1" x14ac:dyDescent="0.2">
      <c r="B544" s="55" t="str">
        <f t="shared" si="6"/>
        <v>2024-011-0</v>
      </c>
      <c r="C544" s="56">
        <v>2024</v>
      </c>
      <c r="D544" s="56" t="s">
        <v>14</v>
      </c>
      <c r="E544" s="56">
        <v>0</v>
      </c>
      <c r="F544" s="57" t="s">
        <v>115</v>
      </c>
      <c r="G544" s="56"/>
      <c r="H544" s="58"/>
      <c r="I544" s="59"/>
    </row>
    <row r="545" spans="2:9" s="2" customFormat="1" x14ac:dyDescent="0.2">
      <c r="B545" s="44" t="str">
        <f t="shared" si="6"/>
        <v>2024-011-1</v>
      </c>
      <c r="C545" s="45">
        <v>2024</v>
      </c>
      <c r="D545" s="45" t="s">
        <v>14</v>
      </c>
      <c r="E545" s="45">
        <v>1</v>
      </c>
      <c r="F545" s="47" t="s">
        <v>515</v>
      </c>
      <c r="G545" s="45"/>
      <c r="H545" s="48"/>
      <c r="I545" s="49"/>
    </row>
    <row r="546" spans="2:9" s="2" customFormat="1" x14ac:dyDescent="0.2">
      <c r="B546" s="44" t="str">
        <f t="shared" si="6"/>
        <v>2024-011-2</v>
      </c>
      <c r="C546" s="45">
        <v>2024</v>
      </c>
      <c r="D546" s="45" t="s">
        <v>14</v>
      </c>
      <c r="E546" s="45">
        <v>2</v>
      </c>
      <c r="F546" s="47" t="s">
        <v>917</v>
      </c>
      <c r="G546" s="45" t="s">
        <v>3210</v>
      </c>
      <c r="H546" s="48"/>
      <c r="I546" s="49"/>
    </row>
    <row r="547" spans="2:9" s="2" customFormat="1" ht="27" x14ac:dyDescent="0.2">
      <c r="B547" s="44" t="str">
        <f t="shared" si="6"/>
        <v>2024-011-3</v>
      </c>
      <c r="C547" s="45">
        <v>2024</v>
      </c>
      <c r="D547" s="45" t="s">
        <v>14</v>
      </c>
      <c r="E547" s="45">
        <v>3</v>
      </c>
      <c r="F547" s="47" t="s">
        <v>1312</v>
      </c>
      <c r="G547" s="45"/>
      <c r="H547" s="48"/>
      <c r="I547" s="49"/>
    </row>
    <row r="548" spans="2:9" s="2" customFormat="1" x14ac:dyDescent="0.2">
      <c r="B548" s="44" t="str">
        <f t="shared" si="6"/>
        <v>2024-011-4</v>
      </c>
      <c r="C548" s="45">
        <v>2024</v>
      </c>
      <c r="D548" s="45" t="s">
        <v>14</v>
      </c>
      <c r="E548" s="45">
        <v>4</v>
      </c>
      <c r="F548" s="47" t="s">
        <v>1708</v>
      </c>
      <c r="G548" s="45"/>
      <c r="H548" s="48"/>
      <c r="I548" s="49"/>
    </row>
    <row r="549" spans="2:9" s="2" customFormat="1" x14ac:dyDescent="0.2">
      <c r="B549" s="50" t="str">
        <f t="shared" ref="B549:B612" si="7">C549&amp;"-"&amp;D549&amp;"-"&amp;E549</f>
        <v>2024-011-5</v>
      </c>
      <c r="C549" s="51">
        <v>2024</v>
      </c>
      <c r="D549" s="51" t="s">
        <v>14</v>
      </c>
      <c r="E549" s="51">
        <v>5</v>
      </c>
      <c r="F549" s="52" t="s">
        <v>2103</v>
      </c>
      <c r="G549" s="51"/>
      <c r="H549" s="53"/>
      <c r="I549" s="54"/>
    </row>
    <row r="550" spans="2:9" s="2" customFormat="1" x14ac:dyDescent="0.2">
      <c r="B550" s="55" t="str">
        <f t="shared" si="7"/>
        <v>2024-012-0</v>
      </c>
      <c r="C550" s="56">
        <v>2024</v>
      </c>
      <c r="D550" s="56" t="s">
        <v>15</v>
      </c>
      <c r="E550" s="56">
        <v>0</v>
      </c>
      <c r="F550" s="57" t="s">
        <v>116</v>
      </c>
      <c r="G550" s="56"/>
      <c r="H550" s="58"/>
      <c r="I550" s="59"/>
    </row>
    <row r="551" spans="2:9" s="2" customFormat="1" x14ac:dyDescent="0.2">
      <c r="B551" s="44" t="str">
        <f t="shared" si="7"/>
        <v>2024-012-1</v>
      </c>
      <c r="C551" s="45">
        <v>2024</v>
      </c>
      <c r="D551" s="45" t="s">
        <v>15</v>
      </c>
      <c r="E551" s="45">
        <v>1</v>
      </c>
      <c r="F551" s="47" t="s">
        <v>516</v>
      </c>
      <c r="G551" s="45"/>
      <c r="H551" s="48"/>
      <c r="I551" s="49"/>
    </row>
    <row r="552" spans="2:9" s="2" customFormat="1" x14ac:dyDescent="0.2">
      <c r="B552" s="44" t="str">
        <f t="shared" si="7"/>
        <v>2024-012-2</v>
      </c>
      <c r="C552" s="45">
        <v>2024</v>
      </c>
      <c r="D552" s="45" t="s">
        <v>15</v>
      </c>
      <c r="E552" s="45">
        <v>2</v>
      </c>
      <c r="F552" s="47" t="s">
        <v>918</v>
      </c>
      <c r="G552" s="45"/>
      <c r="H552" s="48"/>
      <c r="I552" s="49"/>
    </row>
    <row r="553" spans="2:9" s="2" customFormat="1" x14ac:dyDescent="0.2">
      <c r="B553" s="44" t="str">
        <f t="shared" si="7"/>
        <v>2024-012-3</v>
      </c>
      <c r="C553" s="45">
        <v>2024</v>
      </c>
      <c r="D553" s="45" t="s">
        <v>15</v>
      </c>
      <c r="E553" s="45">
        <v>3</v>
      </c>
      <c r="F553" s="47" t="s">
        <v>1313</v>
      </c>
      <c r="G553" s="45"/>
      <c r="H553" s="48"/>
      <c r="I553" s="49"/>
    </row>
    <row r="554" spans="2:9" s="2" customFormat="1" x14ac:dyDescent="0.2">
      <c r="B554" s="44" t="str">
        <f t="shared" si="7"/>
        <v>2024-012-4</v>
      </c>
      <c r="C554" s="45">
        <v>2024</v>
      </c>
      <c r="D554" s="45" t="s">
        <v>15</v>
      </c>
      <c r="E554" s="45">
        <v>4</v>
      </c>
      <c r="F554" s="47" t="s">
        <v>1709</v>
      </c>
      <c r="G554" s="45" t="s">
        <v>3210</v>
      </c>
      <c r="H554" s="48"/>
      <c r="I554" s="49"/>
    </row>
    <row r="555" spans="2:9" s="2" customFormat="1" x14ac:dyDescent="0.2">
      <c r="B555" s="50" t="str">
        <f t="shared" si="7"/>
        <v>2024-012-5</v>
      </c>
      <c r="C555" s="51">
        <v>2024</v>
      </c>
      <c r="D555" s="51" t="s">
        <v>15</v>
      </c>
      <c r="E555" s="51">
        <v>5</v>
      </c>
      <c r="F555" s="52" t="s">
        <v>2104</v>
      </c>
      <c r="G555" s="51"/>
      <c r="H555" s="53"/>
      <c r="I555" s="54"/>
    </row>
    <row r="556" spans="2:9" s="2" customFormat="1" ht="94.5" x14ac:dyDescent="0.2">
      <c r="B556" s="55" t="str">
        <f t="shared" si="7"/>
        <v>2024-013-0</v>
      </c>
      <c r="C556" s="56">
        <v>2024</v>
      </c>
      <c r="D556" s="56" t="s">
        <v>16</v>
      </c>
      <c r="E556" s="56">
        <v>0</v>
      </c>
      <c r="F556" s="57" t="s">
        <v>117</v>
      </c>
      <c r="G556" s="56"/>
      <c r="H556" s="58"/>
      <c r="I556" s="59"/>
    </row>
    <row r="557" spans="2:9" s="2" customFormat="1" x14ac:dyDescent="0.2">
      <c r="B557" s="44" t="str">
        <f t="shared" si="7"/>
        <v>2024-013-1</v>
      </c>
      <c r="C557" s="45">
        <v>2024</v>
      </c>
      <c r="D557" s="45" t="s">
        <v>16</v>
      </c>
      <c r="E557" s="45">
        <v>1</v>
      </c>
      <c r="F557" s="47" t="s">
        <v>44</v>
      </c>
      <c r="G557" s="45"/>
      <c r="H557" s="48"/>
      <c r="I557" s="49"/>
    </row>
    <row r="558" spans="2:9" s="2" customFormat="1" x14ac:dyDescent="0.2">
      <c r="B558" s="44" t="str">
        <f t="shared" si="7"/>
        <v>2024-013-2</v>
      </c>
      <c r="C558" s="45">
        <v>2024</v>
      </c>
      <c r="D558" s="45" t="s">
        <v>16</v>
      </c>
      <c r="E558" s="45">
        <v>2</v>
      </c>
      <c r="F558" s="47" t="s">
        <v>55</v>
      </c>
      <c r="G558" s="45"/>
      <c r="H558" s="48"/>
      <c r="I558" s="49"/>
    </row>
    <row r="559" spans="2:9" s="2" customFormat="1" x14ac:dyDescent="0.2">
      <c r="B559" s="44" t="str">
        <f t="shared" si="7"/>
        <v>2024-013-3</v>
      </c>
      <c r="C559" s="45">
        <v>2024</v>
      </c>
      <c r="D559" s="45" t="s">
        <v>16</v>
      </c>
      <c r="E559" s="45">
        <v>3</v>
      </c>
      <c r="F559" s="47" t="s">
        <v>49</v>
      </c>
      <c r="G559" s="45"/>
      <c r="H559" s="48"/>
      <c r="I559" s="49"/>
    </row>
    <row r="560" spans="2:9" s="2" customFormat="1" x14ac:dyDescent="0.2">
      <c r="B560" s="44" t="str">
        <f t="shared" si="7"/>
        <v>2024-013-4</v>
      </c>
      <c r="C560" s="45">
        <v>2024</v>
      </c>
      <c r="D560" s="45" t="s">
        <v>16</v>
      </c>
      <c r="E560" s="45">
        <v>4</v>
      </c>
      <c r="F560" s="47" t="s">
        <v>51</v>
      </c>
      <c r="G560" s="45"/>
      <c r="H560" s="48"/>
      <c r="I560" s="49"/>
    </row>
    <row r="561" spans="2:9" s="2" customFormat="1" x14ac:dyDescent="0.2">
      <c r="B561" s="50" t="str">
        <f t="shared" si="7"/>
        <v>2024-013-5</v>
      </c>
      <c r="C561" s="51">
        <v>2024</v>
      </c>
      <c r="D561" s="51" t="s">
        <v>16</v>
      </c>
      <c r="E561" s="51">
        <v>5</v>
      </c>
      <c r="F561" s="52" t="s">
        <v>57</v>
      </c>
      <c r="G561" s="51" t="s">
        <v>3210</v>
      </c>
      <c r="H561" s="53"/>
      <c r="I561" s="54"/>
    </row>
    <row r="562" spans="2:9" s="2" customFormat="1" ht="54" x14ac:dyDescent="0.2">
      <c r="B562" s="55" t="str">
        <f t="shared" si="7"/>
        <v>2024-014-0</v>
      </c>
      <c r="C562" s="56">
        <v>2024</v>
      </c>
      <c r="D562" s="56" t="s">
        <v>17</v>
      </c>
      <c r="E562" s="56">
        <v>0</v>
      </c>
      <c r="F562" s="57" t="s">
        <v>118</v>
      </c>
      <c r="G562" s="56"/>
      <c r="H562" s="58"/>
      <c r="I562" s="59"/>
    </row>
    <row r="563" spans="2:9" s="2" customFormat="1" x14ac:dyDescent="0.2">
      <c r="B563" s="44" t="str">
        <f t="shared" si="7"/>
        <v>2024-014-1</v>
      </c>
      <c r="C563" s="45">
        <v>2024</v>
      </c>
      <c r="D563" s="45" t="s">
        <v>17</v>
      </c>
      <c r="E563" s="45">
        <v>1</v>
      </c>
      <c r="F563" s="47" t="s">
        <v>517</v>
      </c>
      <c r="G563" s="45"/>
      <c r="H563" s="48"/>
      <c r="I563" s="49"/>
    </row>
    <row r="564" spans="2:9" s="2" customFormat="1" x14ac:dyDescent="0.2">
      <c r="B564" s="44" t="str">
        <f t="shared" si="7"/>
        <v>2024-014-2</v>
      </c>
      <c r="C564" s="45">
        <v>2024</v>
      </c>
      <c r="D564" s="45" t="s">
        <v>17</v>
      </c>
      <c r="E564" s="45">
        <v>2</v>
      </c>
      <c r="F564" s="47" t="s">
        <v>919</v>
      </c>
      <c r="G564" s="45"/>
      <c r="H564" s="48"/>
      <c r="I564" s="49"/>
    </row>
    <row r="565" spans="2:9" s="2" customFormat="1" x14ac:dyDescent="0.2">
      <c r="B565" s="44" t="str">
        <f t="shared" si="7"/>
        <v>2024-014-3</v>
      </c>
      <c r="C565" s="45">
        <v>2024</v>
      </c>
      <c r="D565" s="45" t="s">
        <v>17</v>
      </c>
      <c r="E565" s="45">
        <v>3</v>
      </c>
      <c r="F565" s="47" t="s">
        <v>1314</v>
      </c>
      <c r="G565" s="45"/>
      <c r="H565" s="48"/>
      <c r="I565" s="49"/>
    </row>
    <row r="566" spans="2:9" s="2" customFormat="1" x14ac:dyDescent="0.2">
      <c r="B566" s="44" t="str">
        <f t="shared" si="7"/>
        <v>2024-014-4</v>
      </c>
      <c r="C566" s="45">
        <v>2024</v>
      </c>
      <c r="D566" s="45" t="s">
        <v>17</v>
      </c>
      <c r="E566" s="45">
        <v>4</v>
      </c>
      <c r="F566" s="47" t="s">
        <v>1710</v>
      </c>
      <c r="G566" s="45"/>
      <c r="H566" s="48"/>
      <c r="I566" s="49"/>
    </row>
    <row r="567" spans="2:9" s="2" customFormat="1" x14ac:dyDescent="0.2">
      <c r="B567" s="50" t="str">
        <f t="shared" si="7"/>
        <v>2024-014-5</v>
      </c>
      <c r="C567" s="51">
        <v>2024</v>
      </c>
      <c r="D567" s="51" t="s">
        <v>17</v>
      </c>
      <c r="E567" s="51">
        <v>5</v>
      </c>
      <c r="F567" s="52" t="s">
        <v>2105</v>
      </c>
      <c r="G567" s="51" t="s">
        <v>3210</v>
      </c>
      <c r="H567" s="53"/>
      <c r="I567" s="54"/>
    </row>
    <row r="568" spans="2:9" s="2" customFormat="1" ht="94.5" x14ac:dyDescent="0.2">
      <c r="B568" s="55" t="str">
        <f t="shared" si="7"/>
        <v>2024-015-0</v>
      </c>
      <c r="C568" s="56">
        <v>2024</v>
      </c>
      <c r="D568" s="56" t="s">
        <v>18</v>
      </c>
      <c r="E568" s="56">
        <v>0</v>
      </c>
      <c r="F568" s="57" t="s">
        <v>119</v>
      </c>
      <c r="G568" s="56"/>
      <c r="H568" s="58"/>
      <c r="I568" s="59"/>
    </row>
    <row r="569" spans="2:9" s="2" customFormat="1" x14ac:dyDescent="0.2">
      <c r="B569" s="44" t="str">
        <f t="shared" si="7"/>
        <v>2024-015-1</v>
      </c>
      <c r="C569" s="45">
        <v>2024</v>
      </c>
      <c r="D569" s="45" t="s">
        <v>18</v>
      </c>
      <c r="E569" s="45">
        <v>1</v>
      </c>
      <c r="F569" s="47" t="s">
        <v>44</v>
      </c>
      <c r="G569" s="45"/>
      <c r="H569" s="48"/>
      <c r="I569" s="49"/>
    </row>
    <row r="570" spans="2:9" s="2" customFormat="1" x14ac:dyDescent="0.2">
      <c r="B570" s="44" t="str">
        <f t="shared" si="7"/>
        <v>2024-015-2</v>
      </c>
      <c r="C570" s="45">
        <v>2024</v>
      </c>
      <c r="D570" s="45" t="s">
        <v>18</v>
      </c>
      <c r="E570" s="45">
        <v>2</v>
      </c>
      <c r="F570" s="47" t="s">
        <v>55</v>
      </c>
      <c r="G570" s="45" t="s">
        <v>3210</v>
      </c>
      <c r="H570" s="48"/>
      <c r="I570" s="49"/>
    </row>
    <row r="571" spans="2:9" s="2" customFormat="1" x14ac:dyDescent="0.2">
      <c r="B571" s="44" t="str">
        <f t="shared" si="7"/>
        <v>2024-015-3</v>
      </c>
      <c r="C571" s="45">
        <v>2024</v>
      </c>
      <c r="D571" s="45" t="s">
        <v>18</v>
      </c>
      <c r="E571" s="45">
        <v>3</v>
      </c>
      <c r="F571" s="47" t="s">
        <v>49</v>
      </c>
      <c r="G571" s="45"/>
      <c r="H571" s="48"/>
      <c r="I571" s="49"/>
    </row>
    <row r="572" spans="2:9" s="2" customFormat="1" x14ac:dyDescent="0.2">
      <c r="B572" s="44" t="str">
        <f t="shared" si="7"/>
        <v>2024-015-4</v>
      </c>
      <c r="C572" s="45">
        <v>2024</v>
      </c>
      <c r="D572" s="45" t="s">
        <v>18</v>
      </c>
      <c r="E572" s="45">
        <v>4</v>
      </c>
      <c r="F572" s="47" t="s">
        <v>46</v>
      </c>
      <c r="G572" s="45"/>
      <c r="H572" s="48"/>
      <c r="I572" s="49"/>
    </row>
    <row r="573" spans="2:9" s="2" customFormat="1" x14ac:dyDescent="0.2">
      <c r="B573" s="50" t="str">
        <f t="shared" si="7"/>
        <v>2024-015-5</v>
      </c>
      <c r="C573" s="51">
        <v>2024</v>
      </c>
      <c r="D573" s="51" t="s">
        <v>18</v>
      </c>
      <c r="E573" s="51">
        <v>5</v>
      </c>
      <c r="F573" s="52" t="s">
        <v>57</v>
      </c>
      <c r="G573" s="51"/>
      <c r="H573" s="53"/>
      <c r="I573" s="54"/>
    </row>
    <row r="574" spans="2:9" s="2" customFormat="1" x14ac:dyDescent="0.2">
      <c r="B574" s="55" t="str">
        <f t="shared" si="7"/>
        <v>2024-016-0</v>
      </c>
      <c r="C574" s="56">
        <v>2024</v>
      </c>
      <c r="D574" s="56" t="s">
        <v>19</v>
      </c>
      <c r="E574" s="56">
        <v>0</v>
      </c>
      <c r="F574" s="57" t="s">
        <v>120</v>
      </c>
      <c r="G574" s="56"/>
      <c r="H574" s="58"/>
      <c r="I574" s="59"/>
    </row>
    <row r="575" spans="2:9" s="2" customFormat="1" ht="27" x14ac:dyDescent="0.2">
      <c r="B575" s="44" t="str">
        <f t="shared" si="7"/>
        <v>2024-016-1</v>
      </c>
      <c r="C575" s="45">
        <v>2024</v>
      </c>
      <c r="D575" s="45" t="s">
        <v>19</v>
      </c>
      <c r="E575" s="45">
        <v>1</v>
      </c>
      <c r="F575" s="47" t="s">
        <v>518</v>
      </c>
      <c r="G575" s="45"/>
      <c r="H575" s="48"/>
      <c r="I575" s="49"/>
    </row>
    <row r="576" spans="2:9" s="2" customFormat="1" ht="27" x14ac:dyDescent="0.2">
      <c r="B576" s="44" t="str">
        <f t="shared" si="7"/>
        <v>2024-016-2</v>
      </c>
      <c r="C576" s="45">
        <v>2024</v>
      </c>
      <c r="D576" s="45" t="s">
        <v>19</v>
      </c>
      <c r="E576" s="45">
        <v>2</v>
      </c>
      <c r="F576" s="47" t="s">
        <v>920</v>
      </c>
      <c r="G576" s="45"/>
      <c r="H576" s="48"/>
      <c r="I576" s="49"/>
    </row>
    <row r="577" spans="2:9" s="2" customFormat="1" ht="27" x14ac:dyDescent="0.2">
      <c r="B577" s="44" t="str">
        <f t="shared" si="7"/>
        <v>2024-016-3</v>
      </c>
      <c r="C577" s="45">
        <v>2024</v>
      </c>
      <c r="D577" s="45" t="s">
        <v>19</v>
      </c>
      <c r="E577" s="45">
        <v>3</v>
      </c>
      <c r="F577" s="47" t="s">
        <v>1315</v>
      </c>
      <c r="G577" s="45"/>
      <c r="H577" s="48"/>
      <c r="I577" s="49"/>
    </row>
    <row r="578" spans="2:9" s="2" customFormat="1" ht="27" x14ac:dyDescent="0.2">
      <c r="B578" s="44" t="str">
        <f t="shared" si="7"/>
        <v>2024-016-4</v>
      </c>
      <c r="C578" s="45">
        <v>2024</v>
      </c>
      <c r="D578" s="45" t="s">
        <v>19</v>
      </c>
      <c r="E578" s="45">
        <v>4</v>
      </c>
      <c r="F578" s="47" t="s">
        <v>1711</v>
      </c>
      <c r="G578" s="45" t="s">
        <v>3210</v>
      </c>
      <c r="H578" s="48"/>
      <c r="I578" s="49"/>
    </row>
    <row r="579" spans="2:9" s="2" customFormat="1" x14ac:dyDescent="0.2">
      <c r="B579" s="50" t="str">
        <f t="shared" si="7"/>
        <v>2024-016-5</v>
      </c>
      <c r="C579" s="51">
        <v>2024</v>
      </c>
      <c r="D579" s="51" t="s">
        <v>19</v>
      </c>
      <c r="E579" s="51">
        <v>5</v>
      </c>
      <c r="F579" s="52" t="s">
        <v>2106</v>
      </c>
      <c r="G579" s="51"/>
      <c r="H579" s="53"/>
      <c r="I579" s="54"/>
    </row>
    <row r="580" spans="2:9" s="2" customFormat="1" ht="27" x14ac:dyDescent="0.2">
      <c r="B580" s="55" t="str">
        <f t="shared" si="7"/>
        <v>2024-017-0</v>
      </c>
      <c r="C580" s="56">
        <v>2024</v>
      </c>
      <c r="D580" s="56" t="s">
        <v>20</v>
      </c>
      <c r="E580" s="56">
        <v>0</v>
      </c>
      <c r="F580" s="57" t="s">
        <v>121</v>
      </c>
      <c r="G580" s="56"/>
      <c r="H580" s="58"/>
      <c r="I580" s="59"/>
    </row>
    <row r="581" spans="2:9" s="2" customFormat="1" x14ac:dyDescent="0.2">
      <c r="B581" s="44" t="str">
        <f t="shared" si="7"/>
        <v>2024-017-1</v>
      </c>
      <c r="C581" s="45">
        <v>2024</v>
      </c>
      <c r="D581" s="45" t="s">
        <v>20</v>
      </c>
      <c r="E581" s="45">
        <v>1</v>
      </c>
      <c r="F581" s="47" t="s">
        <v>519</v>
      </c>
      <c r="G581" s="45"/>
      <c r="H581" s="48"/>
      <c r="I581" s="49"/>
    </row>
    <row r="582" spans="2:9" s="2" customFormat="1" ht="27" x14ac:dyDescent="0.2">
      <c r="B582" s="44" t="str">
        <f t="shared" si="7"/>
        <v>2024-017-2</v>
      </c>
      <c r="C582" s="45">
        <v>2024</v>
      </c>
      <c r="D582" s="45" t="s">
        <v>20</v>
      </c>
      <c r="E582" s="45">
        <v>2</v>
      </c>
      <c r="F582" s="47" t="s">
        <v>921</v>
      </c>
      <c r="G582" s="45"/>
      <c r="H582" s="48"/>
      <c r="I582" s="49"/>
    </row>
    <row r="583" spans="2:9" s="2" customFormat="1" x14ac:dyDescent="0.2">
      <c r="B583" s="44" t="str">
        <f t="shared" si="7"/>
        <v>2024-017-3</v>
      </c>
      <c r="C583" s="45">
        <v>2024</v>
      </c>
      <c r="D583" s="45" t="s">
        <v>20</v>
      </c>
      <c r="E583" s="45">
        <v>3</v>
      </c>
      <c r="F583" s="47" t="s">
        <v>1316</v>
      </c>
      <c r="G583" s="45"/>
      <c r="H583" s="48"/>
      <c r="I583" s="49"/>
    </row>
    <row r="584" spans="2:9" s="2" customFormat="1" x14ac:dyDescent="0.2">
      <c r="B584" s="44" t="str">
        <f t="shared" si="7"/>
        <v>2024-017-4</v>
      </c>
      <c r="C584" s="45">
        <v>2024</v>
      </c>
      <c r="D584" s="45" t="s">
        <v>20</v>
      </c>
      <c r="E584" s="45">
        <v>4</v>
      </c>
      <c r="F584" s="47" t="s">
        <v>1712</v>
      </c>
      <c r="G584" s="45"/>
      <c r="H584" s="48"/>
      <c r="I584" s="49"/>
    </row>
    <row r="585" spans="2:9" s="2" customFormat="1" ht="27" x14ac:dyDescent="0.2">
      <c r="B585" s="50" t="str">
        <f t="shared" si="7"/>
        <v>2024-017-5</v>
      </c>
      <c r="C585" s="51">
        <v>2024</v>
      </c>
      <c r="D585" s="51" t="s">
        <v>20</v>
      </c>
      <c r="E585" s="51">
        <v>5</v>
      </c>
      <c r="F585" s="52" t="s">
        <v>2107</v>
      </c>
      <c r="G585" s="51" t="s">
        <v>3210</v>
      </c>
      <c r="H585" s="53"/>
      <c r="I585" s="54"/>
    </row>
    <row r="586" spans="2:9" s="2" customFormat="1" x14ac:dyDescent="0.2">
      <c r="B586" s="55" t="str">
        <f t="shared" si="7"/>
        <v>2024-018-0</v>
      </c>
      <c r="C586" s="56">
        <v>2024</v>
      </c>
      <c r="D586" s="56" t="s">
        <v>21</v>
      </c>
      <c r="E586" s="56">
        <v>0</v>
      </c>
      <c r="F586" s="57" t="s">
        <v>122</v>
      </c>
      <c r="G586" s="56"/>
      <c r="H586" s="58"/>
      <c r="I586" s="59"/>
    </row>
    <row r="587" spans="2:9" s="2" customFormat="1" ht="27" x14ac:dyDescent="0.2">
      <c r="B587" s="44" t="str">
        <f t="shared" si="7"/>
        <v>2024-018-1</v>
      </c>
      <c r="C587" s="45">
        <v>2024</v>
      </c>
      <c r="D587" s="45" t="s">
        <v>21</v>
      </c>
      <c r="E587" s="45">
        <v>1</v>
      </c>
      <c r="F587" s="47" t="s">
        <v>520</v>
      </c>
      <c r="G587" s="45" t="s">
        <v>3210</v>
      </c>
      <c r="H587" s="48"/>
      <c r="I587" s="49"/>
    </row>
    <row r="588" spans="2:9" s="2" customFormat="1" ht="27" x14ac:dyDescent="0.2">
      <c r="B588" s="44" t="str">
        <f t="shared" si="7"/>
        <v>2024-018-2</v>
      </c>
      <c r="C588" s="45">
        <v>2024</v>
      </c>
      <c r="D588" s="45" t="s">
        <v>21</v>
      </c>
      <c r="E588" s="45">
        <v>2</v>
      </c>
      <c r="F588" s="47" t="s">
        <v>922</v>
      </c>
      <c r="G588" s="45"/>
      <c r="H588" s="48"/>
      <c r="I588" s="49"/>
    </row>
    <row r="589" spans="2:9" s="2" customFormat="1" x14ac:dyDescent="0.2">
      <c r="B589" s="44" t="str">
        <f t="shared" si="7"/>
        <v>2024-018-3</v>
      </c>
      <c r="C589" s="45">
        <v>2024</v>
      </c>
      <c r="D589" s="45" t="s">
        <v>21</v>
      </c>
      <c r="E589" s="45">
        <v>3</v>
      </c>
      <c r="F589" s="47" t="s">
        <v>1317</v>
      </c>
      <c r="G589" s="45"/>
      <c r="H589" s="48"/>
      <c r="I589" s="49"/>
    </row>
    <row r="590" spans="2:9" s="2" customFormat="1" x14ac:dyDescent="0.2">
      <c r="B590" s="44" t="str">
        <f t="shared" si="7"/>
        <v>2024-018-4</v>
      </c>
      <c r="C590" s="45">
        <v>2024</v>
      </c>
      <c r="D590" s="45" t="s">
        <v>21</v>
      </c>
      <c r="E590" s="45">
        <v>4</v>
      </c>
      <c r="F590" s="47" t="s">
        <v>1713</v>
      </c>
      <c r="G590" s="45"/>
      <c r="H590" s="48"/>
      <c r="I590" s="49"/>
    </row>
    <row r="591" spans="2:9" s="2" customFormat="1" ht="27" x14ac:dyDescent="0.2">
      <c r="B591" s="50" t="str">
        <f t="shared" si="7"/>
        <v>2024-018-5</v>
      </c>
      <c r="C591" s="51">
        <v>2024</v>
      </c>
      <c r="D591" s="51" t="s">
        <v>21</v>
      </c>
      <c r="E591" s="51">
        <v>5</v>
      </c>
      <c r="F591" s="52" t="s">
        <v>2108</v>
      </c>
      <c r="G591" s="51"/>
      <c r="H591" s="53"/>
      <c r="I591" s="54"/>
    </row>
    <row r="592" spans="2:9" s="2" customFormat="1" ht="67.5" x14ac:dyDescent="0.2">
      <c r="B592" s="55" t="str">
        <f t="shared" si="7"/>
        <v>2024-019-0</v>
      </c>
      <c r="C592" s="56">
        <v>2024</v>
      </c>
      <c r="D592" s="56" t="s">
        <v>22</v>
      </c>
      <c r="E592" s="56">
        <v>0</v>
      </c>
      <c r="F592" s="57" t="s">
        <v>123</v>
      </c>
      <c r="G592" s="56"/>
      <c r="H592" s="58"/>
      <c r="I592" s="59"/>
    </row>
    <row r="593" spans="2:9" s="2" customFormat="1" x14ac:dyDescent="0.2">
      <c r="B593" s="44" t="str">
        <f t="shared" si="7"/>
        <v>2024-019-1</v>
      </c>
      <c r="C593" s="45">
        <v>2024</v>
      </c>
      <c r="D593" s="45" t="s">
        <v>22</v>
      </c>
      <c r="E593" s="45">
        <v>1</v>
      </c>
      <c r="F593" s="47" t="s">
        <v>45</v>
      </c>
      <c r="G593" s="45"/>
      <c r="H593" s="48"/>
      <c r="I593" s="49"/>
    </row>
    <row r="594" spans="2:9" s="2" customFormat="1" x14ac:dyDescent="0.2">
      <c r="B594" s="44" t="str">
        <f t="shared" si="7"/>
        <v>2024-019-2</v>
      </c>
      <c r="C594" s="45">
        <v>2024</v>
      </c>
      <c r="D594" s="45" t="s">
        <v>22</v>
      </c>
      <c r="E594" s="45">
        <v>2</v>
      </c>
      <c r="F594" s="47" t="s">
        <v>53</v>
      </c>
      <c r="G594" s="45"/>
      <c r="H594" s="48"/>
      <c r="I594" s="49"/>
    </row>
    <row r="595" spans="2:9" s="2" customFormat="1" x14ac:dyDescent="0.2">
      <c r="B595" s="44" t="str">
        <f t="shared" si="7"/>
        <v>2024-019-3</v>
      </c>
      <c r="C595" s="45">
        <v>2024</v>
      </c>
      <c r="D595" s="45" t="s">
        <v>22</v>
      </c>
      <c r="E595" s="45">
        <v>3</v>
      </c>
      <c r="F595" s="47" t="s">
        <v>44</v>
      </c>
      <c r="G595" s="45"/>
      <c r="H595" s="48"/>
      <c r="I595" s="49"/>
    </row>
    <row r="596" spans="2:9" s="2" customFormat="1" x14ac:dyDescent="0.2">
      <c r="B596" s="44" t="str">
        <f t="shared" si="7"/>
        <v>2024-019-4</v>
      </c>
      <c r="C596" s="45">
        <v>2024</v>
      </c>
      <c r="D596" s="45" t="s">
        <v>22</v>
      </c>
      <c r="E596" s="45">
        <v>4</v>
      </c>
      <c r="F596" s="47" t="s">
        <v>55</v>
      </c>
      <c r="G596" s="45"/>
      <c r="H596" s="48"/>
      <c r="I596" s="49"/>
    </row>
    <row r="597" spans="2:9" s="2" customFormat="1" x14ac:dyDescent="0.2">
      <c r="B597" s="50" t="str">
        <f t="shared" si="7"/>
        <v>2024-019-5</v>
      </c>
      <c r="C597" s="51">
        <v>2024</v>
      </c>
      <c r="D597" s="51" t="s">
        <v>22</v>
      </c>
      <c r="E597" s="51">
        <v>5</v>
      </c>
      <c r="F597" s="52" t="s">
        <v>46</v>
      </c>
      <c r="G597" s="51" t="s">
        <v>3210</v>
      </c>
      <c r="H597" s="53"/>
      <c r="I597" s="54"/>
    </row>
    <row r="598" spans="2:9" s="2" customFormat="1" ht="108" x14ac:dyDescent="0.2">
      <c r="B598" s="55" t="str">
        <f t="shared" si="7"/>
        <v>2024-020-0</v>
      </c>
      <c r="C598" s="56">
        <v>2024</v>
      </c>
      <c r="D598" s="56" t="s">
        <v>23</v>
      </c>
      <c r="E598" s="56">
        <v>0</v>
      </c>
      <c r="F598" s="57" t="s">
        <v>124</v>
      </c>
      <c r="G598" s="56"/>
      <c r="H598" s="58"/>
      <c r="I598" s="59"/>
    </row>
    <row r="599" spans="2:9" s="2" customFormat="1" x14ac:dyDescent="0.2">
      <c r="B599" s="44" t="str">
        <f t="shared" si="7"/>
        <v>2024-020-1</v>
      </c>
      <c r="C599" s="45">
        <v>2024</v>
      </c>
      <c r="D599" s="45" t="s">
        <v>23</v>
      </c>
      <c r="E599" s="45">
        <v>1</v>
      </c>
      <c r="F599" s="47" t="s">
        <v>45</v>
      </c>
      <c r="G599" s="45"/>
      <c r="H599" s="48"/>
      <c r="I599" s="49"/>
    </row>
    <row r="600" spans="2:9" s="2" customFormat="1" x14ac:dyDescent="0.2">
      <c r="B600" s="44" t="str">
        <f t="shared" si="7"/>
        <v>2024-020-2</v>
      </c>
      <c r="C600" s="45">
        <v>2024</v>
      </c>
      <c r="D600" s="45" t="s">
        <v>23</v>
      </c>
      <c r="E600" s="45">
        <v>2</v>
      </c>
      <c r="F600" s="47" t="s">
        <v>53</v>
      </c>
      <c r="G600" s="45"/>
      <c r="H600" s="48"/>
      <c r="I600" s="49"/>
    </row>
    <row r="601" spans="2:9" s="2" customFormat="1" x14ac:dyDescent="0.2">
      <c r="B601" s="44" t="str">
        <f t="shared" si="7"/>
        <v>2024-020-3</v>
      </c>
      <c r="C601" s="45">
        <v>2024</v>
      </c>
      <c r="D601" s="45" t="s">
        <v>23</v>
      </c>
      <c r="E601" s="45">
        <v>3</v>
      </c>
      <c r="F601" s="47" t="s">
        <v>44</v>
      </c>
      <c r="G601" s="45" t="s">
        <v>3210</v>
      </c>
      <c r="H601" s="48"/>
      <c r="I601" s="49"/>
    </row>
    <row r="602" spans="2:9" s="2" customFormat="1" x14ac:dyDescent="0.2">
      <c r="B602" s="44" t="str">
        <f t="shared" si="7"/>
        <v>2024-020-4</v>
      </c>
      <c r="C602" s="45">
        <v>2024</v>
      </c>
      <c r="D602" s="45" t="s">
        <v>23</v>
      </c>
      <c r="E602" s="45">
        <v>4</v>
      </c>
      <c r="F602" s="47" t="s">
        <v>55</v>
      </c>
      <c r="G602" s="45"/>
      <c r="H602" s="48"/>
      <c r="I602" s="49"/>
    </row>
    <row r="603" spans="2:9" s="2" customFormat="1" x14ac:dyDescent="0.2">
      <c r="B603" s="50" t="str">
        <f t="shared" si="7"/>
        <v>2024-020-5</v>
      </c>
      <c r="C603" s="51">
        <v>2024</v>
      </c>
      <c r="D603" s="51" t="s">
        <v>23</v>
      </c>
      <c r="E603" s="51">
        <v>5</v>
      </c>
      <c r="F603" s="52" t="s">
        <v>46</v>
      </c>
      <c r="G603" s="51"/>
      <c r="H603" s="53"/>
      <c r="I603" s="54"/>
    </row>
    <row r="604" spans="2:9" s="2" customFormat="1" ht="94.5" x14ac:dyDescent="0.2">
      <c r="B604" s="55" t="str">
        <f t="shared" si="7"/>
        <v>2024-021-0</v>
      </c>
      <c r="C604" s="56">
        <v>2024</v>
      </c>
      <c r="D604" s="56" t="s">
        <v>24</v>
      </c>
      <c r="E604" s="56">
        <v>0</v>
      </c>
      <c r="F604" s="57" t="s">
        <v>125</v>
      </c>
      <c r="G604" s="56"/>
      <c r="H604" s="58"/>
      <c r="I604" s="59"/>
    </row>
    <row r="605" spans="2:9" s="2" customFormat="1" x14ac:dyDescent="0.2">
      <c r="B605" s="44" t="str">
        <f t="shared" si="7"/>
        <v>2024-021-1</v>
      </c>
      <c r="C605" s="45">
        <v>2024</v>
      </c>
      <c r="D605" s="45" t="s">
        <v>24</v>
      </c>
      <c r="E605" s="45">
        <v>1</v>
      </c>
      <c r="F605" s="47" t="s">
        <v>45</v>
      </c>
      <c r="G605" s="45"/>
      <c r="H605" s="48"/>
      <c r="I605" s="49"/>
    </row>
    <row r="606" spans="2:9" s="2" customFormat="1" x14ac:dyDescent="0.2">
      <c r="B606" s="44" t="str">
        <f t="shared" si="7"/>
        <v>2024-021-2</v>
      </c>
      <c r="C606" s="45">
        <v>2024</v>
      </c>
      <c r="D606" s="45" t="s">
        <v>24</v>
      </c>
      <c r="E606" s="45">
        <v>2</v>
      </c>
      <c r="F606" s="47" t="s">
        <v>53</v>
      </c>
      <c r="G606" s="45"/>
      <c r="H606" s="48"/>
      <c r="I606" s="49"/>
    </row>
    <row r="607" spans="2:9" s="2" customFormat="1" x14ac:dyDescent="0.2">
      <c r="B607" s="44" t="str">
        <f t="shared" si="7"/>
        <v>2024-021-3</v>
      </c>
      <c r="C607" s="45">
        <v>2024</v>
      </c>
      <c r="D607" s="45" t="s">
        <v>24</v>
      </c>
      <c r="E607" s="45">
        <v>3</v>
      </c>
      <c r="F607" s="47" t="s">
        <v>44</v>
      </c>
      <c r="G607" s="45"/>
      <c r="H607" s="48"/>
      <c r="I607" s="49"/>
    </row>
    <row r="608" spans="2:9" s="2" customFormat="1" x14ac:dyDescent="0.2">
      <c r="B608" s="44" t="str">
        <f t="shared" si="7"/>
        <v>2024-021-4</v>
      </c>
      <c r="C608" s="45">
        <v>2024</v>
      </c>
      <c r="D608" s="45" t="s">
        <v>24</v>
      </c>
      <c r="E608" s="45">
        <v>4</v>
      </c>
      <c r="F608" s="47" t="s">
        <v>55</v>
      </c>
      <c r="G608" s="45"/>
      <c r="H608" s="48"/>
      <c r="I608" s="49"/>
    </row>
    <row r="609" spans="2:9" s="2" customFormat="1" x14ac:dyDescent="0.2">
      <c r="B609" s="50" t="str">
        <f t="shared" si="7"/>
        <v>2024-021-5</v>
      </c>
      <c r="C609" s="51">
        <v>2024</v>
      </c>
      <c r="D609" s="51" t="s">
        <v>24</v>
      </c>
      <c r="E609" s="51">
        <v>5</v>
      </c>
      <c r="F609" s="52" t="s">
        <v>46</v>
      </c>
      <c r="G609" s="51" t="s">
        <v>3210</v>
      </c>
      <c r="H609" s="53"/>
      <c r="I609" s="54"/>
    </row>
    <row r="610" spans="2:9" s="2" customFormat="1" ht="67.5" x14ac:dyDescent="0.2">
      <c r="B610" s="55" t="str">
        <f t="shared" si="7"/>
        <v>2024-022-0</v>
      </c>
      <c r="C610" s="56">
        <v>2024</v>
      </c>
      <c r="D610" s="56" t="s">
        <v>25</v>
      </c>
      <c r="E610" s="56">
        <v>0</v>
      </c>
      <c r="F610" s="57" t="s">
        <v>126</v>
      </c>
      <c r="G610" s="56"/>
      <c r="H610" s="58"/>
      <c r="I610" s="59"/>
    </row>
    <row r="611" spans="2:9" s="2" customFormat="1" x14ac:dyDescent="0.2">
      <c r="B611" s="44" t="str">
        <f t="shared" si="7"/>
        <v>2024-022-1</v>
      </c>
      <c r="C611" s="45">
        <v>2024</v>
      </c>
      <c r="D611" s="45" t="s">
        <v>25</v>
      </c>
      <c r="E611" s="45">
        <v>1</v>
      </c>
      <c r="F611" s="47" t="s">
        <v>45</v>
      </c>
      <c r="G611" s="45"/>
      <c r="H611" s="48"/>
      <c r="I611" s="49"/>
    </row>
    <row r="612" spans="2:9" s="2" customFormat="1" x14ac:dyDescent="0.2">
      <c r="B612" s="44" t="str">
        <f t="shared" si="7"/>
        <v>2024-022-2</v>
      </c>
      <c r="C612" s="45">
        <v>2024</v>
      </c>
      <c r="D612" s="45" t="s">
        <v>25</v>
      </c>
      <c r="E612" s="45">
        <v>2</v>
      </c>
      <c r="F612" s="47" t="s">
        <v>50</v>
      </c>
      <c r="G612" s="45"/>
      <c r="H612" s="48"/>
      <c r="I612" s="49"/>
    </row>
    <row r="613" spans="2:9" s="2" customFormat="1" x14ac:dyDescent="0.2">
      <c r="B613" s="44" t="str">
        <f t="shared" ref="B613:B676" si="8">C613&amp;"-"&amp;D613&amp;"-"&amp;E613</f>
        <v>2024-022-3</v>
      </c>
      <c r="C613" s="45">
        <v>2024</v>
      </c>
      <c r="D613" s="45" t="s">
        <v>25</v>
      </c>
      <c r="E613" s="45">
        <v>3</v>
      </c>
      <c r="F613" s="47" t="s">
        <v>47</v>
      </c>
      <c r="G613" s="45" t="s">
        <v>3210</v>
      </c>
      <c r="H613" s="48"/>
      <c r="I613" s="49"/>
    </row>
    <row r="614" spans="2:9" s="2" customFormat="1" x14ac:dyDescent="0.2">
      <c r="B614" s="44" t="str">
        <f t="shared" si="8"/>
        <v>2024-022-4</v>
      </c>
      <c r="C614" s="45">
        <v>2024</v>
      </c>
      <c r="D614" s="45" t="s">
        <v>25</v>
      </c>
      <c r="E614" s="45">
        <v>4</v>
      </c>
      <c r="F614" s="47" t="s">
        <v>55</v>
      </c>
      <c r="G614" s="45"/>
      <c r="H614" s="48"/>
      <c r="I614" s="49"/>
    </row>
    <row r="615" spans="2:9" s="2" customFormat="1" x14ac:dyDescent="0.2">
      <c r="B615" s="50" t="str">
        <f t="shared" si="8"/>
        <v>2024-022-5</v>
      </c>
      <c r="C615" s="51">
        <v>2024</v>
      </c>
      <c r="D615" s="51" t="s">
        <v>25</v>
      </c>
      <c r="E615" s="51">
        <v>5</v>
      </c>
      <c r="F615" s="52" t="s">
        <v>46</v>
      </c>
      <c r="G615" s="51"/>
      <c r="H615" s="53"/>
      <c r="I615" s="54"/>
    </row>
    <row r="616" spans="2:9" s="2" customFormat="1" x14ac:dyDescent="0.2">
      <c r="B616" s="55" t="str">
        <f t="shared" si="8"/>
        <v>2024-023-0</v>
      </c>
      <c r="C616" s="56">
        <v>2024</v>
      </c>
      <c r="D616" s="56" t="s">
        <v>26</v>
      </c>
      <c r="E616" s="56">
        <v>0</v>
      </c>
      <c r="F616" s="57" t="s">
        <v>127</v>
      </c>
      <c r="G616" s="56"/>
      <c r="H616" s="58"/>
      <c r="I616" s="59"/>
    </row>
    <row r="617" spans="2:9" s="2" customFormat="1" ht="27" x14ac:dyDescent="0.2">
      <c r="B617" s="44" t="str">
        <f t="shared" si="8"/>
        <v>2024-023-1</v>
      </c>
      <c r="C617" s="45">
        <v>2024</v>
      </c>
      <c r="D617" s="45" t="s">
        <v>26</v>
      </c>
      <c r="E617" s="45">
        <v>1</v>
      </c>
      <c r="F617" s="47" t="s">
        <v>521</v>
      </c>
      <c r="G617" s="45"/>
      <c r="H617" s="48"/>
      <c r="I617" s="49"/>
    </row>
    <row r="618" spans="2:9" s="2" customFormat="1" x14ac:dyDescent="0.2">
      <c r="B618" s="44" t="str">
        <f t="shared" si="8"/>
        <v>2024-023-2</v>
      </c>
      <c r="C618" s="45">
        <v>2024</v>
      </c>
      <c r="D618" s="45" t="s">
        <v>26</v>
      </c>
      <c r="E618" s="45">
        <v>2</v>
      </c>
      <c r="F618" s="47" t="s">
        <v>923</v>
      </c>
      <c r="G618" s="45"/>
      <c r="H618" s="48"/>
      <c r="I618" s="49"/>
    </row>
    <row r="619" spans="2:9" s="2" customFormat="1" ht="27" x14ac:dyDescent="0.2">
      <c r="B619" s="44" t="str">
        <f t="shared" si="8"/>
        <v>2024-023-3</v>
      </c>
      <c r="C619" s="45">
        <v>2024</v>
      </c>
      <c r="D619" s="45" t="s">
        <v>26</v>
      </c>
      <c r="E619" s="45">
        <v>3</v>
      </c>
      <c r="F619" s="47" t="s">
        <v>1318</v>
      </c>
      <c r="G619" s="45" t="s">
        <v>3210</v>
      </c>
      <c r="H619" s="48"/>
      <c r="I619" s="49"/>
    </row>
    <row r="620" spans="2:9" s="2" customFormat="1" x14ac:dyDescent="0.2">
      <c r="B620" s="44" t="str">
        <f t="shared" si="8"/>
        <v>2024-023-4</v>
      </c>
      <c r="C620" s="45">
        <v>2024</v>
      </c>
      <c r="D620" s="45" t="s">
        <v>26</v>
      </c>
      <c r="E620" s="45">
        <v>4</v>
      </c>
      <c r="F620" s="47" t="s">
        <v>1714</v>
      </c>
      <c r="G620" s="45"/>
      <c r="H620" s="48"/>
      <c r="I620" s="49"/>
    </row>
    <row r="621" spans="2:9" s="2" customFormat="1" x14ac:dyDescent="0.2">
      <c r="B621" s="50" t="str">
        <f t="shared" si="8"/>
        <v>2024-023-5</v>
      </c>
      <c r="C621" s="51">
        <v>2024</v>
      </c>
      <c r="D621" s="51" t="s">
        <v>26</v>
      </c>
      <c r="E621" s="51">
        <v>5</v>
      </c>
      <c r="F621" s="52" t="s">
        <v>2109</v>
      </c>
      <c r="G621" s="51"/>
      <c r="H621" s="53"/>
      <c r="I621" s="54"/>
    </row>
    <row r="622" spans="2:9" s="2" customFormat="1" x14ac:dyDescent="0.2">
      <c r="B622" s="55" t="str">
        <f t="shared" si="8"/>
        <v>2024-024-0</v>
      </c>
      <c r="C622" s="56">
        <v>2024</v>
      </c>
      <c r="D622" s="56" t="s">
        <v>27</v>
      </c>
      <c r="E622" s="56">
        <v>0</v>
      </c>
      <c r="F622" s="57" t="s">
        <v>128</v>
      </c>
      <c r="G622" s="56"/>
      <c r="H622" s="58"/>
      <c r="I622" s="59"/>
    </row>
    <row r="623" spans="2:9" s="2" customFormat="1" ht="27" x14ac:dyDescent="0.2">
      <c r="B623" s="44" t="str">
        <f t="shared" si="8"/>
        <v>2024-024-1</v>
      </c>
      <c r="C623" s="45">
        <v>2024</v>
      </c>
      <c r="D623" s="45" t="s">
        <v>27</v>
      </c>
      <c r="E623" s="45">
        <v>1</v>
      </c>
      <c r="F623" s="47" t="s">
        <v>522</v>
      </c>
      <c r="G623" s="45"/>
      <c r="H623" s="48"/>
      <c r="I623" s="49"/>
    </row>
    <row r="624" spans="2:9" s="2" customFormat="1" ht="27" x14ac:dyDescent="0.2">
      <c r="B624" s="44" t="str">
        <f t="shared" si="8"/>
        <v>2024-024-2</v>
      </c>
      <c r="C624" s="45">
        <v>2024</v>
      </c>
      <c r="D624" s="45" t="s">
        <v>27</v>
      </c>
      <c r="E624" s="45">
        <v>2</v>
      </c>
      <c r="F624" s="47" t="s">
        <v>924</v>
      </c>
      <c r="G624" s="45" t="s">
        <v>3210</v>
      </c>
      <c r="H624" s="48"/>
      <c r="I624" s="49"/>
    </row>
    <row r="625" spans="2:9" s="1" customFormat="1" x14ac:dyDescent="0.2">
      <c r="B625" s="44" t="str">
        <f t="shared" si="8"/>
        <v>2024-024-3</v>
      </c>
      <c r="C625" s="45">
        <v>2024</v>
      </c>
      <c r="D625" s="45" t="s">
        <v>27</v>
      </c>
      <c r="E625" s="45">
        <v>3</v>
      </c>
      <c r="F625" s="47" t="s">
        <v>1319</v>
      </c>
      <c r="G625" s="45"/>
      <c r="H625" s="48"/>
      <c r="I625" s="49"/>
    </row>
    <row r="626" spans="2:9" s="1" customFormat="1" x14ac:dyDescent="0.2">
      <c r="B626" s="44" t="str">
        <f t="shared" si="8"/>
        <v>2024-024-4</v>
      </c>
      <c r="C626" s="45">
        <v>2024</v>
      </c>
      <c r="D626" s="45" t="s">
        <v>27</v>
      </c>
      <c r="E626" s="45">
        <v>4</v>
      </c>
      <c r="F626" s="47" t="s">
        <v>1715</v>
      </c>
      <c r="G626" s="45"/>
      <c r="H626" s="48"/>
      <c r="I626" s="49"/>
    </row>
    <row r="627" spans="2:9" s="1" customFormat="1" x14ac:dyDescent="0.2">
      <c r="B627" s="50" t="str">
        <f t="shared" si="8"/>
        <v>2024-024-5</v>
      </c>
      <c r="C627" s="51">
        <v>2024</v>
      </c>
      <c r="D627" s="51" t="s">
        <v>27</v>
      </c>
      <c r="E627" s="51">
        <v>5</v>
      </c>
      <c r="F627" s="52" t="s">
        <v>2110</v>
      </c>
      <c r="G627" s="51"/>
      <c r="H627" s="53"/>
      <c r="I627" s="54"/>
    </row>
    <row r="628" spans="2:9" s="1" customFormat="1" x14ac:dyDescent="0.2">
      <c r="B628" s="55" t="str">
        <f t="shared" si="8"/>
        <v>2024-025-0</v>
      </c>
      <c r="C628" s="56">
        <v>2024</v>
      </c>
      <c r="D628" s="56" t="s">
        <v>28</v>
      </c>
      <c r="E628" s="56">
        <v>0</v>
      </c>
      <c r="F628" s="57" t="s">
        <v>129</v>
      </c>
      <c r="G628" s="56"/>
      <c r="H628" s="58"/>
      <c r="I628" s="59"/>
    </row>
    <row r="629" spans="2:9" s="1" customFormat="1" ht="27" x14ac:dyDescent="0.2">
      <c r="B629" s="44" t="str">
        <f t="shared" si="8"/>
        <v>2024-025-1</v>
      </c>
      <c r="C629" s="45">
        <v>2024</v>
      </c>
      <c r="D629" s="45" t="s">
        <v>28</v>
      </c>
      <c r="E629" s="45">
        <v>1</v>
      </c>
      <c r="F629" s="47" t="s">
        <v>523</v>
      </c>
      <c r="G629" s="45"/>
      <c r="H629" s="48"/>
      <c r="I629" s="49"/>
    </row>
    <row r="630" spans="2:9" s="1" customFormat="1" ht="27" x14ac:dyDescent="0.2">
      <c r="B630" s="44" t="str">
        <f t="shared" si="8"/>
        <v>2024-025-2</v>
      </c>
      <c r="C630" s="45">
        <v>2024</v>
      </c>
      <c r="D630" s="45" t="s">
        <v>28</v>
      </c>
      <c r="E630" s="45">
        <v>2</v>
      </c>
      <c r="F630" s="47" t="s">
        <v>925</v>
      </c>
      <c r="G630" s="45"/>
      <c r="H630" s="48"/>
      <c r="I630" s="49"/>
    </row>
    <row r="631" spans="2:9" s="1" customFormat="1" ht="27" x14ac:dyDescent="0.2">
      <c r="B631" s="44" t="str">
        <f t="shared" si="8"/>
        <v>2024-025-3</v>
      </c>
      <c r="C631" s="45">
        <v>2024</v>
      </c>
      <c r="D631" s="45" t="s">
        <v>28</v>
      </c>
      <c r="E631" s="45">
        <v>3</v>
      </c>
      <c r="F631" s="47" t="s">
        <v>1320</v>
      </c>
      <c r="G631" s="45"/>
      <c r="H631" s="48"/>
      <c r="I631" s="49"/>
    </row>
    <row r="632" spans="2:9" s="1" customFormat="1" ht="27" x14ac:dyDescent="0.2">
      <c r="B632" s="44" t="str">
        <f t="shared" si="8"/>
        <v>2024-025-4</v>
      </c>
      <c r="C632" s="45">
        <v>2024</v>
      </c>
      <c r="D632" s="45" t="s">
        <v>28</v>
      </c>
      <c r="E632" s="45">
        <v>4</v>
      </c>
      <c r="F632" s="47" t="s">
        <v>1716</v>
      </c>
      <c r="G632" s="45"/>
      <c r="H632" s="48"/>
      <c r="I632" s="49"/>
    </row>
    <row r="633" spans="2:9" s="1" customFormat="1" ht="27" x14ac:dyDescent="0.2">
      <c r="B633" s="50" t="str">
        <f t="shared" si="8"/>
        <v>2024-025-5</v>
      </c>
      <c r="C633" s="51">
        <v>2024</v>
      </c>
      <c r="D633" s="51" t="s">
        <v>28</v>
      </c>
      <c r="E633" s="51">
        <v>5</v>
      </c>
      <c r="F633" s="52" t="s">
        <v>2111</v>
      </c>
      <c r="G633" s="51" t="s">
        <v>3210</v>
      </c>
      <c r="H633" s="53"/>
      <c r="I633" s="54"/>
    </row>
    <row r="634" spans="2:9" s="1" customFormat="1" x14ac:dyDescent="0.2">
      <c r="B634" s="55" t="str">
        <f t="shared" si="8"/>
        <v>2024-026-0</v>
      </c>
      <c r="C634" s="56">
        <v>2024</v>
      </c>
      <c r="D634" s="56" t="s">
        <v>29</v>
      </c>
      <c r="E634" s="56">
        <v>0</v>
      </c>
      <c r="F634" s="57" t="s">
        <v>130</v>
      </c>
      <c r="G634" s="56"/>
      <c r="H634" s="58"/>
      <c r="I634" s="59"/>
    </row>
    <row r="635" spans="2:9" s="1" customFormat="1" x14ac:dyDescent="0.2">
      <c r="B635" s="44" t="str">
        <f t="shared" si="8"/>
        <v>2024-026-1</v>
      </c>
      <c r="C635" s="45">
        <v>2024</v>
      </c>
      <c r="D635" s="45" t="s">
        <v>29</v>
      </c>
      <c r="E635" s="45">
        <v>1</v>
      </c>
      <c r="F635" s="47" t="s">
        <v>524</v>
      </c>
      <c r="G635" s="45"/>
      <c r="H635" s="48"/>
      <c r="I635" s="49"/>
    </row>
    <row r="636" spans="2:9" s="1" customFormat="1" x14ac:dyDescent="0.2">
      <c r="B636" s="44" t="str">
        <f t="shared" si="8"/>
        <v>2024-026-2</v>
      </c>
      <c r="C636" s="45">
        <v>2024</v>
      </c>
      <c r="D636" s="45" t="s">
        <v>29</v>
      </c>
      <c r="E636" s="45">
        <v>2</v>
      </c>
      <c r="F636" s="47" t="s">
        <v>926</v>
      </c>
      <c r="G636" s="45" t="s">
        <v>3210</v>
      </c>
      <c r="H636" s="48"/>
      <c r="I636" s="49"/>
    </row>
    <row r="637" spans="2:9" s="1" customFormat="1" x14ac:dyDescent="0.2">
      <c r="B637" s="44" t="str">
        <f t="shared" si="8"/>
        <v>2024-026-3</v>
      </c>
      <c r="C637" s="45">
        <v>2024</v>
      </c>
      <c r="D637" s="45" t="s">
        <v>29</v>
      </c>
      <c r="E637" s="45">
        <v>3</v>
      </c>
      <c r="F637" s="47" t="s">
        <v>1321</v>
      </c>
      <c r="G637" s="45"/>
      <c r="H637" s="48"/>
      <c r="I637" s="49"/>
    </row>
    <row r="638" spans="2:9" s="1" customFormat="1" x14ac:dyDescent="0.2">
      <c r="B638" s="44" t="str">
        <f t="shared" si="8"/>
        <v>2024-026-4</v>
      </c>
      <c r="C638" s="45">
        <v>2024</v>
      </c>
      <c r="D638" s="45" t="s">
        <v>29</v>
      </c>
      <c r="E638" s="45">
        <v>4</v>
      </c>
      <c r="F638" s="47" t="s">
        <v>1717</v>
      </c>
      <c r="G638" s="45"/>
      <c r="H638" s="48"/>
      <c r="I638" s="49"/>
    </row>
    <row r="639" spans="2:9" s="1" customFormat="1" x14ac:dyDescent="0.2">
      <c r="B639" s="50" t="str">
        <f t="shared" si="8"/>
        <v>2024-026-5</v>
      </c>
      <c r="C639" s="51">
        <v>2024</v>
      </c>
      <c r="D639" s="51" t="s">
        <v>29</v>
      </c>
      <c r="E639" s="51">
        <v>5</v>
      </c>
      <c r="F639" s="52" t="s">
        <v>2112</v>
      </c>
      <c r="G639" s="51"/>
      <c r="H639" s="53"/>
      <c r="I639" s="54"/>
    </row>
    <row r="640" spans="2:9" s="1" customFormat="1" x14ac:dyDescent="0.2">
      <c r="B640" s="55" t="str">
        <f t="shared" si="8"/>
        <v>2024-027-0</v>
      </c>
      <c r="C640" s="56">
        <v>2024</v>
      </c>
      <c r="D640" s="56" t="s">
        <v>30</v>
      </c>
      <c r="E640" s="56">
        <v>0</v>
      </c>
      <c r="F640" s="57" t="s">
        <v>131</v>
      </c>
      <c r="G640" s="56"/>
      <c r="H640" s="58"/>
      <c r="I640" s="59"/>
    </row>
    <row r="641" spans="2:9" s="1" customFormat="1" ht="27" x14ac:dyDescent="0.2">
      <c r="B641" s="44" t="str">
        <f t="shared" si="8"/>
        <v>2024-027-1</v>
      </c>
      <c r="C641" s="45">
        <v>2024</v>
      </c>
      <c r="D641" s="45" t="s">
        <v>30</v>
      </c>
      <c r="E641" s="45">
        <v>1</v>
      </c>
      <c r="F641" s="47" t="s">
        <v>525</v>
      </c>
      <c r="G641" s="45"/>
      <c r="H641" s="48"/>
      <c r="I641" s="49"/>
    </row>
    <row r="642" spans="2:9" s="1" customFormat="1" x14ac:dyDescent="0.2">
      <c r="B642" s="44" t="str">
        <f t="shared" si="8"/>
        <v>2024-027-2</v>
      </c>
      <c r="C642" s="45">
        <v>2024</v>
      </c>
      <c r="D642" s="45" t="s">
        <v>30</v>
      </c>
      <c r="E642" s="45">
        <v>2</v>
      </c>
      <c r="F642" s="47" t="s">
        <v>927</v>
      </c>
      <c r="G642" s="45" t="s">
        <v>3210</v>
      </c>
      <c r="H642" s="48"/>
      <c r="I642" s="49"/>
    </row>
    <row r="643" spans="2:9" s="1" customFormat="1" ht="27" x14ac:dyDescent="0.2">
      <c r="B643" s="44" t="str">
        <f t="shared" si="8"/>
        <v>2024-027-3</v>
      </c>
      <c r="C643" s="45">
        <v>2024</v>
      </c>
      <c r="D643" s="45" t="s">
        <v>30</v>
      </c>
      <c r="E643" s="45">
        <v>3</v>
      </c>
      <c r="F643" s="47" t="s">
        <v>1322</v>
      </c>
      <c r="G643" s="45"/>
      <c r="H643" s="48"/>
      <c r="I643" s="49"/>
    </row>
    <row r="644" spans="2:9" s="1" customFormat="1" ht="27" x14ac:dyDescent="0.2">
      <c r="B644" s="44" t="str">
        <f t="shared" si="8"/>
        <v>2024-027-4</v>
      </c>
      <c r="C644" s="45">
        <v>2024</v>
      </c>
      <c r="D644" s="45" t="s">
        <v>30</v>
      </c>
      <c r="E644" s="45">
        <v>4</v>
      </c>
      <c r="F644" s="47" t="s">
        <v>1718</v>
      </c>
      <c r="G644" s="45"/>
      <c r="H644" s="48"/>
      <c r="I644" s="49"/>
    </row>
    <row r="645" spans="2:9" s="1" customFormat="1" x14ac:dyDescent="0.2">
      <c r="B645" s="50" t="str">
        <f t="shared" si="8"/>
        <v>2024-027-5</v>
      </c>
      <c r="C645" s="51">
        <v>2024</v>
      </c>
      <c r="D645" s="51" t="s">
        <v>30</v>
      </c>
      <c r="E645" s="51">
        <v>5</v>
      </c>
      <c r="F645" s="52" t="s">
        <v>2113</v>
      </c>
      <c r="G645" s="51"/>
      <c r="H645" s="53"/>
      <c r="I645" s="54"/>
    </row>
    <row r="646" spans="2:9" s="1" customFormat="1" x14ac:dyDescent="0.2">
      <c r="B646" s="55" t="str">
        <f t="shared" si="8"/>
        <v>2024-028-0</v>
      </c>
      <c r="C646" s="56">
        <v>2024</v>
      </c>
      <c r="D646" s="56" t="s">
        <v>31</v>
      </c>
      <c r="E646" s="56">
        <v>0</v>
      </c>
      <c r="F646" s="57" t="s">
        <v>132</v>
      </c>
      <c r="G646" s="56"/>
      <c r="H646" s="58"/>
      <c r="I646" s="59"/>
    </row>
    <row r="647" spans="2:9" s="1" customFormat="1" ht="27" x14ac:dyDescent="0.2">
      <c r="B647" s="44" t="str">
        <f t="shared" si="8"/>
        <v>2024-028-1</v>
      </c>
      <c r="C647" s="45">
        <v>2024</v>
      </c>
      <c r="D647" s="45" t="s">
        <v>31</v>
      </c>
      <c r="E647" s="45">
        <v>1</v>
      </c>
      <c r="F647" s="47" t="s">
        <v>526</v>
      </c>
      <c r="G647" s="45"/>
      <c r="H647" s="48"/>
      <c r="I647" s="49"/>
    </row>
    <row r="648" spans="2:9" s="1" customFormat="1" ht="40.5" x14ac:dyDescent="0.2">
      <c r="B648" s="44" t="str">
        <f t="shared" si="8"/>
        <v>2024-028-2</v>
      </c>
      <c r="C648" s="45">
        <v>2024</v>
      </c>
      <c r="D648" s="45" t="s">
        <v>31</v>
      </c>
      <c r="E648" s="45">
        <v>2</v>
      </c>
      <c r="F648" s="47" t="s">
        <v>928</v>
      </c>
      <c r="G648" s="45"/>
      <c r="H648" s="48"/>
      <c r="I648" s="49"/>
    </row>
    <row r="649" spans="2:9" s="1" customFormat="1" ht="27" x14ac:dyDescent="0.2">
      <c r="B649" s="44" t="str">
        <f t="shared" si="8"/>
        <v>2024-028-3</v>
      </c>
      <c r="C649" s="45">
        <v>2024</v>
      </c>
      <c r="D649" s="45" t="s">
        <v>31</v>
      </c>
      <c r="E649" s="45">
        <v>3</v>
      </c>
      <c r="F649" s="47" t="s">
        <v>1323</v>
      </c>
      <c r="G649" s="45"/>
      <c r="H649" s="48"/>
      <c r="I649" s="49"/>
    </row>
    <row r="650" spans="2:9" s="1" customFormat="1" ht="27" x14ac:dyDescent="0.2">
      <c r="B650" s="44" t="str">
        <f t="shared" si="8"/>
        <v>2024-028-4</v>
      </c>
      <c r="C650" s="45">
        <v>2024</v>
      </c>
      <c r="D650" s="45" t="s">
        <v>31</v>
      </c>
      <c r="E650" s="45">
        <v>4</v>
      </c>
      <c r="F650" s="47" t="s">
        <v>1719</v>
      </c>
      <c r="G650" s="45"/>
      <c r="H650" s="48"/>
      <c r="I650" s="49"/>
    </row>
    <row r="651" spans="2:9" s="1" customFormat="1" x14ac:dyDescent="0.2">
      <c r="B651" s="50" t="str">
        <f t="shared" si="8"/>
        <v>2024-028-5</v>
      </c>
      <c r="C651" s="51">
        <v>2024</v>
      </c>
      <c r="D651" s="51" t="s">
        <v>31</v>
      </c>
      <c r="E651" s="51">
        <v>5</v>
      </c>
      <c r="F651" s="52" t="s">
        <v>2114</v>
      </c>
      <c r="G651" s="51" t="s">
        <v>3210</v>
      </c>
      <c r="H651" s="53"/>
      <c r="I651" s="54"/>
    </row>
    <row r="652" spans="2:9" s="1" customFormat="1" x14ac:dyDescent="0.2">
      <c r="B652" s="55" t="str">
        <f t="shared" si="8"/>
        <v>2024-029-0</v>
      </c>
      <c r="C652" s="56">
        <v>2024</v>
      </c>
      <c r="D652" s="56" t="s">
        <v>32</v>
      </c>
      <c r="E652" s="56">
        <v>0</v>
      </c>
      <c r="F652" s="57" t="s">
        <v>133</v>
      </c>
      <c r="G652" s="56"/>
      <c r="H652" s="58"/>
      <c r="I652" s="59"/>
    </row>
    <row r="653" spans="2:9" s="1" customFormat="1" x14ac:dyDescent="0.2">
      <c r="B653" s="44" t="str">
        <f t="shared" si="8"/>
        <v>2024-029-1</v>
      </c>
      <c r="C653" s="45">
        <v>2024</v>
      </c>
      <c r="D653" s="45" t="s">
        <v>32</v>
      </c>
      <c r="E653" s="45">
        <v>1</v>
      </c>
      <c r="F653" s="47" t="s">
        <v>527</v>
      </c>
      <c r="G653" s="45"/>
      <c r="H653" s="48"/>
      <c r="I653" s="49"/>
    </row>
    <row r="654" spans="2:9" s="1" customFormat="1" x14ac:dyDescent="0.2">
      <c r="B654" s="44" t="str">
        <f t="shared" si="8"/>
        <v>2024-029-2</v>
      </c>
      <c r="C654" s="45">
        <v>2024</v>
      </c>
      <c r="D654" s="45" t="s">
        <v>32</v>
      </c>
      <c r="E654" s="45">
        <v>2</v>
      </c>
      <c r="F654" s="47" t="s">
        <v>929</v>
      </c>
      <c r="G654" s="45"/>
      <c r="H654" s="48"/>
      <c r="I654" s="49"/>
    </row>
    <row r="655" spans="2:9" s="1" customFormat="1" x14ac:dyDescent="0.2">
      <c r="B655" s="44" t="str">
        <f t="shared" si="8"/>
        <v>2024-029-3</v>
      </c>
      <c r="C655" s="45">
        <v>2024</v>
      </c>
      <c r="D655" s="45" t="s">
        <v>32</v>
      </c>
      <c r="E655" s="45">
        <v>3</v>
      </c>
      <c r="F655" s="47" t="s">
        <v>1324</v>
      </c>
      <c r="G655" s="45"/>
      <c r="H655" s="48"/>
      <c r="I655" s="49"/>
    </row>
    <row r="656" spans="2:9" s="1" customFormat="1" x14ac:dyDescent="0.2">
      <c r="B656" s="44" t="str">
        <f t="shared" si="8"/>
        <v>2024-029-4</v>
      </c>
      <c r="C656" s="45">
        <v>2024</v>
      </c>
      <c r="D656" s="45" t="s">
        <v>32</v>
      </c>
      <c r="E656" s="45">
        <v>4</v>
      </c>
      <c r="F656" s="47" t="s">
        <v>1720</v>
      </c>
      <c r="G656" s="45" t="s">
        <v>3210</v>
      </c>
      <c r="H656" s="48"/>
      <c r="I656" s="49"/>
    </row>
    <row r="657" spans="2:9" s="1" customFormat="1" x14ac:dyDescent="0.2">
      <c r="B657" s="50" t="str">
        <f t="shared" si="8"/>
        <v>2024-029-5</v>
      </c>
      <c r="C657" s="51">
        <v>2024</v>
      </c>
      <c r="D657" s="51" t="s">
        <v>32</v>
      </c>
      <c r="E657" s="51">
        <v>5</v>
      </c>
      <c r="F657" s="52" t="s">
        <v>2115</v>
      </c>
      <c r="G657" s="51"/>
      <c r="H657" s="53"/>
      <c r="I657" s="54"/>
    </row>
    <row r="658" spans="2:9" s="1" customFormat="1" ht="81" x14ac:dyDescent="0.2">
      <c r="B658" s="55" t="str">
        <f t="shared" si="8"/>
        <v>2024-030-0</v>
      </c>
      <c r="C658" s="56">
        <v>2024</v>
      </c>
      <c r="D658" s="56" t="s">
        <v>33</v>
      </c>
      <c r="E658" s="56">
        <v>0</v>
      </c>
      <c r="F658" s="57" t="s">
        <v>134</v>
      </c>
      <c r="G658" s="56"/>
      <c r="H658" s="58"/>
      <c r="I658" s="59"/>
    </row>
    <row r="659" spans="2:9" s="1" customFormat="1" x14ac:dyDescent="0.2">
      <c r="B659" s="44" t="str">
        <f t="shared" si="8"/>
        <v>2024-030-1</v>
      </c>
      <c r="C659" s="45">
        <v>2024</v>
      </c>
      <c r="D659" s="45" t="s">
        <v>33</v>
      </c>
      <c r="E659" s="45">
        <v>1</v>
      </c>
      <c r="F659" s="47" t="s">
        <v>45</v>
      </c>
      <c r="G659" s="45"/>
      <c r="H659" s="48"/>
      <c r="I659" s="49"/>
    </row>
    <row r="660" spans="2:9" s="1" customFormat="1" x14ac:dyDescent="0.2">
      <c r="B660" s="44" t="str">
        <f t="shared" si="8"/>
        <v>2024-030-2</v>
      </c>
      <c r="C660" s="45">
        <v>2024</v>
      </c>
      <c r="D660" s="45" t="s">
        <v>33</v>
      </c>
      <c r="E660" s="45">
        <v>2</v>
      </c>
      <c r="F660" s="47" t="s">
        <v>53</v>
      </c>
      <c r="G660" s="45"/>
      <c r="H660" s="48"/>
      <c r="I660" s="49"/>
    </row>
    <row r="661" spans="2:9" s="1" customFormat="1" x14ac:dyDescent="0.2">
      <c r="B661" s="44" t="str">
        <f t="shared" si="8"/>
        <v>2024-030-3</v>
      </c>
      <c r="C661" s="45">
        <v>2024</v>
      </c>
      <c r="D661" s="45" t="s">
        <v>33</v>
      </c>
      <c r="E661" s="45">
        <v>3</v>
      </c>
      <c r="F661" s="47" t="s">
        <v>44</v>
      </c>
      <c r="G661" s="45" t="s">
        <v>3210</v>
      </c>
      <c r="H661" s="48"/>
      <c r="I661" s="49"/>
    </row>
    <row r="662" spans="2:9" s="1" customFormat="1" x14ac:dyDescent="0.2">
      <c r="B662" s="44" t="str">
        <f t="shared" si="8"/>
        <v>2024-030-4</v>
      </c>
      <c r="C662" s="45">
        <v>2024</v>
      </c>
      <c r="D662" s="45" t="s">
        <v>33</v>
      </c>
      <c r="E662" s="45">
        <v>4</v>
      </c>
      <c r="F662" s="47" t="s">
        <v>55</v>
      </c>
      <c r="G662" s="45"/>
      <c r="H662" s="48"/>
      <c r="I662" s="49"/>
    </row>
    <row r="663" spans="2:9" s="1" customFormat="1" x14ac:dyDescent="0.2">
      <c r="B663" s="50" t="str">
        <f t="shared" si="8"/>
        <v>2024-030-5</v>
      </c>
      <c r="C663" s="51">
        <v>2024</v>
      </c>
      <c r="D663" s="51" t="s">
        <v>33</v>
      </c>
      <c r="E663" s="51">
        <v>5</v>
      </c>
      <c r="F663" s="52" t="s">
        <v>46</v>
      </c>
      <c r="G663" s="51"/>
      <c r="H663" s="53"/>
      <c r="I663" s="54"/>
    </row>
    <row r="664" spans="2:9" s="1" customFormat="1" x14ac:dyDescent="0.2">
      <c r="B664" s="55" t="str">
        <f t="shared" si="8"/>
        <v>2024-031-0</v>
      </c>
      <c r="C664" s="56">
        <v>2024</v>
      </c>
      <c r="D664" s="56" t="s">
        <v>34</v>
      </c>
      <c r="E664" s="56">
        <v>0</v>
      </c>
      <c r="F664" s="57" t="s">
        <v>135</v>
      </c>
      <c r="G664" s="56"/>
      <c r="H664" s="58"/>
      <c r="I664" s="59"/>
    </row>
    <row r="665" spans="2:9" s="1" customFormat="1" x14ac:dyDescent="0.2">
      <c r="B665" s="44" t="str">
        <f t="shared" si="8"/>
        <v>2024-031-1</v>
      </c>
      <c r="C665" s="45">
        <v>2024</v>
      </c>
      <c r="D665" s="45" t="s">
        <v>34</v>
      </c>
      <c r="E665" s="45">
        <v>1</v>
      </c>
      <c r="F665" s="47" t="s">
        <v>528</v>
      </c>
      <c r="G665" s="45"/>
      <c r="H665" s="48"/>
      <c r="I665" s="49"/>
    </row>
    <row r="666" spans="2:9" s="1" customFormat="1" x14ac:dyDescent="0.2">
      <c r="B666" s="44" t="str">
        <f t="shared" si="8"/>
        <v>2024-031-2</v>
      </c>
      <c r="C666" s="45">
        <v>2024</v>
      </c>
      <c r="D666" s="45" t="s">
        <v>34</v>
      </c>
      <c r="E666" s="45">
        <v>2</v>
      </c>
      <c r="F666" s="47" t="s">
        <v>930</v>
      </c>
      <c r="G666" s="45"/>
      <c r="H666" s="48"/>
      <c r="I666" s="49"/>
    </row>
    <row r="667" spans="2:9" s="1" customFormat="1" x14ac:dyDescent="0.2">
      <c r="B667" s="44" t="str">
        <f t="shared" si="8"/>
        <v>2024-031-3</v>
      </c>
      <c r="C667" s="45">
        <v>2024</v>
      </c>
      <c r="D667" s="45" t="s">
        <v>34</v>
      </c>
      <c r="E667" s="45">
        <v>3</v>
      </c>
      <c r="F667" s="47" t="s">
        <v>1325</v>
      </c>
      <c r="G667" s="45"/>
      <c r="H667" s="48"/>
      <c r="I667" s="49"/>
    </row>
    <row r="668" spans="2:9" s="1" customFormat="1" x14ac:dyDescent="0.2">
      <c r="B668" s="44" t="str">
        <f t="shared" si="8"/>
        <v>2024-031-4</v>
      </c>
      <c r="C668" s="45">
        <v>2024</v>
      </c>
      <c r="D668" s="45" t="s">
        <v>34</v>
      </c>
      <c r="E668" s="45">
        <v>4</v>
      </c>
      <c r="F668" s="47" t="s">
        <v>1721</v>
      </c>
      <c r="G668" s="45"/>
      <c r="H668" s="48"/>
      <c r="I668" s="49"/>
    </row>
    <row r="669" spans="2:9" s="1" customFormat="1" x14ac:dyDescent="0.2">
      <c r="B669" s="50" t="str">
        <f t="shared" si="8"/>
        <v>2024-031-5</v>
      </c>
      <c r="C669" s="51">
        <v>2024</v>
      </c>
      <c r="D669" s="51" t="s">
        <v>34</v>
      </c>
      <c r="E669" s="51">
        <v>5</v>
      </c>
      <c r="F669" s="52" t="s">
        <v>2116</v>
      </c>
      <c r="G669" s="51" t="s">
        <v>3210</v>
      </c>
      <c r="H669" s="53"/>
      <c r="I669" s="54"/>
    </row>
    <row r="670" spans="2:9" s="1" customFormat="1" x14ac:dyDescent="0.2">
      <c r="B670" s="55" t="str">
        <f t="shared" si="8"/>
        <v>2024-032-0</v>
      </c>
      <c r="C670" s="56">
        <v>2024</v>
      </c>
      <c r="D670" s="56" t="s">
        <v>35</v>
      </c>
      <c r="E670" s="56">
        <v>0</v>
      </c>
      <c r="F670" s="57" t="s">
        <v>136</v>
      </c>
      <c r="G670" s="56"/>
      <c r="H670" s="58"/>
      <c r="I670" s="59"/>
    </row>
    <row r="671" spans="2:9" s="1" customFormat="1" x14ac:dyDescent="0.2">
      <c r="B671" s="44" t="str">
        <f t="shared" si="8"/>
        <v>2024-032-1</v>
      </c>
      <c r="C671" s="45">
        <v>2024</v>
      </c>
      <c r="D671" s="45" t="s">
        <v>35</v>
      </c>
      <c r="E671" s="45">
        <v>1</v>
      </c>
      <c r="F671" s="47" t="s">
        <v>529</v>
      </c>
      <c r="G671" s="45" t="s">
        <v>3210</v>
      </c>
      <c r="H671" s="48"/>
      <c r="I671" s="49"/>
    </row>
    <row r="672" spans="2:9" s="1" customFormat="1" x14ac:dyDescent="0.2">
      <c r="B672" s="44" t="str">
        <f t="shared" si="8"/>
        <v>2024-032-2</v>
      </c>
      <c r="C672" s="45">
        <v>2024</v>
      </c>
      <c r="D672" s="45" t="s">
        <v>35</v>
      </c>
      <c r="E672" s="45">
        <v>2</v>
      </c>
      <c r="F672" s="47" t="s">
        <v>931</v>
      </c>
      <c r="G672" s="45"/>
      <c r="H672" s="48"/>
      <c r="I672" s="49"/>
    </row>
    <row r="673" spans="2:9" s="1" customFormat="1" x14ac:dyDescent="0.2">
      <c r="B673" s="44" t="str">
        <f t="shared" si="8"/>
        <v>2024-032-3</v>
      </c>
      <c r="C673" s="45">
        <v>2024</v>
      </c>
      <c r="D673" s="45" t="s">
        <v>35</v>
      </c>
      <c r="E673" s="45">
        <v>3</v>
      </c>
      <c r="F673" s="47" t="s">
        <v>1326</v>
      </c>
      <c r="G673" s="45"/>
      <c r="H673" s="48"/>
      <c r="I673" s="49"/>
    </row>
    <row r="674" spans="2:9" s="1" customFormat="1" x14ac:dyDescent="0.2">
      <c r="B674" s="44" t="str">
        <f t="shared" si="8"/>
        <v>2024-032-4</v>
      </c>
      <c r="C674" s="45">
        <v>2024</v>
      </c>
      <c r="D674" s="45" t="s">
        <v>35</v>
      </c>
      <c r="E674" s="45">
        <v>4</v>
      </c>
      <c r="F674" s="47" t="s">
        <v>1722</v>
      </c>
      <c r="G674" s="45"/>
      <c r="H674" s="48"/>
      <c r="I674" s="49"/>
    </row>
    <row r="675" spans="2:9" s="1" customFormat="1" x14ac:dyDescent="0.2">
      <c r="B675" s="50" t="str">
        <f t="shared" si="8"/>
        <v>2024-032-5</v>
      </c>
      <c r="C675" s="51">
        <v>2024</v>
      </c>
      <c r="D675" s="51" t="s">
        <v>35</v>
      </c>
      <c r="E675" s="51">
        <v>5</v>
      </c>
      <c r="F675" s="52" t="s">
        <v>2117</v>
      </c>
      <c r="G675" s="51"/>
      <c r="H675" s="53"/>
      <c r="I675" s="54"/>
    </row>
    <row r="676" spans="2:9" s="1" customFormat="1" ht="67.5" x14ac:dyDescent="0.2">
      <c r="B676" s="55" t="str">
        <f t="shared" si="8"/>
        <v>2024-033-0</v>
      </c>
      <c r="C676" s="56">
        <v>2024</v>
      </c>
      <c r="D676" s="56" t="s">
        <v>36</v>
      </c>
      <c r="E676" s="56">
        <v>0</v>
      </c>
      <c r="F676" s="57" t="s">
        <v>137</v>
      </c>
      <c r="G676" s="56"/>
      <c r="H676" s="58"/>
      <c r="I676" s="59"/>
    </row>
    <row r="677" spans="2:9" s="1" customFormat="1" x14ac:dyDescent="0.2">
      <c r="B677" s="44" t="str">
        <f t="shared" ref="B677:B740" si="9">C677&amp;"-"&amp;D677&amp;"-"&amp;E677</f>
        <v>2024-033-1</v>
      </c>
      <c r="C677" s="45">
        <v>2024</v>
      </c>
      <c r="D677" s="45" t="s">
        <v>36</v>
      </c>
      <c r="E677" s="45">
        <v>1</v>
      </c>
      <c r="F677" s="47" t="s">
        <v>45</v>
      </c>
      <c r="G677" s="45"/>
      <c r="H677" s="48"/>
      <c r="I677" s="49"/>
    </row>
    <row r="678" spans="2:9" s="1" customFormat="1" x14ac:dyDescent="0.2">
      <c r="B678" s="44" t="str">
        <f t="shared" si="9"/>
        <v>2024-033-2</v>
      </c>
      <c r="C678" s="45">
        <v>2024</v>
      </c>
      <c r="D678" s="45" t="s">
        <v>36</v>
      </c>
      <c r="E678" s="45">
        <v>2</v>
      </c>
      <c r="F678" s="47" t="s">
        <v>53</v>
      </c>
      <c r="G678" s="45" t="s">
        <v>3210</v>
      </c>
      <c r="H678" s="48"/>
      <c r="I678" s="49"/>
    </row>
    <row r="679" spans="2:9" s="1" customFormat="1" x14ac:dyDescent="0.2">
      <c r="B679" s="44" t="str">
        <f t="shared" si="9"/>
        <v>2024-033-3</v>
      </c>
      <c r="C679" s="45">
        <v>2024</v>
      </c>
      <c r="D679" s="45" t="s">
        <v>36</v>
      </c>
      <c r="E679" s="45">
        <v>3</v>
      </c>
      <c r="F679" s="47" t="s">
        <v>44</v>
      </c>
      <c r="G679" s="45"/>
      <c r="H679" s="48"/>
      <c r="I679" s="49"/>
    </row>
    <row r="680" spans="2:9" s="1" customFormat="1" x14ac:dyDescent="0.2">
      <c r="B680" s="44" t="str">
        <f t="shared" si="9"/>
        <v>2024-033-4</v>
      </c>
      <c r="C680" s="45">
        <v>2024</v>
      </c>
      <c r="D680" s="45" t="s">
        <v>36</v>
      </c>
      <c r="E680" s="45">
        <v>4</v>
      </c>
      <c r="F680" s="47" t="s">
        <v>55</v>
      </c>
      <c r="G680" s="45"/>
      <c r="H680" s="48"/>
      <c r="I680" s="49"/>
    </row>
    <row r="681" spans="2:9" s="1" customFormat="1" x14ac:dyDescent="0.2">
      <c r="B681" s="50" t="str">
        <f t="shared" si="9"/>
        <v>2024-033-5</v>
      </c>
      <c r="C681" s="51">
        <v>2024</v>
      </c>
      <c r="D681" s="51" t="s">
        <v>36</v>
      </c>
      <c r="E681" s="51">
        <v>5</v>
      </c>
      <c r="F681" s="52" t="s">
        <v>46</v>
      </c>
      <c r="G681" s="51"/>
      <c r="H681" s="53"/>
      <c r="I681" s="54"/>
    </row>
    <row r="682" spans="2:9" s="1" customFormat="1" ht="94.5" x14ac:dyDescent="0.2">
      <c r="B682" s="55" t="str">
        <f t="shared" si="9"/>
        <v>2024-034-0</v>
      </c>
      <c r="C682" s="56">
        <v>2024</v>
      </c>
      <c r="D682" s="56" t="s">
        <v>37</v>
      </c>
      <c r="E682" s="56">
        <v>0</v>
      </c>
      <c r="F682" s="57" t="s">
        <v>138</v>
      </c>
      <c r="G682" s="56"/>
      <c r="H682" s="58"/>
      <c r="I682" s="59"/>
    </row>
    <row r="683" spans="2:9" s="1" customFormat="1" x14ac:dyDescent="0.2">
      <c r="B683" s="44" t="str">
        <f t="shared" si="9"/>
        <v>2024-034-1</v>
      </c>
      <c r="C683" s="45">
        <v>2024</v>
      </c>
      <c r="D683" s="45" t="s">
        <v>37</v>
      </c>
      <c r="E683" s="45">
        <v>1</v>
      </c>
      <c r="F683" s="47" t="s">
        <v>45</v>
      </c>
      <c r="G683" s="45"/>
      <c r="H683" s="48"/>
      <c r="I683" s="49"/>
    </row>
    <row r="684" spans="2:9" s="1" customFormat="1" x14ac:dyDescent="0.2">
      <c r="B684" s="44" t="str">
        <f t="shared" si="9"/>
        <v>2024-034-2</v>
      </c>
      <c r="C684" s="45">
        <v>2024</v>
      </c>
      <c r="D684" s="45" t="s">
        <v>37</v>
      </c>
      <c r="E684" s="45">
        <v>2</v>
      </c>
      <c r="F684" s="47" t="s">
        <v>53</v>
      </c>
      <c r="G684" s="45"/>
      <c r="H684" s="48"/>
      <c r="I684" s="49"/>
    </row>
    <row r="685" spans="2:9" s="1" customFormat="1" x14ac:dyDescent="0.2">
      <c r="B685" s="44" t="str">
        <f t="shared" si="9"/>
        <v>2024-034-3</v>
      </c>
      <c r="C685" s="45">
        <v>2024</v>
      </c>
      <c r="D685" s="45" t="s">
        <v>37</v>
      </c>
      <c r="E685" s="45">
        <v>3</v>
      </c>
      <c r="F685" s="47" t="s">
        <v>44</v>
      </c>
      <c r="G685" s="45"/>
      <c r="H685" s="48"/>
      <c r="I685" s="49"/>
    </row>
    <row r="686" spans="2:9" s="1" customFormat="1" x14ac:dyDescent="0.2">
      <c r="B686" s="44" t="str">
        <f t="shared" si="9"/>
        <v>2024-034-4</v>
      </c>
      <c r="C686" s="45">
        <v>2024</v>
      </c>
      <c r="D686" s="45" t="s">
        <v>37</v>
      </c>
      <c r="E686" s="45">
        <v>4</v>
      </c>
      <c r="F686" s="47" t="s">
        <v>55</v>
      </c>
      <c r="G686" s="45"/>
      <c r="H686" s="48"/>
      <c r="I686" s="49"/>
    </row>
    <row r="687" spans="2:9" s="1" customFormat="1" x14ac:dyDescent="0.2">
      <c r="B687" s="50" t="str">
        <f t="shared" si="9"/>
        <v>2024-034-5</v>
      </c>
      <c r="C687" s="51">
        <v>2024</v>
      </c>
      <c r="D687" s="51" t="s">
        <v>37</v>
      </c>
      <c r="E687" s="51">
        <v>5</v>
      </c>
      <c r="F687" s="52" t="s">
        <v>46</v>
      </c>
      <c r="G687" s="51" t="s">
        <v>3210</v>
      </c>
      <c r="H687" s="53"/>
      <c r="I687" s="54"/>
    </row>
    <row r="688" spans="2:9" s="1" customFormat="1" x14ac:dyDescent="0.2">
      <c r="B688" s="55" t="str">
        <f t="shared" si="9"/>
        <v>2024-035-0</v>
      </c>
      <c r="C688" s="56">
        <v>2024</v>
      </c>
      <c r="D688" s="56" t="s">
        <v>38</v>
      </c>
      <c r="E688" s="56">
        <v>0</v>
      </c>
      <c r="F688" s="57" t="s">
        <v>139</v>
      </c>
      <c r="G688" s="56"/>
      <c r="H688" s="58"/>
      <c r="I688" s="59"/>
    </row>
    <row r="689" spans="2:9" s="1" customFormat="1" x14ac:dyDescent="0.2">
      <c r="B689" s="44" t="str">
        <f t="shared" si="9"/>
        <v>2024-035-1</v>
      </c>
      <c r="C689" s="45">
        <v>2024</v>
      </c>
      <c r="D689" s="45" t="s">
        <v>38</v>
      </c>
      <c r="E689" s="45">
        <v>1</v>
      </c>
      <c r="F689" s="47" t="s">
        <v>530</v>
      </c>
      <c r="G689" s="45"/>
      <c r="H689" s="48"/>
      <c r="I689" s="49"/>
    </row>
    <row r="690" spans="2:9" s="1" customFormat="1" x14ac:dyDescent="0.2">
      <c r="B690" s="44" t="str">
        <f t="shared" si="9"/>
        <v>2024-035-2</v>
      </c>
      <c r="C690" s="45">
        <v>2024</v>
      </c>
      <c r="D690" s="45" t="s">
        <v>38</v>
      </c>
      <c r="E690" s="45">
        <v>2</v>
      </c>
      <c r="F690" s="47" t="s">
        <v>932</v>
      </c>
      <c r="G690" s="45"/>
      <c r="H690" s="48"/>
      <c r="I690" s="49"/>
    </row>
    <row r="691" spans="2:9" s="1" customFormat="1" ht="27" x14ac:dyDescent="0.2">
      <c r="B691" s="44" t="str">
        <f t="shared" si="9"/>
        <v>2024-035-3</v>
      </c>
      <c r="C691" s="45">
        <v>2024</v>
      </c>
      <c r="D691" s="45" t="s">
        <v>38</v>
      </c>
      <c r="E691" s="45">
        <v>3</v>
      </c>
      <c r="F691" s="47" t="s">
        <v>1327</v>
      </c>
      <c r="G691" s="45" t="s">
        <v>3210</v>
      </c>
      <c r="H691" s="48"/>
      <c r="I691" s="49"/>
    </row>
    <row r="692" spans="2:9" s="1" customFormat="1" x14ac:dyDescent="0.2">
      <c r="B692" s="44" t="str">
        <f t="shared" si="9"/>
        <v>2024-035-4</v>
      </c>
      <c r="C692" s="45">
        <v>2024</v>
      </c>
      <c r="D692" s="45" t="s">
        <v>38</v>
      </c>
      <c r="E692" s="45">
        <v>4</v>
      </c>
      <c r="F692" s="47" t="s">
        <v>1723</v>
      </c>
      <c r="G692" s="45"/>
      <c r="H692" s="48"/>
      <c r="I692" s="49"/>
    </row>
    <row r="693" spans="2:9" s="1" customFormat="1" ht="27" x14ac:dyDescent="0.2">
      <c r="B693" s="50" t="str">
        <f t="shared" si="9"/>
        <v>2024-035-5</v>
      </c>
      <c r="C693" s="51">
        <v>2024</v>
      </c>
      <c r="D693" s="51" t="s">
        <v>38</v>
      </c>
      <c r="E693" s="51">
        <v>5</v>
      </c>
      <c r="F693" s="52" t="s">
        <v>2118</v>
      </c>
      <c r="G693" s="51"/>
      <c r="H693" s="53"/>
      <c r="I693" s="54"/>
    </row>
    <row r="694" spans="2:9" s="1" customFormat="1" x14ac:dyDescent="0.2">
      <c r="B694" s="55" t="str">
        <f t="shared" si="9"/>
        <v>2024-036-0</v>
      </c>
      <c r="C694" s="56">
        <v>2024</v>
      </c>
      <c r="D694" s="56" t="s">
        <v>39</v>
      </c>
      <c r="E694" s="56">
        <v>0</v>
      </c>
      <c r="F694" s="57" t="s">
        <v>140</v>
      </c>
      <c r="G694" s="56"/>
      <c r="H694" s="58"/>
      <c r="I694" s="59"/>
    </row>
    <row r="695" spans="2:9" s="1" customFormat="1" x14ac:dyDescent="0.2">
      <c r="B695" s="44" t="str">
        <f t="shared" si="9"/>
        <v>2024-036-1</v>
      </c>
      <c r="C695" s="45">
        <v>2024</v>
      </c>
      <c r="D695" s="45" t="s">
        <v>39</v>
      </c>
      <c r="E695" s="45">
        <v>1</v>
      </c>
      <c r="F695" s="47" t="s">
        <v>531</v>
      </c>
      <c r="G695" s="45"/>
      <c r="H695" s="48"/>
      <c r="I695" s="49"/>
    </row>
    <row r="696" spans="2:9" s="1" customFormat="1" ht="27" x14ac:dyDescent="0.2">
      <c r="B696" s="44" t="str">
        <f t="shared" si="9"/>
        <v>2024-036-2</v>
      </c>
      <c r="C696" s="45">
        <v>2024</v>
      </c>
      <c r="D696" s="45" t="s">
        <v>39</v>
      </c>
      <c r="E696" s="45">
        <v>2</v>
      </c>
      <c r="F696" s="47" t="s">
        <v>933</v>
      </c>
      <c r="G696" s="45"/>
      <c r="H696" s="48"/>
      <c r="I696" s="49"/>
    </row>
    <row r="697" spans="2:9" s="1" customFormat="1" x14ac:dyDescent="0.2">
      <c r="B697" s="44" t="str">
        <f t="shared" si="9"/>
        <v>2024-036-3</v>
      </c>
      <c r="C697" s="45">
        <v>2024</v>
      </c>
      <c r="D697" s="45" t="s">
        <v>39</v>
      </c>
      <c r="E697" s="45">
        <v>3</v>
      </c>
      <c r="F697" s="47" t="s">
        <v>1328</v>
      </c>
      <c r="G697" s="45"/>
      <c r="H697" s="48"/>
      <c r="I697" s="49"/>
    </row>
    <row r="698" spans="2:9" s="1" customFormat="1" ht="27" x14ac:dyDescent="0.2">
      <c r="B698" s="44" t="str">
        <f t="shared" si="9"/>
        <v>2024-036-4</v>
      </c>
      <c r="C698" s="45">
        <v>2024</v>
      </c>
      <c r="D698" s="45" t="s">
        <v>39</v>
      </c>
      <c r="E698" s="45">
        <v>4</v>
      </c>
      <c r="F698" s="47" t="s">
        <v>1724</v>
      </c>
      <c r="G698" s="45" t="s">
        <v>3210</v>
      </c>
      <c r="H698" s="48"/>
      <c r="I698" s="49"/>
    </row>
    <row r="699" spans="2:9" s="1" customFormat="1" x14ac:dyDescent="0.2">
      <c r="B699" s="50" t="str">
        <f t="shared" si="9"/>
        <v>2024-036-5</v>
      </c>
      <c r="C699" s="51">
        <v>2024</v>
      </c>
      <c r="D699" s="51" t="s">
        <v>39</v>
      </c>
      <c r="E699" s="51">
        <v>5</v>
      </c>
      <c r="F699" s="52" t="s">
        <v>2119</v>
      </c>
      <c r="G699" s="51"/>
      <c r="H699" s="53"/>
      <c r="I699" s="54"/>
    </row>
    <row r="700" spans="2:9" s="1" customFormat="1" x14ac:dyDescent="0.2">
      <c r="B700" s="55" t="str">
        <f t="shared" si="9"/>
        <v>2024-037-0</v>
      </c>
      <c r="C700" s="56">
        <v>2024</v>
      </c>
      <c r="D700" s="56" t="s">
        <v>40</v>
      </c>
      <c r="E700" s="56">
        <v>0</v>
      </c>
      <c r="F700" s="57" t="s">
        <v>141</v>
      </c>
      <c r="G700" s="56"/>
      <c r="H700" s="58"/>
      <c r="I700" s="59"/>
    </row>
    <row r="701" spans="2:9" s="1" customFormat="1" x14ac:dyDescent="0.2">
      <c r="B701" s="44" t="str">
        <f t="shared" si="9"/>
        <v>2024-037-1</v>
      </c>
      <c r="C701" s="45">
        <v>2024</v>
      </c>
      <c r="D701" s="45" t="s">
        <v>40</v>
      </c>
      <c r="E701" s="45">
        <v>1</v>
      </c>
      <c r="F701" s="47" t="s">
        <v>532</v>
      </c>
      <c r="G701" s="45"/>
      <c r="H701" s="48"/>
      <c r="I701" s="49"/>
    </row>
    <row r="702" spans="2:9" s="1" customFormat="1" x14ac:dyDescent="0.2">
      <c r="B702" s="44" t="str">
        <f t="shared" si="9"/>
        <v>2024-037-2</v>
      </c>
      <c r="C702" s="45">
        <v>2024</v>
      </c>
      <c r="D702" s="45" t="s">
        <v>40</v>
      </c>
      <c r="E702" s="45">
        <v>2</v>
      </c>
      <c r="F702" s="47" t="s">
        <v>934</v>
      </c>
      <c r="G702" s="45"/>
      <c r="H702" s="48"/>
      <c r="I702" s="49"/>
    </row>
    <row r="703" spans="2:9" s="1" customFormat="1" ht="27" x14ac:dyDescent="0.2">
      <c r="B703" s="44" t="str">
        <f t="shared" si="9"/>
        <v>2024-037-3</v>
      </c>
      <c r="C703" s="45">
        <v>2024</v>
      </c>
      <c r="D703" s="45" t="s">
        <v>40</v>
      </c>
      <c r="E703" s="45">
        <v>3</v>
      </c>
      <c r="F703" s="47" t="s">
        <v>1329</v>
      </c>
      <c r="G703" s="45"/>
      <c r="H703" s="48"/>
      <c r="I703" s="49"/>
    </row>
    <row r="704" spans="2:9" s="1" customFormat="1" ht="27" x14ac:dyDescent="0.2">
      <c r="B704" s="44" t="str">
        <f t="shared" si="9"/>
        <v>2024-037-4</v>
      </c>
      <c r="C704" s="45">
        <v>2024</v>
      </c>
      <c r="D704" s="45" t="s">
        <v>40</v>
      </c>
      <c r="E704" s="45">
        <v>4</v>
      </c>
      <c r="F704" s="47" t="s">
        <v>1725</v>
      </c>
      <c r="G704" s="45" t="s">
        <v>3210</v>
      </c>
      <c r="H704" s="48"/>
      <c r="I704" s="49"/>
    </row>
    <row r="705" spans="2:9" s="1" customFormat="1" x14ac:dyDescent="0.2">
      <c r="B705" s="50" t="str">
        <f t="shared" si="9"/>
        <v>2024-037-5</v>
      </c>
      <c r="C705" s="51">
        <v>2024</v>
      </c>
      <c r="D705" s="51" t="s">
        <v>40</v>
      </c>
      <c r="E705" s="51">
        <v>5</v>
      </c>
      <c r="F705" s="52" t="s">
        <v>2120</v>
      </c>
      <c r="G705" s="51"/>
      <c r="H705" s="53"/>
      <c r="I705" s="54"/>
    </row>
    <row r="706" spans="2:9" s="1" customFormat="1" x14ac:dyDescent="0.2">
      <c r="B706" s="55" t="str">
        <f t="shared" si="9"/>
        <v>2024-038-0</v>
      </c>
      <c r="C706" s="56">
        <v>2024</v>
      </c>
      <c r="D706" s="56" t="s">
        <v>41</v>
      </c>
      <c r="E706" s="56">
        <v>0</v>
      </c>
      <c r="F706" s="57" t="s">
        <v>142</v>
      </c>
      <c r="G706" s="56"/>
      <c r="H706" s="58"/>
      <c r="I706" s="59"/>
    </row>
    <row r="707" spans="2:9" s="1" customFormat="1" ht="27" x14ac:dyDescent="0.2">
      <c r="B707" s="44" t="str">
        <f t="shared" si="9"/>
        <v>2024-038-1</v>
      </c>
      <c r="C707" s="45">
        <v>2024</v>
      </c>
      <c r="D707" s="45" t="s">
        <v>41</v>
      </c>
      <c r="E707" s="45">
        <v>1</v>
      </c>
      <c r="F707" s="47" t="s">
        <v>533</v>
      </c>
      <c r="G707" s="45"/>
      <c r="H707" s="48"/>
      <c r="I707" s="49"/>
    </row>
    <row r="708" spans="2:9" s="1" customFormat="1" x14ac:dyDescent="0.2">
      <c r="B708" s="44" t="str">
        <f t="shared" si="9"/>
        <v>2024-038-2</v>
      </c>
      <c r="C708" s="45">
        <v>2024</v>
      </c>
      <c r="D708" s="45" t="s">
        <v>41</v>
      </c>
      <c r="E708" s="45">
        <v>2</v>
      </c>
      <c r="F708" s="47" t="s">
        <v>935</v>
      </c>
      <c r="G708" s="45"/>
      <c r="H708" s="48"/>
      <c r="I708" s="49"/>
    </row>
    <row r="709" spans="2:9" s="1" customFormat="1" x14ac:dyDescent="0.2">
      <c r="B709" s="44" t="str">
        <f t="shared" si="9"/>
        <v>2024-038-3</v>
      </c>
      <c r="C709" s="45">
        <v>2024</v>
      </c>
      <c r="D709" s="45" t="s">
        <v>41</v>
      </c>
      <c r="E709" s="45">
        <v>3</v>
      </c>
      <c r="F709" s="47" t="s">
        <v>1330</v>
      </c>
      <c r="G709" s="45" t="s">
        <v>3210</v>
      </c>
      <c r="H709" s="48"/>
      <c r="I709" s="49"/>
    </row>
    <row r="710" spans="2:9" s="1" customFormat="1" ht="27" x14ac:dyDescent="0.2">
      <c r="B710" s="44" t="str">
        <f t="shared" si="9"/>
        <v>2024-038-4</v>
      </c>
      <c r="C710" s="45">
        <v>2024</v>
      </c>
      <c r="D710" s="45" t="s">
        <v>41</v>
      </c>
      <c r="E710" s="45">
        <v>4</v>
      </c>
      <c r="F710" s="47" t="s">
        <v>1726</v>
      </c>
      <c r="G710" s="45"/>
      <c r="H710" s="48"/>
      <c r="I710" s="49"/>
    </row>
    <row r="711" spans="2:9" s="1" customFormat="1" x14ac:dyDescent="0.2">
      <c r="B711" s="50" t="str">
        <f t="shared" si="9"/>
        <v>2024-038-5</v>
      </c>
      <c r="C711" s="51">
        <v>2024</v>
      </c>
      <c r="D711" s="51" t="s">
        <v>41</v>
      </c>
      <c r="E711" s="51">
        <v>5</v>
      </c>
      <c r="F711" s="52" t="s">
        <v>2121</v>
      </c>
      <c r="G711" s="51"/>
      <c r="H711" s="53"/>
      <c r="I711" s="54"/>
    </row>
    <row r="712" spans="2:9" s="1" customFormat="1" ht="94.5" x14ac:dyDescent="0.2">
      <c r="B712" s="55" t="str">
        <f t="shared" si="9"/>
        <v>2024-039-0</v>
      </c>
      <c r="C712" s="56">
        <v>2024</v>
      </c>
      <c r="D712" s="56" t="s">
        <v>42</v>
      </c>
      <c r="E712" s="56">
        <v>0</v>
      </c>
      <c r="F712" s="57" t="s">
        <v>143</v>
      </c>
      <c r="G712" s="56"/>
      <c r="H712" s="58"/>
      <c r="I712" s="59"/>
    </row>
    <row r="713" spans="2:9" s="1" customFormat="1" x14ac:dyDescent="0.2">
      <c r="B713" s="44" t="str">
        <f t="shared" si="9"/>
        <v>2024-039-1</v>
      </c>
      <c r="C713" s="45">
        <v>2024</v>
      </c>
      <c r="D713" s="45" t="s">
        <v>42</v>
      </c>
      <c r="E713" s="45">
        <v>1</v>
      </c>
      <c r="F713" s="47" t="s">
        <v>45</v>
      </c>
      <c r="G713" s="45"/>
      <c r="H713" s="48"/>
      <c r="I713" s="49"/>
    </row>
    <row r="714" spans="2:9" s="1" customFormat="1" x14ac:dyDescent="0.2">
      <c r="B714" s="44" t="str">
        <f t="shared" si="9"/>
        <v>2024-039-2</v>
      </c>
      <c r="C714" s="45">
        <v>2024</v>
      </c>
      <c r="D714" s="45" t="s">
        <v>42</v>
      </c>
      <c r="E714" s="45">
        <v>2</v>
      </c>
      <c r="F714" s="47" t="s">
        <v>53</v>
      </c>
      <c r="G714" s="45"/>
      <c r="H714" s="48"/>
      <c r="I714" s="49"/>
    </row>
    <row r="715" spans="2:9" s="1" customFormat="1" x14ac:dyDescent="0.2">
      <c r="B715" s="44" t="str">
        <f t="shared" si="9"/>
        <v>2024-039-3</v>
      </c>
      <c r="C715" s="45">
        <v>2024</v>
      </c>
      <c r="D715" s="45" t="s">
        <v>42</v>
      </c>
      <c r="E715" s="45">
        <v>3</v>
      </c>
      <c r="F715" s="47" t="s">
        <v>44</v>
      </c>
      <c r="G715" s="45" t="s">
        <v>3210</v>
      </c>
      <c r="H715" s="48"/>
      <c r="I715" s="49"/>
    </row>
    <row r="716" spans="2:9" s="1" customFormat="1" x14ac:dyDescent="0.2">
      <c r="B716" s="44" t="str">
        <f t="shared" si="9"/>
        <v>2024-039-4</v>
      </c>
      <c r="C716" s="45">
        <v>2024</v>
      </c>
      <c r="D716" s="45" t="s">
        <v>42</v>
      </c>
      <c r="E716" s="45">
        <v>4</v>
      </c>
      <c r="F716" s="47" t="s">
        <v>55</v>
      </c>
      <c r="G716" s="45"/>
      <c r="H716" s="48"/>
      <c r="I716" s="49"/>
    </row>
    <row r="717" spans="2:9" s="1" customFormat="1" x14ac:dyDescent="0.2">
      <c r="B717" s="50" t="str">
        <f t="shared" si="9"/>
        <v>2024-039-5</v>
      </c>
      <c r="C717" s="51">
        <v>2024</v>
      </c>
      <c r="D717" s="51" t="s">
        <v>42</v>
      </c>
      <c r="E717" s="51">
        <v>5</v>
      </c>
      <c r="F717" s="52" t="s">
        <v>46</v>
      </c>
      <c r="G717" s="51"/>
      <c r="H717" s="53"/>
      <c r="I717" s="54"/>
    </row>
    <row r="718" spans="2:9" s="1" customFormat="1" ht="81" x14ac:dyDescent="0.2">
      <c r="B718" s="55" t="str">
        <f t="shared" si="9"/>
        <v>2024-040-0</v>
      </c>
      <c r="C718" s="56">
        <v>2024</v>
      </c>
      <c r="D718" s="56" t="s">
        <v>43</v>
      </c>
      <c r="E718" s="56">
        <v>0</v>
      </c>
      <c r="F718" s="57" t="s">
        <v>144</v>
      </c>
      <c r="G718" s="56"/>
      <c r="H718" s="58"/>
      <c r="I718" s="59"/>
    </row>
    <row r="719" spans="2:9" s="1" customFormat="1" x14ac:dyDescent="0.2">
      <c r="B719" s="44" t="str">
        <f t="shared" si="9"/>
        <v>2024-040-1</v>
      </c>
      <c r="C719" s="45">
        <v>2024</v>
      </c>
      <c r="D719" s="45" t="s">
        <v>43</v>
      </c>
      <c r="E719" s="45">
        <v>1</v>
      </c>
      <c r="F719" s="47" t="s">
        <v>45</v>
      </c>
      <c r="G719" s="45"/>
      <c r="H719" s="48"/>
      <c r="I719" s="49"/>
    </row>
    <row r="720" spans="2:9" s="1" customFormat="1" x14ac:dyDescent="0.2">
      <c r="B720" s="44" t="str">
        <f t="shared" si="9"/>
        <v>2024-040-2</v>
      </c>
      <c r="C720" s="45">
        <v>2024</v>
      </c>
      <c r="D720" s="45" t="s">
        <v>43</v>
      </c>
      <c r="E720" s="45">
        <v>2</v>
      </c>
      <c r="F720" s="47" t="s">
        <v>53</v>
      </c>
      <c r="G720" s="45"/>
      <c r="H720" s="48"/>
      <c r="I720" s="49"/>
    </row>
    <row r="721" spans="2:9" s="1" customFormat="1" x14ac:dyDescent="0.2">
      <c r="B721" s="44" t="str">
        <f t="shared" si="9"/>
        <v>2024-040-3</v>
      </c>
      <c r="C721" s="45">
        <v>2024</v>
      </c>
      <c r="D721" s="45" t="s">
        <v>43</v>
      </c>
      <c r="E721" s="45">
        <v>3</v>
      </c>
      <c r="F721" s="47" t="s">
        <v>44</v>
      </c>
      <c r="G721" s="45"/>
      <c r="H721" s="48"/>
      <c r="I721" s="49"/>
    </row>
    <row r="722" spans="2:9" s="1" customFormat="1" x14ac:dyDescent="0.2">
      <c r="B722" s="44" t="str">
        <f t="shared" si="9"/>
        <v>2024-040-4</v>
      </c>
      <c r="C722" s="45">
        <v>2024</v>
      </c>
      <c r="D722" s="45" t="s">
        <v>43</v>
      </c>
      <c r="E722" s="45">
        <v>4</v>
      </c>
      <c r="F722" s="47" t="s">
        <v>55</v>
      </c>
      <c r="G722" s="45"/>
      <c r="H722" s="48"/>
      <c r="I722" s="49"/>
    </row>
    <row r="723" spans="2:9" s="1" customFormat="1" ht="14.25" thickBot="1" x14ac:dyDescent="0.25">
      <c r="B723" s="60" t="str">
        <f t="shared" si="9"/>
        <v>2024-040-5</v>
      </c>
      <c r="C723" s="61">
        <v>2024</v>
      </c>
      <c r="D723" s="61" t="s">
        <v>43</v>
      </c>
      <c r="E723" s="61">
        <v>5</v>
      </c>
      <c r="F723" s="62" t="s">
        <v>46</v>
      </c>
      <c r="G723" s="61" t="s">
        <v>3210</v>
      </c>
      <c r="H723" s="63"/>
      <c r="I723" s="64"/>
    </row>
    <row r="724" spans="2:9" s="1" customFormat="1" x14ac:dyDescent="0.2">
      <c r="B724" s="38" t="str">
        <f t="shared" si="9"/>
        <v>2023-051-0</v>
      </c>
      <c r="C724" s="39">
        <v>2023</v>
      </c>
      <c r="D724" s="40" t="s">
        <v>80</v>
      </c>
      <c r="E724" s="40">
        <v>0</v>
      </c>
      <c r="F724" s="41" t="s">
        <v>145</v>
      </c>
      <c r="G724" s="39"/>
      <c r="H724" s="42"/>
      <c r="I724" s="43"/>
    </row>
    <row r="725" spans="2:9" s="1" customFormat="1" x14ac:dyDescent="0.2">
      <c r="B725" s="44" t="str">
        <f t="shared" si="9"/>
        <v>2023-051-1</v>
      </c>
      <c r="C725" s="45">
        <v>2023</v>
      </c>
      <c r="D725" s="45" t="s">
        <v>80</v>
      </c>
      <c r="E725" s="45">
        <v>1</v>
      </c>
      <c r="F725" s="47" t="s">
        <v>534</v>
      </c>
      <c r="G725" s="45" t="s">
        <v>3210</v>
      </c>
      <c r="H725" s="48"/>
      <c r="I725" s="49"/>
    </row>
    <row r="726" spans="2:9" s="1" customFormat="1" x14ac:dyDescent="0.2">
      <c r="B726" s="44" t="str">
        <f t="shared" si="9"/>
        <v>2023-051-2</v>
      </c>
      <c r="C726" s="45">
        <v>2023</v>
      </c>
      <c r="D726" s="45" t="s">
        <v>80</v>
      </c>
      <c r="E726" s="45">
        <v>2</v>
      </c>
      <c r="F726" s="47" t="s">
        <v>936</v>
      </c>
      <c r="G726" s="45"/>
      <c r="H726" s="48"/>
      <c r="I726" s="49"/>
    </row>
    <row r="727" spans="2:9" s="1" customFormat="1" x14ac:dyDescent="0.2">
      <c r="B727" s="44" t="str">
        <f t="shared" si="9"/>
        <v>2023-051-3</v>
      </c>
      <c r="C727" s="45">
        <v>2023</v>
      </c>
      <c r="D727" s="45" t="s">
        <v>80</v>
      </c>
      <c r="E727" s="45">
        <v>3</v>
      </c>
      <c r="F727" s="47" t="s">
        <v>1331</v>
      </c>
      <c r="G727" s="45"/>
      <c r="H727" s="48"/>
      <c r="I727" s="49"/>
    </row>
    <row r="728" spans="2:9" s="1" customFormat="1" ht="27" x14ac:dyDescent="0.2">
      <c r="B728" s="44" t="str">
        <f t="shared" si="9"/>
        <v>2023-051-4</v>
      </c>
      <c r="C728" s="45">
        <v>2023</v>
      </c>
      <c r="D728" s="45" t="s">
        <v>80</v>
      </c>
      <c r="E728" s="45">
        <v>4</v>
      </c>
      <c r="F728" s="47" t="s">
        <v>1727</v>
      </c>
      <c r="G728" s="45"/>
      <c r="H728" s="48"/>
      <c r="I728" s="49"/>
    </row>
    <row r="729" spans="2:9" s="1" customFormat="1" x14ac:dyDescent="0.2">
      <c r="B729" s="50" t="str">
        <f t="shared" si="9"/>
        <v>2023-051-5</v>
      </c>
      <c r="C729" s="51">
        <v>2023</v>
      </c>
      <c r="D729" s="51" t="s">
        <v>80</v>
      </c>
      <c r="E729" s="51">
        <v>5</v>
      </c>
      <c r="F729" s="52" t="s">
        <v>2122</v>
      </c>
      <c r="G729" s="51"/>
      <c r="H729" s="53"/>
      <c r="I729" s="54"/>
    </row>
    <row r="730" spans="2:9" s="1" customFormat="1" ht="67.5" x14ac:dyDescent="0.2">
      <c r="B730" s="55" t="str">
        <f t="shared" si="9"/>
        <v>2023-052-0</v>
      </c>
      <c r="C730" s="56">
        <v>2023</v>
      </c>
      <c r="D730" s="56" t="s">
        <v>81</v>
      </c>
      <c r="E730" s="56">
        <v>0</v>
      </c>
      <c r="F730" s="57" t="s">
        <v>146</v>
      </c>
      <c r="G730" s="56"/>
      <c r="H730" s="58"/>
      <c r="I730" s="59"/>
    </row>
    <row r="731" spans="2:9" s="1" customFormat="1" x14ac:dyDescent="0.2">
      <c r="B731" s="44" t="str">
        <f t="shared" si="9"/>
        <v>2023-052-1</v>
      </c>
      <c r="C731" s="45">
        <v>2023</v>
      </c>
      <c r="D731" s="45" t="s">
        <v>81</v>
      </c>
      <c r="E731" s="45">
        <v>1</v>
      </c>
      <c r="F731" s="47" t="s">
        <v>45</v>
      </c>
      <c r="G731" s="45"/>
      <c r="H731" s="48"/>
      <c r="I731" s="49"/>
    </row>
    <row r="732" spans="2:9" s="1" customFormat="1" x14ac:dyDescent="0.2">
      <c r="B732" s="44" t="str">
        <f t="shared" si="9"/>
        <v>2023-052-2</v>
      </c>
      <c r="C732" s="45">
        <v>2023</v>
      </c>
      <c r="D732" s="45" t="s">
        <v>81</v>
      </c>
      <c r="E732" s="45">
        <v>2</v>
      </c>
      <c r="F732" s="47" t="s">
        <v>44</v>
      </c>
      <c r="G732" s="45" t="s">
        <v>3210</v>
      </c>
      <c r="H732" s="48"/>
      <c r="I732" s="49"/>
    </row>
    <row r="733" spans="2:9" s="1" customFormat="1" x14ac:dyDescent="0.2">
      <c r="B733" s="44" t="str">
        <f t="shared" si="9"/>
        <v>2023-052-3</v>
      </c>
      <c r="C733" s="45">
        <v>2023</v>
      </c>
      <c r="D733" s="45" t="s">
        <v>81</v>
      </c>
      <c r="E733" s="45">
        <v>3</v>
      </c>
      <c r="F733" s="47" t="s">
        <v>47</v>
      </c>
      <c r="G733" s="45"/>
      <c r="H733" s="48"/>
      <c r="I733" s="49"/>
    </row>
    <row r="734" spans="2:9" s="1" customFormat="1" x14ac:dyDescent="0.2">
      <c r="B734" s="44" t="str">
        <f t="shared" si="9"/>
        <v>2023-052-4</v>
      </c>
      <c r="C734" s="45">
        <v>2023</v>
      </c>
      <c r="D734" s="45" t="s">
        <v>81</v>
      </c>
      <c r="E734" s="45">
        <v>4</v>
      </c>
      <c r="F734" s="47" t="s">
        <v>55</v>
      </c>
      <c r="G734" s="45"/>
      <c r="H734" s="48"/>
      <c r="I734" s="49"/>
    </row>
    <row r="735" spans="2:9" s="1" customFormat="1" x14ac:dyDescent="0.2">
      <c r="B735" s="50" t="str">
        <f t="shared" si="9"/>
        <v>2023-052-5</v>
      </c>
      <c r="C735" s="51">
        <v>2023</v>
      </c>
      <c r="D735" s="51" t="s">
        <v>81</v>
      </c>
      <c r="E735" s="51">
        <v>5</v>
      </c>
      <c r="F735" s="52" t="s">
        <v>46</v>
      </c>
      <c r="G735" s="51"/>
      <c r="H735" s="53"/>
      <c r="I735" s="54"/>
    </row>
    <row r="736" spans="2:9" s="1" customFormat="1" ht="81" x14ac:dyDescent="0.2">
      <c r="B736" s="55" t="str">
        <f t="shared" si="9"/>
        <v>2023-053-0</v>
      </c>
      <c r="C736" s="56">
        <v>2023</v>
      </c>
      <c r="D736" s="56" t="s">
        <v>82</v>
      </c>
      <c r="E736" s="56">
        <v>0</v>
      </c>
      <c r="F736" s="57" t="s">
        <v>147</v>
      </c>
      <c r="G736" s="56"/>
      <c r="H736" s="58"/>
      <c r="I736" s="59"/>
    </row>
    <row r="737" spans="2:9" s="1" customFormat="1" x14ac:dyDescent="0.2">
      <c r="B737" s="44" t="str">
        <f t="shared" si="9"/>
        <v>2023-053-1</v>
      </c>
      <c r="C737" s="45">
        <v>2023</v>
      </c>
      <c r="D737" s="45" t="s">
        <v>82</v>
      </c>
      <c r="E737" s="45">
        <v>1</v>
      </c>
      <c r="F737" s="47" t="s">
        <v>45</v>
      </c>
      <c r="G737" s="45"/>
      <c r="H737" s="48"/>
      <c r="I737" s="49"/>
    </row>
    <row r="738" spans="2:9" s="1" customFormat="1" x14ac:dyDescent="0.2">
      <c r="B738" s="44" t="str">
        <f t="shared" si="9"/>
        <v>2023-053-2</v>
      </c>
      <c r="C738" s="45">
        <v>2023</v>
      </c>
      <c r="D738" s="45" t="s">
        <v>82</v>
      </c>
      <c r="E738" s="45">
        <v>2</v>
      </c>
      <c r="F738" s="47" t="s">
        <v>53</v>
      </c>
      <c r="G738" s="45"/>
      <c r="H738" s="48"/>
      <c r="I738" s="49"/>
    </row>
    <row r="739" spans="2:9" s="1" customFormat="1" x14ac:dyDescent="0.2">
      <c r="B739" s="44" t="str">
        <f t="shared" si="9"/>
        <v>2023-053-3</v>
      </c>
      <c r="C739" s="45">
        <v>2023</v>
      </c>
      <c r="D739" s="45" t="s">
        <v>82</v>
      </c>
      <c r="E739" s="45">
        <v>3</v>
      </c>
      <c r="F739" s="47" t="s">
        <v>44</v>
      </c>
      <c r="G739" s="45" t="s">
        <v>3210</v>
      </c>
      <c r="H739" s="48"/>
      <c r="I739" s="49"/>
    </row>
    <row r="740" spans="2:9" s="1" customFormat="1" x14ac:dyDescent="0.2">
      <c r="B740" s="44" t="str">
        <f t="shared" si="9"/>
        <v>2023-053-4</v>
      </c>
      <c r="C740" s="45">
        <v>2023</v>
      </c>
      <c r="D740" s="45" t="s">
        <v>82</v>
      </c>
      <c r="E740" s="45">
        <v>4</v>
      </c>
      <c r="F740" s="47" t="s">
        <v>55</v>
      </c>
      <c r="G740" s="45"/>
      <c r="H740" s="48"/>
      <c r="I740" s="49"/>
    </row>
    <row r="741" spans="2:9" s="1" customFormat="1" x14ac:dyDescent="0.2">
      <c r="B741" s="50" t="str">
        <f t="shared" ref="B741:B804" si="10">C741&amp;"-"&amp;D741&amp;"-"&amp;E741</f>
        <v>2023-053-5</v>
      </c>
      <c r="C741" s="51">
        <v>2023</v>
      </c>
      <c r="D741" s="51" t="s">
        <v>82</v>
      </c>
      <c r="E741" s="51">
        <v>5</v>
      </c>
      <c r="F741" s="52" t="s">
        <v>46</v>
      </c>
      <c r="G741" s="51"/>
      <c r="H741" s="53"/>
      <c r="I741" s="54"/>
    </row>
    <row r="742" spans="2:9" s="1" customFormat="1" x14ac:dyDescent="0.2">
      <c r="B742" s="55" t="str">
        <f t="shared" si="10"/>
        <v>2023-054-0</v>
      </c>
      <c r="C742" s="56">
        <v>2023</v>
      </c>
      <c r="D742" s="56" t="s">
        <v>83</v>
      </c>
      <c r="E742" s="56">
        <v>0</v>
      </c>
      <c r="F742" s="57" t="s">
        <v>148</v>
      </c>
      <c r="G742" s="56"/>
      <c r="H742" s="58"/>
      <c r="I742" s="59"/>
    </row>
    <row r="743" spans="2:9" s="1" customFormat="1" x14ac:dyDescent="0.2">
      <c r="B743" s="44" t="str">
        <f t="shared" si="10"/>
        <v>2023-054-1</v>
      </c>
      <c r="C743" s="45">
        <v>2023</v>
      </c>
      <c r="D743" s="45" t="s">
        <v>83</v>
      </c>
      <c r="E743" s="45">
        <v>1</v>
      </c>
      <c r="F743" s="47" t="s">
        <v>535</v>
      </c>
      <c r="G743" s="45"/>
      <c r="H743" s="48"/>
      <c r="I743" s="49"/>
    </row>
    <row r="744" spans="2:9" s="1" customFormat="1" ht="27" x14ac:dyDescent="0.2">
      <c r="B744" s="44" t="str">
        <f t="shared" si="10"/>
        <v>2023-054-2</v>
      </c>
      <c r="C744" s="45">
        <v>2023</v>
      </c>
      <c r="D744" s="45" t="s">
        <v>83</v>
      </c>
      <c r="E744" s="45">
        <v>2</v>
      </c>
      <c r="F744" s="47" t="s">
        <v>937</v>
      </c>
      <c r="G744" s="45"/>
      <c r="H744" s="48"/>
      <c r="I744" s="49"/>
    </row>
    <row r="745" spans="2:9" s="1" customFormat="1" x14ac:dyDescent="0.2">
      <c r="B745" s="44" t="str">
        <f t="shared" si="10"/>
        <v>2023-054-3</v>
      </c>
      <c r="C745" s="45">
        <v>2023</v>
      </c>
      <c r="D745" s="45" t="s">
        <v>83</v>
      </c>
      <c r="E745" s="45">
        <v>3</v>
      </c>
      <c r="F745" s="47" t="s">
        <v>1332</v>
      </c>
      <c r="G745" s="45"/>
      <c r="H745" s="48"/>
      <c r="I745" s="49"/>
    </row>
    <row r="746" spans="2:9" s="1" customFormat="1" ht="27" x14ac:dyDescent="0.2">
      <c r="B746" s="44" t="str">
        <f t="shared" si="10"/>
        <v>2023-054-4</v>
      </c>
      <c r="C746" s="45">
        <v>2023</v>
      </c>
      <c r="D746" s="45" t="s">
        <v>83</v>
      </c>
      <c r="E746" s="45">
        <v>4</v>
      </c>
      <c r="F746" s="47" t="s">
        <v>1728</v>
      </c>
      <c r="G746" s="45"/>
      <c r="H746" s="48"/>
      <c r="I746" s="49"/>
    </row>
    <row r="747" spans="2:9" s="1" customFormat="1" ht="27" x14ac:dyDescent="0.2">
      <c r="B747" s="50" t="str">
        <f t="shared" si="10"/>
        <v>2023-054-5</v>
      </c>
      <c r="C747" s="51">
        <v>2023</v>
      </c>
      <c r="D747" s="51" t="s">
        <v>83</v>
      </c>
      <c r="E747" s="51">
        <v>5</v>
      </c>
      <c r="F747" s="52" t="s">
        <v>2123</v>
      </c>
      <c r="G747" s="51" t="s">
        <v>3210</v>
      </c>
      <c r="H747" s="53"/>
      <c r="I747" s="54"/>
    </row>
    <row r="748" spans="2:9" s="1" customFormat="1" ht="67.5" x14ac:dyDescent="0.2">
      <c r="B748" s="55" t="str">
        <f t="shared" si="10"/>
        <v>2023-055-0</v>
      </c>
      <c r="C748" s="56">
        <v>2023</v>
      </c>
      <c r="D748" s="56" t="s">
        <v>84</v>
      </c>
      <c r="E748" s="56">
        <v>0</v>
      </c>
      <c r="F748" s="57" t="s">
        <v>149</v>
      </c>
      <c r="G748" s="56"/>
      <c r="H748" s="58"/>
      <c r="I748" s="59"/>
    </row>
    <row r="749" spans="2:9" s="1" customFormat="1" x14ac:dyDescent="0.2">
      <c r="B749" s="44" t="str">
        <f t="shared" si="10"/>
        <v>2023-055-1</v>
      </c>
      <c r="C749" s="45">
        <v>2023</v>
      </c>
      <c r="D749" s="45" t="s">
        <v>84</v>
      </c>
      <c r="E749" s="45">
        <v>1</v>
      </c>
      <c r="F749" s="47" t="s">
        <v>45</v>
      </c>
      <c r="G749" s="45"/>
      <c r="H749" s="48"/>
      <c r="I749" s="49"/>
    </row>
    <row r="750" spans="2:9" s="1" customFormat="1" x14ac:dyDescent="0.2">
      <c r="B750" s="44" t="str">
        <f t="shared" si="10"/>
        <v>2023-055-2</v>
      </c>
      <c r="C750" s="45">
        <v>2023</v>
      </c>
      <c r="D750" s="45" t="s">
        <v>84</v>
      </c>
      <c r="E750" s="45">
        <v>2</v>
      </c>
      <c r="F750" s="47" t="s">
        <v>55</v>
      </c>
      <c r="G750" s="45"/>
      <c r="H750" s="48"/>
      <c r="I750" s="49"/>
    </row>
    <row r="751" spans="2:9" s="1" customFormat="1" x14ac:dyDescent="0.2">
      <c r="B751" s="44" t="str">
        <f t="shared" si="10"/>
        <v>2023-055-3</v>
      </c>
      <c r="C751" s="45">
        <v>2023</v>
      </c>
      <c r="D751" s="45" t="s">
        <v>84</v>
      </c>
      <c r="E751" s="45">
        <v>3</v>
      </c>
      <c r="F751" s="47" t="s">
        <v>52</v>
      </c>
      <c r="G751" s="45"/>
      <c r="H751" s="48"/>
      <c r="I751" s="49"/>
    </row>
    <row r="752" spans="2:9" s="1" customFormat="1" x14ac:dyDescent="0.2">
      <c r="B752" s="44" t="str">
        <f t="shared" si="10"/>
        <v>2023-055-4</v>
      </c>
      <c r="C752" s="45">
        <v>2023</v>
      </c>
      <c r="D752" s="45" t="s">
        <v>84</v>
      </c>
      <c r="E752" s="45">
        <v>4</v>
      </c>
      <c r="F752" s="47" t="s">
        <v>57</v>
      </c>
      <c r="G752" s="45" t="s">
        <v>3210</v>
      </c>
      <c r="H752" s="48"/>
      <c r="I752" s="49"/>
    </row>
    <row r="753" spans="2:9" s="1" customFormat="1" x14ac:dyDescent="0.2">
      <c r="B753" s="50" t="str">
        <f t="shared" si="10"/>
        <v>2023-055-5</v>
      </c>
      <c r="C753" s="51">
        <v>2023</v>
      </c>
      <c r="D753" s="51" t="s">
        <v>84</v>
      </c>
      <c r="E753" s="51">
        <v>5</v>
      </c>
      <c r="F753" s="52" t="s">
        <v>60</v>
      </c>
      <c r="G753" s="51"/>
      <c r="H753" s="53"/>
      <c r="I753" s="54"/>
    </row>
    <row r="754" spans="2:9" s="1" customFormat="1" ht="27" x14ac:dyDescent="0.2">
      <c r="B754" s="55" t="str">
        <f t="shared" si="10"/>
        <v>2023-056-0</v>
      </c>
      <c r="C754" s="56">
        <v>2023</v>
      </c>
      <c r="D754" s="56" t="s">
        <v>85</v>
      </c>
      <c r="E754" s="56">
        <v>0</v>
      </c>
      <c r="F754" s="57" t="s">
        <v>150</v>
      </c>
      <c r="G754" s="56"/>
      <c r="H754" s="58"/>
      <c r="I754" s="59"/>
    </row>
    <row r="755" spans="2:9" s="1" customFormat="1" x14ac:dyDescent="0.2">
      <c r="B755" s="44" t="str">
        <f t="shared" si="10"/>
        <v>2023-056-1</v>
      </c>
      <c r="C755" s="45">
        <v>2023</v>
      </c>
      <c r="D755" s="45" t="s">
        <v>85</v>
      </c>
      <c r="E755" s="45">
        <v>1</v>
      </c>
      <c r="F755" s="47" t="s">
        <v>536</v>
      </c>
      <c r="G755" s="45"/>
      <c r="H755" s="48"/>
      <c r="I755" s="49"/>
    </row>
    <row r="756" spans="2:9" s="1" customFormat="1" ht="27" x14ac:dyDescent="0.2">
      <c r="B756" s="44" t="str">
        <f t="shared" si="10"/>
        <v>2023-056-2</v>
      </c>
      <c r="C756" s="45">
        <v>2023</v>
      </c>
      <c r="D756" s="45" t="s">
        <v>85</v>
      </c>
      <c r="E756" s="45">
        <v>2</v>
      </c>
      <c r="F756" s="47" t="s">
        <v>938</v>
      </c>
      <c r="G756" s="45" t="s">
        <v>3210</v>
      </c>
      <c r="H756" s="48"/>
      <c r="I756" s="49"/>
    </row>
    <row r="757" spans="2:9" s="1" customFormat="1" x14ac:dyDescent="0.2">
      <c r="B757" s="44" t="str">
        <f t="shared" si="10"/>
        <v>2023-056-3</v>
      </c>
      <c r="C757" s="45">
        <v>2023</v>
      </c>
      <c r="D757" s="45" t="s">
        <v>85</v>
      </c>
      <c r="E757" s="45">
        <v>3</v>
      </c>
      <c r="F757" s="47" t="s">
        <v>1333</v>
      </c>
      <c r="G757" s="45"/>
      <c r="H757" s="48"/>
      <c r="I757" s="49"/>
    </row>
    <row r="758" spans="2:9" s="1" customFormat="1" ht="27" x14ac:dyDescent="0.2">
      <c r="B758" s="44" t="str">
        <f t="shared" si="10"/>
        <v>2023-056-4</v>
      </c>
      <c r="C758" s="45">
        <v>2023</v>
      </c>
      <c r="D758" s="45" t="s">
        <v>85</v>
      </c>
      <c r="E758" s="45">
        <v>4</v>
      </c>
      <c r="F758" s="47" t="s">
        <v>1729</v>
      </c>
      <c r="G758" s="45"/>
      <c r="H758" s="48"/>
      <c r="I758" s="49"/>
    </row>
    <row r="759" spans="2:9" s="1" customFormat="1" ht="27" x14ac:dyDescent="0.2">
      <c r="B759" s="50" t="str">
        <f t="shared" si="10"/>
        <v>2023-056-5</v>
      </c>
      <c r="C759" s="51">
        <v>2023</v>
      </c>
      <c r="D759" s="51" t="s">
        <v>85</v>
      </c>
      <c r="E759" s="51">
        <v>5</v>
      </c>
      <c r="F759" s="52" t="s">
        <v>2124</v>
      </c>
      <c r="G759" s="51"/>
      <c r="H759" s="53"/>
      <c r="I759" s="54"/>
    </row>
    <row r="760" spans="2:9" s="1" customFormat="1" x14ac:dyDescent="0.2">
      <c r="B760" s="55" t="str">
        <f t="shared" si="10"/>
        <v>2023-057-0</v>
      </c>
      <c r="C760" s="56">
        <v>2023</v>
      </c>
      <c r="D760" s="56" t="s">
        <v>86</v>
      </c>
      <c r="E760" s="56">
        <v>0</v>
      </c>
      <c r="F760" s="57" t="s">
        <v>151</v>
      </c>
      <c r="G760" s="56"/>
      <c r="H760" s="58"/>
      <c r="I760" s="59"/>
    </row>
    <row r="761" spans="2:9" s="1" customFormat="1" x14ac:dyDescent="0.2">
      <c r="B761" s="44" t="str">
        <f t="shared" si="10"/>
        <v>2023-057-1</v>
      </c>
      <c r="C761" s="45">
        <v>2023</v>
      </c>
      <c r="D761" s="45" t="s">
        <v>86</v>
      </c>
      <c r="E761" s="45">
        <v>1</v>
      </c>
      <c r="F761" s="47" t="s">
        <v>537</v>
      </c>
      <c r="G761" s="45"/>
      <c r="H761" s="48"/>
      <c r="I761" s="49"/>
    </row>
    <row r="762" spans="2:9" s="1" customFormat="1" x14ac:dyDescent="0.2">
      <c r="B762" s="44" t="str">
        <f t="shared" si="10"/>
        <v>2023-057-2</v>
      </c>
      <c r="C762" s="45">
        <v>2023</v>
      </c>
      <c r="D762" s="45" t="s">
        <v>86</v>
      </c>
      <c r="E762" s="45">
        <v>2</v>
      </c>
      <c r="F762" s="47" t="s">
        <v>939</v>
      </c>
      <c r="G762" s="45" t="s">
        <v>3210</v>
      </c>
      <c r="H762" s="48"/>
      <c r="I762" s="49"/>
    </row>
    <row r="763" spans="2:9" s="1" customFormat="1" x14ac:dyDescent="0.2">
      <c r="B763" s="44" t="str">
        <f t="shared" si="10"/>
        <v>2023-057-3</v>
      </c>
      <c r="C763" s="45">
        <v>2023</v>
      </c>
      <c r="D763" s="45" t="s">
        <v>86</v>
      </c>
      <c r="E763" s="45">
        <v>3</v>
      </c>
      <c r="F763" s="47" t="s">
        <v>1334</v>
      </c>
      <c r="G763" s="45"/>
      <c r="H763" s="48"/>
      <c r="I763" s="49"/>
    </row>
    <row r="764" spans="2:9" s="1" customFormat="1" x14ac:dyDescent="0.2">
      <c r="B764" s="44" t="str">
        <f t="shared" si="10"/>
        <v>2023-057-4</v>
      </c>
      <c r="C764" s="45">
        <v>2023</v>
      </c>
      <c r="D764" s="45" t="s">
        <v>86</v>
      </c>
      <c r="E764" s="45">
        <v>4</v>
      </c>
      <c r="F764" s="47" t="s">
        <v>1730</v>
      </c>
      <c r="G764" s="45"/>
      <c r="H764" s="48"/>
      <c r="I764" s="49"/>
    </row>
    <row r="765" spans="2:9" s="1" customFormat="1" x14ac:dyDescent="0.2">
      <c r="B765" s="50" t="str">
        <f t="shared" si="10"/>
        <v>2023-057-5</v>
      </c>
      <c r="C765" s="51">
        <v>2023</v>
      </c>
      <c r="D765" s="51" t="s">
        <v>86</v>
      </c>
      <c r="E765" s="51">
        <v>5</v>
      </c>
      <c r="F765" s="52" t="s">
        <v>2125</v>
      </c>
      <c r="G765" s="51"/>
      <c r="H765" s="53"/>
      <c r="I765" s="54"/>
    </row>
    <row r="766" spans="2:9" s="1" customFormat="1" x14ac:dyDescent="0.2">
      <c r="B766" s="55" t="str">
        <f t="shared" si="10"/>
        <v>2023-058-0</v>
      </c>
      <c r="C766" s="56">
        <v>2023</v>
      </c>
      <c r="D766" s="56" t="s">
        <v>87</v>
      </c>
      <c r="E766" s="56">
        <v>0</v>
      </c>
      <c r="F766" s="57" t="s">
        <v>152</v>
      </c>
      <c r="G766" s="56"/>
      <c r="H766" s="58"/>
      <c r="I766" s="59"/>
    </row>
    <row r="767" spans="2:9" s="1" customFormat="1" x14ac:dyDescent="0.2">
      <c r="B767" s="44" t="str">
        <f t="shared" si="10"/>
        <v>2023-058-1</v>
      </c>
      <c r="C767" s="45">
        <v>2023</v>
      </c>
      <c r="D767" s="45" t="s">
        <v>87</v>
      </c>
      <c r="E767" s="45">
        <v>1</v>
      </c>
      <c r="F767" s="47" t="s">
        <v>538</v>
      </c>
      <c r="G767" s="45"/>
      <c r="H767" s="48"/>
      <c r="I767" s="49"/>
    </row>
    <row r="768" spans="2:9" s="1" customFormat="1" ht="27" x14ac:dyDescent="0.2">
      <c r="B768" s="44" t="str">
        <f t="shared" si="10"/>
        <v>2023-058-2</v>
      </c>
      <c r="C768" s="45">
        <v>2023</v>
      </c>
      <c r="D768" s="45" t="s">
        <v>87</v>
      </c>
      <c r="E768" s="45">
        <v>2</v>
      </c>
      <c r="F768" s="47" t="s">
        <v>940</v>
      </c>
      <c r="G768" s="45" t="s">
        <v>3210</v>
      </c>
      <c r="H768" s="48"/>
      <c r="I768" s="49"/>
    </row>
    <row r="769" spans="2:9" s="1" customFormat="1" ht="27" x14ac:dyDescent="0.2">
      <c r="B769" s="44" t="str">
        <f t="shared" si="10"/>
        <v>2023-058-3</v>
      </c>
      <c r="C769" s="45">
        <v>2023</v>
      </c>
      <c r="D769" s="45" t="s">
        <v>87</v>
      </c>
      <c r="E769" s="45">
        <v>3</v>
      </c>
      <c r="F769" s="47" t="s">
        <v>1335</v>
      </c>
      <c r="G769" s="45"/>
      <c r="H769" s="48"/>
      <c r="I769" s="49"/>
    </row>
    <row r="770" spans="2:9" s="1" customFormat="1" x14ac:dyDescent="0.2">
      <c r="B770" s="44" t="str">
        <f t="shared" si="10"/>
        <v>2023-058-4</v>
      </c>
      <c r="C770" s="45">
        <v>2023</v>
      </c>
      <c r="D770" s="45" t="s">
        <v>87</v>
      </c>
      <c r="E770" s="45">
        <v>4</v>
      </c>
      <c r="F770" s="47" t="s">
        <v>608</v>
      </c>
      <c r="G770" s="45"/>
      <c r="H770" s="48"/>
      <c r="I770" s="49"/>
    </row>
    <row r="771" spans="2:9" s="1" customFormat="1" x14ac:dyDescent="0.2">
      <c r="B771" s="50" t="str">
        <f t="shared" si="10"/>
        <v>2023-058-5</v>
      </c>
      <c r="C771" s="51">
        <v>2023</v>
      </c>
      <c r="D771" s="51" t="s">
        <v>87</v>
      </c>
      <c r="E771" s="51">
        <v>5</v>
      </c>
      <c r="F771" s="52" t="s">
        <v>2126</v>
      </c>
      <c r="G771" s="51"/>
      <c r="H771" s="53"/>
      <c r="I771" s="54"/>
    </row>
    <row r="772" spans="2:9" s="1" customFormat="1" ht="40.5" x14ac:dyDescent="0.2">
      <c r="B772" s="55" t="str">
        <f t="shared" si="10"/>
        <v>2023-059-0</v>
      </c>
      <c r="C772" s="56">
        <v>2023</v>
      </c>
      <c r="D772" s="56" t="s">
        <v>88</v>
      </c>
      <c r="E772" s="56">
        <v>0</v>
      </c>
      <c r="F772" s="57" t="s">
        <v>153</v>
      </c>
      <c r="G772" s="56"/>
      <c r="H772" s="58"/>
      <c r="I772" s="59"/>
    </row>
    <row r="773" spans="2:9" s="1" customFormat="1" x14ac:dyDescent="0.2">
      <c r="B773" s="44" t="str">
        <f t="shared" si="10"/>
        <v>2023-059-1</v>
      </c>
      <c r="C773" s="45">
        <v>2023</v>
      </c>
      <c r="D773" s="45" t="s">
        <v>88</v>
      </c>
      <c r="E773" s="45">
        <v>1</v>
      </c>
      <c r="F773" s="47" t="s">
        <v>539</v>
      </c>
      <c r="G773" s="45"/>
      <c r="H773" s="48"/>
      <c r="I773" s="49"/>
    </row>
    <row r="774" spans="2:9" s="1" customFormat="1" x14ac:dyDescent="0.2">
      <c r="B774" s="44" t="str">
        <f t="shared" si="10"/>
        <v>2023-059-2</v>
      </c>
      <c r="C774" s="45">
        <v>2023</v>
      </c>
      <c r="D774" s="45" t="s">
        <v>88</v>
      </c>
      <c r="E774" s="45">
        <v>2</v>
      </c>
      <c r="F774" s="47" t="s">
        <v>941</v>
      </c>
      <c r="G774" s="45" t="s">
        <v>3210</v>
      </c>
      <c r="H774" s="48"/>
      <c r="I774" s="49"/>
    </row>
    <row r="775" spans="2:9" s="1" customFormat="1" x14ac:dyDescent="0.2">
      <c r="B775" s="44" t="str">
        <f t="shared" si="10"/>
        <v>2023-059-3</v>
      </c>
      <c r="C775" s="45">
        <v>2023</v>
      </c>
      <c r="D775" s="45" t="s">
        <v>88</v>
      </c>
      <c r="E775" s="45">
        <v>3</v>
      </c>
      <c r="F775" s="47" t="s">
        <v>1336</v>
      </c>
      <c r="G775" s="45"/>
      <c r="H775" s="48"/>
      <c r="I775" s="49"/>
    </row>
    <row r="776" spans="2:9" s="1" customFormat="1" x14ac:dyDescent="0.2">
      <c r="B776" s="44" t="str">
        <f t="shared" si="10"/>
        <v>2023-059-4</v>
      </c>
      <c r="C776" s="45">
        <v>2023</v>
      </c>
      <c r="D776" s="45" t="s">
        <v>88</v>
      </c>
      <c r="E776" s="45">
        <v>4</v>
      </c>
      <c r="F776" s="47" t="s">
        <v>1731</v>
      </c>
      <c r="G776" s="45"/>
      <c r="H776" s="48"/>
      <c r="I776" s="49"/>
    </row>
    <row r="777" spans="2:9" s="1" customFormat="1" x14ac:dyDescent="0.2">
      <c r="B777" s="50" t="str">
        <f t="shared" si="10"/>
        <v>2023-059-5</v>
      </c>
      <c r="C777" s="51">
        <v>2023</v>
      </c>
      <c r="D777" s="51" t="s">
        <v>88</v>
      </c>
      <c r="E777" s="51">
        <v>5</v>
      </c>
      <c r="F777" s="52" t="s">
        <v>2127</v>
      </c>
      <c r="G777" s="51"/>
      <c r="H777" s="53"/>
      <c r="I777" s="54"/>
    </row>
    <row r="778" spans="2:9" s="1" customFormat="1" x14ac:dyDescent="0.2">
      <c r="B778" s="55" t="str">
        <f t="shared" si="10"/>
        <v>2023-060-0</v>
      </c>
      <c r="C778" s="56">
        <v>2023</v>
      </c>
      <c r="D778" s="56" t="s">
        <v>89</v>
      </c>
      <c r="E778" s="56">
        <v>0</v>
      </c>
      <c r="F778" s="57" t="s">
        <v>154</v>
      </c>
      <c r="G778" s="56"/>
      <c r="H778" s="58"/>
      <c r="I778" s="59"/>
    </row>
    <row r="779" spans="2:9" s="1" customFormat="1" x14ac:dyDescent="0.2">
      <c r="B779" s="44" t="str">
        <f t="shared" si="10"/>
        <v>2023-060-1</v>
      </c>
      <c r="C779" s="45">
        <v>2023</v>
      </c>
      <c r="D779" s="45" t="s">
        <v>89</v>
      </c>
      <c r="E779" s="45">
        <v>1</v>
      </c>
      <c r="F779" s="47" t="s">
        <v>540</v>
      </c>
      <c r="G779" s="45"/>
      <c r="H779" s="48"/>
      <c r="I779" s="49"/>
    </row>
    <row r="780" spans="2:9" s="1" customFormat="1" ht="27" x14ac:dyDescent="0.2">
      <c r="B780" s="44" t="str">
        <f t="shared" si="10"/>
        <v>2023-060-2</v>
      </c>
      <c r="C780" s="45">
        <v>2023</v>
      </c>
      <c r="D780" s="45" t="s">
        <v>89</v>
      </c>
      <c r="E780" s="45">
        <v>2</v>
      </c>
      <c r="F780" s="47" t="s">
        <v>942</v>
      </c>
      <c r="G780" s="45"/>
      <c r="H780" s="48"/>
      <c r="I780" s="49"/>
    </row>
    <row r="781" spans="2:9" s="1" customFormat="1" x14ac:dyDescent="0.2">
      <c r="B781" s="44" t="str">
        <f t="shared" si="10"/>
        <v>2023-060-3</v>
      </c>
      <c r="C781" s="45">
        <v>2023</v>
      </c>
      <c r="D781" s="45" t="s">
        <v>89</v>
      </c>
      <c r="E781" s="45">
        <v>3</v>
      </c>
      <c r="F781" s="47" t="s">
        <v>1337</v>
      </c>
      <c r="G781" s="45"/>
      <c r="H781" s="48"/>
      <c r="I781" s="49"/>
    </row>
    <row r="782" spans="2:9" s="1" customFormat="1" x14ac:dyDescent="0.2">
      <c r="B782" s="44" t="str">
        <f t="shared" si="10"/>
        <v>2023-060-4</v>
      </c>
      <c r="C782" s="45">
        <v>2023</v>
      </c>
      <c r="D782" s="45" t="s">
        <v>89</v>
      </c>
      <c r="E782" s="45">
        <v>4</v>
      </c>
      <c r="F782" s="47" t="s">
        <v>1732</v>
      </c>
      <c r="G782" s="45" t="s">
        <v>3210</v>
      </c>
      <c r="H782" s="48"/>
      <c r="I782" s="49"/>
    </row>
    <row r="783" spans="2:9" s="1" customFormat="1" x14ac:dyDescent="0.2">
      <c r="B783" s="50" t="str">
        <f t="shared" si="10"/>
        <v>2023-060-5</v>
      </c>
      <c r="C783" s="51">
        <v>2023</v>
      </c>
      <c r="D783" s="51" t="s">
        <v>89</v>
      </c>
      <c r="E783" s="51">
        <v>5</v>
      </c>
      <c r="F783" s="52" t="s">
        <v>2128</v>
      </c>
      <c r="G783" s="51"/>
      <c r="H783" s="53"/>
      <c r="I783" s="54"/>
    </row>
    <row r="784" spans="2:9" s="1" customFormat="1" x14ac:dyDescent="0.2">
      <c r="B784" s="55" t="str">
        <f t="shared" si="10"/>
        <v>2023-061-0</v>
      </c>
      <c r="C784" s="56">
        <v>2023</v>
      </c>
      <c r="D784" s="56" t="s">
        <v>90</v>
      </c>
      <c r="E784" s="56">
        <v>0</v>
      </c>
      <c r="F784" s="57" t="s">
        <v>155</v>
      </c>
      <c r="G784" s="56"/>
      <c r="H784" s="58"/>
      <c r="I784" s="59"/>
    </row>
    <row r="785" spans="2:9" s="1" customFormat="1" x14ac:dyDescent="0.2">
      <c r="B785" s="44" t="str">
        <f t="shared" si="10"/>
        <v>2023-061-1</v>
      </c>
      <c r="C785" s="45">
        <v>2023</v>
      </c>
      <c r="D785" s="45" t="s">
        <v>90</v>
      </c>
      <c r="E785" s="45">
        <v>1</v>
      </c>
      <c r="F785" s="47" t="s">
        <v>541</v>
      </c>
      <c r="G785" s="45" t="s">
        <v>3210</v>
      </c>
      <c r="H785" s="48"/>
      <c r="I785" s="49"/>
    </row>
    <row r="786" spans="2:9" s="1" customFormat="1" x14ac:dyDescent="0.2">
      <c r="B786" s="44" t="str">
        <f t="shared" si="10"/>
        <v>2023-061-2</v>
      </c>
      <c r="C786" s="45">
        <v>2023</v>
      </c>
      <c r="D786" s="45" t="s">
        <v>90</v>
      </c>
      <c r="E786" s="45">
        <v>2</v>
      </c>
      <c r="F786" s="47" t="s">
        <v>678</v>
      </c>
      <c r="G786" s="45"/>
      <c r="H786" s="48"/>
      <c r="I786" s="49"/>
    </row>
    <row r="787" spans="2:9" s="1" customFormat="1" ht="27" x14ac:dyDescent="0.2">
      <c r="B787" s="44" t="str">
        <f t="shared" si="10"/>
        <v>2023-061-3</v>
      </c>
      <c r="C787" s="45">
        <v>2023</v>
      </c>
      <c r="D787" s="45" t="s">
        <v>90</v>
      </c>
      <c r="E787" s="45">
        <v>3</v>
      </c>
      <c r="F787" s="47" t="s">
        <v>1338</v>
      </c>
      <c r="G787" s="45"/>
      <c r="H787" s="48"/>
      <c r="I787" s="49"/>
    </row>
    <row r="788" spans="2:9" s="1" customFormat="1" x14ac:dyDescent="0.2">
      <c r="B788" s="44" t="str">
        <f t="shared" si="10"/>
        <v>2023-061-4</v>
      </c>
      <c r="C788" s="45">
        <v>2023</v>
      </c>
      <c r="D788" s="45" t="s">
        <v>90</v>
      </c>
      <c r="E788" s="45">
        <v>4</v>
      </c>
      <c r="F788" s="47" t="s">
        <v>1733</v>
      </c>
      <c r="G788" s="45"/>
      <c r="H788" s="48"/>
      <c r="I788" s="49"/>
    </row>
    <row r="789" spans="2:9" s="1" customFormat="1" x14ac:dyDescent="0.2">
      <c r="B789" s="50" t="str">
        <f t="shared" si="10"/>
        <v>2023-061-5</v>
      </c>
      <c r="C789" s="51">
        <v>2023</v>
      </c>
      <c r="D789" s="51" t="s">
        <v>90</v>
      </c>
      <c r="E789" s="51">
        <v>5</v>
      </c>
      <c r="F789" s="52" t="s">
        <v>2129</v>
      </c>
      <c r="G789" s="51"/>
      <c r="H789" s="53"/>
      <c r="I789" s="54"/>
    </row>
    <row r="790" spans="2:9" s="1" customFormat="1" x14ac:dyDescent="0.2">
      <c r="B790" s="55" t="str">
        <f t="shared" si="10"/>
        <v>2023-062-0</v>
      </c>
      <c r="C790" s="56">
        <v>2023</v>
      </c>
      <c r="D790" s="56" t="s">
        <v>91</v>
      </c>
      <c r="E790" s="56">
        <v>0</v>
      </c>
      <c r="F790" s="57" t="s">
        <v>156</v>
      </c>
      <c r="G790" s="56"/>
      <c r="H790" s="58"/>
      <c r="I790" s="59"/>
    </row>
    <row r="791" spans="2:9" s="1" customFormat="1" x14ac:dyDescent="0.2">
      <c r="B791" s="44" t="str">
        <f t="shared" si="10"/>
        <v>2023-062-1</v>
      </c>
      <c r="C791" s="45">
        <v>2023</v>
      </c>
      <c r="D791" s="45" t="s">
        <v>91</v>
      </c>
      <c r="E791" s="45">
        <v>1</v>
      </c>
      <c r="F791" s="47" t="s">
        <v>542</v>
      </c>
      <c r="G791" s="45"/>
      <c r="H791" s="48"/>
      <c r="I791" s="49"/>
    </row>
    <row r="792" spans="2:9" s="1" customFormat="1" x14ac:dyDescent="0.2">
      <c r="B792" s="44" t="str">
        <f t="shared" si="10"/>
        <v>2023-062-2</v>
      </c>
      <c r="C792" s="45">
        <v>2023</v>
      </c>
      <c r="D792" s="45" t="s">
        <v>91</v>
      </c>
      <c r="E792" s="45">
        <v>2</v>
      </c>
      <c r="F792" s="47" t="s">
        <v>943</v>
      </c>
      <c r="G792" s="45"/>
      <c r="H792" s="48"/>
      <c r="I792" s="49"/>
    </row>
    <row r="793" spans="2:9" s="1" customFormat="1" ht="27" x14ac:dyDescent="0.2">
      <c r="B793" s="44" t="str">
        <f t="shared" si="10"/>
        <v>2023-062-3</v>
      </c>
      <c r="C793" s="45">
        <v>2023</v>
      </c>
      <c r="D793" s="45" t="s">
        <v>91</v>
      </c>
      <c r="E793" s="45">
        <v>3</v>
      </c>
      <c r="F793" s="47" t="s">
        <v>1339</v>
      </c>
      <c r="G793" s="45"/>
      <c r="H793" s="48"/>
      <c r="I793" s="49"/>
    </row>
    <row r="794" spans="2:9" s="1" customFormat="1" x14ac:dyDescent="0.2">
      <c r="B794" s="44" t="str">
        <f t="shared" si="10"/>
        <v>2023-062-4</v>
      </c>
      <c r="C794" s="45">
        <v>2023</v>
      </c>
      <c r="D794" s="45" t="s">
        <v>91</v>
      </c>
      <c r="E794" s="45">
        <v>4</v>
      </c>
      <c r="F794" s="47" t="s">
        <v>1734</v>
      </c>
      <c r="G794" s="45"/>
      <c r="H794" s="48"/>
      <c r="I794" s="49"/>
    </row>
    <row r="795" spans="2:9" s="1" customFormat="1" ht="27" x14ac:dyDescent="0.2">
      <c r="B795" s="50" t="str">
        <f t="shared" si="10"/>
        <v>2023-062-5</v>
      </c>
      <c r="C795" s="51">
        <v>2023</v>
      </c>
      <c r="D795" s="51" t="s">
        <v>91</v>
      </c>
      <c r="E795" s="51">
        <v>5</v>
      </c>
      <c r="F795" s="52" t="s">
        <v>2491</v>
      </c>
      <c r="G795" s="51" t="s">
        <v>3210</v>
      </c>
      <c r="H795" s="53"/>
      <c r="I795" s="54"/>
    </row>
    <row r="796" spans="2:9" s="1" customFormat="1" ht="67.5" x14ac:dyDescent="0.2">
      <c r="B796" s="55" t="str">
        <f t="shared" si="10"/>
        <v>2023-063-0</v>
      </c>
      <c r="C796" s="56">
        <v>2023</v>
      </c>
      <c r="D796" s="56" t="s">
        <v>92</v>
      </c>
      <c r="E796" s="56">
        <v>0</v>
      </c>
      <c r="F796" s="57" t="s">
        <v>157</v>
      </c>
      <c r="G796" s="56"/>
      <c r="H796" s="58"/>
      <c r="I796" s="59"/>
    </row>
    <row r="797" spans="2:9" s="1" customFormat="1" x14ac:dyDescent="0.2">
      <c r="B797" s="44" t="str">
        <f t="shared" si="10"/>
        <v>2023-063-1</v>
      </c>
      <c r="C797" s="45">
        <v>2023</v>
      </c>
      <c r="D797" s="45" t="s">
        <v>92</v>
      </c>
      <c r="E797" s="45">
        <v>1</v>
      </c>
      <c r="F797" s="47" t="s">
        <v>44</v>
      </c>
      <c r="G797" s="45"/>
      <c r="H797" s="48"/>
      <c r="I797" s="49"/>
    </row>
    <row r="798" spans="2:9" s="1" customFormat="1" x14ac:dyDescent="0.2">
      <c r="B798" s="44" t="str">
        <f t="shared" si="10"/>
        <v>2023-063-2</v>
      </c>
      <c r="C798" s="45">
        <v>2023</v>
      </c>
      <c r="D798" s="45" t="s">
        <v>92</v>
      </c>
      <c r="E798" s="45">
        <v>2</v>
      </c>
      <c r="F798" s="47" t="s">
        <v>47</v>
      </c>
      <c r="G798" s="45"/>
      <c r="H798" s="48"/>
      <c r="I798" s="49"/>
    </row>
    <row r="799" spans="2:9" s="1" customFormat="1" x14ac:dyDescent="0.2">
      <c r="B799" s="44" t="str">
        <f t="shared" si="10"/>
        <v>2023-063-3</v>
      </c>
      <c r="C799" s="45">
        <v>2023</v>
      </c>
      <c r="D799" s="45" t="s">
        <v>92</v>
      </c>
      <c r="E799" s="45">
        <v>3</v>
      </c>
      <c r="F799" s="47" t="s">
        <v>55</v>
      </c>
      <c r="G799" s="45"/>
      <c r="H799" s="48"/>
      <c r="I799" s="49"/>
    </row>
    <row r="800" spans="2:9" s="1" customFormat="1" x14ac:dyDescent="0.2">
      <c r="B800" s="44" t="str">
        <f t="shared" si="10"/>
        <v>2023-063-4</v>
      </c>
      <c r="C800" s="45">
        <v>2023</v>
      </c>
      <c r="D800" s="45" t="s">
        <v>92</v>
      </c>
      <c r="E800" s="45">
        <v>4</v>
      </c>
      <c r="F800" s="47" t="s">
        <v>52</v>
      </c>
      <c r="G800" s="45"/>
      <c r="H800" s="48"/>
      <c r="I800" s="49"/>
    </row>
    <row r="801" spans="2:9" s="1" customFormat="1" x14ac:dyDescent="0.2">
      <c r="B801" s="50" t="str">
        <f t="shared" si="10"/>
        <v>2023-063-5</v>
      </c>
      <c r="C801" s="51">
        <v>2023</v>
      </c>
      <c r="D801" s="51" t="s">
        <v>92</v>
      </c>
      <c r="E801" s="51">
        <v>5</v>
      </c>
      <c r="F801" s="52" t="s">
        <v>49</v>
      </c>
      <c r="G801" s="51" t="s">
        <v>3210</v>
      </c>
      <c r="H801" s="53"/>
      <c r="I801" s="54"/>
    </row>
    <row r="802" spans="2:9" s="1" customFormat="1" x14ac:dyDescent="0.2">
      <c r="B802" s="55" t="str">
        <f t="shared" si="10"/>
        <v>2023-064-0</v>
      </c>
      <c r="C802" s="56">
        <v>2023</v>
      </c>
      <c r="D802" s="56" t="s">
        <v>93</v>
      </c>
      <c r="E802" s="56">
        <v>0</v>
      </c>
      <c r="F802" s="65" t="s">
        <v>158</v>
      </c>
      <c r="G802" s="56"/>
      <c r="H802" s="58"/>
      <c r="I802" s="59"/>
    </row>
    <row r="803" spans="2:9" s="1" customFormat="1" x14ac:dyDescent="0.2">
      <c r="B803" s="44" t="str">
        <f t="shared" si="10"/>
        <v>2023-064-1</v>
      </c>
      <c r="C803" s="45">
        <v>2023</v>
      </c>
      <c r="D803" s="45" t="s">
        <v>93</v>
      </c>
      <c r="E803" s="45">
        <v>1</v>
      </c>
      <c r="F803" s="47" t="s">
        <v>543</v>
      </c>
      <c r="G803" s="45"/>
      <c r="H803" s="48"/>
      <c r="I803" s="49"/>
    </row>
    <row r="804" spans="2:9" s="1" customFormat="1" x14ac:dyDescent="0.2">
      <c r="B804" s="44" t="str">
        <f t="shared" si="10"/>
        <v>2023-064-2</v>
      </c>
      <c r="C804" s="45">
        <v>2023</v>
      </c>
      <c r="D804" s="45" t="s">
        <v>93</v>
      </c>
      <c r="E804" s="45">
        <v>2</v>
      </c>
      <c r="F804" s="47" t="s">
        <v>944</v>
      </c>
      <c r="G804" s="45"/>
      <c r="H804" s="48"/>
      <c r="I804" s="49"/>
    </row>
    <row r="805" spans="2:9" s="1" customFormat="1" x14ac:dyDescent="0.2">
      <c r="B805" s="44" t="str">
        <f t="shared" ref="B805:B868" si="11">C805&amp;"-"&amp;D805&amp;"-"&amp;E805</f>
        <v>2023-064-3</v>
      </c>
      <c r="C805" s="45">
        <v>2023</v>
      </c>
      <c r="D805" s="45" t="s">
        <v>93</v>
      </c>
      <c r="E805" s="45">
        <v>3</v>
      </c>
      <c r="F805" s="47" t="s">
        <v>1340</v>
      </c>
      <c r="G805" s="45" t="s">
        <v>3210</v>
      </c>
      <c r="H805" s="48"/>
      <c r="I805" s="49"/>
    </row>
    <row r="806" spans="2:9" s="1" customFormat="1" x14ac:dyDescent="0.2">
      <c r="B806" s="44" t="str">
        <f t="shared" si="11"/>
        <v>2023-064-4</v>
      </c>
      <c r="C806" s="45">
        <v>2023</v>
      </c>
      <c r="D806" s="45" t="s">
        <v>93</v>
      </c>
      <c r="E806" s="45">
        <v>4</v>
      </c>
      <c r="F806" s="47" t="s">
        <v>1735</v>
      </c>
      <c r="G806" s="45"/>
      <c r="H806" s="48"/>
      <c r="I806" s="49"/>
    </row>
    <row r="807" spans="2:9" s="1" customFormat="1" ht="27" x14ac:dyDescent="0.2">
      <c r="B807" s="50" t="str">
        <f t="shared" si="11"/>
        <v>2023-064-5</v>
      </c>
      <c r="C807" s="51">
        <v>2023</v>
      </c>
      <c r="D807" s="51" t="s">
        <v>93</v>
      </c>
      <c r="E807" s="51">
        <v>5</v>
      </c>
      <c r="F807" s="52" t="s">
        <v>2130</v>
      </c>
      <c r="G807" s="51"/>
      <c r="H807" s="53"/>
      <c r="I807" s="54"/>
    </row>
    <row r="808" spans="2:9" s="1" customFormat="1" ht="27" x14ac:dyDescent="0.2">
      <c r="B808" s="55" t="str">
        <f t="shared" si="11"/>
        <v>2023-065-0</v>
      </c>
      <c r="C808" s="56">
        <v>2023</v>
      </c>
      <c r="D808" s="56" t="s">
        <v>94</v>
      </c>
      <c r="E808" s="56">
        <v>0</v>
      </c>
      <c r="F808" s="57" t="s">
        <v>159</v>
      </c>
      <c r="G808" s="56"/>
      <c r="H808" s="58"/>
      <c r="I808" s="59"/>
    </row>
    <row r="809" spans="2:9" s="1" customFormat="1" x14ac:dyDescent="0.2">
      <c r="B809" s="44" t="str">
        <f t="shared" si="11"/>
        <v>2023-065-1</v>
      </c>
      <c r="C809" s="45">
        <v>2023</v>
      </c>
      <c r="D809" s="45" t="s">
        <v>94</v>
      </c>
      <c r="E809" s="45">
        <v>1</v>
      </c>
      <c r="F809" s="47" t="s">
        <v>544</v>
      </c>
      <c r="G809" s="45"/>
      <c r="H809" s="48"/>
      <c r="I809" s="49"/>
    </row>
    <row r="810" spans="2:9" s="1" customFormat="1" ht="27" x14ac:dyDescent="0.2">
      <c r="B810" s="44" t="str">
        <f t="shared" si="11"/>
        <v>2023-065-2</v>
      </c>
      <c r="C810" s="45">
        <v>2023</v>
      </c>
      <c r="D810" s="45" t="s">
        <v>94</v>
      </c>
      <c r="E810" s="45">
        <v>2</v>
      </c>
      <c r="F810" s="47" t="s">
        <v>945</v>
      </c>
      <c r="G810" s="45"/>
      <c r="H810" s="48"/>
      <c r="I810" s="49"/>
    </row>
    <row r="811" spans="2:9" s="1" customFormat="1" ht="27" x14ac:dyDescent="0.2">
      <c r="B811" s="44" t="str">
        <f t="shared" si="11"/>
        <v>2023-065-3</v>
      </c>
      <c r="C811" s="45">
        <v>2023</v>
      </c>
      <c r="D811" s="45" t="s">
        <v>94</v>
      </c>
      <c r="E811" s="45">
        <v>3</v>
      </c>
      <c r="F811" s="47" t="s">
        <v>1341</v>
      </c>
      <c r="G811" s="45" t="s">
        <v>3210</v>
      </c>
      <c r="H811" s="48"/>
      <c r="I811" s="49"/>
    </row>
    <row r="812" spans="2:9" s="1" customFormat="1" ht="27" x14ac:dyDescent="0.2">
      <c r="B812" s="44" t="str">
        <f t="shared" si="11"/>
        <v>2023-065-4</v>
      </c>
      <c r="C812" s="45">
        <v>2023</v>
      </c>
      <c r="D812" s="45" t="s">
        <v>94</v>
      </c>
      <c r="E812" s="45">
        <v>4</v>
      </c>
      <c r="F812" s="47" t="s">
        <v>1736</v>
      </c>
      <c r="G812" s="45"/>
      <c r="H812" s="48"/>
      <c r="I812" s="49"/>
    </row>
    <row r="813" spans="2:9" s="1" customFormat="1" ht="27" x14ac:dyDescent="0.2">
      <c r="B813" s="50" t="str">
        <f t="shared" si="11"/>
        <v>2023-065-5</v>
      </c>
      <c r="C813" s="51">
        <v>2023</v>
      </c>
      <c r="D813" s="51" t="s">
        <v>94</v>
      </c>
      <c r="E813" s="51">
        <v>5</v>
      </c>
      <c r="F813" s="52" t="s">
        <v>2131</v>
      </c>
      <c r="G813" s="51"/>
      <c r="H813" s="53"/>
      <c r="I813" s="54"/>
    </row>
    <row r="814" spans="2:9" s="1" customFormat="1" ht="27" x14ac:dyDescent="0.2">
      <c r="B814" s="55" t="str">
        <f t="shared" si="11"/>
        <v>2023-066-0</v>
      </c>
      <c r="C814" s="56">
        <v>2023</v>
      </c>
      <c r="D814" s="56" t="s">
        <v>95</v>
      </c>
      <c r="E814" s="56">
        <v>0</v>
      </c>
      <c r="F814" s="57" t="s">
        <v>160</v>
      </c>
      <c r="G814" s="56"/>
      <c r="H814" s="58"/>
      <c r="I814" s="59"/>
    </row>
    <row r="815" spans="2:9" s="1" customFormat="1" x14ac:dyDescent="0.2">
      <c r="B815" s="44" t="str">
        <f t="shared" si="11"/>
        <v>2023-066-1</v>
      </c>
      <c r="C815" s="45">
        <v>2023</v>
      </c>
      <c r="D815" s="45" t="s">
        <v>95</v>
      </c>
      <c r="E815" s="45">
        <v>1</v>
      </c>
      <c r="F815" s="47" t="s">
        <v>545</v>
      </c>
      <c r="G815" s="45"/>
      <c r="H815" s="48"/>
      <c r="I815" s="49"/>
    </row>
    <row r="816" spans="2:9" s="1" customFormat="1" x14ac:dyDescent="0.2">
      <c r="B816" s="44" t="str">
        <f t="shared" si="11"/>
        <v>2023-066-2</v>
      </c>
      <c r="C816" s="45">
        <v>2023</v>
      </c>
      <c r="D816" s="45" t="s">
        <v>95</v>
      </c>
      <c r="E816" s="45">
        <v>2</v>
      </c>
      <c r="F816" s="47" t="s">
        <v>946</v>
      </c>
      <c r="G816" s="45"/>
      <c r="H816" s="48"/>
      <c r="I816" s="49"/>
    </row>
    <row r="817" spans="2:9" s="1" customFormat="1" ht="27" x14ac:dyDescent="0.2">
      <c r="B817" s="44" t="str">
        <f t="shared" si="11"/>
        <v>2023-066-3</v>
      </c>
      <c r="C817" s="45">
        <v>2023</v>
      </c>
      <c r="D817" s="45" t="s">
        <v>95</v>
      </c>
      <c r="E817" s="45">
        <v>3</v>
      </c>
      <c r="F817" s="47" t="s">
        <v>1342</v>
      </c>
      <c r="G817" s="45" t="s">
        <v>3210</v>
      </c>
      <c r="H817" s="48"/>
      <c r="I817" s="49"/>
    </row>
    <row r="818" spans="2:9" s="1" customFormat="1" x14ac:dyDescent="0.2">
      <c r="B818" s="44" t="str">
        <f t="shared" si="11"/>
        <v>2023-066-4</v>
      </c>
      <c r="C818" s="45">
        <v>2023</v>
      </c>
      <c r="D818" s="45" t="s">
        <v>95</v>
      </c>
      <c r="E818" s="45">
        <v>4</v>
      </c>
      <c r="F818" s="47" t="s">
        <v>1737</v>
      </c>
      <c r="G818" s="45"/>
      <c r="H818" s="48"/>
      <c r="I818" s="49"/>
    </row>
    <row r="819" spans="2:9" s="1" customFormat="1" x14ac:dyDescent="0.2">
      <c r="B819" s="50" t="str">
        <f t="shared" si="11"/>
        <v>2023-066-5</v>
      </c>
      <c r="C819" s="51">
        <v>2023</v>
      </c>
      <c r="D819" s="51" t="s">
        <v>95</v>
      </c>
      <c r="E819" s="51">
        <v>5</v>
      </c>
      <c r="F819" s="52" t="s">
        <v>2132</v>
      </c>
      <c r="G819" s="51"/>
      <c r="H819" s="53"/>
      <c r="I819" s="54"/>
    </row>
    <row r="820" spans="2:9" s="1" customFormat="1" ht="67.5" x14ac:dyDescent="0.2">
      <c r="B820" s="55" t="str">
        <f t="shared" si="11"/>
        <v>2023-067-0</v>
      </c>
      <c r="C820" s="56">
        <v>2023</v>
      </c>
      <c r="D820" s="56" t="s">
        <v>96</v>
      </c>
      <c r="E820" s="56">
        <v>0</v>
      </c>
      <c r="F820" s="57" t="s">
        <v>161</v>
      </c>
      <c r="G820" s="56"/>
      <c r="H820" s="58"/>
      <c r="I820" s="59"/>
    </row>
    <row r="821" spans="2:9" s="1" customFormat="1" x14ac:dyDescent="0.2">
      <c r="B821" s="44" t="str">
        <f t="shared" si="11"/>
        <v>2023-067-1</v>
      </c>
      <c r="C821" s="45">
        <v>2023</v>
      </c>
      <c r="D821" s="45" t="s">
        <v>96</v>
      </c>
      <c r="E821" s="45">
        <v>1</v>
      </c>
      <c r="F821" s="47" t="s">
        <v>45</v>
      </c>
      <c r="G821" s="45"/>
      <c r="H821" s="48"/>
      <c r="I821" s="49"/>
    </row>
    <row r="822" spans="2:9" s="1" customFormat="1" x14ac:dyDescent="0.2">
      <c r="B822" s="44" t="str">
        <f t="shared" si="11"/>
        <v>2023-067-2</v>
      </c>
      <c r="C822" s="45">
        <v>2023</v>
      </c>
      <c r="D822" s="45" t="s">
        <v>96</v>
      </c>
      <c r="E822" s="45">
        <v>2</v>
      </c>
      <c r="F822" s="47" t="s">
        <v>50</v>
      </c>
      <c r="G822" s="45"/>
      <c r="H822" s="48"/>
      <c r="I822" s="49"/>
    </row>
    <row r="823" spans="2:9" s="1" customFormat="1" x14ac:dyDescent="0.2">
      <c r="B823" s="44" t="str">
        <f t="shared" si="11"/>
        <v>2023-067-3</v>
      </c>
      <c r="C823" s="45">
        <v>2023</v>
      </c>
      <c r="D823" s="45" t="s">
        <v>96</v>
      </c>
      <c r="E823" s="45">
        <v>3</v>
      </c>
      <c r="F823" s="47" t="s">
        <v>53</v>
      </c>
      <c r="G823" s="45" t="s">
        <v>3210</v>
      </c>
      <c r="H823" s="48"/>
      <c r="I823" s="49"/>
    </row>
    <row r="824" spans="2:9" s="1" customFormat="1" x14ac:dyDescent="0.2">
      <c r="B824" s="44" t="str">
        <f t="shared" si="11"/>
        <v>2023-067-4</v>
      </c>
      <c r="C824" s="45">
        <v>2023</v>
      </c>
      <c r="D824" s="45" t="s">
        <v>96</v>
      </c>
      <c r="E824" s="45">
        <v>4</v>
      </c>
      <c r="F824" s="47" t="s">
        <v>44</v>
      </c>
      <c r="G824" s="45"/>
      <c r="H824" s="48"/>
      <c r="I824" s="49"/>
    </row>
    <row r="825" spans="2:9" s="1" customFormat="1" x14ac:dyDescent="0.2">
      <c r="B825" s="50" t="str">
        <f t="shared" si="11"/>
        <v>2023-067-5</v>
      </c>
      <c r="C825" s="51">
        <v>2023</v>
      </c>
      <c r="D825" s="51" t="s">
        <v>96</v>
      </c>
      <c r="E825" s="51">
        <v>5</v>
      </c>
      <c r="F825" s="52" t="s">
        <v>55</v>
      </c>
      <c r="G825" s="51"/>
      <c r="H825" s="53"/>
      <c r="I825" s="54"/>
    </row>
    <row r="826" spans="2:9" s="1" customFormat="1" x14ac:dyDescent="0.2">
      <c r="B826" s="55" t="str">
        <f t="shared" si="11"/>
        <v>2023-068-0</v>
      </c>
      <c r="C826" s="56">
        <v>2023</v>
      </c>
      <c r="D826" s="56" t="s">
        <v>97</v>
      </c>
      <c r="E826" s="56">
        <v>0</v>
      </c>
      <c r="F826" s="57" t="s">
        <v>2492</v>
      </c>
      <c r="G826" s="56"/>
      <c r="H826" s="58"/>
      <c r="I826" s="59"/>
    </row>
    <row r="827" spans="2:9" s="1" customFormat="1" x14ac:dyDescent="0.2">
      <c r="B827" s="44" t="str">
        <f t="shared" si="11"/>
        <v>2023-068-1</v>
      </c>
      <c r="C827" s="45">
        <v>2023</v>
      </c>
      <c r="D827" s="45" t="s">
        <v>97</v>
      </c>
      <c r="E827" s="45">
        <v>1</v>
      </c>
      <c r="F827" s="47" t="s">
        <v>546</v>
      </c>
      <c r="G827" s="45"/>
      <c r="H827" s="48"/>
      <c r="I827" s="49"/>
    </row>
    <row r="828" spans="2:9" s="1" customFormat="1" x14ac:dyDescent="0.2">
      <c r="B828" s="44" t="str">
        <f t="shared" si="11"/>
        <v>2023-068-2</v>
      </c>
      <c r="C828" s="45">
        <v>2023</v>
      </c>
      <c r="D828" s="45" t="s">
        <v>97</v>
      </c>
      <c r="E828" s="45">
        <v>2</v>
      </c>
      <c r="F828" s="47" t="s">
        <v>947</v>
      </c>
      <c r="G828" s="45"/>
      <c r="H828" s="48"/>
      <c r="I828" s="49"/>
    </row>
    <row r="829" spans="2:9" s="1" customFormat="1" ht="27" x14ac:dyDescent="0.2">
      <c r="B829" s="44" t="str">
        <f t="shared" si="11"/>
        <v>2023-068-3</v>
      </c>
      <c r="C829" s="45">
        <v>2023</v>
      </c>
      <c r="D829" s="45" t="s">
        <v>97</v>
      </c>
      <c r="E829" s="45">
        <v>3</v>
      </c>
      <c r="F829" s="47" t="s">
        <v>1343</v>
      </c>
      <c r="G829" s="45"/>
      <c r="H829" s="48"/>
      <c r="I829" s="49"/>
    </row>
    <row r="830" spans="2:9" s="1" customFormat="1" ht="27" x14ac:dyDescent="0.2">
      <c r="B830" s="44" t="str">
        <f t="shared" si="11"/>
        <v>2023-068-4</v>
      </c>
      <c r="C830" s="45">
        <v>2023</v>
      </c>
      <c r="D830" s="45" t="s">
        <v>97</v>
      </c>
      <c r="E830" s="45">
        <v>4</v>
      </c>
      <c r="F830" s="47" t="s">
        <v>1738</v>
      </c>
      <c r="G830" s="45"/>
      <c r="H830" s="48"/>
      <c r="I830" s="49"/>
    </row>
    <row r="831" spans="2:9" s="1" customFormat="1" x14ac:dyDescent="0.2">
      <c r="B831" s="50" t="str">
        <f t="shared" si="11"/>
        <v>2023-068-5</v>
      </c>
      <c r="C831" s="51">
        <v>2023</v>
      </c>
      <c r="D831" s="51" t="s">
        <v>97</v>
      </c>
      <c r="E831" s="51">
        <v>5</v>
      </c>
      <c r="F831" s="52" t="s">
        <v>2133</v>
      </c>
      <c r="G831" s="51" t="s">
        <v>3210</v>
      </c>
      <c r="H831" s="53"/>
      <c r="I831" s="54"/>
    </row>
    <row r="832" spans="2:9" s="1" customFormat="1" ht="40.5" x14ac:dyDescent="0.2">
      <c r="B832" s="55" t="str">
        <f t="shared" si="11"/>
        <v>2023-069-0</v>
      </c>
      <c r="C832" s="56">
        <v>2023</v>
      </c>
      <c r="D832" s="56" t="s">
        <v>98</v>
      </c>
      <c r="E832" s="56">
        <v>0</v>
      </c>
      <c r="F832" s="57" t="s">
        <v>162</v>
      </c>
      <c r="G832" s="56"/>
      <c r="H832" s="58"/>
      <c r="I832" s="59"/>
    </row>
    <row r="833" spans="2:9" s="1" customFormat="1" ht="27" x14ac:dyDescent="0.2">
      <c r="B833" s="44" t="str">
        <f t="shared" si="11"/>
        <v>2023-069-1</v>
      </c>
      <c r="C833" s="45">
        <v>2023</v>
      </c>
      <c r="D833" s="45" t="s">
        <v>98</v>
      </c>
      <c r="E833" s="45">
        <v>1</v>
      </c>
      <c r="F833" s="47" t="s">
        <v>547</v>
      </c>
      <c r="G833" s="45"/>
      <c r="H833" s="48"/>
      <c r="I833" s="49"/>
    </row>
    <row r="834" spans="2:9" s="1" customFormat="1" x14ac:dyDescent="0.2">
      <c r="B834" s="44" t="str">
        <f t="shared" si="11"/>
        <v>2023-069-2</v>
      </c>
      <c r="C834" s="45">
        <v>2023</v>
      </c>
      <c r="D834" s="45" t="s">
        <v>98</v>
      </c>
      <c r="E834" s="45">
        <v>2</v>
      </c>
      <c r="F834" s="47" t="s">
        <v>948</v>
      </c>
      <c r="G834" s="45" t="s">
        <v>3210</v>
      </c>
      <c r="H834" s="48"/>
      <c r="I834" s="49"/>
    </row>
    <row r="835" spans="2:9" s="1" customFormat="1" ht="27" x14ac:dyDescent="0.2">
      <c r="B835" s="44" t="str">
        <f t="shared" si="11"/>
        <v>2023-069-3</v>
      </c>
      <c r="C835" s="45">
        <v>2023</v>
      </c>
      <c r="D835" s="45" t="s">
        <v>98</v>
      </c>
      <c r="E835" s="45">
        <v>3</v>
      </c>
      <c r="F835" s="47" t="s">
        <v>1344</v>
      </c>
      <c r="G835" s="45"/>
      <c r="H835" s="48"/>
      <c r="I835" s="49"/>
    </row>
    <row r="836" spans="2:9" s="1" customFormat="1" ht="27" x14ac:dyDescent="0.2">
      <c r="B836" s="44" t="str">
        <f t="shared" si="11"/>
        <v>2023-069-4</v>
      </c>
      <c r="C836" s="45">
        <v>2023</v>
      </c>
      <c r="D836" s="45" t="s">
        <v>98</v>
      </c>
      <c r="E836" s="45">
        <v>4</v>
      </c>
      <c r="F836" s="47" t="s">
        <v>1739</v>
      </c>
      <c r="G836" s="45"/>
      <c r="H836" s="48"/>
      <c r="I836" s="49"/>
    </row>
    <row r="837" spans="2:9" s="1" customFormat="1" ht="27" x14ac:dyDescent="0.2">
      <c r="B837" s="50" t="str">
        <f t="shared" si="11"/>
        <v>2023-069-5</v>
      </c>
      <c r="C837" s="51">
        <v>2023</v>
      </c>
      <c r="D837" s="51" t="s">
        <v>98</v>
      </c>
      <c r="E837" s="51">
        <v>5</v>
      </c>
      <c r="F837" s="52" t="s">
        <v>2134</v>
      </c>
      <c r="G837" s="51"/>
      <c r="H837" s="53"/>
      <c r="I837" s="54"/>
    </row>
    <row r="838" spans="2:9" s="1" customFormat="1" x14ac:dyDescent="0.2">
      <c r="B838" s="55" t="str">
        <f t="shared" si="11"/>
        <v>2023-070-0</v>
      </c>
      <c r="C838" s="56">
        <v>2023</v>
      </c>
      <c r="D838" s="56" t="s">
        <v>99</v>
      </c>
      <c r="E838" s="56">
        <v>0</v>
      </c>
      <c r="F838" s="57" t="s">
        <v>163</v>
      </c>
      <c r="G838" s="56"/>
      <c r="H838" s="58"/>
      <c r="I838" s="59"/>
    </row>
    <row r="839" spans="2:9" s="1" customFormat="1" x14ac:dyDescent="0.2">
      <c r="B839" s="44" t="str">
        <f t="shared" si="11"/>
        <v>2023-070-1</v>
      </c>
      <c r="C839" s="45">
        <v>2023</v>
      </c>
      <c r="D839" s="45" t="s">
        <v>99</v>
      </c>
      <c r="E839" s="45">
        <v>1</v>
      </c>
      <c r="F839" s="47" t="s">
        <v>548</v>
      </c>
      <c r="G839" s="45" t="s">
        <v>3210</v>
      </c>
      <c r="H839" s="48"/>
      <c r="I839" s="49"/>
    </row>
    <row r="840" spans="2:9" s="1" customFormat="1" ht="27" x14ac:dyDescent="0.2">
      <c r="B840" s="44" t="str">
        <f t="shared" si="11"/>
        <v>2023-070-2</v>
      </c>
      <c r="C840" s="45">
        <v>2023</v>
      </c>
      <c r="D840" s="45" t="s">
        <v>99</v>
      </c>
      <c r="E840" s="45">
        <v>2</v>
      </c>
      <c r="F840" s="47" t="s">
        <v>949</v>
      </c>
      <c r="G840" s="45"/>
      <c r="H840" s="48"/>
      <c r="I840" s="49"/>
    </row>
    <row r="841" spans="2:9" s="1" customFormat="1" x14ac:dyDescent="0.2">
      <c r="B841" s="44" t="str">
        <f t="shared" si="11"/>
        <v>2023-070-3</v>
      </c>
      <c r="C841" s="45">
        <v>2023</v>
      </c>
      <c r="D841" s="45" t="s">
        <v>99</v>
      </c>
      <c r="E841" s="45">
        <v>3</v>
      </c>
      <c r="F841" s="47" t="s">
        <v>1345</v>
      </c>
      <c r="G841" s="45"/>
      <c r="H841" s="48"/>
      <c r="I841" s="49"/>
    </row>
    <row r="842" spans="2:9" s="1" customFormat="1" x14ac:dyDescent="0.2">
      <c r="B842" s="44" t="str">
        <f t="shared" si="11"/>
        <v>2023-070-4</v>
      </c>
      <c r="C842" s="45">
        <v>2023</v>
      </c>
      <c r="D842" s="45" t="s">
        <v>99</v>
      </c>
      <c r="E842" s="45">
        <v>4</v>
      </c>
      <c r="F842" s="47" t="s">
        <v>1740</v>
      </c>
      <c r="G842" s="45"/>
      <c r="H842" s="48"/>
      <c r="I842" s="49"/>
    </row>
    <row r="843" spans="2:9" s="1" customFormat="1" ht="27" x14ac:dyDescent="0.2">
      <c r="B843" s="50" t="str">
        <f t="shared" si="11"/>
        <v>2023-070-5</v>
      </c>
      <c r="C843" s="51">
        <v>2023</v>
      </c>
      <c r="D843" s="51" t="s">
        <v>99</v>
      </c>
      <c r="E843" s="51">
        <v>5</v>
      </c>
      <c r="F843" s="52" t="s">
        <v>2135</v>
      </c>
      <c r="G843" s="51"/>
      <c r="H843" s="53"/>
      <c r="I843" s="54"/>
    </row>
    <row r="844" spans="2:9" s="1" customFormat="1" x14ac:dyDescent="0.2">
      <c r="B844" s="55" t="str">
        <f t="shared" si="11"/>
        <v>2023-071-0</v>
      </c>
      <c r="C844" s="56">
        <v>2023</v>
      </c>
      <c r="D844" s="56" t="s">
        <v>100</v>
      </c>
      <c r="E844" s="56">
        <v>0</v>
      </c>
      <c r="F844" s="57" t="s">
        <v>164</v>
      </c>
      <c r="G844" s="56"/>
      <c r="H844" s="58"/>
      <c r="I844" s="59"/>
    </row>
    <row r="845" spans="2:9" s="1" customFormat="1" ht="27" x14ac:dyDescent="0.2">
      <c r="B845" s="44" t="str">
        <f t="shared" si="11"/>
        <v>2023-071-1</v>
      </c>
      <c r="C845" s="45">
        <v>2023</v>
      </c>
      <c r="D845" s="45" t="s">
        <v>100</v>
      </c>
      <c r="E845" s="45">
        <v>1</v>
      </c>
      <c r="F845" s="47" t="s">
        <v>549</v>
      </c>
      <c r="G845" s="45" t="s">
        <v>3210</v>
      </c>
      <c r="H845" s="48"/>
      <c r="I845" s="49"/>
    </row>
    <row r="846" spans="2:9" s="1" customFormat="1" ht="27" x14ac:dyDescent="0.2">
      <c r="B846" s="44" t="str">
        <f t="shared" si="11"/>
        <v>2023-071-2</v>
      </c>
      <c r="C846" s="45">
        <v>2023</v>
      </c>
      <c r="D846" s="45" t="s">
        <v>100</v>
      </c>
      <c r="E846" s="45">
        <v>2</v>
      </c>
      <c r="F846" s="47" t="s">
        <v>950</v>
      </c>
      <c r="G846" s="45"/>
      <c r="H846" s="48"/>
      <c r="I846" s="49"/>
    </row>
    <row r="847" spans="2:9" s="1" customFormat="1" x14ac:dyDescent="0.2">
      <c r="B847" s="44" t="str">
        <f t="shared" si="11"/>
        <v>2023-071-3</v>
      </c>
      <c r="C847" s="45">
        <v>2023</v>
      </c>
      <c r="D847" s="45" t="s">
        <v>100</v>
      </c>
      <c r="E847" s="45">
        <v>3</v>
      </c>
      <c r="F847" s="47" t="s">
        <v>1346</v>
      </c>
      <c r="G847" s="45"/>
      <c r="H847" s="48"/>
      <c r="I847" s="49"/>
    </row>
    <row r="848" spans="2:9" s="1" customFormat="1" ht="27" x14ac:dyDescent="0.2">
      <c r="B848" s="44" t="str">
        <f t="shared" si="11"/>
        <v>2023-071-4</v>
      </c>
      <c r="C848" s="45">
        <v>2023</v>
      </c>
      <c r="D848" s="45" t="s">
        <v>100</v>
      </c>
      <c r="E848" s="45">
        <v>4</v>
      </c>
      <c r="F848" s="47" t="s">
        <v>1741</v>
      </c>
      <c r="G848" s="45"/>
      <c r="H848" s="48"/>
      <c r="I848" s="49"/>
    </row>
    <row r="849" spans="2:9" s="1" customFormat="1" x14ac:dyDescent="0.2">
      <c r="B849" s="50" t="str">
        <f t="shared" si="11"/>
        <v>2023-071-5</v>
      </c>
      <c r="C849" s="51">
        <v>2023</v>
      </c>
      <c r="D849" s="51" t="s">
        <v>100</v>
      </c>
      <c r="E849" s="51">
        <v>5</v>
      </c>
      <c r="F849" s="52" t="s">
        <v>2136</v>
      </c>
      <c r="G849" s="51"/>
      <c r="H849" s="53"/>
      <c r="I849" s="54"/>
    </row>
    <row r="850" spans="2:9" s="1" customFormat="1" x14ac:dyDescent="0.2">
      <c r="B850" s="55" t="str">
        <f t="shared" si="11"/>
        <v>2023-072-0</v>
      </c>
      <c r="C850" s="56">
        <v>2023</v>
      </c>
      <c r="D850" s="56" t="s">
        <v>101</v>
      </c>
      <c r="E850" s="56">
        <v>0</v>
      </c>
      <c r="F850" s="57" t="s">
        <v>165</v>
      </c>
      <c r="G850" s="56"/>
      <c r="H850" s="58"/>
      <c r="I850" s="59"/>
    </row>
    <row r="851" spans="2:9" s="1" customFormat="1" x14ac:dyDescent="0.2">
      <c r="B851" s="44" t="str">
        <f t="shared" si="11"/>
        <v>2023-072-1</v>
      </c>
      <c r="C851" s="45">
        <v>2023</v>
      </c>
      <c r="D851" s="45" t="s">
        <v>101</v>
      </c>
      <c r="E851" s="45">
        <v>1</v>
      </c>
      <c r="F851" s="47" t="s">
        <v>550</v>
      </c>
      <c r="G851" s="45"/>
      <c r="H851" s="48"/>
      <c r="I851" s="49"/>
    </row>
    <row r="852" spans="2:9" s="1" customFormat="1" x14ac:dyDescent="0.2">
      <c r="B852" s="44" t="str">
        <f t="shared" si="11"/>
        <v>2023-072-2</v>
      </c>
      <c r="C852" s="45">
        <v>2023</v>
      </c>
      <c r="D852" s="45" t="s">
        <v>101</v>
      </c>
      <c r="E852" s="45">
        <v>2</v>
      </c>
      <c r="F852" s="47" t="s">
        <v>951</v>
      </c>
      <c r="G852" s="45"/>
      <c r="H852" s="48"/>
      <c r="I852" s="49"/>
    </row>
    <row r="853" spans="2:9" s="1" customFormat="1" x14ac:dyDescent="0.2">
      <c r="B853" s="44" t="str">
        <f t="shared" si="11"/>
        <v>2023-072-3</v>
      </c>
      <c r="C853" s="45">
        <v>2023</v>
      </c>
      <c r="D853" s="45" t="s">
        <v>101</v>
      </c>
      <c r="E853" s="45">
        <v>3</v>
      </c>
      <c r="F853" s="47" t="s">
        <v>1347</v>
      </c>
      <c r="G853" s="45"/>
      <c r="H853" s="48"/>
      <c r="I853" s="49"/>
    </row>
    <row r="854" spans="2:9" s="1" customFormat="1" x14ac:dyDescent="0.2">
      <c r="B854" s="44" t="str">
        <f t="shared" si="11"/>
        <v>2023-072-4</v>
      </c>
      <c r="C854" s="45">
        <v>2023</v>
      </c>
      <c r="D854" s="45" t="s">
        <v>101</v>
      </c>
      <c r="E854" s="45">
        <v>4</v>
      </c>
      <c r="F854" s="47" t="s">
        <v>1742</v>
      </c>
      <c r="G854" s="45" t="s">
        <v>3210</v>
      </c>
      <c r="H854" s="48"/>
      <c r="I854" s="49"/>
    </row>
    <row r="855" spans="2:9" s="1" customFormat="1" x14ac:dyDescent="0.2">
      <c r="B855" s="50" t="str">
        <f t="shared" si="11"/>
        <v>2023-072-5</v>
      </c>
      <c r="C855" s="51">
        <v>2023</v>
      </c>
      <c r="D855" s="51" t="s">
        <v>101</v>
      </c>
      <c r="E855" s="51">
        <v>5</v>
      </c>
      <c r="F855" s="52" t="s">
        <v>2137</v>
      </c>
      <c r="G855" s="51"/>
      <c r="H855" s="53"/>
      <c r="I855" s="54"/>
    </row>
    <row r="856" spans="2:9" s="1" customFormat="1" ht="27" x14ac:dyDescent="0.2">
      <c r="B856" s="55" t="str">
        <f t="shared" si="11"/>
        <v>2023-073-0</v>
      </c>
      <c r="C856" s="56">
        <v>2023</v>
      </c>
      <c r="D856" s="56" t="s">
        <v>102</v>
      </c>
      <c r="E856" s="56">
        <v>0</v>
      </c>
      <c r="F856" s="57" t="s">
        <v>166</v>
      </c>
      <c r="G856" s="56"/>
      <c r="H856" s="58"/>
      <c r="I856" s="59"/>
    </row>
    <row r="857" spans="2:9" s="1" customFormat="1" x14ac:dyDescent="0.2">
      <c r="B857" s="44" t="str">
        <f t="shared" si="11"/>
        <v>2023-073-1</v>
      </c>
      <c r="C857" s="45">
        <v>2023</v>
      </c>
      <c r="D857" s="45" t="s">
        <v>102</v>
      </c>
      <c r="E857" s="45">
        <v>1</v>
      </c>
      <c r="F857" s="47" t="s">
        <v>551</v>
      </c>
      <c r="G857" s="45"/>
      <c r="H857" s="48"/>
      <c r="I857" s="49"/>
    </row>
    <row r="858" spans="2:9" s="1" customFormat="1" x14ac:dyDescent="0.2">
      <c r="B858" s="44" t="str">
        <f t="shared" si="11"/>
        <v>2023-073-2</v>
      </c>
      <c r="C858" s="45">
        <v>2023</v>
      </c>
      <c r="D858" s="45" t="s">
        <v>102</v>
      </c>
      <c r="E858" s="45">
        <v>2</v>
      </c>
      <c r="F858" s="47" t="s">
        <v>952</v>
      </c>
      <c r="G858" s="45"/>
      <c r="H858" s="48"/>
      <c r="I858" s="49"/>
    </row>
    <row r="859" spans="2:9" s="1" customFormat="1" ht="27" x14ac:dyDescent="0.2">
      <c r="B859" s="44" t="str">
        <f t="shared" si="11"/>
        <v>2023-073-3</v>
      </c>
      <c r="C859" s="45">
        <v>2023</v>
      </c>
      <c r="D859" s="45" t="s">
        <v>102</v>
      </c>
      <c r="E859" s="45">
        <v>3</v>
      </c>
      <c r="F859" s="47" t="s">
        <v>1348</v>
      </c>
      <c r="G859" s="45"/>
      <c r="H859" s="48"/>
      <c r="I859" s="49"/>
    </row>
    <row r="860" spans="2:9" s="1" customFormat="1" x14ac:dyDescent="0.2">
      <c r="B860" s="44" t="str">
        <f t="shared" si="11"/>
        <v>2023-073-4</v>
      </c>
      <c r="C860" s="45">
        <v>2023</v>
      </c>
      <c r="D860" s="45" t="s">
        <v>102</v>
      </c>
      <c r="E860" s="45">
        <v>4</v>
      </c>
      <c r="F860" s="47" t="s">
        <v>1743</v>
      </c>
      <c r="G860" s="45" t="s">
        <v>3210</v>
      </c>
      <c r="H860" s="48"/>
      <c r="I860" s="49"/>
    </row>
    <row r="861" spans="2:9" s="1" customFormat="1" ht="27" x14ac:dyDescent="0.2">
      <c r="B861" s="50" t="str">
        <f t="shared" si="11"/>
        <v>2023-073-5</v>
      </c>
      <c r="C861" s="51">
        <v>2023</v>
      </c>
      <c r="D861" s="51" t="s">
        <v>102</v>
      </c>
      <c r="E861" s="51">
        <v>5</v>
      </c>
      <c r="F861" s="52" t="s">
        <v>2138</v>
      </c>
      <c r="G861" s="51"/>
      <c r="H861" s="53"/>
      <c r="I861" s="54"/>
    </row>
    <row r="862" spans="2:9" s="1" customFormat="1" x14ac:dyDescent="0.2">
      <c r="B862" s="55" t="str">
        <f t="shared" si="11"/>
        <v>2023-074-0</v>
      </c>
      <c r="C862" s="56">
        <v>2023</v>
      </c>
      <c r="D862" s="56" t="s">
        <v>103</v>
      </c>
      <c r="E862" s="56">
        <v>0</v>
      </c>
      <c r="F862" s="57" t="s">
        <v>167</v>
      </c>
      <c r="G862" s="56"/>
      <c r="H862" s="58"/>
      <c r="I862" s="59"/>
    </row>
    <row r="863" spans="2:9" s="1" customFormat="1" ht="27" x14ac:dyDescent="0.2">
      <c r="B863" s="44" t="str">
        <f t="shared" si="11"/>
        <v>2023-074-1</v>
      </c>
      <c r="C863" s="45">
        <v>2023</v>
      </c>
      <c r="D863" s="45" t="s">
        <v>103</v>
      </c>
      <c r="E863" s="45">
        <v>1</v>
      </c>
      <c r="F863" s="47" t="s">
        <v>552</v>
      </c>
      <c r="G863" s="45"/>
      <c r="H863" s="48"/>
      <c r="I863" s="49"/>
    </row>
    <row r="864" spans="2:9" s="1" customFormat="1" x14ac:dyDescent="0.2">
      <c r="B864" s="44" t="str">
        <f t="shared" si="11"/>
        <v>2023-074-2</v>
      </c>
      <c r="C864" s="45">
        <v>2023</v>
      </c>
      <c r="D864" s="45" t="s">
        <v>103</v>
      </c>
      <c r="E864" s="45">
        <v>2</v>
      </c>
      <c r="F864" s="47" t="s">
        <v>953</v>
      </c>
      <c r="G864" s="45"/>
      <c r="H864" s="48"/>
      <c r="I864" s="49"/>
    </row>
    <row r="865" spans="2:9" s="1" customFormat="1" ht="27" x14ac:dyDescent="0.2">
      <c r="B865" s="44" t="str">
        <f t="shared" si="11"/>
        <v>2023-074-3</v>
      </c>
      <c r="C865" s="45">
        <v>2023</v>
      </c>
      <c r="D865" s="45" t="s">
        <v>103</v>
      </c>
      <c r="E865" s="45">
        <v>3</v>
      </c>
      <c r="F865" s="47" t="s">
        <v>1349</v>
      </c>
      <c r="G865" s="45"/>
      <c r="H865" s="48"/>
      <c r="I865" s="49"/>
    </row>
    <row r="866" spans="2:9" s="1" customFormat="1" x14ac:dyDescent="0.2">
      <c r="B866" s="44" t="str">
        <f t="shared" si="11"/>
        <v>2023-074-4</v>
      </c>
      <c r="C866" s="45">
        <v>2023</v>
      </c>
      <c r="D866" s="45" t="s">
        <v>103</v>
      </c>
      <c r="E866" s="45">
        <v>4</v>
      </c>
      <c r="F866" s="47" t="s">
        <v>1744</v>
      </c>
      <c r="G866" s="45"/>
      <c r="H866" s="48"/>
      <c r="I866" s="49"/>
    </row>
    <row r="867" spans="2:9" s="1" customFormat="1" ht="27" x14ac:dyDescent="0.2">
      <c r="B867" s="50" t="str">
        <f t="shared" si="11"/>
        <v>2023-074-5</v>
      </c>
      <c r="C867" s="51">
        <v>2023</v>
      </c>
      <c r="D867" s="51" t="s">
        <v>103</v>
      </c>
      <c r="E867" s="51">
        <v>5</v>
      </c>
      <c r="F867" s="52" t="s">
        <v>2139</v>
      </c>
      <c r="G867" s="51" t="s">
        <v>3210</v>
      </c>
      <c r="H867" s="53"/>
      <c r="I867" s="54"/>
    </row>
    <row r="868" spans="2:9" s="1" customFormat="1" x14ac:dyDescent="0.2">
      <c r="B868" s="55" t="str">
        <f t="shared" si="11"/>
        <v>2023-075-0</v>
      </c>
      <c r="C868" s="56">
        <v>2023</v>
      </c>
      <c r="D868" s="56" t="s">
        <v>104</v>
      </c>
      <c r="E868" s="56">
        <v>0</v>
      </c>
      <c r="F868" s="57" t="s">
        <v>168</v>
      </c>
      <c r="G868" s="56"/>
      <c r="H868" s="58"/>
      <c r="I868" s="59"/>
    </row>
    <row r="869" spans="2:9" s="1" customFormat="1" x14ac:dyDescent="0.2">
      <c r="B869" s="44" t="str">
        <f t="shared" ref="B869:B873" si="12">C869&amp;"-"&amp;D869&amp;"-"&amp;E869</f>
        <v>2023-075-1</v>
      </c>
      <c r="C869" s="45">
        <v>2023</v>
      </c>
      <c r="D869" s="45" t="s">
        <v>104</v>
      </c>
      <c r="E869" s="45">
        <v>1</v>
      </c>
      <c r="F869" s="47" t="s">
        <v>553</v>
      </c>
      <c r="G869" s="45" t="s">
        <v>3210</v>
      </c>
      <c r="H869" s="48"/>
      <c r="I869" s="49"/>
    </row>
    <row r="870" spans="2:9" s="1" customFormat="1" x14ac:dyDescent="0.2">
      <c r="B870" s="44" t="str">
        <f t="shared" si="12"/>
        <v>2023-075-2</v>
      </c>
      <c r="C870" s="45">
        <v>2023</v>
      </c>
      <c r="D870" s="45" t="s">
        <v>104</v>
      </c>
      <c r="E870" s="45">
        <v>2</v>
      </c>
      <c r="F870" s="47" t="s">
        <v>954</v>
      </c>
      <c r="G870" s="45"/>
      <c r="H870" s="48"/>
      <c r="I870" s="49"/>
    </row>
    <row r="871" spans="2:9" s="1" customFormat="1" x14ac:dyDescent="0.2">
      <c r="B871" s="44" t="str">
        <f t="shared" si="12"/>
        <v>2023-075-3</v>
      </c>
      <c r="C871" s="45">
        <v>2023</v>
      </c>
      <c r="D871" s="45" t="s">
        <v>104</v>
      </c>
      <c r="E871" s="45">
        <v>3</v>
      </c>
      <c r="F871" s="47" t="s">
        <v>1350</v>
      </c>
      <c r="G871" s="45"/>
      <c r="H871" s="48"/>
      <c r="I871" s="49"/>
    </row>
    <row r="872" spans="2:9" s="1" customFormat="1" x14ac:dyDescent="0.2">
      <c r="B872" s="44" t="str">
        <f t="shared" si="12"/>
        <v>2023-075-4</v>
      </c>
      <c r="C872" s="45">
        <v>2023</v>
      </c>
      <c r="D872" s="45" t="s">
        <v>104</v>
      </c>
      <c r="E872" s="45">
        <v>4</v>
      </c>
      <c r="F872" s="47" t="s">
        <v>1745</v>
      </c>
      <c r="G872" s="45"/>
      <c r="H872" s="48"/>
      <c r="I872" s="49"/>
    </row>
    <row r="873" spans="2:9" s="1" customFormat="1" ht="14.25" thickBot="1" x14ac:dyDescent="0.25">
      <c r="B873" s="60" t="str">
        <f t="shared" si="12"/>
        <v>2023-075-5</v>
      </c>
      <c r="C873" s="61">
        <v>2023</v>
      </c>
      <c r="D873" s="61" t="s">
        <v>104</v>
      </c>
      <c r="E873" s="61">
        <v>5</v>
      </c>
      <c r="F873" s="62" t="s">
        <v>2140</v>
      </c>
      <c r="G873" s="61"/>
      <c r="H873" s="63"/>
      <c r="I873" s="64"/>
    </row>
    <row r="874" spans="2:9" s="1" customFormat="1" x14ac:dyDescent="0.2">
      <c r="B874" s="38" t="str">
        <f t="shared" ref="B874:B906" si="13">C874&amp;"-"&amp;D874&amp;"-"&amp;E874</f>
        <v>2022-051-0</v>
      </c>
      <c r="C874" s="39">
        <v>2022</v>
      </c>
      <c r="D874" s="39" t="s">
        <v>80</v>
      </c>
      <c r="E874" s="39">
        <v>0</v>
      </c>
      <c r="F874" s="41" t="s">
        <v>169</v>
      </c>
      <c r="G874" s="39"/>
      <c r="H874" s="42"/>
      <c r="I874" s="43"/>
    </row>
    <row r="875" spans="2:9" s="1" customFormat="1" x14ac:dyDescent="0.2">
      <c r="B875" s="44" t="str">
        <f t="shared" si="13"/>
        <v>2022-051-1</v>
      </c>
      <c r="C875" s="45">
        <v>2022</v>
      </c>
      <c r="D875" s="45" t="s">
        <v>80</v>
      </c>
      <c r="E875" s="45">
        <v>1</v>
      </c>
      <c r="F875" s="47" t="s">
        <v>554</v>
      </c>
      <c r="G875" s="45"/>
      <c r="H875" s="48"/>
      <c r="I875" s="49"/>
    </row>
    <row r="876" spans="2:9" s="1" customFormat="1" x14ac:dyDescent="0.2">
      <c r="B876" s="44" t="str">
        <f t="shared" si="13"/>
        <v>2022-051-2</v>
      </c>
      <c r="C876" s="45">
        <v>2022</v>
      </c>
      <c r="D876" s="45" t="s">
        <v>80</v>
      </c>
      <c r="E876" s="45">
        <v>2</v>
      </c>
      <c r="F876" s="47" t="s">
        <v>955</v>
      </c>
      <c r="G876" s="45"/>
      <c r="H876" s="48"/>
      <c r="I876" s="49"/>
    </row>
    <row r="877" spans="2:9" s="1" customFormat="1" ht="27" x14ac:dyDescent="0.2">
      <c r="B877" s="44" t="str">
        <f t="shared" si="13"/>
        <v>2022-051-3</v>
      </c>
      <c r="C877" s="45">
        <v>2022</v>
      </c>
      <c r="D877" s="45" t="s">
        <v>80</v>
      </c>
      <c r="E877" s="45">
        <v>3</v>
      </c>
      <c r="F877" s="47" t="s">
        <v>1351</v>
      </c>
      <c r="G877" s="45"/>
      <c r="H877" s="48"/>
      <c r="I877" s="49"/>
    </row>
    <row r="878" spans="2:9" s="1" customFormat="1" x14ac:dyDescent="0.2">
      <c r="B878" s="44" t="str">
        <f t="shared" si="13"/>
        <v>2022-051-4</v>
      </c>
      <c r="C878" s="45">
        <v>2022</v>
      </c>
      <c r="D878" s="45" t="s">
        <v>80</v>
      </c>
      <c r="E878" s="45">
        <v>4</v>
      </c>
      <c r="F878" s="47" t="s">
        <v>1746</v>
      </c>
      <c r="G878" s="45" t="s">
        <v>3210</v>
      </c>
      <c r="H878" s="48"/>
      <c r="I878" s="49"/>
    </row>
    <row r="879" spans="2:9" s="1" customFormat="1" ht="27" x14ac:dyDescent="0.2">
      <c r="B879" s="50" t="str">
        <f t="shared" si="13"/>
        <v>2022-051-5</v>
      </c>
      <c r="C879" s="51">
        <v>2022</v>
      </c>
      <c r="D879" s="51" t="s">
        <v>80</v>
      </c>
      <c r="E879" s="51">
        <v>5</v>
      </c>
      <c r="F879" s="52" t="s">
        <v>2141</v>
      </c>
      <c r="G879" s="51"/>
      <c r="H879" s="53"/>
      <c r="I879" s="54"/>
    </row>
    <row r="880" spans="2:9" s="1" customFormat="1" x14ac:dyDescent="0.2">
      <c r="B880" s="55" t="str">
        <f t="shared" si="13"/>
        <v>2022-052-0</v>
      </c>
      <c r="C880" s="56">
        <v>2022</v>
      </c>
      <c r="D880" s="56" t="s">
        <v>81</v>
      </c>
      <c r="E880" s="56">
        <v>0</v>
      </c>
      <c r="F880" s="57" t="s">
        <v>170</v>
      </c>
      <c r="G880" s="56"/>
      <c r="H880" s="58"/>
      <c r="I880" s="59"/>
    </row>
    <row r="881" spans="2:9" s="1" customFormat="1" ht="27" x14ac:dyDescent="0.2">
      <c r="B881" s="44" t="str">
        <f t="shared" si="13"/>
        <v>2022-052-1</v>
      </c>
      <c r="C881" s="45">
        <v>2022</v>
      </c>
      <c r="D881" s="45" t="s">
        <v>81</v>
      </c>
      <c r="E881" s="45">
        <v>1</v>
      </c>
      <c r="F881" s="47" t="s">
        <v>555</v>
      </c>
      <c r="G881" s="45"/>
      <c r="H881" s="48"/>
      <c r="I881" s="49"/>
    </row>
    <row r="882" spans="2:9" s="1" customFormat="1" x14ac:dyDescent="0.2">
      <c r="B882" s="44" t="str">
        <f t="shared" si="13"/>
        <v>2022-052-2</v>
      </c>
      <c r="C882" s="45">
        <v>2022</v>
      </c>
      <c r="D882" s="45" t="s">
        <v>81</v>
      </c>
      <c r="E882" s="45">
        <v>2</v>
      </c>
      <c r="F882" s="47" t="s">
        <v>956</v>
      </c>
      <c r="G882" s="45"/>
      <c r="H882" s="48"/>
      <c r="I882" s="49"/>
    </row>
    <row r="883" spans="2:9" s="1" customFormat="1" x14ac:dyDescent="0.2">
      <c r="B883" s="44" t="str">
        <f t="shared" si="13"/>
        <v>2022-052-3</v>
      </c>
      <c r="C883" s="45">
        <v>2022</v>
      </c>
      <c r="D883" s="45" t="s">
        <v>81</v>
      </c>
      <c r="E883" s="45">
        <v>3</v>
      </c>
      <c r="F883" s="47" t="s">
        <v>1352</v>
      </c>
      <c r="G883" s="45"/>
      <c r="H883" s="48"/>
      <c r="I883" s="49"/>
    </row>
    <row r="884" spans="2:9" s="1" customFormat="1" x14ac:dyDescent="0.2">
      <c r="B884" s="44" t="str">
        <f t="shared" si="13"/>
        <v>2022-052-4</v>
      </c>
      <c r="C884" s="45">
        <v>2022</v>
      </c>
      <c r="D884" s="45" t="s">
        <v>81</v>
      </c>
      <c r="E884" s="45">
        <v>4</v>
      </c>
      <c r="F884" s="47" t="s">
        <v>1747</v>
      </c>
      <c r="G884" s="45" t="s">
        <v>3210</v>
      </c>
      <c r="H884" s="48"/>
      <c r="I884" s="49"/>
    </row>
    <row r="885" spans="2:9" s="1" customFormat="1" ht="27" x14ac:dyDescent="0.2">
      <c r="B885" s="50" t="str">
        <f t="shared" si="13"/>
        <v>2022-052-5</v>
      </c>
      <c r="C885" s="51">
        <v>2022</v>
      </c>
      <c r="D885" s="51" t="s">
        <v>81</v>
      </c>
      <c r="E885" s="51">
        <v>5</v>
      </c>
      <c r="F885" s="52" t="s">
        <v>2142</v>
      </c>
      <c r="G885" s="51"/>
      <c r="H885" s="53"/>
      <c r="I885" s="54"/>
    </row>
    <row r="886" spans="2:9" s="1" customFormat="1" x14ac:dyDescent="0.2">
      <c r="B886" s="55" t="str">
        <f t="shared" si="13"/>
        <v>2022-053-0</v>
      </c>
      <c r="C886" s="56">
        <v>2022</v>
      </c>
      <c r="D886" s="56" t="s">
        <v>82</v>
      </c>
      <c r="E886" s="56">
        <v>0</v>
      </c>
      <c r="F886" s="57" t="s">
        <v>171</v>
      </c>
      <c r="G886" s="56"/>
      <c r="H886" s="58"/>
      <c r="I886" s="59"/>
    </row>
    <row r="887" spans="2:9" s="1" customFormat="1" x14ac:dyDescent="0.2">
      <c r="B887" s="44" t="str">
        <f t="shared" si="13"/>
        <v>2022-053-1</v>
      </c>
      <c r="C887" s="45">
        <v>2022</v>
      </c>
      <c r="D887" s="45" t="s">
        <v>82</v>
      </c>
      <c r="E887" s="45">
        <v>1</v>
      </c>
      <c r="F887" s="47" t="s">
        <v>556</v>
      </c>
      <c r="G887" s="45"/>
      <c r="H887" s="48"/>
      <c r="I887" s="49"/>
    </row>
    <row r="888" spans="2:9" s="1" customFormat="1" ht="27" x14ac:dyDescent="0.2">
      <c r="B888" s="44" t="str">
        <f t="shared" si="13"/>
        <v>2022-053-2</v>
      </c>
      <c r="C888" s="45">
        <v>2022</v>
      </c>
      <c r="D888" s="45" t="s">
        <v>82</v>
      </c>
      <c r="E888" s="45">
        <v>2</v>
      </c>
      <c r="F888" s="47" t="s">
        <v>957</v>
      </c>
      <c r="G888" s="45"/>
      <c r="H888" s="48"/>
      <c r="I888" s="49"/>
    </row>
    <row r="889" spans="2:9" s="1" customFormat="1" ht="27" x14ac:dyDescent="0.2">
      <c r="B889" s="44" t="str">
        <f t="shared" si="13"/>
        <v>2022-053-3</v>
      </c>
      <c r="C889" s="45">
        <v>2022</v>
      </c>
      <c r="D889" s="45" t="s">
        <v>82</v>
      </c>
      <c r="E889" s="45">
        <v>3</v>
      </c>
      <c r="F889" s="47" t="s">
        <v>1353</v>
      </c>
      <c r="G889" s="45" t="s">
        <v>3210</v>
      </c>
      <c r="H889" s="48"/>
      <c r="I889" s="49"/>
    </row>
    <row r="890" spans="2:9" s="1" customFormat="1" x14ac:dyDescent="0.2">
      <c r="B890" s="44" t="str">
        <f t="shared" si="13"/>
        <v>2022-053-4</v>
      </c>
      <c r="C890" s="45">
        <v>2022</v>
      </c>
      <c r="D890" s="45" t="s">
        <v>82</v>
      </c>
      <c r="E890" s="45">
        <v>4</v>
      </c>
      <c r="F890" s="47" t="s">
        <v>1748</v>
      </c>
      <c r="G890" s="45"/>
      <c r="H890" s="48"/>
      <c r="I890" s="49"/>
    </row>
    <row r="891" spans="2:9" s="1" customFormat="1" x14ac:dyDescent="0.2">
      <c r="B891" s="50" t="str">
        <f t="shared" si="13"/>
        <v>2022-053-5</v>
      </c>
      <c r="C891" s="51">
        <v>2022</v>
      </c>
      <c r="D891" s="51" t="s">
        <v>82</v>
      </c>
      <c r="E891" s="51">
        <v>5</v>
      </c>
      <c r="F891" s="52" t="s">
        <v>2143</v>
      </c>
      <c r="G891" s="51"/>
      <c r="H891" s="53"/>
      <c r="I891" s="54"/>
    </row>
    <row r="892" spans="2:9" s="1" customFormat="1" x14ac:dyDescent="0.2">
      <c r="B892" s="55" t="str">
        <f t="shared" si="13"/>
        <v>2022-054-0</v>
      </c>
      <c r="C892" s="56">
        <v>2022</v>
      </c>
      <c r="D892" s="56" t="s">
        <v>83</v>
      </c>
      <c r="E892" s="56">
        <v>0</v>
      </c>
      <c r="F892" s="57" t="s">
        <v>172</v>
      </c>
      <c r="G892" s="56"/>
      <c r="H892" s="58"/>
      <c r="I892" s="59"/>
    </row>
    <row r="893" spans="2:9" s="1" customFormat="1" x14ac:dyDescent="0.2">
      <c r="B893" s="44" t="str">
        <f t="shared" si="13"/>
        <v>2022-054-1</v>
      </c>
      <c r="C893" s="45">
        <v>2022</v>
      </c>
      <c r="D893" s="45" t="s">
        <v>83</v>
      </c>
      <c r="E893" s="45">
        <v>1</v>
      </c>
      <c r="F893" s="47" t="s">
        <v>557</v>
      </c>
      <c r="G893" s="45"/>
      <c r="H893" s="48"/>
      <c r="I893" s="49"/>
    </row>
    <row r="894" spans="2:9" s="1" customFormat="1" x14ac:dyDescent="0.2">
      <c r="B894" s="44" t="str">
        <f t="shared" si="13"/>
        <v>2022-054-2</v>
      </c>
      <c r="C894" s="45">
        <v>2022</v>
      </c>
      <c r="D894" s="45" t="s">
        <v>83</v>
      </c>
      <c r="E894" s="45">
        <v>2</v>
      </c>
      <c r="F894" s="47" t="s">
        <v>958</v>
      </c>
      <c r="G894" s="45" t="s">
        <v>3210</v>
      </c>
      <c r="H894" s="48"/>
      <c r="I894" s="49"/>
    </row>
    <row r="895" spans="2:9" s="1" customFormat="1" x14ac:dyDescent="0.2">
      <c r="B895" s="44" t="str">
        <f t="shared" si="13"/>
        <v>2022-054-3</v>
      </c>
      <c r="C895" s="45">
        <v>2022</v>
      </c>
      <c r="D895" s="45" t="s">
        <v>83</v>
      </c>
      <c r="E895" s="45">
        <v>3</v>
      </c>
      <c r="F895" s="47" t="s">
        <v>1354</v>
      </c>
      <c r="G895" s="45"/>
      <c r="H895" s="48"/>
      <c r="I895" s="49"/>
    </row>
    <row r="896" spans="2:9" s="1" customFormat="1" x14ac:dyDescent="0.2">
      <c r="B896" s="44" t="str">
        <f t="shared" si="13"/>
        <v>2022-054-4</v>
      </c>
      <c r="C896" s="45">
        <v>2022</v>
      </c>
      <c r="D896" s="45" t="s">
        <v>83</v>
      </c>
      <c r="E896" s="45">
        <v>4</v>
      </c>
      <c r="F896" s="47" t="s">
        <v>1749</v>
      </c>
      <c r="G896" s="45"/>
      <c r="H896" s="48"/>
      <c r="I896" s="49"/>
    </row>
    <row r="897" spans="2:9" s="1" customFormat="1" ht="27" x14ac:dyDescent="0.2">
      <c r="B897" s="50" t="str">
        <f t="shared" si="13"/>
        <v>2022-054-5</v>
      </c>
      <c r="C897" s="51">
        <v>2022</v>
      </c>
      <c r="D897" s="51" t="s">
        <v>83</v>
      </c>
      <c r="E897" s="51">
        <v>5</v>
      </c>
      <c r="F897" s="52" t="s">
        <v>2144</v>
      </c>
      <c r="G897" s="51"/>
      <c r="H897" s="53"/>
      <c r="I897" s="54"/>
    </row>
    <row r="898" spans="2:9" s="1" customFormat="1" x14ac:dyDescent="0.2">
      <c r="B898" s="55" t="str">
        <f t="shared" si="13"/>
        <v>2022-055-0</v>
      </c>
      <c r="C898" s="56">
        <v>2022</v>
      </c>
      <c r="D898" s="56" t="s">
        <v>84</v>
      </c>
      <c r="E898" s="56">
        <v>0</v>
      </c>
      <c r="F898" s="57" t="s">
        <v>173</v>
      </c>
      <c r="G898" s="56"/>
      <c r="H898" s="58"/>
      <c r="I898" s="59"/>
    </row>
    <row r="899" spans="2:9" s="1" customFormat="1" x14ac:dyDescent="0.2">
      <c r="B899" s="44" t="str">
        <f t="shared" si="13"/>
        <v>2022-055-1</v>
      </c>
      <c r="C899" s="45">
        <v>2022</v>
      </c>
      <c r="D899" s="45" t="s">
        <v>84</v>
      </c>
      <c r="E899" s="45">
        <v>1</v>
      </c>
      <c r="F899" s="47" t="s">
        <v>558</v>
      </c>
      <c r="G899" s="45" t="s">
        <v>3210</v>
      </c>
      <c r="H899" s="48"/>
      <c r="I899" s="49"/>
    </row>
    <row r="900" spans="2:9" s="1" customFormat="1" ht="27" x14ac:dyDescent="0.2">
      <c r="B900" s="44" t="str">
        <f t="shared" si="13"/>
        <v>2022-055-2</v>
      </c>
      <c r="C900" s="45">
        <v>2022</v>
      </c>
      <c r="D900" s="45" t="s">
        <v>84</v>
      </c>
      <c r="E900" s="45">
        <v>2</v>
      </c>
      <c r="F900" s="47" t="s">
        <v>959</v>
      </c>
      <c r="G900" s="45"/>
      <c r="H900" s="48"/>
      <c r="I900" s="49"/>
    </row>
    <row r="901" spans="2:9" s="1" customFormat="1" ht="27" x14ac:dyDescent="0.2">
      <c r="B901" s="44" t="str">
        <f t="shared" si="13"/>
        <v>2022-055-3</v>
      </c>
      <c r="C901" s="45">
        <v>2022</v>
      </c>
      <c r="D901" s="45" t="s">
        <v>84</v>
      </c>
      <c r="E901" s="45">
        <v>3</v>
      </c>
      <c r="F901" s="47" t="s">
        <v>1355</v>
      </c>
      <c r="G901" s="45"/>
      <c r="H901" s="48"/>
      <c r="I901" s="49"/>
    </row>
    <row r="902" spans="2:9" s="1" customFormat="1" x14ac:dyDescent="0.2">
      <c r="B902" s="44" t="str">
        <f t="shared" si="13"/>
        <v>2022-055-4</v>
      </c>
      <c r="C902" s="45">
        <v>2022</v>
      </c>
      <c r="D902" s="45" t="s">
        <v>84</v>
      </c>
      <c r="E902" s="45">
        <v>4</v>
      </c>
      <c r="F902" s="47" t="s">
        <v>1750</v>
      </c>
      <c r="G902" s="45"/>
      <c r="H902" s="48"/>
      <c r="I902" s="49"/>
    </row>
    <row r="903" spans="2:9" s="1" customFormat="1" ht="27" x14ac:dyDescent="0.2">
      <c r="B903" s="50" t="str">
        <f t="shared" si="13"/>
        <v>2022-055-5</v>
      </c>
      <c r="C903" s="51">
        <v>2022</v>
      </c>
      <c r="D903" s="51" t="s">
        <v>84</v>
      </c>
      <c r="E903" s="51">
        <v>5</v>
      </c>
      <c r="F903" s="52" t="s">
        <v>2145</v>
      </c>
      <c r="G903" s="51"/>
      <c r="H903" s="53"/>
      <c r="I903" s="54"/>
    </row>
    <row r="904" spans="2:9" s="1" customFormat="1" x14ac:dyDescent="0.2">
      <c r="B904" s="55" t="str">
        <f t="shared" si="13"/>
        <v>2022-056-0</v>
      </c>
      <c r="C904" s="56">
        <v>2022</v>
      </c>
      <c r="D904" s="56" t="s">
        <v>85</v>
      </c>
      <c r="E904" s="56">
        <v>0</v>
      </c>
      <c r="F904" s="57" t="s">
        <v>174</v>
      </c>
      <c r="G904" s="56"/>
      <c r="H904" s="58"/>
      <c r="I904" s="59"/>
    </row>
    <row r="905" spans="2:9" s="1" customFormat="1" ht="27" x14ac:dyDescent="0.2">
      <c r="B905" s="44" t="str">
        <f t="shared" si="13"/>
        <v>2022-056-1</v>
      </c>
      <c r="C905" s="45">
        <v>2022</v>
      </c>
      <c r="D905" s="45" t="s">
        <v>85</v>
      </c>
      <c r="E905" s="45">
        <v>1</v>
      </c>
      <c r="F905" s="47" t="s">
        <v>559</v>
      </c>
      <c r="G905" s="45"/>
      <c r="H905" s="48"/>
      <c r="I905" s="49"/>
    </row>
    <row r="906" spans="2:9" s="1" customFormat="1" x14ac:dyDescent="0.2">
      <c r="B906" s="44" t="str">
        <f t="shared" si="13"/>
        <v>2022-056-2</v>
      </c>
      <c r="C906" s="45">
        <v>2022</v>
      </c>
      <c r="D906" s="45" t="s">
        <v>85</v>
      </c>
      <c r="E906" s="45">
        <v>2</v>
      </c>
      <c r="F906" s="47" t="s">
        <v>960</v>
      </c>
      <c r="G906" s="45"/>
      <c r="H906" s="48"/>
      <c r="I906" s="49"/>
    </row>
    <row r="907" spans="2:9" s="1" customFormat="1" ht="27" x14ac:dyDescent="0.2">
      <c r="B907" s="44" t="str">
        <f t="shared" ref="B907:B970" si="14">C907&amp;"-"&amp;D907&amp;"-"&amp;E907</f>
        <v>2022-056-3</v>
      </c>
      <c r="C907" s="45">
        <v>2022</v>
      </c>
      <c r="D907" s="45" t="s">
        <v>85</v>
      </c>
      <c r="E907" s="45">
        <v>3</v>
      </c>
      <c r="F907" s="47" t="s">
        <v>1356</v>
      </c>
      <c r="G907" s="45"/>
      <c r="H907" s="48"/>
      <c r="I907" s="49"/>
    </row>
    <row r="908" spans="2:9" s="1" customFormat="1" ht="27" x14ac:dyDescent="0.2">
      <c r="B908" s="44" t="str">
        <f t="shared" si="14"/>
        <v>2022-056-4</v>
      </c>
      <c r="C908" s="45">
        <v>2022</v>
      </c>
      <c r="D908" s="45" t="s">
        <v>85</v>
      </c>
      <c r="E908" s="45">
        <v>4</v>
      </c>
      <c r="F908" s="47" t="s">
        <v>1751</v>
      </c>
      <c r="G908" s="45"/>
      <c r="H908" s="48"/>
      <c r="I908" s="49"/>
    </row>
    <row r="909" spans="2:9" s="1" customFormat="1" ht="40.5" x14ac:dyDescent="0.2">
      <c r="B909" s="50" t="str">
        <f t="shared" si="14"/>
        <v>2022-056-5</v>
      </c>
      <c r="C909" s="51">
        <v>2022</v>
      </c>
      <c r="D909" s="51" t="s">
        <v>85</v>
      </c>
      <c r="E909" s="51">
        <v>5</v>
      </c>
      <c r="F909" s="52" t="s">
        <v>2146</v>
      </c>
      <c r="G909" s="51" t="s">
        <v>3210</v>
      </c>
      <c r="H909" s="53"/>
      <c r="I909" s="54"/>
    </row>
    <row r="910" spans="2:9" s="1" customFormat="1" x14ac:dyDescent="0.2">
      <c r="B910" s="55" t="str">
        <f t="shared" si="14"/>
        <v>2022-057-0</v>
      </c>
      <c r="C910" s="56">
        <v>2022</v>
      </c>
      <c r="D910" s="56" t="s">
        <v>86</v>
      </c>
      <c r="E910" s="56">
        <v>0</v>
      </c>
      <c r="F910" s="57" t="s">
        <v>175</v>
      </c>
      <c r="G910" s="56"/>
      <c r="H910" s="58"/>
      <c r="I910" s="59"/>
    </row>
    <row r="911" spans="2:9" s="1" customFormat="1" x14ac:dyDescent="0.2">
      <c r="B911" s="44" t="str">
        <f t="shared" si="14"/>
        <v>2022-057-1</v>
      </c>
      <c r="C911" s="45">
        <v>2022</v>
      </c>
      <c r="D911" s="45" t="s">
        <v>86</v>
      </c>
      <c r="E911" s="45">
        <v>1</v>
      </c>
      <c r="F911" s="47" t="s">
        <v>560</v>
      </c>
      <c r="G911" s="45"/>
      <c r="H911" s="48"/>
      <c r="I911" s="49"/>
    </row>
    <row r="912" spans="2:9" s="1" customFormat="1" x14ac:dyDescent="0.2">
      <c r="B912" s="44" t="str">
        <f t="shared" si="14"/>
        <v>2022-057-2</v>
      </c>
      <c r="C912" s="45">
        <v>2022</v>
      </c>
      <c r="D912" s="45" t="s">
        <v>86</v>
      </c>
      <c r="E912" s="45">
        <v>2</v>
      </c>
      <c r="F912" s="47" t="s">
        <v>961</v>
      </c>
      <c r="G912" s="45"/>
      <c r="H912" s="48"/>
      <c r="I912" s="49"/>
    </row>
    <row r="913" spans="2:9" s="1" customFormat="1" x14ac:dyDescent="0.2">
      <c r="B913" s="44" t="str">
        <f t="shared" si="14"/>
        <v>2022-057-3</v>
      </c>
      <c r="C913" s="45">
        <v>2022</v>
      </c>
      <c r="D913" s="45" t="s">
        <v>86</v>
      </c>
      <c r="E913" s="45">
        <v>3</v>
      </c>
      <c r="F913" s="47" t="s">
        <v>1357</v>
      </c>
      <c r="G913" s="45" t="s">
        <v>3210</v>
      </c>
      <c r="H913" s="48"/>
      <c r="I913" s="49"/>
    </row>
    <row r="914" spans="2:9" s="1" customFormat="1" x14ac:dyDescent="0.2">
      <c r="B914" s="44" t="str">
        <f t="shared" si="14"/>
        <v>2022-057-4</v>
      </c>
      <c r="C914" s="45">
        <v>2022</v>
      </c>
      <c r="D914" s="45" t="s">
        <v>86</v>
      </c>
      <c r="E914" s="45">
        <v>4</v>
      </c>
      <c r="F914" s="47" t="s">
        <v>1752</v>
      </c>
      <c r="G914" s="45"/>
      <c r="H914" s="48"/>
      <c r="I914" s="49"/>
    </row>
    <row r="915" spans="2:9" s="1" customFormat="1" ht="27" x14ac:dyDescent="0.2">
      <c r="B915" s="50" t="str">
        <f t="shared" si="14"/>
        <v>2022-057-5</v>
      </c>
      <c r="C915" s="51">
        <v>2022</v>
      </c>
      <c r="D915" s="51" t="s">
        <v>86</v>
      </c>
      <c r="E915" s="51">
        <v>5</v>
      </c>
      <c r="F915" s="52" t="s">
        <v>2147</v>
      </c>
      <c r="G915" s="51"/>
      <c r="H915" s="53"/>
      <c r="I915" s="54"/>
    </row>
    <row r="916" spans="2:9" s="1" customFormat="1" x14ac:dyDescent="0.2">
      <c r="B916" s="55" t="str">
        <f t="shared" si="14"/>
        <v>2022-058-0</v>
      </c>
      <c r="C916" s="56">
        <v>2022</v>
      </c>
      <c r="D916" s="56" t="s">
        <v>87</v>
      </c>
      <c r="E916" s="56">
        <v>0</v>
      </c>
      <c r="F916" s="57" t="s">
        <v>176</v>
      </c>
      <c r="G916" s="56"/>
      <c r="H916" s="58"/>
      <c r="I916" s="59"/>
    </row>
    <row r="917" spans="2:9" s="1" customFormat="1" x14ac:dyDescent="0.2">
      <c r="B917" s="44" t="str">
        <f t="shared" si="14"/>
        <v>2022-058-1</v>
      </c>
      <c r="C917" s="45">
        <v>2022</v>
      </c>
      <c r="D917" s="45" t="s">
        <v>87</v>
      </c>
      <c r="E917" s="45">
        <v>1</v>
      </c>
      <c r="F917" s="47" t="s">
        <v>561</v>
      </c>
      <c r="G917" s="45" t="s">
        <v>3210</v>
      </c>
      <c r="H917" s="48"/>
      <c r="I917" s="49"/>
    </row>
    <row r="918" spans="2:9" s="1" customFormat="1" x14ac:dyDescent="0.2">
      <c r="B918" s="44" t="str">
        <f t="shared" si="14"/>
        <v>2022-058-2</v>
      </c>
      <c r="C918" s="45">
        <v>2022</v>
      </c>
      <c r="D918" s="45" t="s">
        <v>87</v>
      </c>
      <c r="E918" s="45">
        <v>2</v>
      </c>
      <c r="F918" s="47" t="s">
        <v>962</v>
      </c>
      <c r="G918" s="45"/>
      <c r="H918" s="48"/>
      <c r="I918" s="49"/>
    </row>
    <row r="919" spans="2:9" s="1" customFormat="1" x14ac:dyDescent="0.2">
      <c r="B919" s="44" t="str">
        <f t="shared" si="14"/>
        <v>2022-058-3</v>
      </c>
      <c r="C919" s="45">
        <v>2022</v>
      </c>
      <c r="D919" s="45" t="s">
        <v>87</v>
      </c>
      <c r="E919" s="45">
        <v>3</v>
      </c>
      <c r="F919" s="47" t="s">
        <v>1358</v>
      </c>
      <c r="G919" s="45"/>
      <c r="H919" s="48"/>
      <c r="I919" s="49"/>
    </row>
    <row r="920" spans="2:9" s="1" customFormat="1" ht="27" x14ac:dyDescent="0.2">
      <c r="B920" s="44" t="str">
        <f t="shared" si="14"/>
        <v>2022-058-4</v>
      </c>
      <c r="C920" s="45">
        <v>2022</v>
      </c>
      <c r="D920" s="45" t="s">
        <v>87</v>
      </c>
      <c r="E920" s="45">
        <v>4</v>
      </c>
      <c r="F920" s="47" t="s">
        <v>1753</v>
      </c>
      <c r="G920" s="45"/>
      <c r="H920" s="48"/>
      <c r="I920" s="49"/>
    </row>
    <row r="921" spans="2:9" s="1" customFormat="1" ht="27" x14ac:dyDescent="0.2">
      <c r="B921" s="50" t="str">
        <f t="shared" si="14"/>
        <v>2022-058-5</v>
      </c>
      <c r="C921" s="51">
        <v>2022</v>
      </c>
      <c r="D921" s="51" t="s">
        <v>87</v>
      </c>
      <c r="E921" s="51">
        <v>5</v>
      </c>
      <c r="F921" s="52" t="s">
        <v>2148</v>
      </c>
      <c r="G921" s="51"/>
      <c r="H921" s="53"/>
      <c r="I921" s="54"/>
    </row>
    <row r="922" spans="2:9" s="1" customFormat="1" x14ac:dyDescent="0.2">
      <c r="B922" s="55" t="str">
        <f t="shared" si="14"/>
        <v>2022-059-0</v>
      </c>
      <c r="C922" s="56">
        <v>2022</v>
      </c>
      <c r="D922" s="56" t="s">
        <v>88</v>
      </c>
      <c r="E922" s="56">
        <v>0</v>
      </c>
      <c r="F922" s="57" t="s">
        <v>177</v>
      </c>
      <c r="G922" s="56"/>
      <c r="H922" s="58"/>
      <c r="I922" s="59"/>
    </row>
    <row r="923" spans="2:9" s="1" customFormat="1" x14ac:dyDescent="0.2">
      <c r="B923" s="44" t="str">
        <f t="shared" si="14"/>
        <v>2022-059-1</v>
      </c>
      <c r="C923" s="45">
        <v>2022</v>
      </c>
      <c r="D923" s="45" t="s">
        <v>88</v>
      </c>
      <c r="E923" s="45">
        <v>1</v>
      </c>
      <c r="F923" s="47" t="s">
        <v>562</v>
      </c>
      <c r="G923" s="45"/>
      <c r="H923" s="48"/>
      <c r="I923" s="49"/>
    </row>
    <row r="924" spans="2:9" s="1" customFormat="1" x14ac:dyDescent="0.2">
      <c r="B924" s="44" t="str">
        <f t="shared" si="14"/>
        <v>2022-059-2</v>
      </c>
      <c r="C924" s="45">
        <v>2022</v>
      </c>
      <c r="D924" s="45" t="s">
        <v>88</v>
      </c>
      <c r="E924" s="45">
        <v>2</v>
      </c>
      <c r="F924" s="47" t="s">
        <v>963</v>
      </c>
      <c r="G924" s="45"/>
      <c r="H924" s="48"/>
      <c r="I924" s="49"/>
    </row>
    <row r="925" spans="2:9" s="1" customFormat="1" x14ac:dyDescent="0.2">
      <c r="B925" s="44" t="str">
        <f t="shared" si="14"/>
        <v>2022-059-3</v>
      </c>
      <c r="C925" s="45">
        <v>2022</v>
      </c>
      <c r="D925" s="45" t="s">
        <v>88</v>
      </c>
      <c r="E925" s="45">
        <v>3</v>
      </c>
      <c r="F925" s="47" t="s">
        <v>1359</v>
      </c>
      <c r="G925" s="45"/>
      <c r="H925" s="48"/>
      <c r="I925" s="49"/>
    </row>
    <row r="926" spans="2:9" s="1" customFormat="1" x14ac:dyDescent="0.2">
      <c r="B926" s="44" t="str">
        <f t="shared" si="14"/>
        <v>2022-059-4</v>
      </c>
      <c r="C926" s="45">
        <v>2022</v>
      </c>
      <c r="D926" s="45" t="s">
        <v>88</v>
      </c>
      <c r="E926" s="45">
        <v>4</v>
      </c>
      <c r="F926" s="47" t="s">
        <v>1754</v>
      </c>
      <c r="G926" s="45"/>
      <c r="H926" s="48"/>
      <c r="I926" s="49"/>
    </row>
    <row r="927" spans="2:9" s="1" customFormat="1" x14ac:dyDescent="0.2">
      <c r="B927" s="50" t="str">
        <f t="shared" si="14"/>
        <v>2022-059-5</v>
      </c>
      <c r="C927" s="51">
        <v>2022</v>
      </c>
      <c r="D927" s="51" t="s">
        <v>88</v>
      </c>
      <c r="E927" s="51">
        <v>5</v>
      </c>
      <c r="F927" s="52" t="s">
        <v>2149</v>
      </c>
      <c r="G927" s="51" t="s">
        <v>3210</v>
      </c>
      <c r="H927" s="53"/>
      <c r="I927" s="54"/>
    </row>
    <row r="928" spans="2:9" s="1" customFormat="1" x14ac:dyDescent="0.2">
      <c r="B928" s="55" t="str">
        <f t="shared" si="14"/>
        <v>2022-060-0</v>
      </c>
      <c r="C928" s="56">
        <v>2022</v>
      </c>
      <c r="D928" s="56" t="s">
        <v>89</v>
      </c>
      <c r="E928" s="56">
        <v>0</v>
      </c>
      <c r="F928" s="57" t="s">
        <v>178</v>
      </c>
      <c r="G928" s="56"/>
      <c r="H928" s="58"/>
      <c r="I928" s="59"/>
    </row>
    <row r="929" spans="2:9" s="1" customFormat="1" x14ac:dyDescent="0.2">
      <c r="B929" s="44" t="str">
        <f t="shared" si="14"/>
        <v>2022-060-1</v>
      </c>
      <c r="C929" s="45">
        <v>2022</v>
      </c>
      <c r="D929" s="45" t="s">
        <v>89</v>
      </c>
      <c r="E929" s="45">
        <v>1</v>
      </c>
      <c r="F929" s="47" t="s">
        <v>563</v>
      </c>
      <c r="G929" s="45"/>
      <c r="H929" s="48"/>
      <c r="I929" s="49"/>
    </row>
    <row r="930" spans="2:9" s="1" customFormat="1" x14ac:dyDescent="0.2">
      <c r="B930" s="44" t="str">
        <f t="shared" si="14"/>
        <v>2022-060-2</v>
      </c>
      <c r="C930" s="45">
        <v>2022</v>
      </c>
      <c r="D930" s="45" t="s">
        <v>89</v>
      </c>
      <c r="E930" s="45">
        <v>2</v>
      </c>
      <c r="F930" s="47" t="s">
        <v>964</v>
      </c>
      <c r="G930" s="45" t="s">
        <v>3210</v>
      </c>
      <c r="H930" s="48"/>
      <c r="I930" s="49"/>
    </row>
    <row r="931" spans="2:9" s="1" customFormat="1" x14ac:dyDescent="0.2">
      <c r="B931" s="44" t="str">
        <f t="shared" si="14"/>
        <v>2022-060-3</v>
      </c>
      <c r="C931" s="45">
        <v>2022</v>
      </c>
      <c r="D931" s="45" t="s">
        <v>89</v>
      </c>
      <c r="E931" s="45">
        <v>3</v>
      </c>
      <c r="F931" s="47" t="s">
        <v>1360</v>
      </c>
      <c r="G931" s="45"/>
      <c r="H931" s="48"/>
      <c r="I931" s="49"/>
    </row>
    <row r="932" spans="2:9" s="1" customFormat="1" x14ac:dyDescent="0.2">
      <c r="B932" s="44" t="str">
        <f t="shared" si="14"/>
        <v>2022-060-4</v>
      </c>
      <c r="C932" s="45">
        <v>2022</v>
      </c>
      <c r="D932" s="45" t="s">
        <v>89</v>
      </c>
      <c r="E932" s="45">
        <v>4</v>
      </c>
      <c r="F932" s="47" t="s">
        <v>1755</v>
      </c>
      <c r="G932" s="45"/>
      <c r="H932" s="48"/>
      <c r="I932" s="49"/>
    </row>
    <row r="933" spans="2:9" s="1" customFormat="1" x14ac:dyDescent="0.2">
      <c r="B933" s="50" t="str">
        <f t="shared" si="14"/>
        <v>2022-060-5</v>
      </c>
      <c r="C933" s="51">
        <v>2022</v>
      </c>
      <c r="D933" s="51" t="s">
        <v>89</v>
      </c>
      <c r="E933" s="51">
        <v>5</v>
      </c>
      <c r="F933" s="52" t="s">
        <v>2150</v>
      </c>
      <c r="G933" s="51"/>
      <c r="H933" s="53"/>
      <c r="I933" s="54"/>
    </row>
    <row r="934" spans="2:9" s="1" customFormat="1" x14ac:dyDescent="0.2">
      <c r="B934" s="55" t="str">
        <f t="shared" si="14"/>
        <v>2022-061-0</v>
      </c>
      <c r="C934" s="56">
        <v>2022</v>
      </c>
      <c r="D934" s="56" t="s">
        <v>90</v>
      </c>
      <c r="E934" s="56">
        <v>0</v>
      </c>
      <c r="F934" s="57" t="s">
        <v>179</v>
      </c>
      <c r="G934" s="56"/>
      <c r="H934" s="58"/>
      <c r="I934" s="59"/>
    </row>
    <row r="935" spans="2:9" s="1" customFormat="1" ht="27" x14ac:dyDescent="0.2">
      <c r="B935" s="44" t="str">
        <f t="shared" si="14"/>
        <v>2022-061-1</v>
      </c>
      <c r="C935" s="45">
        <v>2022</v>
      </c>
      <c r="D935" s="45" t="s">
        <v>90</v>
      </c>
      <c r="E935" s="45">
        <v>1</v>
      </c>
      <c r="F935" s="47" t="s">
        <v>564</v>
      </c>
      <c r="G935" s="45"/>
      <c r="H935" s="48"/>
      <c r="I935" s="49"/>
    </row>
    <row r="936" spans="2:9" s="1" customFormat="1" x14ac:dyDescent="0.2">
      <c r="B936" s="44" t="str">
        <f t="shared" si="14"/>
        <v>2022-061-2</v>
      </c>
      <c r="C936" s="45">
        <v>2022</v>
      </c>
      <c r="D936" s="45" t="s">
        <v>90</v>
      </c>
      <c r="E936" s="45">
        <v>2</v>
      </c>
      <c r="F936" s="47" t="s">
        <v>965</v>
      </c>
      <c r="G936" s="45"/>
      <c r="H936" s="48"/>
      <c r="I936" s="49"/>
    </row>
    <row r="937" spans="2:9" s="1" customFormat="1" x14ac:dyDescent="0.2">
      <c r="B937" s="44" t="str">
        <f t="shared" si="14"/>
        <v>2022-061-3</v>
      </c>
      <c r="C937" s="45">
        <v>2022</v>
      </c>
      <c r="D937" s="45" t="s">
        <v>90</v>
      </c>
      <c r="E937" s="45">
        <v>3</v>
      </c>
      <c r="F937" s="47" t="s">
        <v>1361</v>
      </c>
      <c r="G937" s="45"/>
      <c r="H937" s="48"/>
      <c r="I937" s="49"/>
    </row>
    <row r="938" spans="2:9" s="1" customFormat="1" x14ac:dyDescent="0.2">
      <c r="B938" s="44" t="str">
        <f t="shared" si="14"/>
        <v>2022-061-4</v>
      </c>
      <c r="C938" s="45">
        <v>2022</v>
      </c>
      <c r="D938" s="45" t="s">
        <v>90</v>
      </c>
      <c r="E938" s="45">
        <v>4</v>
      </c>
      <c r="F938" s="47" t="s">
        <v>1756</v>
      </c>
      <c r="G938" s="45"/>
      <c r="H938" s="48"/>
      <c r="I938" s="49"/>
    </row>
    <row r="939" spans="2:9" s="1" customFormat="1" x14ac:dyDescent="0.2">
      <c r="B939" s="50" t="str">
        <f t="shared" si="14"/>
        <v>2022-061-5</v>
      </c>
      <c r="C939" s="51">
        <v>2022</v>
      </c>
      <c r="D939" s="51" t="s">
        <v>90</v>
      </c>
      <c r="E939" s="51">
        <v>5</v>
      </c>
      <c r="F939" s="52" t="s">
        <v>2151</v>
      </c>
      <c r="G939" s="51" t="s">
        <v>3210</v>
      </c>
      <c r="H939" s="53"/>
      <c r="I939" s="54"/>
    </row>
    <row r="940" spans="2:9" s="1" customFormat="1" x14ac:dyDescent="0.2">
      <c r="B940" s="55" t="str">
        <f t="shared" si="14"/>
        <v>2022-062-0</v>
      </c>
      <c r="C940" s="56">
        <v>2022</v>
      </c>
      <c r="D940" s="56" t="s">
        <v>91</v>
      </c>
      <c r="E940" s="56">
        <v>0</v>
      </c>
      <c r="F940" s="57" t="s">
        <v>180</v>
      </c>
      <c r="G940" s="56"/>
      <c r="H940" s="58"/>
      <c r="I940" s="59"/>
    </row>
    <row r="941" spans="2:9" s="1" customFormat="1" x14ac:dyDescent="0.2">
      <c r="B941" s="44" t="str">
        <f t="shared" si="14"/>
        <v>2022-062-1</v>
      </c>
      <c r="C941" s="45">
        <v>2022</v>
      </c>
      <c r="D941" s="45" t="s">
        <v>91</v>
      </c>
      <c r="E941" s="45">
        <v>1</v>
      </c>
      <c r="F941" s="47" t="s">
        <v>565</v>
      </c>
      <c r="G941" s="45"/>
      <c r="H941" s="48"/>
      <c r="I941" s="49"/>
    </row>
    <row r="942" spans="2:9" s="1" customFormat="1" ht="27" x14ac:dyDescent="0.2">
      <c r="B942" s="44" t="str">
        <f t="shared" si="14"/>
        <v>2022-062-2</v>
      </c>
      <c r="C942" s="45">
        <v>2022</v>
      </c>
      <c r="D942" s="45" t="s">
        <v>91</v>
      </c>
      <c r="E942" s="45">
        <v>2</v>
      </c>
      <c r="F942" s="47" t="s">
        <v>966</v>
      </c>
      <c r="G942" s="45"/>
      <c r="H942" s="48"/>
      <c r="I942" s="49"/>
    </row>
    <row r="943" spans="2:9" s="1" customFormat="1" ht="27" x14ac:dyDescent="0.2">
      <c r="B943" s="44" t="str">
        <f t="shared" si="14"/>
        <v>2022-062-3</v>
      </c>
      <c r="C943" s="45">
        <v>2022</v>
      </c>
      <c r="D943" s="45" t="s">
        <v>91</v>
      </c>
      <c r="E943" s="45">
        <v>3</v>
      </c>
      <c r="F943" s="47" t="s">
        <v>1362</v>
      </c>
      <c r="G943" s="45" t="s">
        <v>3210</v>
      </c>
      <c r="H943" s="48"/>
      <c r="I943" s="49"/>
    </row>
    <row r="944" spans="2:9" s="1" customFormat="1" ht="27" x14ac:dyDescent="0.2">
      <c r="B944" s="44" t="str">
        <f t="shared" si="14"/>
        <v>2022-062-4</v>
      </c>
      <c r="C944" s="45">
        <v>2022</v>
      </c>
      <c r="D944" s="45" t="s">
        <v>91</v>
      </c>
      <c r="E944" s="45">
        <v>4</v>
      </c>
      <c r="F944" s="47" t="s">
        <v>1757</v>
      </c>
      <c r="G944" s="45"/>
      <c r="H944" s="48"/>
      <c r="I944" s="49"/>
    </row>
    <row r="945" spans="2:9" s="1" customFormat="1" ht="27" x14ac:dyDescent="0.2">
      <c r="B945" s="50" t="str">
        <f t="shared" si="14"/>
        <v>2022-062-5</v>
      </c>
      <c r="C945" s="51">
        <v>2022</v>
      </c>
      <c r="D945" s="51" t="s">
        <v>91</v>
      </c>
      <c r="E945" s="51">
        <v>5</v>
      </c>
      <c r="F945" s="52" t="s">
        <v>2152</v>
      </c>
      <c r="G945" s="51"/>
      <c r="H945" s="53"/>
      <c r="I945" s="54"/>
    </row>
    <row r="946" spans="2:9" s="1" customFormat="1" x14ac:dyDescent="0.2">
      <c r="B946" s="55" t="str">
        <f t="shared" si="14"/>
        <v>2022-063-0</v>
      </c>
      <c r="C946" s="56">
        <v>2022</v>
      </c>
      <c r="D946" s="56" t="s">
        <v>92</v>
      </c>
      <c r="E946" s="56">
        <v>0</v>
      </c>
      <c r="F946" s="57" t="s">
        <v>181</v>
      </c>
      <c r="G946" s="56"/>
      <c r="H946" s="58"/>
      <c r="I946" s="59"/>
    </row>
    <row r="947" spans="2:9" s="1" customFormat="1" x14ac:dyDescent="0.2">
      <c r="B947" s="44" t="str">
        <f t="shared" si="14"/>
        <v>2022-063-1</v>
      </c>
      <c r="C947" s="45">
        <v>2022</v>
      </c>
      <c r="D947" s="45" t="s">
        <v>92</v>
      </c>
      <c r="E947" s="45">
        <v>1</v>
      </c>
      <c r="F947" s="47" t="s">
        <v>566</v>
      </c>
      <c r="G947" s="45" t="s">
        <v>3210</v>
      </c>
      <c r="H947" s="48"/>
      <c r="I947" s="49"/>
    </row>
    <row r="948" spans="2:9" s="1" customFormat="1" x14ac:dyDescent="0.2">
      <c r="B948" s="44" t="str">
        <f t="shared" si="14"/>
        <v>2022-063-2</v>
      </c>
      <c r="C948" s="45">
        <v>2022</v>
      </c>
      <c r="D948" s="45" t="s">
        <v>92</v>
      </c>
      <c r="E948" s="45">
        <v>2</v>
      </c>
      <c r="F948" s="47" t="s">
        <v>967</v>
      </c>
      <c r="G948" s="45"/>
      <c r="H948" s="48"/>
      <c r="I948" s="49"/>
    </row>
    <row r="949" spans="2:9" s="1" customFormat="1" x14ac:dyDescent="0.2">
      <c r="B949" s="44" t="str">
        <f t="shared" si="14"/>
        <v>2022-063-3</v>
      </c>
      <c r="C949" s="45">
        <v>2022</v>
      </c>
      <c r="D949" s="45" t="s">
        <v>92</v>
      </c>
      <c r="E949" s="45">
        <v>3</v>
      </c>
      <c r="F949" s="47" t="s">
        <v>1363</v>
      </c>
      <c r="G949" s="45"/>
      <c r="H949" s="48"/>
      <c r="I949" s="49"/>
    </row>
    <row r="950" spans="2:9" s="1" customFormat="1" ht="27" x14ac:dyDescent="0.2">
      <c r="B950" s="44" t="str">
        <f t="shared" si="14"/>
        <v>2022-063-4</v>
      </c>
      <c r="C950" s="45">
        <v>2022</v>
      </c>
      <c r="D950" s="45" t="s">
        <v>92</v>
      </c>
      <c r="E950" s="45">
        <v>4</v>
      </c>
      <c r="F950" s="47" t="s">
        <v>1758</v>
      </c>
      <c r="G950" s="45"/>
      <c r="H950" s="48"/>
      <c r="I950" s="49"/>
    </row>
    <row r="951" spans="2:9" s="1" customFormat="1" x14ac:dyDescent="0.2">
      <c r="B951" s="50" t="str">
        <f t="shared" si="14"/>
        <v>2022-063-5</v>
      </c>
      <c r="C951" s="51">
        <v>2022</v>
      </c>
      <c r="D951" s="51" t="s">
        <v>92</v>
      </c>
      <c r="E951" s="51">
        <v>5</v>
      </c>
      <c r="F951" s="52" t="s">
        <v>2153</v>
      </c>
      <c r="G951" s="51"/>
      <c r="H951" s="53"/>
      <c r="I951" s="54"/>
    </row>
    <row r="952" spans="2:9" s="1" customFormat="1" ht="27" x14ac:dyDescent="0.2">
      <c r="B952" s="55" t="str">
        <f t="shared" si="14"/>
        <v>2022-064-0</v>
      </c>
      <c r="C952" s="56">
        <v>2022</v>
      </c>
      <c r="D952" s="56" t="s">
        <v>93</v>
      </c>
      <c r="E952" s="56">
        <v>0</v>
      </c>
      <c r="F952" s="57" t="s">
        <v>182</v>
      </c>
      <c r="G952" s="56"/>
      <c r="H952" s="58"/>
      <c r="I952" s="59"/>
    </row>
    <row r="953" spans="2:9" s="1" customFormat="1" x14ac:dyDescent="0.2">
      <c r="B953" s="44" t="str">
        <f t="shared" si="14"/>
        <v>2022-064-1</v>
      </c>
      <c r="C953" s="45">
        <v>2022</v>
      </c>
      <c r="D953" s="45" t="s">
        <v>93</v>
      </c>
      <c r="E953" s="45">
        <v>1</v>
      </c>
      <c r="F953" s="47" t="s">
        <v>567</v>
      </c>
      <c r="G953" s="45"/>
      <c r="H953" s="48"/>
      <c r="I953" s="49"/>
    </row>
    <row r="954" spans="2:9" s="1" customFormat="1" ht="27" x14ac:dyDescent="0.2">
      <c r="B954" s="44" t="str">
        <f t="shared" si="14"/>
        <v>2022-064-2</v>
      </c>
      <c r="C954" s="45">
        <v>2022</v>
      </c>
      <c r="D954" s="45" t="s">
        <v>93</v>
      </c>
      <c r="E954" s="45">
        <v>2</v>
      </c>
      <c r="F954" s="47" t="s">
        <v>968</v>
      </c>
      <c r="G954" s="45"/>
      <c r="H954" s="48"/>
      <c r="I954" s="49"/>
    </row>
    <row r="955" spans="2:9" s="1" customFormat="1" x14ac:dyDescent="0.2">
      <c r="B955" s="44" t="str">
        <f t="shared" si="14"/>
        <v>2022-064-3</v>
      </c>
      <c r="C955" s="45">
        <v>2022</v>
      </c>
      <c r="D955" s="45" t="s">
        <v>93</v>
      </c>
      <c r="E955" s="45">
        <v>3</v>
      </c>
      <c r="F955" s="47" t="s">
        <v>1364</v>
      </c>
      <c r="G955" s="45" t="s">
        <v>3210</v>
      </c>
      <c r="H955" s="48"/>
      <c r="I955" s="49"/>
    </row>
    <row r="956" spans="2:9" s="1" customFormat="1" x14ac:dyDescent="0.2">
      <c r="B956" s="44" t="str">
        <f t="shared" si="14"/>
        <v>2022-064-4</v>
      </c>
      <c r="C956" s="45">
        <v>2022</v>
      </c>
      <c r="D956" s="45" t="s">
        <v>93</v>
      </c>
      <c r="E956" s="45">
        <v>4</v>
      </c>
      <c r="F956" s="47" t="s">
        <v>1759</v>
      </c>
      <c r="G956" s="45"/>
      <c r="H956" s="48"/>
      <c r="I956" s="49"/>
    </row>
    <row r="957" spans="2:9" s="1" customFormat="1" x14ac:dyDescent="0.2">
      <c r="B957" s="50" t="str">
        <f t="shared" si="14"/>
        <v>2022-064-5</v>
      </c>
      <c r="C957" s="51">
        <v>2022</v>
      </c>
      <c r="D957" s="51" t="s">
        <v>93</v>
      </c>
      <c r="E957" s="51">
        <v>5</v>
      </c>
      <c r="F957" s="52" t="s">
        <v>2154</v>
      </c>
      <c r="G957" s="51"/>
      <c r="H957" s="53"/>
      <c r="I957" s="54"/>
    </row>
    <row r="958" spans="2:9" s="1" customFormat="1" x14ac:dyDescent="0.2">
      <c r="B958" s="55" t="str">
        <f t="shared" si="14"/>
        <v>2022-065-0</v>
      </c>
      <c r="C958" s="56">
        <v>2022</v>
      </c>
      <c r="D958" s="56" t="s">
        <v>94</v>
      </c>
      <c r="E958" s="56">
        <v>0</v>
      </c>
      <c r="F958" s="57" t="s">
        <v>183</v>
      </c>
      <c r="G958" s="56"/>
      <c r="H958" s="58"/>
      <c r="I958" s="59"/>
    </row>
    <row r="959" spans="2:9" s="1" customFormat="1" x14ac:dyDescent="0.2">
      <c r="B959" s="44" t="str">
        <f t="shared" si="14"/>
        <v>2022-065-1</v>
      </c>
      <c r="C959" s="45">
        <v>2022</v>
      </c>
      <c r="D959" s="45" t="s">
        <v>94</v>
      </c>
      <c r="E959" s="45">
        <v>1</v>
      </c>
      <c r="F959" s="47" t="s">
        <v>568</v>
      </c>
      <c r="G959" s="45"/>
      <c r="H959" s="48"/>
      <c r="I959" s="49"/>
    </row>
    <row r="960" spans="2:9" s="1" customFormat="1" ht="27" x14ac:dyDescent="0.2">
      <c r="B960" s="44" t="str">
        <f t="shared" si="14"/>
        <v>2022-065-2</v>
      </c>
      <c r="C960" s="45">
        <v>2022</v>
      </c>
      <c r="D960" s="45" t="s">
        <v>94</v>
      </c>
      <c r="E960" s="45">
        <v>2</v>
      </c>
      <c r="F960" s="47" t="s">
        <v>969</v>
      </c>
      <c r="G960" s="45"/>
      <c r="H960" s="48"/>
      <c r="I960" s="49"/>
    </row>
    <row r="961" spans="2:9" s="1" customFormat="1" x14ac:dyDescent="0.2">
      <c r="B961" s="44" t="str">
        <f t="shared" si="14"/>
        <v>2022-065-3</v>
      </c>
      <c r="C961" s="45">
        <v>2022</v>
      </c>
      <c r="D961" s="45" t="s">
        <v>94</v>
      </c>
      <c r="E961" s="45">
        <v>3</v>
      </c>
      <c r="F961" s="47" t="s">
        <v>1365</v>
      </c>
      <c r="G961" s="45" t="s">
        <v>3210</v>
      </c>
      <c r="H961" s="48"/>
      <c r="I961" s="49"/>
    </row>
    <row r="962" spans="2:9" s="1" customFormat="1" x14ac:dyDescent="0.2">
      <c r="B962" s="44" t="str">
        <f t="shared" si="14"/>
        <v>2022-065-4</v>
      </c>
      <c r="C962" s="45">
        <v>2022</v>
      </c>
      <c r="D962" s="45" t="s">
        <v>94</v>
      </c>
      <c r="E962" s="45">
        <v>4</v>
      </c>
      <c r="F962" s="47" t="s">
        <v>1760</v>
      </c>
      <c r="G962" s="45"/>
      <c r="H962" s="48"/>
      <c r="I962" s="49"/>
    </row>
    <row r="963" spans="2:9" s="1" customFormat="1" x14ac:dyDescent="0.2">
      <c r="B963" s="50" t="str">
        <f t="shared" si="14"/>
        <v>2022-065-5</v>
      </c>
      <c r="C963" s="51">
        <v>2022</v>
      </c>
      <c r="D963" s="51" t="s">
        <v>94</v>
      </c>
      <c r="E963" s="51">
        <v>5</v>
      </c>
      <c r="F963" s="52" t="s">
        <v>2155</v>
      </c>
      <c r="G963" s="51"/>
      <c r="H963" s="53"/>
      <c r="I963" s="54"/>
    </row>
    <row r="964" spans="2:9" s="1" customFormat="1" x14ac:dyDescent="0.2">
      <c r="B964" s="55" t="str">
        <f t="shared" si="14"/>
        <v>2022-066-0</v>
      </c>
      <c r="C964" s="56">
        <v>2022</v>
      </c>
      <c r="D964" s="56" t="s">
        <v>95</v>
      </c>
      <c r="E964" s="56">
        <v>0</v>
      </c>
      <c r="F964" s="57" t="s">
        <v>184</v>
      </c>
      <c r="G964" s="56"/>
      <c r="H964" s="58"/>
      <c r="I964" s="59"/>
    </row>
    <row r="965" spans="2:9" s="1" customFormat="1" x14ac:dyDescent="0.2">
      <c r="B965" s="44" t="str">
        <f t="shared" si="14"/>
        <v>2022-066-1</v>
      </c>
      <c r="C965" s="45">
        <v>2022</v>
      </c>
      <c r="D965" s="45" t="s">
        <v>95</v>
      </c>
      <c r="E965" s="45">
        <v>1</v>
      </c>
      <c r="F965" s="47" t="s">
        <v>569</v>
      </c>
      <c r="G965" s="45"/>
      <c r="H965" s="48"/>
      <c r="I965" s="49"/>
    </row>
    <row r="966" spans="2:9" s="1" customFormat="1" x14ac:dyDescent="0.2">
      <c r="B966" s="44" t="str">
        <f t="shared" si="14"/>
        <v>2022-066-2</v>
      </c>
      <c r="C966" s="45">
        <v>2022</v>
      </c>
      <c r="D966" s="45" t="s">
        <v>95</v>
      </c>
      <c r="E966" s="45">
        <v>2</v>
      </c>
      <c r="F966" s="47" t="s">
        <v>970</v>
      </c>
      <c r="G966" s="45" t="s">
        <v>3210</v>
      </c>
      <c r="H966" s="48"/>
      <c r="I966" s="49"/>
    </row>
    <row r="967" spans="2:9" s="1" customFormat="1" x14ac:dyDescent="0.2">
      <c r="B967" s="44" t="str">
        <f t="shared" si="14"/>
        <v>2022-066-3</v>
      </c>
      <c r="C967" s="45">
        <v>2022</v>
      </c>
      <c r="D967" s="45" t="s">
        <v>95</v>
      </c>
      <c r="E967" s="45">
        <v>3</v>
      </c>
      <c r="F967" s="47" t="s">
        <v>1366</v>
      </c>
      <c r="G967" s="45"/>
      <c r="H967" s="48"/>
      <c r="I967" s="49"/>
    </row>
    <row r="968" spans="2:9" s="1" customFormat="1" x14ac:dyDescent="0.2">
      <c r="B968" s="44" t="str">
        <f t="shared" si="14"/>
        <v>2022-066-4</v>
      </c>
      <c r="C968" s="45">
        <v>2022</v>
      </c>
      <c r="D968" s="45" t="s">
        <v>95</v>
      </c>
      <c r="E968" s="45">
        <v>4</v>
      </c>
      <c r="F968" s="47" t="s">
        <v>1761</v>
      </c>
      <c r="G968" s="45"/>
      <c r="H968" s="48"/>
      <c r="I968" s="49"/>
    </row>
    <row r="969" spans="2:9" s="1" customFormat="1" x14ac:dyDescent="0.2">
      <c r="B969" s="50" t="str">
        <f t="shared" si="14"/>
        <v>2022-066-5</v>
      </c>
      <c r="C969" s="51">
        <v>2022</v>
      </c>
      <c r="D969" s="51" t="s">
        <v>95</v>
      </c>
      <c r="E969" s="51">
        <v>5</v>
      </c>
      <c r="F969" s="52" t="s">
        <v>2156</v>
      </c>
      <c r="G969" s="51"/>
      <c r="H969" s="53"/>
      <c r="I969" s="54"/>
    </row>
    <row r="970" spans="2:9" s="1" customFormat="1" ht="121.5" x14ac:dyDescent="0.2">
      <c r="B970" s="55" t="str">
        <f t="shared" si="14"/>
        <v>2022-067-0</v>
      </c>
      <c r="C970" s="56">
        <v>2022</v>
      </c>
      <c r="D970" s="56" t="s">
        <v>96</v>
      </c>
      <c r="E970" s="56">
        <v>0</v>
      </c>
      <c r="F970" s="57" t="s">
        <v>185</v>
      </c>
      <c r="G970" s="56"/>
      <c r="H970" s="58"/>
      <c r="I970" s="59"/>
    </row>
    <row r="971" spans="2:9" s="1" customFormat="1" x14ac:dyDescent="0.2">
      <c r="B971" s="44" t="str">
        <f t="shared" ref="B971:B1023" si="15">C971&amp;"-"&amp;D971&amp;"-"&amp;E971</f>
        <v>2022-067-1</v>
      </c>
      <c r="C971" s="45">
        <v>2022</v>
      </c>
      <c r="D971" s="45" t="s">
        <v>96</v>
      </c>
      <c r="E971" s="45">
        <v>1</v>
      </c>
      <c r="F971" s="47" t="s">
        <v>44</v>
      </c>
      <c r="G971" s="45"/>
      <c r="H971" s="48"/>
      <c r="I971" s="49"/>
    </row>
    <row r="972" spans="2:9" s="1" customFormat="1" x14ac:dyDescent="0.2">
      <c r="B972" s="44" t="str">
        <f t="shared" si="15"/>
        <v>2022-067-2</v>
      </c>
      <c r="C972" s="45">
        <v>2022</v>
      </c>
      <c r="D972" s="45" t="s">
        <v>96</v>
      </c>
      <c r="E972" s="45">
        <v>2</v>
      </c>
      <c r="F972" s="47" t="s">
        <v>54</v>
      </c>
      <c r="G972" s="45" t="s">
        <v>3210</v>
      </c>
      <c r="H972" s="48"/>
      <c r="I972" s="49"/>
    </row>
    <row r="973" spans="2:9" s="1" customFormat="1" x14ac:dyDescent="0.2">
      <c r="B973" s="44" t="str">
        <f t="shared" si="15"/>
        <v>2022-067-3</v>
      </c>
      <c r="C973" s="45">
        <v>2022</v>
      </c>
      <c r="D973" s="45" t="s">
        <v>96</v>
      </c>
      <c r="E973" s="45">
        <v>3</v>
      </c>
      <c r="F973" s="47" t="s">
        <v>55</v>
      </c>
      <c r="G973" s="45"/>
      <c r="H973" s="48"/>
      <c r="I973" s="49"/>
    </row>
    <row r="974" spans="2:9" s="1" customFormat="1" x14ac:dyDescent="0.2">
      <c r="B974" s="44" t="str">
        <f t="shared" si="15"/>
        <v>2022-067-4</v>
      </c>
      <c r="C974" s="45">
        <v>2022</v>
      </c>
      <c r="D974" s="45" t="s">
        <v>96</v>
      </c>
      <c r="E974" s="45">
        <v>4</v>
      </c>
      <c r="F974" s="47" t="s">
        <v>57</v>
      </c>
      <c r="G974" s="45"/>
      <c r="H974" s="48"/>
      <c r="I974" s="49"/>
    </row>
    <row r="975" spans="2:9" s="1" customFormat="1" x14ac:dyDescent="0.2">
      <c r="B975" s="50" t="str">
        <f t="shared" si="15"/>
        <v>2022-067-5</v>
      </c>
      <c r="C975" s="51">
        <v>2022</v>
      </c>
      <c r="D975" s="51" t="s">
        <v>96</v>
      </c>
      <c r="E975" s="51">
        <v>5</v>
      </c>
      <c r="F975" s="52" t="s">
        <v>59</v>
      </c>
      <c r="G975" s="51"/>
      <c r="H975" s="53"/>
      <c r="I975" s="54"/>
    </row>
    <row r="976" spans="2:9" s="1" customFormat="1" x14ac:dyDescent="0.2">
      <c r="B976" s="55" t="str">
        <f t="shared" si="15"/>
        <v>2022-068-0</v>
      </c>
      <c r="C976" s="56">
        <v>2022</v>
      </c>
      <c r="D976" s="56" t="s">
        <v>97</v>
      </c>
      <c r="E976" s="56">
        <v>0</v>
      </c>
      <c r="F976" s="57" t="s">
        <v>186</v>
      </c>
      <c r="G976" s="56"/>
      <c r="H976" s="58"/>
      <c r="I976" s="59"/>
    </row>
    <row r="977" spans="2:9" s="1" customFormat="1" x14ac:dyDescent="0.2">
      <c r="B977" s="44" t="str">
        <f t="shared" si="15"/>
        <v>2022-068-1</v>
      </c>
      <c r="C977" s="45">
        <v>2022</v>
      </c>
      <c r="D977" s="45" t="s">
        <v>97</v>
      </c>
      <c r="E977" s="45">
        <v>1</v>
      </c>
      <c r="F977" s="47" t="s">
        <v>570</v>
      </c>
      <c r="G977" s="45" t="s">
        <v>3210</v>
      </c>
      <c r="H977" s="48"/>
      <c r="I977" s="49"/>
    </row>
    <row r="978" spans="2:9" s="1" customFormat="1" x14ac:dyDescent="0.2">
      <c r="B978" s="44" t="str">
        <f t="shared" si="15"/>
        <v>2022-068-2</v>
      </c>
      <c r="C978" s="45">
        <v>2022</v>
      </c>
      <c r="D978" s="45" t="s">
        <v>97</v>
      </c>
      <c r="E978" s="45">
        <v>2</v>
      </c>
      <c r="F978" s="47" t="s">
        <v>971</v>
      </c>
      <c r="G978" s="45"/>
      <c r="H978" s="48"/>
      <c r="I978" s="49"/>
    </row>
    <row r="979" spans="2:9" s="1" customFormat="1" ht="27" x14ac:dyDescent="0.2">
      <c r="B979" s="44" t="str">
        <f t="shared" si="15"/>
        <v>2022-068-3</v>
      </c>
      <c r="C979" s="45">
        <v>2022</v>
      </c>
      <c r="D979" s="45" t="s">
        <v>97</v>
      </c>
      <c r="E979" s="45">
        <v>3</v>
      </c>
      <c r="F979" s="47" t="s">
        <v>1367</v>
      </c>
      <c r="G979" s="45"/>
      <c r="H979" s="48"/>
      <c r="I979" s="49"/>
    </row>
    <row r="980" spans="2:9" s="1" customFormat="1" x14ac:dyDescent="0.2">
      <c r="B980" s="44" t="str">
        <f t="shared" si="15"/>
        <v>2022-068-4</v>
      </c>
      <c r="C980" s="45">
        <v>2022</v>
      </c>
      <c r="D980" s="45" t="s">
        <v>97</v>
      </c>
      <c r="E980" s="45">
        <v>4</v>
      </c>
      <c r="F980" s="47" t="s">
        <v>1762</v>
      </c>
      <c r="G980" s="45"/>
      <c r="H980" s="48"/>
      <c r="I980" s="49"/>
    </row>
    <row r="981" spans="2:9" s="1" customFormat="1" x14ac:dyDescent="0.2">
      <c r="B981" s="50" t="str">
        <f t="shared" si="15"/>
        <v>2022-068-5</v>
      </c>
      <c r="C981" s="51">
        <v>2022</v>
      </c>
      <c r="D981" s="51" t="s">
        <v>97</v>
      </c>
      <c r="E981" s="51">
        <v>5</v>
      </c>
      <c r="F981" s="52" t="s">
        <v>2157</v>
      </c>
      <c r="G981" s="51"/>
      <c r="H981" s="53"/>
      <c r="I981" s="54"/>
    </row>
    <row r="982" spans="2:9" s="1" customFormat="1" x14ac:dyDescent="0.2">
      <c r="B982" s="55" t="str">
        <f t="shared" si="15"/>
        <v>2022-069-0</v>
      </c>
      <c r="C982" s="56">
        <v>2022</v>
      </c>
      <c r="D982" s="56" t="s">
        <v>98</v>
      </c>
      <c r="E982" s="56">
        <v>0</v>
      </c>
      <c r="F982" s="57" t="s">
        <v>163</v>
      </c>
      <c r="G982" s="56"/>
      <c r="H982" s="58"/>
      <c r="I982" s="59"/>
    </row>
    <row r="983" spans="2:9" s="1" customFormat="1" x14ac:dyDescent="0.2">
      <c r="B983" s="44" t="str">
        <f t="shared" si="15"/>
        <v>2022-069-1</v>
      </c>
      <c r="C983" s="45">
        <v>2022</v>
      </c>
      <c r="D983" s="45" t="s">
        <v>98</v>
      </c>
      <c r="E983" s="45">
        <v>1</v>
      </c>
      <c r="F983" s="47" t="s">
        <v>571</v>
      </c>
      <c r="G983" s="45"/>
      <c r="H983" s="48"/>
      <c r="I983" s="49"/>
    </row>
    <row r="984" spans="2:9" s="1" customFormat="1" x14ac:dyDescent="0.2">
      <c r="B984" s="44" t="str">
        <f t="shared" si="15"/>
        <v>2022-069-2</v>
      </c>
      <c r="C984" s="45">
        <v>2022</v>
      </c>
      <c r="D984" s="45" t="s">
        <v>98</v>
      </c>
      <c r="E984" s="45">
        <v>2</v>
      </c>
      <c r="F984" s="47" t="s">
        <v>972</v>
      </c>
      <c r="G984" s="45"/>
      <c r="H984" s="48"/>
      <c r="I984" s="49"/>
    </row>
    <row r="985" spans="2:9" s="1" customFormat="1" x14ac:dyDescent="0.2">
      <c r="B985" s="44" t="str">
        <f t="shared" si="15"/>
        <v>2022-069-3</v>
      </c>
      <c r="C985" s="45">
        <v>2022</v>
      </c>
      <c r="D985" s="45" t="s">
        <v>98</v>
      </c>
      <c r="E985" s="45">
        <v>3</v>
      </c>
      <c r="F985" s="47" t="s">
        <v>1368</v>
      </c>
      <c r="G985" s="45"/>
      <c r="H985" s="48"/>
      <c r="I985" s="49"/>
    </row>
    <row r="986" spans="2:9" s="1" customFormat="1" ht="27" x14ac:dyDescent="0.2">
      <c r="B986" s="44" t="str">
        <f t="shared" si="15"/>
        <v>2022-069-4</v>
      </c>
      <c r="C986" s="45">
        <v>2022</v>
      </c>
      <c r="D986" s="45" t="s">
        <v>98</v>
      </c>
      <c r="E986" s="45">
        <v>4</v>
      </c>
      <c r="F986" s="47" t="s">
        <v>1763</v>
      </c>
      <c r="G986" s="45" t="s">
        <v>3210</v>
      </c>
      <c r="H986" s="48"/>
      <c r="I986" s="49"/>
    </row>
    <row r="987" spans="2:9" s="1" customFormat="1" x14ac:dyDescent="0.2">
      <c r="B987" s="50" t="str">
        <f t="shared" si="15"/>
        <v>2022-069-5</v>
      </c>
      <c r="C987" s="51">
        <v>2022</v>
      </c>
      <c r="D987" s="51" t="s">
        <v>98</v>
      </c>
      <c r="E987" s="51">
        <v>5</v>
      </c>
      <c r="F987" s="52" t="s">
        <v>2158</v>
      </c>
      <c r="G987" s="51"/>
      <c r="H987" s="53"/>
      <c r="I987" s="54"/>
    </row>
    <row r="988" spans="2:9" s="1" customFormat="1" x14ac:dyDescent="0.2">
      <c r="B988" s="55" t="str">
        <f t="shared" si="15"/>
        <v>2022-070-0</v>
      </c>
      <c r="C988" s="56">
        <v>2022</v>
      </c>
      <c r="D988" s="56" t="s">
        <v>99</v>
      </c>
      <c r="E988" s="56">
        <v>0</v>
      </c>
      <c r="F988" s="57" t="s">
        <v>187</v>
      </c>
      <c r="G988" s="56"/>
      <c r="H988" s="58"/>
      <c r="I988" s="59"/>
    </row>
    <row r="989" spans="2:9" s="1" customFormat="1" x14ac:dyDescent="0.2">
      <c r="B989" s="44" t="str">
        <f t="shared" si="15"/>
        <v>2022-070-1</v>
      </c>
      <c r="C989" s="45">
        <v>2022</v>
      </c>
      <c r="D989" s="45" t="s">
        <v>99</v>
      </c>
      <c r="E989" s="45">
        <v>1</v>
      </c>
      <c r="F989" s="47" t="s">
        <v>572</v>
      </c>
      <c r="G989" s="45"/>
      <c r="H989" s="48"/>
      <c r="I989" s="49"/>
    </row>
    <row r="990" spans="2:9" s="1" customFormat="1" ht="27" x14ac:dyDescent="0.2">
      <c r="B990" s="44" t="str">
        <f t="shared" si="15"/>
        <v>2022-070-2</v>
      </c>
      <c r="C990" s="45">
        <v>2022</v>
      </c>
      <c r="D990" s="45" t="s">
        <v>99</v>
      </c>
      <c r="E990" s="45">
        <v>2</v>
      </c>
      <c r="F990" s="47" t="s">
        <v>973</v>
      </c>
      <c r="G990" s="45" t="s">
        <v>3210</v>
      </c>
      <c r="H990" s="48"/>
      <c r="I990" s="49"/>
    </row>
    <row r="991" spans="2:9" s="1" customFormat="1" ht="27" x14ac:dyDescent="0.2">
      <c r="B991" s="44" t="str">
        <f t="shared" si="15"/>
        <v>2022-070-3</v>
      </c>
      <c r="C991" s="45">
        <v>2022</v>
      </c>
      <c r="D991" s="45" t="s">
        <v>99</v>
      </c>
      <c r="E991" s="45">
        <v>3</v>
      </c>
      <c r="F991" s="47" t="s">
        <v>1369</v>
      </c>
      <c r="G991" s="45"/>
      <c r="H991" s="48"/>
      <c r="I991" s="49"/>
    </row>
    <row r="992" spans="2:9" s="1" customFormat="1" ht="27" x14ac:dyDescent="0.2">
      <c r="B992" s="44" t="str">
        <f t="shared" si="15"/>
        <v>2022-070-4</v>
      </c>
      <c r="C992" s="45">
        <v>2022</v>
      </c>
      <c r="D992" s="45" t="s">
        <v>99</v>
      </c>
      <c r="E992" s="45">
        <v>4</v>
      </c>
      <c r="F992" s="47" t="s">
        <v>1764</v>
      </c>
      <c r="G992" s="45"/>
      <c r="H992" s="48"/>
      <c r="I992" s="49"/>
    </row>
    <row r="993" spans="2:9" s="1" customFormat="1" ht="27" x14ac:dyDescent="0.2">
      <c r="B993" s="50" t="str">
        <f t="shared" si="15"/>
        <v>2022-070-5</v>
      </c>
      <c r="C993" s="51">
        <v>2022</v>
      </c>
      <c r="D993" s="51" t="s">
        <v>99</v>
      </c>
      <c r="E993" s="51">
        <v>5</v>
      </c>
      <c r="F993" s="52" t="s">
        <v>2159</v>
      </c>
      <c r="G993" s="51"/>
      <c r="H993" s="53"/>
      <c r="I993" s="54"/>
    </row>
    <row r="994" spans="2:9" s="1" customFormat="1" x14ac:dyDescent="0.2">
      <c r="B994" s="55" t="str">
        <f t="shared" si="15"/>
        <v>2022-071-0</v>
      </c>
      <c r="C994" s="56">
        <v>2022</v>
      </c>
      <c r="D994" s="56" t="s">
        <v>100</v>
      </c>
      <c r="E994" s="56">
        <v>0</v>
      </c>
      <c r="F994" s="57" t="s">
        <v>188</v>
      </c>
      <c r="G994" s="56"/>
      <c r="H994" s="58"/>
      <c r="I994" s="59"/>
    </row>
    <row r="995" spans="2:9" s="1" customFormat="1" x14ac:dyDescent="0.2">
      <c r="B995" s="44" t="str">
        <f t="shared" si="15"/>
        <v>2022-071-1</v>
      </c>
      <c r="C995" s="45">
        <v>2022</v>
      </c>
      <c r="D995" s="45" t="s">
        <v>100</v>
      </c>
      <c r="E995" s="45">
        <v>1</v>
      </c>
      <c r="F995" s="47" t="s">
        <v>573</v>
      </c>
      <c r="G995" s="45"/>
      <c r="H995" s="48"/>
      <c r="I995" s="49"/>
    </row>
    <row r="996" spans="2:9" s="1" customFormat="1" ht="27" x14ac:dyDescent="0.2">
      <c r="B996" s="44" t="str">
        <f t="shared" si="15"/>
        <v>2022-071-2</v>
      </c>
      <c r="C996" s="45">
        <v>2022</v>
      </c>
      <c r="D996" s="45" t="s">
        <v>100</v>
      </c>
      <c r="E996" s="45">
        <v>2</v>
      </c>
      <c r="F996" s="47" t="s">
        <v>974</v>
      </c>
      <c r="G996" s="45"/>
      <c r="H996" s="48"/>
      <c r="I996" s="49"/>
    </row>
    <row r="997" spans="2:9" s="1" customFormat="1" x14ac:dyDescent="0.2">
      <c r="B997" s="44" t="str">
        <f t="shared" si="15"/>
        <v>2022-071-3</v>
      </c>
      <c r="C997" s="45">
        <v>2022</v>
      </c>
      <c r="D997" s="45" t="s">
        <v>100</v>
      </c>
      <c r="E997" s="45">
        <v>3</v>
      </c>
      <c r="F997" s="47" t="s">
        <v>1370</v>
      </c>
      <c r="G997" s="45"/>
      <c r="H997" s="48"/>
      <c r="I997" s="49"/>
    </row>
    <row r="998" spans="2:9" s="1" customFormat="1" x14ac:dyDescent="0.2">
      <c r="B998" s="44" t="str">
        <f t="shared" si="15"/>
        <v>2022-071-4</v>
      </c>
      <c r="C998" s="45">
        <v>2022</v>
      </c>
      <c r="D998" s="45" t="s">
        <v>100</v>
      </c>
      <c r="E998" s="45">
        <v>4</v>
      </c>
      <c r="F998" s="47" t="s">
        <v>1765</v>
      </c>
      <c r="G998" s="45"/>
      <c r="H998" s="48"/>
      <c r="I998" s="49"/>
    </row>
    <row r="999" spans="2:9" s="1" customFormat="1" ht="27" x14ac:dyDescent="0.2">
      <c r="B999" s="50" t="str">
        <f t="shared" si="15"/>
        <v>2022-071-5</v>
      </c>
      <c r="C999" s="51">
        <v>2022</v>
      </c>
      <c r="D999" s="51" t="s">
        <v>100</v>
      </c>
      <c r="E999" s="51">
        <v>5</v>
      </c>
      <c r="F999" s="52" t="s">
        <v>2160</v>
      </c>
      <c r="G999" s="51" t="s">
        <v>3210</v>
      </c>
      <c r="H999" s="53"/>
      <c r="I999" s="54"/>
    </row>
    <row r="1000" spans="2:9" s="1" customFormat="1" x14ac:dyDescent="0.2">
      <c r="B1000" s="55" t="str">
        <f t="shared" si="15"/>
        <v>2022-072-0</v>
      </c>
      <c r="C1000" s="56">
        <v>2022</v>
      </c>
      <c r="D1000" s="56" t="s">
        <v>101</v>
      </c>
      <c r="E1000" s="56">
        <v>0</v>
      </c>
      <c r="F1000" s="57" t="s">
        <v>189</v>
      </c>
      <c r="G1000" s="56"/>
      <c r="H1000" s="58"/>
      <c r="I1000" s="59"/>
    </row>
    <row r="1001" spans="2:9" s="1" customFormat="1" x14ac:dyDescent="0.2">
      <c r="B1001" s="44" t="str">
        <f t="shared" si="15"/>
        <v>2022-072-1</v>
      </c>
      <c r="C1001" s="45">
        <v>2022</v>
      </c>
      <c r="D1001" s="45" t="s">
        <v>101</v>
      </c>
      <c r="E1001" s="45">
        <v>1</v>
      </c>
      <c r="F1001" s="47" t="s">
        <v>574</v>
      </c>
      <c r="G1001" s="45"/>
      <c r="H1001" s="48"/>
      <c r="I1001" s="49"/>
    </row>
    <row r="1002" spans="2:9" s="1" customFormat="1" ht="27" x14ac:dyDescent="0.2">
      <c r="B1002" s="44" t="str">
        <f t="shared" si="15"/>
        <v>2022-072-2</v>
      </c>
      <c r="C1002" s="45">
        <v>2022</v>
      </c>
      <c r="D1002" s="45" t="s">
        <v>101</v>
      </c>
      <c r="E1002" s="45">
        <v>2</v>
      </c>
      <c r="F1002" s="47" t="s">
        <v>975</v>
      </c>
      <c r="G1002" s="45"/>
      <c r="H1002" s="48"/>
      <c r="I1002" s="49"/>
    </row>
    <row r="1003" spans="2:9" s="1" customFormat="1" x14ac:dyDescent="0.2">
      <c r="B1003" s="44" t="str">
        <f t="shared" si="15"/>
        <v>2022-072-3</v>
      </c>
      <c r="C1003" s="45">
        <v>2022</v>
      </c>
      <c r="D1003" s="45" t="s">
        <v>101</v>
      </c>
      <c r="E1003" s="45">
        <v>3</v>
      </c>
      <c r="F1003" s="47" t="s">
        <v>1371</v>
      </c>
      <c r="G1003" s="45" t="s">
        <v>3210</v>
      </c>
      <c r="H1003" s="48"/>
      <c r="I1003" s="49"/>
    </row>
    <row r="1004" spans="2:9" s="1" customFormat="1" ht="27" x14ac:dyDescent="0.2">
      <c r="B1004" s="44" t="str">
        <f t="shared" si="15"/>
        <v>2022-072-4</v>
      </c>
      <c r="C1004" s="45">
        <v>2022</v>
      </c>
      <c r="D1004" s="45" t="s">
        <v>101</v>
      </c>
      <c r="E1004" s="45">
        <v>4</v>
      </c>
      <c r="F1004" s="47" t="s">
        <v>1766</v>
      </c>
      <c r="G1004" s="45"/>
      <c r="H1004" s="48"/>
      <c r="I1004" s="49"/>
    </row>
    <row r="1005" spans="2:9" s="1" customFormat="1" ht="27" x14ac:dyDescent="0.2">
      <c r="B1005" s="50" t="str">
        <f t="shared" si="15"/>
        <v>2022-072-5</v>
      </c>
      <c r="C1005" s="51">
        <v>2022</v>
      </c>
      <c r="D1005" s="51" t="s">
        <v>101</v>
      </c>
      <c r="E1005" s="51">
        <v>5</v>
      </c>
      <c r="F1005" s="52" t="s">
        <v>2161</v>
      </c>
      <c r="G1005" s="51"/>
      <c r="H1005" s="53"/>
      <c r="I1005" s="54"/>
    </row>
    <row r="1006" spans="2:9" s="1" customFormat="1" x14ac:dyDescent="0.2">
      <c r="B1006" s="55" t="str">
        <f t="shared" si="15"/>
        <v>2022-073-0</v>
      </c>
      <c r="C1006" s="56">
        <v>2022</v>
      </c>
      <c r="D1006" s="56" t="s">
        <v>102</v>
      </c>
      <c r="E1006" s="56">
        <v>0</v>
      </c>
      <c r="F1006" s="57" t="s">
        <v>190</v>
      </c>
      <c r="G1006" s="56"/>
      <c r="H1006" s="58"/>
      <c r="I1006" s="59"/>
    </row>
    <row r="1007" spans="2:9" s="1" customFormat="1" x14ac:dyDescent="0.2">
      <c r="B1007" s="44" t="str">
        <f t="shared" si="15"/>
        <v>2022-073-1</v>
      </c>
      <c r="C1007" s="45">
        <v>2022</v>
      </c>
      <c r="D1007" s="45" t="s">
        <v>102</v>
      </c>
      <c r="E1007" s="45">
        <v>1</v>
      </c>
      <c r="F1007" s="47" t="s">
        <v>575</v>
      </c>
      <c r="G1007" s="45"/>
      <c r="H1007" s="48"/>
      <c r="I1007" s="49"/>
    </row>
    <row r="1008" spans="2:9" s="1" customFormat="1" x14ac:dyDescent="0.2">
      <c r="B1008" s="44" t="str">
        <f t="shared" si="15"/>
        <v>2022-073-2</v>
      </c>
      <c r="C1008" s="45">
        <v>2022</v>
      </c>
      <c r="D1008" s="45" t="s">
        <v>102</v>
      </c>
      <c r="E1008" s="45">
        <v>2</v>
      </c>
      <c r="F1008" s="47" t="s">
        <v>976</v>
      </c>
      <c r="G1008" s="45"/>
      <c r="H1008" s="48"/>
      <c r="I1008" s="49"/>
    </row>
    <row r="1009" spans="2:9" s="1" customFormat="1" ht="27" x14ac:dyDescent="0.2">
      <c r="B1009" s="44" t="str">
        <f t="shared" si="15"/>
        <v>2022-073-3</v>
      </c>
      <c r="C1009" s="45">
        <v>2022</v>
      </c>
      <c r="D1009" s="45" t="s">
        <v>102</v>
      </c>
      <c r="E1009" s="45">
        <v>3</v>
      </c>
      <c r="F1009" s="47" t="s">
        <v>1372</v>
      </c>
      <c r="G1009" s="45"/>
      <c r="H1009" s="48"/>
      <c r="I1009" s="49"/>
    </row>
    <row r="1010" spans="2:9" s="1" customFormat="1" ht="27" x14ac:dyDescent="0.2">
      <c r="B1010" s="44" t="str">
        <f t="shared" si="15"/>
        <v>2022-073-4</v>
      </c>
      <c r="C1010" s="45">
        <v>2022</v>
      </c>
      <c r="D1010" s="45" t="s">
        <v>102</v>
      </c>
      <c r="E1010" s="45">
        <v>4</v>
      </c>
      <c r="F1010" s="47" t="s">
        <v>1767</v>
      </c>
      <c r="G1010" s="45" t="s">
        <v>3210</v>
      </c>
      <c r="H1010" s="48"/>
      <c r="I1010" s="49"/>
    </row>
    <row r="1011" spans="2:9" s="1" customFormat="1" x14ac:dyDescent="0.2">
      <c r="B1011" s="50" t="str">
        <f t="shared" si="15"/>
        <v>2022-073-5</v>
      </c>
      <c r="C1011" s="51">
        <v>2022</v>
      </c>
      <c r="D1011" s="51" t="s">
        <v>102</v>
      </c>
      <c r="E1011" s="51">
        <v>5</v>
      </c>
      <c r="F1011" s="52" t="s">
        <v>2162</v>
      </c>
      <c r="G1011" s="51"/>
      <c r="H1011" s="53"/>
      <c r="I1011" s="54"/>
    </row>
    <row r="1012" spans="2:9" s="1" customFormat="1" x14ac:dyDescent="0.2">
      <c r="B1012" s="55" t="str">
        <f t="shared" si="15"/>
        <v>2022-074-0</v>
      </c>
      <c r="C1012" s="56">
        <v>2022</v>
      </c>
      <c r="D1012" s="56" t="s">
        <v>103</v>
      </c>
      <c r="E1012" s="56">
        <v>0</v>
      </c>
      <c r="F1012" s="57" t="s">
        <v>167</v>
      </c>
      <c r="G1012" s="56"/>
      <c r="H1012" s="58"/>
      <c r="I1012" s="59"/>
    </row>
    <row r="1013" spans="2:9" s="1" customFormat="1" x14ac:dyDescent="0.2">
      <c r="B1013" s="44" t="str">
        <f t="shared" si="15"/>
        <v>2022-074-1</v>
      </c>
      <c r="C1013" s="45">
        <v>2022</v>
      </c>
      <c r="D1013" s="45" t="s">
        <v>103</v>
      </c>
      <c r="E1013" s="45">
        <v>1</v>
      </c>
      <c r="F1013" s="47" t="s">
        <v>576</v>
      </c>
      <c r="G1013" s="45"/>
      <c r="H1013" s="48"/>
      <c r="I1013" s="49"/>
    </row>
    <row r="1014" spans="2:9" s="1" customFormat="1" x14ac:dyDescent="0.2">
      <c r="B1014" s="44" t="str">
        <f t="shared" si="15"/>
        <v>2022-074-2</v>
      </c>
      <c r="C1014" s="45">
        <v>2022</v>
      </c>
      <c r="D1014" s="45" t="s">
        <v>103</v>
      </c>
      <c r="E1014" s="45">
        <v>2</v>
      </c>
      <c r="F1014" s="47" t="s">
        <v>977</v>
      </c>
      <c r="G1014" s="45"/>
      <c r="H1014" s="48"/>
      <c r="I1014" s="49"/>
    </row>
    <row r="1015" spans="2:9" s="1" customFormat="1" x14ac:dyDescent="0.2">
      <c r="B1015" s="44" t="str">
        <f t="shared" si="15"/>
        <v>2022-074-3</v>
      </c>
      <c r="C1015" s="45">
        <v>2022</v>
      </c>
      <c r="D1015" s="45" t="s">
        <v>103</v>
      </c>
      <c r="E1015" s="45">
        <v>3</v>
      </c>
      <c r="F1015" s="47" t="s">
        <v>1373</v>
      </c>
      <c r="G1015" s="45"/>
      <c r="H1015" s="48"/>
      <c r="I1015" s="49"/>
    </row>
    <row r="1016" spans="2:9" s="1" customFormat="1" ht="27" x14ac:dyDescent="0.2">
      <c r="B1016" s="44" t="str">
        <f t="shared" si="15"/>
        <v>2022-074-4</v>
      </c>
      <c r="C1016" s="45">
        <v>2022</v>
      </c>
      <c r="D1016" s="45" t="s">
        <v>103</v>
      </c>
      <c r="E1016" s="45">
        <v>4</v>
      </c>
      <c r="F1016" s="47" t="s">
        <v>1768</v>
      </c>
      <c r="G1016" s="45"/>
      <c r="H1016" s="48"/>
      <c r="I1016" s="49"/>
    </row>
    <row r="1017" spans="2:9" s="1" customFormat="1" x14ac:dyDescent="0.2">
      <c r="B1017" s="50" t="str">
        <f t="shared" si="15"/>
        <v>2022-074-5</v>
      </c>
      <c r="C1017" s="51">
        <v>2022</v>
      </c>
      <c r="D1017" s="51" t="s">
        <v>103</v>
      </c>
      <c r="E1017" s="51">
        <v>5</v>
      </c>
      <c r="F1017" s="52" t="s">
        <v>2163</v>
      </c>
      <c r="G1017" s="51" t="s">
        <v>3210</v>
      </c>
      <c r="H1017" s="53"/>
      <c r="I1017" s="54"/>
    </row>
    <row r="1018" spans="2:9" s="1" customFormat="1" ht="108" x14ac:dyDescent="0.2">
      <c r="B1018" s="55" t="str">
        <f t="shared" si="15"/>
        <v>2022-075-0</v>
      </c>
      <c r="C1018" s="56">
        <v>2022</v>
      </c>
      <c r="D1018" s="56" t="s">
        <v>104</v>
      </c>
      <c r="E1018" s="56">
        <v>0</v>
      </c>
      <c r="F1018" s="57" t="s">
        <v>191</v>
      </c>
      <c r="G1018" s="56"/>
      <c r="H1018" s="58"/>
      <c r="I1018" s="59"/>
    </row>
    <row r="1019" spans="2:9" s="1" customFormat="1" x14ac:dyDescent="0.2">
      <c r="B1019" s="44" t="str">
        <f t="shared" si="15"/>
        <v>2022-075-1</v>
      </c>
      <c r="C1019" s="45">
        <v>2022</v>
      </c>
      <c r="D1019" s="45" t="s">
        <v>104</v>
      </c>
      <c r="E1019" s="45">
        <v>1</v>
      </c>
      <c r="F1019" s="47" t="s">
        <v>45</v>
      </c>
      <c r="G1019" s="45"/>
      <c r="H1019" s="48"/>
      <c r="I1019" s="49"/>
    </row>
    <row r="1020" spans="2:9" s="1" customFormat="1" x14ac:dyDescent="0.2">
      <c r="B1020" s="44" t="str">
        <f t="shared" si="15"/>
        <v>2022-075-2</v>
      </c>
      <c r="C1020" s="45">
        <v>2022</v>
      </c>
      <c r="D1020" s="45" t="s">
        <v>104</v>
      </c>
      <c r="E1020" s="45">
        <v>2</v>
      </c>
      <c r="F1020" s="47" t="s">
        <v>55</v>
      </c>
      <c r="G1020" s="45"/>
      <c r="H1020" s="48"/>
      <c r="I1020" s="49"/>
    </row>
    <row r="1021" spans="2:9" s="1" customFormat="1" x14ac:dyDescent="0.2">
      <c r="B1021" s="44" t="str">
        <f t="shared" si="15"/>
        <v>2022-075-3</v>
      </c>
      <c r="C1021" s="45">
        <v>2022</v>
      </c>
      <c r="D1021" s="45" t="s">
        <v>104</v>
      </c>
      <c r="E1021" s="45">
        <v>3</v>
      </c>
      <c r="F1021" s="47" t="s">
        <v>52</v>
      </c>
      <c r="G1021" s="45"/>
      <c r="H1021" s="48"/>
      <c r="I1021" s="49"/>
    </row>
    <row r="1022" spans="2:9" s="1" customFormat="1" x14ac:dyDescent="0.2">
      <c r="B1022" s="44" t="str">
        <f t="shared" si="15"/>
        <v>2022-075-4</v>
      </c>
      <c r="C1022" s="45">
        <v>2022</v>
      </c>
      <c r="D1022" s="45" t="s">
        <v>104</v>
      </c>
      <c r="E1022" s="45">
        <v>4</v>
      </c>
      <c r="F1022" s="47" t="s">
        <v>57</v>
      </c>
      <c r="G1022" s="45" t="s">
        <v>3210</v>
      </c>
      <c r="H1022" s="48"/>
      <c r="I1022" s="49"/>
    </row>
    <row r="1023" spans="2:9" s="1" customFormat="1" ht="14.25" thickBot="1" x14ac:dyDescent="0.25">
      <c r="B1023" s="60" t="str">
        <f t="shared" si="15"/>
        <v>2022-075-5</v>
      </c>
      <c r="C1023" s="61">
        <v>2022</v>
      </c>
      <c r="D1023" s="61" t="s">
        <v>104</v>
      </c>
      <c r="E1023" s="61">
        <v>5</v>
      </c>
      <c r="F1023" s="62" t="s">
        <v>60</v>
      </c>
      <c r="G1023" s="61"/>
      <c r="H1023" s="63"/>
      <c r="I1023" s="64"/>
    </row>
    <row r="1024" spans="2:9" s="1" customFormat="1" x14ac:dyDescent="0.2">
      <c r="B1024" s="38" t="str">
        <f t="shared" ref="B1024:B1072" si="16">C1024&amp;"-"&amp;D1024&amp;"-"&amp;E1024</f>
        <v>2021-051-0</v>
      </c>
      <c r="C1024" s="39">
        <v>2021</v>
      </c>
      <c r="D1024" s="39" t="s">
        <v>80</v>
      </c>
      <c r="E1024" s="39">
        <v>0</v>
      </c>
      <c r="F1024" s="41" t="s">
        <v>192</v>
      </c>
      <c r="G1024" s="39"/>
      <c r="H1024" s="42"/>
      <c r="I1024" s="43"/>
    </row>
    <row r="1025" spans="2:9" s="1" customFormat="1" ht="27" x14ac:dyDescent="0.2">
      <c r="B1025" s="44" t="str">
        <f t="shared" si="16"/>
        <v>2021-051-1</v>
      </c>
      <c r="C1025" s="45">
        <v>2021</v>
      </c>
      <c r="D1025" s="45" t="s">
        <v>80</v>
      </c>
      <c r="E1025" s="45">
        <v>1</v>
      </c>
      <c r="F1025" s="47" t="s">
        <v>577</v>
      </c>
      <c r="G1025" s="45"/>
      <c r="H1025" s="48"/>
      <c r="I1025" s="49"/>
    </row>
    <row r="1026" spans="2:9" s="1" customFormat="1" ht="27" x14ac:dyDescent="0.2">
      <c r="B1026" s="44" t="str">
        <f t="shared" si="16"/>
        <v>2021-051-2</v>
      </c>
      <c r="C1026" s="45">
        <v>2021</v>
      </c>
      <c r="D1026" s="45" t="s">
        <v>80</v>
      </c>
      <c r="E1026" s="45">
        <v>2</v>
      </c>
      <c r="F1026" s="47" t="s">
        <v>978</v>
      </c>
      <c r="G1026" s="45"/>
      <c r="H1026" s="48"/>
      <c r="I1026" s="49"/>
    </row>
    <row r="1027" spans="2:9" s="1" customFormat="1" x14ac:dyDescent="0.2">
      <c r="B1027" s="44" t="str">
        <f t="shared" si="16"/>
        <v>2021-051-3</v>
      </c>
      <c r="C1027" s="45">
        <v>2021</v>
      </c>
      <c r="D1027" s="45" t="s">
        <v>80</v>
      </c>
      <c r="E1027" s="45">
        <v>3</v>
      </c>
      <c r="F1027" s="47" t="s">
        <v>1374</v>
      </c>
      <c r="G1027" s="45"/>
      <c r="H1027" s="48"/>
      <c r="I1027" s="49"/>
    </row>
    <row r="1028" spans="2:9" s="1" customFormat="1" x14ac:dyDescent="0.2">
      <c r="B1028" s="44" t="str">
        <f t="shared" si="16"/>
        <v>2021-051-4</v>
      </c>
      <c r="C1028" s="45">
        <v>2021</v>
      </c>
      <c r="D1028" s="45" t="s">
        <v>80</v>
      </c>
      <c r="E1028" s="45">
        <v>4</v>
      </c>
      <c r="F1028" s="47" t="s">
        <v>1769</v>
      </c>
      <c r="G1028" s="45" t="s">
        <v>3210</v>
      </c>
      <c r="H1028" s="48"/>
      <c r="I1028" s="49"/>
    </row>
    <row r="1029" spans="2:9" s="1" customFormat="1" x14ac:dyDescent="0.2">
      <c r="B1029" s="50" t="str">
        <f t="shared" si="16"/>
        <v>2021-051-5</v>
      </c>
      <c r="C1029" s="51">
        <v>2021</v>
      </c>
      <c r="D1029" s="51" t="s">
        <v>80</v>
      </c>
      <c r="E1029" s="51">
        <v>5</v>
      </c>
      <c r="F1029" s="52" t="s">
        <v>1814</v>
      </c>
      <c r="G1029" s="51"/>
      <c r="H1029" s="53"/>
      <c r="I1029" s="54"/>
    </row>
    <row r="1030" spans="2:9" s="1" customFormat="1" x14ac:dyDescent="0.2">
      <c r="B1030" s="55" t="str">
        <f t="shared" si="16"/>
        <v>2021-052-0</v>
      </c>
      <c r="C1030" s="56">
        <v>2021</v>
      </c>
      <c r="D1030" s="56" t="s">
        <v>81</v>
      </c>
      <c r="E1030" s="56">
        <v>0</v>
      </c>
      <c r="F1030" s="57" t="s">
        <v>193</v>
      </c>
      <c r="G1030" s="56"/>
      <c r="H1030" s="58"/>
      <c r="I1030" s="59"/>
    </row>
    <row r="1031" spans="2:9" s="1" customFormat="1" x14ac:dyDescent="0.2">
      <c r="B1031" s="44" t="str">
        <f t="shared" si="16"/>
        <v>2021-052-1</v>
      </c>
      <c r="C1031" s="45">
        <v>2021</v>
      </c>
      <c r="D1031" s="45" t="s">
        <v>81</v>
      </c>
      <c r="E1031" s="45">
        <v>1</v>
      </c>
      <c r="F1031" s="47" t="s">
        <v>578</v>
      </c>
      <c r="G1031" s="45"/>
      <c r="H1031" s="48"/>
      <c r="I1031" s="49"/>
    </row>
    <row r="1032" spans="2:9" s="1" customFormat="1" x14ac:dyDescent="0.2">
      <c r="B1032" s="44" t="str">
        <f t="shared" si="16"/>
        <v>2021-052-2</v>
      </c>
      <c r="C1032" s="45">
        <v>2021</v>
      </c>
      <c r="D1032" s="45" t="s">
        <v>81</v>
      </c>
      <c r="E1032" s="45">
        <v>2</v>
      </c>
      <c r="F1032" s="47" t="s">
        <v>979</v>
      </c>
      <c r="G1032" s="45"/>
      <c r="H1032" s="48"/>
      <c r="I1032" s="49"/>
    </row>
    <row r="1033" spans="2:9" s="1" customFormat="1" x14ac:dyDescent="0.2">
      <c r="B1033" s="44" t="str">
        <f t="shared" si="16"/>
        <v>2021-052-3</v>
      </c>
      <c r="C1033" s="45">
        <v>2021</v>
      </c>
      <c r="D1033" s="45" t="s">
        <v>81</v>
      </c>
      <c r="E1033" s="45">
        <v>3</v>
      </c>
      <c r="F1033" s="47" t="s">
        <v>1375</v>
      </c>
      <c r="G1033" s="45" t="s">
        <v>3210</v>
      </c>
      <c r="H1033" s="48"/>
      <c r="I1033" s="49"/>
    </row>
    <row r="1034" spans="2:9" s="1" customFormat="1" ht="27" x14ac:dyDescent="0.2">
      <c r="B1034" s="44" t="str">
        <f t="shared" si="16"/>
        <v>2021-052-4</v>
      </c>
      <c r="C1034" s="45">
        <v>2021</v>
      </c>
      <c r="D1034" s="45" t="s">
        <v>81</v>
      </c>
      <c r="E1034" s="45">
        <v>4</v>
      </c>
      <c r="F1034" s="47" t="s">
        <v>1770</v>
      </c>
      <c r="G1034" s="45"/>
      <c r="H1034" s="48"/>
      <c r="I1034" s="49"/>
    </row>
    <row r="1035" spans="2:9" s="1" customFormat="1" x14ac:dyDescent="0.2">
      <c r="B1035" s="50" t="str">
        <f t="shared" si="16"/>
        <v>2021-052-5</v>
      </c>
      <c r="C1035" s="51">
        <v>2021</v>
      </c>
      <c r="D1035" s="51" t="s">
        <v>81</v>
      </c>
      <c r="E1035" s="51">
        <v>5</v>
      </c>
      <c r="F1035" s="52" t="s">
        <v>2164</v>
      </c>
      <c r="G1035" s="51"/>
      <c r="H1035" s="53"/>
      <c r="I1035" s="54"/>
    </row>
    <row r="1036" spans="2:9" s="1" customFormat="1" x14ac:dyDescent="0.2">
      <c r="B1036" s="55" t="str">
        <f t="shared" si="16"/>
        <v>2021-053-0</v>
      </c>
      <c r="C1036" s="56">
        <v>2021</v>
      </c>
      <c r="D1036" s="56" t="s">
        <v>82</v>
      </c>
      <c r="E1036" s="56">
        <v>0</v>
      </c>
      <c r="F1036" s="57" t="s">
        <v>194</v>
      </c>
      <c r="G1036" s="56"/>
      <c r="H1036" s="58"/>
      <c r="I1036" s="59"/>
    </row>
    <row r="1037" spans="2:9" s="1" customFormat="1" x14ac:dyDescent="0.2">
      <c r="B1037" s="44" t="str">
        <f t="shared" si="16"/>
        <v>2021-053-1</v>
      </c>
      <c r="C1037" s="45">
        <v>2021</v>
      </c>
      <c r="D1037" s="45" t="s">
        <v>82</v>
      </c>
      <c r="E1037" s="45">
        <v>1</v>
      </c>
      <c r="F1037" s="47" t="s">
        <v>579</v>
      </c>
      <c r="G1037" s="45"/>
      <c r="H1037" s="48"/>
      <c r="I1037" s="49"/>
    </row>
    <row r="1038" spans="2:9" s="1" customFormat="1" x14ac:dyDescent="0.2">
      <c r="B1038" s="44" t="str">
        <f t="shared" si="16"/>
        <v>2021-053-2</v>
      </c>
      <c r="C1038" s="45">
        <v>2021</v>
      </c>
      <c r="D1038" s="45" t="s">
        <v>82</v>
      </c>
      <c r="E1038" s="45">
        <v>2</v>
      </c>
      <c r="F1038" s="47" t="s">
        <v>980</v>
      </c>
      <c r="G1038" s="45" t="s">
        <v>3210</v>
      </c>
      <c r="H1038" s="48"/>
      <c r="I1038" s="49"/>
    </row>
    <row r="1039" spans="2:9" s="1" customFormat="1" x14ac:dyDescent="0.2">
      <c r="B1039" s="44" t="str">
        <f t="shared" si="16"/>
        <v>2021-053-3</v>
      </c>
      <c r="C1039" s="45">
        <v>2021</v>
      </c>
      <c r="D1039" s="45" t="s">
        <v>82</v>
      </c>
      <c r="E1039" s="45">
        <v>3</v>
      </c>
      <c r="F1039" s="47" t="s">
        <v>1376</v>
      </c>
      <c r="G1039" s="45"/>
      <c r="H1039" s="48"/>
      <c r="I1039" s="49"/>
    </row>
    <row r="1040" spans="2:9" s="1" customFormat="1" x14ac:dyDescent="0.2">
      <c r="B1040" s="44" t="str">
        <f t="shared" si="16"/>
        <v>2021-053-4</v>
      </c>
      <c r="C1040" s="45">
        <v>2021</v>
      </c>
      <c r="D1040" s="45" t="s">
        <v>82</v>
      </c>
      <c r="E1040" s="45">
        <v>4</v>
      </c>
      <c r="F1040" s="47" t="s">
        <v>1771</v>
      </c>
      <c r="G1040" s="45"/>
      <c r="H1040" s="48"/>
      <c r="I1040" s="49"/>
    </row>
    <row r="1041" spans="2:9" s="1" customFormat="1" x14ac:dyDescent="0.2">
      <c r="B1041" s="50" t="str">
        <f t="shared" si="16"/>
        <v>2021-053-5</v>
      </c>
      <c r="C1041" s="51">
        <v>2021</v>
      </c>
      <c r="D1041" s="51" t="s">
        <v>82</v>
      </c>
      <c r="E1041" s="51">
        <v>5</v>
      </c>
      <c r="F1041" s="52" t="s">
        <v>2165</v>
      </c>
      <c r="G1041" s="51"/>
      <c r="H1041" s="53"/>
      <c r="I1041" s="54"/>
    </row>
    <row r="1042" spans="2:9" s="1" customFormat="1" x14ac:dyDescent="0.2">
      <c r="B1042" s="55" t="str">
        <f t="shared" si="16"/>
        <v>2021-054-0</v>
      </c>
      <c r="C1042" s="56">
        <v>2021</v>
      </c>
      <c r="D1042" s="56" t="s">
        <v>83</v>
      </c>
      <c r="E1042" s="56">
        <v>0</v>
      </c>
      <c r="F1042" s="57" t="s">
        <v>113</v>
      </c>
      <c r="G1042" s="56"/>
      <c r="H1042" s="58"/>
      <c r="I1042" s="59"/>
    </row>
    <row r="1043" spans="2:9" s="1" customFormat="1" x14ac:dyDescent="0.2">
      <c r="B1043" s="44" t="str">
        <f t="shared" si="16"/>
        <v>2021-054-1</v>
      </c>
      <c r="C1043" s="45">
        <v>2021</v>
      </c>
      <c r="D1043" s="45" t="s">
        <v>83</v>
      </c>
      <c r="E1043" s="45">
        <v>1</v>
      </c>
      <c r="F1043" s="47" t="s">
        <v>580</v>
      </c>
      <c r="G1043" s="45"/>
      <c r="H1043" s="48"/>
      <c r="I1043" s="49"/>
    </row>
    <row r="1044" spans="2:9" s="1" customFormat="1" x14ac:dyDescent="0.2">
      <c r="B1044" s="44" t="str">
        <f t="shared" si="16"/>
        <v>2021-054-2</v>
      </c>
      <c r="C1044" s="45">
        <v>2021</v>
      </c>
      <c r="D1044" s="45" t="s">
        <v>83</v>
      </c>
      <c r="E1044" s="45">
        <v>2</v>
      </c>
      <c r="F1044" s="47" t="s">
        <v>981</v>
      </c>
      <c r="G1044" s="45"/>
      <c r="H1044" s="48"/>
      <c r="I1044" s="49"/>
    </row>
    <row r="1045" spans="2:9" s="1" customFormat="1" x14ac:dyDescent="0.2">
      <c r="B1045" s="44" t="str">
        <f t="shared" si="16"/>
        <v>2021-054-3</v>
      </c>
      <c r="C1045" s="45">
        <v>2021</v>
      </c>
      <c r="D1045" s="45" t="s">
        <v>83</v>
      </c>
      <c r="E1045" s="45">
        <v>3</v>
      </c>
      <c r="F1045" s="47" t="s">
        <v>1377</v>
      </c>
      <c r="G1045" s="45"/>
      <c r="H1045" s="48"/>
      <c r="I1045" s="49"/>
    </row>
    <row r="1046" spans="2:9" s="1" customFormat="1" ht="27" x14ac:dyDescent="0.2">
      <c r="B1046" s="44" t="str">
        <f t="shared" si="16"/>
        <v>2021-054-4</v>
      </c>
      <c r="C1046" s="45">
        <v>2021</v>
      </c>
      <c r="D1046" s="45" t="s">
        <v>83</v>
      </c>
      <c r="E1046" s="45">
        <v>4</v>
      </c>
      <c r="F1046" s="47" t="s">
        <v>1772</v>
      </c>
      <c r="G1046" s="45" t="s">
        <v>3210</v>
      </c>
      <c r="H1046" s="48"/>
      <c r="I1046" s="49"/>
    </row>
    <row r="1047" spans="2:9" s="1" customFormat="1" x14ac:dyDescent="0.2">
      <c r="B1047" s="50" t="str">
        <f t="shared" si="16"/>
        <v>2021-054-5</v>
      </c>
      <c r="C1047" s="51">
        <v>2021</v>
      </c>
      <c r="D1047" s="51" t="s">
        <v>83</v>
      </c>
      <c r="E1047" s="51">
        <v>5</v>
      </c>
      <c r="F1047" s="52" t="s">
        <v>2166</v>
      </c>
      <c r="G1047" s="51"/>
      <c r="H1047" s="53"/>
      <c r="I1047" s="54"/>
    </row>
    <row r="1048" spans="2:9" s="1" customFormat="1" x14ac:dyDescent="0.2">
      <c r="B1048" s="55" t="str">
        <f t="shared" si="16"/>
        <v>2021-055-0</v>
      </c>
      <c r="C1048" s="56">
        <v>2021</v>
      </c>
      <c r="D1048" s="56" t="s">
        <v>84</v>
      </c>
      <c r="E1048" s="56">
        <v>0</v>
      </c>
      <c r="F1048" s="57" t="s">
        <v>195</v>
      </c>
      <c r="G1048" s="56"/>
      <c r="H1048" s="58"/>
      <c r="I1048" s="59"/>
    </row>
    <row r="1049" spans="2:9" s="1" customFormat="1" x14ac:dyDescent="0.2">
      <c r="B1049" s="44" t="str">
        <f t="shared" si="16"/>
        <v>2021-055-1</v>
      </c>
      <c r="C1049" s="45">
        <v>2021</v>
      </c>
      <c r="D1049" s="45" t="s">
        <v>84</v>
      </c>
      <c r="E1049" s="45">
        <v>1</v>
      </c>
      <c r="F1049" s="47" t="s">
        <v>581</v>
      </c>
      <c r="G1049" s="45"/>
      <c r="H1049" s="48"/>
      <c r="I1049" s="49"/>
    </row>
    <row r="1050" spans="2:9" s="1" customFormat="1" x14ac:dyDescent="0.2">
      <c r="B1050" s="44" t="str">
        <f t="shared" si="16"/>
        <v>2021-055-2</v>
      </c>
      <c r="C1050" s="45">
        <v>2021</v>
      </c>
      <c r="D1050" s="45" t="s">
        <v>84</v>
      </c>
      <c r="E1050" s="45">
        <v>2</v>
      </c>
      <c r="F1050" s="47" t="s">
        <v>2493</v>
      </c>
      <c r="G1050" s="45" t="s">
        <v>3210</v>
      </c>
      <c r="H1050" s="48"/>
      <c r="I1050" s="49"/>
    </row>
    <row r="1051" spans="2:9" s="1" customFormat="1" x14ac:dyDescent="0.2">
      <c r="B1051" s="44" t="str">
        <f t="shared" si="16"/>
        <v>2021-055-3</v>
      </c>
      <c r="C1051" s="45">
        <v>2021</v>
      </c>
      <c r="D1051" s="45" t="s">
        <v>84</v>
      </c>
      <c r="E1051" s="45">
        <v>3</v>
      </c>
      <c r="F1051" s="47" t="s">
        <v>1378</v>
      </c>
      <c r="G1051" s="45"/>
      <c r="H1051" s="48"/>
      <c r="I1051" s="49"/>
    </row>
    <row r="1052" spans="2:9" s="1" customFormat="1" x14ac:dyDescent="0.2">
      <c r="B1052" s="44" t="str">
        <f t="shared" si="16"/>
        <v>2021-055-4</v>
      </c>
      <c r="C1052" s="45">
        <v>2021</v>
      </c>
      <c r="D1052" s="45" t="s">
        <v>84</v>
      </c>
      <c r="E1052" s="45">
        <v>4</v>
      </c>
      <c r="F1052" s="47" t="s">
        <v>1773</v>
      </c>
      <c r="G1052" s="45"/>
      <c r="H1052" s="48"/>
      <c r="I1052" s="49"/>
    </row>
    <row r="1053" spans="2:9" s="1" customFormat="1" ht="27" x14ac:dyDescent="0.2">
      <c r="B1053" s="50" t="str">
        <f t="shared" si="16"/>
        <v>2021-055-5</v>
      </c>
      <c r="C1053" s="51">
        <v>2021</v>
      </c>
      <c r="D1053" s="51" t="s">
        <v>84</v>
      </c>
      <c r="E1053" s="51">
        <v>5</v>
      </c>
      <c r="F1053" s="52" t="s">
        <v>2167</v>
      </c>
      <c r="G1053" s="51"/>
      <c r="H1053" s="53"/>
      <c r="I1053" s="54"/>
    </row>
    <row r="1054" spans="2:9" s="1" customFormat="1" x14ac:dyDescent="0.2">
      <c r="B1054" s="55" t="str">
        <f t="shared" si="16"/>
        <v>2021-056-0</v>
      </c>
      <c r="C1054" s="56">
        <v>2021</v>
      </c>
      <c r="D1054" s="56" t="s">
        <v>85</v>
      </c>
      <c r="E1054" s="56">
        <v>0</v>
      </c>
      <c r="F1054" s="57" t="s">
        <v>112</v>
      </c>
      <c r="G1054" s="56"/>
      <c r="H1054" s="58"/>
      <c r="I1054" s="59"/>
    </row>
    <row r="1055" spans="2:9" s="1" customFormat="1" x14ac:dyDescent="0.2">
      <c r="B1055" s="44" t="str">
        <f t="shared" si="16"/>
        <v>2021-056-1</v>
      </c>
      <c r="C1055" s="45">
        <v>2021</v>
      </c>
      <c r="D1055" s="45" t="s">
        <v>85</v>
      </c>
      <c r="E1055" s="45">
        <v>1</v>
      </c>
      <c r="F1055" s="47" t="s">
        <v>582</v>
      </c>
      <c r="G1055" s="45"/>
      <c r="H1055" s="48"/>
      <c r="I1055" s="49"/>
    </row>
    <row r="1056" spans="2:9" s="1" customFormat="1" x14ac:dyDescent="0.2">
      <c r="B1056" s="44" t="str">
        <f t="shared" si="16"/>
        <v>2021-056-2</v>
      </c>
      <c r="C1056" s="45">
        <v>2021</v>
      </c>
      <c r="D1056" s="45" t="s">
        <v>85</v>
      </c>
      <c r="E1056" s="45">
        <v>2</v>
      </c>
      <c r="F1056" s="47" t="s">
        <v>982</v>
      </c>
      <c r="G1056" s="45"/>
      <c r="H1056" s="48"/>
      <c r="I1056" s="49"/>
    </row>
    <row r="1057" spans="2:9" s="1" customFormat="1" x14ac:dyDescent="0.2">
      <c r="B1057" s="44" t="str">
        <f t="shared" si="16"/>
        <v>2021-056-3</v>
      </c>
      <c r="C1057" s="45">
        <v>2021</v>
      </c>
      <c r="D1057" s="45" t="s">
        <v>85</v>
      </c>
      <c r="E1057" s="45">
        <v>3</v>
      </c>
      <c r="F1057" s="47" t="s">
        <v>1379</v>
      </c>
      <c r="G1057" s="45"/>
      <c r="H1057" s="48"/>
      <c r="I1057" s="49"/>
    </row>
    <row r="1058" spans="2:9" s="1" customFormat="1" x14ac:dyDescent="0.2">
      <c r="B1058" s="44" t="str">
        <f t="shared" si="16"/>
        <v>2021-056-4</v>
      </c>
      <c r="C1058" s="45">
        <v>2021</v>
      </c>
      <c r="D1058" s="45" t="s">
        <v>85</v>
      </c>
      <c r="E1058" s="45">
        <v>4</v>
      </c>
      <c r="F1058" s="47" t="s">
        <v>1774</v>
      </c>
      <c r="G1058" s="45"/>
      <c r="H1058" s="48"/>
      <c r="I1058" s="49"/>
    </row>
    <row r="1059" spans="2:9" s="1" customFormat="1" ht="27" x14ac:dyDescent="0.2">
      <c r="B1059" s="50" t="str">
        <f t="shared" si="16"/>
        <v>2021-056-5</v>
      </c>
      <c r="C1059" s="51">
        <v>2021</v>
      </c>
      <c r="D1059" s="51" t="s">
        <v>85</v>
      </c>
      <c r="E1059" s="51">
        <v>5</v>
      </c>
      <c r="F1059" s="52" t="s">
        <v>2168</v>
      </c>
      <c r="G1059" s="51" t="s">
        <v>3210</v>
      </c>
      <c r="H1059" s="53"/>
      <c r="I1059" s="54"/>
    </row>
    <row r="1060" spans="2:9" s="1" customFormat="1" x14ac:dyDescent="0.2">
      <c r="B1060" s="55" t="str">
        <f t="shared" si="16"/>
        <v>2021-057-0</v>
      </c>
      <c r="C1060" s="56">
        <v>2021</v>
      </c>
      <c r="D1060" s="56" t="s">
        <v>86</v>
      </c>
      <c r="E1060" s="56">
        <v>0</v>
      </c>
      <c r="F1060" s="57" t="s">
        <v>196</v>
      </c>
      <c r="G1060" s="56"/>
      <c r="H1060" s="58"/>
      <c r="I1060" s="59"/>
    </row>
    <row r="1061" spans="2:9" s="1" customFormat="1" x14ac:dyDescent="0.2">
      <c r="B1061" s="44" t="str">
        <f t="shared" si="16"/>
        <v>2021-057-1</v>
      </c>
      <c r="C1061" s="45">
        <v>2021</v>
      </c>
      <c r="D1061" s="45" t="s">
        <v>86</v>
      </c>
      <c r="E1061" s="45">
        <v>1</v>
      </c>
      <c r="F1061" s="47" t="s">
        <v>583</v>
      </c>
      <c r="G1061" s="45"/>
      <c r="H1061" s="48"/>
      <c r="I1061" s="49"/>
    </row>
    <row r="1062" spans="2:9" s="1" customFormat="1" x14ac:dyDescent="0.2">
      <c r="B1062" s="44" t="str">
        <f t="shared" si="16"/>
        <v>2021-057-2</v>
      </c>
      <c r="C1062" s="45">
        <v>2021</v>
      </c>
      <c r="D1062" s="45" t="s">
        <v>86</v>
      </c>
      <c r="E1062" s="45">
        <v>2</v>
      </c>
      <c r="F1062" s="47" t="s">
        <v>983</v>
      </c>
      <c r="G1062" s="45"/>
      <c r="H1062" s="48"/>
      <c r="I1062" s="49"/>
    </row>
    <row r="1063" spans="2:9" s="1" customFormat="1" x14ac:dyDescent="0.2">
      <c r="B1063" s="44" t="str">
        <f t="shared" si="16"/>
        <v>2021-057-3</v>
      </c>
      <c r="C1063" s="45">
        <v>2021</v>
      </c>
      <c r="D1063" s="45" t="s">
        <v>86</v>
      </c>
      <c r="E1063" s="45">
        <v>3</v>
      </c>
      <c r="F1063" s="47" t="s">
        <v>1380</v>
      </c>
      <c r="G1063" s="45"/>
      <c r="H1063" s="48"/>
      <c r="I1063" s="49"/>
    </row>
    <row r="1064" spans="2:9" s="1" customFormat="1" x14ac:dyDescent="0.2">
      <c r="B1064" s="44" t="str">
        <f t="shared" si="16"/>
        <v>2021-057-4</v>
      </c>
      <c r="C1064" s="45">
        <v>2021</v>
      </c>
      <c r="D1064" s="45" t="s">
        <v>86</v>
      </c>
      <c r="E1064" s="45">
        <v>4</v>
      </c>
      <c r="F1064" s="47" t="s">
        <v>1775</v>
      </c>
      <c r="G1064" s="45"/>
      <c r="H1064" s="48"/>
      <c r="I1064" s="49"/>
    </row>
    <row r="1065" spans="2:9" s="1" customFormat="1" x14ac:dyDescent="0.2">
      <c r="B1065" s="50" t="str">
        <f t="shared" si="16"/>
        <v>2021-057-5</v>
      </c>
      <c r="C1065" s="51">
        <v>2021</v>
      </c>
      <c r="D1065" s="51" t="s">
        <v>86</v>
      </c>
      <c r="E1065" s="51">
        <v>5</v>
      </c>
      <c r="F1065" s="52" t="s">
        <v>2169</v>
      </c>
      <c r="G1065" s="51" t="s">
        <v>3210</v>
      </c>
      <c r="H1065" s="53"/>
      <c r="I1065" s="54"/>
    </row>
    <row r="1066" spans="2:9" s="1" customFormat="1" x14ac:dyDescent="0.2">
      <c r="B1066" s="55" t="str">
        <f t="shared" si="16"/>
        <v>2021-058-0</v>
      </c>
      <c r="C1066" s="56">
        <v>2021</v>
      </c>
      <c r="D1066" s="56" t="s">
        <v>87</v>
      </c>
      <c r="E1066" s="56">
        <v>0</v>
      </c>
      <c r="F1066" s="57" t="s">
        <v>197</v>
      </c>
      <c r="G1066" s="56"/>
      <c r="H1066" s="58"/>
      <c r="I1066" s="59"/>
    </row>
    <row r="1067" spans="2:9" s="1" customFormat="1" x14ac:dyDescent="0.2">
      <c r="B1067" s="44" t="str">
        <f t="shared" si="16"/>
        <v>2021-058-1</v>
      </c>
      <c r="C1067" s="45">
        <v>2021</v>
      </c>
      <c r="D1067" s="45" t="s">
        <v>87</v>
      </c>
      <c r="E1067" s="45">
        <v>1</v>
      </c>
      <c r="F1067" s="47" t="s">
        <v>584</v>
      </c>
      <c r="G1067" s="45"/>
      <c r="H1067" s="48"/>
      <c r="I1067" s="49"/>
    </row>
    <row r="1068" spans="2:9" s="1" customFormat="1" x14ac:dyDescent="0.2">
      <c r="B1068" s="44" t="str">
        <f t="shared" si="16"/>
        <v>2021-058-2</v>
      </c>
      <c r="C1068" s="45">
        <v>2021</v>
      </c>
      <c r="D1068" s="45" t="s">
        <v>87</v>
      </c>
      <c r="E1068" s="45">
        <v>2</v>
      </c>
      <c r="F1068" s="47" t="s">
        <v>984</v>
      </c>
      <c r="G1068" s="45"/>
      <c r="H1068" s="48"/>
      <c r="I1068" s="49"/>
    </row>
    <row r="1069" spans="2:9" s="1" customFormat="1" x14ac:dyDescent="0.2">
      <c r="B1069" s="44" t="str">
        <f t="shared" si="16"/>
        <v>2021-058-3</v>
      </c>
      <c r="C1069" s="45">
        <v>2021</v>
      </c>
      <c r="D1069" s="45" t="s">
        <v>87</v>
      </c>
      <c r="E1069" s="45">
        <v>3</v>
      </c>
      <c r="F1069" s="47" t="s">
        <v>1381</v>
      </c>
      <c r="G1069" s="45"/>
      <c r="H1069" s="48"/>
      <c r="I1069" s="49"/>
    </row>
    <row r="1070" spans="2:9" s="1" customFormat="1" x14ac:dyDescent="0.2">
      <c r="B1070" s="44" t="str">
        <f t="shared" si="16"/>
        <v>2021-058-4</v>
      </c>
      <c r="C1070" s="45">
        <v>2021</v>
      </c>
      <c r="D1070" s="45" t="s">
        <v>87</v>
      </c>
      <c r="E1070" s="45">
        <v>4</v>
      </c>
      <c r="F1070" s="47" t="s">
        <v>1776</v>
      </c>
      <c r="G1070" s="45" t="s">
        <v>3210</v>
      </c>
      <c r="H1070" s="48"/>
      <c r="I1070" s="49"/>
    </row>
    <row r="1071" spans="2:9" s="1" customFormat="1" ht="27" x14ac:dyDescent="0.2">
      <c r="B1071" s="50" t="str">
        <f t="shared" si="16"/>
        <v>2021-058-5</v>
      </c>
      <c r="C1071" s="51">
        <v>2021</v>
      </c>
      <c r="D1071" s="51" t="s">
        <v>87</v>
      </c>
      <c r="E1071" s="51">
        <v>5</v>
      </c>
      <c r="F1071" s="52" t="s">
        <v>2170</v>
      </c>
      <c r="G1071" s="51"/>
      <c r="H1071" s="53"/>
      <c r="I1071" s="54"/>
    </row>
    <row r="1072" spans="2:9" s="1" customFormat="1" x14ac:dyDescent="0.2">
      <c r="B1072" s="55" t="str">
        <f t="shared" si="16"/>
        <v>2021-059-0</v>
      </c>
      <c r="C1072" s="56">
        <v>2021</v>
      </c>
      <c r="D1072" s="56" t="s">
        <v>88</v>
      </c>
      <c r="E1072" s="56">
        <v>0</v>
      </c>
      <c r="F1072" s="57" t="s">
        <v>198</v>
      </c>
      <c r="G1072" s="56"/>
      <c r="H1072" s="58"/>
      <c r="I1072" s="59"/>
    </row>
    <row r="1073" spans="2:9" s="1" customFormat="1" x14ac:dyDescent="0.2">
      <c r="B1073" s="44" t="str">
        <f t="shared" ref="B1073:B1136" si="17">C1073&amp;"-"&amp;D1073&amp;"-"&amp;E1073</f>
        <v>2021-059-1</v>
      </c>
      <c r="C1073" s="45">
        <v>2021</v>
      </c>
      <c r="D1073" s="45" t="s">
        <v>88</v>
      </c>
      <c r="E1073" s="45">
        <v>1</v>
      </c>
      <c r="F1073" s="47" t="s">
        <v>585</v>
      </c>
      <c r="G1073" s="45" t="s">
        <v>3210</v>
      </c>
      <c r="H1073" s="48"/>
      <c r="I1073" s="49"/>
    </row>
    <row r="1074" spans="2:9" s="1" customFormat="1" x14ac:dyDescent="0.2">
      <c r="B1074" s="44" t="str">
        <f t="shared" si="17"/>
        <v>2021-059-2</v>
      </c>
      <c r="C1074" s="45">
        <v>2021</v>
      </c>
      <c r="D1074" s="45" t="s">
        <v>88</v>
      </c>
      <c r="E1074" s="45">
        <v>2</v>
      </c>
      <c r="F1074" s="47" t="s">
        <v>985</v>
      </c>
      <c r="G1074" s="45"/>
      <c r="H1074" s="48"/>
      <c r="I1074" s="49"/>
    </row>
    <row r="1075" spans="2:9" s="1" customFormat="1" x14ac:dyDescent="0.2">
      <c r="B1075" s="44" t="str">
        <f t="shared" si="17"/>
        <v>2021-059-3</v>
      </c>
      <c r="C1075" s="45">
        <v>2021</v>
      </c>
      <c r="D1075" s="45" t="s">
        <v>88</v>
      </c>
      <c r="E1075" s="45">
        <v>3</v>
      </c>
      <c r="F1075" s="47" t="s">
        <v>1382</v>
      </c>
      <c r="G1075" s="45"/>
      <c r="H1075" s="48"/>
      <c r="I1075" s="49"/>
    </row>
    <row r="1076" spans="2:9" s="1" customFormat="1" x14ac:dyDescent="0.2">
      <c r="B1076" s="44" t="str">
        <f t="shared" si="17"/>
        <v>2021-059-4</v>
      </c>
      <c r="C1076" s="45">
        <v>2021</v>
      </c>
      <c r="D1076" s="45" t="s">
        <v>88</v>
      </c>
      <c r="E1076" s="45">
        <v>4</v>
      </c>
      <c r="F1076" s="47" t="s">
        <v>1777</v>
      </c>
      <c r="G1076" s="45"/>
      <c r="H1076" s="48"/>
      <c r="I1076" s="49"/>
    </row>
    <row r="1077" spans="2:9" s="1" customFormat="1" x14ac:dyDescent="0.2">
      <c r="B1077" s="50" t="str">
        <f t="shared" si="17"/>
        <v>2021-059-5</v>
      </c>
      <c r="C1077" s="51">
        <v>2021</v>
      </c>
      <c r="D1077" s="51" t="s">
        <v>88</v>
      </c>
      <c r="E1077" s="51">
        <v>5</v>
      </c>
      <c r="F1077" s="52" t="s">
        <v>2171</v>
      </c>
      <c r="G1077" s="51"/>
      <c r="H1077" s="53"/>
      <c r="I1077" s="54"/>
    </row>
    <row r="1078" spans="2:9" s="1" customFormat="1" ht="27" x14ac:dyDescent="0.2">
      <c r="B1078" s="55" t="str">
        <f t="shared" si="17"/>
        <v>2021-060-0</v>
      </c>
      <c r="C1078" s="56">
        <v>2021</v>
      </c>
      <c r="D1078" s="56" t="s">
        <v>89</v>
      </c>
      <c r="E1078" s="56">
        <v>0</v>
      </c>
      <c r="F1078" s="57" t="s">
        <v>199</v>
      </c>
      <c r="G1078" s="56"/>
      <c r="H1078" s="58"/>
      <c r="I1078" s="59"/>
    </row>
    <row r="1079" spans="2:9" s="1" customFormat="1" x14ac:dyDescent="0.2">
      <c r="B1079" s="44" t="str">
        <f t="shared" si="17"/>
        <v>2021-060-1</v>
      </c>
      <c r="C1079" s="45">
        <v>2021</v>
      </c>
      <c r="D1079" s="45" t="s">
        <v>89</v>
      </c>
      <c r="E1079" s="45">
        <v>1</v>
      </c>
      <c r="F1079" s="47" t="s">
        <v>586</v>
      </c>
      <c r="G1079" s="45"/>
      <c r="H1079" s="48"/>
      <c r="I1079" s="49"/>
    </row>
    <row r="1080" spans="2:9" s="1" customFormat="1" x14ac:dyDescent="0.2">
      <c r="B1080" s="44" t="str">
        <f t="shared" si="17"/>
        <v>2021-060-2</v>
      </c>
      <c r="C1080" s="45">
        <v>2021</v>
      </c>
      <c r="D1080" s="45" t="s">
        <v>89</v>
      </c>
      <c r="E1080" s="45">
        <v>2</v>
      </c>
      <c r="F1080" s="47" t="s">
        <v>986</v>
      </c>
      <c r="G1080" s="45"/>
      <c r="H1080" s="48"/>
      <c r="I1080" s="49"/>
    </row>
    <row r="1081" spans="2:9" s="1" customFormat="1" x14ac:dyDescent="0.2">
      <c r="B1081" s="44" t="str">
        <f t="shared" si="17"/>
        <v>2021-060-3</v>
      </c>
      <c r="C1081" s="45">
        <v>2021</v>
      </c>
      <c r="D1081" s="45" t="s">
        <v>89</v>
      </c>
      <c r="E1081" s="45">
        <v>3</v>
      </c>
      <c r="F1081" s="47" t="s">
        <v>1383</v>
      </c>
      <c r="G1081" s="45"/>
      <c r="H1081" s="48"/>
      <c r="I1081" s="49"/>
    </row>
    <row r="1082" spans="2:9" s="1" customFormat="1" x14ac:dyDescent="0.2">
      <c r="B1082" s="44" t="str">
        <f t="shared" si="17"/>
        <v>2021-060-4</v>
      </c>
      <c r="C1082" s="45">
        <v>2021</v>
      </c>
      <c r="D1082" s="45" t="s">
        <v>89</v>
      </c>
      <c r="E1082" s="45">
        <v>4</v>
      </c>
      <c r="F1082" s="47" t="s">
        <v>1778</v>
      </c>
      <c r="G1082" s="45" t="s">
        <v>3210</v>
      </c>
      <c r="H1082" s="48"/>
      <c r="I1082" s="49"/>
    </row>
    <row r="1083" spans="2:9" s="1" customFormat="1" x14ac:dyDescent="0.2">
      <c r="B1083" s="50" t="str">
        <f t="shared" si="17"/>
        <v>2021-060-5</v>
      </c>
      <c r="C1083" s="51">
        <v>2021</v>
      </c>
      <c r="D1083" s="51" t="s">
        <v>89</v>
      </c>
      <c r="E1083" s="51">
        <v>5</v>
      </c>
      <c r="F1083" s="52" t="s">
        <v>2172</v>
      </c>
      <c r="G1083" s="51"/>
      <c r="H1083" s="53"/>
      <c r="I1083" s="54"/>
    </row>
    <row r="1084" spans="2:9" s="1" customFormat="1" x14ac:dyDescent="0.2">
      <c r="B1084" s="55" t="str">
        <f t="shared" si="17"/>
        <v>2021-061-0</v>
      </c>
      <c r="C1084" s="56">
        <v>2021</v>
      </c>
      <c r="D1084" s="56" t="s">
        <v>90</v>
      </c>
      <c r="E1084" s="56">
        <v>0</v>
      </c>
      <c r="F1084" s="57" t="s">
        <v>200</v>
      </c>
      <c r="G1084" s="56"/>
      <c r="H1084" s="58"/>
      <c r="I1084" s="59"/>
    </row>
    <row r="1085" spans="2:9" s="1" customFormat="1" x14ac:dyDescent="0.2">
      <c r="B1085" s="44" t="str">
        <f t="shared" si="17"/>
        <v>2021-061-1</v>
      </c>
      <c r="C1085" s="45">
        <v>2021</v>
      </c>
      <c r="D1085" s="45" t="s">
        <v>90</v>
      </c>
      <c r="E1085" s="45">
        <v>1</v>
      </c>
      <c r="F1085" s="47" t="s">
        <v>587</v>
      </c>
      <c r="G1085" s="45" t="s">
        <v>3210</v>
      </c>
      <c r="H1085" s="48"/>
      <c r="I1085" s="49"/>
    </row>
    <row r="1086" spans="2:9" s="1" customFormat="1" x14ac:dyDescent="0.2">
      <c r="B1086" s="44" t="str">
        <f t="shared" si="17"/>
        <v>2021-061-2</v>
      </c>
      <c r="C1086" s="45">
        <v>2021</v>
      </c>
      <c r="D1086" s="45" t="s">
        <v>90</v>
      </c>
      <c r="E1086" s="45">
        <v>2</v>
      </c>
      <c r="F1086" s="47" t="s">
        <v>987</v>
      </c>
      <c r="G1086" s="45"/>
      <c r="H1086" s="48"/>
      <c r="I1086" s="49"/>
    </row>
    <row r="1087" spans="2:9" s="1" customFormat="1" x14ac:dyDescent="0.2">
      <c r="B1087" s="44" t="str">
        <f t="shared" si="17"/>
        <v>2021-061-3</v>
      </c>
      <c r="C1087" s="45">
        <v>2021</v>
      </c>
      <c r="D1087" s="45" t="s">
        <v>90</v>
      </c>
      <c r="E1087" s="45">
        <v>3</v>
      </c>
      <c r="F1087" s="47" t="s">
        <v>1384</v>
      </c>
      <c r="G1087" s="45"/>
      <c r="H1087" s="48"/>
      <c r="I1087" s="49"/>
    </row>
    <row r="1088" spans="2:9" s="1" customFormat="1" x14ac:dyDescent="0.2">
      <c r="B1088" s="44" t="str">
        <f t="shared" si="17"/>
        <v>2021-061-4</v>
      </c>
      <c r="C1088" s="45">
        <v>2021</v>
      </c>
      <c r="D1088" s="45" t="s">
        <v>90</v>
      </c>
      <c r="E1088" s="45">
        <v>4</v>
      </c>
      <c r="F1088" s="47" t="s">
        <v>1779</v>
      </c>
      <c r="G1088" s="45"/>
      <c r="H1088" s="48"/>
      <c r="I1088" s="49"/>
    </row>
    <row r="1089" spans="2:9" s="1" customFormat="1" x14ac:dyDescent="0.2">
      <c r="B1089" s="50" t="str">
        <f t="shared" si="17"/>
        <v>2021-061-5</v>
      </c>
      <c r="C1089" s="51">
        <v>2021</v>
      </c>
      <c r="D1089" s="51" t="s">
        <v>90</v>
      </c>
      <c r="E1089" s="51">
        <v>5</v>
      </c>
      <c r="F1089" s="52" t="s">
        <v>2173</v>
      </c>
      <c r="G1089" s="51"/>
      <c r="H1089" s="53"/>
      <c r="I1089" s="54"/>
    </row>
    <row r="1090" spans="2:9" s="1" customFormat="1" x14ac:dyDescent="0.2">
      <c r="B1090" s="55" t="str">
        <f t="shared" si="17"/>
        <v>2021-062-0</v>
      </c>
      <c r="C1090" s="56">
        <v>2021</v>
      </c>
      <c r="D1090" s="56" t="s">
        <v>91</v>
      </c>
      <c r="E1090" s="56">
        <v>0</v>
      </c>
      <c r="F1090" s="57" t="s">
        <v>201</v>
      </c>
      <c r="G1090" s="56"/>
      <c r="H1090" s="58"/>
      <c r="I1090" s="59"/>
    </row>
    <row r="1091" spans="2:9" s="1" customFormat="1" x14ac:dyDescent="0.2">
      <c r="B1091" s="44" t="str">
        <f t="shared" si="17"/>
        <v>2021-062-1</v>
      </c>
      <c r="C1091" s="45">
        <v>2021</v>
      </c>
      <c r="D1091" s="45" t="s">
        <v>91</v>
      </c>
      <c r="E1091" s="45">
        <v>1</v>
      </c>
      <c r="F1091" s="47" t="s">
        <v>588</v>
      </c>
      <c r="G1091" s="45"/>
      <c r="H1091" s="48"/>
      <c r="I1091" s="49"/>
    </row>
    <row r="1092" spans="2:9" s="1" customFormat="1" x14ac:dyDescent="0.2">
      <c r="B1092" s="44" t="str">
        <f t="shared" si="17"/>
        <v>2021-062-2</v>
      </c>
      <c r="C1092" s="45">
        <v>2021</v>
      </c>
      <c r="D1092" s="45" t="s">
        <v>91</v>
      </c>
      <c r="E1092" s="45">
        <v>2</v>
      </c>
      <c r="F1092" s="47" t="s">
        <v>988</v>
      </c>
      <c r="G1092" s="45" t="s">
        <v>3210</v>
      </c>
      <c r="H1092" s="48"/>
      <c r="I1092" s="49"/>
    </row>
    <row r="1093" spans="2:9" s="1" customFormat="1" x14ac:dyDescent="0.2">
      <c r="B1093" s="44" t="str">
        <f t="shared" si="17"/>
        <v>2021-062-3</v>
      </c>
      <c r="C1093" s="45">
        <v>2021</v>
      </c>
      <c r="D1093" s="45" t="s">
        <v>91</v>
      </c>
      <c r="E1093" s="45">
        <v>3</v>
      </c>
      <c r="F1093" s="47" t="s">
        <v>1385</v>
      </c>
      <c r="G1093" s="45"/>
      <c r="H1093" s="48"/>
      <c r="I1093" s="49"/>
    </row>
    <row r="1094" spans="2:9" s="1" customFormat="1" x14ac:dyDescent="0.2">
      <c r="B1094" s="44" t="str">
        <f t="shared" si="17"/>
        <v>2021-062-4</v>
      </c>
      <c r="C1094" s="45">
        <v>2021</v>
      </c>
      <c r="D1094" s="45" t="s">
        <v>91</v>
      </c>
      <c r="E1094" s="45">
        <v>4</v>
      </c>
      <c r="F1094" s="47" t="s">
        <v>1780</v>
      </c>
      <c r="G1094" s="45"/>
      <c r="H1094" s="48"/>
      <c r="I1094" s="49"/>
    </row>
    <row r="1095" spans="2:9" s="1" customFormat="1" x14ac:dyDescent="0.2">
      <c r="B1095" s="50" t="str">
        <f t="shared" si="17"/>
        <v>2021-062-5</v>
      </c>
      <c r="C1095" s="51">
        <v>2021</v>
      </c>
      <c r="D1095" s="51" t="s">
        <v>91</v>
      </c>
      <c r="E1095" s="51">
        <v>5</v>
      </c>
      <c r="F1095" s="52" t="s">
        <v>2174</v>
      </c>
      <c r="G1095" s="51"/>
      <c r="H1095" s="53"/>
      <c r="I1095" s="54"/>
    </row>
    <row r="1096" spans="2:9" s="1" customFormat="1" ht="108" x14ac:dyDescent="0.2">
      <c r="B1096" s="55" t="str">
        <f t="shared" si="17"/>
        <v>2021-063-0</v>
      </c>
      <c r="C1096" s="56">
        <v>2021</v>
      </c>
      <c r="D1096" s="56" t="s">
        <v>92</v>
      </c>
      <c r="E1096" s="56">
        <v>0</v>
      </c>
      <c r="F1096" s="57" t="s">
        <v>202</v>
      </c>
      <c r="G1096" s="56"/>
      <c r="H1096" s="58"/>
      <c r="I1096" s="59"/>
    </row>
    <row r="1097" spans="2:9" s="1" customFormat="1" x14ac:dyDescent="0.2">
      <c r="B1097" s="44" t="str">
        <f t="shared" si="17"/>
        <v>2021-063-1</v>
      </c>
      <c r="C1097" s="45">
        <v>2021</v>
      </c>
      <c r="D1097" s="45" t="s">
        <v>92</v>
      </c>
      <c r="E1097" s="45">
        <v>1</v>
      </c>
      <c r="F1097" s="47" t="s">
        <v>56</v>
      </c>
      <c r="G1097" s="45"/>
      <c r="H1097" s="48"/>
      <c r="I1097" s="49"/>
    </row>
    <row r="1098" spans="2:9" s="1" customFormat="1" x14ac:dyDescent="0.2">
      <c r="B1098" s="44" t="str">
        <f t="shared" si="17"/>
        <v>2021-063-2</v>
      </c>
      <c r="C1098" s="45">
        <v>2021</v>
      </c>
      <c r="D1098" s="45" t="s">
        <v>92</v>
      </c>
      <c r="E1098" s="45">
        <v>2</v>
      </c>
      <c r="F1098" s="47" t="s">
        <v>57</v>
      </c>
      <c r="G1098" s="45"/>
      <c r="H1098" s="48"/>
      <c r="I1098" s="49"/>
    </row>
    <row r="1099" spans="2:9" s="1" customFormat="1" x14ac:dyDescent="0.2">
      <c r="B1099" s="44" t="str">
        <f t="shared" si="17"/>
        <v>2021-063-3</v>
      </c>
      <c r="C1099" s="45">
        <v>2021</v>
      </c>
      <c r="D1099" s="45" t="s">
        <v>92</v>
      </c>
      <c r="E1099" s="45">
        <v>3</v>
      </c>
      <c r="F1099" s="47" t="s">
        <v>58</v>
      </c>
      <c r="G1099" s="45"/>
      <c r="H1099" s="48"/>
      <c r="I1099" s="49"/>
    </row>
    <row r="1100" spans="2:9" s="1" customFormat="1" x14ac:dyDescent="0.2">
      <c r="B1100" s="44" t="str">
        <f t="shared" si="17"/>
        <v>2021-063-4</v>
      </c>
      <c r="C1100" s="45">
        <v>2021</v>
      </c>
      <c r="D1100" s="45" t="s">
        <v>92</v>
      </c>
      <c r="E1100" s="45">
        <v>4</v>
      </c>
      <c r="F1100" s="47" t="s">
        <v>59</v>
      </c>
      <c r="G1100" s="45"/>
      <c r="H1100" s="48"/>
      <c r="I1100" s="49"/>
    </row>
    <row r="1101" spans="2:9" s="1" customFormat="1" x14ac:dyDescent="0.2">
      <c r="B1101" s="50" t="str">
        <f t="shared" si="17"/>
        <v>2021-063-5</v>
      </c>
      <c r="C1101" s="51">
        <v>2021</v>
      </c>
      <c r="D1101" s="51" t="s">
        <v>92</v>
      </c>
      <c r="E1101" s="51">
        <v>5</v>
      </c>
      <c r="F1101" s="52" t="s">
        <v>2175</v>
      </c>
      <c r="G1101" s="51" t="s">
        <v>3210</v>
      </c>
      <c r="H1101" s="53"/>
      <c r="I1101" s="54"/>
    </row>
    <row r="1102" spans="2:9" s="1" customFormat="1" x14ac:dyDescent="0.2">
      <c r="B1102" s="55" t="str">
        <f t="shared" si="17"/>
        <v>2021-064-0</v>
      </c>
      <c r="C1102" s="56">
        <v>2021</v>
      </c>
      <c r="D1102" s="56" t="s">
        <v>93</v>
      </c>
      <c r="E1102" s="56">
        <v>0</v>
      </c>
      <c r="F1102" s="57" t="s">
        <v>203</v>
      </c>
      <c r="G1102" s="56"/>
      <c r="H1102" s="58"/>
      <c r="I1102" s="59"/>
    </row>
    <row r="1103" spans="2:9" s="1" customFormat="1" x14ac:dyDescent="0.2">
      <c r="B1103" s="44" t="str">
        <f t="shared" si="17"/>
        <v>2021-064-1</v>
      </c>
      <c r="C1103" s="45">
        <v>2021</v>
      </c>
      <c r="D1103" s="45" t="s">
        <v>93</v>
      </c>
      <c r="E1103" s="45">
        <v>1</v>
      </c>
      <c r="F1103" s="47" t="s">
        <v>589</v>
      </c>
      <c r="G1103" s="45"/>
      <c r="H1103" s="48"/>
      <c r="I1103" s="49"/>
    </row>
    <row r="1104" spans="2:9" s="1" customFormat="1" ht="27" x14ac:dyDescent="0.2">
      <c r="B1104" s="44" t="str">
        <f t="shared" si="17"/>
        <v>2021-064-2</v>
      </c>
      <c r="C1104" s="45">
        <v>2021</v>
      </c>
      <c r="D1104" s="45" t="s">
        <v>93</v>
      </c>
      <c r="E1104" s="45">
        <v>2</v>
      </c>
      <c r="F1104" s="47" t="s">
        <v>989</v>
      </c>
      <c r="G1104" s="45"/>
      <c r="H1104" s="48"/>
      <c r="I1104" s="49"/>
    </row>
    <row r="1105" spans="2:9" s="1" customFormat="1" ht="27" x14ac:dyDescent="0.2">
      <c r="B1105" s="44" t="str">
        <f t="shared" si="17"/>
        <v>2021-064-3</v>
      </c>
      <c r="C1105" s="45">
        <v>2021</v>
      </c>
      <c r="D1105" s="45" t="s">
        <v>93</v>
      </c>
      <c r="E1105" s="45">
        <v>3</v>
      </c>
      <c r="F1105" s="47" t="s">
        <v>1386</v>
      </c>
      <c r="G1105" s="45" t="s">
        <v>3210</v>
      </c>
      <c r="H1105" s="48"/>
      <c r="I1105" s="49"/>
    </row>
    <row r="1106" spans="2:9" s="1" customFormat="1" x14ac:dyDescent="0.2">
      <c r="B1106" s="44" t="str">
        <f t="shared" si="17"/>
        <v>2021-064-4</v>
      </c>
      <c r="C1106" s="45">
        <v>2021</v>
      </c>
      <c r="D1106" s="45" t="s">
        <v>93</v>
      </c>
      <c r="E1106" s="45">
        <v>4</v>
      </c>
      <c r="F1106" s="47" t="s">
        <v>1781</v>
      </c>
      <c r="G1106" s="45"/>
      <c r="H1106" s="48"/>
      <c r="I1106" s="49"/>
    </row>
    <row r="1107" spans="2:9" s="1" customFormat="1" ht="27" x14ac:dyDescent="0.2">
      <c r="B1107" s="50" t="str">
        <f t="shared" si="17"/>
        <v>2021-064-5</v>
      </c>
      <c r="C1107" s="51">
        <v>2021</v>
      </c>
      <c r="D1107" s="51" t="s">
        <v>93</v>
      </c>
      <c r="E1107" s="51">
        <v>5</v>
      </c>
      <c r="F1107" s="52" t="s">
        <v>2176</v>
      </c>
      <c r="G1107" s="51"/>
      <c r="H1107" s="53"/>
      <c r="I1107" s="54"/>
    </row>
    <row r="1108" spans="2:9" s="1" customFormat="1" x14ac:dyDescent="0.2">
      <c r="B1108" s="55" t="str">
        <f t="shared" si="17"/>
        <v>2021-065-0</v>
      </c>
      <c r="C1108" s="56">
        <v>2021</v>
      </c>
      <c r="D1108" s="56" t="s">
        <v>94</v>
      </c>
      <c r="E1108" s="56">
        <v>0</v>
      </c>
      <c r="F1108" s="57" t="s">
        <v>204</v>
      </c>
      <c r="G1108" s="56"/>
      <c r="H1108" s="58"/>
      <c r="I1108" s="59"/>
    </row>
    <row r="1109" spans="2:9" s="1" customFormat="1" ht="27" x14ac:dyDescent="0.2">
      <c r="B1109" s="44" t="str">
        <f t="shared" si="17"/>
        <v>2021-065-1</v>
      </c>
      <c r="C1109" s="45">
        <v>2021</v>
      </c>
      <c r="D1109" s="45" t="s">
        <v>94</v>
      </c>
      <c r="E1109" s="45">
        <v>1</v>
      </c>
      <c r="F1109" s="47" t="s">
        <v>590</v>
      </c>
      <c r="G1109" s="45"/>
      <c r="H1109" s="48"/>
      <c r="I1109" s="49"/>
    </row>
    <row r="1110" spans="2:9" s="1" customFormat="1" x14ac:dyDescent="0.2">
      <c r="B1110" s="44" t="str">
        <f t="shared" si="17"/>
        <v>2021-065-2</v>
      </c>
      <c r="C1110" s="45">
        <v>2021</v>
      </c>
      <c r="D1110" s="45" t="s">
        <v>94</v>
      </c>
      <c r="E1110" s="45">
        <v>2</v>
      </c>
      <c r="F1110" s="47" t="s">
        <v>990</v>
      </c>
      <c r="G1110" s="45"/>
      <c r="H1110" s="48"/>
      <c r="I1110" s="49"/>
    </row>
    <row r="1111" spans="2:9" s="1" customFormat="1" ht="27" x14ac:dyDescent="0.2">
      <c r="B1111" s="44" t="str">
        <f t="shared" si="17"/>
        <v>2021-065-3</v>
      </c>
      <c r="C1111" s="45">
        <v>2021</v>
      </c>
      <c r="D1111" s="45" t="s">
        <v>94</v>
      </c>
      <c r="E1111" s="45">
        <v>3</v>
      </c>
      <c r="F1111" s="47" t="s">
        <v>1387</v>
      </c>
      <c r="G1111" s="45"/>
      <c r="H1111" s="48"/>
      <c r="I1111" s="49"/>
    </row>
    <row r="1112" spans="2:9" s="1" customFormat="1" x14ac:dyDescent="0.2">
      <c r="B1112" s="44" t="str">
        <f t="shared" si="17"/>
        <v>2021-065-4</v>
      </c>
      <c r="C1112" s="45">
        <v>2021</v>
      </c>
      <c r="D1112" s="45" t="s">
        <v>94</v>
      </c>
      <c r="E1112" s="45">
        <v>4</v>
      </c>
      <c r="F1112" s="47" t="s">
        <v>1782</v>
      </c>
      <c r="G1112" s="45"/>
      <c r="H1112" s="48"/>
      <c r="I1112" s="49"/>
    </row>
    <row r="1113" spans="2:9" s="1" customFormat="1" ht="27" x14ac:dyDescent="0.2">
      <c r="B1113" s="50" t="str">
        <f t="shared" si="17"/>
        <v>2021-065-5</v>
      </c>
      <c r="C1113" s="51">
        <v>2021</v>
      </c>
      <c r="D1113" s="51" t="s">
        <v>94</v>
      </c>
      <c r="E1113" s="51">
        <v>5</v>
      </c>
      <c r="F1113" s="52" t="s">
        <v>2177</v>
      </c>
      <c r="G1113" s="51" t="s">
        <v>3210</v>
      </c>
      <c r="H1113" s="53"/>
      <c r="I1113" s="54"/>
    </row>
    <row r="1114" spans="2:9" s="1" customFormat="1" x14ac:dyDescent="0.2">
      <c r="B1114" s="55" t="str">
        <f t="shared" si="17"/>
        <v>2021-066-0</v>
      </c>
      <c r="C1114" s="56">
        <v>2021</v>
      </c>
      <c r="D1114" s="56" t="s">
        <v>95</v>
      </c>
      <c r="E1114" s="56">
        <v>0</v>
      </c>
      <c r="F1114" s="57" t="s">
        <v>205</v>
      </c>
      <c r="G1114" s="56"/>
      <c r="H1114" s="58"/>
      <c r="I1114" s="59"/>
    </row>
    <row r="1115" spans="2:9" s="1" customFormat="1" x14ac:dyDescent="0.2">
      <c r="B1115" s="44" t="str">
        <f t="shared" si="17"/>
        <v>2021-066-1</v>
      </c>
      <c r="C1115" s="45">
        <v>2021</v>
      </c>
      <c r="D1115" s="45" t="s">
        <v>95</v>
      </c>
      <c r="E1115" s="45">
        <v>1</v>
      </c>
      <c r="F1115" s="47" t="s">
        <v>591</v>
      </c>
      <c r="G1115" s="45"/>
      <c r="H1115" s="48"/>
      <c r="I1115" s="49"/>
    </row>
    <row r="1116" spans="2:9" s="1" customFormat="1" x14ac:dyDescent="0.2">
      <c r="B1116" s="44" t="str">
        <f t="shared" si="17"/>
        <v>2021-066-2</v>
      </c>
      <c r="C1116" s="45">
        <v>2021</v>
      </c>
      <c r="D1116" s="45" t="s">
        <v>95</v>
      </c>
      <c r="E1116" s="45">
        <v>2</v>
      </c>
      <c r="F1116" s="47" t="s">
        <v>991</v>
      </c>
      <c r="G1116" s="45" t="s">
        <v>3210</v>
      </c>
      <c r="H1116" s="48"/>
      <c r="I1116" s="49"/>
    </row>
    <row r="1117" spans="2:9" s="1" customFormat="1" x14ac:dyDescent="0.2">
      <c r="B1117" s="44" t="str">
        <f t="shared" si="17"/>
        <v>2021-066-3</v>
      </c>
      <c r="C1117" s="45">
        <v>2021</v>
      </c>
      <c r="D1117" s="45" t="s">
        <v>95</v>
      </c>
      <c r="E1117" s="45">
        <v>3</v>
      </c>
      <c r="F1117" s="47" t="s">
        <v>1388</v>
      </c>
      <c r="G1117" s="45"/>
      <c r="H1117" s="48"/>
      <c r="I1117" s="49"/>
    </row>
    <row r="1118" spans="2:9" s="1" customFormat="1" x14ac:dyDescent="0.2">
      <c r="B1118" s="44" t="str">
        <f t="shared" si="17"/>
        <v>2021-066-4</v>
      </c>
      <c r="C1118" s="45">
        <v>2021</v>
      </c>
      <c r="D1118" s="45" t="s">
        <v>95</v>
      </c>
      <c r="E1118" s="45">
        <v>4</v>
      </c>
      <c r="F1118" s="47" t="s">
        <v>1783</v>
      </c>
      <c r="G1118" s="45"/>
      <c r="H1118" s="48"/>
      <c r="I1118" s="49"/>
    </row>
    <row r="1119" spans="2:9" s="1" customFormat="1" x14ac:dyDescent="0.2">
      <c r="B1119" s="50" t="str">
        <f t="shared" si="17"/>
        <v>2021-066-5</v>
      </c>
      <c r="C1119" s="51">
        <v>2021</v>
      </c>
      <c r="D1119" s="51" t="s">
        <v>95</v>
      </c>
      <c r="E1119" s="51">
        <v>5</v>
      </c>
      <c r="F1119" s="52" t="s">
        <v>2178</v>
      </c>
      <c r="G1119" s="51"/>
      <c r="H1119" s="53"/>
      <c r="I1119" s="54"/>
    </row>
    <row r="1120" spans="2:9" s="1" customFormat="1" x14ac:dyDescent="0.2">
      <c r="B1120" s="55" t="str">
        <f t="shared" si="17"/>
        <v>2021-067-0</v>
      </c>
      <c r="C1120" s="56">
        <v>2021</v>
      </c>
      <c r="D1120" s="56" t="s">
        <v>96</v>
      </c>
      <c r="E1120" s="56">
        <v>0</v>
      </c>
      <c r="F1120" s="57" t="s">
        <v>206</v>
      </c>
      <c r="G1120" s="56"/>
      <c r="H1120" s="58"/>
      <c r="I1120" s="59"/>
    </row>
    <row r="1121" spans="2:9" s="1" customFormat="1" x14ac:dyDescent="0.2">
      <c r="B1121" s="44" t="str">
        <f t="shared" si="17"/>
        <v>2021-067-1</v>
      </c>
      <c r="C1121" s="45">
        <v>2021</v>
      </c>
      <c r="D1121" s="45" t="s">
        <v>96</v>
      </c>
      <c r="E1121" s="45">
        <v>1</v>
      </c>
      <c r="F1121" s="47" t="s">
        <v>592</v>
      </c>
      <c r="G1121" s="45" t="s">
        <v>3210</v>
      </c>
      <c r="H1121" s="48"/>
      <c r="I1121" s="49"/>
    </row>
    <row r="1122" spans="2:9" s="1" customFormat="1" ht="27" x14ac:dyDescent="0.2">
      <c r="B1122" s="44" t="str">
        <f t="shared" si="17"/>
        <v>2021-067-2</v>
      </c>
      <c r="C1122" s="45">
        <v>2021</v>
      </c>
      <c r="D1122" s="45" t="s">
        <v>96</v>
      </c>
      <c r="E1122" s="45">
        <v>2</v>
      </c>
      <c r="F1122" s="47" t="s">
        <v>992</v>
      </c>
      <c r="G1122" s="45"/>
      <c r="H1122" s="48"/>
      <c r="I1122" s="49"/>
    </row>
    <row r="1123" spans="2:9" s="1" customFormat="1" x14ac:dyDescent="0.2">
      <c r="B1123" s="44" t="str">
        <f t="shared" si="17"/>
        <v>2021-067-3</v>
      </c>
      <c r="C1123" s="45">
        <v>2021</v>
      </c>
      <c r="D1123" s="45" t="s">
        <v>96</v>
      </c>
      <c r="E1123" s="45">
        <v>3</v>
      </c>
      <c r="F1123" s="47" t="s">
        <v>1389</v>
      </c>
      <c r="G1123" s="45"/>
      <c r="H1123" s="48"/>
      <c r="I1123" s="49"/>
    </row>
    <row r="1124" spans="2:9" s="1" customFormat="1" ht="27" x14ac:dyDescent="0.2">
      <c r="B1124" s="44" t="str">
        <f t="shared" si="17"/>
        <v>2021-067-4</v>
      </c>
      <c r="C1124" s="45">
        <v>2021</v>
      </c>
      <c r="D1124" s="45" t="s">
        <v>96</v>
      </c>
      <c r="E1124" s="45">
        <v>4</v>
      </c>
      <c r="F1124" s="47" t="s">
        <v>1784</v>
      </c>
      <c r="G1124" s="45"/>
      <c r="H1124" s="48"/>
      <c r="I1124" s="49"/>
    </row>
    <row r="1125" spans="2:9" s="1" customFormat="1" x14ac:dyDescent="0.2">
      <c r="B1125" s="50" t="str">
        <f t="shared" si="17"/>
        <v>2021-067-5</v>
      </c>
      <c r="C1125" s="51">
        <v>2021</v>
      </c>
      <c r="D1125" s="51" t="s">
        <v>96</v>
      </c>
      <c r="E1125" s="51">
        <v>5</v>
      </c>
      <c r="F1125" s="52" t="s">
        <v>2179</v>
      </c>
      <c r="G1125" s="51"/>
      <c r="H1125" s="53"/>
      <c r="I1125" s="54"/>
    </row>
    <row r="1126" spans="2:9" s="1" customFormat="1" x14ac:dyDescent="0.2">
      <c r="B1126" s="55" t="str">
        <f t="shared" si="17"/>
        <v>2021-068-0</v>
      </c>
      <c r="C1126" s="56">
        <v>2021</v>
      </c>
      <c r="D1126" s="56" t="s">
        <v>97</v>
      </c>
      <c r="E1126" s="56">
        <v>0</v>
      </c>
      <c r="F1126" s="57" t="s">
        <v>207</v>
      </c>
      <c r="G1126" s="56"/>
      <c r="H1126" s="58"/>
      <c r="I1126" s="59"/>
    </row>
    <row r="1127" spans="2:9" s="1" customFormat="1" x14ac:dyDescent="0.2">
      <c r="B1127" s="44" t="str">
        <f t="shared" si="17"/>
        <v>2021-068-1</v>
      </c>
      <c r="C1127" s="45">
        <v>2021</v>
      </c>
      <c r="D1127" s="45" t="s">
        <v>97</v>
      </c>
      <c r="E1127" s="45">
        <v>1</v>
      </c>
      <c r="F1127" s="47" t="s">
        <v>593</v>
      </c>
      <c r="G1127" s="45"/>
      <c r="H1127" s="48"/>
      <c r="I1127" s="49"/>
    </row>
    <row r="1128" spans="2:9" s="1" customFormat="1" x14ac:dyDescent="0.2">
      <c r="B1128" s="44" t="str">
        <f t="shared" si="17"/>
        <v>2021-068-2</v>
      </c>
      <c r="C1128" s="45">
        <v>2021</v>
      </c>
      <c r="D1128" s="45" t="s">
        <v>97</v>
      </c>
      <c r="E1128" s="45">
        <v>2</v>
      </c>
      <c r="F1128" s="47" t="s">
        <v>993</v>
      </c>
      <c r="G1128" s="45" t="s">
        <v>3210</v>
      </c>
      <c r="H1128" s="48"/>
      <c r="I1128" s="49"/>
    </row>
    <row r="1129" spans="2:9" s="1" customFormat="1" x14ac:dyDescent="0.2">
      <c r="B1129" s="44" t="str">
        <f t="shared" si="17"/>
        <v>2021-068-3</v>
      </c>
      <c r="C1129" s="45">
        <v>2021</v>
      </c>
      <c r="D1129" s="45" t="s">
        <v>97</v>
      </c>
      <c r="E1129" s="45">
        <v>3</v>
      </c>
      <c r="F1129" s="47" t="s">
        <v>1390</v>
      </c>
      <c r="G1129" s="45"/>
      <c r="H1129" s="48"/>
      <c r="I1129" s="49"/>
    </row>
    <row r="1130" spans="2:9" s="1" customFormat="1" x14ac:dyDescent="0.2">
      <c r="B1130" s="44" t="str">
        <f t="shared" si="17"/>
        <v>2021-068-4</v>
      </c>
      <c r="C1130" s="45">
        <v>2021</v>
      </c>
      <c r="D1130" s="45" t="s">
        <v>97</v>
      </c>
      <c r="E1130" s="45">
        <v>4</v>
      </c>
      <c r="F1130" s="47" t="s">
        <v>1785</v>
      </c>
      <c r="G1130" s="45"/>
      <c r="H1130" s="48"/>
      <c r="I1130" s="49"/>
    </row>
    <row r="1131" spans="2:9" s="1" customFormat="1" ht="27" x14ac:dyDescent="0.2">
      <c r="B1131" s="50" t="str">
        <f t="shared" si="17"/>
        <v>2021-068-5</v>
      </c>
      <c r="C1131" s="51">
        <v>2021</v>
      </c>
      <c r="D1131" s="51" t="s">
        <v>97</v>
      </c>
      <c r="E1131" s="51">
        <v>5</v>
      </c>
      <c r="F1131" s="52" t="s">
        <v>2180</v>
      </c>
      <c r="G1131" s="51"/>
      <c r="H1131" s="53"/>
      <c r="I1131" s="54"/>
    </row>
    <row r="1132" spans="2:9" s="1" customFormat="1" x14ac:dyDescent="0.2">
      <c r="B1132" s="55" t="str">
        <f t="shared" si="17"/>
        <v>2021-069-0</v>
      </c>
      <c r="C1132" s="56">
        <v>2021</v>
      </c>
      <c r="D1132" s="56" t="s">
        <v>98</v>
      </c>
      <c r="E1132" s="56">
        <v>0</v>
      </c>
      <c r="F1132" s="57" t="s">
        <v>208</v>
      </c>
      <c r="G1132" s="56"/>
      <c r="H1132" s="58"/>
      <c r="I1132" s="59"/>
    </row>
    <row r="1133" spans="2:9" s="1" customFormat="1" x14ac:dyDescent="0.2">
      <c r="B1133" s="44" t="str">
        <f t="shared" si="17"/>
        <v>2021-069-1</v>
      </c>
      <c r="C1133" s="45">
        <v>2021</v>
      </c>
      <c r="D1133" s="45" t="s">
        <v>98</v>
      </c>
      <c r="E1133" s="45">
        <v>1</v>
      </c>
      <c r="F1133" s="47" t="s">
        <v>594</v>
      </c>
      <c r="G1133" s="45"/>
      <c r="H1133" s="48"/>
      <c r="I1133" s="49"/>
    </row>
    <row r="1134" spans="2:9" s="1" customFormat="1" x14ac:dyDescent="0.2">
      <c r="B1134" s="44" t="str">
        <f t="shared" si="17"/>
        <v>2021-069-2</v>
      </c>
      <c r="C1134" s="45">
        <v>2021</v>
      </c>
      <c r="D1134" s="45" t="s">
        <v>98</v>
      </c>
      <c r="E1134" s="45">
        <v>2</v>
      </c>
      <c r="F1134" s="47" t="s">
        <v>994</v>
      </c>
      <c r="G1134" s="45"/>
      <c r="H1134" s="48"/>
      <c r="I1134" s="49"/>
    </row>
    <row r="1135" spans="2:9" s="1" customFormat="1" x14ac:dyDescent="0.2">
      <c r="B1135" s="44" t="str">
        <f t="shared" si="17"/>
        <v>2021-069-3</v>
      </c>
      <c r="C1135" s="45">
        <v>2021</v>
      </c>
      <c r="D1135" s="45" t="s">
        <v>98</v>
      </c>
      <c r="E1135" s="45">
        <v>3</v>
      </c>
      <c r="F1135" s="47" t="s">
        <v>1391</v>
      </c>
      <c r="G1135" s="45" t="s">
        <v>3210</v>
      </c>
      <c r="H1135" s="48"/>
      <c r="I1135" s="49"/>
    </row>
    <row r="1136" spans="2:9" s="1" customFormat="1" x14ac:dyDescent="0.2">
      <c r="B1136" s="44" t="str">
        <f t="shared" si="17"/>
        <v>2021-069-4</v>
      </c>
      <c r="C1136" s="45">
        <v>2021</v>
      </c>
      <c r="D1136" s="45" t="s">
        <v>98</v>
      </c>
      <c r="E1136" s="45">
        <v>4</v>
      </c>
      <c r="F1136" s="47" t="s">
        <v>1786</v>
      </c>
      <c r="G1136" s="45"/>
      <c r="H1136" s="48"/>
      <c r="I1136" s="49"/>
    </row>
    <row r="1137" spans="2:9" s="1" customFormat="1" x14ac:dyDescent="0.2">
      <c r="B1137" s="50" t="str">
        <f t="shared" ref="B1137:B1173" si="18">C1137&amp;"-"&amp;D1137&amp;"-"&amp;E1137</f>
        <v>2021-069-5</v>
      </c>
      <c r="C1137" s="51">
        <v>2021</v>
      </c>
      <c r="D1137" s="51" t="s">
        <v>98</v>
      </c>
      <c r="E1137" s="51">
        <v>5</v>
      </c>
      <c r="F1137" s="52" t="s">
        <v>2181</v>
      </c>
      <c r="G1137" s="51"/>
      <c r="H1137" s="53"/>
      <c r="I1137" s="54"/>
    </row>
    <row r="1138" spans="2:9" s="1" customFormat="1" x14ac:dyDescent="0.2">
      <c r="B1138" s="55" t="str">
        <f t="shared" si="18"/>
        <v>2021-070-0</v>
      </c>
      <c r="C1138" s="56">
        <v>2021</v>
      </c>
      <c r="D1138" s="56" t="s">
        <v>99</v>
      </c>
      <c r="E1138" s="56">
        <v>0</v>
      </c>
      <c r="F1138" s="57" t="s">
        <v>209</v>
      </c>
      <c r="G1138" s="56"/>
      <c r="H1138" s="58"/>
      <c r="I1138" s="59"/>
    </row>
    <row r="1139" spans="2:9" s="1" customFormat="1" x14ac:dyDescent="0.2">
      <c r="B1139" s="44" t="str">
        <f t="shared" si="18"/>
        <v>2021-070-1</v>
      </c>
      <c r="C1139" s="45">
        <v>2021</v>
      </c>
      <c r="D1139" s="45" t="s">
        <v>99</v>
      </c>
      <c r="E1139" s="45">
        <v>1</v>
      </c>
      <c r="F1139" s="47" t="s">
        <v>595</v>
      </c>
      <c r="G1139" s="45"/>
      <c r="H1139" s="48"/>
      <c r="I1139" s="49"/>
    </row>
    <row r="1140" spans="2:9" s="1" customFormat="1" x14ac:dyDescent="0.2">
      <c r="B1140" s="44" t="str">
        <f t="shared" si="18"/>
        <v>2021-070-2</v>
      </c>
      <c r="C1140" s="45">
        <v>2021</v>
      </c>
      <c r="D1140" s="45" t="s">
        <v>99</v>
      </c>
      <c r="E1140" s="45">
        <v>2</v>
      </c>
      <c r="F1140" s="47" t="s">
        <v>995</v>
      </c>
      <c r="G1140" s="45"/>
      <c r="H1140" s="48"/>
      <c r="I1140" s="49"/>
    </row>
    <row r="1141" spans="2:9" s="1" customFormat="1" x14ac:dyDescent="0.2">
      <c r="B1141" s="44" t="str">
        <f t="shared" si="18"/>
        <v>2021-070-3</v>
      </c>
      <c r="C1141" s="45">
        <v>2021</v>
      </c>
      <c r="D1141" s="45" t="s">
        <v>99</v>
      </c>
      <c r="E1141" s="45">
        <v>3</v>
      </c>
      <c r="F1141" s="47" t="s">
        <v>1392</v>
      </c>
      <c r="G1141" s="45"/>
      <c r="H1141" s="48"/>
      <c r="I1141" s="49"/>
    </row>
    <row r="1142" spans="2:9" s="1" customFormat="1" ht="27" x14ac:dyDescent="0.2">
      <c r="B1142" s="44" t="str">
        <f t="shared" si="18"/>
        <v>2021-070-4</v>
      </c>
      <c r="C1142" s="45">
        <v>2021</v>
      </c>
      <c r="D1142" s="45" t="s">
        <v>99</v>
      </c>
      <c r="E1142" s="45">
        <v>4</v>
      </c>
      <c r="F1142" s="47" t="s">
        <v>1787</v>
      </c>
      <c r="G1142" s="45" t="s">
        <v>3210</v>
      </c>
      <c r="H1142" s="48"/>
      <c r="I1142" s="49"/>
    </row>
    <row r="1143" spans="2:9" s="1" customFormat="1" x14ac:dyDescent="0.2">
      <c r="B1143" s="50" t="str">
        <f t="shared" si="18"/>
        <v>2021-070-5</v>
      </c>
      <c r="C1143" s="51">
        <v>2021</v>
      </c>
      <c r="D1143" s="51" t="s">
        <v>99</v>
      </c>
      <c r="E1143" s="51">
        <v>5</v>
      </c>
      <c r="F1143" s="52" t="s">
        <v>2182</v>
      </c>
      <c r="G1143" s="51"/>
      <c r="H1143" s="53"/>
      <c r="I1143" s="54"/>
    </row>
    <row r="1144" spans="2:9" s="1" customFormat="1" x14ac:dyDescent="0.2">
      <c r="B1144" s="55" t="str">
        <f t="shared" si="18"/>
        <v>2021-071-0</v>
      </c>
      <c r="C1144" s="56">
        <v>2021</v>
      </c>
      <c r="D1144" s="56" t="s">
        <v>100</v>
      </c>
      <c r="E1144" s="56">
        <v>0</v>
      </c>
      <c r="F1144" s="57" t="s">
        <v>210</v>
      </c>
      <c r="G1144" s="56"/>
      <c r="H1144" s="58"/>
      <c r="I1144" s="59"/>
    </row>
    <row r="1145" spans="2:9" s="1" customFormat="1" ht="27" x14ac:dyDescent="0.2">
      <c r="B1145" s="44" t="str">
        <f t="shared" si="18"/>
        <v>2021-071-1</v>
      </c>
      <c r="C1145" s="45">
        <v>2021</v>
      </c>
      <c r="D1145" s="45" t="s">
        <v>100</v>
      </c>
      <c r="E1145" s="45">
        <v>1</v>
      </c>
      <c r="F1145" s="47" t="s">
        <v>596</v>
      </c>
      <c r="G1145" s="45"/>
      <c r="H1145" s="48"/>
      <c r="I1145" s="49"/>
    </row>
    <row r="1146" spans="2:9" s="1" customFormat="1" ht="27" x14ac:dyDescent="0.2">
      <c r="B1146" s="44" t="str">
        <f t="shared" si="18"/>
        <v>2021-071-2</v>
      </c>
      <c r="C1146" s="45">
        <v>2021</v>
      </c>
      <c r="D1146" s="45" t="s">
        <v>100</v>
      </c>
      <c r="E1146" s="45">
        <v>2</v>
      </c>
      <c r="F1146" s="47" t="s">
        <v>996</v>
      </c>
      <c r="G1146" s="45"/>
      <c r="H1146" s="48"/>
      <c r="I1146" s="49"/>
    </row>
    <row r="1147" spans="2:9" s="1" customFormat="1" ht="27" x14ac:dyDescent="0.2">
      <c r="B1147" s="44" t="str">
        <f t="shared" si="18"/>
        <v>2021-071-3</v>
      </c>
      <c r="C1147" s="45">
        <v>2021</v>
      </c>
      <c r="D1147" s="45" t="s">
        <v>100</v>
      </c>
      <c r="E1147" s="45">
        <v>3</v>
      </c>
      <c r="F1147" s="47" t="s">
        <v>1393</v>
      </c>
      <c r="G1147" s="45" t="s">
        <v>3210</v>
      </c>
      <c r="H1147" s="48"/>
      <c r="I1147" s="49"/>
    </row>
    <row r="1148" spans="2:9" s="1" customFormat="1" ht="27" x14ac:dyDescent="0.2">
      <c r="B1148" s="44" t="str">
        <f t="shared" si="18"/>
        <v>2021-071-4</v>
      </c>
      <c r="C1148" s="45">
        <v>2021</v>
      </c>
      <c r="D1148" s="45" t="s">
        <v>100</v>
      </c>
      <c r="E1148" s="45">
        <v>4</v>
      </c>
      <c r="F1148" s="47" t="s">
        <v>1788</v>
      </c>
      <c r="G1148" s="45"/>
      <c r="H1148" s="48"/>
      <c r="I1148" s="49"/>
    </row>
    <row r="1149" spans="2:9" s="1" customFormat="1" x14ac:dyDescent="0.2">
      <c r="B1149" s="50" t="str">
        <f t="shared" si="18"/>
        <v>2021-071-5</v>
      </c>
      <c r="C1149" s="51">
        <v>2021</v>
      </c>
      <c r="D1149" s="51" t="s">
        <v>100</v>
      </c>
      <c r="E1149" s="51">
        <v>5</v>
      </c>
      <c r="F1149" s="52" t="s">
        <v>2183</v>
      </c>
      <c r="G1149" s="51"/>
      <c r="H1149" s="53"/>
      <c r="I1149" s="54"/>
    </row>
    <row r="1150" spans="2:9" s="1" customFormat="1" x14ac:dyDescent="0.2">
      <c r="B1150" s="55" t="str">
        <f t="shared" si="18"/>
        <v>2021-072-0</v>
      </c>
      <c r="C1150" s="56">
        <v>2021</v>
      </c>
      <c r="D1150" s="56" t="s">
        <v>101</v>
      </c>
      <c r="E1150" s="56">
        <v>0</v>
      </c>
      <c r="F1150" s="57" t="s">
        <v>211</v>
      </c>
      <c r="G1150" s="56"/>
      <c r="H1150" s="58"/>
      <c r="I1150" s="59"/>
    </row>
    <row r="1151" spans="2:9" s="1" customFormat="1" x14ac:dyDescent="0.2">
      <c r="B1151" s="44" t="str">
        <f t="shared" si="18"/>
        <v>2021-072-1</v>
      </c>
      <c r="C1151" s="45">
        <v>2021</v>
      </c>
      <c r="D1151" s="45" t="s">
        <v>101</v>
      </c>
      <c r="E1151" s="45">
        <v>1</v>
      </c>
      <c r="F1151" s="47" t="s">
        <v>597</v>
      </c>
      <c r="G1151" s="45"/>
      <c r="H1151" s="48"/>
      <c r="I1151" s="49"/>
    </row>
    <row r="1152" spans="2:9" s="1" customFormat="1" x14ac:dyDescent="0.2">
      <c r="B1152" s="44" t="str">
        <f t="shared" si="18"/>
        <v>2021-072-2</v>
      </c>
      <c r="C1152" s="45">
        <v>2021</v>
      </c>
      <c r="D1152" s="45" t="s">
        <v>101</v>
      </c>
      <c r="E1152" s="45">
        <v>2</v>
      </c>
      <c r="F1152" s="47" t="s">
        <v>997</v>
      </c>
      <c r="G1152" s="45" t="s">
        <v>3210</v>
      </c>
      <c r="H1152" s="48"/>
      <c r="I1152" s="49"/>
    </row>
    <row r="1153" spans="2:9" s="1" customFormat="1" ht="27" x14ac:dyDescent="0.2">
      <c r="B1153" s="44" t="str">
        <f t="shared" si="18"/>
        <v>2021-072-3</v>
      </c>
      <c r="C1153" s="45">
        <v>2021</v>
      </c>
      <c r="D1153" s="45" t="s">
        <v>101</v>
      </c>
      <c r="E1153" s="45">
        <v>3</v>
      </c>
      <c r="F1153" s="47" t="s">
        <v>1394</v>
      </c>
      <c r="G1153" s="45"/>
      <c r="H1153" s="48"/>
      <c r="I1153" s="49"/>
    </row>
    <row r="1154" spans="2:9" s="1" customFormat="1" ht="27" x14ac:dyDescent="0.2">
      <c r="B1154" s="44" t="str">
        <f t="shared" si="18"/>
        <v>2021-072-4</v>
      </c>
      <c r="C1154" s="45">
        <v>2021</v>
      </c>
      <c r="D1154" s="45" t="s">
        <v>101</v>
      </c>
      <c r="E1154" s="45">
        <v>4</v>
      </c>
      <c r="F1154" s="47" t="s">
        <v>1789</v>
      </c>
      <c r="G1154" s="45"/>
      <c r="H1154" s="48"/>
      <c r="I1154" s="49"/>
    </row>
    <row r="1155" spans="2:9" s="1" customFormat="1" ht="27" x14ac:dyDescent="0.2">
      <c r="B1155" s="50" t="str">
        <f t="shared" si="18"/>
        <v>2021-072-5</v>
      </c>
      <c r="C1155" s="51">
        <v>2021</v>
      </c>
      <c r="D1155" s="51" t="s">
        <v>101</v>
      </c>
      <c r="E1155" s="51">
        <v>5</v>
      </c>
      <c r="F1155" s="52" t="s">
        <v>2184</v>
      </c>
      <c r="G1155" s="51"/>
      <c r="H1155" s="53"/>
      <c r="I1155" s="54"/>
    </row>
    <row r="1156" spans="2:9" s="1" customFormat="1" x14ac:dyDescent="0.2">
      <c r="B1156" s="55" t="str">
        <f t="shared" si="18"/>
        <v>2021-073-0</v>
      </c>
      <c r="C1156" s="56">
        <v>2021</v>
      </c>
      <c r="D1156" s="56" t="s">
        <v>102</v>
      </c>
      <c r="E1156" s="56">
        <v>0</v>
      </c>
      <c r="F1156" s="57" t="s">
        <v>212</v>
      </c>
      <c r="G1156" s="56"/>
      <c r="H1156" s="58"/>
      <c r="I1156" s="59"/>
    </row>
    <row r="1157" spans="2:9" s="1" customFormat="1" ht="27" x14ac:dyDescent="0.2">
      <c r="B1157" s="44" t="str">
        <f t="shared" si="18"/>
        <v>2021-073-1</v>
      </c>
      <c r="C1157" s="45">
        <v>2021</v>
      </c>
      <c r="D1157" s="45" t="s">
        <v>102</v>
      </c>
      <c r="E1157" s="45">
        <v>1</v>
      </c>
      <c r="F1157" s="47" t="s">
        <v>598</v>
      </c>
      <c r="G1157" s="45"/>
      <c r="H1157" s="48"/>
      <c r="I1157" s="49"/>
    </row>
    <row r="1158" spans="2:9" s="1" customFormat="1" ht="27" x14ac:dyDescent="0.2">
      <c r="B1158" s="44" t="str">
        <f t="shared" si="18"/>
        <v>2021-073-2</v>
      </c>
      <c r="C1158" s="45">
        <v>2021</v>
      </c>
      <c r="D1158" s="45" t="s">
        <v>102</v>
      </c>
      <c r="E1158" s="45">
        <v>2</v>
      </c>
      <c r="F1158" s="47" t="s">
        <v>998</v>
      </c>
      <c r="G1158" s="45"/>
      <c r="H1158" s="48"/>
      <c r="I1158" s="49"/>
    </row>
    <row r="1159" spans="2:9" s="1" customFormat="1" ht="27" x14ac:dyDescent="0.2">
      <c r="B1159" s="44" t="str">
        <f t="shared" si="18"/>
        <v>2021-073-3</v>
      </c>
      <c r="C1159" s="45">
        <v>2021</v>
      </c>
      <c r="D1159" s="45" t="s">
        <v>102</v>
      </c>
      <c r="E1159" s="45">
        <v>3</v>
      </c>
      <c r="F1159" s="47" t="s">
        <v>1395</v>
      </c>
      <c r="G1159" s="45"/>
      <c r="H1159" s="48"/>
      <c r="I1159" s="49"/>
    </row>
    <row r="1160" spans="2:9" s="1" customFormat="1" x14ac:dyDescent="0.2">
      <c r="B1160" s="44" t="str">
        <f t="shared" si="18"/>
        <v>2021-073-4</v>
      </c>
      <c r="C1160" s="45">
        <v>2021</v>
      </c>
      <c r="D1160" s="45" t="s">
        <v>102</v>
      </c>
      <c r="E1160" s="45">
        <v>4</v>
      </c>
      <c r="F1160" s="47" t="s">
        <v>737</v>
      </c>
      <c r="G1160" s="45"/>
      <c r="H1160" s="48"/>
      <c r="I1160" s="49"/>
    </row>
    <row r="1161" spans="2:9" s="1" customFormat="1" x14ac:dyDescent="0.2">
      <c r="B1161" s="50" t="str">
        <f t="shared" si="18"/>
        <v>2021-073-5</v>
      </c>
      <c r="C1161" s="51">
        <v>2021</v>
      </c>
      <c r="D1161" s="51" t="s">
        <v>102</v>
      </c>
      <c r="E1161" s="51">
        <v>5</v>
      </c>
      <c r="F1161" s="52" t="s">
        <v>2185</v>
      </c>
      <c r="G1161" s="51" t="s">
        <v>3210</v>
      </c>
      <c r="H1161" s="53"/>
      <c r="I1161" s="54"/>
    </row>
    <row r="1162" spans="2:9" s="1" customFormat="1" x14ac:dyDescent="0.2">
      <c r="B1162" s="55" t="str">
        <f t="shared" si="18"/>
        <v>2021-074-0</v>
      </c>
      <c r="C1162" s="56">
        <v>2021</v>
      </c>
      <c r="D1162" s="56" t="s">
        <v>103</v>
      </c>
      <c r="E1162" s="56">
        <v>0</v>
      </c>
      <c r="F1162" s="57" t="s">
        <v>213</v>
      </c>
      <c r="G1162" s="56"/>
      <c r="H1162" s="58"/>
      <c r="I1162" s="59"/>
    </row>
    <row r="1163" spans="2:9" s="1" customFormat="1" x14ac:dyDescent="0.2">
      <c r="B1163" s="44" t="str">
        <f t="shared" si="18"/>
        <v>2021-074-1</v>
      </c>
      <c r="C1163" s="45">
        <v>2021</v>
      </c>
      <c r="D1163" s="45" t="s">
        <v>103</v>
      </c>
      <c r="E1163" s="45">
        <v>1</v>
      </c>
      <c r="F1163" s="47" t="s">
        <v>599</v>
      </c>
      <c r="G1163" s="45"/>
      <c r="H1163" s="48"/>
      <c r="I1163" s="49"/>
    </row>
    <row r="1164" spans="2:9" s="1" customFormat="1" ht="27" x14ac:dyDescent="0.2">
      <c r="B1164" s="44" t="str">
        <f t="shared" si="18"/>
        <v>2021-074-2</v>
      </c>
      <c r="C1164" s="45">
        <v>2021</v>
      </c>
      <c r="D1164" s="45" t="s">
        <v>103</v>
      </c>
      <c r="E1164" s="45">
        <v>2</v>
      </c>
      <c r="F1164" s="47" t="s">
        <v>999</v>
      </c>
      <c r="G1164" s="45"/>
      <c r="H1164" s="48"/>
      <c r="I1164" s="49"/>
    </row>
    <row r="1165" spans="2:9" s="1" customFormat="1" x14ac:dyDescent="0.2">
      <c r="B1165" s="44" t="str">
        <f t="shared" si="18"/>
        <v>2021-074-3</v>
      </c>
      <c r="C1165" s="45">
        <v>2021</v>
      </c>
      <c r="D1165" s="45" t="s">
        <v>103</v>
      </c>
      <c r="E1165" s="45">
        <v>3</v>
      </c>
      <c r="F1165" s="47" t="s">
        <v>1396</v>
      </c>
      <c r="G1165" s="45"/>
      <c r="H1165" s="48"/>
      <c r="I1165" s="49"/>
    </row>
    <row r="1166" spans="2:9" s="1" customFormat="1" x14ac:dyDescent="0.2">
      <c r="B1166" s="44" t="str">
        <f t="shared" si="18"/>
        <v>2021-074-4</v>
      </c>
      <c r="C1166" s="45">
        <v>2021</v>
      </c>
      <c r="D1166" s="45" t="s">
        <v>103</v>
      </c>
      <c r="E1166" s="45">
        <v>4</v>
      </c>
      <c r="F1166" s="47" t="s">
        <v>1790</v>
      </c>
      <c r="G1166" s="45"/>
      <c r="H1166" s="48"/>
      <c r="I1166" s="49"/>
    </row>
    <row r="1167" spans="2:9" s="1" customFormat="1" ht="27" x14ac:dyDescent="0.2">
      <c r="B1167" s="50" t="str">
        <f t="shared" si="18"/>
        <v>2021-074-5</v>
      </c>
      <c r="C1167" s="51">
        <v>2021</v>
      </c>
      <c r="D1167" s="51" t="s">
        <v>103</v>
      </c>
      <c r="E1167" s="51">
        <v>5</v>
      </c>
      <c r="F1167" s="52" t="s">
        <v>2186</v>
      </c>
      <c r="G1167" s="51" t="s">
        <v>3210</v>
      </c>
      <c r="H1167" s="53"/>
      <c r="I1167" s="54"/>
    </row>
    <row r="1168" spans="2:9" s="1" customFormat="1" ht="121.5" x14ac:dyDescent="0.2">
      <c r="B1168" s="55" t="str">
        <f t="shared" si="18"/>
        <v>2021-075-0</v>
      </c>
      <c r="C1168" s="56">
        <v>2021</v>
      </c>
      <c r="D1168" s="56" t="s">
        <v>104</v>
      </c>
      <c r="E1168" s="56">
        <v>0</v>
      </c>
      <c r="F1168" s="57" t="s">
        <v>214</v>
      </c>
      <c r="G1168" s="56"/>
      <c r="H1168" s="58"/>
      <c r="I1168" s="59"/>
    </row>
    <row r="1169" spans="2:9" s="1" customFormat="1" x14ac:dyDescent="0.2">
      <c r="B1169" s="44" t="str">
        <f t="shared" si="18"/>
        <v>2021-075-1</v>
      </c>
      <c r="C1169" s="45">
        <v>2021</v>
      </c>
      <c r="D1169" s="45" t="s">
        <v>104</v>
      </c>
      <c r="E1169" s="45">
        <v>1</v>
      </c>
      <c r="F1169" s="47" t="s">
        <v>44</v>
      </c>
      <c r="G1169" s="45" t="s">
        <v>3210</v>
      </c>
      <c r="H1169" s="48"/>
      <c r="I1169" s="49"/>
    </row>
    <row r="1170" spans="2:9" s="1" customFormat="1" x14ac:dyDescent="0.2">
      <c r="B1170" s="44" t="str">
        <f t="shared" si="18"/>
        <v>2021-075-2</v>
      </c>
      <c r="C1170" s="45">
        <v>2021</v>
      </c>
      <c r="D1170" s="45" t="s">
        <v>104</v>
      </c>
      <c r="E1170" s="45">
        <v>2</v>
      </c>
      <c r="F1170" s="47" t="s">
        <v>54</v>
      </c>
      <c r="G1170" s="45"/>
      <c r="H1170" s="48"/>
      <c r="I1170" s="49"/>
    </row>
    <row r="1171" spans="2:9" s="1" customFormat="1" x14ac:dyDescent="0.2">
      <c r="B1171" s="44" t="str">
        <f t="shared" si="18"/>
        <v>2021-075-3</v>
      </c>
      <c r="C1171" s="45">
        <v>2021</v>
      </c>
      <c r="D1171" s="45" t="s">
        <v>104</v>
      </c>
      <c r="E1171" s="45">
        <v>3</v>
      </c>
      <c r="F1171" s="47" t="s">
        <v>55</v>
      </c>
      <c r="G1171" s="45"/>
      <c r="H1171" s="48"/>
      <c r="I1171" s="49"/>
    </row>
    <row r="1172" spans="2:9" s="1" customFormat="1" x14ac:dyDescent="0.2">
      <c r="B1172" s="44" t="str">
        <f t="shared" si="18"/>
        <v>2021-075-4</v>
      </c>
      <c r="C1172" s="45">
        <v>2021</v>
      </c>
      <c r="D1172" s="45" t="s">
        <v>104</v>
      </c>
      <c r="E1172" s="45">
        <v>4</v>
      </c>
      <c r="F1172" s="47" t="s">
        <v>57</v>
      </c>
      <c r="G1172" s="45"/>
      <c r="H1172" s="48"/>
      <c r="I1172" s="49"/>
    </row>
    <row r="1173" spans="2:9" s="1" customFormat="1" ht="14.25" thickBot="1" x14ac:dyDescent="0.25">
      <c r="B1173" s="60" t="str">
        <f t="shared" si="18"/>
        <v>2021-075-5</v>
      </c>
      <c r="C1173" s="61">
        <v>2021</v>
      </c>
      <c r="D1173" s="61" t="s">
        <v>104</v>
      </c>
      <c r="E1173" s="61">
        <v>5</v>
      </c>
      <c r="F1173" s="62" t="s">
        <v>59</v>
      </c>
      <c r="G1173" s="61"/>
      <c r="H1173" s="63"/>
      <c r="I1173" s="64"/>
    </row>
    <row r="1174" spans="2:9" s="1" customFormat="1" x14ac:dyDescent="0.2">
      <c r="B1174" s="38" t="str">
        <f t="shared" ref="B1174" si="19">C1174&amp;"-"&amp;D1174&amp;"-"&amp;E1174</f>
        <v>2020-051-0</v>
      </c>
      <c r="C1174" s="39">
        <v>2020</v>
      </c>
      <c r="D1174" s="39" t="s">
        <v>80</v>
      </c>
      <c r="E1174" s="39">
        <v>0</v>
      </c>
      <c r="F1174" s="41" t="s">
        <v>215</v>
      </c>
      <c r="G1174" s="39"/>
      <c r="H1174" s="42"/>
      <c r="I1174" s="43"/>
    </row>
    <row r="1175" spans="2:9" s="1" customFormat="1" x14ac:dyDescent="0.2">
      <c r="B1175" s="44" t="str">
        <f t="shared" ref="B1175:B1238" si="20">C1175&amp;"-"&amp;D1175&amp;"-"&amp;E1175</f>
        <v>2020-051-1</v>
      </c>
      <c r="C1175" s="45">
        <v>2020</v>
      </c>
      <c r="D1175" s="45" t="s">
        <v>80</v>
      </c>
      <c r="E1175" s="45">
        <v>1</v>
      </c>
      <c r="F1175" s="47" t="s">
        <v>600</v>
      </c>
      <c r="G1175" s="45"/>
      <c r="H1175" s="48"/>
      <c r="I1175" s="49"/>
    </row>
    <row r="1176" spans="2:9" s="1" customFormat="1" x14ac:dyDescent="0.2">
      <c r="B1176" s="44" t="str">
        <f t="shared" si="20"/>
        <v>2020-051-2</v>
      </c>
      <c r="C1176" s="45">
        <v>2020</v>
      </c>
      <c r="D1176" s="45" t="s">
        <v>80</v>
      </c>
      <c r="E1176" s="45">
        <v>2</v>
      </c>
      <c r="F1176" s="47" t="s">
        <v>1000</v>
      </c>
      <c r="G1176" s="45"/>
      <c r="H1176" s="48"/>
      <c r="I1176" s="49"/>
    </row>
    <row r="1177" spans="2:9" s="1" customFormat="1" x14ac:dyDescent="0.2">
      <c r="B1177" s="44" t="str">
        <f t="shared" si="20"/>
        <v>2020-051-3</v>
      </c>
      <c r="C1177" s="45">
        <v>2020</v>
      </c>
      <c r="D1177" s="45" t="s">
        <v>80</v>
      </c>
      <c r="E1177" s="45">
        <v>3</v>
      </c>
      <c r="F1177" s="47" t="s">
        <v>1397</v>
      </c>
      <c r="G1177" s="45"/>
      <c r="H1177" s="48"/>
      <c r="I1177" s="49"/>
    </row>
    <row r="1178" spans="2:9" s="1" customFormat="1" x14ac:dyDescent="0.2">
      <c r="B1178" s="44" t="str">
        <f t="shared" si="20"/>
        <v>2020-051-4</v>
      </c>
      <c r="C1178" s="45">
        <v>2020</v>
      </c>
      <c r="D1178" s="45" t="s">
        <v>80</v>
      </c>
      <c r="E1178" s="45">
        <v>4</v>
      </c>
      <c r="F1178" s="47" t="s">
        <v>1791</v>
      </c>
      <c r="G1178" s="45" t="s">
        <v>3210</v>
      </c>
      <c r="H1178" s="48"/>
      <c r="I1178" s="49"/>
    </row>
    <row r="1179" spans="2:9" s="1" customFormat="1" ht="27" x14ac:dyDescent="0.2">
      <c r="B1179" s="50" t="str">
        <f t="shared" si="20"/>
        <v>2020-051-5</v>
      </c>
      <c r="C1179" s="51">
        <v>2020</v>
      </c>
      <c r="D1179" s="51" t="s">
        <v>80</v>
      </c>
      <c r="E1179" s="51">
        <v>5</v>
      </c>
      <c r="F1179" s="52" t="s">
        <v>2187</v>
      </c>
      <c r="G1179" s="51"/>
      <c r="H1179" s="53"/>
      <c r="I1179" s="54"/>
    </row>
    <row r="1180" spans="2:9" s="1" customFormat="1" x14ac:dyDescent="0.2">
      <c r="B1180" s="55" t="str">
        <f t="shared" si="20"/>
        <v>2020-052-0</v>
      </c>
      <c r="C1180" s="56">
        <v>2020</v>
      </c>
      <c r="D1180" s="56" t="s">
        <v>81</v>
      </c>
      <c r="E1180" s="56">
        <v>0</v>
      </c>
      <c r="F1180" s="57" t="s">
        <v>171</v>
      </c>
      <c r="G1180" s="56"/>
      <c r="H1180" s="58"/>
      <c r="I1180" s="59"/>
    </row>
    <row r="1181" spans="2:9" s="1" customFormat="1" x14ac:dyDescent="0.2">
      <c r="B1181" s="44" t="str">
        <f t="shared" si="20"/>
        <v>2020-052-1</v>
      </c>
      <c r="C1181" s="45">
        <v>2020</v>
      </c>
      <c r="D1181" s="45" t="s">
        <v>81</v>
      </c>
      <c r="E1181" s="45">
        <v>1</v>
      </c>
      <c r="F1181" s="47" t="s">
        <v>601</v>
      </c>
      <c r="G1181" s="45" t="s">
        <v>3210</v>
      </c>
      <c r="H1181" s="48"/>
      <c r="I1181" s="49"/>
    </row>
    <row r="1182" spans="2:9" s="1" customFormat="1" x14ac:dyDescent="0.2">
      <c r="B1182" s="44" t="str">
        <f t="shared" si="20"/>
        <v>2020-052-2</v>
      </c>
      <c r="C1182" s="45">
        <v>2020</v>
      </c>
      <c r="D1182" s="45" t="s">
        <v>81</v>
      </c>
      <c r="E1182" s="45">
        <v>2</v>
      </c>
      <c r="F1182" s="47" t="s">
        <v>1001</v>
      </c>
      <c r="G1182" s="45"/>
      <c r="H1182" s="48"/>
      <c r="I1182" s="49"/>
    </row>
    <row r="1183" spans="2:9" s="1" customFormat="1" x14ac:dyDescent="0.2">
      <c r="B1183" s="44" t="str">
        <f t="shared" si="20"/>
        <v>2020-052-3</v>
      </c>
      <c r="C1183" s="45">
        <v>2020</v>
      </c>
      <c r="D1183" s="45" t="s">
        <v>81</v>
      </c>
      <c r="E1183" s="45">
        <v>3</v>
      </c>
      <c r="F1183" s="47" t="s">
        <v>1398</v>
      </c>
      <c r="G1183" s="45"/>
      <c r="H1183" s="48"/>
      <c r="I1183" s="49"/>
    </row>
    <row r="1184" spans="2:9" s="1" customFormat="1" ht="27" x14ac:dyDescent="0.2">
      <c r="B1184" s="44" t="str">
        <f t="shared" si="20"/>
        <v>2020-052-4</v>
      </c>
      <c r="C1184" s="45">
        <v>2020</v>
      </c>
      <c r="D1184" s="45" t="s">
        <v>81</v>
      </c>
      <c r="E1184" s="45">
        <v>4</v>
      </c>
      <c r="F1184" s="47" t="s">
        <v>1792</v>
      </c>
      <c r="G1184" s="45"/>
      <c r="H1184" s="48"/>
      <c r="I1184" s="49"/>
    </row>
    <row r="1185" spans="2:9" s="1" customFormat="1" x14ac:dyDescent="0.2">
      <c r="B1185" s="50" t="str">
        <f t="shared" si="20"/>
        <v>2020-052-5</v>
      </c>
      <c r="C1185" s="51">
        <v>2020</v>
      </c>
      <c r="D1185" s="51" t="s">
        <v>81</v>
      </c>
      <c r="E1185" s="51">
        <v>5</v>
      </c>
      <c r="F1185" s="52" t="s">
        <v>2188</v>
      </c>
      <c r="G1185" s="51"/>
      <c r="H1185" s="53"/>
      <c r="I1185" s="54"/>
    </row>
    <row r="1186" spans="2:9" s="1" customFormat="1" x14ac:dyDescent="0.2">
      <c r="B1186" s="55" t="str">
        <f t="shared" si="20"/>
        <v>2020-053-0</v>
      </c>
      <c r="C1186" s="56">
        <v>2020</v>
      </c>
      <c r="D1186" s="56" t="s">
        <v>82</v>
      </c>
      <c r="E1186" s="56">
        <v>0</v>
      </c>
      <c r="F1186" s="57" t="s">
        <v>216</v>
      </c>
      <c r="G1186" s="56"/>
      <c r="H1186" s="58"/>
      <c r="I1186" s="59"/>
    </row>
    <row r="1187" spans="2:9" s="1" customFormat="1" x14ac:dyDescent="0.2">
      <c r="B1187" s="44" t="str">
        <f t="shared" si="20"/>
        <v>2020-053-1</v>
      </c>
      <c r="C1187" s="45">
        <v>2020</v>
      </c>
      <c r="D1187" s="45" t="s">
        <v>82</v>
      </c>
      <c r="E1187" s="45">
        <v>1</v>
      </c>
      <c r="F1187" s="47" t="s">
        <v>602</v>
      </c>
      <c r="G1187" s="45"/>
      <c r="H1187" s="48"/>
      <c r="I1187" s="49"/>
    </row>
    <row r="1188" spans="2:9" s="1" customFormat="1" ht="27" x14ac:dyDescent="0.2">
      <c r="B1188" s="44" t="str">
        <f t="shared" si="20"/>
        <v>2020-053-2</v>
      </c>
      <c r="C1188" s="45">
        <v>2020</v>
      </c>
      <c r="D1188" s="45" t="s">
        <v>82</v>
      </c>
      <c r="E1188" s="45">
        <v>2</v>
      </c>
      <c r="F1188" s="47" t="s">
        <v>1002</v>
      </c>
      <c r="G1188" s="45"/>
      <c r="H1188" s="48"/>
      <c r="I1188" s="49"/>
    </row>
    <row r="1189" spans="2:9" s="1" customFormat="1" x14ac:dyDescent="0.2">
      <c r="B1189" s="44" t="str">
        <f t="shared" si="20"/>
        <v>2020-053-3</v>
      </c>
      <c r="C1189" s="45">
        <v>2020</v>
      </c>
      <c r="D1189" s="45" t="s">
        <v>82</v>
      </c>
      <c r="E1189" s="45">
        <v>3</v>
      </c>
      <c r="F1189" s="47" t="s">
        <v>2494</v>
      </c>
      <c r="G1189" s="45"/>
      <c r="H1189" s="48"/>
      <c r="I1189" s="49"/>
    </row>
    <row r="1190" spans="2:9" s="1" customFormat="1" ht="27" x14ac:dyDescent="0.2">
      <c r="B1190" s="44" t="str">
        <f t="shared" si="20"/>
        <v>2020-053-4</v>
      </c>
      <c r="C1190" s="45">
        <v>2020</v>
      </c>
      <c r="D1190" s="45" t="s">
        <v>82</v>
      </c>
      <c r="E1190" s="45">
        <v>4</v>
      </c>
      <c r="F1190" s="47" t="s">
        <v>1793</v>
      </c>
      <c r="G1190" s="45" t="s">
        <v>3210</v>
      </c>
      <c r="H1190" s="48"/>
      <c r="I1190" s="49"/>
    </row>
    <row r="1191" spans="2:9" s="1" customFormat="1" ht="27" x14ac:dyDescent="0.2">
      <c r="B1191" s="50" t="str">
        <f t="shared" si="20"/>
        <v>2020-053-5</v>
      </c>
      <c r="C1191" s="51">
        <v>2020</v>
      </c>
      <c r="D1191" s="51" t="s">
        <v>82</v>
      </c>
      <c r="E1191" s="51">
        <v>5</v>
      </c>
      <c r="F1191" s="52" t="s">
        <v>2189</v>
      </c>
      <c r="G1191" s="51"/>
      <c r="H1191" s="53"/>
      <c r="I1191" s="54"/>
    </row>
    <row r="1192" spans="2:9" s="1" customFormat="1" x14ac:dyDescent="0.2">
      <c r="B1192" s="55" t="str">
        <f t="shared" si="20"/>
        <v>2020-054-0</v>
      </c>
      <c r="C1192" s="56">
        <v>2020</v>
      </c>
      <c r="D1192" s="56" t="s">
        <v>83</v>
      </c>
      <c r="E1192" s="56">
        <v>0</v>
      </c>
      <c r="F1192" s="57" t="s">
        <v>172</v>
      </c>
      <c r="G1192" s="56"/>
      <c r="H1192" s="58"/>
      <c r="I1192" s="59"/>
    </row>
    <row r="1193" spans="2:9" s="1" customFormat="1" x14ac:dyDescent="0.2">
      <c r="B1193" s="44" t="str">
        <f t="shared" si="20"/>
        <v>2020-054-1</v>
      </c>
      <c r="C1193" s="45">
        <v>2020</v>
      </c>
      <c r="D1193" s="45" t="s">
        <v>83</v>
      </c>
      <c r="E1193" s="45">
        <v>1</v>
      </c>
      <c r="F1193" s="47" t="s">
        <v>603</v>
      </c>
      <c r="G1193" s="45"/>
      <c r="H1193" s="48"/>
      <c r="I1193" s="49"/>
    </row>
    <row r="1194" spans="2:9" s="1" customFormat="1" x14ac:dyDescent="0.2">
      <c r="B1194" s="44" t="str">
        <f t="shared" si="20"/>
        <v>2020-054-2</v>
      </c>
      <c r="C1194" s="45">
        <v>2020</v>
      </c>
      <c r="D1194" s="45" t="s">
        <v>83</v>
      </c>
      <c r="E1194" s="45">
        <v>2</v>
      </c>
      <c r="F1194" s="47" t="s">
        <v>1003</v>
      </c>
      <c r="G1194" s="45"/>
      <c r="H1194" s="48"/>
      <c r="I1194" s="49"/>
    </row>
    <row r="1195" spans="2:9" s="1" customFormat="1" x14ac:dyDescent="0.2">
      <c r="B1195" s="44" t="str">
        <f t="shared" si="20"/>
        <v>2020-054-3</v>
      </c>
      <c r="C1195" s="45">
        <v>2020</v>
      </c>
      <c r="D1195" s="45" t="s">
        <v>83</v>
      </c>
      <c r="E1195" s="45">
        <v>3</v>
      </c>
      <c r="F1195" s="47" t="s">
        <v>1399</v>
      </c>
      <c r="G1195" s="45" t="s">
        <v>3210</v>
      </c>
      <c r="H1195" s="48"/>
      <c r="I1195" s="49"/>
    </row>
    <row r="1196" spans="2:9" s="1" customFormat="1" x14ac:dyDescent="0.2">
      <c r="B1196" s="44" t="str">
        <f t="shared" si="20"/>
        <v>2020-054-4</v>
      </c>
      <c r="C1196" s="45">
        <v>2020</v>
      </c>
      <c r="D1196" s="45" t="s">
        <v>83</v>
      </c>
      <c r="E1196" s="45">
        <v>4</v>
      </c>
      <c r="F1196" s="47" t="s">
        <v>1794</v>
      </c>
      <c r="G1196" s="45"/>
      <c r="H1196" s="48"/>
      <c r="I1196" s="49"/>
    </row>
    <row r="1197" spans="2:9" s="1" customFormat="1" x14ac:dyDescent="0.2">
      <c r="B1197" s="50" t="str">
        <f t="shared" si="20"/>
        <v>2020-054-5</v>
      </c>
      <c r="C1197" s="51">
        <v>2020</v>
      </c>
      <c r="D1197" s="51" t="s">
        <v>83</v>
      </c>
      <c r="E1197" s="51">
        <v>5</v>
      </c>
      <c r="F1197" s="52" t="s">
        <v>2190</v>
      </c>
      <c r="G1197" s="51"/>
      <c r="H1197" s="53"/>
      <c r="I1197" s="54"/>
    </row>
    <row r="1198" spans="2:9" s="1" customFormat="1" ht="27" x14ac:dyDescent="0.2">
      <c r="B1198" s="55" t="str">
        <f t="shared" si="20"/>
        <v>2020-055-0</v>
      </c>
      <c r="C1198" s="56">
        <v>2020</v>
      </c>
      <c r="D1198" s="56" t="s">
        <v>84</v>
      </c>
      <c r="E1198" s="56">
        <v>0</v>
      </c>
      <c r="F1198" s="57" t="s">
        <v>217</v>
      </c>
      <c r="G1198" s="56"/>
      <c r="H1198" s="58"/>
      <c r="I1198" s="59"/>
    </row>
    <row r="1199" spans="2:9" s="1" customFormat="1" x14ac:dyDescent="0.2">
      <c r="B1199" s="44" t="str">
        <f t="shared" si="20"/>
        <v>2020-055-1</v>
      </c>
      <c r="C1199" s="45">
        <v>2020</v>
      </c>
      <c r="D1199" s="45" t="s">
        <v>84</v>
      </c>
      <c r="E1199" s="45">
        <v>1</v>
      </c>
      <c r="F1199" s="47" t="s">
        <v>604</v>
      </c>
      <c r="G1199" s="45" t="s">
        <v>3210</v>
      </c>
      <c r="H1199" s="48"/>
      <c r="I1199" s="49"/>
    </row>
    <row r="1200" spans="2:9" s="1" customFormat="1" x14ac:dyDescent="0.2">
      <c r="B1200" s="44" t="str">
        <f t="shared" si="20"/>
        <v>2020-055-2</v>
      </c>
      <c r="C1200" s="45">
        <v>2020</v>
      </c>
      <c r="D1200" s="45" t="s">
        <v>84</v>
      </c>
      <c r="E1200" s="45">
        <v>2</v>
      </c>
      <c r="F1200" s="47" t="s">
        <v>1004</v>
      </c>
      <c r="G1200" s="45"/>
      <c r="H1200" s="48"/>
      <c r="I1200" s="49"/>
    </row>
    <row r="1201" spans="2:9" s="1" customFormat="1" x14ac:dyDescent="0.2">
      <c r="B1201" s="44" t="str">
        <f t="shared" si="20"/>
        <v>2020-055-3</v>
      </c>
      <c r="C1201" s="45">
        <v>2020</v>
      </c>
      <c r="D1201" s="45" t="s">
        <v>84</v>
      </c>
      <c r="E1201" s="45">
        <v>3</v>
      </c>
      <c r="F1201" s="47" t="s">
        <v>1400</v>
      </c>
      <c r="G1201" s="45"/>
      <c r="H1201" s="48"/>
      <c r="I1201" s="49"/>
    </row>
    <row r="1202" spans="2:9" s="1" customFormat="1" x14ac:dyDescent="0.2">
      <c r="B1202" s="44" t="str">
        <f t="shared" si="20"/>
        <v>2020-055-4</v>
      </c>
      <c r="C1202" s="45">
        <v>2020</v>
      </c>
      <c r="D1202" s="45" t="s">
        <v>84</v>
      </c>
      <c r="E1202" s="45">
        <v>4</v>
      </c>
      <c r="F1202" s="47" t="s">
        <v>1795</v>
      </c>
      <c r="G1202" s="45"/>
      <c r="H1202" s="48"/>
      <c r="I1202" s="49"/>
    </row>
    <row r="1203" spans="2:9" s="1" customFormat="1" x14ac:dyDescent="0.2">
      <c r="B1203" s="50" t="str">
        <f t="shared" si="20"/>
        <v>2020-055-5</v>
      </c>
      <c r="C1203" s="51">
        <v>2020</v>
      </c>
      <c r="D1203" s="51" t="s">
        <v>84</v>
      </c>
      <c r="E1203" s="51">
        <v>5</v>
      </c>
      <c r="F1203" s="52" t="s">
        <v>2191</v>
      </c>
      <c r="G1203" s="51"/>
      <c r="H1203" s="53"/>
      <c r="I1203" s="54"/>
    </row>
    <row r="1204" spans="2:9" s="1" customFormat="1" x14ac:dyDescent="0.2">
      <c r="B1204" s="55" t="str">
        <f t="shared" si="20"/>
        <v>2020-056-0</v>
      </c>
      <c r="C1204" s="56">
        <v>2020</v>
      </c>
      <c r="D1204" s="56" t="s">
        <v>85</v>
      </c>
      <c r="E1204" s="56">
        <v>0</v>
      </c>
      <c r="F1204" s="57" t="s">
        <v>218</v>
      </c>
      <c r="G1204" s="56"/>
      <c r="H1204" s="58"/>
      <c r="I1204" s="59"/>
    </row>
    <row r="1205" spans="2:9" s="1" customFormat="1" ht="27" x14ac:dyDescent="0.2">
      <c r="B1205" s="44" t="str">
        <f t="shared" si="20"/>
        <v>2020-056-1</v>
      </c>
      <c r="C1205" s="45">
        <v>2020</v>
      </c>
      <c r="D1205" s="45" t="s">
        <v>85</v>
      </c>
      <c r="E1205" s="45">
        <v>1</v>
      </c>
      <c r="F1205" s="47" t="s">
        <v>605</v>
      </c>
      <c r="G1205" s="45"/>
      <c r="H1205" s="48"/>
      <c r="I1205" s="49"/>
    </row>
    <row r="1206" spans="2:9" s="1" customFormat="1" ht="27" x14ac:dyDescent="0.2">
      <c r="B1206" s="44" t="str">
        <f t="shared" si="20"/>
        <v>2020-056-2</v>
      </c>
      <c r="C1206" s="45">
        <v>2020</v>
      </c>
      <c r="D1206" s="45" t="s">
        <v>85</v>
      </c>
      <c r="E1206" s="45">
        <v>2</v>
      </c>
      <c r="F1206" s="47" t="s">
        <v>1005</v>
      </c>
      <c r="G1206" s="45" t="s">
        <v>3210</v>
      </c>
      <c r="H1206" s="48"/>
      <c r="I1206" s="49"/>
    </row>
    <row r="1207" spans="2:9" s="1" customFormat="1" ht="27" x14ac:dyDescent="0.2">
      <c r="B1207" s="44" t="str">
        <f t="shared" si="20"/>
        <v>2020-056-3</v>
      </c>
      <c r="C1207" s="45">
        <v>2020</v>
      </c>
      <c r="D1207" s="45" t="s">
        <v>85</v>
      </c>
      <c r="E1207" s="45">
        <v>3</v>
      </c>
      <c r="F1207" s="47" t="s">
        <v>1401</v>
      </c>
      <c r="G1207" s="45"/>
      <c r="H1207" s="48"/>
      <c r="I1207" s="49"/>
    </row>
    <row r="1208" spans="2:9" s="1" customFormat="1" ht="27" x14ac:dyDescent="0.2">
      <c r="B1208" s="44" t="str">
        <f t="shared" si="20"/>
        <v>2020-056-4</v>
      </c>
      <c r="C1208" s="45">
        <v>2020</v>
      </c>
      <c r="D1208" s="45" t="s">
        <v>85</v>
      </c>
      <c r="E1208" s="45">
        <v>4</v>
      </c>
      <c r="F1208" s="47" t="s">
        <v>1796</v>
      </c>
      <c r="G1208" s="45"/>
      <c r="H1208" s="48"/>
      <c r="I1208" s="49"/>
    </row>
    <row r="1209" spans="2:9" s="1" customFormat="1" ht="27" x14ac:dyDescent="0.2">
      <c r="B1209" s="50" t="str">
        <f t="shared" si="20"/>
        <v>2020-056-5</v>
      </c>
      <c r="C1209" s="51">
        <v>2020</v>
      </c>
      <c r="D1209" s="51" t="s">
        <v>85</v>
      </c>
      <c r="E1209" s="51">
        <v>5</v>
      </c>
      <c r="F1209" s="52" t="s">
        <v>2192</v>
      </c>
      <c r="G1209" s="51"/>
      <c r="H1209" s="53"/>
      <c r="I1209" s="54"/>
    </row>
    <row r="1210" spans="2:9" s="1" customFormat="1" ht="81" x14ac:dyDescent="0.2">
      <c r="B1210" s="55" t="str">
        <f t="shared" si="20"/>
        <v>2020-057-0</v>
      </c>
      <c r="C1210" s="56">
        <v>2020</v>
      </c>
      <c r="D1210" s="56" t="s">
        <v>86</v>
      </c>
      <c r="E1210" s="56">
        <v>0</v>
      </c>
      <c r="F1210" s="57" t="s">
        <v>219</v>
      </c>
      <c r="G1210" s="56"/>
      <c r="H1210" s="58"/>
      <c r="I1210" s="59"/>
    </row>
    <row r="1211" spans="2:9" s="1" customFormat="1" x14ac:dyDescent="0.2">
      <c r="B1211" s="44" t="str">
        <f t="shared" si="20"/>
        <v>2020-057-1</v>
      </c>
      <c r="C1211" s="45">
        <v>2020</v>
      </c>
      <c r="D1211" s="45" t="s">
        <v>86</v>
      </c>
      <c r="E1211" s="45">
        <v>1</v>
      </c>
      <c r="F1211" s="47" t="s">
        <v>45</v>
      </c>
      <c r="G1211" s="45"/>
      <c r="H1211" s="48"/>
      <c r="I1211" s="49"/>
    </row>
    <row r="1212" spans="2:9" s="1" customFormat="1" x14ac:dyDescent="0.2">
      <c r="B1212" s="44" t="str">
        <f t="shared" si="20"/>
        <v>2020-057-2</v>
      </c>
      <c r="C1212" s="45">
        <v>2020</v>
      </c>
      <c r="D1212" s="45" t="s">
        <v>86</v>
      </c>
      <c r="E1212" s="45">
        <v>2</v>
      </c>
      <c r="F1212" s="47" t="s">
        <v>53</v>
      </c>
      <c r="G1212" s="45"/>
      <c r="H1212" s="48"/>
      <c r="I1212" s="49"/>
    </row>
    <row r="1213" spans="2:9" s="1" customFormat="1" x14ac:dyDescent="0.2">
      <c r="B1213" s="44" t="str">
        <f t="shared" si="20"/>
        <v>2020-057-3</v>
      </c>
      <c r="C1213" s="45">
        <v>2020</v>
      </c>
      <c r="D1213" s="45" t="s">
        <v>86</v>
      </c>
      <c r="E1213" s="45">
        <v>3</v>
      </c>
      <c r="F1213" s="47" t="s">
        <v>44</v>
      </c>
      <c r="G1213" s="45"/>
      <c r="H1213" s="48"/>
      <c r="I1213" s="49"/>
    </row>
    <row r="1214" spans="2:9" s="1" customFormat="1" x14ac:dyDescent="0.2">
      <c r="B1214" s="44" t="str">
        <f t="shared" si="20"/>
        <v>2020-057-4</v>
      </c>
      <c r="C1214" s="45">
        <v>2020</v>
      </c>
      <c r="D1214" s="45" t="s">
        <v>86</v>
      </c>
      <c r="E1214" s="45">
        <v>4</v>
      </c>
      <c r="F1214" s="47" t="s">
        <v>55</v>
      </c>
      <c r="G1214" s="45"/>
      <c r="H1214" s="48"/>
      <c r="I1214" s="49"/>
    </row>
    <row r="1215" spans="2:9" s="1" customFormat="1" x14ac:dyDescent="0.2">
      <c r="B1215" s="50" t="str">
        <f t="shared" si="20"/>
        <v>2020-057-5</v>
      </c>
      <c r="C1215" s="51">
        <v>2020</v>
      </c>
      <c r="D1215" s="51" t="s">
        <v>86</v>
      </c>
      <c r="E1215" s="51">
        <v>5</v>
      </c>
      <c r="F1215" s="52" t="s">
        <v>46</v>
      </c>
      <c r="G1215" s="51" t="s">
        <v>3210</v>
      </c>
      <c r="H1215" s="53"/>
      <c r="I1215" s="54"/>
    </row>
    <row r="1216" spans="2:9" s="1" customFormat="1" x14ac:dyDescent="0.2">
      <c r="B1216" s="55" t="str">
        <f t="shared" si="20"/>
        <v>2020-058-0</v>
      </c>
      <c r="C1216" s="56">
        <v>2020</v>
      </c>
      <c r="D1216" s="56" t="s">
        <v>87</v>
      </c>
      <c r="E1216" s="56">
        <v>0</v>
      </c>
      <c r="F1216" s="57" t="s">
        <v>220</v>
      </c>
      <c r="G1216" s="56"/>
      <c r="H1216" s="58"/>
      <c r="I1216" s="59"/>
    </row>
    <row r="1217" spans="2:9" s="1" customFormat="1" x14ac:dyDescent="0.2">
      <c r="B1217" s="44" t="str">
        <f t="shared" si="20"/>
        <v>2020-058-1</v>
      </c>
      <c r="C1217" s="45">
        <v>2020</v>
      </c>
      <c r="D1217" s="45" t="s">
        <v>87</v>
      </c>
      <c r="E1217" s="45">
        <v>1</v>
      </c>
      <c r="F1217" s="47" t="s">
        <v>606</v>
      </c>
      <c r="G1217" s="45" t="s">
        <v>3210</v>
      </c>
      <c r="H1217" s="48"/>
      <c r="I1217" s="49"/>
    </row>
    <row r="1218" spans="2:9" s="1" customFormat="1" x14ac:dyDescent="0.2">
      <c r="B1218" s="44" t="str">
        <f t="shared" si="20"/>
        <v>2020-058-2</v>
      </c>
      <c r="C1218" s="45">
        <v>2020</v>
      </c>
      <c r="D1218" s="45" t="s">
        <v>87</v>
      </c>
      <c r="E1218" s="45">
        <v>2</v>
      </c>
      <c r="F1218" s="47" t="s">
        <v>1006</v>
      </c>
      <c r="G1218" s="45"/>
      <c r="H1218" s="48"/>
      <c r="I1218" s="49"/>
    </row>
    <row r="1219" spans="2:9" s="1" customFormat="1" x14ac:dyDescent="0.2">
      <c r="B1219" s="44" t="str">
        <f t="shared" si="20"/>
        <v>2020-058-3</v>
      </c>
      <c r="C1219" s="45">
        <v>2020</v>
      </c>
      <c r="D1219" s="45" t="s">
        <v>87</v>
      </c>
      <c r="E1219" s="45">
        <v>3</v>
      </c>
      <c r="F1219" s="47" t="s">
        <v>1402</v>
      </c>
      <c r="G1219" s="45"/>
      <c r="H1219" s="48"/>
      <c r="I1219" s="49"/>
    </row>
    <row r="1220" spans="2:9" s="1" customFormat="1" x14ac:dyDescent="0.2">
      <c r="B1220" s="44" t="str">
        <f t="shared" si="20"/>
        <v>2020-058-4</v>
      </c>
      <c r="C1220" s="45">
        <v>2020</v>
      </c>
      <c r="D1220" s="45" t="s">
        <v>87</v>
      </c>
      <c r="E1220" s="45">
        <v>4</v>
      </c>
      <c r="F1220" s="47" t="s">
        <v>1797</v>
      </c>
      <c r="G1220" s="45"/>
      <c r="H1220" s="48"/>
      <c r="I1220" s="49"/>
    </row>
    <row r="1221" spans="2:9" s="1" customFormat="1" x14ac:dyDescent="0.2">
      <c r="B1221" s="50" t="str">
        <f t="shared" si="20"/>
        <v>2020-058-5</v>
      </c>
      <c r="C1221" s="51">
        <v>2020</v>
      </c>
      <c r="D1221" s="51" t="s">
        <v>87</v>
      </c>
      <c r="E1221" s="51">
        <v>5</v>
      </c>
      <c r="F1221" s="52" t="s">
        <v>2193</v>
      </c>
      <c r="G1221" s="51"/>
      <c r="H1221" s="53"/>
      <c r="I1221" s="54"/>
    </row>
    <row r="1222" spans="2:9" s="1" customFormat="1" x14ac:dyDescent="0.2">
      <c r="B1222" s="55" t="str">
        <f t="shared" si="20"/>
        <v>2020-059-0</v>
      </c>
      <c r="C1222" s="56">
        <v>2020</v>
      </c>
      <c r="D1222" s="56" t="s">
        <v>88</v>
      </c>
      <c r="E1222" s="56">
        <v>0</v>
      </c>
      <c r="F1222" s="57" t="s">
        <v>221</v>
      </c>
      <c r="G1222" s="56"/>
      <c r="H1222" s="58"/>
      <c r="I1222" s="59"/>
    </row>
    <row r="1223" spans="2:9" s="1" customFormat="1" x14ac:dyDescent="0.2">
      <c r="B1223" s="44" t="str">
        <f t="shared" si="20"/>
        <v>2020-059-1</v>
      </c>
      <c r="C1223" s="45">
        <v>2020</v>
      </c>
      <c r="D1223" s="45" t="s">
        <v>88</v>
      </c>
      <c r="E1223" s="45">
        <v>1</v>
      </c>
      <c r="F1223" s="66" t="s">
        <v>607</v>
      </c>
      <c r="G1223" s="45"/>
      <c r="H1223" s="48"/>
      <c r="I1223" s="49"/>
    </row>
    <row r="1224" spans="2:9" s="1" customFormat="1" x14ac:dyDescent="0.2">
      <c r="B1224" s="44" t="str">
        <f t="shared" si="20"/>
        <v>2020-059-2</v>
      </c>
      <c r="C1224" s="45">
        <v>2020</v>
      </c>
      <c r="D1224" s="45" t="s">
        <v>88</v>
      </c>
      <c r="E1224" s="45">
        <v>2</v>
      </c>
      <c r="F1224" s="47" t="s">
        <v>1007</v>
      </c>
      <c r="G1224" s="45"/>
      <c r="H1224" s="48"/>
      <c r="I1224" s="49"/>
    </row>
    <row r="1225" spans="2:9" s="1" customFormat="1" x14ac:dyDescent="0.2">
      <c r="B1225" s="44" t="str">
        <f t="shared" si="20"/>
        <v>2020-059-3</v>
      </c>
      <c r="C1225" s="45">
        <v>2020</v>
      </c>
      <c r="D1225" s="45" t="s">
        <v>88</v>
      </c>
      <c r="E1225" s="45">
        <v>3</v>
      </c>
      <c r="F1225" s="47" t="s">
        <v>1403</v>
      </c>
      <c r="G1225" s="45"/>
      <c r="H1225" s="48"/>
      <c r="I1225" s="49"/>
    </row>
    <row r="1226" spans="2:9" s="1" customFormat="1" x14ac:dyDescent="0.2">
      <c r="B1226" s="44" t="str">
        <f t="shared" si="20"/>
        <v>2020-059-4</v>
      </c>
      <c r="C1226" s="45">
        <v>2020</v>
      </c>
      <c r="D1226" s="45" t="s">
        <v>88</v>
      </c>
      <c r="E1226" s="45">
        <v>4</v>
      </c>
      <c r="F1226" s="47" t="s">
        <v>1798</v>
      </c>
      <c r="G1226" s="45" t="s">
        <v>3210</v>
      </c>
      <c r="H1226" s="48"/>
      <c r="I1226" s="49"/>
    </row>
    <row r="1227" spans="2:9" s="1" customFormat="1" x14ac:dyDescent="0.2">
      <c r="B1227" s="50" t="str">
        <f t="shared" si="20"/>
        <v>2020-059-5</v>
      </c>
      <c r="C1227" s="51">
        <v>2020</v>
      </c>
      <c r="D1227" s="51" t="s">
        <v>88</v>
      </c>
      <c r="E1227" s="51">
        <v>5</v>
      </c>
      <c r="F1227" s="52" t="s">
        <v>2194</v>
      </c>
      <c r="G1227" s="51"/>
      <c r="H1227" s="53"/>
      <c r="I1227" s="54"/>
    </row>
    <row r="1228" spans="2:9" s="1" customFormat="1" x14ac:dyDescent="0.2">
      <c r="B1228" s="55" t="str">
        <f t="shared" si="20"/>
        <v>2020-060-0</v>
      </c>
      <c r="C1228" s="56">
        <v>2020</v>
      </c>
      <c r="D1228" s="56" t="s">
        <v>89</v>
      </c>
      <c r="E1228" s="56">
        <v>0</v>
      </c>
      <c r="F1228" s="57" t="s">
        <v>222</v>
      </c>
      <c r="G1228" s="56"/>
      <c r="H1228" s="58"/>
      <c r="I1228" s="59"/>
    </row>
    <row r="1229" spans="2:9" s="1" customFormat="1" x14ac:dyDescent="0.2">
      <c r="B1229" s="44" t="str">
        <f t="shared" si="20"/>
        <v>2020-060-1</v>
      </c>
      <c r="C1229" s="45">
        <v>2020</v>
      </c>
      <c r="D1229" s="45" t="s">
        <v>89</v>
      </c>
      <c r="E1229" s="45">
        <v>1</v>
      </c>
      <c r="F1229" s="47" t="s">
        <v>608</v>
      </c>
      <c r="G1229" s="45"/>
      <c r="H1229" s="48"/>
      <c r="I1229" s="49"/>
    </row>
    <row r="1230" spans="2:9" s="1" customFormat="1" x14ac:dyDescent="0.2">
      <c r="B1230" s="44" t="str">
        <f t="shared" si="20"/>
        <v>2020-060-2</v>
      </c>
      <c r="C1230" s="45">
        <v>2020</v>
      </c>
      <c r="D1230" s="45" t="s">
        <v>89</v>
      </c>
      <c r="E1230" s="45">
        <v>2</v>
      </c>
      <c r="F1230" s="47" t="s">
        <v>1008</v>
      </c>
      <c r="G1230" s="45"/>
      <c r="H1230" s="48"/>
      <c r="I1230" s="49"/>
    </row>
    <row r="1231" spans="2:9" s="1" customFormat="1" x14ac:dyDescent="0.2">
      <c r="B1231" s="44" t="str">
        <f t="shared" si="20"/>
        <v>2020-060-3</v>
      </c>
      <c r="C1231" s="45">
        <v>2020</v>
      </c>
      <c r="D1231" s="45" t="s">
        <v>89</v>
      </c>
      <c r="E1231" s="45">
        <v>3</v>
      </c>
      <c r="F1231" s="47" t="s">
        <v>1404</v>
      </c>
      <c r="G1231" s="45" t="s">
        <v>3210</v>
      </c>
      <c r="H1231" s="48"/>
      <c r="I1231" s="49"/>
    </row>
    <row r="1232" spans="2:9" s="1" customFormat="1" x14ac:dyDescent="0.2">
      <c r="B1232" s="44" t="str">
        <f t="shared" si="20"/>
        <v>2020-060-4</v>
      </c>
      <c r="C1232" s="45">
        <v>2020</v>
      </c>
      <c r="D1232" s="45" t="s">
        <v>89</v>
      </c>
      <c r="E1232" s="45">
        <v>4</v>
      </c>
      <c r="F1232" s="47" t="s">
        <v>1799</v>
      </c>
      <c r="G1232" s="45"/>
      <c r="H1232" s="48"/>
      <c r="I1232" s="49"/>
    </row>
    <row r="1233" spans="2:9" s="1" customFormat="1" x14ac:dyDescent="0.2">
      <c r="B1233" s="50" t="str">
        <f t="shared" si="20"/>
        <v>2020-060-5</v>
      </c>
      <c r="C1233" s="51">
        <v>2020</v>
      </c>
      <c r="D1233" s="51" t="s">
        <v>89</v>
      </c>
      <c r="E1233" s="51">
        <v>5</v>
      </c>
      <c r="F1233" s="52" t="s">
        <v>2195</v>
      </c>
      <c r="G1233" s="51"/>
      <c r="H1233" s="53"/>
      <c r="I1233" s="54"/>
    </row>
    <row r="1234" spans="2:9" s="1" customFormat="1" x14ac:dyDescent="0.2">
      <c r="B1234" s="55" t="str">
        <f t="shared" si="20"/>
        <v>2020-061-0</v>
      </c>
      <c r="C1234" s="56">
        <v>2020</v>
      </c>
      <c r="D1234" s="56" t="s">
        <v>90</v>
      </c>
      <c r="E1234" s="56">
        <v>0</v>
      </c>
      <c r="F1234" s="57" t="s">
        <v>223</v>
      </c>
      <c r="G1234" s="56"/>
      <c r="H1234" s="58"/>
      <c r="I1234" s="59"/>
    </row>
    <row r="1235" spans="2:9" s="1" customFormat="1" ht="27" x14ac:dyDescent="0.2">
      <c r="B1235" s="44" t="str">
        <f t="shared" si="20"/>
        <v>2020-061-1</v>
      </c>
      <c r="C1235" s="45">
        <v>2020</v>
      </c>
      <c r="D1235" s="45" t="s">
        <v>90</v>
      </c>
      <c r="E1235" s="45">
        <v>1</v>
      </c>
      <c r="F1235" s="47" t="s">
        <v>609</v>
      </c>
      <c r="G1235" s="45"/>
      <c r="H1235" s="48"/>
      <c r="I1235" s="49"/>
    </row>
    <row r="1236" spans="2:9" s="1" customFormat="1" x14ac:dyDescent="0.2">
      <c r="B1236" s="44" t="str">
        <f t="shared" si="20"/>
        <v>2020-061-2</v>
      </c>
      <c r="C1236" s="45">
        <v>2020</v>
      </c>
      <c r="D1236" s="45" t="s">
        <v>90</v>
      </c>
      <c r="E1236" s="45">
        <v>2</v>
      </c>
      <c r="F1236" s="47" t="s">
        <v>1009</v>
      </c>
      <c r="G1236" s="45" t="s">
        <v>3210</v>
      </c>
      <c r="H1236" s="48"/>
      <c r="I1236" s="49"/>
    </row>
    <row r="1237" spans="2:9" s="1" customFormat="1" ht="27" x14ac:dyDescent="0.2">
      <c r="B1237" s="44" t="str">
        <f t="shared" si="20"/>
        <v>2020-061-3</v>
      </c>
      <c r="C1237" s="45">
        <v>2020</v>
      </c>
      <c r="D1237" s="45" t="s">
        <v>90</v>
      </c>
      <c r="E1237" s="45">
        <v>3</v>
      </c>
      <c r="F1237" s="47" t="s">
        <v>1405</v>
      </c>
      <c r="G1237" s="45"/>
      <c r="H1237" s="48"/>
      <c r="I1237" s="49"/>
    </row>
    <row r="1238" spans="2:9" s="1" customFormat="1" x14ac:dyDescent="0.2">
      <c r="B1238" s="44" t="str">
        <f t="shared" si="20"/>
        <v>2020-061-4</v>
      </c>
      <c r="C1238" s="45">
        <v>2020</v>
      </c>
      <c r="D1238" s="45" t="s">
        <v>90</v>
      </c>
      <c r="E1238" s="45">
        <v>4</v>
      </c>
      <c r="F1238" s="47" t="s">
        <v>1800</v>
      </c>
      <c r="G1238" s="45"/>
      <c r="H1238" s="48"/>
      <c r="I1238" s="49"/>
    </row>
    <row r="1239" spans="2:9" s="1" customFormat="1" x14ac:dyDescent="0.2">
      <c r="B1239" s="50" t="str">
        <f t="shared" ref="B1239:B1302" si="21">C1239&amp;"-"&amp;D1239&amp;"-"&amp;E1239</f>
        <v>2020-061-5</v>
      </c>
      <c r="C1239" s="51">
        <v>2020</v>
      </c>
      <c r="D1239" s="51" t="s">
        <v>90</v>
      </c>
      <c r="E1239" s="51">
        <v>5</v>
      </c>
      <c r="F1239" s="52" t="s">
        <v>2196</v>
      </c>
      <c r="G1239" s="51"/>
      <c r="H1239" s="53"/>
      <c r="I1239" s="54"/>
    </row>
    <row r="1240" spans="2:9" s="1" customFormat="1" x14ac:dyDescent="0.2">
      <c r="B1240" s="55" t="str">
        <f t="shared" si="21"/>
        <v>2020-062-0</v>
      </c>
      <c r="C1240" s="56">
        <v>2020</v>
      </c>
      <c r="D1240" s="56" t="s">
        <v>91</v>
      </c>
      <c r="E1240" s="56">
        <v>0</v>
      </c>
      <c r="F1240" s="57" t="s">
        <v>156</v>
      </c>
      <c r="G1240" s="56"/>
      <c r="H1240" s="58"/>
      <c r="I1240" s="59"/>
    </row>
    <row r="1241" spans="2:9" s="1" customFormat="1" x14ac:dyDescent="0.2">
      <c r="B1241" s="44" t="str">
        <f t="shared" si="21"/>
        <v>2020-062-1</v>
      </c>
      <c r="C1241" s="45">
        <v>2020</v>
      </c>
      <c r="D1241" s="45" t="s">
        <v>91</v>
      </c>
      <c r="E1241" s="45">
        <v>1</v>
      </c>
      <c r="F1241" s="47" t="s">
        <v>610</v>
      </c>
      <c r="G1241" s="45"/>
      <c r="H1241" s="48"/>
      <c r="I1241" s="49"/>
    </row>
    <row r="1242" spans="2:9" s="1" customFormat="1" x14ac:dyDescent="0.2">
      <c r="B1242" s="44" t="str">
        <f t="shared" si="21"/>
        <v>2020-062-2</v>
      </c>
      <c r="C1242" s="45">
        <v>2020</v>
      </c>
      <c r="D1242" s="45" t="s">
        <v>91</v>
      </c>
      <c r="E1242" s="45">
        <v>2</v>
      </c>
      <c r="F1242" s="47" t="s">
        <v>1010</v>
      </c>
      <c r="G1242" s="45"/>
      <c r="H1242" s="48"/>
      <c r="I1242" s="49"/>
    </row>
    <row r="1243" spans="2:9" s="1" customFormat="1" ht="27" x14ac:dyDescent="0.2">
      <c r="B1243" s="44" t="str">
        <f t="shared" si="21"/>
        <v>2020-062-3</v>
      </c>
      <c r="C1243" s="45">
        <v>2020</v>
      </c>
      <c r="D1243" s="45" t="s">
        <v>91</v>
      </c>
      <c r="E1243" s="45">
        <v>3</v>
      </c>
      <c r="F1243" s="47" t="s">
        <v>1406</v>
      </c>
      <c r="G1243" s="45" t="s">
        <v>3210</v>
      </c>
      <c r="H1243" s="48"/>
      <c r="I1243" s="49"/>
    </row>
    <row r="1244" spans="2:9" s="1" customFormat="1" x14ac:dyDescent="0.2">
      <c r="B1244" s="44" t="str">
        <f t="shared" si="21"/>
        <v>2020-062-4</v>
      </c>
      <c r="C1244" s="45">
        <v>2020</v>
      </c>
      <c r="D1244" s="45" t="s">
        <v>91</v>
      </c>
      <c r="E1244" s="45">
        <v>4</v>
      </c>
      <c r="F1244" s="47" t="s">
        <v>1801</v>
      </c>
      <c r="G1244" s="45"/>
      <c r="H1244" s="48"/>
      <c r="I1244" s="49"/>
    </row>
    <row r="1245" spans="2:9" s="1" customFormat="1" x14ac:dyDescent="0.2">
      <c r="B1245" s="50" t="str">
        <f t="shared" si="21"/>
        <v>2020-062-5</v>
      </c>
      <c r="C1245" s="51">
        <v>2020</v>
      </c>
      <c r="D1245" s="51" t="s">
        <v>91</v>
      </c>
      <c r="E1245" s="51">
        <v>5</v>
      </c>
      <c r="F1245" s="52" t="s">
        <v>2197</v>
      </c>
      <c r="G1245" s="51"/>
      <c r="H1245" s="53"/>
      <c r="I1245" s="54"/>
    </row>
    <row r="1246" spans="2:9" s="1" customFormat="1" x14ac:dyDescent="0.2">
      <c r="B1246" s="55" t="str">
        <f t="shared" si="21"/>
        <v>2020-063-0</v>
      </c>
      <c r="C1246" s="56">
        <v>2020</v>
      </c>
      <c r="D1246" s="56" t="s">
        <v>92</v>
      </c>
      <c r="E1246" s="56">
        <v>0</v>
      </c>
      <c r="F1246" s="57" t="s">
        <v>224</v>
      </c>
      <c r="G1246" s="56"/>
      <c r="H1246" s="58"/>
      <c r="I1246" s="59"/>
    </row>
    <row r="1247" spans="2:9" s="1" customFormat="1" x14ac:dyDescent="0.2">
      <c r="B1247" s="44" t="str">
        <f t="shared" si="21"/>
        <v>2020-063-1</v>
      </c>
      <c r="C1247" s="45">
        <v>2020</v>
      </c>
      <c r="D1247" s="45" t="s">
        <v>92</v>
      </c>
      <c r="E1247" s="45">
        <v>1</v>
      </c>
      <c r="F1247" s="47" t="s">
        <v>611</v>
      </c>
      <c r="G1247" s="45" t="s">
        <v>3210</v>
      </c>
      <c r="H1247" s="48"/>
      <c r="I1247" s="49"/>
    </row>
    <row r="1248" spans="2:9" s="1" customFormat="1" x14ac:dyDescent="0.2">
      <c r="B1248" s="44" t="str">
        <f t="shared" si="21"/>
        <v>2020-063-2</v>
      </c>
      <c r="C1248" s="45">
        <v>2020</v>
      </c>
      <c r="D1248" s="45" t="s">
        <v>92</v>
      </c>
      <c r="E1248" s="45">
        <v>2</v>
      </c>
      <c r="F1248" s="47" t="s">
        <v>1011</v>
      </c>
      <c r="G1248" s="45"/>
      <c r="H1248" s="48"/>
      <c r="I1248" s="49"/>
    </row>
    <row r="1249" spans="2:9" s="1" customFormat="1" x14ac:dyDescent="0.2">
      <c r="B1249" s="44" t="str">
        <f t="shared" si="21"/>
        <v>2020-063-3</v>
      </c>
      <c r="C1249" s="45">
        <v>2020</v>
      </c>
      <c r="D1249" s="45" t="s">
        <v>92</v>
      </c>
      <c r="E1249" s="45">
        <v>3</v>
      </c>
      <c r="F1249" s="47" t="s">
        <v>1407</v>
      </c>
      <c r="G1249" s="45"/>
      <c r="H1249" s="48"/>
      <c r="I1249" s="49"/>
    </row>
    <row r="1250" spans="2:9" s="1" customFormat="1" ht="27" x14ac:dyDescent="0.2">
      <c r="B1250" s="44" t="str">
        <f t="shared" si="21"/>
        <v>2020-063-4</v>
      </c>
      <c r="C1250" s="45">
        <v>2020</v>
      </c>
      <c r="D1250" s="45" t="s">
        <v>92</v>
      </c>
      <c r="E1250" s="45">
        <v>4</v>
      </c>
      <c r="F1250" s="47" t="s">
        <v>1802</v>
      </c>
      <c r="G1250" s="45"/>
      <c r="H1250" s="48"/>
      <c r="I1250" s="49"/>
    </row>
    <row r="1251" spans="2:9" s="1" customFormat="1" x14ac:dyDescent="0.2">
      <c r="B1251" s="50" t="str">
        <f t="shared" si="21"/>
        <v>2020-063-5</v>
      </c>
      <c r="C1251" s="51">
        <v>2020</v>
      </c>
      <c r="D1251" s="51" t="s">
        <v>92</v>
      </c>
      <c r="E1251" s="51">
        <v>5</v>
      </c>
      <c r="F1251" s="52" t="s">
        <v>2198</v>
      </c>
      <c r="G1251" s="51"/>
      <c r="H1251" s="53"/>
      <c r="I1251" s="54"/>
    </row>
    <row r="1252" spans="2:9" s="1" customFormat="1" ht="54" x14ac:dyDescent="0.2">
      <c r="B1252" s="55" t="str">
        <f t="shared" si="21"/>
        <v>2020-064-0</v>
      </c>
      <c r="C1252" s="56">
        <v>2020</v>
      </c>
      <c r="D1252" s="56" t="s">
        <v>93</v>
      </c>
      <c r="E1252" s="56">
        <v>0</v>
      </c>
      <c r="F1252" s="57" t="s">
        <v>225</v>
      </c>
      <c r="G1252" s="56"/>
      <c r="H1252" s="58"/>
      <c r="I1252" s="59"/>
    </row>
    <row r="1253" spans="2:9" s="1" customFormat="1" x14ac:dyDescent="0.2">
      <c r="B1253" s="44" t="str">
        <f t="shared" si="21"/>
        <v>2020-064-1</v>
      </c>
      <c r="C1253" s="45">
        <v>2020</v>
      </c>
      <c r="D1253" s="45" t="s">
        <v>93</v>
      </c>
      <c r="E1253" s="45">
        <v>1</v>
      </c>
      <c r="F1253" s="47" t="s">
        <v>45</v>
      </c>
      <c r="G1253" s="45"/>
      <c r="H1253" s="48"/>
      <c r="I1253" s="49"/>
    </row>
    <row r="1254" spans="2:9" s="1" customFormat="1" x14ac:dyDescent="0.2">
      <c r="B1254" s="44" t="str">
        <f t="shared" si="21"/>
        <v>2020-064-2</v>
      </c>
      <c r="C1254" s="45">
        <v>2020</v>
      </c>
      <c r="D1254" s="45" t="s">
        <v>93</v>
      </c>
      <c r="E1254" s="45">
        <v>2</v>
      </c>
      <c r="F1254" s="47" t="s">
        <v>44</v>
      </c>
      <c r="G1254" s="45" t="s">
        <v>3210</v>
      </c>
      <c r="H1254" s="48"/>
      <c r="I1254" s="49"/>
    </row>
    <row r="1255" spans="2:9" s="1" customFormat="1" x14ac:dyDescent="0.2">
      <c r="B1255" s="44" t="str">
        <f t="shared" si="21"/>
        <v>2020-064-3</v>
      </c>
      <c r="C1255" s="45">
        <v>2020</v>
      </c>
      <c r="D1255" s="45" t="s">
        <v>93</v>
      </c>
      <c r="E1255" s="45">
        <v>3</v>
      </c>
      <c r="F1255" s="47" t="s">
        <v>47</v>
      </c>
      <c r="G1255" s="45"/>
      <c r="H1255" s="48"/>
      <c r="I1255" s="49"/>
    </row>
    <row r="1256" spans="2:9" s="1" customFormat="1" x14ac:dyDescent="0.2">
      <c r="B1256" s="44" t="str">
        <f t="shared" si="21"/>
        <v>2020-064-4</v>
      </c>
      <c r="C1256" s="45">
        <v>2020</v>
      </c>
      <c r="D1256" s="45" t="s">
        <v>93</v>
      </c>
      <c r="E1256" s="45">
        <v>4</v>
      </c>
      <c r="F1256" s="47" t="s">
        <v>55</v>
      </c>
      <c r="G1256" s="45"/>
      <c r="H1256" s="48"/>
      <c r="I1256" s="49"/>
    </row>
    <row r="1257" spans="2:9" s="1" customFormat="1" x14ac:dyDescent="0.2">
      <c r="B1257" s="50" t="str">
        <f t="shared" si="21"/>
        <v>2020-064-5</v>
      </c>
      <c r="C1257" s="51">
        <v>2020</v>
      </c>
      <c r="D1257" s="51" t="s">
        <v>93</v>
      </c>
      <c r="E1257" s="51">
        <v>5</v>
      </c>
      <c r="F1257" s="52" t="s">
        <v>46</v>
      </c>
      <c r="G1257" s="51"/>
      <c r="H1257" s="53"/>
      <c r="I1257" s="54"/>
    </row>
    <row r="1258" spans="2:9" s="1" customFormat="1" x14ac:dyDescent="0.2">
      <c r="B1258" s="55" t="str">
        <f t="shared" si="21"/>
        <v>2020-065-0</v>
      </c>
      <c r="C1258" s="56">
        <v>2020</v>
      </c>
      <c r="D1258" s="56" t="s">
        <v>94</v>
      </c>
      <c r="E1258" s="56">
        <v>0</v>
      </c>
      <c r="F1258" s="57" t="s">
        <v>226</v>
      </c>
      <c r="G1258" s="56"/>
      <c r="H1258" s="58"/>
      <c r="I1258" s="59"/>
    </row>
    <row r="1259" spans="2:9" s="1" customFormat="1" x14ac:dyDescent="0.2">
      <c r="B1259" s="44" t="str">
        <f t="shared" si="21"/>
        <v>2020-065-1</v>
      </c>
      <c r="C1259" s="45">
        <v>2020</v>
      </c>
      <c r="D1259" s="45" t="s">
        <v>94</v>
      </c>
      <c r="E1259" s="45">
        <v>1</v>
      </c>
      <c r="F1259" s="47" t="s">
        <v>612</v>
      </c>
      <c r="G1259" s="45"/>
      <c r="H1259" s="48"/>
      <c r="I1259" s="49"/>
    </row>
    <row r="1260" spans="2:9" s="1" customFormat="1" ht="27" x14ac:dyDescent="0.2">
      <c r="B1260" s="44" t="str">
        <f t="shared" si="21"/>
        <v>2020-065-2</v>
      </c>
      <c r="C1260" s="45">
        <v>2020</v>
      </c>
      <c r="D1260" s="45" t="s">
        <v>94</v>
      </c>
      <c r="E1260" s="45">
        <v>2</v>
      </c>
      <c r="F1260" s="47" t="s">
        <v>1012</v>
      </c>
      <c r="G1260" s="45"/>
      <c r="H1260" s="48"/>
      <c r="I1260" s="49"/>
    </row>
    <row r="1261" spans="2:9" s="1" customFormat="1" ht="27" x14ac:dyDescent="0.2">
      <c r="B1261" s="44" t="str">
        <f t="shared" si="21"/>
        <v>2020-065-3</v>
      </c>
      <c r="C1261" s="45">
        <v>2020</v>
      </c>
      <c r="D1261" s="45" t="s">
        <v>94</v>
      </c>
      <c r="E1261" s="45">
        <v>3</v>
      </c>
      <c r="F1261" s="47" t="s">
        <v>1408</v>
      </c>
      <c r="G1261" s="45"/>
      <c r="H1261" s="48"/>
      <c r="I1261" s="49"/>
    </row>
    <row r="1262" spans="2:9" s="1" customFormat="1" ht="27" x14ac:dyDescent="0.2">
      <c r="B1262" s="44" t="str">
        <f t="shared" si="21"/>
        <v>2020-065-4</v>
      </c>
      <c r="C1262" s="45">
        <v>2020</v>
      </c>
      <c r="D1262" s="45" t="s">
        <v>94</v>
      </c>
      <c r="E1262" s="45">
        <v>4</v>
      </c>
      <c r="F1262" s="47" t="s">
        <v>1803</v>
      </c>
      <c r="G1262" s="45"/>
      <c r="H1262" s="48"/>
      <c r="I1262" s="49"/>
    </row>
    <row r="1263" spans="2:9" s="1" customFormat="1" x14ac:dyDescent="0.2">
      <c r="B1263" s="50" t="str">
        <f t="shared" si="21"/>
        <v>2020-065-5</v>
      </c>
      <c r="C1263" s="51">
        <v>2020</v>
      </c>
      <c r="D1263" s="51" t="s">
        <v>94</v>
      </c>
      <c r="E1263" s="51">
        <v>5</v>
      </c>
      <c r="F1263" s="52" t="s">
        <v>2199</v>
      </c>
      <c r="G1263" s="51" t="s">
        <v>3210</v>
      </c>
      <c r="H1263" s="53"/>
      <c r="I1263" s="54"/>
    </row>
    <row r="1264" spans="2:9" s="1" customFormat="1" ht="27" x14ac:dyDescent="0.2">
      <c r="B1264" s="55" t="str">
        <f t="shared" si="21"/>
        <v>2020-066-0</v>
      </c>
      <c r="C1264" s="56">
        <v>2020</v>
      </c>
      <c r="D1264" s="56" t="s">
        <v>95</v>
      </c>
      <c r="E1264" s="56">
        <v>0</v>
      </c>
      <c r="F1264" s="57" t="s">
        <v>227</v>
      </c>
      <c r="G1264" s="56"/>
      <c r="H1264" s="58"/>
      <c r="I1264" s="59"/>
    </row>
    <row r="1265" spans="2:9" s="1" customFormat="1" x14ac:dyDescent="0.2">
      <c r="B1265" s="44" t="str">
        <f t="shared" si="21"/>
        <v>2020-066-1</v>
      </c>
      <c r="C1265" s="45">
        <v>2020</v>
      </c>
      <c r="D1265" s="45" t="s">
        <v>95</v>
      </c>
      <c r="E1265" s="45">
        <v>1</v>
      </c>
      <c r="F1265" s="47" t="s">
        <v>613</v>
      </c>
      <c r="G1265" s="45"/>
      <c r="H1265" s="48"/>
      <c r="I1265" s="49"/>
    </row>
    <row r="1266" spans="2:9" s="1" customFormat="1" x14ac:dyDescent="0.2">
      <c r="B1266" s="44" t="str">
        <f t="shared" si="21"/>
        <v>2020-066-2</v>
      </c>
      <c r="C1266" s="45">
        <v>2020</v>
      </c>
      <c r="D1266" s="45" t="s">
        <v>95</v>
      </c>
      <c r="E1266" s="45">
        <v>2</v>
      </c>
      <c r="F1266" s="47" t="s">
        <v>1013</v>
      </c>
      <c r="G1266" s="45" t="s">
        <v>3210</v>
      </c>
      <c r="H1266" s="48"/>
      <c r="I1266" s="49"/>
    </row>
    <row r="1267" spans="2:9" s="1" customFormat="1" x14ac:dyDescent="0.2">
      <c r="B1267" s="44" t="str">
        <f t="shared" si="21"/>
        <v>2020-066-3</v>
      </c>
      <c r="C1267" s="45">
        <v>2020</v>
      </c>
      <c r="D1267" s="45" t="s">
        <v>95</v>
      </c>
      <c r="E1267" s="45">
        <v>3</v>
      </c>
      <c r="F1267" s="47" t="s">
        <v>1409</v>
      </c>
      <c r="G1267" s="45"/>
      <c r="H1267" s="48"/>
      <c r="I1267" s="49"/>
    </row>
    <row r="1268" spans="2:9" s="1" customFormat="1" x14ac:dyDescent="0.2">
      <c r="B1268" s="44" t="str">
        <f t="shared" si="21"/>
        <v>2020-066-4</v>
      </c>
      <c r="C1268" s="45">
        <v>2020</v>
      </c>
      <c r="D1268" s="45" t="s">
        <v>95</v>
      </c>
      <c r="E1268" s="45">
        <v>4</v>
      </c>
      <c r="F1268" s="47" t="s">
        <v>1804</v>
      </c>
      <c r="G1268" s="45"/>
      <c r="H1268" s="48"/>
      <c r="I1268" s="49"/>
    </row>
    <row r="1269" spans="2:9" s="1" customFormat="1" x14ac:dyDescent="0.2">
      <c r="B1269" s="50" t="str">
        <f t="shared" si="21"/>
        <v>2020-066-5</v>
      </c>
      <c r="C1269" s="51">
        <v>2020</v>
      </c>
      <c r="D1269" s="51" t="s">
        <v>95</v>
      </c>
      <c r="E1269" s="51">
        <v>5</v>
      </c>
      <c r="F1269" s="52" t="s">
        <v>2200</v>
      </c>
      <c r="G1269" s="51"/>
      <c r="H1269" s="53"/>
      <c r="I1269" s="54"/>
    </row>
    <row r="1270" spans="2:9" s="1" customFormat="1" x14ac:dyDescent="0.2">
      <c r="B1270" s="55" t="str">
        <f t="shared" si="21"/>
        <v>2020-067-0</v>
      </c>
      <c r="C1270" s="56">
        <v>2020</v>
      </c>
      <c r="D1270" s="56" t="s">
        <v>96</v>
      </c>
      <c r="E1270" s="56">
        <v>0</v>
      </c>
      <c r="F1270" s="57" t="s">
        <v>228</v>
      </c>
      <c r="G1270" s="56"/>
      <c r="H1270" s="58"/>
      <c r="I1270" s="59"/>
    </row>
    <row r="1271" spans="2:9" s="1" customFormat="1" x14ac:dyDescent="0.2">
      <c r="B1271" s="44" t="str">
        <f t="shared" si="21"/>
        <v>2020-067-1</v>
      </c>
      <c r="C1271" s="45">
        <v>2020</v>
      </c>
      <c r="D1271" s="45" t="s">
        <v>96</v>
      </c>
      <c r="E1271" s="45">
        <v>1</v>
      </c>
      <c r="F1271" s="47" t="s">
        <v>614</v>
      </c>
      <c r="G1271" s="45" t="s">
        <v>3210</v>
      </c>
      <c r="H1271" s="48"/>
      <c r="I1271" s="49"/>
    </row>
    <row r="1272" spans="2:9" s="1" customFormat="1" x14ac:dyDescent="0.2">
      <c r="B1272" s="44" t="str">
        <f t="shared" si="21"/>
        <v>2020-067-2</v>
      </c>
      <c r="C1272" s="45">
        <v>2020</v>
      </c>
      <c r="D1272" s="45" t="s">
        <v>96</v>
      </c>
      <c r="E1272" s="45">
        <v>2</v>
      </c>
      <c r="F1272" s="47" t="s">
        <v>1014</v>
      </c>
      <c r="G1272" s="45"/>
      <c r="H1272" s="48"/>
      <c r="I1272" s="49"/>
    </row>
    <row r="1273" spans="2:9" s="1" customFormat="1" x14ac:dyDescent="0.2">
      <c r="B1273" s="44" t="str">
        <f t="shared" si="21"/>
        <v>2020-067-3</v>
      </c>
      <c r="C1273" s="45">
        <v>2020</v>
      </c>
      <c r="D1273" s="45" t="s">
        <v>96</v>
      </c>
      <c r="E1273" s="45">
        <v>3</v>
      </c>
      <c r="F1273" s="47" t="s">
        <v>1037</v>
      </c>
      <c r="G1273" s="45"/>
      <c r="H1273" s="48"/>
      <c r="I1273" s="49"/>
    </row>
    <row r="1274" spans="2:9" s="1" customFormat="1" x14ac:dyDescent="0.2">
      <c r="B1274" s="44" t="str">
        <f t="shared" si="21"/>
        <v>2020-067-4</v>
      </c>
      <c r="C1274" s="45">
        <v>2020</v>
      </c>
      <c r="D1274" s="45" t="s">
        <v>96</v>
      </c>
      <c r="E1274" s="45">
        <v>4</v>
      </c>
      <c r="F1274" s="47" t="s">
        <v>1805</v>
      </c>
      <c r="G1274" s="45"/>
      <c r="H1274" s="48"/>
      <c r="I1274" s="49"/>
    </row>
    <row r="1275" spans="2:9" s="1" customFormat="1" x14ac:dyDescent="0.2">
      <c r="B1275" s="50" t="str">
        <f t="shared" si="21"/>
        <v>2020-067-5</v>
      </c>
      <c r="C1275" s="51">
        <v>2020</v>
      </c>
      <c r="D1275" s="51" t="s">
        <v>96</v>
      </c>
      <c r="E1275" s="51">
        <v>5</v>
      </c>
      <c r="F1275" s="52" t="s">
        <v>751</v>
      </c>
      <c r="G1275" s="51"/>
      <c r="H1275" s="53"/>
      <c r="I1275" s="54"/>
    </row>
    <row r="1276" spans="2:9" s="1" customFormat="1" x14ac:dyDescent="0.2">
      <c r="B1276" s="55" t="str">
        <f t="shared" si="21"/>
        <v>2020-068-0</v>
      </c>
      <c r="C1276" s="56">
        <v>2020</v>
      </c>
      <c r="D1276" s="56" t="s">
        <v>97</v>
      </c>
      <c r="E1276" s="56">
        <v>0</v>
      </c>
      <c r="F1276" s="57" t="s">
        <v>229</v>
      </c>
      <c r="G1276" s="56"/>
      <c r="H1276" s="58"/>
      <c r="I1276" s="59"/>
    </row>
    <row r="1277" spans="2:9" s="1" customFormat="1" ht="27" x14ac:dyDescent="0.2">
      <c r="B1277" s="44" t="str">
        <f t="shared" si="21"/>
        <v>2020-068-1</v>
      </c>
      <c r="C1277" s="45">
        <v>2020</v>
      </c>
      <c r="D1277" s="45" t="s">
        <v>97</v>
      </c>
      <c r="E1277" s="45">
        <v>1</v>
      </c>
      <c r="F1277" s="47" t="s">
        <v>615</v>
      </c>
      <c r="G1277" s="45"/>
      <c r="H1277" s="48"/>
      <c r="I1277" s="49"/>
    </row>
    <row r="1278" spans="2:9" s="1" customFormat="1" ht="27" x14ac:dyDescent="0.2">
      <c r="B1278" s="44" t="str">
        <f t="shared" si="21"/>
        <v>2020-068-2</v>
      </c>
      <c r="C1278" s="45">
        <v>2020</v>
      </c>
      <c r="D1278" s="45" t="s">
        <v>97</v>
      </c>
      <c r="E1278" s="45">
        <v>2</v>
      </c>
      <c r="F1278" s="47" t="s">
        <v>1015</v>
      </c>
      <c r="G1278" s="45"/>
      <c r="H1278" s="48"/>
      <c r="I1278" s="49"/>
    </row>
    <row r="1279" spans="2:9" s="1" customFormat="1" x14ac:dyDescent="0.2">
      <c r="B1279" s="44" t="str">
        <f t="shared" si="21"/>
        <v>2020-068-3</v>
      </c>
      <c r="C1279" s="45">
        <v>2020</v>
      </c>
      <c r="D1279" s="45" t="s">
        <v>97</v>
      </c>
      <c r="E1279" s="45">
        <v>3</v>
      </c>
      <c r="F1279" s="47" t="s">
        <v>1410</v>
      </c>
      <c r="G1279" s="45"/>
      <c r="H1279" s="48"/>
      <c r="I1279" s="49"/>
    </row>
    <row r="1280" spans="2:9" s="1" customFormat="1" x14ac:dyDescent="0.2">
      <c r="B1280" s="44" t="str">
        <f t="shared" si="21"/>
        <v>2020-068-4</v>
      </c>
      <c r="C1280" s="45">
        <v>2020</v>
      </c>
      <c r="D1280" s="45" t="s">
        <v>97</v>
      </c>
      <c r="E1280" s="45">
        <v>4</v>
      </c>
      <c r="F1280" s="47" t="s">
        <v>1806</v>
      </c>
      <c r="G1280" s="45" t="s">
        <v>3210</v>
      </c>
      <c r="H1280" s="48"/>
      <c r="I1280" s="49"/>
    </row>
    <row r="1281" spans="2:9" s="1" customFormat="1" ht="27" x14ac:dyDescent="0.2">
      <c r="B1281" s="50" t="str">
        <f t="shared" si="21"/>
        <v>2020-068-5</v>
      </c>
      <c r="C1281" s="51">
        <v>2020</v>
      </c>
      <c r="D1281" s="51" t="s">
        <v>97</v>
      </c>
      <c r="E1281" s="51">
        <v>5</v>
      </c>
      <c r="F1281" s="52" t="s">
        <v>2201</v>
      </c>
      <c r="G1281" s="51"/>
      <c r="H1281" s="53"/>
      <c r="I1281" s="54"/>
    </row>
    <row r="1282" spans="2:9" s="1" customFormat="1" x14ac:dyDescent="0.2">
      <c r="B1282" s="55" t="str">
        <f t="shared" si="21"/>
        <v>2020-069-0</v>
      </c>
      <c r="C1282" s="56">
        <v>2020</v>
      </c>
      <c r="D1282" s="56" t="s">
        <v>98</v>
      </c>
      <c r="E1282" s="56">
        <v>0</v>
      </c>
      <c r="F1282" s="57" t="s">
        <v>230</v>
      </c>
      <c r="G1282" s="56"/>
      <c r="H1282" s="58"/>
      <c r="I1282" s="59"/>
    </row>
    <row r="1283" spans="2:9" s="1" customFormat="1" ht="27" x14ac:dyDescent="0.2">
      <c r="B1283" s="44" t="str">
        <f t="shared" si="21"/>
        <v>2020-069-1</v>
      </c>
      <c r="C1283" s="45">
        <v>2020</v>
      </c>
      <c r="D1283" s="45" t="s">
        <v>98</v>
      </c>
      <c r="E1283" s="45">
        <v>1</v>
      </c>
      <c r="F1283" s="47" t="s">
        <v>616</v>
      </c>
      <c r="G1283" s="45"/>
      <c r="H1283" s="48"/>
      <c r="I1283" s="49"/>
    </row>
    <row r="1284" spans="2:9" s="1" customFormat="1" x14ac:dyDescent="0.2">
      <c r="B1284" s="44" t="str">
        <f t="shared" si="21"/>
        <v>2020-069-2</v>
      </c>
      <c r="C1284" s="45">
        <v>2020</v>
      </c>
      <c r="D1284" s="45" t="s">
        <v>98</v>
      </c>
      <c r="E1284" s="45">
        <v>2</v>
      </c>
      <c r="F1284" s="47" t="s">
        <v>1016</v>
      </c>
      <c r="G1284" s="45"/>
      <c r="H1284" s="48"/>
      <c r="I1284" s="49"/>
    </row>
    <row r="1285" spans="2:9" s="1" customFormat="1" x14ac:dyDescent="0.2">
      <c r="B1285" s="44" t="str">
        <f t="shared" si="21"/>
        <v>2020-069-3</v>
      </c>
      <c r="C1285" s="45">
        <v>2020</v>
      </c>
      <c r="D1285" s="45" t="s">
        <v>98</v>
      </c>
      <c r="E1285" s="45">
        <v>3</v>
      </c>
      <c r="F1285" s="47" t="s">
        <v>1411</v>
      </c>
      <c r="G1285" s="45"/>
      <c r="H1285" s="48"/>
      <c r="I1285" s="49"/>
    </row>
    <row r="1286" spans="2:9" s="1" customFormat="1" ht="27" x14ac:dyDescent="0.2">
      <c r="B1286" s="44" t="str">
        <f t="shared" si="21"/>
        <v>2020-069-4</v>
      </c>
      <c r="C1286" s="45">
        <v>2020</v>
      </c>
      <c r="D1286" s="45" t="s">
        <v>98</v>
      </c>
      <c r="E1286" s="45">
        <v>4</v>
      </c>
      <c r="F1286" s="47" t="s">
        <v>1807</v>
      </c>
      <c r="G1286" s="45" t="s">
        <v>3210</v>
      </c>
      <c r="H1286" s="48"/>
      <c r="I1286" s="49"/>
    </row>
    <row r="1287" spans="2:9" s="1" customFormat="1" x14ac:dyDescent="0.2">
      <c r="B1287" s="50" t="str">
        <f t="shared" si="21"/>
        <v>2020-069-5</v>
      </c>
      <c r="C1287" s="51">
        <v>2020</v>
      </c>
      <c r="D1287" s="51" t="s">
        <v>98</v>
      </c>
      <c r="E1287" s="51">
        <v>5</v>
      </c>
      <c r="F1287" s="52" t="s">
        <v>2202</v>
      </c>
      <c r="G1287" s="51"/>
      <c r="H1287" s="53"/>
      <c r="I1287" s="54"/>
    </row>
    <row r="1288" spans="2:9" s="1" customFormat="1" ht="27" x14ac:dyDescent="0.2">
      <c r="B1288" s="55" t="str">
        <f t="shared" si="21"/>
        <v>2020-070-0</v>
      </c>
      <c r="C1288" s="56">
        <v>2020</v>
      </c>
      <c r="D1288" s="56" t="s">
        <v>99</v>
      </c>
      <c r="E1288" s="56">
        <v>0</v>
      </c>
      <c r="F1288" s="57" t="s">
        <v>231</v>
      </c>
      <c r="G1288" s="56"/>
      <c r="H1288" s="58"/>
      <c r="I1288" s="59"/>
    </row>
    <row r="1289" spans="2:9" s="1" customFormat="1" x14ac:dyDescent="0.2">
      <c r="B1289" s="44" t="str">
        <f t="shared" si="21"/>
        <v>2020-070-1</v>
      </c>
      <c r="C1289" s="45">
        <v>2020</v>
      </c>
      <c r="D1289" s="45" t="s">
        <v>99</v>
      </c>
      <c r="E1289" s="45">
        <v>1</v>
      </c>
      <c r="F1289" s="47" t="s">
        <v>617</v>
      </c>
      <c r="G1289" s="45"/>
      <c r="H1289" s="48"/>
      <c r="I1289" s="49"/>
    </row>
    <row r="1290" spans="2:9" s="1" customFormat="1" x14ac:dyDescent="0.2">
      <c r="B1290" s="44" t="str">
        <f t="shared" si="21"/>
        <v>2020-070-2</v>
      </c>
      <c r="C1290" s="45">
        <v>2020</v>
      </c>
      <c r="D1290" s="45" t="s">
        <v>99</v>
      </c>
      <c r="E1290" s="45">
        <v>2</v>
      </c>
      <c r="F1290" s="47" t="s">
        <v>1017</v>
      </c>
      <c r="G1290" s="45"/>
      <c r="H1290" s="48"/>
      <c r="I1290" s="49"/>
    </row>
    <row r="1291" spans="2:9" s="1" customFormat="1" x14ac:dyDescent="0.2">
      <c r="B1291" s="44" t="str">
        <f t="shared" si="21"/>
        <v>2020-070-3</v>
      </c>
      <c r="C1291" s="45">
        <v>2020</v>
      </c>
      <c r="D1291" s="45" t="s">
        <v>99</v>
      </c>
      <c r="E1291" s="45">
        <v>3</v>
      </c>
      <c r="F1291" s="47" t="s">
        <v>1412</v>
      </c>
      <c r="G1291" s="45"/>
      <c r="H1291" s="48"/>
      <c r="I1291" s="49"/>
    </row>
    <row r="1292" spans="2:9" s="1" customFormat="1" x14ac:dyDescent="0.2">
      <c r="B1292" s="44" t="str">
        <f t="shared" si="21"/>
        <v>2020-070-4</v>
      </c>
      <c r="C1292" s="45">
        <v>2020</v>
      </c>
      <c r="D1292" s="45" t="s">
        <v>99</v>
      </c>
      <c r="E1292" s="45">
        <v>4</v>
      </c>
      <c r="F1292" s="47" t="s">
        <v>1808</v>
      </c>
      <c r="G1292" s="45"/>
      <c r="H1292" s="48"/>
      <c r="I1292" s="49"/>
    </row>
    <row r="1293" spans="2:9" s="1" customFormat="1" ht="27" x14ac:dyDescent="0.2">
      <c r="B1293" s="50" t="str">
        <f t="shared" si="21"/>
        <v>2020-070-5</v>
      </c>
      <c r="C1293" s="51">
        <v>2020</v>
      </c>
      <c r="D1293" s="51" t="s">
        <v>99</v>
      </c>
      <c r="E1293" s="51">
        <v>5</v>
      </c>
      <c r="F1293" s="52" t="s">
        <v>2203</v>
      </c>
      <c r="G1293" s="51" t="s">
        <v>3210</v>
      </c>
      <c r="H1293" s="53"/>
      <c r="I1293" s="54"/>
    </row>
    <row r="1294" spans="2:9" s="1" customFormat="1" x14ac:dyDescent="0.2">
      <c r="B1294" s="55" t="str">
        <f t="shared" si="21"/>
        <v>2020-071-0</v>
      </c>
      <c r="C1294" s="56">
        <v>2020</v>
      </c>
      <c r="D1294" s="56" t="s">
        <v>100</v>
      </c>
      <c r="E1294" s="56">
        <v>0</v>
      </c>
      <c r="F1294" s="57" t="s">
        <v>232</v>
      </c>
      <c r="G1294" s="56"/>
      <c r="H1294" s="58"/>
      <c r="I1294" s="59"/>
    </row>
    <row r="1295" spans="2:9" s="1" customFormat="1" x14ac:dyDescent="0.2">
      <c r="B1295" s="44" t="str">
        <f t="shared" si="21"/>
        <v>2020-071-1</v>
      </c>
      <c r="C1295" s="45">
        <v>2020</v>
      </c>
      <c r="D1295" s="45" t="s">
        <v>100</v>
      </c>
      <c r="E1295" s="45">
        <v>1</v>
      </c>
      <c r="F1295" s="47" t="s">
        <v>618</v>
      </c>
      <c r="G1295" s="45"/>
      <c r="H1295" s="48"/>
      <c r="I1295" s="49"/>
    </row>
    <row r="1296" spans="2:9" s="1" customFormat="1" x14ac:dyDescent="0.2">
      <c r="B1296" s="44" t="str">
        <f t="shared" si="21"/>
        <v>2020-071-2</v>
      </c>
      <c r="C1296" s="45">
        <v>2020</v>
      </c>
      <c r="D1296" s="45" t="s">
        <v>100</v>
      </c>
      <c r="E1296" s="45">
        <v>2</v>
      </c>
      <c r="F1296" s="47" t="s">
        <v>1018</v>
      </c>
      <c r="G1296" s="45"/>
      <c r="H1296" s="48"/>
      <c r="I1296" s="49"/>
    </row>
    <row r="1297" spans="2:9" s="1" customFormat="1" ht="27" x14ac:dyDescent="0.2">
      <c r="B1297" s="44" t="str">
        <f t="shared" si="21"/>
        <v>2020-071-3</v>
      </c>
      <c r="C1297" s="45">
        <v>2020</v>
      </c>
      <c r="D1297" s="45" t="s">
        <v>100</v>
      </c>
      <c r="E1297" s="45">
        <v>3</v>
      </c>
      <c r="F1297" s="47" t="s">
        <v>1413</v>
      </c>
      <c r="G1297" s="45" t="s">
        <v>3210</v>
      </c>
      <c r="H1297" s="48"/>
      <c r="I1297" s="49"/>
    </row>
    <row r="1298" spans="2:9" s="1" customFormat="1" x14ac:dyDescent="0.2">
      <c r="B1298" s="44" t="str">
        <f t="shared" si="21"/>
        <v>2020-071-4</v>
      </c>
      <c r="C1298" s="45">
        <v>2020</v>
      </c>
      <c r="D1298" s="45" t="s">
        <v>100</v>
      </c>
      <c r="E1298" s="45">
        <v>4</v>
      </c>
      <c r="F1298" s="47" t="s">
        <v>1809</v>
      </c>
      <c r="G1298" s="45"/>
      <c r="H1298" s="48"/>
      <c r="I1298" s="49"/>
    </row>
    <row r="1299" spans="2:9" s="1" customFormat="1" x14ac:dyDescent="0.2">
      <c r="B1299" s="50" t="str">
        <f t="shared" si="21"/>
        <v>2020-071-5</v>
      </c>
      <c r="C1299" s="51">
        <v>2020</v>
      </c>
      <c r="D1299" s="51" t="s">
        <v>100</v>
      </c>
      <c r="E1299" s="51">
        <v>5</v>
      </c>
      <c r="F1299" s="52" t="s">
        <v>2204</v>
      </c>
      <c r="G1299" s="51"/>
      <c r="H1299" s="53"/>
      <c r="I1299" s="54"/>
    </row>
    <row r="1300" spans="2:9" s="1" customFormat="1" x14ac:dyDescent="0.2">
      <c r="B1300" s="55" t="str">
        <f t="shared" si="21"/>
        <v>2020-072-0</v>
      </c>
      <c r="C1300" s="56">
        <v>2020</v>
      </c>
      <c r="D1300" s="56" t="s">
        <v>101</v>
      </c>
      <c r="E1300" s="56">
        <v>0</v>
      </c>
      <c r="F1300" s="57" t="s">
        <v>233</v>
      </c>
      <c r="G1300" s="56"/>
      <c r="H1300" s="58"/>
      <c r="I1300" s="59"/>
    </row>
    <row r="1301" spans="2:9" s="1" customFormat="1" x14ac:dyDescent="0.2">
      <c r="B1301" s="44" t="str">
        <f t="shared" si="21"/>
        <v>2020-072-1</v>
      </c>
      <c r="C1301" s="45">
        <v>2020</v>
      </c>
      <c r="D1301" s="45" t="s">
        <v>101</v>
      </c>
      <c r="E1301" s="45">
        <v>1</v>
      </c>
      <c r="F1301" s="47" t="s">
        <v>619</v>
      </c>
      <c r="G1301" s="45"/>
      <c r="H1301" s="48"/>
      <c r="I1301" s="49"/>
    </row>
    <row r="1302" spans="2:9" s="1" customFormat="1" x14ac:dyDescent="0.2">
      <c r="B1302" s="44" t="str">
        <f t="shared" si="21"/>
        <v>2020-072-2</v>
      </c>
      <c r="C1302" s="45">
        <v>2020</v>
      </c>
      <c r="D1302" s="45" t="s">
        <v>101</v>
      </c>
      <c r="E1302" s="45">
        <v>2</v>
      </c>
      <c r="F1302" s="47" t="s">
        <v>1019</v>
      </c>
      <c r="G1302" s="45"/>
      <c r="H1302" s="48"/>
      <c r="I1302" s="49"/>
    </row>
    <row r="1303" spans="2:9" s="1" customFormat="1" ht="27" x14ac:dyDescent="0.2">
      <c r="B1303" s="44" t="str">
        <f t="shared" ref="B1303:B1323" si="22">C1303&amp;"-"&amp;D1303&amp;"-"&amp;E1303</f>
        <v>2020-072-3</v>
      </c>
      <c r="C1303" s="45">
        <v>2020</v>
      </c>
      <c r="D1303" s="45" t="s">
        <v>101</v>
      </c>
      <c r="E1303" s="45">
        <v>3</v>
      </c>
      <c r="F1303" s="47" t="s">
        <v>1414</v>
      </c>
      <c r="G1303" s="45" t="s">
        <v>3210</v>
      </c>
      <c r="H1303" s="48"/>
      <c r="I1303" s="49"/>
    </row>
    <row r="1304" spans="2:9" s="1" customFormat="1" ht="27" x14ac:dyDescent="0.2">
      <c r="B1304" s="44" t="str">
        <f t="shared" si="22"/>
        <v>2020-072-4</v>
      </c>
      <c r="C1304" s="45">
        <v>2020</v>
      </c>
      <c r="D1304" s="45" t="s">
        <v>101</v>
      </c>
      <c r="E1304" s="45">
        <v>4</v>
      </c>
      <c r="F1304" s="47" t="s">
        <v>1810</v>
      </c>
      <c r="G1304" s="45"/>
      <c r="H1304" s="48"/>
      <c r="I1304" s="49"/>
    </row>
    <row r="1305" spans="2:9" s="1" customFormat="1" ht="27" x14ac:dyDescent="0.2">
      <c r="B1305" s="50" t="str">
        <f t="shared" si="22"/>
        <v>2020-072-5</v>
      </c>
      <c r="C1305" s="51">
        <v>2020</v>
      </c>
      <c r="D1305" s="51" t="s">
        <v>101</v>
      </c>
      <c r="E1305" s="51">
        <v>5</v>
      </c>
      <c r="F1305" s="52" t="s">
        <v>2205</v>
      </c>
      <c r="G1305" s="51"/>
      <c r="H1305" s="53"/>
      <c r="I1305" s="54"/>
    </row>
    <row r="1306" spans="2:9" s="1" customFormat="1" ht="67.5" x14ac:dyDescent="0.2">
      <c r="B1306" s="55" t="str">
        <f t="shared" si="22"/>
        <v>2020-073-0</v>
      </c>
      <c r="C1306" s="56">
        <v>2020</v>
      </c>
      <c r="D1306" s="56" t="s">
        <v>102</v>
      </c>
      <c r="E1306" s="56">
        <v>0</v>
      </c>
      <c r="F1306" s="57" t="s">
        <v>234</v>
      </c>
      <c r="G1306" s="56"/>
      <c r="H1306" s="58"/>
      <c r="I1306" s="59"/>
    </row>
    <row r="1307" spans="2:9" s="1" customFormat="1" x14ac:dyDescent="0.2">
      <c r="B1307" s="44" t="str">
        <f t="shared" si="22"/>
        <v>2020-073-1</v>
      </c>
      <c r="C1307" s="45">
        <v>2020</v>
      </c>
      <c r="D1307" s="45" t="s">
        <v>102</v>
      </c>
      <c r="E1307" s="45">
        <v>1</v>
      </c>
      <c r="F1307" s="47" t="s">
        <v>45</v>
      </c>
      <c r="G1307" s="45"/>
      <c r="H1307" s="48"/>
      <c r="I1307" s="49"/>
    </row>
    <row r="1308" spans="2:9" s="1" customFormat="1" x14ac:dyDescent="0.2">
      <c r="B1308" s="44" t="str">
        <f t="shared" si="22"/>
        <v>2020-073-2</v>
      </c>
      <c r="C1308" s="45">
        <v>2020</v>
      </c>
      <c r="D1308" s="45" t="s">
        <v>102</v>
      </c>
      <c r="E1308" s="45">
        <v>2</v>
      </c>
      <c r="F1308" s="47" t="s">
        <v>44</v>
      </c>
      <c r="G1308" s="45"/>
      <c r="H1308" s="48"/>
      <c r="I1308" s="49"/>
    </row>
    <row r="1309" spans="2:9" s="1" customFormat="1" x14ac:dyDescent="0.2">
      <c r="B1309" s="44" t="str">
        <f t="shared" si="22"/>
        <v>2020-073-3</v>
      </c>
      <c r="C1309" s="45">
        <v>2020</v>
      </c>
      <c r="D1309" s="45" t="s">
        <v>102</v>
      </c>
      <c r="E1309" s="45">
        <v>3</v>
      </c>
      <c r="F1309" s="47" t="s">
        <v>47</v>
      </c>
      <c r="G1309" s="45"/>
      <c r="H1309" s="48"/>
      <c r="I1309" s="49"/>
    </row>
    <row r="1310" spans="2:9" s="1" customFormat="1" x14ac:dyDescent="0.2">
      <c r="B1310" s="44" t="str">
        <f t="shared" si="22"/>
        <v>2020-073-4</v>
      </c>
      <c r="C1310" s="45">
        <v>2020</v>
      </c>
      <c r="D1310" s="45" t="s">
        <v>102</v>
      </c>
      <c r="E1310" s="45">
        <v>4</v>
      </c>
      <c r="F1310" s="47" t="s">
        <v>55</v>
      </c>
      <c r="G1310" s="45" t="s">
        <v>3210</v>
      </c>
      <c r="H1310" s="48"/>
      <c r="I1310" s="49"/>
    </row>
    <row r="1311" spans="2:9" s="1" customFormat="1" x14ac:dyDescent="0.2">
      <c r="B1311" s="50" t="str">
        <f t="shared" si="22"/>
        <v>2020-073-5</v>
      </c>
      <c r="C1311" s="51">
        <v>2020</v>
      </c>
      <c r="D1311" s="51" t="s">
        <v>102</v>
      </c>
      <c r="E1311" s="51">
        <v>5</v>
      </c>
      <c r="F1311" s="52" t="s">
        <v>46</v>
      </c>
      <c r="G1311" s="51"/>
      <c r="H1311" s="53"/>
      <c r="I1311" s="54"/>
    </row>
    <row r="1312" spans="2:9" s="1" customFormat="1" x14ac:dyDescent="0.2">
      <c r="B1312" s="55" t="str">
        <f t="shared" si="22"/>
        <v>2020-074-0</v>
      </c>
      <c r="C1312" s="56">
        <v>2020</v>
      </c>
      <c r="D1312" s="56" t="s">
        <v>103</v>
      </c>
      <c r="E1312" s="56">
        <v>0</v>
      </c>
      <c r="F1312" s="57" t="s">
        <v>235</v>
      </c>
      <c r="G1312" s="56"/>
      <c r="H1312" s="58"/>
      <c r="I1312" s="59"/>
    </row>
    <row r="1313" spans="2:9" s="1" customFormat="1" x14ac:dyDescent="0.2">
      <c r="B1313" s="44" t="str">
        <f t="shared" si="22"/>
        <v>2020-074-1</v>
      </c>
      <c r="C1313" s="45">
        <v>2020</v>
      </c>
      <c r="D1313" s="45" t="s">
        <v>103</v>
      </c>
      <c r="E1313" s="45">
        <v>1</v>
      </c>
      <c r="F1313" s="47" t="s">
        <v>620</v>
      </c>
      <c r="G1313" s="45"/>
      <c r="H1313" s="48"/>
      <c r="I1313" s="49"/>
    </row>
    <row r="1314" spans="2:9" s="1" customFormat="1" x14ac:dyDescent="0.2">
      <c r="B1314" s="44" t="str">
        <f t="shared" si="22"/>
        <v>2020-074-2</v>
      </c>
      <c r="C1314" s="45">
        <v>2020</v>
      </c>
      <c r="D1314" s="45" t="s">
        <v>103</v>
      </c>
      <c r="E1314" s="45">
        <v>2</v>
      </c>
      <c r="F1314" s="47" t="s">
        <v>1020</v>
      </c>
      <c r="G1314" s="45"/>
      <c r="H1314" s="48"/>
      <c r="I1314" s="49"/>
    </row>
    <row r="1315" spans="2:9" s="1" customFormat="1" ht="27" x14ac:dyDescent="0.2">
      <c r="B1315" s="44" t="str">
        <f t="shared" si="22"/>
        <v>2020-074-3</v>
      </c>
      <c r="C1315" s="45">
        <v>2020</v>
      </c>
      <c r="D1315" s="45" t="s">
        <v>103</v>
      </c>
      <c r="E1315" s="45">
        <v>3</v>
      </c>
      <c r="F1315" s="47" t="s">
        <v>1415</v>
      </c>
      <c r="G1315" s="45" t="s">
        <v>3210</v>
      </c>
      <c r="H1315" s="48"/>
      <c r="I1315" s="49"/>
    </row>
    <row r="1316" spans="2:9" s="1" customFormat="1" x14ac:dyDescent="0.2">
      <c r="B1316" s="44" t="str">
        <f t="shared" si="22"/>
        <v>2020-074-4</v>
      </c>
      <c r="C1316" s="45">
        <v>2020</v>
      </c>
      <c r="D1316" s="45" t="s">
        <v>103</v>
      </c>
      <c r="E1316" s="45">
        <v>4</v>
      </c>
      <c r="F1316" s="47" t="s">
        <v>1811</v>
      </c>
      <c r="G1316" s="45"/>
      <c r="H1316" s="48"/>
      <c r="I1316" s="49"/>
    </row>
    <row r="1317" spans="2:9" s="1" customFormat="1" x14ac:dyDescent="0.2">
      <c r="B1317" s="50" t="str">
        <f t="shared" si="22"/>
        <v>2020-074-5</v>
      </c>
      <c r="C1317" s="51">
        <v>2020</v>
      </c>
      <c r="D1317" s="51" t="s">
        <v>103</v>
      </c>
      <c r="E1317" s="51">
        <v>5</v>
      </c>
      <c r="F1317" s="52" t="s">
        <v>2206</v>
      </c>
      <c r="G1317" s="51"/>
      <c r="H1317" s="53"/>
      <c r="I1317" s="54"/>
    </row>
    <row r="1318" spans="2:9" s="1" customFormat="1" x14ac:dyDescent="0.2">
      <c r="B1318" s="55" t="str">
        <f t="shared" si="22"/>
        <v>2020-075-0</v>
      </c>
      <c r="C1318" s="56">
        <v>2020</v>
      </c>
      <c r="D1318" s="56" t="s">
        <v>104</v>
      </c>
      <c r="E1318" s="56">
        <v>0</v>
      </c>
      <c r="F1318" s="57" t="s">
        <v>236</v>
      </c>
      <c r="G1318" s="56"/>
      <c r="H1318" s="58"/>
      <c r="I1318" s="59"/>
    </row>
    <row r="1319" spans="2:9" s="1" customFormat="1" x14ac:dyDescent="0.2">
      <c r="B1319" s="44" t="str">
        <f t="shared" si="22"/>
        <v>2020-075-1</v>
      </c>
      <c r="C1319" s="45">
        <v>2020</v>
      </c>
      <c r="D1319" s="45" t="s">
        <v>104</v>
      </c>
      <c r="E1319" s="45">
        <v>1</v>
      </c>
      <c r="F1319" s="47" t="s">
        <v>621</v>
      </c>
      <c r="G1319" s="45"/>
      <c r="H1319" s="48"/>
      <c r="I1319" s="49"/>
    </row>
    <row r="1320" spans="2:9" s="1" customFormat="1" x14ac:dyDescent="0.2">
      <c r="B1320" s="44" t="str">
        <f t="shared" si="22"/>
        <v>2020-075-2</v>
      </c>
      <c r="C1320" s="45">
        <v>2020</v>
      </c>
      <c r="D1320" s="45" t="s">
        <v>104</v>
      </c>
      <c r="E1320" s="45">
        <v>2</v>
      </c>
      <c r="F1320" s="47" t="s">
        <v>1021</v>
      </c>
      <c r="G1320" s="45"/>
      <c r="H1320" s="48"/>
      <c r="I1320" s="49"/>
    </row>
    <row r="1321" spans="2:9" s="1" customFormat="1" x14ac:dyDescent="0.2">
      <c r="B1321" s="44" t="str">
        <f t="shared" si="22"/>
        <v>2020-075-3</v>
      </c>
      <c r="C1321" s="45">
        <v>2020</v>
      </c>
      <c r="D1321" s="45" t="s">
        <v>104</v>
      </c>
      <c r="E1321" s="45">
        <v>3</v>
      </c>
      <c r="F1321" s="47" t="s">
        <v>1416</v>
      </c>
      <c r="G1321" s="45"/>
      <c r="H1321" s="48"/>
      <c r="I1321" s="49"/>
    </row>
    <row r="1322" spans="2:9" s="1" customFormat="1" ht="27" x14ac:dyDescent="0.2">
      <c r="B1322" s="44" t="str">
        <f t="shared" si="22"/>
        <v>2020-075-4</v>
      </c>
      <c r="C1322" s="45">
        <v>2020</v>
      </c>
      <c r="D1322" s="45" t="s">
        <v>104</v>
      </c>
      <c r="E1322" s="45">
        <v>4</v>
      </c>
      <c r="F1322" s="47" t="s">
        <v>1812</v>
      </c>
      <c r="G1322" s="45"/>
      <c r="H1322" s="48"/>
      <c r="I1322" s="49"/>
    </row>
    <row r="1323" spans="2:9" s="1" customFormat="1" ht="27.75" thickBot="1" x14ac:dyDescent="0.25">
      <c r="B1323" s="60" t="str">
        <f t="shared" si="22"/>
        <v>2020-075-5</v>
      </c>
      <c r="C1323" s="61">
        <v>2020</v>
      </c>
      <c r="D1323" s="61" t="s">
        <v>104</v>
      </c>
      <c r="E1323" s="61">
        <v>5</v>
      </c>
      <c r="F1323" s="62" t="s">
        <v>2207</v>
      </c>
      <c r="G1323" s="61" t="s">
        <v>3210</v>
      </c>
      <c r="H1323" s="63"/>
      <c r="I1323" s="64"/>
    </row>
    <row r="1324" spans="2:9" s="1" customFormat="1" x14ac:dyDescent="0.2">
      <c r="B1324" s="38" t="str">
        <f t="shared" ref="B1324:B1340" si="23">C1324&amp;"-"&amp;D1324&amp;"-"&amp;E1324</f>
        <v>2019-051-0</v>
      </c>
      <c r="C1324" s="39">
        <v>2019</v>
      </c>
      <c r="D1324" s="39" t="s">
        <v>80</v>
      </c>
      <c r="E1324" s="39">
        <v>0</v>
      </c>
      <c r="F1324" s="41" t="s">
        <v>237</v>
      </c>
      <c r="G1324" s="39"/>
      <c r="H1324" s="42"/>
      <c r="I1324" s="43"/>
    </row>
    <row r="1325" spans="2:9" s="1" customFormat="1" x14ac:dyDescent="0.2">
      <c r="B1325" s="44" t="str">
        <f t="shared" si="23"/>
        <v>2019-051-1</v>
      </c>
      <c r="C1325" s="45">
        <v>2019</v>
      </c>
      <c r="D1325" s="45" t="s">
        <v>80</v>
      </c>
      <c r="E1325" s="45">
        <v>1</v>
      </c>
      <c r="F1325" s="47" t="s">
        <v>622</v>
      </c>
      <c r="G1325" s="45"/>
      <c r="H1325" s="48"/>
      <c r="I1325" s="49"/>
    </row>
    <row r="1326" spans="2:9" s="1" customFormat="1" x14ac:dyDescent="0.2">
      <c r="B1326" s="44" t="str">
        <f t="shared" si="23"/>
        <v>2019-051-2</v>
      </c>
      <c r="C1326" s="45">
        <v>2019</v>
      </c>
      <c r="D1326" s="45" t="s">
        <v>80</v>
      </c>
      <c r="E1326" s="45">
        <v>2</v>
      </c>
      <c r="F1326" s="47" t="s">
        <v>1022</v>
      </c>
      <c r="G1326" s="45"/>
      <c r="H1326" s="48"/>
      <c r="I1326" s="49"/>
    </row>
    <row r="1327" spans="2:9" s="1" customFormat="1" x14ac:dyDescent="0.2">
      <c r="B1327" s="44" t="str">
        <f t="shared" si="23"/>
        <v>2019-051-3</v>
      </c>
      <c r="C1327" s="45">
        <v>2019</v>
      </c>
      <c r="D1327" s="45" t="s">
        <v>80</v>
      </c>
      <c r="E1327" s="45">
        <v>3</v>
      </c>
      <c r="F1327" s="47" t="s">
        <v>1417</v>
      </c>
      <c r="G1327" s="45"/>
      <c r="H1327" s="48"/>
      <c r="I1327" s="49"/>
    </row>
    <row r="1328" spans="2:9" s="1" customFormat="1" x14ac:dyDescent="0.2">
      <c r="B1328" s="44" t="str">
        <f t="shared" si="23"/>
        <v>2019-051-4</v>
      </c>
      <c r="C1328" s="45">
        <v>2019</v>
      </c>
      <c r="D1328" s="45" t="s">
        <v>80</v>
      </c>
      <c r="E1328" s="45">
        <v>4</v>
      </c>
      <c r="F1328" s="47" t="s">
        <v>1813</v>
      </c>
      <c r="G1328" s="45"/>
      <c r="H1328" s="48"/>
      <c r="I1328" s="49"/>
    </row>
    <row r="1329" spans="2:9" s="1" customFormat="1" x14ac:dyDescent="0.2">
      <c r="B1329" s="50" t="str">
        <f t="shared" si="23"/>
        <v>2019-051-5</v>
      </c>
      <c r="C1329" s="51">
        <v>2019</v>
      </c>
      <c r="D1329" s="51" t="s">
        <v>80</v>
      </c>
      <c r="E1329" s="51">
        <v>5</v>
      </c>
      <c r="F1329" s="52" t="s">
        <v>2208</v>
      </c>
      <c r="G1329" s="51" t="s">
        <v>3210</v>
      </c>
      <c r="H1329" s="53"/>
      <c r="I1329" s="54"/>
    </row>
    <row r="1330" spans="2:9" s="1" customFormat="1" x14ac:dyDescent="0.2">
      <c r="B1330" s="55" t="str">
        <f t="shared" si="23"/>
        <v>2019-052-0</v>
      </c>
      <c r="C1330" s="56">
        <v>2019</v>
      </c>
      <c r="D1330" s="56" t="s">
        <v>81</v>
      </c>
      <c r="E1330" s="56">
        <v>0</v>
      </c>
      <c r="F1330" s="57" t="s">
        <v>238</v>
      </c>
      <c r="G1330" s="56"/>
      <c r="H1330" s="58"/>
      <c r="I1330" s="59"/>
    </row>
    <row r="1331" spans="2:9" s="1" customFormat="1" ht="27" x14ac:dyDescent="0.2">
      <c r="B1331" s="44" t="str">
        <f t="shared" si="23"/>
        <v>2019-052-1</v>
      </c>
      <c r="C1331" s="45">
        <v>2019</v>
      </c>
      <c r="D1331" s="45" t="s">
        <v>81</v>
      </c>
      <c r="E1331" s="45">
        <v>1</v>
      </c>
      <c r="F1331" s="47" t="s">
        <v>623</v>
      </c>
      <c r="G1331" s="45"/>
      <c r="H1331" s="48"/>
      <c r="I1331" s="49"/>
    </row>
    <row r="1332" spans="2:9" s="1" customFormat="1" x14ac:dyDescent="0.2">
      <c r="B1332" s="44" t="str">
        <f t="shared" si="23"/>
        <v>2019-052-2</v>
      </c>
      <c r="C1332" s="45">
        <v>2019</v>
      </c>
      <c r="D1332" s="45" t="s">
        <v>81</v>
      </c>
      <c r="E1332" s="45">
        <v>2</v>
      </c>
      <c r="F1332" s="47" t="s">
        <v>1023</v>
      </c>
      <c r="G1332" s="45"/>
      <c r="H1332" s="48"/>
      <c r="I1332" s="49"/>
    </row>
    <row r="1333" spans="2:9" s="1" customFormat="1" x14ac:dyDescent="0.2">
      <c r="B1333" s="44" t="str">
        <f t="shared" si="23"/>
        <v>2019-052-3</v>
      </c>
      <c r="C1333" s="45">
        <v>2019</v>
      </c>
      <c r="D1333" s="45" t="s">
        <v>81</v>
      </c>
      <c r="E1333" s="45">
        <v>3</v>
      </c>
      <c r="F1333" s="47" t="s">
        <v>1418</v>
      </c>
      <c r="G1333" s="45"/>
      <c r="H1333" s="48"/>
      <c r="I1333" s="49"/>
    </row>
    <row r="1334" spans="2:9" s="1" customFormat="1" x14ac:dyDescent="0.2">
      <c r="B1334" s="44" t="str">
        <f t="shared" si="23"/>
        <v>2019-052-4</v>
      </c>
      <c r="C1334" s="45">
        <v>2019</v>
      </c>
      <c r="D1334" s="45" t="s">
        <v>81</v>
      </c>
      <c r="E1334" s="45">
        <v>4</v>
      </c>
      <c r="F1334" s="47" t="s">
        <v>1814</v>
      </c>
      <c r="G1334" s="45" t="s">
        <v>3210</v>
      </c>
      <c r="H1334" s="48"/>
      <c r="I1334" s="49"/>
    </row>
    <row r="1335" spans="2:9" s="1" customFormat="1" ht="27" x14ac:dyDescent="0.2">
      <c r="B1335" s="50" t="str">
        <f t="shared" si="23"/>
        <v>2019-052-5</v>
      </c>
      <c r="C1335" s="51">
        <v>2019</v>
      </c>
      <c r="D1335" s="51" t="s">
        <v>81</v>
      </c>
      <c r="E1335" s="51">
        <v>5</v>
      </c>
      <c r="F1335" s="52" t="s">
        <v>2209</v>
      </c>
      <c r="G1335" s="51"/>
      <c r="H1335" s="53"/>
      <c r="I1335" s="54"/>
    </row>
    <row r="1336" spans="2:9" s="1" customFormat="1" x14ac:dyDescent="0.2">
      <c r="B1336" s="55" t="str">
        <f t="shared" si="23"/>
        <v>2019-053-0</v>
      </c>
      <c r="C1336" s="56">
        <v>2019</v>
      </c>
      <c r="D1336" s="56" t="s">
        <v>82</v>
      </c>
      <c r="E1336" s="56">
        <v>0</v>
      </c>
      <c r="F1336" s="57" t="s">
        <v>239</v>
      </c>
      <c r="G1336" s="56"/>
      <c r="H1336" s="58"/>
      <c r="I1336" s="59"/>
    </row>
    <row r="1337" spans="2:9" s="1" customFormat="1" x14ac:dyDescent="0.2">
      <c r="B1337" s="44" t="str">
        <f t="shared" si="23"/>
        <v>2019-053-1</v>
      </c>
      <c r="C1337" s="45">
        <v>2019</v>
      </c>
      <c r="D1337" s="45" t="s">
        <v>82</v>
      </c>
      <c r="E1337" s="45">
        <v>1</v>
      </c>
      <c r="F1337" s="47" t="s">
        <v>624</v>
      </c>
      <c r="G1337" s="45"/>
      <c r="H1337" s="48"/>
      <c r="I1337" s="49"/>
    </row>
    <row r="1338" spans="2:9" s="1" customFormat="1" ht="27" x14ac:dyDescent="0.2">
      <c r="B1338" s="44" t="str">
        <f t="shared" si="23"/>
        <v>2019-053-2</v>
      </c>
      <c r="C1338" s="45">
        <v>2019</v>
      </c>
      <c r="D1338" s="45" t="s">
        <v>82</v>
      </c>
      <c r="E1338" s="45">
        <v>2</v>
      </c>
      <c r="F1338" s="47" t="s">
        <v>1024</v>
      </c>
      <c r="G1338" s="45"/>
      <c r="H1338" s="48"/>
      <c r="I1338" s="49"/>
    </row>
    <row r="1339" spans="2:9" s="1" customFormat="1" ht="27" x14ac:dyDescent="0.2">
      <c r="B1339" s="44" t="str">
        <f t="shared" si="23"/>
        <v>2019-053-3</v>
      </c>
      <c r="C1339" s="45">
        <v>2019</v>
      </c>
      <c r="D1339" s="45" t="s">
        <v>82</v>
      </c>
      <c r="E1339" s="45">
        <v>3</v>
      </c>
      <c r="F1339" s="47" t="s">
        <v>1419</v>
      </c>
      <c r="G1339" s="45" t="s">
        <v>3210</v>
      </c>
      <c r="H1339" s="48"/>
      <c r="I1339" s="49"/>
    </row>
    <row r="1340" spans="2:9" s="1" customFormat="1" x14ac:dyDescent="0.2">
      <c r="B1340" s="44" t="str">
        <f t="shared" si="23"/>
        <v>2019-053-4</v>
      </c>
      <c r="C1340" s="45">
        <v>2019</v>
      </c>
      <c r="D1340" s="45" t="s">
        <v>82</v>
      </c>
      <c r="E1340" s="45">
        <v>4</v>
      </c>
      <c r="F1340" s="47" t="s">
        <v>1815</v>
      </c>
      <c r="G1340" s="45"/>
      <c r="H1340" s="48"/>
      <c r="I1340" s="49"/>
    </row>
    <row r="1341" spans="2:9" s="1" customFormat="1" ht="27" x14ac:dyDescent="0.2">
      <c r="B1341" s="50" t="str">
        <f t="shared" ref="B1341:B1404" si="24">C1341&amp;"-"&amp;D1341&amp;"-"&amp;E1341</f>
        <v>2019-053-5</v>
      </c>
      <c r="C1341" s="51">
        <v>2019</v>
      </c>
      <c r="D1341" s="51" t="s">
        <v>82</v>
      </c>
      <c r="E1341" s="51">
        <v>5</v>
      </c>
      <c r="F1341" s="52" t="s">
        <v>2210</v>
      </c>
      <c r="G1341" s="51"/>
      <c r="H1341" s="53"/>
      <c r="I1341" s="54"/>
    </row>
    <row r="1342" spans="2:9" s="1" customFormat="1" x14ac:dyDescent="0.2">
      <c r="B1342" s="55" t="str">
        <f t="shared" si="24"/>
        <v>2019-054-0</v>
      </c>
      <c r="C1342" s="56">
        <v>2019</v>
      </c>
      <c r="D1342" s="56" t="s">
        <v>83</v>
      </c>
      <c r="E1342" s="56">
        <v>0</v>
      </c>
      <c r="F1342" s="57" t="s">
        <v>240</v>
      </c>
      <c r="G1342" s="56"/>
      <c r="H1342" s="58"/>
      <c r="I1342" s="59"/>
    </row>
    <row r="1343" spans="2:9" s="1" customFormat="1" x14ac:dyDescent="0.2">
      <c r="B1343" s="44" t="str">
        <f t="shared" si="24"/>
        <v>2019-054-1</v>
      </c>
      <c r="C1343" s="45">
        <v>2019</v>
      </c>
      <c r="D1343" s="45" t="s">
        <v>83</v>
      </c>
      <c r="E1343" s="45">
        <v>1</v>
      </c>
      <c r="F1343" s="47" t="s">
        <v>625</v>
      </c>
      <c r="G1343" s="45"/>
      <c r="H1343" s="48"/>
      <c r="I1343" s="49"/>
    </row>
    <row r="1344" spans="2:9" s="1" customFormat="1" x14ac:dyDescent="0.2">
      <c r="B1344" s="44" t="str">
        <f t="shared" si="24"/>
        <v>2019-054-2</v>
      </c>
      <c r="C1344" s="45">
        <v>2019</v>
      </c>
      <c r="D1344" s="45" t="s">
        <v>83</v>
      </c>
      <c r="E1344" s="45">
        <v>2</v>
      </c>
      <c r="F1344" s="47" t="s">
        <v>1025</v>
      </c>
      <c r="G1344" s="45" t="s">
        <v>3210</v>
      </c>
      <c r="H1344" s="48"/>
      <c r="I1344" s="49"/>
    </row>
    <row r="1345" spans="2:9" s="1" customFormat="1" x14ac:dyDescent="0.2">
      <c r="B1345" s="44" t="str">
        <f t="shared" si="24"/>
        <v>2019-054-3</v>
      </c>
      <c r="C1345" s="45">
        <v>2019</v>
      </c>
      <c r="D1345" s="45" t="s">
        <v>83</v>
      </c>
      <c r="E1345" s="45">
        <v>3</v>
      </c>
      <c r="F1345" s="47" t="s">
        <v>1420</v>
      </c>
      <c r="G1345" s="45"/>
      <c r="H1345" s="48"/>
      <c r="I1345" s="49"/>
    </row>
    <row r="1346" spans="2:9" s="1" customFormat="1" x14ac:dyDescent="0.2">
      <c r="B1346" s="44" t="str">
        <f t="shared" si="24"/>
        <v>2019-054-4</v>
      </c>
      <c r="C1346" s="45">
        <v>2019</v>
      </c>
      <c r="D1346" s="45" t="s">
        <v>83</v>
      </c>
      <c r="E1346" s="45">
        <v>4</v>
      </c>
      <c r="F1346" s="47" t="s">
        <v>1816</v>
      </c>
      <c r="G1346" s="45"/>
      <c r="H1346" s="48"/>
      <c r="I1346" s="49"/>
    </row>
    <row r="1347" spans="2:9" s="1" customFormat="1" x14ac:dyDescent="0.2">
      <c r="B1347" s="50" t="str">
        <f t="shared" si="24"/>
        <v>2019-054-5</v>
      </c>
      <c r="C1347" s="51">
        <v>2019</v>
      </c>
      <c r="D1347" s="51" t="s">
        <v>83</v>
      </c>
      <c r="E1347" s="51">
        <v>5</v>
      </c>
      <c r="F1347" s="52" t="s">
        <v>2211</v>
      </c>
      <c r="G1347" s="51"/>
      <c r="H1347" s="53"/>
      <c r="I1347" s="54"/>
    </row>
    <row r="1348" spans="2:9" s="1" customFormat="1" ht="67.5" x14ac:dyDescent="0.2">
      <c r="B1348" s="55" t="str">
        <f t="shared" si="24"/>
        <v>2019-055-0</v>
      </c>
      <c r="C1348" s="56">
        <v>2019</v>
      </c>
      <c r="D1348" s="56" t="s">
        <v>84</v>
      </c>
      <c r="E1348" s="56">
        <v>0</v>
      </c>
      <c r="F1348" s="57" t="s">
        <v>241</v>
      </c>
      <c r="G1348" s="56"/>
      <c r="H1348" s="58"/>
      <c r="I1348" s="59"/>
    </row>
    <row r="1349" spans="2:9" s="1" customFormat="1" x14ac:dyDescent="0.2">
      <c r="B1349" s="44" t="str">
        <f t="shared" si="24"/>
        <v>2019-055-1</v>
      </c>
      <c r="C1349" s="45">
        <v>2019</v>
      </c>
      <c r="D1349" s="45" t="s">
        <v>84</v>
      </c>
      <c r="E1349" s="45">
        <v>1</v>
      </c>
      <c r="F1349" s="47" t="s">
        <v>45</v>
      </c>
      <c r="G1349" s="45"/>
      <c r="H1349" s="48"/>
      <c r="I1349" s="49"/>
    </row>
    <row r="1350" spans="2:9" s="1" customFormat="1" x14ac:dyDescent="0.2">
      <c r="B1350" s="44" t="str">
        <f t="shared" si="24"/>
        <v>2019-055-2</v>
      </c>
      <c r="C1350" s="45">
        <v>2019</v>
      </c>
      <c r="D1350" s="45" t="s">
        <v>84</v>
      </c>
      <c r="E1350" s="45">
        <v>2</v>
      </c>
      <c r="F1350" s="47" t="s">
        <v>53</v>
      </c>
      <c r="G1350" s="45" t="s">
        <v>3210</v>
      </c>
      <c r="H1350" s="48"/>
      <c r="I1350" s="49"/>
    </row>
    <row r="1351" spans="2:9" s="1" customFormat="1" x14ac:dyDescent="0.2">
      <c r="B1351" s="44" t="str">
        <f t="shared" si="24"/>
        <v>2019-055-3</v>
      </c>
      <c r="C1351" s="45">
        <v>2019</v>
      </c>
      <c r="D1351" s="45" t="s">
        <v>84</v>
      </c>
      <c r="E1351" s="45">
        <v>3</v>
      </c>
      <c r="F1351" s="47" t="s">
        <v>44</v>
      </c>
      <c r="G1351" s="45"/>
      <c r="H1351" s="48"/>
      <c r="I1351" s="49"/>
    </row>
    <row r="1352" spans="2:9" s="1" customFormat="1" x14ac:dyDescent="0.2">
      <c r="B1352" s="44" t="str">
        <f t="shared" si="24"/>
        <v>2019-055-4</v>
      </c>
      <c r="C1352" s="45">
        <v>2019</v>
      </c>
      <c r="D1352" s="45" t="s">
        <v>84</v>
      </c>
      <c r="E1352" s="45">
        <v>4</v>
      </c>
      <c r="F1352" s="47" t="s">
        <v>55</v>
      </c>
      <c r="G1352" s="45"/>
      <c r="H1352" s="48"/>
      <c r="I1352" s="49"/>
    </row>
    <row r="1353" spans="2:9" s="1" customFormat="1" x14ac:dyDescent="0.2">
      <c r="B1353" s="50" t="str">
        <f t="shared" si="24"/>
        <v>2019-055-5</v>
      </c>
      <c r="C1353" s="51">
        <v>2019</v>
      </c>
      <c r="D1353" s="51" t="s">
        <v>84</v>
      </c>
      <c r="E1353" s="51">
        <v>5</v>
      </c>
      <c r="F1353" s="52" t="s">
        <v>49</v>
      </c>
      <c r="G1353" s="51"/>
      <c r="H1353" s="53"/>
      <c r="I1353" s="54"/>
    </row>
    <row r="1354" spans="2:9" s="1" customFormat="1" ht="40.5" x14ac:dyDescent="0.2">
      <c r="B1354" s="55" t="str">
        <f t="shared" si="24"/>
        <v>2019-056-0</v>
      </c>
      <c r="C1354" s="56">
        <v>2019</v>
      </c>
      <c r="D1354" s="56" t="s">
        <v>85</v>
      </c>
      <c r="E1354" s="56">
        <v>0</v>
      </c>
      <c r="F1354" s="57" t="s">
        <v>242</v>
      </c>
      <c r="G1354" s="56"/>
      <c r="H1354" s="58"/>
      <c r="I1354" s="59"/>
    </row>
    <row r="1355" spans="2:9" s="1" customFormat="1" x14ac:dyDescent="0.2">
      <c r="B1355" s="44" t="str">
        <f t="shared" si="24"/>
        <v>2019-056-1</v>
      </c>
      <c r="C1355" s="45">
        <v>2019</v>
      </c>
      <c r="D1355" s="45" t="s">
        <v>85</v>
      </c>
      <c r="E1355" s="45">
        <v>1</v>
      </c>
      <c r="F1355" s="47" t="s">
        <v>626</v>
      </c>
      <c r="G1355" s="45"/>
      <c r="H1355" s="48"/>
      <c r="I1355" s="49"/>
    </row>
    <row r="1356" spans="2:9" s="1" customFormat="1" x14ac:dyDescent="0.2">
      <c r="B1356" s="44" t="str">
        <f t="shared" si="24"/>
        <v>2019-056-2</v>
      </c>
      <c r="C1356" s="45">
        <v>2019</v>
      </c>
      <c r="D1356" s="45" t="s">
        <v>85</v>
      </c>
      <c r="E1356" s="45">
        <v>2</v>
      </c>
      <c r="F1356" s="47" t="s">
        <v>1026</v>
      </c>
      <c r="G1356" s="45"/>
      <c r="H1356" s="48"/>
      <c r="I1356" s="49"/>
    </row>
    <row r="1357" spans="2:9" s="1" customFormat="1" x14ac:dyDescent="0.2">
      <c r="B1357" s="44" t="str">
        <f t="shared" si="24"/>
        <v>2019-056-3</v>
      </c>
      <c r="C1357" s="45">
        <v>2019</v>
      </c>
      <c r="D1357" s="45" t="s">
        <v>85</v>
      </c>
      <c r="E1357" s="45">
        <v>3</v>
      </c>
      <c r="F1357" s="47" t="s">
        <v>1421</v>
      </c>
      <c r="G1357" s="45"/>
      <c r="H1357" s="48"/>
      <c r="I1357" s="49"/>
    </row>
    <row r="1358" spans="2:9" s="1" customFormat="1" x14ac:dyDescent="0.2">
      <c r="B1358" s="44" t="str">
        <f t="shared" si="24"/>
        <v>2019-056-4</v>
      </c>
      <c r="C1358" s="45">
        <v>2019</v>
      </c>
      <c r="D1358" s="45" t="s">
        <v>85</v>
      </c>
      <c r="E1358" s="45">
        <v>4</v>
      </c>
      <c r="F1358" s="47" t="s">
        <v>1817</v>
      </c>
      <c r="G1358" s="45"/>
      <c r="H1358" s="48"/>
      <c r="I1358" s="49"/>
    </row>
    <row r="1359" spans="2:9" s="1" customFormat="1" x14ac:dyDescent="0.2">
      <c r="B1359" s="50" t="str">
        <f t="shared" si="24"/>
        <v>2019-056-5</v>
      </c>
      <c r="C1359" s="51">
        <v>2019</v>
      </c>
      <c r="D1359" s="51" t="s">
        <v>85</v>
      </c>
      <c r="E1359" s="51">
        <v>5</v>
      </c>
      <c r="F1359" s="52" t="s">
        <v>2212</v>
      </c>
      <c r="G1359" s="51" t="s">
        <v>3210</v>
      </c>
      <c r="H1359" s="53"/>
      <c r="I1359" s="54"/>
    </row>
    <row r="1360" spans="2:9" s="1" customFormat="1" x14ac:dyDescent="0.2">
      <c r="B1360" s="55" t="str">
        <f t="shared" si="24"/>
        <v>2019-057-0</v>
      </c>
      <c r="C1360" s="56">
        <v>2019</v>
      </c>
      <c r="D1360" s="56" t="s">
        <v>86</v>
      </c>
      <c r="E1360" s="56">
        <v>0</v>
      </c>
      <c r="F1360" s="57" t="s">
        <v>243</v>
      </c>
      <c r="G1360" s="56"/>
      <c r="H1360" s="58"/>
      <c r="I1360" s="59"/>
    </row>
    <row r="1361" spans="2:9" s="1" customFormat="1" x14ac:dyDescent="0.2">
      <c r="B1361" s="44" t="str">
        <f t="shared" si="24"/>
        <v>2019-057-1</v>
      </c>
      <c r="C1361" s="45">
        <v>2019</v>
      </c>
      <c r="D1361" s="45" t="s">
        <v>86</v>
      </c>
      <c r="E1361" s="45">
        <v>1</v>
      </c>
      <c r="F1361" s="47" t="s">
        <v>627</v>
      </c>
      <c r="G1361" s="45"/>
      <c r="H1361" s="48"/>
      <c r="I1361" s="49"/>
    </row>
    <row r="1362" spans="2:9" s="1" customFormat="1" x14ac:dyDescent="0.2">
      <c r="B1362" s="44" t="str">
        <f t="shared" si="24"/>
        <v>2019-057-2</v>
      </c>
      <c r="C1362" s="45">
        <v>2019</v>
      </c>
      <c r="D1362" s="45" t="s">
        <v>86</v>
      </c>
      <c r="E1362" s="45">
        <v>2</v>
      </c>
      <c r="F1362" s="47" t="s">
        <v>1027</v>
      </c>
      <c r="G1362" s="45"/>
      <c r="H1362" s="48"/>
      <c r="I1362" s="49"/>
    </row>
    <row r="1363" spans="2:9" s="1" customFormat="1" x14ac:dyDescent="0.2">
      <c r="B1363" s="44" t="str">
        <f t="shared" si="24"/>
        <v>2019-057-3</v>
      </c>
      <c r="C1363" s="45">
        <v>2019</v>
      </c>
      <c r="D1363" s="45" t="s">
        <v>86</v>
      </c>
      <c r="E1363" s="45">
        <v>3</v>
      </c>
      <c r="F1363" s="47" t="s">
        <v>1422</v>
      </c>
      <c r="G1363" s="45" t="s">
        <v>3210</v>
      </c>
      <c r="H1363" s="48"/>
      <c r="I1363" s="49"/>
    </row>
    <row r="1364" spans="2:9" s="1" customFormat="1" x14ac:dyDescent="0.2">
      <c r="B1364" s="44" t="str">
        <f t="shared" si="24"/>
        <v>2019-057-4</v>
      </c>
      <c r="C1364" s="45">
        <v>2019</v>
      </c>
      <c r="D1364" s="45" t="s">
        <v>86</v>
      </c>
      <c r="E1364" s="45">
        <v>4</v>
      </c>
      <c r="F1364" s="47" t="s">
        <v>1818</v>
      </c>
      <c r="G1364" s="45"/>
      <c r="H1364" s="48"/>
      <c r="I1364" s="49"/>
    </row>
    <row r="1365" spans="2:9" s="1" customFormat="1" ht="27" x14ac:dyDescent="0.2">
      <c r="B1365" s="50" t="str">
        <f t="shared" si="24"/>
        <v>2019-057-5</v>
      </c>
      <c r="C1365" s="51">
        <v>2019</v>
      </c>
      <c r="D1365" s="51" t="s">
        <v>86</v>
      </c>
      <c r="E1365" s="51">
        <v>5</v>
      </c>
      <c r="F1365" s="52" t="s">
        <v>2213</v>
      </c>
      <c r="G1365" s="51"/>
      <c r="H1365" s="53"/>
      <c r="I1365" s="54"/>
    </row>
    <row r="1366" spans="2:9" s="1" customFormat="1" x14ac:dyDescent="0.2">
      <c r="B1366" s="55" t="str">
        <f t="shared" si="24"/>
        <v>2019-058-0</v>
      </c>
      <c r="C1366" s="56">
        <v>2019</v>
      </c>
      <c r="D1366" s="56" t="s">
        <v>87</v>
      </c>
      <c r="E1366" s="56">
        <v>0</v>
      </c>
      <c r="F1366" s="57" t="s">
        <v>244</v>
      </c>
      <c r="G1366" s="56"/>
      <c r="H1366" s="58"/>
      <c r="I1366" s="59"/>
    </row>
    <row r="1367" spans="2:9" s="1" customFormat="1" x14ac:dyDescent="0.2">
      <c r="B1367" s="44" t="str">
        <f t="shared" si="24"/>
        <v>2019-058-1</v>
      </c>
      <c r="C1367" s="45">
        <v>2019</v>
      </c>
      <c r="D1367" s="45" t="s">
        <v>87</v>
      </c>
      <c r="E1367" s="45">
        <v>1</v>
      </c>
      <c r="F1367" s="47" t="s">
        <v>628</v>
      </c>
      <c r="G1367" s="45"/>
      <c r="H1367" s="48"/>
      <c r="I1367" s="49"/>
    </row>
    <row r="1368" spans="2:9" s="1" customFormat="1" x14ac:dyDescent="0.2">
      <c r="B1368" s="44" t="str">
        <f t="shared" si="24"/>
        <v>2019-058-2</v>
      </c>
      <c r="C1368" s="45">
        <v>2019</v>
      </c>
      <c r="D1368" s="45" t="s">
        <v>87</v>
      </c>
      <c r="E1368" s="45">
        <v>2</v>
      </c>
      <c r="F1368" s="47" t="s">
        <v>1028</v>
      </c>
      <c r="G1368" s="45" t="s">
        <v>3210</v>
      </c>
      <c r="H1368" s="48"/>
      <c r="I1368" s="49"/>
    </row>
    <row r="1369" spans="2:9" s="1" customFormat="1" x14ac:dyDescent="0.2">
      <c r="B1369" s="44" t="str">
        <f t="shared" si="24"/>
        <v>2019-058-3</v>
      </c>
      <c r="C1369" s="45">
        <v>2019</v>
      </c>
      <c r="D1369" s="45" t="s">
        <v>87</v>
      </c>
      <c r="E1369" s="45">
        <v>3</v>
      </c>
      <c r="F1369" s="47" t="s">
        <v>1423</v>
      </c>
      <c r="G1369" s="45"/>
      <c r="H1369" s="48"/>
      <c r="I1369" s="49"/>
    </row>
    <row r="1370" spans="2:9" s="1" customFormat="1" ht="27" x14ac:dyDescent="0.2">
      <c r="B1370" s="44" t="str">
        <f t="shared" si="24"/>
        <v>2019-058-4</v>
      </c>
      <c r="C1370" s="45">
        <v>2019</v>
      </c>
      <c r="D1370" s="45" t="s">
        <v>87</v>
      </c>
      <c r="E1370" s="45">
        <v>4</v>
      </c>
      <c r="F1370" s="47" t="s">
        <v>1819</v>
      </c>
      <c r="G1370" s="45"/>
      <c r="H1370" s="48"/>
      <c r="I1370" s="49"/>
    </row>
    <row r="1371" spans="2:9" s="1" customFormat="1" x14ac:dyDescent="0.2">
      <c r="B1371" s="50" t="str">
        <f t="shared" si="24"/>
        <v>2019-058-5</v>
      </c>
      <c r="C1371" s="51">
        <v>2019</v>
      </c>
      <c r="D1371" s="51" t="s">
        <v>87</v>
      </c>
      <c r="E1371" s="51">
        <v>5</v>
      </c>
      <c r="F1371" s="52" t="s">
        <v>2214</v>
      </c>
      <c r="G1371" s="51"/>
      <c r="H1371" s="53"/>
      <c r="I1371" s="54"/>
    </row>
    <row r="1372" spans="2:9" s="1" customFormat="1" x14ac:dyDescent="0.2">
      <c r="B1372" s="55" t="str">
        <f t="shared" si="24"/>
        <v>2019-059-0</v>
      </c>
      <c r="C1372" s="56">
        <v>2019</v>
      </c>
      <c r="D1372" s="56" t="s">
        <v>88</v>
      </c>
      <c r="E1372" s="56">
        <v>0</v>
      </c>
      <c r="F1372" s="57" t="s">
        <v>245</v>
      </c>
      <c r="G1372" s="56"/>
      <c r="H1372" s="58"/>
      <c r="I1372" s="59"/>
    </row>
    <row r="1373" spans="2:9" s="1" customFormat="1" x14ac:dyDescent="0.2">
      <c r="B1373" s="44" t="str">
        <f t="shared" si="24"/>
        <v>2019-059-1</v>
      </c>
      <c r="C1373" s="45">
        <v>2019</v>
      </c>
      <c r="D1373" s="45" t="s">
        <v>88</v>
      </c>
      <c r="E1373" s="45">
        <v>1</v>
      </c>
      <c r="F1373" s="47" t="s">
        <v>629</v>
      </c>
      <c r="G1373" s="45"/>
      <c r="H1373" s="48"/>
      <c r="I1373" s="49"/>
    </row>
    <row r="1374" spans="2:9" s="1" customFormat="1" x14ac:dyDescent="0.2">
      <c r="B1374" s="44" t="str">
        <f t="shared" si="24"/>
        <v>2019-059-2</v>
      </c>
      <c r="C1374" s="45">
        <v>2019</v>
      </c>
      <c r="D1374" s="45" t="s">
        <v>88</v>
      </c>
      <c r="E1374" s="45">
        <v>2</v>
      </c>
      <c r="F1374" s="47" t="s">
        <v>1029</v>
      </c>
      <c r="G1374" s="45" t="s">
        <v>3210</v>
      </c>
      <c r="H1374" s="48"/>
      <c r="I1374" s="49"/>
    </row>
    <row r="1375" spans="2:9" s="1" customFormat="1" x14ac:dyDescent="0.2">
      <c r="B1375" s="44" t="str">
        <f t="shared" si="24"/>
        <v>2019-059-3</v>
      </c>
      <c r="C1375" s="45">
        <v>2019</v>
      </c>
      <c r="D1375" s="45" t="s">
        <v>88</v>
      </c>
      <c r="E1375" s="45">
        <v>3</v>
      </c>
      <c r="F1375" s="47" t="s">
        <v>1424</v>
      </c>
      <c r="G1375" s="45"/>
      <c r="H1375" s="48"/>
      <c r="I1375" s="49"/>
    </row>
    <row r="1376" spans="2:9" s="1" customFormat="1" x14ac:dyDescent="0.2">
      <c r="B1376" s="44" t="str">
        <f t="shared" si="24"/>
        <v>2019-059-4</v>
      </c>
      <c r="C1376" s="45">
        <v>2019</v>
      </c>
      <c r="D1376" s="45" t="s">
        <v>88</v>
      </c>
      <c r="E1376" s="45">
        <v>4</v>
      </c>
      <c r="F1376" s="47" t="s">
        <v>1820</v>
      </c>
      <c r="G1376" s="45"/>
      <c r="H1376" s="48"/>
      <c r="I1376" s="49"/>
    </row>
    <row r="1377" spans="2:9" s="1" customFormat="1" x14ac:dyDescent="0.2">
      <c r="B1377" s="50" t="str">
        <f t="shared" si="24"/>
        <v>2019-059-5</v>
      </c>
      <c r="C1377" s="51">
        <v>2019</v>
      </c>
      <c r="D1377" s="51" t="s">
        <v>88</v>
      </c>
      <c r="E1377" s="51">
        <v>5</v>
      </c>
      <c r="F1377" s="52" t="s">
        <v>2215</v>
      </c>
      <c r="G1377" s="51"/>
      <c r="H1377" s="53"/>
      <c r="I1377" s="54"/>
    </row>
    <row r="1378" spans="2:9" s="1" customFormat="1" x14ac:dyDescent="0.2">
      <c r="B1378" s="55" t="str">
        <f t="shared" si="24"/>
        <v>2019-060-0</v>
      </c>
      <c r="C1378" s="56">
        <v>2019</v>
      </c>
      <c r="D1378" s="56" t="s">
        <v>89</v>
      </c>
      <c r="E1378" s="56">
        <v>0</v>
      </c>
      <c r="F1378" s="57" t="s">
        <v>246</v>
      </c>
      <c r="G1378" s="56"/>
      <c r="H1378" s="58"/>
      <c r="I1378" s="59"/>
    </row>
    <row r="1379" spans="2:9" s="1" customFormat="1" x14ac:dyDescent="0.2">
      <c r="B1379" s="44" t="str">
        <f t="shared" si="24"/>
        <v>2019-060-1</v>
      </c>
      <c r="C1379" s="45">
        <v>2019</v>
      </c>
      <c r="D1379" s="45" t="s">
        <v>89</v>
      </c>
      <c r="E1379" s="45">
        <v>1</v>
      </c>
      <c r="F1379" s="47" t="s">
        <v>630</v>
      </c>
      <c r="G1379" s="45" t="s">
        <v>3210</v>
      </c>
      <c r="H1379" s="48"/>
      <c r="I1379" s="49"/>
    </row>
    <row r="1380" spans="2:9" s="1" customFormat="1" x14ac:dyDescent="0.2">
      <c r="B1380" s="44" t="str">
        <f t="shared" si="24"/>
        <v>2019-060-2</v>
      </c>
      <c r="C1380" s="45">
        <v>2019</v>
      </c>
      <c r="D1380" s="45" t="s">
        <v>89</v>
      </c>
      <c r="E1380" s="45">
        <v>2</v>
      </c>
      <c r="F1380" s="47" t="s">
        <v>1030</v>
      </c>
      <c r="G1380" s="45"/>
      <c r="H1380" s="48"/>
      <c r="I1380" s="49"/>
    </row>
    <row r="1381" spans="2:9" s="1" customFormat="1" x14ac:dyDescent="0.2">
      <c r="B1381" s="44" t="str">
        <f t="shared" si="24"/>
        <v>2019-060-3</v>
      </c>
      <c r="C1381" s="45">
        <v>2019</v>
      </c>
      <c r="D1381" s="45" t="s">
        <v>89</v>
      </c>
      <c r="E1381" s="45">
        <v>3</v>
      </c>
      <c r="F1381" s="47" t="s">
        <v>1425</v>
      </c>
      <c r="G1381" s="45"/>
      <c r="H1381" s="48"/>
      <c r="I1381" s="49"/>
    </row>
    <row r="1382" spans="2:9" s="1" customFormat="1" ht="27" x14ac:dyDescent="0.2">
      <c r="B1382" s="44" t="str">
        <f t="shared" si="24"/>
        <v>2019-060-4</v>
      </c>
      <c r="C1382" s="45">
        <v>2019</v>
      </c>
      <c r="D1382" s="45" t="s">
        <v>89</v>
      </c>
      <c r="E1382" s="45">
        <v>4</v>
      </c>
      <c r="F1382" s="47" t="s">
        <v>1821</v>
      </c>
      <c r="G1382" s="45"/>
      <c r="H1382" s="48"/>
      <c r="I1382" s="49"/>
    </row>
    <row r="1383" spans="2:9" s="1" customFormat="1" x14ac:dyDescent="0.2">
      <c r="B1383" s="50" t="str">
        <f t="shared" si="24"/>
        <v>2019-060-5</v>
      </c>
      <c r="C1383" s="51">
        <v>2019</v>
      </c>
      <c r="D1383" s="51" t="s">
        <v>89</v>
      </c>
      <c r="E1383" s="51">
        <v>5</v>
      </c>
      <c r="F1383" s="52" t="s">
        <v>2216</v>
      </c>
      <c r="G1383" s="51"/>
      <c r="H1383" s="53"/>
      <c r="I1383" s="54"/>
    </row>
    <row r="1384" spans="2:9" s="1" customFormat="1" x14ac:dyDescent="0.2">
      <c r="B1384" s="55" t="str">
        <f t="shared" si="24"/>
        <v>2019-061-0</v>
      </c>
      <c r="C1384" s="56">
        <v>2019</v>
      </c>
      <c r="D1384" s="56" t="s">
        <v>90</v>
      </c>
      <c r="E1384" s="56">
        <v>0</v>
      </c>
      <c r="F1384" s="57" t="s">
        <v>247</v>
      </c>
      <c r="G1384" s="56"/>
      <c r="H1384" s="58"/>
      <c r="I1384" s="59"/>
    </row>
    <row r="1385" spans="2:9" s="1" customFormat="1" x14ac:dyDescent="0.2">
      <c r="B1385" s="44" t="str">
        <f t="shared" si="24"/>
        <v>2019-061-1</v>
      </c>
      <c r="C1385" s="45">
        <v>2019</v>
      </c>
      <c r="D1385" s="45" t="s">
        <v>90</v>
      </c>
      <c r="E1385" s="45">
        <v>1</v>
      </c>
      <c r="F1385" s="47" t="s">
        <v>631</v>
      </c>
      <c r="G1385" s="45"/>
      <c r="H1385" s="48"/>
      <c r="I1385" s="49"/>
    </row>
    <row r="1386" spans="2:9" s="1" customFormat="1" x14ac:dyDescent="0.2">
      <c r="B1386" s="44" t="str">
        <f t="shared" si="24"/>
        <v>2019-061-2</v>
      </c>
      <c r="C1386" s="45">
        <v>2019</v>
      </c>
      <c r="D1386" s="45" t="s">
        <v>90</v>
      </c>
      <c r="E1386" s="45">
        <v>2</v>
      </c>
      <c r="F1386" s="47" t="s">
        <v>1031</v>
      </c>
      <c r="G1386" s="45"/>
      <c r="H1386" s="48"/>
      <c r="I1386" s="49"/>
    </row>
    <row r="1387" spans="2:9" s="1" customFormat="1" x14ac:dyDescent="0.2">
      <c r="B1387" s="44" t="str">
        <f t="shared" si="24"/>
        <v>2019-061-3</v>
      </c>
      <c r="C1387" s="45">
        <v>2019</v>
      </c>
      <c r="D1387" s="45" t="s">
        <v>90</v>
      </c>
      <c r="E1387" s="45">
        <v>3</v>
      </c>
      <c r="F1387" s="47" t="s">
        <v>1426</v>
      </c>
      <c r="G1387" s="45"/>
      <c r="H1387" s="48"/>
      <c r="I1387" s="49"/>
    </row>
    <row r="1388" spans="2:9" s="1" customFormat="1" x14ac:dyDescent="0.2">
      <c r="B1388" s="44" t="str">
        <f t="shared" si="24"/>
        <v>2019-061-4</v>
      </c>
      <c r="C1388" s="45">
        <v>2019</v>
      </c>
      <c r="D1388" s="45" t="s">
        <v>90</v>
      </c>
      <c r="E1388" s="45">
        <v>4</v>
      </c>
      <c r="F1388" s="47" t="s">
        <v>1822</v>
      </c>
      <c r="G1388" s="45"/>
      <c r="H1388" s="48"/>
      <c r="I1388" s="49"/>
    </row>
    <row r="1389" spans="2:9" s="1" customFormat="1" x14ac:dyDescent="0.2">
      <c r="B1389" s="50" t="str">
        <f t="shared" si="24"/>
        <v>2019-061-5</v>
      </c>
      <c r="C1389" s="51">
        <v>2019</v>
      </c>
      <c r="D1389" s="51" t="s">
        <v>90</v>
      </c>
      <c r="E1389" s="51">
        <v>5</v>
      </c>
      <c r="F1389" s="52" t="s">
        <v>2217</v>
      </c>
      <c r="G1389" s="51" t="s">
        <v>3210</v>
      </c>
      <c r="H1389" s="53"/>
      <c r="I1389" s="54"/>
    </row>
    <row r="1390" spans="2:9" s="1" customFormat="1" x14ac:dyDescent="0.2">
      <c r="B1390" s="55" t="str">
        <f t="shared" si="24"/>
        <v>2019-062-0</v>
      </c>
      <c r="C1390" s="56">
        <v>2019</v>
      </c>
      <c r="D1390" s="56" t="s">
        <v>91</v>
      </c>
      <c r="E1390" s="56">
        <v>0</v>
      </c>
      <c r="F1390" s="57" t="s">
        <v>156</v>
      </c>
      <c r="G1390" s="56"/>
      <c r="H1390" s="58"/>
      <c r="I1390" s="59"/>
    </row>
    <row r="1391" spans="2:9" s="1" customFormat="1" x14ac:dyDescent="0.2">
      <c r="B1391" s="44" t="str">
        <f t="shared" si="24"/>
        <v>2019-062-1</v>
      </c>
      <c r="C1391" s="45">
        <v>2019</v>
      </c>
      <c r="D1391" s="45" t="s">
        <v>91</v>
      </c>
      <c r="E1391" s="45">
        <v>1</v>
      </c>
      <c r="F1391" s="47" t="s">
        <v>632</v>
      </c>
      <c r="G1391" s="45"/>
      <c r="H1391" s="48"/>
      <c r="I1391" s="49"/>
    </row>
    <row r="1392" spans="2:9" s="1" customFormat="1" x14ac:dyDescent="0.2">
      <c r="B1392" s="44" t="str">
        <f t="shared" si="24"/>
        <v>2019-062-2</v>
      </c>
      <c r="C1392" s="45">
        <v>2019</v>
      </c>
      <c r="D1392" s="45" t="s">
        <v>91</v>
      </c>
      <c r="E1392" s="45">
        <v>2</v>
      </c>
      <c r="F1392" s="47" t="s">
        <v>1032</v>
      </c>
      <c r="G1392" s="45"/>
      <c r="H1392" s="48"/>
      <c r="I1392" s="49"/>
    </row>
    <row r="1393" spans="2:9" s="1" customFormat="1" x14ac:dyDescent="0.2">
      <c r="B1393" s="44" t="str">
        <f t="shared" si="24"/>
        <v>2019-062-3</v>
      </c>
      <c r="C1393" s="45">
        <v>2019</v>
      </c>
      <c r="D1393" s="45" t="s">
        <v>91</v>
      </c>
      <c r="E1393" s="45">
        <v>3</v>
      </c>
      <c r="F1393" s="47" t="s">
        <v>1427</v>
      </c>
      <c r="G1393" s="45" t="s">
        <v>3210</v>
      </c>
      <c r="H1393" s="48"/>
      <c r="I1393" s="49"/>
    </row>
    <row r="1394" spans="2:9" s="1" customFormat="1" x14ac:dyDescent="0.2">
      <c r="B1394" s="44" t="str">
        <f t="shared" si="24"/>
        <v>2019-062-4</v>
      </c>
      <c r="C1394" s="45">
        <v>2019</v>
      </c>
      <c r="D1394" s="45" t="s">
        <v>91</v>
      </c>
      <c r="E1394" s="45">
        <v>4</v>
      </c>
      <c r="F1394" s="47" t="s">
        <v>1823</v>
      </c>
      <c r="G1394" s="45"/>
      <c r="H1394" s="48"/>
      <c r="I1394" s="49"/>
    </row>
    <row r="1395" spans="2:9" s="1" customFormat="1" x14ac:dyDescent="0.2">
      <c r="B1395" s="50" t="str">
        <f t="shared" si="24"/>
        <v>2019-062-5</v>
      </c>
      <c r="C1395" s="51">
        <v>2019</v>
      </c>
      <c r="D1395" s="51" t="s">
        <v>91</v>
      </c>
      <c r="E1395" s="51">
        <v>5</v>
      </c>
      <c r="F1395" s="52" t="s">
        <v>2218</v>
      </c>
      <c r="G1395" s="51"/>
      <c r="H1395" s="53"/>
      <c r="I1395" s="54"/>
    </row>
    <row r="1396" spans="2:9" s="1" customFormat="1" ht="27" x14ac:dyDescent="0.2">
      <c r="B1396" s="55" t="str">
        <f t="shared" si="24"/>
        <v>2019-063-0</v>
      </c>
      <c r="C1396" s="56">
        <v>2019</v>
      </c>
      <c r="D1396" s="56" t="s">
        <v>92</v>
      </c>
      <c r="E1396" s="56">
        <v>0</v>
      </c>
      <c r="F1396" s="57" t="s">
        <v>248</v>
      </c>
      <c r="G1396" s="56"/>
      <c r="H1396" s="58"/>
      <c r="I1396" s="59"/>
    </row>
    <row r="1397" spans="2:9" s="1" customFormat="1" x14ac:dyDescent="0.2">
      <c r="B1397" s="44" t="str">
        <f t="shared" si="24"/>
        <v>2019-063-1</v>
      </c>
      <c r="C1397" s="45">
        <v>2019</v>
      </c>
      <c r="D1397" s="45" t="s">
        <v>92</v>
      </c>
      <c r="E1397" s="45">
        <v>1</v>
      </c>
      <c r="F1397" s="47" t="s">
        <v>633</v>
      </c>
      <c r="G1397" s="45"/>
      <c r="H1397" s="48"/>
      <c r="I1397" s="49"/>
    </row>
    <row r="1398" spans="2:9" s="1" customFormat="1" ht="27" x14ac:dyDescent="0.2">
      <c r="B1398" s="44" t="str">
        <f t="shared" si="24"/>
        <v>2019-063-2</v>
      </c>
      <c r="C1398" s="45">
        <v>2019</v>
      </c>
      <c r="D1398" s="45" t="s">
        <v>92</v>
      </c>
      <c r="E1398" s="45">
        <v>2</v>
      </c>
      <c r="F1398" s="47" t="s">
        <v>1033</v>
      </c>
      <c r="G1398" s="45"/>
      <c r="H1398" s="48"/>
      <c r="I1398" s="49"/>
    </row>
    <row r="1399" spans="2:9" s="1" customFormat="1" x14ac:dyDescent="0.2">
      <c r="B1399" s="44" t="str">
        <f t="shared" si="24"/>
        <v>2019-063-3</v>
      </c>
      <c r="C1399" s="45">
        <v>2019</v>
      </c>
      <c r="D1399" s="45" t="s">
        <v>92</v>
      </c>
      <c r="E1399" s="45">
        <v>3</v>
      </c>
      <c r="F1399" s="47" t="s">
        <v>1428</v>
      </c>
      <c r="G1399" s="45"/>
      <c r="H1399" s="48"/>
      <c r="I1399" s="49"/>
    </row>
    <row r="1400" spans="2:9" s="1" customFormat="1" ht="27" x14ac:dyDescent="0.2">
      <c r="B1400" s="44" t="str">
        <f t="shared" si="24"/>
        <v>2019-063-4</v>
      </c>
      <c r="C1400" s="45">
        <v>2019</v>
      </c>
      <c r="D1400" s="45" t="s">
        <v>92</v>
      </c>
      <c r="E1400" s="45">
        <v>4</v>
      </c>
      <c r="F1400" s="47" t="s">
        <v>1824</v>
      </c>
      <c r="G1400" s="45"/>
      <c r="H1400" s="48"/>
      <c r="I1400" s="49"/>
    </row>
    <row r="1401" spans="2:9" s="1" customFormat="1" ht="27" x14ac:dyDescent="0.2">
      <c r="B1401" s="50" t="str">
        <f t="shared" si="24"/>
        <v>2019-063-5</v>
      </c>
      <c r="C1401" s="51">
        <v>2019</v>
      </c>
      <c r="D1401" s="51" t="s">
        <v>92</v>
      </c>
      <c r="E1401" s="51">
        <v>5</v>
      </c>
      <c r="F1401" s="52" t="s">
        <v>2219</v>
      </c>
      <c r="G1401" s="51" t="s">
        <v>3210</v>
      </c>
      <c r="H1401" s="53"/>
      <c r="I1401" s="54"/>
    </row>
    <row r="1402" spans="2:9" s="1" customFormat="1" x14ac:dyDescent="0.2">
      <c r="B1402" s="55" t="str">
        <f t="shared" si="24"/>
        <v>2019-064-0</v>
      </c>
      <c r="C1402" s="56">
        <v>2019</v>
      </c>
      <c r="D1402" s="56" t="s">
        <v>93</v>
      </c>
      <c r="E1402" s="56">
        <v>0</v>
      </c>
      <c r="F1402" s="57" t="s">
        <v>249</v>
      </c>
      <c r="G1402" s="56"/>
      <c r="H1402" s="58"/>
      <c r="I1402" s="59"/>
    </row>
    <row r="1403" spans="2:9" s="1" customFormat="1" x14ac:dyDescent="0.2">
      <c r="B1403" s="44" t="str">
        <f t="shared" si="24"/>
        <v>2019-064-1</v>
      </c>
      <c r="C1403" s="45">
        <v>2019</v>
      </c>
      <c r="D1403" s="45" t="s">
        <v>93</v>
      </c>
      <c r="E1403" s="45">
        <v>1</v>
      </c>
      <c r="F1403" s="47" t="s">
        <v>634</v>
      </c>
      <c r="G1403" s="45"/>
      <c r="H1403" s="48"/>
      <c r="I1403" s="49"/>
    </row>
    <row r="1404" spans="2:9" s="1" customFormat="1" x14ac:dyDescent="0.2">
      <c r="B1404" s="44" t="str">
        <f t="shared" si="24"/>
        <v>2019-064-2</v>
      </c>
      <c r="C1404" s="45">
        <v>2019</v>
      </c>
      <c r="D1404" s="45" t="s">
        <v>93</v>
      </c>
      <c r="E1404" s="45">
        <v>2</v>
      </c>
      <c r="F1404" s="47" t="s">
        <v>1034</v>
      </c>
      <c r="G1404" s="45"/>
      <c r="H1404" s="48"/>
      <c r="I1404" s="49"/>
    </row>
    <row r="1405" spans="2:9" s="1" customFormat="1" ht="27" x14ac:dyDescent="0.2">
      <c r="B1405" s="44" t="str">
        <f t="shared" ref="B1405:B1468" si="25">C1405&amp;"-"&amp;D1405&amp;"-"&amp;E1405</f>
        <v>2019-064-3</v>
      </c>
      <c r="C1405" s="45">
        <v>2019</v>
      </c>
      <c r="D1405" s="45" t="s">
        <v>93</v>
      </c>
      <c r="E1405" s="45">
        <v>3</v>
      </c>
      <c r="F1405" s="47" t="s">
        <v>1429</v>
      </c>
      <c r="G1405" s="45" t="s">
        <v>3210</v>
      </c>
      <c r="H1405" s="48"/>
      <c r="I1405" s="49"/>
    </row>
    <row r="1406" spans="2:9" s="1" customFormat="1" x14ac:dyDescent="0.2">
      <c r="B1406" s="44" t="str">
        <f t="shared" si="25"/>
        <v>2019-064-4</v>
      </c>
      <c r="C1406" s="45">
        <v>2019</v>
      </c>
      <c r="D1406" s="45" t="s">
        <v>93</v>
      </c>
      <c r="E1406" s="45">
        <v>4</v>
      </c>
      <c r="F1406" s="47" t="s">
        <v>1825</v>
      </c>
      <c r="G1406" s="45"/>
      <c r="H1406" s="48"/>
      <c r="I1406" s="49"/>
    </row>
    <row r="1407" spans="2:9" s="1" customFormat="1" ht="27" x14ac:dyDescent="0.2">
      <c r="B1407" s="50" t="str">
        <f t="shared" si="25"/>
        <v>2019-064-5</v>
      </c>
      <c r="C1407" s="51">
        <v>2019</v>
      </c>
      <c r="D1407" s="51" t="s">
        <v>93</v>
      </c>
      <c r="E1407" s="51">
        <v>5</v>
      </c>
      <c r="F1407" s="52" t="s">
        <v>2220</v>
      </c>
      <c r="G1407" s="51"/>
      <c r="H1407" s="53"/>
      <c r="I1407" s="54"/>
    </row>
    <row r="1408" spans="2:9" s="1" customFormat="1" ht="27" x14ac:dyDescent="0.2">
      <c r="B1408" s="55" t="str">
        <f t="shared" si="25"/>
        <v>2019-065-0</v>
      </c>
      <c r="C1408" s="56">
        <v>2019</v>
      </c>
      <c r="D1408" s="56" t="s">
        <v>94</v>
      </c>
      <c r="E1408" s="56">
        <v>0</v>
      </c>
      <c r="F1408" s="57" t="s">
        <v>250</v>
      </c>
      <c r="G1408" s="56"/>
      <c r="H1408" s="58"/>
      <c r="I1408" s="59"/>
    </row>
    <row r="1409" spans="2:9" s="1" customFormat="1" x14ac:dyDescent="0.2">
      <c r="B1409" s="44" t="str">
        <f t="shared" si="25"/>
        <v>2019-065-1</v>
      </c>
      <c r="C1409" s="45">
        <v>2019</v>
      </c>
      <c r="D1409" s="45" t="s">
        <v>94</v>
      </c>
      <c r="E1409" s="45">
        <v>1</v>
      </c>
      <c r="F1409" s="47" t="s">
        <v>635</v>
      </c>
      <c r="G1409" s="45"/>
      <c r="H1409" s="48"/>
      <c r="I1409" s="49"/>
    </row>
    <row r="1410" spans="2:9" s="1" customFormat="1" x14ac:dyDescent="0.2">
      <c r="B1410" s="44" t="str">
        <f t="shared" si="25"/>
        <v>2019-065-2</v>
      </c>
      <c r="C1410" s="45">
        <v>2019</v>
      </c>
      <c r="D1410" s="45" t="s">
        <v>94</v>
      </c>
      <c r="E1410" s="45">
        <v>2</v>
      </c>
      <c r="F1410" s="47" t="s">
        <v>1035</v>
      </c>
      <c r="G1410" s="45"/>
      <c r="H1410" s="48"/>
      <c r="I1410" s="49"/>
    </row>
    <row r="1411" spans="2:9" s="1" customFormat="1" x14ac:dyDescent="0.2">
      <c r="B1411" s="44" t="str">
        <f t="shared" si="25"/>
        <v>2019-065-3</v>
      </c>
      <c r="C1411" s="45">
        <v>2019</v>
      </c>
      <c r="D1411" s="45" t="s">
        <v>94</v>
      </c>
      <c r="E1411" s="45">
        <v>3</v>
      </c>
      <c r="F1411" s="47" t="s">
        <v>1430</v>
      </c>
      <c r="G1411" s="45" t="s">
        <v>3210</v>
      </c>
      <c r="H1411" s="48"/>
      <c r="I1411" s="49"/>
    </row>
    <row r="1412" spans="2:9" s="1" customFormat="1" x14ac:dyDescent="0.2">
      <c r="B1412" s="44" t="str">
        <f t="shared" si="25"/>
        <v>2019-065-4</v>
      </c>
      <c r="C1412" s="45">
        <v>2019</v>
      </c>
      <c r="D1412" s="45" t="s">
        <v>94</v>
      </c>
      <c r="E1412" s="45">
        <v>4</v>
      </c>
      <c r="F1412" s="47" t="s">
        <v>1826</v>
      </c>
      <c r="G1412" s="45"/>
      <c r="H1412" s="48"/>
      <c r="I1412" s="49"/>
    </row>
    <row r="1413" spans="2:9" s="1" customFormat="1" x14ac:dyDescent="0.2">
      <c r="B1413" s="50" t="str">
        <f t="shared" si="25"/>
        <v>2019-065-5</v>
      </c>
      <c r="C1413" s="51">
        <v>2019</v>
      </c>
      <c r="D1413" s="51" t="s">
        <v>94</v>
      </c>
      <c r="E1413" s="51">
        <v>5</v>
      </c>
      <c r="F1413" s="52" t="s">
        <v>2221</v>
      </c>
      <c r="G1413" s="51"/>
      <c r="H1413" s="53"/>
      <c r="I1413" s="54"/>
    </row>
    <row r="1414" spans="2:9" s="1" customFormat="1" x14ac:dyDescent="0.2">
      <c r="B1414" s="55" t="str">
        <f t="shared" si="25"/>
        <v>2019-066-0</v>
      </c>
      <c r="C1414" s="56">
        <v>2019</v>
      </c>
      <c r="D1414" s="56" t="s">
        <v>95</v>
      </c>
      <c r="E1414" s="56">
        <v>0</v>
      </c>
      <c r="F1414" s="57" t="s">
        <v>251</v>
      </c>
      <c r="G1414" s="56"/>
      <c r="H1414" s="58"/>
      <c r="I1414" s="59"/>
    </row>
    <row r="1415" spans="2:9" s="1" customFormat="1" x14ac:dyDescent="0.2">
      <c r="B1415" s="44" t="str">
        <f t="shared" si="25"/>
        <v>2019-066-1</v>
      </c>
      <c r="C1415" s="45">
        <v>2019</v>
      </c>
      <c r="D1415" s="45" t="s">
        <v>95</v>
      </c>
      <c r="E1415" s="45">
        <v>1</v>
      </c>
      <c r="F1415" s="47" t="s">
        <v>636</v>
      </c>
      <c r="G1415" s="45" t="s">
        <v>3210</v>
      </c>
      <c r="H1415" s="48"/>
      <c r="I1415" s="49"/>
    </row>
    <row r="1416" spans="2:9" s="1" customFormat="1" ht="27" x14ac:dyDescent="0.2">
      <c r="B1416" s="44" t="str">
        <f t="shared" si="25"/>
        <v>2019-066-2</v>
      </c>
      <c r="C1416" s="45">
        <v>2019</v>
      </c>
      <c r="D1416" s="45" t="s">
        <v>95</v>
      </c>
      <c r="E1416" s="45">
        <v>2</v>
      </c>
      <c r="F1416" s="47" t="s">
        <v>1036</v>
      </c>
      <c r="G1416" s="45"/>
      <c r="H1416" s="48"/>
      <c r="I1416" s="49"/>
    </row>
    <row r="1417" spans="2:9" s="1" customFormat="1" ht="27" x14ac:dyDescent="0.2">
      <c r="B1417" s="44" t="str">
        <f t="shared" si="25"/>
        <v>2019-066-3</v>
      </c>
      <c r="C1417" s="45">
        <v>2019</v>
      </c>
      <c r="D1417" s="45" t="s">
        <v>95</v>
      </c>
      <c r="E1417" s="45">
        <v>3</v>
      </c>
      <c r="F1417" s="47" t="s">
        <v>1431</v>
      </c>
      <c r="G1417" s="45"/>
      <c r="H1417" s="48"/>
      <c r="I1417" s="49"/>
    </row>
    <row r="1418" spans="2:9" s="1" customFormat="1" x14ac:dyDescent="0.2">
      <c r="B1418" s="44" t="str">
        <f t="shared" si="25"/>
        <v>2019-066-4</v>
      </c>
      <c r="C1418" s="45">
        <v>2019</v>
      </c>
      <c r="D1418" s="45" t="s">
        <v>95</v>
      </c>
      <c r="E1418" s="45">
        <v>4</v>
      </c>
      <c r="F1418" s="47" t="s">
        <v>1827</v>
      </c>
      <c r="G1418" s="45"/>
      <c r="H1418" s="48"/>
      <c r="I1418" s="49"/>
    </row>
    <row r="1419" spans="2:9" s="1" customFormat="1" x14ac:dyDescent="0.2">
      <c r="B1419" s="50" t="str">
        <f t="shared" si="25"/>
        <v>2019-066-5</v>
      </c>
      <c r="C1419" s="51">
        <v>2019</v>
      </c>
      <c r="D1419" s="51" t="s">
        <v>95</v>
      </c>
      <c r="E1419" s="51">
        <v>5</v>
      </c>
      <c r="F1419" s="52" t="s">
        <v>2222</v>
      </c>
      <c r="G1419" s="51"/>
      <c r="H1419" s="53"/>
      <c r="I1419" s="54"/>
    </row>
    <row r="1420" spans="2:9" s="1" customFormat="1" x14ac:dyDescent="0.2">
      <c r="B1420" s="55" t="str">
        <f t="shared" si="25"/>
        <v>2019-067-0</v>
      </c>
      <c r="C1420" s="56">
        <v>2019</v>
      </c>
      <c r="D1420" s="56" t="s">
        <v>96</v>
      </c>
      <c r="E1420" s="56">
        <v>0</v>
      </c>
      <c r="F1420" s="57" t="s">
        <v>252</v>
      </c>
      <c r="G1420" s="56"/>
      <c r="H1420" s="58"/>
      <c r="I1420" s="59"/>
    </row>
    <row r="1421" spans="2:9" s="1" customFormat="1" x14ac:dyDescent="0.2">
      <c r="B1421" s="44" t="str">
        <f t="shared" si="25"/>
        <v>2019-067-1</v>
      </c>
      <c r="C1421" s="45">
        <v>2019</v>
      </c>
      <c r="D1421" s="45" t="s">
        <v>96</v>
      </c>
      <c r="E1421" s="45">
        <v>1</v>
      </c>
      <c r="F1421" s="47" t="s">
        <v>637</v>
      </c>
      <c r="G1421" s="45"/>
      <c r="H1421" s="48"/>
      <c r="I1421" s="49"/>
    </row>
    <row r="1422" spans="2:9" s="1" customFormat="1" x14ac:dyDescent="0.2">
      <c r="B1422" s="44" t="str">
        <f t="shared" si="25"/>
        <v>2019-067-2</v>
      </c>
      <c r="C1422" s="45">
        <v>2019</v>
      </c>
      <c r="D1422" s="45" t="s">
        <v>96</v>
      </c>
      <c r="E1422" s="45">
        <v>2</v>
      </c>
      <c r="F1422" s="47" t="s">
        <v>1037</v>
      </c>
      <c r="G1422" s="45"/>
      <c r="H1422" s="48"/>
      <c r="I1422" s="49"/>
    </row>
    <row r="1423" spans="2:9" s="1" customFormat="1" ht="27" x14ac:dyDescent="0.2">
      <c r="B1423" s="44" t="str">
        <f t="shared" si="25"/>
        <v>2019-067-3</v>
      </c>
      <c r="C1423" s="45">
        <v>2019</v>
      </c>
      <c r="D1423" s="45" t="s">
        <v>96</v>
      </c>
      <c r="E1423" s="45">
        <v>3</v>
      </c>
      <c r="F1423" s="47" t="s">
        <v>1432</v>
      </c>
      <c r="G1423" s="45"/>
      <c r="H1423" s="48"/>
      <c r="I1423" s="49"/>
    </row>
    <row r="1424" spans="2:9" s="1" customFormat="1" ht="27" x14ac:dyDescent="0.2">
      <c r="B1424" s="44" t="str">
        <f t="shared" si="25"/>
        <v>2019-067-4</v>
      </c>
      <c r="C1424" s="45">
        <v>2019</v>
      </c>
      <c r="D1424" s="45" t="s">
        <v>96</v>
      </c>
      <c r="E1424" s="45">
        <v>4</v>
      </c>
      <c r="F1424" s="47" t="s">
        <v>1828</v>
      </c>
      <c r="G1424" s="45" t="s">
        <v>3210</v>
      </c>
      <c r="H1424" s="48"/>
      <c r="I1424" s="49"/>
    </row>
    <row r="1425" spans="2:9" s="1" customFormat="1" x14ac:dyDescent="0.2">
      <c r="B1425" s="50" t="str">
        <f t="shared" si="25"/>
        <v>2019-067-5</v>
      </c>
      <c r="C1425" s="51">
        <v>2019</v>
      </c>
      <c r="D1425" s="51" t="s">
        <v>96</v>
      </c>
      <c r="E1425" s="51">
        <v>5</v>
      </c>
      <c r="F1425" s="52" t="s">
        <v>2223</v>
      </c>
      <c r="G1425" s="51"/>
      <c r="H1425" s="53"/>
      <c r="I1425" s="54"/>
    </row>
    <row r="1426" spans="2:9" s="1" customFormat="1" x14ac:dyDescent="0.2">
      <c r="B1426" s="55" t="str">
        <f t="shared" si="25"/>
        <v>2019-068-0</v>
      </c>
      <c r="C1426" s="56">
        <v>2019</v>
      </c>
      <c r="D1426" s="56" t="s">
        <v>97</v>
      </c>
      <c r="E1426" s="56">
        <v>0</v>
      </c>
      <c r="F1426" s="57" t="s">
        <v>253</v>
      </c>
      <c r="G1426" s="56"/>
      <c r="H1426" s="58"/>
      <c r="I1426" s="59"/>
    </row>
    <row r="1427" spans="2:9" s="1" customFormat="1" x14ac:dyDescent="0.2">
      <c r="B1427" s="44" t="str">
        <f t="shared" si="25"/>
        <v>2019-068-1</v>
      </c>
      <c r="C1427" s="45">
        <v>2019</v>
      </c>
      <c r="D1427" s="45" t="s">
        <v>97</v>
      </c>
      <c r="E1427" s="45">
        <v>1</v>
      </c>
      <c r="F1427" s="47" t="s">
        <v>638</v>
      </c>
      <c r="G1427" s="45"/>
      <c r="H1427" s="48"/>
      <c r="I1427" s="49"/>
    </row>
    <row r="1428" spans="2:9" s="1" customFormat="1" x14ac:dyDescent="0.2">
      <c r="B1428" s="44" t="str">
        <f t="shared" si="25"/>
        <v>2019-068-2</v>
      </c>
      <c r="C1428" s="45">
        <v>2019</v>
      </c>
      <c r="D1428" s="45" t="s">
        <v>97</v>
      </c>
      <c r="E1428" s="45">
        <v>2</v>
      </c>
      <c r="F1428" s="47" t="s">
        <v>1038</v>
      </c>
      <c r="G1428" s="45"/>
      <c r="H1428" s="48"/>
      <c r="I1428" s="49"/>
    </row>
    <row r="1429" spans="2:9" s="1" customFormat="1" ht="27" x14ac:dyDescent="0.2">
      <c r="B1429" s="44" t="str">
        <f t="shared" si="25"/>
        <v>2019-068-3</v>
      </c>
      <c r="C1429" s="45">
        <v>2019</v>
      </c>
      <c r="D1429" s="45" t="s">
        <v>97</v>
      </c>
      <c r="E1429" s="45">
        <v>3</v>
      </c>
      <c r="F1429" s="47" t="s">
        <v>1433</v>
      </c>
      <c r="G1429" s="45" t="s">
        <v>3210</v>
      </c>
      <c r="H1429" s="48"/>
      <c r="I1429" s="49"/>
    </row>
    <row r="1430" spans="2:9" s="1" customFormat="1" x14ac:dyDescent="0.2">
      <c r="B1430" s="44" t="str">
        <f t="shared" si="25"/>
        <v>2019-068-4</v>
      </c>
      <c r="C1430" s="45">
        <v>2019</v>
      </c>
      <c r="D1430" s="45" t="s">
        <v>97</v>
      </c>
      <c r="E1430" s="45">
        <v>4</v>
      </c>
      <c r="F1430" s="47" t="s">
        <v>1829</v>
      </c>
      <c r="G1430" s="45"/>
      <c r="H1430" s="48"/>
      <c r="I1430" s="49"/>
    </row>
    <row r="1431" spans="2:9" s="1" customFormat="1" ht="27" x14ac:dyDescent="0.2">
      <c r="B1431" s="50" t="str">
        <f t="shared" si="25"/>
        <v>2019-068-5</v>
      </c>
      <c r="C1431" s="51">
        <v>2019</v>
      </c>
      <c r="D1431" s="51" t="s">
        <v>97</v>
      </c>
      <c r="E1431" s="51">
        <v>5</v>
      </c>
      <c r="F1431" s="52" t="s">
        <v>2224</v>
      </c>
      <c r="G1431" s="51"/>
      <c r="H1431" s="53"/>
      <c r="I1431" s="54"/>
    </row>
    <row r="1432" spans="2:9" s="1" customFormat="1" ht="81" x14ac:dyDescent="0.2">
      <c r="B1432" s="55" t="str">
        <f t="shared" si="25"/>
        <v>2019-069-0</v>
      </c>
      <c r="C1432" s="56">
        <v>2019</v>
      </c>
      <c r="D1432" s="56" t="s">
        <v>98</v>
      </c>
      <c r="E1432" s="56">
        <v>0</v>
      </c>
      <c r="F1432" s="57" t="s">
        <v>254</v>
      </c>
      <c r="G1432" s="56"/>
      <c r="H1432" s="58"/>
      <c r="I1432" s="59"/>
    </row>
    <row r="1433" spans="2:9" s="1" customFormat="1" x14ac:dyDescent="0.2">
      <c r="B1433" s="44" t="str">
        <f t="shared" si="25"/>
        <v>2019-069-1</v>
      </c>
      <c r="C1433" s="45">
        <v>2019</v>
      </c>
      <c r="D1433" s="45" t="s">
        <v>98</v>
      </c>
      <c r="E1433" s="45">
        <v>1</v>
      </c>
      <c r="F1433" s="47" t="s">
        <v>44</v>
      </c>
      <c r="G1433" s="45"/>
      <c r="H1433" s="48"/>
      <c r="I1433" s="49"/>
    </row>
    <row r="1434" spans="2:9" s="1" customFormat="1" x14ac:dyDescent="0.2">
      <c r="B1434" s="44" t="str">
        <f t="shared" si="25"/>
        <v>2019-069-2</v>
      </c>
      <c r="C1434" s="45">
        <v>2019</v>
      </c>
      <c r="D1434" s="45" t="s">
        <v>98</v>
      </c>
      <c r="E1434" s="45">
        <v>2</v>
      </c>
      <c r="F1434" s="47" t="s">
        <v>55</v>
      </c>
      <c r="G1434" s="45" t="s">
        <v>3210</v>
      </c>
      <c r="H1434" s="48"/>
      <c r="I1434" s="49"/>
    </row>
    <row r="1435" spans="2:9" s="1" customFormat="1" x14ac:dyDescent="0.2">
      <c r="B1435" s="44" t="str">
        <f t="shared" si="25"/>
        <v>2019-069-3</v>
      </c>
      <c r="C1435" s="45">
        <v>2019</v>
      </c>
      <c r="D1435" s="45" t="s">
        <v>98</v>
      </c>
      <c r="E1435" s="45">
        <v>3</v>
      </c>
      <c r="F1435" s="47" t="s">
        <v>49</v>
      </c>
      <c r="G1435" s="45"/>
      <c r="H1435" s="48"/>
      <c r="I1435" s="49"/>
    </row>
    <row r="1436" spans="2:9" s="1" customFormat="1" x14ac:dyDescent="0.2">
      <c r="B1436" s="44" t="str">
        <f t="shared" si="25"/>
        <v>2019-069-4</v>
      </c>
      <c r="C1436" s="45">
        <v>2019</v>
      </c>
      <c r="D1436" s="45" t="s">
        <v>98</v>
      </c>
      <c r="E1436" s="45">
        <v>4</v>
      </c>
      <c r="F1436" s="47" t="s">
        <v>51</v>
      </c>
      <c r="G1436" s="45"/>
      <c r="H1436" s="48"/>
      <c r="I1436" s="49"/>
    </row>
    <row r="1437" spans="2:9" s="1" customFormat="1" x14ac:dyDescent="0.2">
      <c r="B1437" s="50" t="str">
        <f t="shared" si="25"/>
        <v>2019-069-5</v>
      </c>
      <c r="C1437" s="51">
        <v>2019</v>
      </c>
      <c r="D1437" s="51" t="s">
        <v>98</v>
      </c>
      <c r="E1437" s="51">
        <v>5</v>
      </c>
      <c r="F1437" s="52" t="s">
        <v>59</v>
      </c>
      <c r="G1437" s="51"/>
      <c r="H1437" s="53"/>
      <c r="I1437" s="54"/>
    </row>
    <row r="1438" spans="2:9" s="1" customFormat="1" x14ac:dyDescent="0.2">
      <c r="B1438" s="55" t="str">
        <f t="shared" si="25"/>
        <v>2019-070-0</v>
      </c>
      <c r="C1438" s="56">
        <v>2019</v>
      </c>
      <c r="D1438" s="56" t="s">
        <v>99</v>
      </c>
      <c r="E1438" s="56">
        <v>0</v>
      </c>
      <c r="F1438" s="57" t="s">
        <v>211</v>
      </c>
      <c r="G1438" s="56"/>
      <c r="H1438" s="58"/>
      <c r="I1438" s="59"/>
    </row>
    <row r="1439" spans="2:9" s="1" customFormat="1" x14ac:dyDescent="0.2">
      <c r="B1439" s="44" t="str">
        <f t="shared" si="25"/>
        <v>2019-070-1</v>
      </c>
      <c r="C1439" s="45">
        <v>2019</v>
      </c>
      <c r="D1439" s="45" t="s">
        <v>99</v>
      </c>
      <c r="E1439" s="45">
        <v>1</v>
      </c>
      <c r="F1439" s="47" t="s">
        <v>639</v>
      </c>
      <c r="G1439" s="45"/>
      <c r="H1439" s="48"/>
      <c r="I1439" s="49"/>
    </row>
    <row r="1440" spans="2:9" s="1" customFormat="1" ht="27" x14ac:dyDescent="0.2">
      <c r="B1440" s="44" t="str">
        <f t="shared" si="25"/>
        <v>2019-070-2</v>
      </c>
      <c r="C1440" s="45">
        <v>2019</v>
      </c>
      <c r="D1440" s="45" t="s">
        <v>99</v>
      </c>
      <c r="E1440" s="45">
        <v>2</v>
      </c>
      <c r="F1440" s="47" t="s">
        <v>1039</v>
      </c>
      <c r="G1440" s="45"/>
      <c r="H1440" s="48"/>
      <c r="I1440" s="49"/>
    </row>
    <row r="1441" spans="2:9" s="1" customFormat="1" x14ac:dyDescent="0.2">
      <c r="B1441" s="44" t="str">
        <f t="shared" si="25"/>
        <v>2019-070-3</v>
      </c>
      <c r="C1441" s="45">
        <v>2019</v>
      </c>
      <c r="D1441" s="45" t="s">
        <v>99</v>
      </c>
      <c r="E1441" s="45">
        <v>3</v>
      </c>
      <c r="F1441" s="47" t="s">
        <v>1434</v>
      </c>
      <c r="G1441" s="45"/>
      <c r="H1441" s="48"/>
      <c r="I1441" s="49"/>
    </row>
    <row r="1442" spans="2:9" s="1" customFormat="1" x14ac:dyDescent="0.2">
      <c r="B1442" s="44" t="str">
        <f t="shared" si="25"/>
        <v>2019-070-4</v>
      </c>
      <c r="C1442" s="45">
        <v>2019</v>
      </c>
      <c r="D1442" s="45" t="s">
        <v>99</v>
      </c>
      <c r="E1442" s="45">
        <v>4</v>
      </c>
      <c r="F1442" s="47" t="s">
        <v>1830</v>
      </c>
      <c r="G1442" s="45"/>
      <c r="H1442" s="48"/>
      <c r="I1442" s="49"/>
    </row>
    <row r="1443" spans="2:9" s="1" customFormat="1" ht="27" x14ac:dyDescent="0.2">
      <c r="B1443" s="50" t="str">
        <f t="shared" si="25"/>
        <v>2019-070-5</v>
      </c>
      <c r="C1443" s="51">
        <v>2019</v>
      </c>
      <c r="D1443" s="51" t="s">
        <v>99</v>
      </c>
      <c r="E1443" s="51">
        <v>5</v>
      </c>
      <c r="F1443" s="52" t="s">
        <v>2225</v>
      </c>
      <c r="G1443" s="51" t="s">
        <v>3210</v>
      </c>
      <c r="H1443" s="53"/>
      <c r="I1443" s="54"/>
    </row>
    <row r="1444" spans="2:9" s="1" customFormat="1" x14ac:dyDescent="0.2">
      <c r="B1444" s="55" t="str">
        <f t="shared" si="25"/>
        <v>2019-071-0</v>
      </c>
      <c r="C1444" s="56">
        <v>2019</v>
      </c>
      <c r="D1444" s="56" t="s">
        <v>100</v>
      </c>
      <c r="E1444" s="56">
        <v>0</v>
      </c>
      <c r="F1444" s="57" t="s">
        <v>255</v>
      </c>
      <c r="G1444" s="56"/>
      <c r="H1444" s="58"/>
      <c r="I1444" s="59"/>
    </row>
    <row r="1445" spans="2:9" s="1" customFormat="1" x14ac:dyDescent="0.2">
      <c r="B1445" s="44" t="str">
        <f t="shared" si="25"/>
        <v>2019-071-1</v>
      </c>
      <c r="C1445" s="45">
        <v>2019</v>
      </c>
      <c r="D1445" s="45" t="s">
        <v>100</v>
      </c>
      <c r="E1445" s="45">
        <v>1</v>
      </c>
      <c r="F1445" s="47" t="s">
        <v>640</v>
      </c>
      <c r="G1445" s="45"/>
      <c r="H1445" s="48"/>
      <c r="I1445" s="49"/>
    </row>
    <row r="1446" spans="2:9" s="1" customFormat="1" x14ac:dyDescent="0.2">
      <c r="B1446" s="44" t="str">
        <f t="shared" si="25"/>
        <v>2019-071-2</v>
      </c>
      <c r="C1446" s="45">
        <v>2019</v>
      </c>
      <c r="D1446" s="45" t="s">
        <v>100</v>
      </c>
      <c r="E1446" s="45">
        <v>2</v>
      </c>
      <c r="F1446" s="47" t="s">
        <v>1040</v>
      </c>
      <c r="G1446" s="45"/>
      <c r="H1446" s="48"/>
      <c r="I1446" s="49"/>
    </row>
    <row r="1447" spans="2:9" s="1" customFormat="1" x14ac:dyDescent="0.2">
      <c r="B1447" s="44" t="str">
        <f t="shared" si="25"/>
        <v>2019-071-3</v>
      </c>
      <c r="C1447" s="45">
        <v>2019</v>
      </c>
      <c r="D1447" s="45" t="s">
        <v>100</v>
      </c>
      <c r="E1447" s="45">
        <v>3</v>
      </c>
      <c r="F1447" s="47" t="s">
        <v>1435</v>
      </c>
      <c r="G1447" s="45"/>
      <c r="H1447" s="48"/>
      <c r="I1447" s="49"/>
    </row>
    <row r="1448" spans="2:9" s="1" customFormat="1" x14ac:dyDescent="0.2">
      <c r="B1448" s="44" t="str">
        <f t="shared" si="25"/>
        <v>2019-071-4</v>
      </c>
      <c r="C1448" s="45">
        <v>2019</v>
      </c>
      <c r="D1448" s="45" t="s">
        <v>100</v>
      </c>
      <c r="E1448" s="45">
        <v>4</v>
      </c>
      <c r="F1448" s="47" t="s">
        <v>1831</v>
      </c>
      <c r="G1448" s="45" t="s">
        <v>3210</v>
      </c>
      <c r="H1448" s="48"/>
      <c r="I1448" s="49"/>
    </row>
    <row r="1449" spans="2:9" s="1" customFormat="1" x14ac:dyDescent="0.2">
      <c r="B1449" s="50" t="str">
        <f t="shared" si="25"/>
        <v>2019-071-5</v>
      </c>
      <c r="C1449" s="51">
        <v>2019</v>
      </c>
      <c r="D1449" s="51" t="s">
        <v>100</v>
      </c>
      <c r="E1449" s="51">
        <v>5</v>
      </c>
      <c r="F1449" s="52" t="s">
        <v>2226</v>
      </c>
      <c r="G1449" s="51"/>
      <c r="H1449" s="53"/>
      <c r="I1449" s="54"/>
    </row>
    <row r="1450" spans="2:9" s="1" customFormat="1" ht="27" x14ac:dyDescent="0.2">
      <c r="B1450" s="55" t="str">
        <f t="shared" si="25"/>
        <v>2019-072-0</v>
      </c>
      <c r="C1450" s="56">
        <v>2019</v>
      </c>
      <c r="D1450" s="56" t="s">
        <v>101</v>
      </c>
      <c r="E1450" s="56">
        <v>0</v>
      </c>
      <c r="F1450" s="57" t="s">
        <v>256</v>
      </c>
      <c r="G1450" s="56"/>
      <c r="H1450" s="58"/>
      <c r="I1450" s="59"/>
    </row>
    <row r="1451" spans="2:9" s="1" customFormat="1" x14ac:dyDescent="0.2">
      <c r="B1451" s="44" t="str">
        <f t="shared" si="25"/>
        <v>2019-072-1</v>
      </c>
      <c r="C1451" s="45">
        <v>2019</v>
      </c>
      <c r="D1451" s="45" t="s">
        <v>101</v>
      </c>
      <c r="E1451" s="45">
        <v>1</v>
      </c>
      <c r="F1451" s="47" t="s">
        <v>641</v>
      </c>
      <c r="G1451" s="45"/>
      <c r="H1451" s="48"/>
      <c r="I1451" s="49"/>
    </row>
    <row r="1452" spans="2:9" s="1" customFormat="1" x14ac:dyDescent="0.2">
      <c r="B1452" s="44" t="str">
        <f t="shared" si="25"/>
        <v>2019-072-2</v>
      </c>
      <c r="C1452" s="45">
        <v>2019</v>
      </c>
      <c r="D1452" s="45" t="s">
        <v>101</v>
      </c>
      <c r="E1452" s="45">
        <v>2</v>
      </c>
      <c r="F1452" s="47" t="s">
        <v>1041</v>
      </c>
      <c r="G1452" s="45" t="s">
        <v>3210</v>
      </c>
      <c r="H1452" s="48"/>
      <c r="I1452" s="49"/>
    </row>
    <row r="1453" spans="2:9" s="1" customFormat="1" ht="27" x14ac:dyDescent="0.2">
      <c r="B1453" s="44" t="str">
        <f t="shared" si="25"/>
        <v>2019-072-3</v>
      </c>
      <c r="C1453" s="45">
        <v>2019</v>
      </c>
      <c r="D1453" s="45" t="s">
        <v>101</v>
      </c>
      <c r="E1453" s="45">
        <v>3</v>
      </c>
      <c r="F1453" s="47" t="s">
        <v>1436</v>
      </c>
      <c r="G1453" s="45"/>
      <c r="H1453" s="48"/>
      <c r="I1453" s="49"/>
    </row>
    <row r="1454" spans="2:9" s="1" customFormat="1" ht="27" x14ac:dyDescent="0.2">
      <c r="B1454" s="44" t="str">
        <f t="shared" si="25"/>
        <v>2019-072-4</v>
      </c>
      <c r="C1454" s="45">
        <v>2019</v>
      </c>
      <c r="D1454" s="45" t="s">
        <v>101</v>
      </c>
      <c r="E1454" s="45">
        <v>4</v>
      </c>
      <c r="F1454" s="47" t="s">
        <v>1832</v>
      </c>
      <c r="G1454" s="45"/>
      <c r="H1454" s="48"/>
      <c r="I1454" s="49"/>
    </row>
    <row r="1455" spans="2:9" s="1" customFormat="1" ht="27" x14ac:dyDescent="0.2">
      <c r="B1455" s="50" t="str">
        <f t="shared" si="25"/>
        <v>2019-072-5</v>
      </c>
      <c r="C1455" s="51">
        <v>2019</v>
      </c>
      <c r="D1455" s="51" t="s">
        <v>101</v>
      </c>
      <c r="E1455" s="51">
        <v>5</v>
      </c>
      <c r="F1455" s="52" t="s">
        <v>2227</v>
      </c>
      <c r="G1455" s="51"/>
      <c r="H1455" s="53"/>
      <c r="I1455" s="54"/>
    </row>
    <row r="1456" spans="2:9" s="1" customFormat="1" x14ac:dyDescent="0.2">
      <c r="B1456" s="55" t="str">
        <f t="shared" si="25"/>
        <v>2019-073-0</v>
      </c>
      <c r="C1456" s="56">
        <v>2019</v>
      </c>
      <c r="D1456" s="56" t="s">
        <v>102</v>
      </c>
      <c r="E1456" s="56">
        <v>0</v>
      </c>
      <c r="F1456" s="57" t="s">
        <v>257</v>
      </c>
      <c r="G1456" s="56"/>
      <c r="H1456" s="58"/>
      <c r="I1456" s="59"/>
    </row>
    <row r="1457" spans="2:9" s="1" customFormat="1" x14ac:dyDescent="0.2">
      <c r="B1457" s="44" t="str">
        <f t="shared" si="25"/>
        <v>2019-073-1</v>
      </c>
      <c r="C1457" s="45">
        <v>2019</v>
      </c>
      <c r="D1457" s="45" t="s">
        <v>102</v>
      </c>
      <c r="E1457" s="45">
        <v>1</v>
      </c>
      <c r="F1457" s="47" t="s">
        <v>642</v>
      </c>
      <c r="G1457" s="45" t="s">
        <v>3210</v>
      </c>
      <c r="H1457" s="48"/>
      <c r="I1457" s="49"/>
    </row>
    <row r="1458" spans="2:9" s="1" customFormat="1" ht="27" x14ac:dyDescent="0.2">
      <c r="B1458" s="44" t="str">
        <f t="shared" si="25"/>
        <v>2019-073-2</v>
      </c>
      <c r="C1458" s="45">
        <v>2019</v>
      </c>
      <c r="D1458" s="45" t="s">
        <v>102</v>
      </c>
      <c r="E1458" s="45">
        <v>2</v>
      </c>
      <c r="F1458" s="47" t="s">
        <v>1042</v>
      </c>
      <c r="G1458" s="45"/>
      <c r="H1458" s="48"/>
      <c r="I1458" s="49"/>
    </row>
    <row r="1459" spans="2:9" s="1" customFormat="1" x14ac:dyDescent="0.2">
      <c r="B1459" s="44" t="str">
        <f t="shared" si="25"/>
        <v>2019-073-3</v>
      </c>
      <c r="C1459" s="45">
        <v>2019</v>
      </c>
      <c r="D1459" s="45" t="s">
        <v>102</v>
      </c>
      <c r="E1459" s="45">
        <v>3</v>
      </c>
      <c r="F1459" s="47" t="s">
        <v>1437</v>
      </c>
      <c r="G1459" s="45"/>
      <c r="H1459" s="48"/>
      <c r="I1459" s="49"/>
    </row>
    <row r="1460" spans="2:9" s="1" customFormat="1" ht="27" x14ac:dyDescent="0.2">
      <c r="B1460" s="44" t="str">
        <f t="shared" si="25"/>
        <v>2019-073-4</v>
      </c>
      <c r="C1460" s="45">
        <v>2019</v>
      </c>
      <c r="D1460" s="45" t="s">
        <v>102</v>
      </c>
      <c r="E1460" s="45">
        <v>4</v>
      </c>
      <c r="F1460" s="47" t="s">
        <v>1833</v>
      </c>
      <c r="G1460" s="45"/>
      <c r="H1460" s="48"/>
      <c r="I1460" s="49"/>
    </row>
    <row r="1461" spans="2:9" s="1" customFormat="1" x14ac:dyDescent="0.2">
      <c r="B1461" s="50" t="str">
        <f t="shared" si="25"/>
        <v>2019-073-5</v>
      </c>
      <c r="C1461" s="51">
        <v>2019</v>
      </c>
      <c r="D1461" s="51" t="s">
        <v>102</v>
      </c>
      <c r="E1461" s="51">
        <v>5</v>
      </c>
      <c r="F1461" s="52" t="s">
        <v>2228</v>
      </c>
      <c r="G1461" s="51"/>
      <c r="H1461" s="53"/>
      <c r="I1461" s="54"/>
    </row>
    <row r="1462" spans="2:9" s="1" customFormat="1" x14ac:dyDescent="0.2">
      <c r="B1462" s="55" t="str">
        <f t="shared" si="25"/>
        <v>2019-074-0</v>
      </c>
      <c r="C1462" s="56">
        <v>2019</v>
      </c>
      <c r="D1462" s="56" t="s">
        <v>103</v>
      </c>
      <c r="E1462" s="56">
        <v>0</v>
      </c>
      <c r="F1462" s="57" t="s">
        <v>168</v>
      </c>
      <c r="G1462" s="56"/>
      <c r="H1462" s="58"/>
      <c r="I1462" s="59"/>
    </row>
    <row r="1463" spans="2:9" s="1" customFormat="1" x14ac:dyDescent="0.2">
      <c r="B1463" s="44" t="str">
        <f t="shared" si="25"/>
        <v>2019-074-1</v>
      </c>
      <c r="C1463" s="45">
        <v>2019</v>
      </c>
      <c r="D1463" s="45" t="s">
        <v>103</v>
      </c>
      <c r="E1463" s="45">
        <v>1</v>
      </c>
      <c r="F1463" s="47" t="s">
        <v>643</v>
      </c>
      <c r="G1463" s="45"/>
      <c r="H1463" s="48"/>
      <c r="I1463" s="49"/>
    </row>
    <row r="1464" spans="2:9" s="1" customFormat="1" x14ac:dyDescent="0.2">
      <c r="B1464" s="44" t="str">
        <f t="shared" si="25"/>
        <v>2019-074-2</v>
      </c>
      <c r="C1464" s="45">
        <v>2019</v>
      </c>
      <c r="D1464" s="45" t="s">
        <v>103</v>
      </c>
      <c r="E1464" s="45">
        <v>2</v>
      </c>
      <c r="F1464" s="47" t="s">
        <v>1043</v>
      </c>
      <c r="G1464" s="45"/>
      <c r="H1464" s="48"/>
      <c r="I1464" s="49"/>
    </row>
    <row r="1465" spans="2:9" s="1" customFormat="1" ht="27" x14ac:dyDescent="0.2">
      <c r="B1465" s="44" t="str">
        <f t="shared" si="25"/>
        <v>2019-074-3</v>
      </c>
      <c r="C1465" s="45">
        <v>2019</v>
      </c>
      <c r="D1465" s="45" t="s">
        <v>103</v>
      </c>
      <c r="E1465" s="45">
        <v>3</v>
      </c>
      <c r="F1465" s="47" t="s">
        <v>1438</v>
      </c>
      <c r="G1465" s="45"/>
      <c r="H1465" s="48"/>
      <c r="I1465" s="49"/>
    </row>
    <row r="1466" spans="2:9" s="1" customFormat="1" x14ac:dyDescent="0.2">
      <c r="B1466" s="44" t="str">
        <f t="shared" si="25"/>
        <v>2019-074-4</v>
      </c>
      <c r="C1466" s="45">
        <v>2019</v>
      </c>
      <c r="D1466" s="45" t="s">
        <v>103</v>
      </c>
      <c r="E1466" s="45">
        <v>4</v>
      </c>
      <c r="F1466" s="47" t="s">
        <v>1834</v>
      </c>
      <c r="G1466" s="45" t="s">
        <v>3210</v>
      </c>
      <c r="H1466" s="48"/>
      <c r="I1466" s="49"/>
    </row>
    <row r="1467" spans="2:9" s="1" customFormat="1" ht="27" x14ac:dyDescent="0.2">
      <c r="B1467" s="50" t="str">
        <f t="shared" si="25"/>
        <v>2019-074-5</v>
      </c>
      <c r="C1467" s="51">
        <v>2019</v>
      </c>
      <c r="D1467" s="51" t="s">
        <v>103</v>
      </c>
      <c r="E1467" s="51">
        <v>5</v>
      </c>
      <c r="F1467" s="52" t="s">
        <v>2229</v>
      </c>
      <c r="G1467" s="51"/>
      <c r="H1467" s="53"/>
      <c r="I1467" s="54"/>
    </row>
    <row r="1468" spans="2:9" s="1" customFormat="1" x14ac:dyDescent="0.2">
      <c r="B1468" s="55" t="str">
        <f t="shared" si="25"/>
        <v>2019-075-0</v>
      </c>
      <c r="C1468" s="56">
        <v>2019</v>
      </c>
      <c r="D1468" s="56" t="s">
        <v>104</v>
      </c>
      <c r="E1468" s="56">
        <v>0</v>
      </c>
      <c r="F1468" s="57" t="s">
        <v>167</v>
      </c>
      <c r="G1468" s="56"/>
      <c r="H1468" s="58"/>
      <c r="I1468" s="59"/>
    </row>
    <row r="1469" spans="2:9" s="1" customFormat="1" x14ac:dyDescent="0.2">
      <c r="B1469" s="44" t="str">
        <f t="shared" ref="B1469:B1473" si="26">C1469&amp;"-"&amp;D1469&amp;"-"&amp;E1469</f>
        <v>2019-075-1</v>
      </c>
      <c r="C1469" s="45">
        <v>2019</v>
      </c>
      <c r="D1469" s="45" t="s">
        <v>104</v>
      </c>
      <c r="E1469" s="45">
        <v>1</v>
      </c>
      <c r="F1469" s="47" t="s">
        <v>644</v>
      </c>
      <c r="G1469" s="45"/>
      <c r="H1469" s="48"/>
      <c r="I1469" s="49"/>
    </row>
    <row r="1470" spans="2:9" s="1" customFormat="1" x14ac:dyDescent="0.2">
      <c r="B1470" s="44" t="str">
        <f t="shared" si="26"/>
        <v>2019-075-2</v>
      </c>
      <c r="C1470" s="45">
        <v>2019</v>
      </c>
      <c r="D1470" s="45" t="s">
        <v>104</v>
      </c>
      <c r="E1470" s="45">
        <v>2</v>
      </c>
      <c r="F1470" s="47" t="s">
        <v>1044</v>
      </c>
      <c r="G1470" s="45"/>
      <c r="H1470" s="48"/>
      <c r="I1470" s="49"/>
    </row>
    <row r="1471" spans="2:9" s="1" customFormat="1" x14ac:dyDescent="0.2">
      <c r="B1471" s="44" t="str">
        <f t="shared" si="26"/>
        <v>2019-075-3</v>
      </c>
      <c r="C1471" s="45">
        <v>2019</v>
      </c>
      <c r="D1471" s="45" t="s">
        <v>104</v>
      </c>
      <c r="E1471" s="45">
        <v>3</v>
      </c>
      <c r="F1471" s="47" t="s">
        <v>1439</v>
      </c>
      <c r="G1471" s="45"/>
      <c r="H1471" s="48"/>
      <c r="I1471" s="49"/>
    </row>
    <row r="1472" spans="2:9" s="1" customFormat="1" x14ac:dyDescent="0.2">
      <c r="B1472" s="44" t="str">
        <f t="shared" si="26"/>
        <v>2019-075-4</v>
      </c>
      <c r="C1472" s="45">
        <v>2019</v>
      </c>
      <c r="D1472" s="45" t="s">
        <v>104</v>
      </c>
      <c r="E1472" s="45">
        <v>4</v>
      </c>
      <c r="F1472" s="47" t="s">
        <v>1835</v>
      </c>
      <c r="G1472" s="45"/>
      <c r="H1472" s="48"/>
      <c r="I1472" s="49"/>
    </row>
    <row r="1473" spans="2:9" s="1" customFormat="1" ht="27.75" thickBot="1" x14ac:dyDescent="0.25">
      <c r="B1473" s="60" t="str">
        <f t="shared" si="26"/>
        <v>2019-075-5</v>
      </c>
      <c r="C1473" s="61">
        <v>2019</v>
      </c>
      <c r="D1473" s="61" t="s">
        <v>104</v>
      </c>
      <c r="E1473" s="61">
        <v>5</v>
      </c>
      <c r="F1473" s="62" t="s">
        <v>2230</v>
      </c>
      <c r="G1473" s="61" t="s">
        <v>3210</v>
      </c>
      <c r="H1473" s="63"/>
      <c r="I1473" s="64"/>
    </row>
    <row r="1474" spans="2:9" s="1" customFormat="1" x14ac:dyDescent="0.2">
      <c r="B1474" s="38" t="str">
        <f t="shared" ref="B1474:B1506" si="27">C1474&amp;"-"&amp;D1474&amp;"-"&amp;E1474</f>
        <v>2018-051-0</v>
      </c>
      <c r="C1474" s="39">
        <v>2018</v>
      </c>
      <c r="D1474" s="39" t="s">
        <v>80</v>
      </c>
      <c r="E1474" s="39">
        <v>0</v>
      </c>
      <c r="F1474" s="41" t="s">
        <v>258</v>
      </c>
      <c r="G1474" s="39"/>
      <c r="H1474" s="42"/>
      <c r="I1474" s="43"/>
    </row>
    <row r="1475" spans="2:9" s="1" customFormat="1" x14ac:dyDescent="0.2">
      <c r="B1475" s="44" t="str">
        <f t="shared" si="27"/>
        <v>2018-051-1</v>
      </c>
      <c r="C1475" s="45">
        <v>2018</v>
      </c>
      <c r="D1475" s="45" t="s">
        <v>80</v>
      </c>
      <c r="E1475" s="45">
        <v>1</v>
      </c>
      <c r="F1475" s="47" t="s">
        <v>645</v>
      </c>
      <c r="G1475" s="45"/>
      <c r="H1475" s="48"/>
      <c r="I1475" s="49"/>
    </row>
    <row r="1476" spans="2:9" s="1" customFormat="1" x14ac:dyDescent="0.2">
      <c r="B1476" s="44" t="str">
        <f t="shared" si="27"/>
        <v>2018-051-2</v>
      </c>
      <c r="C1476" s="45">
        <v>2018</v>
      </c>
      <c r="D1476" s="45" t="s">
        <v>80</v>
      </c>
      <c r="E1476" s="45">
        <v>2</v>
      </c>
      <c r="F1476" s="47" t="s">
        <v>1045</v>
      </c>
      <c r="G1476" s="45"/>
      <c r="H1476" s="48"/>
      <c r="I1476" s="49"/>
    </row>
    <row r="1477" spans="2:9" s="1" customFormat="1" x14ac:dyDescent="0.2">
      <c r="B1477" s="44" t="str">
        <f t="shared" si="27"/>
        <v>2018-051-3</v>
      </c>
      <c r="C1477" s="45">
        <v>2018</v>
      </c>
      <c r="D1477" s="45" t="s">
        <v>80</v>
      </c>
      <c r="E1477" s="45">
        <v>3</v>
      </c>
      <c r="F1477" s="47" t="s">
        <v>1440</v>
      </c>
      <c r="G1477" s="45" t="s">
        <v>3210</v>
      </c>
      <c r="H1477" s="48"/>
      <c r="I1477" s="49"/>
    </row>
    <row r="1478" spans="2:9" s="1" customFormat="1" ht="27" x14ac:dyDescent="0.2">
      <c r="B1478" s="44" t="str">
        <f t="shared" si="27"/>
        <v>2018-051-4</v>
      </c>
      <c r="C1478" s="45">
        <v>2018</v>
      </c>
      <c r="D1478" s="45" t="s">
        <v>80</v>
      </c>
      <c r="E1478" s="45">
        <v>4</v>
      </c>
      <c r="F1478" s="47" t="s">
        <v>1836</v>
      </c>
      <c r="G1478" s="45"/>
      <c r="H1478" s="48"/>
      <c r="I1478" s="49"/>
    </row>
    <row r="1479" spans="2:9" s="1" customFormat="1" x14ac:dyDescent="0.2">
      <c r="B1479" s="50" t="str">
        <f t="shared" si="27"/>
        <v>2018-051-5</v>
      </c>
      <c r="C1479" s="51">
        <v>2018</v>
      </c>
      <c r="D1479" s="51" t="s">
        <v>80</v>
      </c>
      <c r="E1479" s="51">
        <v>5</v>
      </c>
      <c r="F1479" s="52" t="s">
        <v>2231</v>
      </c>
      <c r="G1479" s="51"/>
      <c r="H1479" s="53"/>
      <c r="I1479" s="54"/>
    </row>
    <row r="1480" spans="2:9" s="1" customFormat="1" x14ac:dyDescent="0.2">
      <c r="B1480" s="55" t="str">
        <f t="shared" si="27"/>
        <v>2018-052-0</v>
      </c>
      <c r="C1480" s="56">
        <v>2018</v>
      </c>
      <c r="D1480" s="56" t="s">
        <v>81</v>
      </c>
      <c r="E1480" s="56">
        <v>0</v>
      </c>
      <c r="F1480" s="57" t="s">
        <v>145</v>
      </c>
      <c r="G1480" s="56"/>
      <c r="H1480" s="58"/>
      <c r="I1480" s="59"/>
    </row>
    <row r="1481" spans="2:9" s="1" customFormat="1" x14ac:dyDescent="0.2">
      <c r="B1481" s="44" t="str">
        <f t="shared" si="27"/>
        <v>2018-052-1</v>
      </c>
      <c r="C1481" s="45">
        <v>2018</v>
      </c>
      <c r="D1481" s="45" t="s">
        <v>81</v>
      </c>
      <c r="E1481" s="45">
        <v>1</v>
      </c>
      <c r="F1481" s="47" t="s">
        <v>646</v>
      </c>
      <c r="G1481" s="45"/>
      <c r="H1481" s="48"/>
      <c r="I1481" s="49"/>
    </row>
    <row r="1482" spans="2:9" s="1" customFormat="1" x14ac:dyDescent="0.2">
      <c r="B1482" s="44" t="str">
        <f t="shared" si="27"/>
        <v>2018-052-2</v>
      </c>
      <c r="C1482" s="45">
        <v>2018</v>
      </c>
      <c r="D1482" s="45" t="s">
        <v>81</v>
      </c>
      <c r="E1482" s="45">
        <v>2</v>
      </c>
      <c r="F1482" s="47" t="s">
        <v>1046</v>
      </c>
      <c r="G1482" s="45"/>
      <c r="H1482" s="48"/>
      <c r="I1482" s="49"/>
    </row>
    <row r="1483" spans="2:9" s="1" customFormat="1" x14ac:dyDescent="0.2">
      <c r="B1483" s="44" t="str">
        <f t="shared" si="27"/>
        <v>2018-052-3</v>
      </c>
      <c r="C1483" s="45">
        <v>2018</v>
      </c>
      <c r="D1483" s="45" t="s">
        <v>81</v>
      </c>
      <c r="E1483" s="45">
        <v>3</v>
      </c>
      <c r="F1483" s="47" t="s">
        <v>1441</v>
      </c>
      <c r="G1483" s="45"/>
      <c r="H1483" s="48"/>
      <c r="I1483" s="49"/>
    </row>
    <row r="1484" spans="2:9" s="1" customFormat="1" x14ac:dyDescent="0.2">
      <c r="B1484" s="44" t="str">
        <f t="shared" si="27"/>
        <v>2018-052-4</v>
      </c>
      <c r="C1484" s="45">
        <v>2018</v>
      </c>
      <c r="D1484" s="45" t="s">
        <v>81</v>
      </c>
      <c r="E1484" s="45">
        <v>4</v>
      </c>
      <c r="F1484" s="47" t="s">
        <v>1837</v>
      </c>
      <c r="G1484" s="45"/>
      <c r="H1484" s="48"/>
      <c r="I1484" s="49"/>
    </row>
    <row r="1485" spans="2:9" s="1" customFormat="1" ht="27" x14ac:dyDescent="0.2">
      <c r="B1485" s="50" t="str">
        <f t="shared" si="27"/>
        <v>2018-052-5</v>
      </c>
      <c r="C1485" s="51">
        <v>2018</v>
      </c>
      <c r="D1485" s="51" t="s">
        <v>81</v>
      </c>
      <c r="E1485" s="51">
        <v>5</v>
      </c>
      <c r="F1485" s="52" t="s">
        <v>2232</v>
      </c>
      <c r="G1485" s="51" t="s">
        <v>3210</v>
      </c>
      <c r="H1485" s="53"/>
      <c r="I1485" s="54"/>
    </row>
    <row r="1486" spans="2:9" s="1" customFormat="1" x14ac:dyDescent="0.2">
      <c r="B1486" s="55" t="str">
        <f t="shared" si="27"/>
        <v>2018-053-0</v>
      </c>
      <c r="C1486" s="56">
        <v>2018</v>
      </c>
      <c r="D1486" s="56" t="s">
        <v>82</v>
      </c>
      <c r="E1486" s="56">
        <v>0</v>
      </c>
      <c r="F1486" s="57" t="s">
        <v>259</v>
      </c>
      <c r="G1486" s="56"/>
      <c r="H1486" s="58"/>
      <c r="I1486" s="59"/>
    </row>
    <row r="1487" spans="2:9" s="1" customFormat="1" x14ac:dyDescent="0.2">
      <c r="B1487" s="44" t="str">
        <f t="shared" si="27"/>
        <v>2018-053-1</v>
      </c>
      <c r="C1487" s="45">
        <v>2018</v>
      </c>
      <c r="D1487" s="45" t="s">
        <v>82</v>
      </c>
      <c r="E1487" s="45">
        <v>1</v>
      </c>
      <c r="F1487" s="47" t="s">
        <v>647</v>
      </c>
      <c r="G1487" s="45"/>
      <c r="H1487" s="48"/>
      <c r="I1487" s="49"/>
    </row>
    <row r="1488" spans="2:9" s="1" customFormat="1" x14ac:dyDescent="0.2">
      <c r="B1488" s="44" t="str">
        <f t="shared" si="27"/>
        <v>2018-053-2</v>
      </c>
      <c r="C1488" s="45">
        <v>2018</v>
      </c>
      <c r="D1488" s="45" t="s">
        <v>82</v>
      </c>
      <c r="E1488" s="45">
        <v>2</v>
      </c>
      <c r="F1488" s="47" t="s">
        <v>1047</v>
      </c>
      <c r="G1488" s="45"/>
      <c r="H1488" s="48"/>
      <c r="I1488" s="49"/>
    </row>
    <row r="1489" spans="2:9" s="1" customFormat="1" x14ac:dyDescent="0.2">
      <c r="B1489" s="44" t="str">
        <f t="shared" si="27"/>
        <v>2018-053-3</v>
      </c>
      <c r="C1489" s="45">
        <v>2018</v>
      </c>
      <c r="D1489" s="45" t="s">
        <v>82</v>
      </c>
      <c r="E1489" s="45">
        <v>3</v>
      </c>
      <c r="F1489" s="47" t="s">
        <v>1442</v>
      </c>
      <c r="G1489" s="45" t="s">
        <v>3210</v>
      </c>
      <c r="H1489" s="48"/>
      <c r="I1489" s="49"/>
    </row>
    <row r="1490" spans="2:9" s="1" customFormat="1" x14ac:dyDescent="0.2">
      <c r="B1490" s="44" t="str">
        <f t="shared" si="27"/>
        <v>2018-053-4</v>
      </c>
      <c r="C1490" s="45">
        <v>2018</v>
      </c>
      <c r="D1490" s="45" t="s">
        <v>82</v>
      </c>
      <c r="E1490" s="45">
        <v>4</v>
      </c>
      <c r="F1490" s="47" t="s">
        <v>1838</v>
      </c>
      <c r="G1490" s="45"/>
      <c r="H1490" s="48"/>
      <c r="I1490" s="49"/>
    </row>
    <row r="1491" spans="2:9" s="1" customFormat="1" ht="27" x14ac:dyDescent="0.2">
      <c r="B1491" s="50" t="str">
        <f t="shared" si="27"/>
        <v>2018-053-5</v>
      </c>
      <c r="C1491" s="51">
        <v>2018</v>
      </c>
      <c r="D1491" s="51" t="s">
        <v>82</v>
      </c>
      <c r="E1491" s="51">
        <v>5</v>
      </c>
      <c r="F1491" s="52" t="s">
        <v>2233</v>
      </c>
      <c r="G1491" s="51"/>
      <c r="H1491" s="53"/>
      <c r="I1491" s="54"/>
    </row>
    <row r="1492" spans="2:9" s="1" customFormat="1" x14ac:dyDescent="0.2">
      <c r="B1492" s="55" t="str">
        <f t="shared" si="27"/>
        <v>2018-054-0</v>
      </c>
      <c r="C1492" s="56">
        <v>2018</v>
      </c>
      <c r="D1492" s="56" t="s">
        <v>83</v>
      </c>
      <c r="E1492" s="56">
        <v>0</v>
      </c>
      <c r="F1492" s="57" t="s">
        <v>260</v>
      </c>
      <c r="G1492" s="56"/>
      <c r="H1492" s="58"/>
      <c r="I1492" s="59"/>
    </row>
    <row r="1493" spans="2:9" s="1" customFormat="1" x14ac:dyDescent="0.2">
      <c r="B1493" s="44" t="str">
        <f t="shared" si="27"/>
        <v>2018-054-1</v>
      </c>
      <c r="C1493" s="45">
        <v>2018</v>
      </c>
      <c r="D1493" s="45" t="s">
        <v>83</v>
      </c>
      <c r="E1493" s="45">
        <v>1</v>
      </c>
      <c r="F1493" s="47" t="s">
        <v>648</v>
      </c>
      <c r="G1493" s="45"/>
      <c r="H1493" s="48"/>
      <c r="I1493" s="49"/>
    </row>
    <row r="1494" spans="2:9" s="1" customFormat="1" x14ac:dyDescent="0.2">
      <c r="B1494" s="44" t="str">
        <f t="shared" si="27"/>
        <v>2018-054-2</v>
      </c>
      <c r="C1494" s="45">
        <v>2018</v>
      </c>
      <c r="D1494" s="45" t="s">
        <v>83</v>
      </c>
      <c r="E1494" s="45">
        <v>2</v>
      </c>
      <c r="F1494" s="47" t="s">
        <v>1048</v>
      </c>
      <c r="G1494" s="45"/>
      <c r="H1494" s="48"/>
      <c r="I1494" s="49"/>
    </row>
    <row r="1495" spans="2:9" s="1" customFormat="1" x14ac:dyDescent="0.2">
      <c r="B1495" s="44" t="str">
        <f t="shared" si="27"/>
        <v>2018-054-3</v>
      </c>
      <c r="C1495" s="45">
        <v>2018</v>
      </c>
      <c r="D1495" s="45" t="s">
        <v>83</v>
      </c>
      <c r="E1495" s="45">
        <v>3</v>
      </c>
      <c r="F1495" s="47" t="s">
        <v>1443</v>
      </c>
      <c r="G1495" s="45"/>
      <c r="H1495" s="48"/>
      <c r="I1495" s="49"/>
    </row>
    <row r="1496" spans="2:9" s="1" customFormat="1" x14ac:dyDescent="0.2">
      <c r="B1496" s="44" t="str">
        <f t="shared" si="27"/>
        <v>2018-054-4</v>
      </c>
      <c r="C1496" s="45">
        <v>2018</v>
      </c>
      <c r="D1496" s="45" t="s">
        <v>83</v>
      </c>
      <c r="E1496" s="45">
        <v>4</v>
      </c>
      <c r="F1496" s="47" t="s">
        <v>1839</v>
      </c>
      <c r="G1496" s="45" t="s">
        <v>3210</v>
      </c>
      <c r="H1496" s="48"/>
      <c r="I1496" s="49"/>
    </row>
    <row r="1497" spans="2:9" s="1" customFormat="1" x14ac:dyDescent="0.2">
      <c r="B1497" s="50" t="str">
        <f t="shared" si="27"/>
        <v>2018-054-5</v>
      </c>
      <c r="C1497" s="51">
        <v>2018</v>
      </c>
      <c r="D1497" s="51" t="s">
        <v>83</v>
      </c>
      <c r="E1497" s="51">
        <v>5</v>
      </c>
      <c r="F1497" s="52" t="s">
        <v>2234</v>
      </c>
      <c r="G1497" s="51"/>
      <c r="H1497" s="53"/>
      <c r="I1497" s="54"/>
    </row>
    <row r="1498" spans="2:9" s="1" customFormat="1" x14ac:dyDescent="0.2">
      <c r="B1498" s="55" t="str">
        <f t="shared" si="27"/>
        <v>2018-055-0</v>
      </c>
      <c r="C1498" s="56">
        <v>2018</v>
      </c>
      <c r="D1498" s="56" t="s">
        <v>84</v>
      </c>
      <c r="E1498" s="56">
        <v>0</v>
      </c>
      <c r="F1498" s="57" t="s">
        <v>261</v>
      </c>
      <c r="G1498" s="56"/>
      <c r="H1498" s="58"/>
      <c r="I1498" s="59"/>
    </row>
    <row r="1499" spans="2:9" s="1" customFormat="1" x14ac:dyDescent="0.2">
      <c r="B1499" s="44" t="str">
        <f t="shared" si="27"/>
        <v>2018-055-1</v>
      </c>
      <c r="C1499" s="45">
        <v>2018</v>
      </c>
      <c r="D1499" s="45" t="s">
        <v>84</v>
      </c>
      <c r="E1499" s="45">
        <v>1</v>
      </c>
      <c r="F1499" s="47" t="s">
        <v>649</v>
      </c>
      <c r="G1499" s="45"/>
      <c r="H1499" s="48"/>
      <c r="I1499" s="49"/>
    </row>
    <row r="1500" spans="2:9" s="1" customFormat="1" x14ac:dyDescent="0.2">
      <c r="B1500" s="44" t="str">
        <f t="shared" si="27"/>
        <v>2018-055-2</v>
      </c>
      <c r="C1500" s="45">
        <v>2018</v>
      </c>
      <c r="D1500" s="45" t="s">
        <v>84</v>
      </c>
      <c r="E1500" s="45">
        <v>2</v>
      </c>
      <c r="F1500" s="47" t="s">
        <v>1049</v>
      </c>
      <c r="G1500" s="45"/>
      <c r="H1500" s="48"/>
      <c r="I1500" s="49"/>
    </row>
    <row r="1501" spans="2:9" s="1" customFormat="1" x14ac:dyDescent="0.2">
      <c r="B1501" s="44" t="str">
        <f t="shared" si="27"/>
        <v>2018-055-3</v>
      </c>
      <c r="C1501" s="45">
        <v>2018</v>
      </c>
      <c r="D1501" s="45" t="s">
        <v>84</v>
      </c>
      <c r="E1501" s="45">
        <v>3</v>
      </c>
      <c r="F1501" s="47" t="s">
        <v>1444</v>
      </c>
      <c r="G1501" s="45"/>
      <c r="H1501" s="48"/>
      <c r="I1501" s="49"/>
    </row>
    <row r="1502" spans="2:9" s="1" customFormat="1" x14ac:dyDescent="0.2">
      <c r="B1502" s="44" t="str">
        <f t="shared" si="27"/>
        <v>2018-055-4</v>
      </c>
      <c r="C1502" s="45">
        <v>2018</v>
      </c>
      <c r="D1502" s="45" t="s">
        <v>84</v>
      </c>
      <c r="E1502" s="45">
        <v>4</v>
      </c>
      <c r="F1502" s="47" t="s">
        <v>1840</v>
      </c>
      <c r="G1502" s="45" t="s">
        <v>3210</v>
      </c>
      <c r="H1502" s="48"/>
      <c r="I1502" s="49"/>
    </row>
    <row r="1503" spans="2:9" s="1" customFormat="1" x14ac:dyDescent="0.2">
      <c r="B1503" s="50" t="str">
        <f t="shared" si="27"/>
        <v>2018-055-5</v>
      </c>
      <c r="C1503" s="51">
        <v>2018</v>
      </c>
      <c r="D1503" s="51" t="s">
        <v>84</v>
      </c>
      <c r="E1503" s="51">
        <v>5</v>
      </c>
      <c r="F1503" s="52" t="s">
        <v>2235</v>
      </c>
      <c r="G1503" s="51"/>
      <c r="H1503" s="53"/>
      <c r="I1503" s="54"/>
    </row>
    <row r="1504" spans="2:9" s="1" customFormat="1" x14ac:dyDescent="0.2">
      <c r="B1504" s="55" t="str">
        <f t="shared" si="27"/>
        <v>2018-056-0</v>
      </c>
      <c r="C1504" s="56">
        <v>2018</v>
      </c>
      <c r="D1504" s="56" t="s">
        <v>85</v>
      </c>
      <c r="E1504" s="56">
        <v>0</v>
      </c>
      <c r="F1504" s="57" t="s">
        <v>262</v>
      </c>
      <c r="G1504" s="56"/>
      <c r="H1504" s="58"/>
      <c r="I1504" s="59"/>
    </row>
    <row r="1505" spans="2:9" s="1" customFormat="1" x14ac:dyDescent="0.2">
      <c r="B1505" s="44" t="str">
        <f t="shared" si="27"/>
        <v>2018-056-1</v>
      </c>
      <c r="C1505" s="45">
        <v>2018</v>
      </c>
      <c r="D1505" s="45" t="s">
        <v>85</v>
      </c>
      <c r="E1505" s="45">
        <v>1</v>
      </c>
      <c r="F1505" s="66" t="s">
        <v>650</v>
      </c>
      <c r="G1505" s="45"/>
      <c r="H1505" s="48"/>
      <c r="I1505" s="49"/>
    </row>
    <row r="1506" spans="2:9" s="1" customFormat="1" x14ac:dyDescent="0.2">
      <c r="B1506" s="44" t="str">
        <f t="shared" si="27"/>
        <v>2018-056-2</v>
      </c>
      <c r="C1506" s="45">
        <v>2018</v>
      </c>
      <c r="D1506" s="45" t="s">
        <v>85</v>
      </c>
      <c r="E1506" s="45">
        <v>2</v>
      </c>
      <c r="F1506" s="47" t="s">
        <v>1050</v>
      </c>
      <c r="G1506" s="45" t="s">
        <v>3210</v>
      </c>
      <c r="H1506" s="48"/>
      <c r="I1506" s="49"/>
    </row>
    <row r="1507" spans="2:9" s="1" customFormat="1" x14ac:dyDescent="0.2">
      <c r="B1507" s="44" t="str">
        <f t="shared" ref="B1507:B1570" si="28">C1507&amp;"-"&amp;D1507&amp;"-"&amp;E1507</f>
        <v>2018-056-3</v>
      </c>
      <c r="C1507" s="45">
        <v>2018</v>
      </c>
      <c r="D1507" s="45" t="s">
        <v>85</v>
      </c>
      <c r="E1507" s="45">
        <v>3</v>
      </c>
      <c r="F1507" s="66" t="s">
        <v>1445</v>
      </c>
      <c r="G1507" s="45"/>
      <c r="H1507" s="48"/>
      <c r="I1507" s="49"/>
    </row>
    <row r="1508" spans="2:9" s="1" customFormat="1" x14ac:dyDescent="0.2">
      <c r="B1508" s="44" t="str">
        <f t="shared" si="28"/>
        <v>2018-056-4</v>
      </c>
      <c r="C1508" s="45">
        <v>2018</v>
      </c>
      <c r="D1508" s="45" t="s">
        <v>85</v>
      </c>
      <c r="E1508" s="45">
        <v>4</v>
      </c>
      <c r="F1508" s="47" t="s">
        <v>1841</v>
      </c>
      <c r="G1508" s="45"/>
      <c r="H1508" s="48"/>
      <c r="I1508" s="49"/>
    </row>
    <row r="1509" spans="2:9" s="1" customFormat="1" x14ac:dyDescent="0.2">
      <c r="B1509" s="50" t="str">
        <f t="shared" si="28"/>
        <v>2018-056-5</v>
      </c>
      <c r="C1509" s="51">
        <v>2018</v>
      </c>
      <c r="D1509" s="51" t="s">
        <v>85</v>
      </c>
      <c r="E1509" s="51">
        <v>5</v>
      </c>
      <c r="F1509" s="52" t="s">
        <v>2236</v>
      </c>
      <c r="G1509" s="51"/>
      <c r="H1509" s="53"/>
      <c r="I1509" s="54"/>
    </row>
    <row r="1510" spans="2:9" s="1" customFormat="1" x14ac:dyDescent="0.2">
      <c r="B1510" s="55" t="str">
        <f t="shared" si="28"/>
        <v>2018-057-0</v>
      </c>
      <c r="C1510" s="56">
        <v>2018</v>
      </c>
      <c r="D1510" s="56" t="s">
        <v>86</v>
      </c>
      <c r="E1510" s="56">
        <v>0</v>
      </c>
      <c r="F1510" s="57" t="s">
        <v>263</v>
      </c>
      <c r="G1510" s="56"/>
      <c r="H1510" s="58"/>
      <c r="I1510" s="59"/>
    </row>
    <row r="1511" spans="2:9" s="1" customFormat="1" x14ac:dyDescent="0.2">
      <c r="B1511" s="44" t="str">
        <f t="shared" si="28"/>
        <v>2018-057-1</v>
      </c>
      <c r="C1511" s="45">
        <v>2018</v>
      </c>
      <c r="D1511" s="45" t="s">
        <v>86</v>
      </c>
      <c r="E1511" s="45">
        <v>1</v>
      </c>
      <c r="F1511" s="47" t="s">
        <v>651</v>
      </c>
      <c r="G1511" s="45"/>
      <c r="H1511" s="48"/>
      <c r="I1511" s="49"/>
    </row>
    <row r="1512" spans="2:9" s="1" customFormat="1" x14ac:dyDescent="0.2">
      <c r="B1512" s="44" t="str">
        <f t="shared" si="28"/>
        <v>2018-057-2</v>
      </c>
      <c r="C1512" s="45">
        <v>2018</v>
      </c>
      <c r="D1512" s="45" t="s">
        <v>86</v>
      </c>
      <c r="E1512" s="45">
        <v>2</v>
      </c>
      <c r="F1512" s="47" t="s">
        <v>1051</v>
      </c>
      <c r="G1512" s="45"/>
      <c r="H1512" s="48"/>
      <c r="I1512" s="49"/>
    </row>
    <row r="1513" spans="2:9" s="1" customFormat="1" x14ac:dyDescent="0.2">
      <c r="B1513" s="44" t="str">
        <f t="shared" si="28"/>
        <v>2018-057-3</v>
      </c>
      <c r="C1513" s="45">
        <v>2018</v>
      </c>
      <c r="D1513" s="45" t="s">
        <v>86</v>
      </c>
      <c r="E1513" s="45">
        <v>3</v>
      </c>
      <c r="F1513" s="47" t="s">
        <v>1446</v>
      </c>
      <c r="G1513" s="45" t="s">
        <v>3210</v>
      </c>
      <c r="H1513" s="48"/>
      <c r="I1513" s="49"/>
    </row>
    <row r="1514" spans="2:9" s="1" customFormat="1" x14ac:dyDescent="0.2">
      <c r="B1514" s="44" t="str">
        <f t="shared" si="28"/>
        <v>2018-057-4</v>
      </c>
      <c r="C1514" s="45">
        <v>2018</v>
      </c>
      <c r="D1514" s="45" t="s">
        <v>86</v>
      </c>
      <c r="E1514" s="45">
        <v>4</v>
      </c>
      <c r="F1514" s="47" t="s">
        <v>1842</v>
      </c>
      <c r="G1514" s="45"/>
      <c r="H1514" s="48"/>
      <c r="I1514" s="49"/>
    </row>
    <row r="1515" spans="2:9" s="1" customFormat="1" ht="27" x14ac:dyDescent="0.2">
      <c r="B1515" s="50" t="str">
        <f t="shared" si="28"/>
        <v>2018-057-5</v>
      </c>
      <c r="C1515" s="51">
        <v>2018</v>
      </c>
      <c r="D1515" s="51" t="s">
        <v>86</v>
      </c>
      <c r="E1515" s="51">
        <v>5</v>
      </c>
      <c r="F1515" s="52" t="s">
        <v>2237</v>
      </c>
      <c r="G1515" s="51"/>
      <c r="H1515" s="53"/>
      <c r="I1515" s="54"/>
    </row>
    <row r="1516" spans="2:9" s="1" customFormat="1" ht="67.5" x14ac:dyDescent="0.2">
      <c r="B1516" s="55" t="str">
        <f t="shared" si="28"/>
        <v>2018-058-0</v>
      </c>
      <c r="C1516" s="56">
        <v>2018</v>
      </c>
      <c r="D1516" s="56" t="s">
        <v>87</v>
      </c>
      <c r="E1516" s="56">
        <v>0</v>
      </c>
      <c r="F1516" s="57" t="s">
        <v>264</v>
      </c>
      <c r="G1516" s="56"/>
      <c r="H1516" s="58"/>
      <c r="I1516" s="59"/>
    </row>
    <row r="1517" spans="2:9" s="1" customFormat="1" x14ac:dyDescent="0.2">
      <c r="B1517" s="44" t="str">
        <f t="shared" si="28"/>
        <v>2018-058-1</v>
      </c>
      <c r="C1517" s="45">
        <v>2018</v>
      </c>
      <c r="D1517" s="45" t="s">
        <v>87</v>
      </c>
      <c r="E1517" s="45">
        <v>1</v>
      </c>
      <c r="F1517" s="47" t="s">
        <v>44</v>
      </c>
      <c r="G1517" s="45"/>
      <c r="H1517" s="48"/>
      <c r="I1517" s="49"/>
    </row>
    <row r="1518" spans="2:9" s="1" customFormat="1" x14ac:dyDescent="0.2">
      <c r="B1518" s="44" t="str">
        <f t="shared" si="28"/>
        <v>2018-058-2</v>
      </c>
      <c r="C1518" s="45">
        <v>2018</v>
      </c>
      <c r="D1518" s="45" t="s">
        <v>87</v>
      </c>
      <c r="E1518" s="45">
        <v>2</v>
      </c>
      <c r="F1518" s="47" t="s">
        <v>49</v>
      </c>
      <c r="G1518" s="45"/>
      <c r="H1518" s="48"/>
      <c r="I1518" s="49"/>
    </row>
    <row r="1519" spans="2:9" s="1" customFormat="1" x14ac:dyDescent="0.2">
      <c r="B1519" s="44" t="str">
        <f t="shared" si="28"/>
        <v>2018-058-3</v>
      </c>
      <c r="C1519" s="45">
        <v>2018</v>
      </c>
      <c r="D1519" s="45" t="s">
        <v>87</v>
      </c>
      <c r="E1519" s="45">
        <v>3</v>
      </c>
      <c r="F1519" s="47" t="s">
        <v>46</v>
      </c>
      <c r="G1519" s="45"/>
      <c r="H1519" s="48"/>
      <c r="I1519" s="49"/>
    </row>
    <row r="1520" spans="2:9" s="1" customFormat="1" x14ac:dyDescent="0.2">
      <c r="B1520" s="44" t="str">
        <f t="shared" si="28"/>
        <v>2018-058-4</v>
      </c>
      <c r="C1520" s="45">
        <v>2018</v>
      </c>
      <c r="D1520" s="45" t="s">
        <v>87</v>
      </c>
      <c r="E1520" s="45">
        <v>4</v>
      </c>
      <c r="F1520" s="47" t="s">
        <v>59</v>
      </c>
      <c r="G1520" s="45"/>
      <c r="H1520" s="48"/>
      <c r="I1520" s="49"/>
    </row>
    <row r="1521" spans="2:9" s="1" customFormat="1" x14ac:dyDescent="0.2">
      <c r="B1521" s="50" t="str">
        <f t="shared" si="28"/>
        <v>2018-058-5</v>
      </c>
      <c r="C1521" s="51">
        <v>2018</v>
      </c>
      <c r="D1521" s="51" t="s">
        <v>87</v>
      </c>
      <c r="E1521" s="51">
        <v>5</v>
      </c>
      <c r="F1521" s="52" t="s">
        <v>60</v>
      </c>
      <c r="G1521" s="51" t="s">
        <v>3210</v>
      </c>
      <c r="H1521" s="53"/>
      <c r="I1521" s="54"/>
    </row>
    <row r="1522" spans="2:9" s="1" customFormat="1" x14ac:dyDescent="0.2">
      <c r="B1522" s="55" t="str">
        <f t="shared" si="28"/>
        <v>2018-059-0</v>
      </c>
      <c r="C1522" s="56">
        <v>2018</v>
      </c>
      <c r="D1522" s="56" t="s">
        <v>88</v>
      </c>
      <c r="E1522" s="56">
        <v>0</v>
      </c>
      <c r="F1522" s="57" t="s">
        <v>265</v>
      </c>
      <c r="G1522" s="56"/>
      <c r="H1522" s="58"/>
      <c r="I1522" s="59"/>
    </row>
    <row r="1523" spans="2:9" s="1" customFormat="1" x14ac:dyDescent="0.2">
      <c r="B1523" s="44" t="str">
        <f t="shared" si="28"/>
        <v>2018-059-1</v>
      </c>
      <c r="C1523" s="45">
        <v>2018</v>
      </c>
      <c r="D1523" s="45" t="s">
        <v>88</v>
      </c>
      <c r="E1523" s="45">
        <v>1</v>
      </c>
      <c r="F1523" s="47" t="s">
        <v>652</v>
      </c>
      <c r="G1523" s="45"/>
      <c r="H1523" s="48"/>
      <c r="I1523" s="49"/>
    </row>
    <row r="1524" spans="2:9" s="1" customFormat="1" x14ac:dyDescent="0.2">
      <c r="B1524" s="44" t="str">
        <f t="shared" si="28"/>
        <v>2018-059-2</v>
      </c>
      <c r="C1524" s="45">
        <v>2018</v>
      </c>
      <c r="D1524" s="45" t="s">
        <v>88</v>
      </c>
      <c r="E1524" s="45">
        <v>2</v>
      </c>
      <c r="F1524" s="47" t="s">
        <v>1052</v>
      </c>
      <c r="G1524" s="45"/>
      <c r="H1524" s="48"/>
      <c r="I1524" s="49"/>
    </row>
    <row r="1525" spans="2:9" s="1" customFormat="1" x14ac:dyDescent="0.2">
      <c r="B1525" s="44" t="str">
        <f t="shared" si="28"/>
        <v>2018-059-3</v>
      </c>
      <c r="C1525" s="45">
        <v>2018</v>
      </c>
      <c r="D1525" s="45" t="s">
        <v>88</v>
      </c>
      <c r="E1525" s="45">
        <v>3</v>
      </c>
      <c r="F1525" s="47" t="s">
        <v>1447</v>
      </c>
      <c r="G1525" s="45"/>
      <c r="H1525" s="48"/>
      <c r="I1525" s="49"/>
    </row>
    <row r="1526" spans="2:9" s="1" customFormat="1" x14ac:dyDescent="0.2">
      <c r="B1526" s="44" t="str">
        <f t="shared" si="28"/>
        <v>2018-059-4</v>
      </c>
      <c r="C1526" s="45">
        <v>2018</v>
      </c>
      <c r="D1526" s="45" t="s">
        <v>88</v>
      </c>
      <c r="E1526" s="45">
        <v>4</v>
      </c>
      <c r="F1526" s="47" t="s">
        <v>1843</v>
      </c>
      <c r="G1526" s="45"/>
      <c r="H1526" s="48"/>
      <c r="I1526" s="49"/>
    </row>
    <row r="1527" spans="2:9" s="1" customFormat="1" x14ac:dyDescent="0.2">
      <c r="B1527" s="50" t="str">
        <f t="shared" si="28"/>
        <v>2018-059-5</v>
      </c>
      <c r="C1527" s="51">
        <v>2018</v>
      </c>
      <c r="D1527" s="51" t="s">
        <v>88</v>
      </c>
      <c r="E1527" s="51">
        <v>5</v>
      </c>
      <c r="F1527" s="52" t="s">
        <v>2238</v>
      </c>
      <c r="G1527" s="51" t="s">
        <v>3210</v>
      </c>
      <c r="H1527" s="53"/>
      <c r="I1527" s="54"/>
    </row>
    <row r="1528" spans="2:9" s="1" customFormat="1" x14ac:dyDescent="0.2">
      <c r="B1528" s="55" t="str">
        <f t="shared" si="28"/>
        <v>2018-060-0</v>
      </c>
      <c r="C1528" s="56">
        <v>2018</v>
      </c>
      <c r="D1528" s="56" t="s">
        <v>89</v>
      </c>
      <c r="E1528" s="56">
        <v>0</v>
      </c>
      <c r="F1528" s="57" t="s">
        <v>266</v>
      </c>
      <c r="G1528" s="56"/>
      <c r="H1528" s="58"/>
      <c r="I1528" s="59"/>
    </row>
    <row r="1529" spans="2:9" s="1" customFormat="1" x14ac:dyDescent="0.2">
      <c r="B1529" s="44" t="str">
        <f t="shared" si="28"/>
        <v>2018-060-1</v>
      </c>
      <c r="C1529" s="45">
        <v>2018</v>
      </c>
      <c r="D1529" s="45" t="s">
        <v>89</v>
      </c>
      <c r="E1529" s="45">
        <v>1</v>
      </c>
      <c r="F1529" s="47" t="s">
        <v>653</v>
      </c>
      <c r="G1529" s="45" t="s">
        <v>3210</v>
      </c>
      <c r="H1529" s="48"/>
      <c r="I1529" s="49"/>
    </row>
    <row r="1530" spans="2:9" s="1" customFormat="1" x14ac:dyDescent="0.2">
      <c r="B1530" s="44" t="str">
        <f t="shared" si="28"/>
        <v>2018-060-2</v>
      </c>
      <c r="C1530" s="45">
        <v>2018</v>
      </c>
      <c r="D1530" s="45" t="s">
        <v>89</v>
      </c>
      <c r="E1530" s="45">
        <v>2</v>
      </c>
      <c r="F1530" s="47" t="s">
        <v>1053</v>
      </c>
      <c r="G1530" s="45"/>
      <c r="H1530" s="48"/>
      <c r="I1530" s="49"/>
    </row>
    <row r="1531" spans="2:9" s="1" customFormat="1" x14ac:dyDescent="0.2">
      <c r="B1531" s="44" t="str">
        <f t="shared" si="28"/>
        <v>2018-060-3</v>
      </c>
      <c r="C1531" s="45">
        <v>2018</v>
      </c>
      <c r="D1531" s="45" t="s">
        <v>89</v>
      </c>
      <c r="E1531" s="45">
        <v>3</v>
      </c>
      <c r="F1531" s="47" t="s">
        <v>1448</v>
      </c>
      <c r="G1531" s="45"/>
      <c r="H1531" s="48"/>
      <c r="I1531" s="49"/>
    </row>
    <row r="1532" spans="2:9" s="1" customFormat="1" x14ac:dyDescent="0.2">
      <c r="B1532" s="44" t="str">
        <f t="shared" si="28"/>
        <v>2018-060-4</v>
      </c>
      <c r="C1532" s="45">
        <v>2018</v>
      </c>
      <c r="D1532" s="45" t="s">
        <v>89</v>
      </c>
      <c r="E1532" s="45">
        <v>4</v>
      </c>
      <c r="F1532" s="47" t="s">
        <v>1844</v>
      </c>
      <c r="G1532" s="45"/>
      <c r="H1532" s="48"/>
      <c r="I1532" s="49"/>
    </row>
    <row r="1533" spans="2:9" s="1" customFormat="1" x14ac:dyDescent="0.2">
      <c r="B1533" s="50" t="str">
        <f t="shared" si="28"/>
        <v>2018-060-5</v>
      </c>
      <c r="C1533" s="51">
        <v>2018</v>
      </c>
      <c r="D1533" s="51" t="s">
        <v>89</v>
      </c>
      <c r="E1533" s="51">
        <v>5</v>
      </c>
      <c r="F1533" s="52" t="s">
        <v>2239</v>
      </c>
      <c r="G1533" s="51"/>
      <c r="H1533" s="53"/>
      <c r="I1533" s="54"/>
    </row>
    <row r="1534" spans="2:9" s="1" customFormat="1" ht="27" x14ac:dyDescent="0.2">
      <c r="B1534" s="55" t="str">
        <f t="shared" si="28"/>
        <v>2018-061-0</v>
      </c>
      <c r="C1534" s="56">
        <v>2018</v>
      </c>
      <c r="D1534" s="56" t="s">
        <v>90</v>
      </c>
      <c r="E1534" s="56">
        <v>0</v>
      </c>
      <c r="F1534" s="57" t="s">
        <v>267</v>
      </c>
      <c r="G1534" s="56"/>
      <c r="H1534" s="58"/>
      <c r="I1534" s="59"/>
    </row>
    <row r="1535" spans="2:9" s="1" customFormat="1" x14ac:dyDescent="0.2">
      <c r="B1535" s="44" t="str">
        <f t="shared" si="28"/>
        <v>2018-061-1</v>
      </c>
      <c r="C1535" s="45">
        <v>2018</v>
      </c>
      <c r="D1535" s="45" t="s">
        <v>90</v>
      </c>
      <c r="E1535" s="45">
        <v>1</v>
      </c>
      <c r="F1535" s="47" t="s">
        <v>654</v>
      </c>
      <c r="G1535" s="45"/>
      <c r="H1535" s="48"/>
      <c r="I1535" s="49"/>
    </row>
    <row r="1536" spans="2:9" s="1" customFormat="1" x14ac:dyDescent="0.2">
      <c r="B1536" s="44" t="str">
        <f t="shared" si="28"/>
        <v>2018-061-2</v>
      </c>
      <c r="C1536" s="45">
        <v>2018</v>
      </c>
      <c r="D1536" s="45" t="s">
        <v>90</v>
      </c>
      <c r="E1536" s="45">
        <v>2</v>
      </c>
      <c r="F1536" s="47" t="s">
        <v>1054</v>
      </c>
      <c r="G1536" s="45" t="s">
        <v>3210</v>
      </c>
      <c r="H1536" s="48"/>
      <c r="I1536" s="49"/>
    </row>
    <row r="1537" spans="2:9" s="1" customFormat="1" x14ac:dyDescent="0.2">
      <c r="B1537" s="44" t="str">
        <f t="shared" si="28"/>
        <v>2018-061-3</v>
      </c>
      <c r="C1537" s="45">
        <v>2018</v>
      </c>
      <c r="D1537" s="45" t="s">
        <v>90</v>
      </c>
      <c r="E1537" s="45">
        <v>3</v>
      </c>
      <c r="F1537" s="47" t="s">
        <v>1449</v>
      </c>
      <c r="G1537" s="45"/>
      <c r="H1537" s="48"/>
      <c r="I1537" s="49"/>
    </row>
    <row r="1538" spans="2:9" s="1" customFormat="1" x14ac:dyDescent="0.2">
      <c r="B1538" s="44" t="str">
        <f t="shared" si="28"/>
        <v>2018-061-4</v>
      </c>
      <c r="C1538" s="45">
        <v>2018</v>
      </c>
      <c r="D1538" s="45" t="s">
        <v>90</v>
      </c>
      <c r="E1538" s="45">
        <v>4</v>
      </c>
      <c r="F1538" s="47" t="s">
        <v>1845</v>
      </c>
      <c r="G1538" s="45"/>
      <c r="H1538" s="48"/>
      <c r="I1538" s="49"/>
    </row>
    <row r="1539" spans="2:9" s="1" customFormat="1" x14ac:dyDescent="0.2">
      <c r="B1539" s="50" t="str">
        <f t="shared" si="28"/>
        <v>2018-061-5</v>
      </c>
      <c r="C1539" s="51">
        <v>2018</v>
      </c>
      <c r="D1539" s="51" t="s">
        <v>90</v>
      </c>
      <c r="E1539" s="51">
        <v>5</v>
      </c>
      <c r="F1539" s="52" t="s">
        <v>2240</v>
      </c>
      <c r="G1539" s="51"/>
      <c r="H1539" s="53"/>
      <c r="I1539" s="54"/>
    </row>
    <row r="1540" spans="2:9" s="1" customFormat="1" x14ac:dyDescent="0.2">
      <c r="B1540" s="55" t="str">
        <f t="shared" si="28"/>
        <v>2018-062-0</v>
      </c>
      <c r="C1540" s="56">
        <v>2018</v>
      </c>
      <c r="D1540" s="56" t="s">
        <v>91</v>
      </c>
      <c r="E1540" s="56">
        <v>0</v>
      </c>
      <c r="F1540" s="57" t="s">
        <v>156</v>
      </c>
      <c r="G1540" s="56"/>
      <c r="H1540" s="58"/>
      <c r="I1540" s="59"/>
    </row>
    <row r="1541" spans="2:9" s="1" customFormat="1" x14ac:dyDescent="0.2">
      <c r="B1541" s="44" t="str">
        <f t="shared" si="28"/>
        <v>2018-062-1</v>
      </c>
      <c r="C1541" s="45">
        <v>2018</v>
      </c>
      <c r="D1541" s="45" t="s">
        <v>91</v>
      </c>
      <c r="E1541" s="45">
        <v>1</v>
      </c>
      <c r="F1541" s="47" t="s">
        <v>655</v>
      </c>
      <c r="G1541" s="45" t="s">
        <v>3210</v>
      </c>
      <c r="H1541" s="48"/>
      <c r="I1541" s="49"/>
    </row>
    <row r="1542" spans="2:9" s="1" customFormat="1" ht="27" x14ac:dyDescent="0.2">
      <c r="B1542" s="44" t="str">
        <f t="shared" si="28"/>
        <v>2018-062-2</v>
      </c>
      <c r="C1542" s="45">
        <v>2018</v>
      </c>
      <c r="D1542" s="45" t="s">
        <v>91</v>
      </c>
      <c r="E1542" s="45">
        <v>2</v>
      </c>
      <c r="F1542" s="47" t="s">
        <v>1055</v>
      </c>
      <c r="G1542" s="45"/>
      <c r="H1542" s="48"/>
      <c r="I1542" s="49"/>
    </row>
    <row r="1543" spans="2:9" s="1" customFormat="1" x14ac:dyDescent="0.2">
      <c r="B1543" s="44" t="str">
        <f t="shared" si="28"/>
        <v>2018-062-3</v>
      </c>
      <c r="C1543" s="45">
        <v>2018</v>
      </c>
      <c r="D1543" s="45" t="s">
        <v>91</v>
      </c>
      <c r="E1543" s="45">
        <v>3</v>
      </c>
      <c r="F1543" s="47" t="s">
        <v>943</v>
      </c>
      <c r="G1543" s="45"/>
      <c r="H1543" s="48"/>
      <c r="I1543" s="49"/>
    </row>
    <row r="1544" spans="2:9" s="1" customFormat="1" ht="27" x14ac:dyDescent="0.2">
      <c r="B1544" s="44" t="str">
        <f t="shared" si="28"/>
        <v>2018-062-4</v>
      </c>
      <c r="C1544" s="45">
        <v>2018</v>
      </c>
      <c r="D1544" s="45" t="s">
        <v>91</v>
      </c>
      <c r="E1544" s="45">
        <v>4</v>
      </c>
      <c r="F1544" s="47" t="s">
        <v>1846</v>
      </c>
      <c r="G1544" s="45"/>
      <c r="H1544" s="48"/>
      <c r="I1544" s="49"/>
    </row>
    <row r="1545" spans="2:9" s="1" customFormat="1" ht="27" x14ac:dyDescent="0.2">
      <c r="B1545" s="50" t="str">
        <f t="shared" si="28"/>
        <v>2018-062-5</v>
      </c>
      <c r="C1545" s="51">
        <v>2018</v>
      </c>
      <c r="D1545" s="51" t="s">
        <v>91</v>
      </c>
      <c r="E1545" s="51">
        <v>5</v>
      </c>
      <c r="F1545" s="52" t="s">
        <v>2241</v>
      </c>
      <c r="G1545" s="51"/>
      <c r="H1545" s="53"/>
      <c r="I1545" s="54"/>
    </row>
    <row r="1546" spans="2:9" s="1" customFormat="1" x14ac:dyDescent="0.2">
      <c r="B1546" s="55" t="str">
        <f t="shared" si="28"/>
        <v>2018-063-0</v>
      </c>
      <c r="C1546" s="56">
        <v>2018</v>
      </c>
      <c r="D1546" s="56" t="s">
        <v>92</v>
      </c>
      <c r="E1546" s="56">
        <v>0</v>
      </c>
      <c r="F1546" s="57" t="s">
        <v>268</v>
      </c>
      <c r="G1546" s="56"/>
      <c r="H1546" s="58"/>
      <c r="I1546" s="59"/>
    </row>
    <row r="1547" spans="2:9" s="1" customFormat="1" x14ac:dyDescent="0.2">
      <c r="B1547" s="44" t="str">
        <f t="shared" si="28"/>
        <v>2018-063-1</v>
      </c>
      <c r="C1547" s="45">
        <v>2018</v>
      </c>
      <c r="D1547" s="45" t="s">
        <v>92</v>
      </c>
      <c r="E1547" s="45">
        <v>1</v>
      </c>
      <c r="F1547" s="47" t="s">
        <v>656</v>
      </c>
      <c r="G1547" s="45" t="s">
        <v>3210</v>
      </c>
      <c r="H1547" s="48"/>
      <c r="I1547" s="49"/>
    </row>
    <row r="1548" spans="2:9" s="1" customFormat="1" x14ac:dyDescent="0.2">
      <c r="B1548" s="44" t="str">
        <f t="shared" si="28"/>
        <v>2018-063-2</v>
      </c>
      <c r="C1548" s="45">
        <v>2018</v>
      </c>
      <c r="D1548" s="45" t="s">
        <v>92</v>
      </c>
      <c r="E1548" s="45">
        <v>2</v>
      </c>
      <c r="F1548" s="47" t="s">
        <v>1056</v>
      </c>
      <c r="G1548" s="45"/>
      <c r="H1548" s="48"/>
      <c r="I1548" s="49"/>
    </row>
    <row r="1549" spans="2:9" s="1" customFormat="1" x14ac:dyDescent="0.2">
      <c r="B1549" s="44" t="str">
        <f t="shared" si="28"/>
        <v>2018-063-3</v>
      </c>
      <c r="C1549" s="45">
        <v>2018</v>
      </c>
      <c r="D1549" s="45" t="s">
        <v>92</v>
      </c>
      <c r="E1549" s="45">
        <v>3</v>
      </c>
      <c r="F1549" s="47" t="s">
        <v>1450</v>
      </c>
      <c r="G1549" s="45"/>
      <c r="H1549" s="48"/>
      <c r="I1549" s="49"/>
    </row>
    <row r="1550" spans="2:9" s="1" customFormat="1" x14ac:dyDescent="0.2">
      <c r="B1550" s="44" t="str">
        <f t="shared" si="28"/>
        <v>2018-063-4</v>
      </c>
      <c r="C1550" s="45">
        <v>2018</v>
      </c>
      <c r="D1550" s="45" t="s">
        <v>92</v>
      </c>
      <c r="E1550" s="45">
        <v>4</v>
      </c>
      <c r="F1550" s="47" t="s">
        <v>1762</v>
      </c>
      <c r="G1550" s="45"/>
      <c r="H1550" s="48"/>
      <c r="I1550" s="49"/>
    </row>
    <row r="1551" spans="2:9" s="1" customFormat="1" x14ac:dyDescent="0.2">
      <c r="B1551" s="50" t="str">
        <f t="shared" si="28"/>
        <v>2018-063-5</v>
      </c>
      <c r="C1551" s="51">
        <v>2018</v>
      </c>
      <c r="D1551" s="51" t="s">
        <v>92</v>
      </c>
      <c r="E1551" s="51">
        <v>5</v>
      </c>
      <c r="F1551" s="52" t="s">
        <v>2242</v>
      </c>
      <c r="G1551" s="51"/>
      <c r="H1551" s="53"/>
      <c r="I1551" s="54"/>
    </row>
    <row r="1552" spans="2:9" s="1" customFormat="1" x14ac:dyDescent="0.2">
      <c r="B1552" s="55" t="str">
        <f t="shared" si="28"/>
        <v>2018-064-0</v>
      </c>
      <c r="C1552" s="56">
        <v>2018</v>
      </c>
      <c r="D1552" s="56" t="s">
        <v>93</v>
      </c>
      <c r="E1552" s="56">
        <v>0</v>
      </c>
      <c r="F1552" s="57" t="s">
        <v>269</v>
      </c>
      <c r="G1552" s="56"/>
      <c r="H1552" s="58"/>
      <c r="I1552" s="59"/>
    </row>
    <row r="1553" spans="2:9" s="1" customFormat="1" x14ac:dyDescent="0.2">
      <c r="B1553" s="44" t="str">
        <f t="shared" si="28"/>
        <v>2018-064-1</v>
      </c>
      <c r="C1553" s="45">
        <v>2018</v>
      </c>
      <c r="D1553" s="45" t="s">
        <v>93</v>
      </c>
      <c r="E1553" s="45">
        <v>1</v>
      </c>
      <c r="F1553" s="47" t="s">
        <v>657</v>
      </c>
      <c r="G1553" s="45"/>
      <c r="H1553" s="48"/>
      <c r="I1553" s="49"/>
    </row>
    <row r="1554" spans="2:9" s="1" customFormat="1" x14ac:dyDescent="0.2">
      <c r="B1554" s="44" t="str">
        <f t="shared" si="28"/>
        <v>2018-064-2</v>
      </c>
      <c r="C1554" s="45">
        <v>2018</v>
      </c>
      <c r="D1554" s="45" t="s">
        <v>93</v>
      </c>
      <c r="E1554" s="45">
        <v>2</v>
      </c>
      <c r="F1554" s="47" t="s">
        <v>1057</v>
      </c>
      <c r="G1554" s="45"/>
      <c r="H1554" s="48"/>
      <c r="I1554" s="49"/>
    </row>
    <row r="1555" spans="2:9" s="1" customFormat="1" x14ac:dyDescent="0.2">
      <c r="B1555" s="44" t="str">
        <f t="shared" si="28"/>
        <v>2018-064-3</v>
      </c>
      <c r="C1555" s="45">
        <v>2018</v>
      </c>
      <c r="D1555" s="45" t="s">
        <v>93</v>
      </c>
      <c r="E1555" s="45">
        <v>3</v>
      </c>
      <c r="F1555" s="47" t="s">
        <v>1451</v>
      </c>
      <c r="G1555" s="45" t="s">
        <v>3210</v>
      </c>
      <c r="H1555" s="48"/>
      <c r="I1555" s="49"/>
    </row>
    <row r="1556" spans="2:9" s="1" customFormat="1" x14ac:dyDescent="0.2">
      <c r="B1556" s="44" t="str">
        <f t="shared" si="28"/>
        <v>2018-064-4</v>
      </c>
      <c r="C1556" s="45">
        <v>2018</v>
      </c>
      <c r="D1556" s="45" t="s">
        <v>93</v>
      </c>
      <c r="E1556" s="45">
        <v>4</v>
      </c>
      <c r="F1556" s="47" t="s">
        <v>1847</v>
      </c>
      <c r="G1556" s="45"/>
      <c r="H1556" s="48"/>
      <c r="I1556" s="49"/>
    </row>
    <row r="1557" spans="2:9" s="1" customFormat="1" x14ac:dyDescent="0.2">
      <c r="B1557" s="50" t="str">
        <f t="shared" si="28"/>
        <v>2018-064-5</v>
      </c>
      <c r="C1557" s="51">
        <v>2018</v>
      </c>
      <c r="D1557" s="51" t="s">
        <v>93</v>
      </c>
      <c r="E1557" s="51">
        <v>5</v>
      </c>
      <c r="F1557" s="52" t="s">
        <v>2243</v>
      </c>
      <c r="G1557" s="51"/>
      <c r="H1557" s="53"/>
      <c r="I1557" s="54"/>
    </row>
    <row r="1558" spans="2:9" s="1" customFormat="1" x14ac:dyDescent="0.2">
      <c r="B1558" s="55" t="str">
        <f t="shared" si="28"/>
        <v>2018-065-0</v>
      </c>
      <c r="C1558" s="56">
        <v>2018</v>
      </c>
      <c r="D1558" s="56" t="s">
        <v>94</v>
      </c>
      <c r="E1558" s="56">
        <v>0</v>
      </c>
      <c r="F1558" s="57" t="s">
        <v>270</v>
      </c>
      <c r="G1558" s="56"/>
      <c r="H1558" s="58"/>
      <c r="I1558" s="59"/>
    </row>
    <row r="1559" spans="2:9" s="1" customFormat="1" x14ac:dyDescent="0.2">
      <c r="B1559" s="44" t="str">
        <f t="shared" si="28"/>
        <v>2018-065-1</v>
      </c>
      <c r="C1559" s="45">
        <v>2018</v>
      </c>
      <c r="D1559" s="45" t="s">
        <v>94</v>
      </c>
      <c r="E1559" s="45">
        <v>1</v>
      </c>
      <c r="F1559" s="47" t="s">
        <v>658</v>
      </c>
      <c r="G1559" s="45"/>
      <c r="H1559" s="48"/>
      <c r="I1559" s="49"/>
    </row>
    <row r="1560" spans="2:9" s="1" customFormat="1" x14ac:dyDescent="0.2">
      <c r="B1560" s="44" t="str">
        <f t="shared" si="28"/>
        <v>2018-065-2</v>
      </c>
      <c r="C1560" s="45">
        <v>2018</v>
      </c>
      <c r="D1560" s="45" t="s">
        <v>94</v>
      </c>
      <c r="E1560" s="45">
        <v>2</v>
      </c>
      <c r="F1560" s="47" t="s">
        <v>1058</v>
      </c>
      <c r="G1560" s="45"/>
      <c r="H1560" s="48"/>
      <c r="I1560" s="49"/>
    </row>
    <row r="1561" spans="2:9" s="1" customFormat="1" x14ac:dyDescent="0.2">
      <c r="B1561" s="44" t="str">
        <f t="shared" si="28"/>
        <v>2018-065-3</v>
      </c>
      <c r="C1561" s="45">
        <v>2018</v>
      </c>
      <c r="D1561" s="45" t="s">
        <v>94</v>
      </c>
      <c r="E1561" s="45">
        <v>3</v>
      </c>
      <c r="F1561" s="47" t="s">
        <v>1452</v>
      </c>
      <c r="G1561" s="45" t="s">
        <v>3210</v>
      </c>
      <c r="H1561" s="48"/>
      <c r="I1561" s="49"/>
    </row>
    <row r="1562" spans="2:9" s="1" customFormat="1" x14ac:dyDescent="0.2">
      <c r="B1562" s="44" t="str">
        <f t="shared" si="28"/>
        <v>2018-065-4</v>
      </c>
      <c r="C1562" s="45">
        <v>2018</v>
      </c>
      <c r="D1562" s="45" t="s">
        <v>94</v>
      </c>
      <c r="E1562" s="45">
        <v>4</v>
      </c>
      <c r="F1562" s="47" t="s">
        <v>1848</v>
      </c>
      <c r="G1562" s="45"/>
      <c r="H1562" s="48"/>
      <c r="I1562" s="49"/>
    </row>
    <row r="1563" spans="2:9" s="1" customFormat="1" x14ac:dyDescent="0.2">
      <c r="B1563" s="50" t="str">
        <f t="shared" si="28"/>
        <v>2018-065-5</v>
      </c>
      <c r="C1563" s="51">
        <v>2018</v>
      </c>
      <c r="D1563" s="51" t="s">
        <v>94</v>
      </c>
      <c r="E1563" s="51">
        <v>5</v>
      </c>
      <c r="F1563" s="52" t="s">
        <v>2244</v>
      </c>
      <c r="G1563" s="51"/>
      <c r="H1563" s="53"/>
      <c r="I1563" s="54"/>
    </row>
    <row r="1564" spans="2:9" s="1" customFormat="1" ht="27" x14ac:dyDescent="0.2">
      <c r="B1564" s="55" t="str">
        <f t="shared" si="28"/>
        <v>2018-066-0</v>
      </c>
      <c r="C1564" s="56">
        <v>2018</v>
      </c>
      <c r="D1564" s="56" t="s">
        <v>95</v>
      </c>
      <c r="E1564" s="56">
        <v>0</v>
      </c>
      <c r="F1564" s="57" t="s">
        <v>271</v>
      </c>
      <c r="G1564" s="56"/>
      <c r="H1564" s="58"/>
      <c r="I1564" s="59"/>
    </row>
    <row r="1565" spans="2:9" s="1" customFormat="1" x14ac:dyDescent="0.2">
      <c r="B1565" s="44" t="str">
        <f t="shared" si="28"/>
        <v>2018-066-1</v>
      </c>
      <c r="C1565" s="45">
        <v>2018</v>
      </c>
      <c r="D1565" s="45" t="s">
        <v>95</v>
      </c>
      <c r="E1565" s="45">
        <v>1</v>
      </c>
      <c r="F1565" s="47" t="s">
        <v>659</v>
      </c>
      <c r="G1565" s="45"/>
      <c r="H1565" s="48"/>
      <c r="I1565" s="49"/>
    </row>
    <row r="1566" spans="2:9" s="1" customFormat="1" x14ac:dyDescent="0.2">
      <c r="B1566" s="44" t="str">
        <f t="shared" si="28"/>
        <v>2018-066-2</v>
      </c>
      <c r="C1566" s="45">
        <v>2018</v>
      </c>
      <c r="D1566" s="45" t="s">
        <v>95</v>
      </c>
      <c r="E1566" s="45">
        <v>2</v>
      </c>
      <c r="F1566" s="47" t="s">
        <v>1059</v>
      </c>
      <c r="G1566" s="45"/>
      <c r="H1566" s="48"/>
      <c r="I1566" s="49"/>
    </row>
    <row r="1567" spans="2:9" s="1" customFormat="1" x14ac:dyDescent="0.2">
      <c r="B1567" s="44" t="str">
        <f t="shared" si="28"/>
        <v>2018-066-3</v>
      </c>
      <c r="C1567" s="45">
        <v>2018</v>
      </c>
      <c r="D1567" s="45" t="s">
        <v>95</v>
      </c>
      <c r="E1567" s="45">
        <v>3</v>
      </c>
      <c r="F1567" s="47" t="s">
        <v>1453</v>
      </c>
      <c r="G1567" s="45"/>
      <c r="H1567" s="48"/>
      <c r="I1567" s="49"/>
    </row>
    <row r="1568" spans="2:9" s="1" customFormat="1" x14ac:dyDescent="0.2">
      <c r="B1568" s="44" t="str">
        <f t="shared" si="28"/>
        <v>2018-066-4</v>
      </c>
      <c r="C1568" s="45">
        <v>2018</v>
      </c>
      <c r="D1568" s="45" t="s">
        <v>95</v>
      </c>
      <c r="E1568" s="45">
        <v>4</v>
      </c>
      <c r="F1568" s="47" t="s">
        <v>1849</v>
      </c>
      <c r="G1568" s="45"/>
      <c r="H1568" s="48"/>
      <c r="I1568" s="49"/>
    </row>
    <row r="1569" spans="2:9" s="1" customFormat="1" x14ac:dyDescent="0.2">
      <c r="B1569" s="50" t="str">
        <f t="shared" si="28"/>
        <v>2018-066-5</v>
      </c>
      <c r="C1569" s="51">
        <v>2018</v>
      </c>
      <c r="D1569" s="51" t="s">
        <v>95</v>
      </c>
      <c r="E1569" s="51">
        <v>5</v>
      </c>
      <c r="F1569" s="52" t="s">
        <v>2245</v>
      </c>
      <c r="G1569" s="51" t="s">
        <v>3210</v>
      </c>
      <c r="H1569" s="53"/>
      <c r="I1569" s="54"/>
    </row>
    <row r="1570" spans="2:9" s="1" customFormat="1" x14ac:dyDescent="0.2">
      <c r="B1570" s="55" t="str">
        <f t="shared" si="28"/>
        <v>2018-067-0</v>
      </c>
      <c r="C1570" s="56">
        <v>2018</v>
      </c>
      <c r="D1570" s="56" t="s">
        <v>96</v>
      </c>
      <c r="E1570" s="56">
        <v>0</v>
      </c>
      <c r="F1570" s="57" t="s">
        <v>272</v>
      </c>
      <c r="G1570" s="56"/>
      <c r="H1570" s="58"/>
      <c r="I1570" s="59"/>
    </row>
    <row r="1571" spans="2:9" s="1" customFormat="1" x14ac:dyDescent="0.2">
      <c r="B1571" s="44" t="str">
        <f t="shared" ref="B1571:B1623" si="29">C1571&amp;"-"&amp;D1571&amp;"-"&amp;E1571</f>
        <v>2018-067-1</v>
      </c>
      <c r="C1571" s="45">
        <v>2018</v>
      </c>
      <c r="D1571" s="45" t="s">
        <v>96</v>
      </c>
      <c r="E1571" s="45">
        <v>1</v>
      </c>
      <c r="F1571" s="47" t="s">
        <v>660</v>
      </c>
      <c r="G1571" s="45" t="s">
        <v>3210</v>
      </c>
      <c r="H1571" s="48"/>
      <c r="I1571" s="49"/>
    </row>
    <row r="1572" spans="2:9" s="1" customFormat="1" x14ac:dyDescent="0.2">
      <c r="B1572" s="44" t="str">
        <f t="shared" si="29"/>
        <v>2018-067-2</v>
      </c>
      <c r="C1572" s="45">
        <v>2018</v>
      </c>
      <c r="D1572" s="45" t="s">
        <v>96</v>
      </c>
      <c r="E1572" s="45">
        <v>2</v>
      </c>
      <c r="F1572" s="47" t="s">
        <v>1060</v>
      </c>
      <c r="G1572" s="45"/>
      <c r="H1572" s="48"/>
      <c r="I1572" s="49"/>
    </row>
    <row r="1573" spans="2:9" s="1" customFormat="1" x14ac:dyDescent="0.2">
      <c r="B1573" s="44" t="str">
        <f t="shared" si="29"/>
        <v>2018-067-3</v>
      </c>
      <c r="C1573" s="45">
        <v>2018</v>
      </c>
      <c r="D1573" s="45" t="s">
        <v>96</v>
      </c>
      <c r="E1573" s="45">
        <v>3</v>
      </c>
      <c r="F1573" s="47" t="s">
        <v>1454</v>
      </c>
      <c r="G1573" s="45"/>
      <c r="H1573" s="48"/>
      <c r="I1573" s="49"/>
    </row>
    <row r="1574" spans="2:9" s="1" customFormat="1" x14ac:dyDescent="0.2">
      <c r="B1574" s="44" t="str">
        <f t="shared" si="29"/>
        <v>2018-067-4</v>
      </c>
      <c r="C1574" s="45">
        <v>2018</v>
      </c>
      <c r="D1574" s="45" t="s">
        <v>96</v>
      </c>
      <c r="E1574" s="45">
        <v>4</v>
      </c>
      <c r="F1574" s="47" t="s">
        <v>1850</v>
      </c>
      <c r="G1574" s="45"/>
      <c r="H1574" s="48"/>
      <c r="I1574" s="49"/>
    </row>
    <row r="1575" spans="2:9" s="1" customFormat="1" x14ac:dyDescent="0.2">
      <c r="B1575" s="50" t="str">
        <f t="shared" si="29"/>
        <v>2018-067-5</v>
      </c>
      <c r="C1575" s="51">
        <v>2018</v>
      </c>
      <c r="D1575" s="51" t="s">
        <v>96</v>
      </c>
      <c r="E1575" s="51">
        <v>5</v>
      </c>
      <c r="F1575" s="52" t="s">
        <v>2246</v>
      </c>
      <c r="G1575" s="51"/>
      <c r="H1575" s="53"/>
      <c r="I1575" s="54"/>
    </row>
    <row r="1576" spans="2:9" s="1" customFormat="1" x14ac:dyDescent="0.2">
      <c r="B1576" s="55" t="str">
        <f t="shared" si="29"/>
        <v>2018-068-0</v>
      </c>
      <c r="C1576" s="56">
        <v>2018</v>
      </c>
      <c r="D1576" s="56" t="s">
        <v>97</v>
      </c>
      <c r="E1576" s="56">
        <v>0</v>
      </c>
      <c r="F1576" s="57" t="s">
        <v>273</v>
      </c>
      <c r="G1576" s="56"/>
      <c r="H1576" s="58"/>
      <c r="I1576" s="59"/>
    </row>
    <row r="1577" spans="2:9" s="1" customFormat="1" x14ac:dyDescent="0.2">
      <c r="B1577" s="44" t="str">
        <f t="shared" si="29"/>
        <v>2018-068-1</v>
      </c>
      <c r="C1577" s="45">
        <v>2018</v>
      </c>
      <c r="D1577" s="45" t="s">
        <v>97</v>
      </c>
      <c r="E1577" s="45">
        <v>1</v>
      </c>
      <c r="F1577" s="47" t="s">
        <v>661</v>
      </c>
      <c r="G1577" s="45"/>
      <c r="H1577" s="48"/>
      <c r="I1577" s="49"/>
    </row>
    <row r="1578" spans="2:9" s="1" customFormat="1" x14ac:dyDescent="0.2">
      <c r="B1578" s="44" t="str">
        <f t="shared" si="29"/>
        <v>2018-068-2</v>
      </c>
      <c r="C1578" s="45">
        <v>2018</v>
      </c>
      <c r="D1578" s="45" t="s">
        <v>97</v>
      </c>
      <c r="E1578" s="45">
        <v>2</v>
      </c>
      <c r="F1578" s="47" t="s">
        <v>1061</v>
      </c>
      <c r="G1578" s="45"/>
      <c r="H1578" s="48"/>
      <c r="I1578" s="49"/>
    </row>
    <row r="1579" spans="2:9" s="1" customFormat="1" x14ac:dyDescent="0.2">
      <c r="B1579" s="44" t="str">
        <f t="shared" si="29"/>
        <v>2018-068-3</v>
      </c>
      <c r="C1579" s="45">
        <v>2018</v>
      </c>
      <c r="D1579" s="45" t="s">
        <v>97</v>
      </c>
      <c r="E1579" s="45">
        <v>3</v>
      </c>
      <c r="F1579" s="47" t="s">
        <v>1455</v>
      </c>
      <c r="G1579" s="45"/>
      <c r="H1579" s="48"/>
      <c r="I1579" s="49"/>
    </row>
    <row r="1580" spans="2:9" s="1" customFormat="1" x14ac:dyDescent="0.2">
      <c r="B1580" s="44" t="str">
        <f t="shared" si="29"/>
        <v>2018-068-4</v>
      </c>
      <c r="C1580" s="45">
        <v>2018</v>
      </c>
      <c r="D1580" s="45" t="s">
        <v>97</v>
      </c>
      <c r="E1580" s="45">
        <v>4</v>
      </c>
      <c r="F1580" s="47" t="s">
        <v>1851</v>
      </c>
      <c r="G1580" s="45" t="s">
        <v>3210</v>
      </c>
      <c r="H1580" s="48"/>
      <c r="I1580" s="49"/>
    </row>
    <row r="1581" spans="2:9" s="1" customFormat="1" x14ac:dyDescent="0.2">
      <c r="B1581" s="50" t="str">
        <f t="shared" si="29"/>
        <v>2018-068-5</v>
      </c>
      <c r="C1581" s="51">
        <v>2018</v>
      </c>
      <c r="D1581" s="51" t="s">
        <v>97</v>
      </c>
      <c r="E1581" s="51">
        <v>5</v>
      </c>
      <c r="F1581" s="52" t="s">
        <v>2247</v>
      </c>
      <c r="G1581" s="51"/>
      <c r="H1581" s="53"/>
      <c r="I1581" s="54"/>
    </row>
    <row r="1582" spans="2:9" s="1" customFormat="1" ht="40.5" x14ac:dyDescent="0.2">
      <c r="B1582" s="55" t="str">
        <f t="shared" si="29"/>
        <v>2018-069-0</v>
      </c>
      <c r="C1582" s="56">
        <v>2018</v>
      </c>
      <c r="D1582" s="56" t="s">
        <v>98</v>
      </c>
      <c r="E1582" s="56">
        <v>0</v>
      </c>
      <c r="F1582" s="57" t="s">
        <v>274</v>
      </c>
      <c r="G1582" s="56"/>
      <c r="H1582" s="58"/>
      <c r="I1582" s="59"/>
    </row>
    <row r="1583" spans="2:9" s="1" customFormat="1" x14ac:dyDescent="0.2">
      <c r="B1583" s="44" t="str">
        <f t="shared" si="29"/>
        <v>2018-069-1</v>
      </c>
      <c r="C1583" s="45">
        <v>2018</v>
      </c>
      <c r="D1583" s="45" t="s">
        <v>98</v>
      </c>
      <c r="E1583" s="45">
        <v>1</v>
      </c>
      <c r="F1583" s="47" t="s">
        <v>662</v>
      </c>
      <c r="G1583" s="45" t="s">
        <v>3210</v>
      </c>
      <c r="H1583" s="48"/>
      <c r="I1583" s="49"/>
    </row>
    <row r="1584" spans="2:9" s="1" customFormat="1" x14ac:dyDescent="0.2">
      <c r="B1584" s="44" t="str">
        <f t="shared" si="29"/>
        <v>2018-069-2</v>
      </c>
      <c r="C1584" s="45">
        <v>2018</v>
      </c>
      <c r="D1584" s="45" t="s">
        <v>98</v>
      </c>
      <c r="E1584" s="45">
        <v>2</v>
      </c>
      <c r="F1584" s="47" t="s">
        <v>1062</v>
      </c>
      <c r="G1584" s="45"/>
      <c r="H1584" s="48"/>
      <c r="I1584" s="49"/>
    </row>
    <row r="1585" spans="2:9" s="1" customFormat="1" x14ac:dyDescent="0.2">
      <c r="B1585" s="44" t="str">
        <f t="shared" si="29"/>
        <v>2018-069-3</v>
      </c>
      <c r="C1585" s="45">
        <v>2018</v>
      </c>
      <c r="D1585" s="45" t="s">
        <v>98</v>
      </c>
      <c r="E1585" s="45">
        <v>3</v>
      </c>
      <c r="F1585" s="47" t="s">
        <v>1456</v>
      </c>
      <c r="G1585" s="45"/>
      <c r="H1585" s="48"/>
      <c r="I1585" s="49"/>
    </row>
    <row r="1586" spans="2:9" s="1" customFormat="1" x14ac:dyDescent="0.2">
      <c r="B1586" s="44" t="str">
        <f t="shared" si="29"/>
        <v>2018-069-4</v>
      </c>
      <c r="C1586" s="45">
        <v>2018</v>
      </c>
      <c r="D1586" s="45" t="s">
        <v>98</v>
      </c>
      <c r="E1586" s="45">
        <v>4</v>
      </c>
      <c r="F1586" s="47" t="s">
        <v>1852</v>
      </c>
      <c r="G1586" s="45"/>
      <c r="H1586" s="48"/>
      <c r="I1586" s="49"/>
    </row>
    <row r="1587" spans="2:9" s="1" customFormat="1" x14ac:dyDescent="0.2">
      <c r="B1587" s="50" t="str">
        <f t="shared" si="29"/>
        <v>2018-069-5</v>
      </c>
      <c r="C1587" s="51">
        <v>2018</v>
      </c>
      <c r="D1587" s="51" t="s">
        <v>98</v>
      </c>
      <c r="E1587" s="51">
        <v>5</v>
      </c>
      <c r="F1587" s="52" t="s">
        <v>2248</v>
      </c>
      <c r="G1587" s="51"/>
      <c r="H1587" s="53"/>
      <c r="I1587" s="54"/>
    </row>
    <row r="1588" spans="2:9" s="1" customFormat="1" x14ac:dyDescent="0.2">
      <c r="B1588" s="55" t="str">
        <f t="shared" si="29"/>
        <v>2018-070-0</v>
      </c>
      <c r="C1588" s="56">
        <v>2018</v>
      </c>
      <c r="D1588" s="56" t="s">
        <v>99</v>
      </c>
      <c r="E1588" s="56">
        <v>0</v>
      </c>
      <c r="F1588" s="57" t="s">
        <v>275</v>
      </c>
      <c r="G1588" s="56"/>
      <c r="H1588" s="58"/>
      <c r="I1588" s="59"/>
    </row>
    <row r="1589" spans="2:9" s="1" customFormat="1" x14ac:dyDescent="0.2">
      <c r="B1589" s="44" t="str">
        <f t="shared" si="29"/>
        <v>2018-070-1</v>
      </c>
      <c r="C1589" s="45">
        <v>2018</v>
      </c>
      <c r="D1589" s="45" t="s">
        <v>99</v>
      </c>
      <c r="E1589" s="45">
        <v>1</v>
      </c>
      <c r="F1589" s="47" t="s">
        <v>663</v>
      </c>
      <c r="G1589" s="45"/>
      <c r="H1589" s="48"/>
      <c r="I1589" s="49"/>
    </row>
    <row r="1590" spans="2:9" s="1" customFormat="1" x14ac:dyDescent="0.2">
      <c r="B1590" s="44" t="str">
        <f t="shared" si="29"/>
        <v>2018-070-2</v>
      </c>
      <c r="C1590" s="45">
        <v>2018</v>
      </c>
      <c r="D1590" s="45" t="s">
        <v>99</v>
      </c>
      <c r="E1590" s="45">
        <v>2</v>
      </c>
      <c r="F1590" s="47" t="s">
        <v>1063</v>
      </c>
      <c r="G1590" s="45" t="s">
        <v>3210</v>
      </c>
      <c r="H1590" s="48"/>
      <c r="I1590" s="49"/>
    </row>
    <row r="1591" spans="2:9" s="1" customFormat="1" ht="27" x14ac:dyDescent="0.2">
      <c r="B1591" s="44" t="str">
        <f t="shared" si="29"/>
        <v>2018-070-3</v>
      </c>
      <c r="C1591" s="45">
        <v>2018</v>
      </c>
      <c r="D1591" s="45" t="s">
        <v>99</v>
      </c>
      <c r="E1591" s="45">
        <v>3</v>
      </c>
      <c r="F1591" s="47" t="s">
        <v>1457</v>
      </c>
      <c r="G1591" s="45"/>
      <c r="H1591" s="48"/>
      <c r="I1591" s="49"/>
    </row>
    <row r="1592" spans="2:9" s="1" customFormat="1" ht="27" x14ac:dyDescent="0.2">
      <c r="B1592" s="44" t="str">
        <f t="shared" si="29"/>
        <v>2018-070-4</v>
      </c>
      <c r="C1592" s="45">
        <v>2018</v>
      </c>
      <c r="D1592" s="45" t="s">
        <v>99</v>
      </c>
      <c r="E1592" s="45">
        <v>4</v>
      </c>
      <c r="F1592" s="47" t="s">
        <v>1853</v>
      </c>
      <c r="G1592" s="45"/>
      <c r="H1592" s="48"/>
      <c r="I1592" s="49"/>
    </row>
    <row r="1593" spans="2:9" s="1" customFormat="1" ht="27" x14ac:dyDescent="0.2">
      <c r="B1593" s="50" t="str">
        <f t="shared" si="29"/>
        <v>2018-070-5</v>
      </c>
      <c r="C1593" s="51">
        <v>2018</v>
      </c>
      <c r="D1593" s="51" t="s">
        <v>99</v>
      </c>
      <c r="E1593" s="51">
        <v>5</v>
      </c>
      <c r="F1593" s="52" t="s">
        <v>2249</v>
      </c>
      <c r="G1593" s="51"/>
      <c r="H1593" s="53"/>
      <c r="I1593" s="54"/>
    </row>
    <row r="1594" spans="2:9" s="1" customFormat="1" x14ac:dyDescent="0.2">
      <c r="B1594" s="55" t="str">
        <f t="shared" si="29"/>
        <v>2018-071-0</v>
      </c>
      <c r="C1594" s="56">
        <v>2018</v>
      </c>
      <c r="D1594" s="56" t="s">
        <v>100</v>
      </c>
      <c r="E1594" s="56">
        <v>0</v>
      </c>
      <c r="F1594" s="57" t="s">
        <v>276</v>
      </c>
      <c r="G1594" s="56"/>
      <c r="H1594" s="58"/>
      <c r="I1594" s="59"/>
    </row>
    <row r="1595" spans="2:9" s="1" customFormat="1" x14ac:dyDescent="0.2">
      <c r="B1595" s="44" t="str">
        <f t="shared" si="29"/>
        <v>2018-071-1</v>
      </c>
      <c r="C1595" s="45">
        <v>2018</v>
      </c>
      <c r="D1595" s="45" t="s">
        <v>100</v>
      </c>
      <c r="E1595" s="45">
        <v>1</v>
      </c>
      <c r="F1595" s="47" t="s">
        <v>664</v>
      </c>
      <c r="G1595" s="45"/>
      <c r="H1595" s="48"/>
      <c r="I1595" s="49"/>
    </row>
    <row r="1596" spans="2:9" s="1" customFormat="1" x14ac:dyDescent="0.2">
      <c r="B1596" s="44" t="str">
        <f t="shared" si="29"/>
        <v>2018-071-2</v>
      </c>
      <c r="C1596" s="45">
        <v>2018</v>
      </c>
      <c r="D1596" s="45" t="s">
        <v>100</v>
      </c>
      <c r="E1596" s="45">
        <v>2</v>
      </c>
      <c r="F1596" s="47" t="s">
        <v>1064</v>
      </c>
      <c r="G1596" s="45"/>
      <c r="H1596" s="48"/>
      <c r="I1596" s="49"/>
    </row>
    <row r="1597" spans="2:9" s="1" customFormat="1" x14ac:dyDescent="0.2">
      <c r="B1597" s="44" t="str">
        <f t="shared" si="29"/>
        <v>2018-071-3</v>
      </c>
      <c r="C1597" s="45">
        <v>2018</v>
      </c>
      <c r="D1597" s="45" t="s">
        <v>100</v>
      </c>
      <c r="E1597" s="45">
        <v>3</v>
      </c>
      <c r="F1597" s="47" t="s">
        <v>1458</v>
      </c>
      <c r="G1597" s="45"/>
      <c r="H1597" s="48"/>
      <c r="I1597" s="49"/>
    </row>
    <row r="1598" spans="2:9" s="1" customFormat="1" x14ac:dyDescent="0.2">
      <c r="B1598" s="44" t="str">
        <f t="shared" si="29"/>
        <v>2018-071-4</v>
      </c>
      <c r="C1598" s="45">
        <v>2018</v>
      </c>
      <c r="D1598" s="45" t="s">
        <v>100</v>
      </c>
      <c r="E1598" s="45">
        <v>4</v>
      </c>
      <c r="F1598" s="47" t="s">
        <v>1854</v>
      </c>
      <c r="G1598" s="45"/>
      <c r="H1598" s="48"/>
      <c r="I1598" s="49"/>
    </row>
    <row r="1599" spans="2:9" s="1" customFormat="1" x14ac:dyDescent="0.2">
      <c r="B1599" s="50" t="str">
        <f t="shared" si="29"/>
        <v>2018-071-5</v>
      </c>
      <c r="C1599" s="51">
        <v>2018</v>
      </c>
      <c r="D1599" s="51" t="s">
        <v>100</v>
      </c>
      <c r="E1599" s="51">
        <v>5</v>
      </c>
      <c r="F1599" s="52" t="s">
        <v>2250</v>
      </c>
      <c r="G1599" s="51" t="s">
        <v>3210</v>
      </c>
      <c r="H1599" s="53"/>
      <c r="I1599" s="54"/>
    </row>
    <row r="1600" spans="2:9" s="1" customFormat="1" ht="40.5" x14ac:dyDescent="0.2">
      <c r="B1600" s="55" t="str">
        <f t="shared" si="29"/>
        <v>2018-072-0</v>
      </c>
      <c r="C1600" s="56">
        <v>2018</v>
      </c>
      <c r="D1600" s="56" t="s">
        <v>101</v>
      </c>
      <c r="E1600" s="56">
        <v>0</v>
      </c>
      <c r="F1600" s="57" t="s">
        <v>277</v>
      </c>
      <c r="G1600" s="56"/>
      <c r="H1600" s="58"/>
      <c r="I1600" s="59"/>
    </row>
    <row r="1601" spans="2:9" s="1" customFormat="1" x14ac:dyDescent="0.2">
      <c r="B1601" s="44" t="str">
        <f t="shared" si="29"/>
        <v>2018-072-1</v>
      </c>
      <c r="C1601" s="45">
        <v>2018</v>
      </c>
      <c r="D1601" s="45" t="s">
        <v>101</v>
      </c>
      <c r="E1601" s="45">
        <v>1</v>
      </c>
      <c r="F1601" s="47" t="s">
        <v>665</v>
      </c>
      <c r="G1601" s="45"/>
      <c r="H1601" s="48"/>
      <c r="I1601" s="49"/>
    </row>
    <row r="1602" spans="2:9" s="1" customFormat="1" x14ac:dyDescent="0.2">
      <c r="B1602" s="44" t="str">
        <f t="shared" si="29"/>
        <v>2018-072-2</v>
      </c>
      <c r="C1602" s="45">
        <v>2018</v>
      </c>
      <c r="D1602" s="45" t="s">
        <v>101</v>
      </c>
      <c r="E1602" s="45">
        <v>2</v>
      </c>
      <c r="F1602" s="47" t="s">
        <v>1065</v>
      </c>
      <c r="G1602" s="45" t="s">
        <v>3210</v>
      </c>
      <c r="H1602" s="48"/>
      <c r="I1602" s="49"/>
    </row>
    <row r="1603" spans="2:9" s="1" customFormat="1" x14ac:dyDescent="0.2">
      <c r="B1603" s="44" t="str">
        <f t="shared" si="29"/>
        <v>2018-072-3</v>
      </c>
      <c r="C1603" s="45">
        <v>2018</v>
      </c>
      <c r="D1603" s="45" t="s">
        <v>101</v>
      </c>
      <c r="E1603" s="45">
        <v>3</v>
      </c>
      <c r="F1603" s="47" t="s">
        <v>1459</v>
      </c>
      <c r="G1603" s="45"/>
      <c r="H1603" s="48"/>
      <c r="I1603" s="49"/>
    </row>
    <row r="1604" spans="2:9" s="1" customFormat="1" x14ac:dyDescent="0.2">
      <c r="B1604" s="44" t="str">
        <f t="shared" si="29"/>
        <v>2018-072-4</v>
      </c>
      <c r="C1604" s="45">
        <v>2018</v>
      </c>
      <c r="D1604" s="45" t="s">
        <v>101</v>
      </c>
      <c r="E1604" s="45">
        <v>4</v>
      </c>
      <c r="F1604" s="47" t="s">
        <v>1855</v>
      </c>
      <c r="G1604" s="45"/>
      <c r="H1604" s="48"/>
      <c r="I1604" s="49"/>
    </row>
    <row r="1605" spans="2:9" s="1" customFormat="1" x14ac:dyDescent="0.2">
      <c r="B1605" s="50" t="str">
        <f t="shared" si="29"/>
        <v>2018-072-5</v>
      </c>
      <c r="C1605" s="51">
        <v>2018</v>
      </c>
      <c r="D1605" s="51" t="s">
        <v>101</v>
      </c>
      <c r="E1605" s="51">
        <v>5</v>
      </c>
      <c r="F1605" s="52" t="s">
        <v>2251</v>
      </c>
      <c r="G1605" s="51"/>
      <c r="H1605" s="53"/>
      <c r="I1605" s="54"/>
    </row>
    <row r="1606" spans="2:9" s="1" customFormat="1" x14ac:dyDescent="0.2">
      <c r="B1606" s="55" t="str">
        <f t="shared" si="29"/>
        <v>2018-073-0</v>
      </c>
      <c r="C1606" s="56">
        <v>2018</v>
      </c>
      <c r="D1606" s="56" t="s">
        <v>102</v>
      </c>
      <c r="E1606" s="56">
        <v>0</v>
      </c>
      <c r="F1606" s="57" t="s">
        <v>167</v>
      </c>
      <c r="G1606" s="56"/>
      <c r="H1606" s="58"/>
      <c r="I1606" s="59"/>
    </row>
    <row r="1607" spans="2:9" s="1" customFormat="1" x14ac:dyDescent="0.2">
      <c r="B1607" s="44" t="str">
        <f t="shared" si="29"/>
        <v>2018-073-1</v>
      </c>
      <c r="C1607" s="45">
        <v>2018</v>
      </c>
      <c r="D1607" s="45" t="s">
        <v>102</v>
      </c>
      <c r="E1607" s="45">
        <v>1</v>
      </c>
      <c r="F1607" s="47" t="s">
        <v>666</v>
      </c>
      <c r="G1607" s="45"/>
      <c r="H1607" s="48"/>
      <c r="I1607" s="49"/>
    </row>
    <row r="1608" spans="2:9" s="1" customFormat="1" x14ac:dyDescent="0.2">
      <c r="B1608" s="44" t="str">
        <f t="shared" si="29"/>
        <v>2018-073-2</v>
      </c>
      <c r="C1608" s="45">
        <v>2018</v>
      </c>
      <c r="D1608" s="45" t="s">
        <v>102</v>
      </c>
      <c r="E1608" s="45">
        <v>2</v>
      </c>
      <c r="F1608" s="47" t="s">
        <v>1066</v>
      </c>
      <c r="G1608" s="45" t="s">
        <v>3210</v>
      </c>
      <c r="H1608" s="48"/>
      <c r="I1608" s="49"/>
    </row>
    <row r="1609" spans="2:9" s="1" customFormat="1" x14ac:dyDescent="0.2">
      <c r="B1609" s="44" t="str">
        <f t="shared" si="29"/>
        <v>2018-073-3</v>
      </c>
      <c r="C1609" s="45">
        <v>2018</v>
      </c>
      <c r="D1609" s="45" t="s">
        <v>102</v>
      </c>
      <c r="E1609" s="45">
        <v>3</v>
      </c>
      <c r="F1609" s="47" t="s">
        <v>1460</v>
      </c>
      <c r="G1609" s="45"/>
      <c r="H1609" s="48"/>
      <c r="I1609" s="49"/>
    </row>
    <row r="1610" spans="2:9" s="1" customFormat="1" x14ac:dyDescent="0.2">
      <c r="B1610" s="44" t="str">
        <f t="shared" si="29"/>
        <v>2018-073-4</v>
      </c>
      <c r="C1610" s="45">
        <v>2018</v>
      </c>
      <c r="D1610" s="45" t="s">
        <v>102</v>
      </c>
      <c r="E1610" s="45">
        <v>4</v>
      </c>
      <c r="F1610" s="47" t="s">
        <v>1856</v>
      </c>
      <c r="G1610" s="45"/>
      <c r="H1610" s="48"/>
      <c r="I1610" s="49"/>
    </row>
    <row r="1611" spans="2:9" s="1" customFormat="1" x14ac:dyDescent="0.2">
      <c r="B1611" s="50" t="str">
        <f t="shared" si="29"/>
        <v>2018-073-5</v>
      </c>
      <c r="C1611" s="51">
        <v>2018</v>
      </c>
      <c r="D1611" s="51" t="s">
        <v>102</v>
      </c>
      <c r="E1611" s="51">
        <v>5</v>
      </c>
      <c r="F1611" s="52" t="s">
        <v>2252</v>
      </c>
      <c r="G1611" s="51"/>
      <c r="H1611" s="53"/>
      <c r="I1611" s="54"/>
    </row>
    <row r="1612" spans="2:9" s="1" customFormat="1" x14ac:dyDescent="0.2">
      <c r="B1612" s="55" t="str">
        <f t="shared" si="29"/>
        <v>2018-074-0</v>
      </c>
      <c r="C1612" s="56">
        <v>2018</v>
      </c>
      <c r="D1612" s="56" t="s">
        <v>103</v>
      </c>
      <c r="E1612" s="56">
        <v>0</v>
      </c>
      <c r="F1612" s="57" t="s">
        <v>278</v>
      </c>
      <c r="G1612" s="56"/>
      <c r="H1612" s="58"/>
      <c r="I1612" s="59"/>
    </row>
    <row r="1613" spans="2:9" s="1" customFormat="1" x14ac:dyDescent="0.2">
      <c r="B1613" s="44" t="str">
        <f t="shared" si="29"/>
        <v>2018-074-1</v>
      </c>
      <c r="C1613" s="45">
        <v>2018</v>
      </c>
      <c r="D1613" s="45" t="s">
        <v>103</v>
      </c>
      <c r="E1613" s="45">
        <v>1</v>
      </c>
      <c r="F1613" s="47" t="s">
        <v>667</v>
      </c>
      <c r="G1613" s="45"/>
      <c r="H1613" s="48"/>
      <c r="I1613" s="49"/>
    </row>
    <row r="1614" spans="2:9" s="1" customFormat="1" x14ac:dyDescent="0.2">
      <c r="B1614" s="44" t="str">
        <f t="shared" si="29"/>
        <v>2018-074-2</v>
      </c>
      <c r="C1614" s="45">
        <v>2018</v>
      </c>
      <c r="D1614" s="45" t="s">
        <v>103</v>
      </c>
      <c r="E1614" s="45">
        <v>2</v>
      </c>
      <c r="F1614" s="47" t="s">
        <v>1067</v>
      </c>
      <c r="G1614" s="45"/>
      <c r="H1614" s="48"/>
      <c r="I1614" s="49"/>
    </row>
    <row r="1615" spans="2:9" s="1" customFormat="1" x14ac:dyDescent="0.2">
      <c r="B1615" s="44" t="str">
        <f t="shared" si="29"/>
        <v>2018-074-3</v>
      </c>
      <c r="C1615" s="45">
        <v>2018</v>
      </c>
      <c r="D1615" s="45" t="s">
        <v>103</v>
      </c>
      <c r="E1615" s="45">
        <v>3</v>
      </c>
      <c r="F1615" s="47" t="s">
        <v>1461</v>
      </c>
      <c r="G1615" s="45"/>
      <c r="H1615" s="48"/>
      <c r="I1615" s="49"/>
    </row>
    <row r="1616" spans="2:9" s="1" customFormat="1" x14ac:dyDescent="0.2">
      <c r="B1616" s="44" t="str">
        <f t="shared" si="29"/>
        <v>2018-074-4</v>
      </c>
      <c r="C1616" s="45">
        <v>2018</v>
      </c>
      <c r="D1616" s="45" t="s">
        <v>103</v>
      </c>
      <c r="E1616" s="45">
        <v>4</v>
      </c>
      <c r="F1616" s="47" t="s">
        <v>1857</v>
      </c>
      <c r="G1616" s="45" t="s">
        <v>3210</v>
      </c>
      <c r="H1616" s="48"/>
      <c r="I1616" s="49"/>
    </row>
    <row r="1617" spans="2:9" s="1" customFormat="1" x14ac:dyDescent="0.2">
      <c r="B1617" s="50" t="str">
        <f t="shared" si="29"/>
        <v>2018-074-5</v>
      </c>
      <c r="C1617" s="51">
        <v>2018</v>
      </c>
      <c r="D1617" s="51" t="s">
        <v>103</v>
      </c>
      <c r="E1617" s="51">
        <v>5</v>
      </c>
      <c r="F1617" s="52" t="s">
        <v>2253</v>
      </c>
      <c r="G1617" s="51"/>
      <c r="H1617" s="53"/>
      <c r="I1617" s="54"/>
    </row>
    <row r="1618" spans="2:9" s="1" customFormat="1" ht="27" x14ac:dyDescent="0.2">
      <c r="B1618" s="55" t="str">
        <f t="shared" si="29"/>
        <v>2018-075-0</v>
      </c>
      <c r="C1618" s="56">
        <v>2018</v>
      </c>
      <c r="D1618" s="56" t="s">
        <v>104</v>
      </c>
      <c r="E1618" s="56">
        <v>0</v>
      </c>
      <c r="F1618" s="57" t="s">
        <v>279</v>
      </c>
      <c r="G1618" s="56"/>
      <c r="H1618" s="58"/>
      <c r="I1618" s="59"/>
    </row>
    <row r="1619" spans="2:9" s="1" customFormat="1" x14ac:dyDescent="0.2">
      <c r="B1619" s="44" t="str">
        <f t="shared" si="29"/>
        <v>2018-075-1</v>
      </c>
      <c r="C1619" s="45">
        <v>2018</v>
      </c>
      <c r="D1619" s="45" t="s">
        <v>104</v>
      </c>
      <c r="E1619" s="45">
        <v>1</v>
      </c>
      <c r="F1619" s="47" t="s">
        <v>668</v>
      </c>
      <c r="G1619" s="45"/>
      <c r="H1619" s="48"/>
      <c r="I1619" s="49"/>
    </row>
    <row r="1620" spans="2:9" s="1" customFormat="1" x14ac:dyDescent="0.2">
      <c r="B1620" s="44" t="str">
        <f t="shared" si="29"/>
        <v>2018-075-2</v>
      </c>
      <c r="C1620" s="45">
        <v>2018</v>
      </c>
      <c r="D1620" s="45" t="s">
        <v>104</v>
      </c>
      <c r="E1620" s="45">
        <v>2</v>
      </c>
      <c r="F1620" s="47" t="s">
        <v>1068</v>
      </c>
      <c r="G1620" s="45"/>
      <c r="H1620" s="48"/>
      <c r="I1620" s="49"/>
    </row>
    <row r="1621" spans="2:9" s="1" customFormat="1" x14ac:dyDescent="0.2">
      <c r="B1621" s="44" t="str">
        <f t="shared" si="29"/>
        <v>2018-075-3</v>
      </c>
      <c r="C1621" s="45">
        <v>2018</v>
      </c>
      <c r="D1621" s="45" t="s">
        <v>104</v>
      </c>
      <c r="E1621" s="45">
        <v>3</v>
      </c>
      <c r="F1621" s="47" t="s">
        <v>1462</v>
      </c>
      <c r="G1621" s="45"/>
      <c r="H1621" s="48"/>
      <c r="I1621" s="49"/>
    </row>
    <row r="1622" spans="2:9" s="1" customFormat="1" x14ac:dyDescent="0.2">
      <c r="B1622" s="44" t="str">
        <f t="shared" si="29"/>
        <v>2018-075-4</v>
      </c>
      <c r="C1622" s="45">
        <v>2018</v>
      </c>
      <c r="D1622" s="45" t="s">
        <v>104</v>
      </c>
      <c r="E1622" s="45">
        <v>4</v>
      </c>
      <c r="F1622" s="47" t="s">
        <v>1858</v>
      </c>
      <c r="G1622" s="45" t="s">
        <v>3210</v>
      </c>
      <c r="H1622" s="48"/>
      <c r="I1622" s="49"/>
    </row>
    <row r="1623" spans="2:9" s="1" customFormat="1" ht="14.25" thickBot="1" x14ac:dyDescent="0.25">
      <c r="B1623" s="60" t="str">
        <f t="shared" si="29"/>
        <v>2018-075-5</v>
      </c>
      <c r="C1623" s="61">
        <v>2018</v>
      </c>
      <c r="D1623" s="61" t="s">
        <v>104</v>
      </c>
      <c r="E1623" s="61">
        <v>5</v>
      </c>
      <c r="F1623" s="62" t="s">
        <v>2254</v>
      </c>
      <c r="G1623" s="61"/>
      <c r="H1623" s="63"/>
      <c r="I1623" s="64"/>
    </row>
    <row r="1624" spans="2:9" s="1" customFormat="1" x14ac:dyDescent="0.2">
      <c r="B1624" s="38" t="str">
        <f t="shared" ref="B1624:B1672" si="30">C1624&amp;"-"&amp;D1624&amp;"-"&amp;E1624</f>
        <v>2017-051-0</v>
      </c>
      <c r="C1624" s="39">
        <v>2017</v>
      </c>
      <c r="D1624" s="39" t="s">
        <v>80</v>
      </c>
      <c r="E1624" s="39">
        <v>0</v>
      </c>
      <c r="F1624" s="41" t="s">
        <v>280</v>
      </c>
      <c r="G1624" s="39"/>
      <c r="H1624" s="42"/>
      <c r="I1624" s="43"/>
    </row>
    <row r="1625" spans="2:9" s="1" customFormat="1" x14ac:dyDescent="0.2">
      <c r="B1625" s="44" t="str">
        <f t="shared" si="30"/>
        <v>2017-051-1</v>
      </c>
      <c r="C1625" s="45">
        <v>2017</v>
      </c>
      <c r="D1625" s="45" t="s">
        <v>80</v>
      </c>
      <c r="E1625" s="45">
        <v>1</v>
      </c>
      <c r="F1625" s="47" t="s">
        <v>669</v>
      </c>
      <c r="G1625" s="45"/>
      <c r="H1625" s="48"/>
      <c r="I1625" s="49"/>
    </row>
    <row r="1626" spans="2:9" s="1" customFormat="1" ht="27" x14ac:dyDescent="0.2">
      <c r="B1626" s="44" t="str">
        <f t="shared" si="30"/>
        <v>2017-051-2</v>
      </c>
      <c r="C1626" s="45">
        <v>2017</v>
      </c>
      <c r="D1626" s="45" t="s">
        <v>80</v>
      </c>
      <c r="E1626" s="45">
        <v>2</v>
      </c>
      <c r="F1626" s="47" t="s">
        <v>1069</v>
      </c>
      <c r="G1626" s="45"/>
      <c r="H1626" s="48"/>
      <c r="I1626" s="49"/>
    </row>
    <row r="1627" spans="2:9" s="1" customFormat="1" ht="27" x14ac:dyDescent="0.2">
      <c r="B1627" s="44" t="str">
        <f t="shared" si="30"/>
        <v>2017-051-3</v>
      </c>
      <c r="C1627" s="45">
        <v>2017</v>
      </c>
      <c r="D1627" s="45" t="s">
        <v>80</v>
      </c>
      <c r="E1627" s="45">
        <v>3</v>
      </c>
      <c r="F1627" s="47" t="s">
        <v>1463</v>
      </c>
      <c r="G1627" s="45" t="s">
        <v>3210</v>
      </c>
      <c r="H1627" s="48"/>
      <c r="I1627" s="49"/>
    </row>
    <row r="1628" spans="2:9" s="1" customFormat="1" x14ac:dyDescent="0.2">
      <c r="B1628" s="44" t="str">
        <f t="shared" si="30"/>
        <v>2017-051-4</v>
      </c>
      <c r="C1628" s="45">
        <v>2017</v>
      </c>
      <c r="D1628" s="45" t="s">
        <v>80</v>
      </c>
      <c r="E1628" s="45">
        <v>4</v>
      </c>
      <c r="F1628" s="47" t="s">
        <v>1859</v>
      </c>
      <c r="G1628" s="45"/>
      <c r="H1628" s="48"/>
      <c r="I1628" s="49"/>
    </row>
    <row r="1629" spans="2:9" s="1" customFormat="1" x14ac:dyDescent="0.2">
      <c r="B1629" s="50" t="str">
        <f t="shared" si="30"/>
        <v>2017-051-5</v>
      </c>
      <c r="C1629" s="51">
        <v>2017</v>
      </c>
      <c r="D1629" s="51" t="s">
        <v>80</v>
      </c>
      <c r="E1629" s="51">
        <v>5</v>
      </c>
      <c r="F1629" s="52" t="s">
        <v>2255</v>
      </c>
      <c r="G1629" s="51"/>
      <c r="H1629" s="53"/>
      <c r="I1629" s="54"/>
    </row>
    <row r="1630" spans="2:9" s="1" customFormat="1" x14ac:dyDescent="0.2">
      <c r="B1630" s="55" t="str">
        <f t="shared" si="30"/>
        <v>2017-052-0</v>
      </c>
      <c r="C1630" s="56">
        <v>2017</v>
      </c>
      <c r="D1630" s="56" t="s">
        <v>81</v>
      </c>
      <c r="E1630" s="56">
        <v>0</v>
      </c>
      <c r="F1630" s="57" t="s">
        <v>281</v>
      </c>
      <c r="G1630" s="56"/>
      <c r="H1630" s="58"/>
      <c r="I1630" s="59"/>
    </row>
    <row r="1631" spans="2:9" s="1" customFormat="1" ht="27" x14ac:dyDescent="0.2">
      <c r="B1631" s="44" t="str">
        <f t="shared" si="30"/>
        <v>2017-052-1</v>
      </c>
      <c r="C1631" s="45">
        <v>2017</v>
      </c>
      <c r="D1631" s="45" t="s">
        <v>81</v>
      </c>
      <c r="E1631" s="45">
        <v>1</v>
      </c>
      <c r="F1631" s="47" t="s">
        <v>670</v>
      </c>
      <c r="G1631" s="45" t="s">
        <v>3210</v>
      </c>
      <c r="H1631" s="48"/>
      <c r="I1631" s="49"/>
    </row>
    <row r="1632" spans="2:9" s="1" customFormat="1" ht="27" x14ac:dyDescent="0.2">
      <c r="B1632" s="44" t="str">
        <f t="shared" si="30"/>
        <v>2017-052-2</v>
      </c>
      <c r="C1632" s="45">
        <v>2017</v>
      </c>
      <c r="D1632" s="45" t="s">
        <v>81</v>
      </c>
      <c r="E1632" s="45">
        <v>2</v>
      </c>
      <c r="F1632" s="47" t="s">
        <v>1070</v>
      </c>
      <c r="G1632" s="45"/>
      <c r="H1632" s="48"/>
      <c r="I1632" s="49"/>
    </row>
    <row r="1633" spans="2:9" s="1" customFormat="1" ht="27" x14ac:dyDescent="0.2">
      <c r="B1633" s="44" t="str">
        <f t="shared" si="30"/>
        <v>2017-052-3</v>
      </c>
      <c r="C1633" s="45">
        <v>2017</v>
      </c>
      <c r="D1633" s="45" t="s">
        <v>81</v>
      </c>
      <c r="E1633" s="45">
        <v>3</v>
      </c>
      <c r="F1633" s="47" t="s">
        <v>1464</v>
      </c>
      <c r="G1633" s="45"/>
      <c r="H1633" s="48"/>
      <c r="I1633" s="49"/>
    </row>
    <row r="1634" spans="2:9" s="1" customFormat="1" ht="27" x14ac:dyDescent="0.2">
      <c r="B1634" s="44" t="str">
        <f t="shared" si="30"/>
        <v>2017-052-4</v>
      </c>
      <c r="C1634" s="45">
        <v>2017</v>
      </c>
      <c r="D1634" s="45" t="s">
        <v>81</v>
      </c>
      <c r="E1634" s="45">
        <v>4</v>
      </c>
      <c r="F1634" s="47" t="s">
        <v>2495</v>
      </c>
      <c r="G1634" s="45"/>
      <c r="H1634" s="48"/>
      <c r="I1634" s="49"/>
    </row>
    <row r="1635" spans="2:9" s="1" customFormat="1" ht="27" x14ac:dyDescent="0.2">
      <c r="B1635" s="50" t="str">
        <f t="shared" si="30"/>
        <v>2017-052-5</v>
      </c>
      <c r="C1635" s="51">
        <v>2017</v>
      </c>
      <c r="D1635" s="51" t="s">
        <v>81</v>
      </c>
      <c r="E1635" s="51">
        <v>5</v>
      </c>
      <c r="F1635" s="52" t="s">
        <v>2496</v>
      </c>
      <c r="G1635" s="51"/>
      <c r="H1635" s="53"/>
      <c r="I1635" s="54"/>
    </row>
    <row r="1636" spans="2:9" s="1" customFormat="1" x14ac:dyDescent="0.2">
      <c r="B1636" s="55" t="str">
        <f t="shared" si="30"/>
        <v>2017-053-0</v>
      </c>
      <c r="C1636" s="56">
        <v>2017</v>
      </c>
      <c r="D1636" s="56" t="s">
        <v>82</v>
      </c>
      <c r="E1636" s="56">
        <v>0</v>
      </c>
      <c r="F1636" s="57" t="s">
        <v>172</v>
      </c>
      <c r="G1636" s="56"/>
      <c r="H1636" s="58"/>
      <c r="I1636" s="59"/>
    </row>
    <row r="1637" spans="2:9" s="1" customFormat="1" x14ac:dyDescent="0.2">
      <c r="B1637" s="44" t="str">
        <f t="shared" si="30"/>
        <v>2017-053-1</v>
      </c>
      <c r="C1637" s="45">
        <v>2017</v>
      </c>
      <c r="D1637" s="45" t="s">
        <v>82</v>
      </c>
      <c r="E1637" s="45">
        <v>1</v>
      </c>
      <c r="F1637" s="47" t="s">
        <v>671</v>
      </c>
      <c r="G1637" s="45"/>
      <c r="H1637" s="48"/>
      <c r="I1637" s="49"/>
    </row>
    <row r="1638" spans="2:9" s="1" customFormat="1" x14ac:dyDescent="0.2">
      <c r="B1638" s="44" t="str">
        <f t="shared" si="30"/>
        <v>2017-053-2</v>
      </c>
      <c r="C1638" s="45">
        <v>2017</v>
      </c>
      <c r="D1638" s="45" t="s">
        <v>82</v>
      </c>
      <c r="E1638" s="45">
        <v>2</v>
      </c>
      <c r="F1638" s="47" t="s">
        <v>1071</v>
      </c>
      <c r="G1638" s="45"/>
      <c r="H1638" s="48"/>
      <c r="I1638" s="49"/>
    </row>
    <row r="1639" spans="2:9" s="1" customFormat="1" x14ac:dyDescent="0.2">
      <c r="B1639" s="44" t="str">
        <f t="shared" si="30"/>
        <v>2017-053-3</v>
      </c>
      <c r="C1639" s="45">
        <v>2017</v>
      </c>
      <c r="D1639" s="45" t="s">
        <v>82</v>
      </c>
      <c r="E1639" s="45">
        <v>3</v>
      </c>
      <c r="F1639" s="47" t="s">
        <v>909</v>
      </c>
      <c r="G1639" s="45"/>
      <c r="H1639" s="48"/>
      <c r="I1639" s="49"/>
    </row>
    <row r="1640" spans="2:9" s="1" customFormat="1" x14ac:dyDescent="0.2">
      <c r="B1640" s="44" t="str">
        <f t="shared" si="30"/>
        <v>2017-053-4</v>
      </c>
      <c r="C1640" s="45">
        <v>2017</v>
      </c>
      <c r="D1640" s="45" t="s">
        <v>82</v>
      </c>
      <c r="E1640" s="45">
        <v>4</v>
      </c>
      <c r="F1640" s="47" t="s">
        <v>1860</v>
      </c>
      <c r="G1640" s="45"/>
      <c r="H1640" s="48"/>
      <c r="I1640" s="49"/>
    </row>
    <row r="1641" spans="2:9" s="1" customFormat="1" x14ac:dyDescent="0.2">
      <c r="B1641" s="50" t="str">
        <f t="shared" si="30"/>
        <v>2017-053-5</v>
      </c>
      <c r="C1641" s="51">
        <v>2017</v>
      </c>
      <c r="D1641" s="51" t="s">
        <v>82</v>
      </c>
      <c r="E1641" s="51">
        <v>5</v>
      </c>
      <c r="F1641" s="52" t="s">
        <v>2256</v>
      </c>
      <c r="G1641" s="51" t="s">
        <v>3210</v>
      </c>
      <c r="H1641" s="53"/>
      <c r="I1641" s="54"/>
    </row>
    <row r="1642" spans="2:9" s="1" customFormat="1" x14ac:dyDescent="0.2">
      <c r="B1642" s="55" t="str">
        <f t="shared" si="30"/>
        <v>2017-054-0</v>
      </c>
      <c r="C1642" s="56">
        <v>2017</v>
      </c>
      <c r="D1642" s="56" t="s">
        <v>83</v>
      </c>
      <c r="E1642" s="56">
        <v>0</v>
      </c>
      <c r="F1642" s="57" t="s">
        <v>282</v>
      </c>
      <c r="G1642" s="56"/>
      <c r="H1642" s="58"/>
      <c r="I1642" s="59"/>
    </row>
    <row r="1643" spans="2:9" s="1" customFormat="1" x14ac:dyDescent="0.2">
      <c r="B1643" s="44" t="str">
        <f t="shared" si="30"/>
        <v>2017-054-1</v>
      </c>
      <c r="C1643" s="45">
        <v>2017</v>
      </c>
      <c r="D1643" s="45" t="s">
        <v>83</v>
      </c>
      <c r="E1643" s="45">
        <v>1</v>
      </c>
      <c r="F1643" s="47" t="s">
        <v>672</v>
      </c>
      <c r="G1643" s="45"/>
      <c r="H1643" s="48"/>
      <c r="I1643" s="49"/>
    </row>
    <row r="1644" spans="2:9" s="1" customFormat="1" ht="27" x14ac:dyDescent="0.2">
      <c r="B1644" s="44" t="str">
        <f t="shared" si="30"/>
        <v>2017-054-2</v>
      </c>
      <c r="C1644" s="45">
        <v>2017</v>
      </c>
      <c r="D1644" s="45" t="s">
        <v>83</v>
      </c>
      <c r="E1644" s="45">
        <v>2</v>
      </c>
      <c r="F1644" s="47" t="s">
        <v>1072</v>
      </c>
      <c r="G1644" s="45"/>
      <c r="H1644" s="48"/>
      <c r="I1644" s="49"/>
    </row>
    <row r="1645" spans="2:9" s="1" customFormat="1" ht="27" x14ac:dyDescent="0.2">
      <c r="B1645" s="44" t="str">
        <f t="shared" si="30"/>
        <v>2017-054-3</v>
      </c>
      <c r="C1645" s="45">
        <v>2017</v>
      </c>
      <c r="D1645" s="45" t="s">
        <v>83</v>
      </c>
      <c r="E1645" s="45">
        <v>3</v>
      </c>
      <c r="F1645" s="47" t="s">
        <v>1465</v>
      </c>
      <c r="G1645" s="45"/>
      <c r="H1645" s="48"/>
      <c r="I1645" s="49"/>
    </row>
    <row r="1646" spans="2:9" s="1" customFormat="1" ht="27" x14ac:dyDescent="0.2">
      <c r="B1646" s="44" t="str">
        <f t="shared" si="30"/>
        <v>2017-054-4</v>
      </c>
      <c r="C1646" s="45">
        <v>2017</v>
      </c>
      <c r="D1646" s="45" t="s">
        <v>83</v>
      </c>
      <c r="E1646" s="45">
        <v>4</v>
      </c>
      <c r="F1646" s="47" t="s">
        <v>1861</v>
      </c>
      <c r="G1646" s="45"/>
      <c r="H1646" s="48"/>
      <c r="I1646" s="49"/>
    </row>
    <row r="1647" spans="2:9" s="1" customFormat="1" ht="27" x14ac:dyDescent="0.2">
      <c r="B1647" s="50" t="str">
        <f t="shared" si="30"/>
        <v>2017-054-5</v>
      </c>
      <c r="C1647" s="51">
        <v>2017</v>
      </c>
      <c r="D1647" s="51" t="s">
        <v>83</v>
      </c>
      <c r="E1647" s="51">
        <v>5</v>
      </c>
      <c r="F1647" s="52" t="s">
        <v>2257</v>
      </c>
      <c r="G1647" s="51" t="s">
        <v>3210</v>
      </c>
      <c r="H1647" s="53"/>
      <c r="I1647" s="54"/>
    </row>
    <row r="1648" spans="2:9" s="1" customFormat="1" x14ac:dyDescent="0.2">
      <c r="B1648" s="55" t="str">
        <f t="shared" si="30"/>
        <v>2017-055-0</v>
      </c>
      <c r="C1648" s="56">
        <v>2017</v>
      </c>
      <c r="D1648" s="56" t="s">
        <v>84</v>
      </c>
      <c r="E1648" s="56">
        <v>0</v>
      </c>
      <c r="F1648" s="57" t="s">
        <v>283</v>
      </c>
      <c r="G1648" s="56"/>
      <c r="H1648" s="58"/>
      <c r="I1648" s="59"/>
    </row>
    <row r="1649" spans="2:9" s="1" customFormat="1" x14ac:dyDescent="0.2">
      <c r="B1649" s="44" t="str">
        <f t="shared" si="30"/>
        <v>2017-055-1</v>
      </c>
      <c r="C1649" s="45">
        <v>2017</v>
      </c>
      <c r="D1649" s="45" t="s">
        <v>84</v>
      </c>
      <c r="E1649" s="45">
        <v>1</v>
      </c>
      <c r="F1649" s="47" t="s">
        <v>673</v>
      </c>
      <c r="G1649" s="45"/>
      <c r="H1649" s="48"/>
      <c r="I1649" s="49"/>
    </row>
    <row r="1650" spans="2:9" s="1" customFormat="1" x14ac:dyDescent="0.2">
      <c r="B1650" s="44" t="str">
        <f t="shared" si="30"/>
        <v>2017-055-2</v>
      </c>
      <c r="C1650" s="45">
        <v>2017</v>
      </c>
      <c r="D1650" s="45" t="s">
        <v>84</v>
      </c>
      <c r="E1650" s="45">
        <v>2</v>
      </c>
      <c r="F1650" s="47" t="s">
        <v>1073</v>
      </c>
      <c r="G1650" s="45" t="s">
        <v>3210</v>
      </c>
      <c r="H1650" s="48"/>
      <c r="I1650" s="49"/>
    </row>
    <row r="1651" spans="2:9" s="1" customFormat="1" x14ac:dyDescent="0.2">
      <c r="B1651" s="44" t="str">
        <f t="shared" si="30"/>
        <v>2017-055-3</v>
      </c>
      <c r="C1651" s="45">
        <v>2017</v>
      </c>
      <c r="D1651" s="45" t="s">
        <v>84</v>
      </c>
      <c r="E1651" s="45">
        <v>3</v>
      </c>
      <c r="F1651" s="47" t="s">
        <v>1466</v>
      </c>
      <c r="G1651" s="45"/>
      <c r="H1651" s="48"/>
      <c r="I1651" s="49"/>
    </row>
    <row r="1652" spans="2:9" s="1" customFormat="1" x14ac:dyDescent="0.2">
      <c r="B1652" s="44" t="str">
        <f t="shared" si="30"/>
        <v>2017-055-4</v>
      </c>
      <c r="C1652" s="45">
        <v>2017</v>
      </c>
      <c r="D1652" s="45" t="s">
        <v>84</v>
      </c>
      <c r="E1652" s="45">
        <v>4</v>
      </c>
      <c r="F1652" s="47" t="s">
        <v>1862</v>
      </c>
      <c r="G1652" s="45"/>
      <c r="H1652" s="48"/>
      <c r="I1652" s="49"/>
    </row>
    <row r="1653" spans="2:9" s="1" customFormat="1" x14ac:dyDescent="0.2">
      <c r="B1653" s="50" t="str">
        <f t="shared" si="30"/>
        <v>2017-055-5</v>
      </c>
      <c r="C1653" s="51">
        <v>2017</v>
      </c>
      <c r="D1653" s="51" t="s">
        <v>84</v>
      </c>
      <c r="E1653" s="51">
        <v>5</v>
      </c>
      <c r="F1653" s="52" t="s">
        <v>2258</v>
      </c>
      <c r="G1653" s="51"/>
      <c r="H1653" s="53"/>
      <c r="I1653" s="54"/>
    </row>
    <row r="1654" spans="2:9" s="1" customFormat="1" ht="121.5" x14ac:dyDescent="0.2">
      <c r="B1654" s="55" t="str">
        <f t="shared" si="30"/>
        <v>2017-056-0</v>
      </c>
      <c r="C1654" s="56">
        <v>2017</v>
      </c>
      <c r="D1654" s="56" t="s">
        <v>85</v>
      </c>
      <c r="E1654" s="56">
        <v>0</v>
      </c>
      <c r="F1654" s="57" t="s">
        <v>284</v>
      </c>
      <c r="G1654" s="56"/>
      <c r="H1654" s="58"/>
      <c r="I1654" s="59"/>
    </row>
    <row r="1655" spans="2:9" s="1" customFormat="1" x14ac:dyDescent="0.2">
      <c r="B1655" s="44" t="str">
        <f t="shared" si="30"/>
        <v>2017-056-1</v>
      </c>
      <c r="C1655" s="45">
        <v>2017</v>
      </c>
      <c r="D1655" s="45" t="s">
        <v>85</v>
      </c>
      <c r="E1655" s="45">
        <v>1</v>
      </c>
      <c r="F1655" s="47" t="s">
        <v>44</v>
      </c>
      <c r="G1655" s="45"/>
      <c r="H1655" s="48"/>
      <c r="I1655" s="49"/>
    </row>
    <row r="1656" spans="2:9" s="1" customFormat="1" x14ac:dyDescent="0.2">
      <c r="B1656" s="44" t="str">
        <f t="shared" si="30"/>
        <v>2017-056-2</v>
      </c>
      <c r="C1656" s="45">
        <v>2017</v>
      </c>
      <c r="D1656" s="45" t="s">
        <v>85</v>
      </c>
      <c r="E1656" s="45">
        <v>2</v>
      </c>
      <c r="F1656" s="47" t="s">
        <v>47</v>
      </c>
      <c r="G1656" s="45" t="s">
        <v>3210</v>
      </c>
      <c r="H1656" s="48"/>
      <c r="I1656" s="49"/>
    </row>
    <row r="1657" spans="2:9" s="1" customFormat="1" x14ac:dyDescent="0.2">
      <c r="B1657" s="44" t="str">
        <f t="shared" si="30"/>
        <v>2017-056-3</v>
      </c>
      <c r="C1657" s="45">
        <v>2017</v>
      </c>
      <c r="D1657" s="45" t="s">
        <v>85</v>
      </c>
      <c r="E1657" s="45">
        <v>3</v>
      </c>
      <c r="F1657" s="47" t="s">
        <v>54</v>
      </c>
      <c r="G1657" s="45"/>
      <c r="H1657" s="48"/>
      <c r="I1657" s="49"/>
    </row>
    <row r="1658" spans="2:9" s="1" customFormat="1" x14ac:dyDescent="0.2">
      <c r="B1658" s="44" t="str">
        <f t="shared" si="30"/>
        <v>2017-056-4</v>
      </c>
      <c r="C1658" s="45">
        <v>2017</v>
      </c>
      <c r="D1658" s="45" t="s">
        <v>85</v>
      </c>
      <c r="E1658" s="45">
        <v>4</v>
      </c>
      <c r="F1658" s="47" t="s">
        <v>55</v>
      </c>
      <c r="G1658" s="45"/>
      <c r="H1658" s="48"/>
      <c r="I1658" s="49"/>
    </row>
    <row r="1659" spans="2:9" s="1" customFormat="1" x14ac:dyDescent="0.2">
      <c r="B1659" s="50" t="str">
        <f t="shared" si="30"/>
        <v>2017-056-5</v>
      </c>
      <c r="C1659" s="51">
        <v>2017</v>
      </c>
      <c r="D1659" s="51" t="s">
        <v>85</v>
      </c>
      <c r="E1659" s="51">
        <v>5</v>
      </c>
      <c r="F1659" s="52" t="s">
        <v>49</v>
      </c>
      <c r="G1659" s="51"/>
      <c r="H1659" s="53"/>
      <c r="I1659" s="54"/>
    </row>
    <row r="1660" spans="2:9" s="1" customFormat="1" x14ac:dyDescent="0.2">
      <c r="B1660" s="55" t="str">
        <f t="shared" si="30"/>
        <v>2017-057-0</v>
      </c>
      <c r="C1660" s="56">
        <v>2017</v>
      </c>
      <c r="D1660" s="56" t="s">
        <v>86</v>
      </c>
      <c r="E1660" s="56">
        <v>0</v>
      </c>
      <c r="F1660" s="57" t="s">
        <v>285</v>
      </c>
      <c r="G1660" s="56"/>
      <c r="H1660" s="58"/>
      <c r="I1660" s="59"/>
    </row>
    <row r="1661" spans="2:9" s="1" customFormat="1" x14ac:dyDescent="0.2">
      <c r="B1661" s="44" t="str">
        <f t="shared" si="30"/>
        <v>2017-057-1</v>
      </c>
      <c r="C1661" s="45">
        <v>2017</v>
      </c>
      <c r="D1661" s="45" t="s">
        <v>86</v>
      </c>
      <c r="E1661" s="45">
        <v>1</v>
      </c>
      <c r="F1661" s="47" t="s">
        <v>674</v>
      </c>
      <c r="G1661" s="45"/>
      <c r="H1661" s="48"/>
      <c r="I1661" s="49"/>
    </row>
    <row r="1662" spans="2:9" s="1" customFormat="1" x14ac:dyDescent="0.2">
      <c r="B1662" s="44" t="str">
        <f t="shared" si="30"/>
        <v>2017-057-2</v>
      </c>
      <c r="C1662" s="45">
        <v>2017</v>
      </c>
      <c r="D1662" s="45" t="s">
        <v>86</v>
      </c>
      <c r="E1662" s="45">
        <v>2</v>
      </c>
      <c r="F1662" s="47" t="s">
        <v>1074</v>
      </c>
      <c r="G1662" s="45"/>
      <c r="H1662" s="48"/>
      <c r="I1662" s="49"/>
    </row>
    <row r="1663" spans="2:9" s="1" customFormat="1" ht="27" x14ac:dyDescent="0.2">
      <c r="B1663" s="44" t="str">
        <f t="shared" si="30"/>
        <v>2017-057-3</v>
      </c>
      <c r="C1663" s="45">
        <v>2017</v>
      </c>
      <c r="D1663" s="45" t="s">
        <v>86</v>
      </c>
      <c r="E1663" s="45">
        <v>3</v>
      </c>
      <c r="F1663" s="47" t="s">
        <v>1467</v>
      </c>
      <c r="G1663" s="45"/>
      <c r="H1663" s="48"/>
      <c r="I1663" s="49"/>
    </row>
    <row r="1664" spans="2:9" s="1" customFormat="1" x14ac:dyDescent="0.2">
      <c r="B1664" s="44" t="str">
        <f t="shared" si="30"/>
        <v>2017-057-4</v>
      </c>
      <c r="C1664" s="45">
        <v>2017</v>
      </c>
      <c r="D1664" s="45" t="s">
        <v>86</v>
      </c>
      <c r="E1664" s="45">
        <v>4</v>
      </c>
      <c r="F1664" s="47" t="s">
        <v>1863</v>
      </c>
      <c r="G1664" s="45" t="s">
        <v>3210</v>
      </c>
      <c r="H1664" s="48"/>
      <c r="I1664" s="49"/>
    </row>
    <row r="1665" spans="2:9" s="1" customFormat="1" ht="27" x14ac:dyDescent="0.2">
      <c r="B1665" s="50" t="str">
        <f t="shared" si="30"/>
        <v>2017-057-5</v>
      </c>
      <c r="C1665" s="51">
        <v>2017</v>
      </c>
      <c r="D1665" s="51" t="s">
        <v>86</v>
      </c>
      <c r="E1665" s="51">
        <v>5</v>
      </c>
      <c r="F1665" s="52" t="s">
        <v>2259</v>
      </c>
      <c r="G1665" s="51"/>
      <c r="H1665" s="53"/>
      <c r="I1665" s="54"/>
    </row>
    <row r="1666" spans="2:9" s="1" customFormat="1" x14ac:dyDescent="0.2">
      <c r="B1666" s="55" t="str">
        <f t="shared" si="30"/>
        <v>2017-058-0</v>
      </c>
      <c r="C1666" s="56">
        <v>2017</v>
      </c>
      <c r="D1666" s="56" t="s">
        <v>87</v>
      </c>
      <c r="E1666" s="56">
        <v>0</v>
      </c>
      <c r="F1666" s="57" t="s">
        <v>286</v>
      </c>
      <c r="G1666" s="56"/>
      <c r="H1666" s="58"/>
      <c r="I1666" s="59"/>
    </row>
    <row r="1667" spans="2:9" s="1" customFormat="1" x14ac:dyDescent="0.2">
      <c r="B1667" s="44" t="str">
        <f t="shared" si="30"/>
        <v>2017-058-1</v>
      </c>
      <c r="C1667" s="45">
        <v>2017</v>
      </c>
      <c r="D1667" s="45" t="s">
        <v>87</v>
      </c>
      <c r="E1667" s="45">
        <v>1</v>
      </c>
      <c r="F1667" s="47" t="s">
        <v>675</v>
      </c>
      <c r="G1667" s="45"/>
      <c r="H1667" s="48"/>
      <c r="I1667" s="49"/>
    </row>
    <row r="1668" spans="2:9" s="1" customFormat="1" x14ac:dyDescent="0.2">
      <c r="B1668" s="44" t="str">
        <f t="shared" si="30"/>
        <v>2017-058-2</v>
      </c>
      <c r="C1668" s="45">
        <v>2017</v>
      </c>
      <c r="D1668" s="45" t="s">
        <v>87</v>
      </c>
      <c r="E1668" s="45">
        <v>2</v>
      </c>
      <c r="F1668" s="47" t="s">
        <v>1075</v>
      </c>
      <c r="G1668" s="45"/>
      <c r="H1668" s="48"/>
      <c r="I1668" s="49"/>
    </row>
    <row r="1669" spans="2:9" s="1" customFormat="1" ht="27" x14ac:dyDescent="0.2">
      <c r="B1669" s="44" t="str">
        <f t="shared" si="30"/>
        <v>2017-058-3</v>
      </c>
      <c r="C1669" s="45">
        <v>2017</v>
      </c>
      <c r="D1669" s="45" t="s">
        <v>87</v>
      </c>
      <c r="E1669" s="45">
        <v>3</v>
      </c>
      <c r="F1669" s="47" t="s">
        <v>1468</v>
      </c>
      <c r="G1669" s="45"/>
      <c r="H1669" s="48"/>
      <c r="I1669" s="49"/>
    </row>
    <row r="1670" spans="2:9" s="1" customFormat="1" x14ac:dyDescent="0.2">
      <c r="B1670" s="44" t="str">
        <f t="shared" si="30"/>
        <v>2017-058-4</v>
      </c>
      <c r="C1670" s="45">
        <v>2017</v>
      </c>
      <c r="D1670" s="45" t="s">
        <v>87</v>
      </c>
      <c r="E1670" s="45">
        <v>4</v>
      </c>
      <c r="F1670" s="47" t="s">
        <v>1864</v>
      </c>
      <c r="G1670" s="45" t="s">
        <v>3210</v>
      </c>
      <c r="H1670" s="48"/>
      <c r="I1670" s="49"/>
    </row>
    <row r="1671" spans="2:9" s="1" customFormat="1" x14ac:dyDescent="0.2">
      <c r="B1671" s="50" t="str">
        <f t="shared" si="30"/>
        <v>2017-058-5</v>
      </c>
      <c r="C1671" s="51">
        <v>2017</v>
      </c>
      <c r="D1671" s="51" t="s">
        <v>87</v>
      </c>
      <c r="E1671" s="51">
        <v>5</v>
      </c>
      <c r="F1671" s="52" t="s">
        <v>2260</v>
      </c>
      <c r="G1671" s="51"/>
      <c r="H1671" s="53"/>
      <c r="I1671" s="54"/>
    </row>
    <row r="1672" spans="2:9" s="1" customFormat="1" x14ac:dyDescent="0.2">
      <c r="B1672" s="55" t="str">
        <f t="shared" si="30"/>
        <v>2017-059-0</v>
      </c>
      <c r="C1672" s="56">
        <v>2017</v>
      </c>
      <c r="D1672" s="56" t="s">
        <v>88</v>
      </c>
      <c r="E1672" s="56">
        <v>0</v>
      </c>
      <c r="F1672" s="57" t="s">
        <v>287</v>
      </c>
      <c r="G1672" s="56"/>
      <c r="H1672" s="58"/>
      <c r="I1672" s="59"/>
    </row>
    <row r="1673" spans="2:9" s="1" customFormat="1" ht="27" x14ac:dyDescent="0.2">
      <c r="B1673" s="44" t="str">
        <f t="shared" ref="B1673:B1736" si="31">C1673&amp;"-"&amp;D1673&amp;"-"&amp;E1673</f>
        <v>2017-059-1</v>
      </c>
      <c r="C1673" s="45">
        <v>2017</v>
      </c>
      <c r="D1673" s="45" t="s">
        <v>88</v>
      </c>
      <c r="E1673" s="45">
        <v>1</v>
      </c>
      <c r="F1673" s="47" t="s">
        <v>676</v>
      </c>
      <c r="G1673" s="45"/>
      <c r="H1673" s="48"/>
      <c r="I1673" s="49"/>
    </row>
    <row r="1674" spans="2:9" s="1" customFormat="1" ht="27" x14ac:dyDescent="0.2">
      <c r="B1674" s="44" t="str">
        <f t="shared" si="31"/>
        <v>2017-059-2</v>
      </c>
      <c r="C1674" s="45">
        <v>2017</v>
      </c>
      <c r="D1674" s="45" t="s">
        <v>88</v>
      </c>
      <c r="E1674" s="45">
        <v>2</v>
      </c>
      <c r="F1674" s="47" t="s">
        <v>1076</v>
      </c>
      <c r="G1674" s="45" t="s">
        <v>3210</v>
      </c>
      <c r="H1674" s="48"/>
      <c r="I1674" s="49"/>
    </row>
    <row r="1675" spans="2:9" s="1" customFormat="1" ht="27" x14ac:dyDescent="0.2">
      <c r="B1675" s="44" t="str">
        <f t="shared" si="31"/>
        <v>2017-059-3</v>
      </c>
      <c r="C1675" s="45">
        <v>2017</v>
      </c>
      <c r="D1675" s="45" t="s">
        <v>88</v>
      </c>
      <c r="E1675" s="45">
        <v>3</v>
      </c>
      <c r="F1675" s="47" t="s">
        <v>1469</v>
      </c>
      <c r="G1675" s="45"/>
      <c r="H1675" s="48"/>
      <c r="I1675" s="49"/>
    </row>
    <row r="1676" spans="2:9" s="1" customFormat="1" ht="27" x14ac:dyDescent="0.2">
      <c r="B1676" s="44" t="str">
        <f t="shared" si="31"/>
        <v>2017-059-4</v>
      </c>
      <c r="C1676" s="45">
        <v>2017</v>
      </c>
      <c r="D1676" s="45" t="s">
        <v>88</v>
      </c>
      <c r="E1676" s="45">
        <v>4</v>
      </c>
      <c r="F1676" s="47" t="s">
        <v>1865</v>
      </c>
      <c r="G1676" s="45"/>
      <c r="H1676" s="48"/>
      <c r="I1676" s="49"/>
    </row>
    <row r="1677" spans="2:9" s="1" customFormat="1" ht="27" x14ac:dyDescent="0.2">
      <c r="B1677" s="50" t="str">
        <f t="shared" si="31"/>
        <v>2017-059-5</v>
      </c>
      <c r="C1677" s="51">
        <v>2017</v>
      </c>
      <c r="D1677" s="51" t="s">
        <v>88</v>
      </c>
      <c r="E1677" s="51">
        <v>5</v>
      </c>
      <c r="F1677" s="52" t="s">
        <v>2261</v>
      </c>
      <c r="G1677" s="51"/>
      <c r="H1677" s="53"/>
      <c r="I1677" s="54"/>
    </row>
    <row r="1678" spans="2:9" s="1" customFormat="1" x14ac:dyDescent="0.2">
      <c r="B1678" s="55" t="str">
        <f t="shared" si="31"/>
        <v>2017-060-0</v>
      </c>
      <c r="C1678" s="56">
        <v>2017</v>
      </c>
      <c r="D1678" s="56" t="s">
        <v>89</v>
      </c>
      <c r="E1678" s="56">
        <v>0</v>
      </c>
      <c r="F1678" s="57" t="s">
        <v>288</v>
      </c>
      <c r="G1678" s="56"/>
      <c r="H1678" s="58"/>
      <c r="I1678" s="59"/>
    </row>
    <row r="1679" spans="2:9" s="1" customFormat="1" ht="27" x14ac:dyDescent="0.2">
      <c r="B1679" s="44" t="str">
        <f t="shared" si="31"/>
        <v>2017-060-1</v>
      </c>
      <c r="C1679" s="45">
        <v>2017</v>
      </c>
      <c r="D1679" s="45" t="s">
        <v>89</v>
      </c>
      <c r="E1679" s="45">
        <v>1</v>
      </c>
      <c r="F1679" s="47" t="s">
        <v>677</v>
      </c>
      <c r="G1679" s="45" t="s">
        <v>3210</v>
      </c>
      <c r="H1679" s="48"/>
      <c r="I1679" s="49"/>
    </row>
    <row r="1680" spans="2:9" s="1" customFormat="1" x14ac:dyDescent="0.2">
      <c r="B1680" s="44" t="str">
        <f t="shared" si="31"/>
        <v>2017-060-2</v>
      </c>
      <c r="C1680" s="45">
        <v>2017</v>
      </c>
      <c r="D1680" s="45" t="s">
        <v>89</v>
      </c>
      <c r="E1680" s="45">
        <v>2</v>
      </c>
      <c r="F1680" s="47" t="s">
        <v>1077</v>
      </c>
      <c r="G1680" s="45"/>
      <c r="H1680" s="48"/>
      <c r="I1680" s="49"/>
    </row>
    <row r="1681" spans="2:9" s="1" customFormat="1" x14ac:dyDescent="0.2">
      <c r="B1681" s="44" t="str">
        <f t="shared" si="31"/>
        <v>2017-060-3</v>
      </c>
      <c r="C1681" s="45">
        <v>2017</v>
      </c>
      <c r="D1681" s="45" t="s">
        <v>89</v>
      </c>
      <c r="E1681" s="45">
        <v>3</v>
      </c>
      <c r="F1681" s="47" t="s">
        <v>1470</v>
      </c>
      <c r="G1681" s="45"/>
      <c r="H1681" s="48"/>
      <c r="I1681" s="49"/>
    </row>
    <row r="1682" spans="2:9" s="1" customFormat="1" x14ac:dyDescent="0.2">
      <c r="B1682" s="44" t="str">
        <f t="shared" si="31"/>
        <v>2017-060-4</v>
      </c>
      <c r="C1682" s="45">
        <v>2017</v>
      </c>
      <c r="D1682" s="45" t="s">
        <v>89</v>
      </c>
      <c r="E1682" s="45">
        <v>4</v>
      </c>
      <c r="F1682" s="47" t="s">
        <v>1866</v>
      </c>
      <c r="G1682" s="45"/>
      <c r="H1682" s="48"/>
      <c r="I1682" s="49"/>
    </row>
    <row r="1683" spans="2:9" s="1" customFormat="1" x14ac:dyDescent="0.2">
      <c r="B1683" s="50" t="str">
        <f t="shared" si="31"/>
        <v>2017-060-5</v>
      </c>
      <c r="C1683" s="51">
        <v>2017</v>
      </c>
      <c r="D1683" s="51" t="s">
        <v>89</v>
      </c>
      <c r="E1683" s="51">
        <v>5</v>
      </c>
      <c r="F1683" s="52" t="s">
        <v>2149</v>
      </c>
      <c r="G1683" s="51"/>
      <c r="H1683" s="53"/>
      <c r="I1683" s="54"/>
    </row>
    <row r="1684" spans="2:9" s="1" customFormat="1" x14ac:dyDescent="0.2">
      <c r="B1684" s="55" t="str">
        <f t="shared" si="31"/>
        <v>2017-061-0</v>
      </c>
      <c r="C1684" s="56">
        <v>2017</v>
      </c>
      <c r="D1684" s="56" t="s">
        <v>90</v>
      </c>
      <c r="E1684" s="56">
        <v>0</v>
      </c>
      <c r="F1684" s="57" t="s">
        <v>289</v>
      </c>
      <c r="G1684" s="56"/>
      <c r="H1684" s="58"/>
      <c r="I1684" s="59"/>
    </row>
    <row r="1685" spans="2:9" s="1" customFormat="1" x14ac:dyDescent="0.2">
      <c r="B1685" s="44" t="str">
        <f t="shared" si="31"/>
        <v>2017-061-1</v>
      </c>
      <c r="C1685" s="45">
        <v>2017</v>
      </c>
      <c r="D1685" s="45" t="s">
        <v>90</v>
      </c>
      <c r="E1685" s="45">
        <v>1</v>
      </c>
      <c r="F1685" s="47" t="s">
        <v>678</v>
      </c>
      <c r="G1685" s="45"/>
      <c r="H1685" s="48"/>
      <c r="I1685" s="49"/>
    </row>
    <row r="1686" spans="2:9" s="1" customFormat="1" x14ac:dyDescent="0.2">
      <c r="B1686" s="44" t="str">
        <f t="shared" si="31"/>
        <v>2017-061-2</v>
      </c>
      <c r="C1686" s="45">
        <v>2017</v>
      </c>
      <c r="D1686" s="45" t="s">
        <v>90</v>
      </c>
      <c r="E1686" s="45">
        <v>2</v>
      </c>
      <c r="F1686" s="47" t="s">
        <v>1078</v>
      </c>
      <c r="G1686" s="45"/>
      <c r="H1686" s="48"/>
      <c r="I1686" s="49"/>
    </row>
    <row r="1687" spans="2:9" s="1" customFormat="1" x14ac:dyDescent="0.2">
      <c r="B1687" s="44" t="str">
        <f t="shared" si="31"/>
        <v>2017-061-3</v>
      </c>
      <c r="C1687" s="45">
        <v>2017</v>
      </c>
      <c r="D1687" s="45" t="s">
        <v>90</v>
      </c>
      <c r="E1687" s="45">
        <v>3</v>
      </c>
      <c r="F1687" s="47" t="s">
        <v>1471</v>
      </c>
      <c r="G1687" s="45"/>
      <c r="H1687" s="48"/>
      <c r="I1687" s="49"/>
    </row>
    <row r="1688" spans="2:9" s="1" customFormat="1" x14ac:dyDescent="0.2">
      <c r="B1688" s="44" t="str">
        <f t="shared" si="31"/>
        <v>2017-061-4</v>
      </c>
      <c r="C1688" s="45">
        <v>2017</v>
      </c>
      <c r="D1688" s="45" t="s">
        <v>90</v>
      </c>
      <c r="E1688" s="45">
        <v>4</v>
      </c>
      <c r="F1688" s="47" t="s">
        <v>1867</v>
      </c>
      <c r="G1688" s="45" t="s">
        <v>3210</v>
      </c>
      <c r="H1688" s="48"/>
      <c r="I1688" s="49"/>
    </row>
    <row r="1689" spans="2:9" s="1" customFormat="1" x14ac:dyDescent="0.2">
      <c r="B1689" s="50" t="str">
        <f t="shared" si="31"/>
        <v>2017-061-5</v>
      </c>
      <c r="C1689" s="51">
        <v>2017</v>
      </c>
      <c r="D1689" s="51" t="s">
        <v>90</v>
      </c>
      <c r="E1689" s="51">
        <v>5</v>
      </c>
      <c r="F1689" s="52" t="s">
        <v>2262</v>
      </c>
      <c r="G1689" s="51"/>
      <c r="H1689" s="53"/>
      <c r="I1689" s="54"/>
    </row>
    <row r="1690" spans="2:9" s="1" customFormat="1" x14ac:dyDescent="0.2">
      <c r="B1690" s="55" t="str">
        <f t="shared" si="31"/>
        <v>2017-062-0</v>
      </c>
      <c r="C1690" s="56">
        <v>2017</v>
      </c>
      <c r="D1690" s="56" t="s">
        <v>91</v>
      </c>
      <c r="E1690" s="56">
        <v>0</v>
      </c>
      <c r="F1690" s="57" t="s">
        <v>290</v>
      </c>
      <c r="G1690" s="56"/>
      <c r="H1690" s="58"/>
      <c r="I1690" s="59"/>
    </row>
    <row r="1691" spans="2:9" s="1" customFormat="1" x14ac:dyDescent="0.2">
      <c r="B1691" s="44" t="str">
        <f t="shared" si="31"/>
        <v>2017-062-1</v>
      </c>
      <c r="C1691" s="45">
        <v>2017</v>
      </c>
      <c r="D1691" s="45" t="s">
        <v>91</v>
      </c>
      <c r="E1691" s="45">
        <v>1</v>
      </c>
      <c r="F1691" s="47" t="s">
        <v>679</v>
      </c>
      <c r="G1691" s="45"/>
      <c r="H1691" s="48"/>
      <c r="I1691" s="49"/>
    </row>
    <row r="1692" spans="2:9" s="1" customFormat="1" x14ac:dyDescent="0.2">
      <c r="B1692" s="44" t="str">
        <f t="shared" si="31"/>
        <v>2017-062-2</v>
      </c>
      <c r="C1692" s="45">
        <v>2017</v>
      </c>
      <c r="D1692" s="45" t="s">
        <v>91</v>
      </c>
      <c r="E1692" s="45">
        <v>2</v>
      </c>
      <c r="F1692" s="47" t="s">
        <v>1079</v>
      </c>
      <c r="G1692" s="45"/>
      <c r="H1692" s="48"/>
      <c r="I1692" s="49"/>
    </row>
    <row r="1693" spans="2:9" s="1" customFormat="1" x14ac:dyDescent="0.2">
      <c r="B1693" s="44" t="str">
        <f t="shared" si="31"/>
        <v>2017-062-3</v>
      </c>
      <c r="C1693" s="45">
        <v>2017</v>
      </c>
      <c r="D1693" s="45" t="s">
        <v>91</v>
      </c>
      <c r="E1693" s="45">
        <v>3</v>
      </c>
      <c r="F1693" s="47" t="s">
        <v>1472</v>
      </c>
      <c r="G1693" s="45"/>
      <c r="H1693" s="48"/>
      <c r="I1693" s="49"/>
    </row>
    <row r="1694" spans="2:9" s="1" customFormat="1" ht="27" x14ac:dyDescent="0.2">
      <c r="B1694" s="44" t="str">
        <f t="shared" si="31"/>
        <v>2017-062-4</v>
      </c>
      <c r="C1694" s="45">
        <v>2017</v>
      </c>
      <c r="D1694" s="45" t="s">
        <v>91</v>
      </c>
      <c r="E1694" s="45">
        <v>4</v>
      </c>
      <c r="F1694" s="47" t="s">
        <v>1868</v>
      </c>
      <c r="G1694" s="45" t="s">
        <v>3210</v>
      </c>
      <c r="H1694" s="48"/>
      <c r="I1694" s="49"/>
    </row>
    <row r="1695" spans="2:9" s="1" customFormat="1" x14ac:dyDescent="0.2">
      <c r="B1695" s="50" t="str">
        <f t="shared" si="31"/>
        <v>2017-062-5</v>
      </c>
      <c r="C1695" s="51">
        <v>2017</v>
      </c>
      <c r="D1695" s="51" t="s">
        <v>91</v>
      </c>
      <c r="E1695" s="51">
        <v>5</v>
      </c>
      <c r="F1695" s="52" t="s">
        <v>2263</v>
      </c>
      <c r="G1695" s="51"/>
      <c r="H1695" s="53"/>
      <c r="I1695" s="54"/>
    </row>
    <row r="1696" spans="2:9" s="1" customFormat="1" ht="27" x14ac:dyDescent="0.2">
      <c r="B1696" s="55" t="str">
        <f t="shared" si="31"/>
        <v>2017-063-0</v>
      </c>
      <c r="C1696" s="56">
        <v>2017</v>
      </c>
      <c r="D1696" s="56" t="s">
        <v>92</v>
      </c>
      <c r="E1696" s="56">
        <v>0</v>
      </c>
      <c r="F1696" s="57" t="s">
        <v>291</v>
      </c>
      <c r="G1696" s="56"/>
      <c r="H1696" s="58"/>
      <c r="I1696" s="59"/>
    </row>
    <row r="1697" spans="2:9" s="1" customFormat="1" x14ac:dyDescent="0.2">
      <c r="B1697" s="44" t="str">
        <f t="shared" si="31"/>
        <v>2017-063-1</v>
      </c>
      <c r="C1697" s="45">
        <v>2017</v>
      </c>
      <c r="D1697" s="45" t="s">
        <v>92</v>
      </c>
      <c r="E1697" s="45">
        <v>1</v>
      </c>
      <c r="F1697" s="47" t="s">
        <v>680</v>
      </c>
      <c r="G1697" s="45"/>
      <c r="H1697" s="48"/>
      <c r="I1697" s="49"/>
    </row>
    <row r="1698" spans="2:9" s="1" customFormat="1" x14ac:dyDescent="0.2">
      <c r="B1698" s="44" t="str">
        <f t="shared" si="31"/>
        <v>2017-063-2</v>
      </c>
      <c r="C1698" s="45">
        <v>2017</v>
      </c>
      <c r="D1698" s="45" t="s">
        <v>92</v>
      </c>
      <c r="E1698" s="45">
        <v>2</v>
      </c>
      <c r="F1698" s="47" t="s">
        <v>1080</v>
      </c>
      <c r="G1698" s="45" t="s">
        <v>3210</v>
      </c>
      <c r="H1698" s="48"/>
      <c r="I1698" s="49"/>
    </row>
    <row r="1699" spans="2:9" s="1" customFormat="1" x14ac:dyDescent="0.2">
      <c r="B1699" s="44" t="str">
        <f t="shared" si="31"/>
        <v>2017-063-3</v>
      </c>
      <c r="C1699" s="45">
        <v>2017</v>
      </c>
      <c r="D1699" s="45" t="s">
        <v>92</v>
      </c>
      <c r="E1699" s="45">
        <v>3</v>
      </c>
      <c r="F1699" s="47" t="s">
        <v>1473</v>
      </c>
      <c r="G1699" s="45"/>
      <c r="H1699" s="48"/>
      <c r="I1699" s="49"/>
    </row>
    <row r="1700" spans="2:9" s="1" customFormat="1" x14ac:dyDescent="0.2">
      <c r="B1700" s="44" t="str">
        <f t="shared" si="31"/>
        <v>2017-063-4</v>
      </c>
      <c r="C1700" s="45">
        <v>2017</v>
      </c>
      <c r="D1700" s="45" t="s">
        <v>92</v>
      </c>
      <c r="E1700" s="45">
        <v>4</v>
      </c>
      <c r="F1700" s="47" t="s">
        <v>1869</v>
      </c>
      <c r="G1700" s="45"/>
      <c r="H1700" s="48"/>
      <c r="I1700" s="49"/>
    </row>
    <row r="1701" spans="2:9" s="1" customFormat="1" ht="27" x14ac:dyDescent="0.2">
      <c r="B1701" s="50" t="str">
        <f t="shared" si="31"/>
        <v>2017-063-5</v>
      </c>
      <c r="C1701" s="51">
        <v>2017</v>
      </c>
      <c r="D1701" s="51" t="s">
        <v>92</v>
      </c>
      <c r="E1701" s="51">
        <v>5</v>
      </c>
      <c r="F1701" s="52" t="s">
        <v>2264</v>
      </c>
      <c r="G1701" s="51"/>
      <c r="H1701" s="53"/>
      <c r="I1701" s="54"/>
    </row>
    <row r="1702" spans="2:9" s="1" customFormat="1" x14ac:dyDescent="0.2">
      <c r="B1702" s="55" t="str">
        <f t="shared" si="31"/>
        <v>2017-064-0</v>
      </c>
      <c r="C1702" s="56">
        <v>2017</v>
      </c>
      <c r="D1702" s="56" t="s">
        <v>93</v>
      </c>
      <c r="E1702" s="56">
        <v>0</v>
      </c>
      <c r="F1702" s="57" t="s">
        <v>292</v>
      </c>
      <c r="G1702" s="56"/>
      <c r="H1702" s="58"/>
      <c r="I1702" s="59"/>
    </row>
    <row r="1703" spans="2:9" s="1" customFormat="1" x14ac:dyDescent="0.2">
      <c r="B1703" s="44" t="str">
        <f t="shared" si="31"/>
        <v>2017-064-1</v>
      </c>
      <c r="C1703" s="45">
        <v>2017</v>
      </c>
      <c r="D1703" s="45" t="s">
        <v>93</v>
      </c>
      <c r="E1703" s="45">
        <v>1</v>
      </c>
      <c r="F1703" s="47" t="s">
        <v>681</v>
      </c>
      <c r="G1703" s="45"/>
      <c r="H1703" s="48"/>
      <c r="I1703" s="49"/>
    </row>
    <row r="1704" spans="2:9" s="1" customFormat="1" x14ac:dyDescent="0.2">
      <c r="B1704" s="44" t="str">
        <f t="shared" si="31"/>
        <v>2017-064-2</v>
      </c>
      <c r="C1704" s="45">
        <v>2017</v>
      </c>
      <c r="D1704" s="45" t="s">
        <v>93</v>
      </c>
      <c r="E1704" s="45">
        <v>2</v>
      </c>
      <c r="F1704" s="47" t="s">
        <v>1081</v>
      </c>
      <c r="G1704" s="45"/>
      <c r="H1704" s="48"/>
      <c r="I1704" s="49"/>
    </row>
    <row r="1705" spans="2:9" s="1" customFormat="1" ht="27" x14ac:dyDescent="0.2">
      <c r="B1705" s="44" t="str">
        <f t="shared" si="31"/>
        <v>2017-064-3</v>
      </c>
      <c r="C1705" s="45">
        <v>2017</v>
      </c>
      <c r="D1705" s="45" t="s">
        <v>93</v>
      </c>
      <c r="E1705" s="45">
        <v>3</v>
      </c>
      <c r="F1705" s="47" t="s">
        <v>1474</v>
      </c>
      <c r="G1705" s="45"/>
      <c r="H1705" s="48"/>
      <c r="I1705" s="49"/>
    </row>
    <row r="1706" spans="2:9" s="1" customFormat="1" ht="40.5" x14ac:dyDescent="0.2">
      <c r="B1706" s="44" t="str">
        <f t="shared" si="31"/>
        <v>2017-064-4</v>
      </c>
      <c r="C1706" s="45">
        <v>2017</v>
      </c>
      <c r="D1706" s="45" t="s">
        <v>93</v>
      </c>
      <c r="E1706" s="45">
        <v>4</v>
      </c>
      <c r="F1706" s="47" t="s">
        <v>1870</v>
      </c>
      <c r="G1706" s="45" t="s">
        <v>3210</v>
      </c>
      <c r="H1706" s="48"/>
      <c r="I1706" s="49"/>
    </row>
    <row r="1707" spans="2:9" s="1" customFormat="1" ht="27" x14ac:dyDescent="0.2">
      <c r="B1707" s="50" t="str">
        <f t="shared" si="31"/>
        <v>2017-064-5</v>
      </c>
      <c r="C1707" s="51">
        <v>2017</v>
      </c>
      <c r="D1707" s="51" t="s">
        <v>93</v>
      </c>
      <c r="E1707" s="51">
        <v>5</v>
      </c>
      <c r="F1707" s="52" t="s">
        <v>2265</v>
      </c>
      <c r="G1707" s="51"/>
      <c r="H1707" s="53"/>
      <c r="I1707" s="54"/>
    </row>
    <row r="1708" spans="2:9" s="1" customFormat="1" x14ac:dyDescent="0.2">
      <c r="B1708" s="55" t="str">
        <f t="shared" si="31"/>
        <v>2017-065-0</v>
      </c>
      <c r="C1708" s="56">
        <v>2017</v>
      </c>
      <c r="D1708" s="56" t="s">
        <v>94</v>
      </c>
      <c r="E1708" s="56">
        <v>0</v>
      </c>
      <c r="F1708" s="57" t="s">
        <v>293</v>
      </c>
      <c r="G1708" s="56"/>
      <c r="H1708" s="58"/>
      <c r="I1708" s="59"/>
    </row>
    <row r="1709" spans="2:9" s="1" customFormat="1" x14ac:dyDescent="0.2">
      <c r="B1709" s="44" t="str">
        <f t="shared" si="31"/>
        <v>2017-065-1</v>
      </c>
      <c r="C1709" s="45">
        <v>2017</v>
      </c>
      <c r="D1709" s="45" t="s">
        <v>94</v>
      </c>
      <c r="E1709" s="45">
        <v>1</v>
      </c>
      <c r="F1709" s="47" t="s">
        <v>682</v>
      </c>
      <c r="G1709" s="45" t="s">
        <v>3210</v>
      </c>
      <c r="H1709" s="48"/>
      <c r="I1709" s="49"/>
    </row>
    <row r="1710" spans="2:9" s="1" customFormat="1" x14ac:dyDescent="0.2">
      <c r="B1710" s="44" t="str">
        <f t="shared" si="31"/>
        <v>2017-065-2</v>
      </c>
      <c r="C1710" s="45">
        <v>2017</v>
      </c>
      <c r="D1710" s="45" t="s">
        <v>94</v>
      </c>
      <c r="E1710" s="45">
        <v>2</v>
      </c>
      <c r="F1710" s="47" t="s">
        <v>1082</v>
      </c>
      <c r="G1710" s="45"/>
      <c r="H1710" s="48"/>
      <c r="I1710" s="49"/>
    </row>
    <row r="1711" spans="2:9" s="1" customFormat="1" x14ac:dyDescent="0.2">
      <c r="B1711" s="44" t="str">
        <f t="shared" si="31"/>
        <v>2017-065-3</v>
      </c>
      <c r="C1711" s="45">
        <v>2017</v>
      </c>
      <c r="D1711" s="45" t="s">
        <v>94</v>
      </c>
      <c r="E1711" s="45">
        <v>3</v>
      </c>
      <c r="F1711" s="47" t="s">
        <v>1475</v>
      </c>
      <c r="G1711" s="45"/>
      <c r="H1711" s="48"/>
      <c r="I1711" s="49"/>
    </row>
    <row r="1712" spans="2:9" s="1" customFormat="1" x14ac:dyDescent="0.2">
      <c r="B1712" s="44" t="str">
        <f t="shared" si="31"/>
        <v>2017-065-4</v>
      </c>
      <c r="C1712" s="45">
        <v>2017</v>
      </c>
      <c r="D1712" s="45" t="s">
        <v>94</v>
      </c>
      <c r="E1712" s="45">
        <v>4</v>
      </c>
      <c r="F1712" s="47" t="s">
        <v>1871</v>
      </c>
      <c r="G1712" s="45"/>
      <c r="H1712" s="48"/>
      <c r="I1712" s="49"/>
    </row>
    <row r="1713" spans="2:9" s="1" customFormat="1" x14ac:dyDescent="0.2">
      <c r="B1713" s="50" t="str">
        <f t="shared" si="31"/>
        <v>2017-065-5</v>
      </c>
      <c r="C1713" s="51">
        <v>2017</v>
      </c>
      <c r="D1713" s="51" t="s">
        <v>94</v>
      </c>
      <c r="E1713" s="51">
        <v>5</v>
      </c>
      <c r="F1713" s="52" t="s">
        <v>2266</v>
      </c>
      <c r="G1713" s="51"/>
      <c r="H1713" s="53"/>
      <c r="I1713" s="54"/>
    </row>
    <row r="1714" spans="2:9" s="1" customFormat="1" x14ac:dyDescent="0.2">
      <c r="B1714" s="55" t="str">
        <f t="shared" si="31"/>
        <v>2017-066-0</v>
      </c>
      <c r="C1714" s="56">
        <v>2017</v>
      </c>
      <c r="D1714" s="56" t="s">
        <v>95</v>
      </c>
      <c r="E1714" s="56">
        <v>0</v>
      </c>
      <c r="F1714" s="57" t="s">
        <v>294</v>
      </c>
      <c r="G1714" s="56"/>
      <c r="H1714" s="58"/>
      <c r="I1714" s="59"/>
    </row>
    <row r="1715" spans="2:9" s="1" customFormat="1" x14ac:dyDescent="0.2">
      <c r="B1715" s="44" t="str">
        <f t="shared" si="31"/>
        <v>2017-066-1</v>
      </c>
      <c r="C1715" s="45">
        <v>2017</v>
      </c>
      <c r="D1715" s="45" t="s">
        <v>95</v>
      </c>
      <c r="E1715" s="45">
        <v>1</v>
      </c>
      <c r="F1715" s="47" t="s">
        <v>683</v>
      </c>
      <c r="G1715" s="45"/>
      <c r="H1715" s="48"/>
      <c r="I1715" s="49"/>
    </row>
    <row r="1716" spans="2:9" s="1" customFormat="1" ht="27" x14ac:dyDescent="0.2">
      <c r="B1716" s="44" t="str">
        <f t="shared" si="31"/>
        <v>2017-066-2</v>
      </c>
      <c r="C1716" s="45">
        <v>2017</v>
      </c>
      <c r="D1716" s="45" t="s">
        <v>95</v>
      </c>
      <c r="E1716" s="45">
        <v>2</v>
      </c>
      <c r="F1716" s="47" t="s">
        <v>1083</v>
      </c>
      <c r="G1716" s="45" t="s">
        <v>3210</v>
      </c>
      <c r="H1716" s="48"/>
      <c r="I1716" s="49"/>
    </row>
    <row r="1717" spans="2:9" s="1" customFormat="1" ht="27" x14ac:dyDescent="0.2">
      <c r="B1717" s="44" t="str">
        <f t="shared" si="31"/>
        <v>2017-066-3</v>
      </c>
      <c r="C1717" s="45">
        <v>2017</v>
      </c>
      <c r="D1717" s="45" t="s">
        <v>95</v>
      </c>
      <c r="E1717" s="45">
        <v>3</v>
      </c>
      <c r="F1717" s="47" t="s">
        <v>1476</v>
      </c>
      <c r="G1717" s="45"/>
      <c r="H1717" s="48"/>
      <c r="I1717" s="49"/>
    </row>
    <row r="1718" spans="2:9" s="1" customFormat="1" ht="27" x14ac:dyDescent="0.2">
      <c r="B1718" s="44" t="str">
        <f t="shared" si="31"/>
        <v>2017-066-4</v>
      </c>
      <c r="C1718" s="45">
        <v>2017</v>
      </c>
      <c r="D1718" s="45" t="s">
        <v>95</v>
      </c>
      <c r="E1718" s="45">
        <v>4</v>
      </c>
      <c r="F1718" s="47" t="s">
        <v>1872</v>
      </c>
      <c r="G1718" s="45"/>
      <c r="H1718" s="48"/>
      <c r="I1718" s="49"/>
    </row>
    <row r="1719" spans="2:9" s="1" customFormat="1" ht="27" x14ac:dyDescent="0.2">
      <c r="B1719" s="50" t="str">
        <f t="shared" si="31"/>
        <v>2017-066-5</v>
      </c>
      <c r="C1719" s="51">
        <v>2017</v>
      </c>
      <c r="D1719" s="51" t="s">
        <v>95</v>
      </c>
      <c r="E1719" s="51">
        <v>5</v>
      </c>
      <c r="F1719" s="52" t="s">
        <v>2267</v>
      </c>
      <c r="G1719" s="51"/>
      <c r="H1719" s="53"/>
      <c r="I1719" s="54"/>
    </row>
    <row r="1720" spans="2:9" s="1" customFormat="1" x14ac:dyDescent="0.2">
      <c r="B1720" s="55" t="str">
        <f t="shared" si="31"/>
        <v>2017-067-0</v>
      </c>
      <c r="C1720" s="56">
        <v>2017</v>
      </c>
      <c r="D1720" s="56" t="s">
        <v>96</v>
      </c>
      <c r="E1720" s="56">
        <v>0</v>
      </c>
      <c r="F1720" s="57" t="s">
        <v>295</v>
      </c>
      <c r="G1720" s="56"/>
      <c r="H1720" s="58"/>
      <c r="I1720" s="59"/>
    </row>
    <row r="1721" spans="2:9" s="1" customFormat="1" x14ac:dyDescent="0.2">
      <c r="B1721" s="44" t="str">
        <f t="shared" si="31"/>
        <v>2017-067-1</v>
      </c>
      <c r="C1721" s="45">
        <v>2017</v>
      </c>
      <c r="D1721" s="45" t="s">
        <v>96</v>
      </c>
      <c r="E1721" s="45">
        <v>1</v>
      </c>
      <c r="F1721" s="47" t="s">
        <v>684</v>
      </c>
      <c r="G1721" s="45"/>
      <c r="H1721" s="48"/>
      <c r="I1721" s="49"/>
    </row>
    <row r="1722" spans="2:9" s="1" customFormat="1" ht="27" x14ac:dyDescent="0.2">
      <c r="B1722" s="44" t="str">
        <f t="shared" si="31"/>
        <v>2017-067-2</v>
      </c>
      <c r="C1722" s="45">
        <v>2017</v>
      </c>
      <c r="D1722" s="45" t="s">
        <v>96</v>
      </c>
      <c r="E1722" s="45">
        <v>2</v>
      </c>
      <c r="F1722" s="47" t="s">
        <v>1084</v>
      </c>
      <c r="G1722" s="45" t="s">
        <v>3210</v>
      </c>
      <c r="H1722" s="48"/>
      <c r="I1722" s="49"/>
    </row>
    <row r="1723" spans="2:9" s="1" customFormat="1" x14ac:dyDescent="0.2">
      <c r="B1723" s="44" t="str">
        <f t="shared" si="31"/>
        <v>2017-067-3</v>
      </c>
      <c r="C1723" s="45">
        <v>2017</v>
      </c>
      <c r="D1723" s="45" t="s">
        <v>96</v>
      </c>
      <c r="E1723" s="45">
        <v>3</v>
      </c>
      <c r="F1723" s="47" t="s">
        <v>1477</v>
      </c>
      <c r="G1723" s="45"/>
      <c r="H1723" s="48"/>
      <c r="I1723" s="49"/>
    </row>
    <row r="1724" spans="2:9" s="1" customFormat="1" x14ac:dyDescent="0.2">
      <c r="B1724" s="44" t="str">
        <f t="shared" si="31"/>
        <v>2017-067-4</v>
      </c>
      <c r="C1724" s="45">
        <v>2017</v>
      </c>
      <c r="D1724" s="45" t="s">
        <v>96</v>
      </c>
      <c r="E1724" s="45">
        <v>4</v>
      </c>
      <c r="F1724" s="47" t="s">
        <v>1873</v>
      </c>
      <c r="G1724" s="45"/>
      <c r="H1724" s="48"/>
      <c r="I1724" s="49"/>
    </row>
    <row r="1725" spans="2:9" s="1" customFormat="1" x14ac:dyDescent="0.2">
      <c r="B1725" s="50" t="str">
        <f t="shared" si="31"/>
        <v>2017-067-5</v>
      </c>
      <c r="C1725" s="51">
        <v>2017</v>
      </c>
      <c r="D1725" s="51" t="s">
        <v>96</v>
      </c>
      <c r="E1725" s="51">
        <v>5</v>
      </c>
      <c r="F1725" s="52" t="s">
        <v>2268</v>
      </c>
      <c r="G1725" s="51"/>
      <c r="H1725" s="53"/>
      <c r="I1725" s="54"/>
    </row>
    <row r="1726" spans="2:9" s="1" customFormat="1" x14ac:dyDescent="0.2">
      <c r="B1726" s="55" t="str">
        <f t="shared" si="31"/>
        <v>2017-068-0</v>
      </c>
      <c r="C1726" s="56">
        <v>2017</v>
      </c>
      <c r="D1726" s="56" t="s">
        <v>97</v>
      </c>
      <c r="E1726" s="56">
        <v>0</v>
      </c>
      <c r="F1726" s="57" t="s">
        <v>296</v>
      </c>
      <c r="G1726" s="56"/>
      <c r="H1726" s="58"/>
      <c r="I1726" s="59"/>
    </row>
    <row r="1727" spans="2:9" s="1" customFormat="1" x14ac:dyDescent="0.2">
      <c r="B1727" s="44" t="str">
        <f t="shared" si="31"/>
        <v>2017-068-1</v>
      </c>
      <c r="C1727" s="45">
        <v>2017</v>
      </c>
      <c r="D1727" s="45" t="s">
        <v>97</v>
      </c>
      <c r="E1727" s="45">
        <v>1</v>
      </c>
      <c r="F1727" s="47" t="s">
        <v>685</v>
      </c>
      <c r="G1727" s="45"/>
      <c r="H1727" s="48"/>
      <c r="I1727" s="49"/>
    </row>
    <row r="1728" spans="2:9" s="1" customFormat="1" x14ac:dyDescent="0.2">
      <c r="B1728" s="44" t="str">
        <f t="shared" si="31"/>
        <v>2017-068-2</v>
      </c>
      <c r="C1728" s="45">
        <v>2017</v>
      </c>
      <c r="D1728" s="45" t="s">
        <v>97</v>
      </c>
      <c r="E1728" s="45">
        <v>2</v>
      </c>
      <c r="F1728" s="47" t="s">
        <v>1085</v>
      </c>
      <c r="G1728" s="45"/>
      <c r="H1728" s="48"/>
      <c r="I1728" s="49"/>
    </row>
    <row r="1729" spans="2:9" s="1" customFormat="1" ht="27" x14ac:dyDescent="0.2">
      <c r="B1729" s="44" t="str">
        <f t="shared" si="31"/>
        <v>2017-068-3</v>
      </c>
      <c r="C1729" s="45">
        <v>2017</v>
      </c>
      <c r="D1729" s="45" t="s">
        <v>97</v>
      </c>
      <c r="E1729" s="45">
        <v>3</v>
      </c>
      <c r="F1729" s="47" t="s">
        <v>1478</v>
      </c>
      <c r="G1729" s="45" t="s">
        <v>3210</v>
      </c>
      <c r="H1729" s="48"/>
      <c r="I1729" s="49"/>
    </row>
    <row r="1730" spans="2:9" s="1" customFormat="1" x14ac:dyDescent="0.2">
      <c r="B1730" s="44" t="str">
        <f t="shared" si="31"/>
        <v>2017-068-4</v>
      </c>
      <c r="C1730" s="45">
        <v>2017</v>
      </c>
      <c r="D1730" s="45" t="s">
        <v>97</v>
      </c>
      <c r="E1730" s="45">
        <v>4</v>
      </c>
      <c r="F1730" s="47" t="s">
        <v>1874</v>
      </c>
      <c r="G1730" s="45"/>
      <c r="H1730" s="48"/>
      <c r="I1730" s="49"/>
    </row>
    <row r="1731" spans="2:9" s="1" customFormat="1" x14ac:dyDescent="0.2">
      <c r="B1731" s="50" t="str">
        <f t="shared" si="31"/>
        <v>2017-068-5</v>
      </c>
      <c r="C1731" s="51">
        <v>2017</v>
      </c>
      <c r="D1731" s="51" t="s">
        <v>97</v>
      </c>
      <c r="E1731" s="51">
        <v>5</v>
      </c>
      <c r="F1731" s="52" t="s">
        <v>2269</v>
      </c>
      <c r="G1731" s="51"/>
      <c r="H1731" s="53"/>
      <c r="I1731" s="54"/>
    </row>
    <row r="1732" spans="2:9" s="1" customFormat="1" x14ac:dyDescent="0.2">
      <c r="B1732" s="55" t="str">
        <f t="shared" si="31"/>
        <v>2017-069-0</v>
      </c>
      <c r="C1732" s="56">
        <v>2017</v>
      </c>
      <c r="D1732" s="56" t="s">
        <v>98</v>
      </c>
      <c r="E1732" s="56">
        <v>0</v>
      </c>
      <c r="F1732" s="57" t="s">
        <v>297</v>
      </c>
      <c r="G1732" s="56"/>
      <c r="H1732" s="58"/>
      <c r="I1732" s="59"/>
    </row>
    <row r="1733" spans="2:9" s="1" customFormat="1" x14ac:dyDescent="0.2">
      <c r="B1733" s="44" t="str">
        <f t="shared" si="31"/>
        <v>2017-069-1</v>
      </c>
      <c r="C1733" s="45">
        <v>2017</v>
      </c>
      <c r="D1733" s="45" t="s">
        <v>98</v>
      </c>
      <c r="E1733" s="45">
        <v>1</v>
      </c>
      <c r="F1733" s="47" t="s">
        <v>686</v>
      </c>
      <c r="G1733" s="45"/>
      <c r="H1733" s="48"/>
      <c r="I1733" s="49"/>
    </row>
    <row r="1734" spans="2:9" s="1" customFormat="1" x14ac:dyDescent="0.2">
      <c r="B1734" s="44" t="str">
        <f t="shared" si="31"/>
        <v>2017-069-2</v>
      </c>
      <c r="C1734" s="45">
        <v>2017</v>
      </c>
      <c r="D1734" s="45" t="s">
        <v>98</v>
      </c>
      <c r="E1734" s="45">
        <v>2</v>
      </c>
      <c r="F1734" s="47" t="s">
        <v>1086</v>
      </c>
      <c r="G1734" s="45"/>
      <c r="H1734" s="48"/>
      <c r="I1734" s="49"/>
    </row>
    <row r="1735" spans="2:9" s="1" customFormat="1" x14ac:dyDescent="0.2">
      <c r="B1735" s="44" t="str">
        <f t="shared" si="31"/>
        <v>2017-069-3</v>
      </c>
      <c r="C1735" s="45">
        <v>2017</v>
      </c>
      <c r="D1735" s="45" t="s">
        <v>98</v>
      </c>
      <c r="E1735" s="45">
        <v>3</v>
      </c>
      <c r="F1735" s="47" t="s">
        <v>1479</v>
      </c>
      <c r="G1735" s="45" t="s">
        <v>3210</v>
      </c>
      <c r="H1735" s="48"/>
      <c r="I1735" s="49"/>
    </row>
    <row r="1736" spans="2:9" s="1" customFormat="1" x14ac:dyDescent="0.2">
      <c r="B1736" s="44" t="str">
        <f t="shared" si="31"/>
        <v>2017-069-4</v>
      </c>
      <c r="C1736" s="45">
        <v>2017</v>
      </c>
      <c r="D1736" s="45" t="s">
        <v>98</v>
      </c>
      <c r="E1736" s="45">
        <v>4</v>
      </c>
      <c r="F1736" s="47" t="s">
        <v>752</v>
      </c>
      <c r="G1736" s="45"/>
      <c r="H1736" s="48"/>
      <c r="I1736" s="49"/>
    </row>
    <row r="1737" spans="2:9" s="1" customFormat="1" x14ac:dyDescent="0.2">
      <c r="B1737" s="50" t="str">
        <f t="shared" ref="B1737:B1773" si="32">C1737&amp;"-"&amp;D1737&amp;"-"&amp;E1737</f>
        <v>2017-069-5</v>
      </c>
      <c r="C1737" s="51">
        <v>2017</v>
      </c>
      <c r="D1737" s="51" t="s">
        <v>98</v>
      </c>
      <c r="E1737" s="51">
        <v>5</v>
      </c>
      <c r="F1737" s="52" t="s">
        <v>2270</v>
      </c>
      <c r="G1737" s="51"/>
      <c r="H1737" s="53"/>
      <c r="I1737" s="54"/>
    </row>
    <row r="1738" spans="2:9" s="1" customFormat="1" ht="27" x14ac:dyDescent="0.2">
      <c r="B1738" s="55" t="str">
        <f t="shared" si="32"/>
        <v>2017-070-0</v>
      </c>
      <c r="C1738" s="56">
        <v>2017</v>
      </c>
      <c r="D1738" s="56" t="s">
        <v>99</v>
      </c>
      <c r="E1738" s="56">
        <v>0</v>
      </c>
      <c r="F1738" s="57" t="s">
        <v>298</v>
      </c>
      <c r="G1738" s="56"/>
      <c r="H1738" s="58"/>
      <c r="I1738" s="59"/>
    </row>
    <row r="1739" spans="2:9" s="1" customFormat="1" ht="27" x14ac:dyDescent="0.2">
      <c r="B1739" s="44" t="str">
        <f t="shared" si="32"/>
        <v>2017-070-1</v>
      </c>
      <c r="C1739" s="45">
        <v>2017</v>
      </c>
      <c r="D1739" s="45" t="s">
        <v>99</v>
      </c>
      <c r="E1739" s="45">
        <v>1</v>
      </c>
      <c r="F1739" s="47" t="s">
        <v>687</v>
      </c>
      <c r="G1739" s="45"/>
      <c r="H1739" s="48"/>
      <c r="I1739" s="49"/>
    </row>
    <row r="1740" spans="2:9" s="1" customFormat="1" x14ac:dyDescent="0.2">
      <c r="B1740" s="44" t="str">
        <f t="shared" si="32"/>
        <v>2017-070-2</v>
      </c>
      <c r="C1740" s="45">
        <v>2017</v>
      </c>
      <c r="D1740" s="45" t="s">
        <v>99</v>
      </c>
      <c r="E1740" s="45">
        <v>2</v>
      </c>
      <c r="F1740" s="47" t="s">
        <v>1087</v>
      </c>
      <c r="G1740" s="45"/>
      <c r="H1740" s="48"/>
      <c r="I1740" s="49"/>
    </row>
    <row r="1741" spans="2:9" s="1" customFormat="1" x14ac:dyDescent="0.2">
      <c r="B1741" s="44" t="str">
        <f t="shared" si="32"/>
        <v>2017-070-3</v>
      </c>
      <c r="C1741" s="45">
        <v>2017</v>
      </c>
      <c r="D1741" s="45" t="s">
        <v>99</v>
      </c>
      <c r="E1741" s="45">
        <v>3</v>
      </c>
      <c r="F1741" s="47" t="s">
        <v>1480</v>
      </c>
      <c r="G1741" s="45"/>
      <c r="H1741" s="48"/>
      <c r="I1741" s="49"/>
    </row>
    <row r="1742" spans="2:9" s="1" customFormat="1" x14ac:dyDescent="0.2">
      <c r="B1742" s="44" t="str">
        <f t="shared" si="32"/>
        <v>2017-070-4</v>
      </c>
      <c r="C1742" s="45">
        <v>2017</v>
      </c>
      <c r="D1742" s="45" t="s">
        <v>99</v>
      </c>
      <c r="E1742" s="45">
        <v>4</v>
      </c>
      <c r="F1742" s="47" t="s">
        <v>1875</v>
      </c>
      <c r="G1742" s="45"/>
      <c r="H1742" s="48"/>
      <c r="I1742" s="49"/>
    </row>
    <row r="1743" spans="2:9" s="1" customFormat="1" ht="27" x14ac:dyDescent="0.2">
      <c r="B1743" s="50" t="str">
        <f t="shared" si="32"/>
        <v>2017-070-5</v>
      </c>
      <c r="C1743" s="51">
        <v>2017</v>
      </c>
      <c r="D1743" s="51" t="s">
        <v>99</v>
      </c>
      <c r="E1743" s="51">
        <v>5</v>
      </c>
      <c r="F1743" s="52" t="s">
        <v>2271</v>
      </c>
      <c r="G1743" s="51" t="s">
        <v>3210</v>
      </c>
      <c r="H1743" s="53"/>
      <c r="I1743" s="54"/>
    </row>
    <row r="1744" spans="2:9" s="1" customFormat="1" x14ac:dyDescent="0.2">
      <c r="B1744" s="55" t="str">
        <f t="shared" si="32"/>
        <v>2017-071-0</v>
      </c>
      <c r="C1744" s="56">
        <v>2017</v>
      </c>
      <c r="D1744" s="56" t="s">
        <v>100</v>
      </c>
      <c r="E1744" s="56">
        <v>0</v>
      </c>
      <c r="F1744" s="57" t="s">
        <v>299</v>
      </c>
      <c r="G1744" s="56"/>
      <c r="H1744" s="58"/>
      <c r="I1744" s="59"/>
    </row>
    <row r="1745" spans="2:9" s="1" customFormat="1" x14ac:dyDescent="0.2">
      <c r="B1745" s="44" t="str">
        <f t="shared" si="32"/>
        <v>2017-071-1</v>
      </c>
      <c r="C1745" s="45">
        <v>2017</v>
      </c>
      <c r="D1745" s="45" t="s">
        <v>100</v>
      </c>
      <c r="E1745" s="45">
        <v>1</v>
      </c>
      <c r="F1745" s="47" t="s">
        <v>688</v>
      </c>
      <c r="G1745" s="45" t="s">
        <v>3210</v>
      </c>
      <c r="H1745" s="48"/>
      <c r="I1745" s="49"/>
    </row>
    <row r="1746" spans="2:9" s="1" customFormat="1" x14ac:dyDescent="0.2">
      <c r="B1746" s="44" t="str">
        <f t="shared" si="32"/>
        <v>2017-071-2</v>
      </c>
      <c r="C1746" s="45">
        <v>2017</v>
      </c>
      <c r="D1746" s="45" t="s">
        <v>100</v>
      </c>
      <c r="E1746" s="45">
        <v>2</v>
      </c>
      <c r="F1746" s="47" t="s">
        <v>1088</v>
      </c>
      <c r="G1746" s="45"/>
      <c r="H1746" s="48"/>
      <c r="I1746" s="49"/>
    </row>
    <row r="1747" spans="2:9" s="1" customFormat="1" x14ac:dyDescent="0.2">
      <c r="B1747" s="44" t="str">
        <f t="shared" si="32"/>
        <v>2017-071-3</v>
      </c>
      <c r="C1747" s="45">
        <v>2017</v>
      </c>
      <c r="D1747" s="45" t="s">
        <v>100</v>
      </c>
      <c r="E1747" s="45">
        <v>3</v>
      </c>
      <c r="F1747" s="47" t="s">
        <v>1481</v>
      </c>
      <c r="G1747" s="45"/>
      <c r="H1747" s="48"/>
      <c r="I1747" s="49"/>
    </row>
    <row r="1748" spans="2:9" s="1" customFormat="1" x14ac:dyDescent="0.2">
      <c r="B1748" s="44" t="str">
        <f t="shared" si="32"/>
        <v>2017-071-4</v>
      </c>
      <c r="C1748" s="45">
        <v>2017</v>
      </c>
      <c r="D1748" s="45" t="s">
        <v>100</v>
      </c>
      <c r="E1748" s="45">
        <v>4</v>
      </c>
      <c r="F1748" s="47" t="s">
        <v>1876</v>
      </c>
      <c r="G1748" s="45"/>
      <c r="H1748" s="48"/>
      <c r="I1748" s="49"/>
    </row>
    <row r="1749" spans="2:9" s="1" customFormat="1" x14ac:dyDescent="0.2">
      <c r="B1749" s="50" t="str">
        <f t="shared" si="32"/>
        <v>2017-071-5</v>
      </c>
      <c r="C1749" s="51">
        <v>2017</v>
      </c>
      <c r="D1749" s="51" t="s">
        <v>100</v>
      </c>
      <c r="E1749" s="51">
        <v>5</v>
      </c>
      <c r="F1749" s="52" t="s">
        <v>2272</v>
      </c>
      <c r="G1749" s="51"/>
      <c r="H1749" s="53"/>
      <c r="I1749" s="54"/>
    </row>
    <row r="1750" spans="2:9" s="1" customFormat="1" ht="27" x14ac:dyDescent="0.2">
      <c r="B1750" s="55" t="str">
        <f t="shared" si="32"/>
        <v>2017-072-0</v>
      </c>
      <c r="C1750" s="56">
        <v>2017</v>
      </c>
      <c r="D1750" s="56" t="s">
        <v>101</v>
      </c>
      <c r="E1750" s="56">
        <v>0</v>
      </c>
      <c r="F1750" s="57" t="s">
        <v>300</v>
      </c>
      <c r="G1750" s="56"/>
      <c r="H1750" s="58"/>
      <c r="I1750" s="59"/>
    </row>
    <row r="1751" spans="2:9" s="1" customFormat="1" x14ac:dyDescent="0.2">
      <c r="B1751" s="44" t="str">
        <f t="shared" si="32"/>
        <v>2017-072-1</v>
      </c>
      <c r="C1751" s="45">
        <v>2017</v>
      </c>
      <c r="D1751" s="45" t="s">
        <v>101</v>
      </c>
      <c r="E1751" s="45">
        <v>1</v>
      </c>
      <c r="F1751" s="47" t="s">
        <v>689</v>
      </c>
      <c r="G1751" s="45"/>
      <c r="H1751" s="48"/>
      <c r="I1751" s="49"/>
    </row>
    <row r="1752" spans="2:9" s="1" customFormat="1" x14ac:dyDescent="0.2">
      <c r="B1752" s="44" t="str">
        <f t="shared" si="32"/>
        <v>2017-072-2</v>
      </c>
      <c r="C1752" s="45">
        <v>2017</v>
      </c>
      <c r="D1752" s="45" t="s">
        <v>101</v>
      </c>
      <c r="E1752" s="45">
        <v>2</v>
      </c>
      <c r="F1752" s="47" t="s">
        <v>1089</v>
      </c>
      <c r="G1752" s="45"/>
      <c r="H1752" s="48"/>
      <c r="I1752" s="49"/>
    </row>
    <row r="1753" spans="2:9" s="1" customFormat="1" x14ac:dyDescent="0.2">
      <c r="B1753" s="44" t="str">
        <f t="shared" si="32"/>
        <v>2017-072-3</v>
      </c>
      <c r="C1753" s="45">
        <v>2017</v>
      </c>
      <c r="D1753" s="45" t="s">
        <v>101</v>
      </c>
      <c r="E1753" s="45">
        <v>3</v>
      </c>
      <c r="F1753" s="47" t="s">
        <v>1482</v>
      </c>
      <c r="G1753" s="45" t="s">
        <v>3210</v>
      </c>
      <c r="H1753" s="48"/>
      <c r="I1753" s="49"/>
    </row>
    <row r="1754" spans="2:9" s="1" customFormat="1" x14ac:dyDescent="0.2">
      <c r="B1754" s="44" t="str">
        <f t="shared" si="32"/>
        <v>2017-072-4</v>
      </c>
      <c r="C1754" s="45">
        <v>2017</v>
      </c>
      <c r="D1754" s="45" t="s">
        <v>101</v>
      </c>
      <c r="E1754" s="45">
        <v>4</v>
      </c>
      <c r="F1754" s="47" t="s">
        <v>1877</v>
      </c>
      <c r="G1754" s="45"/>
      <c r="H1754" s="48"/>
      <c r="I1754" s="49"/>
    </row>
    <row r="1755" spans="2:9" s="1" customFormat="1" x14ac:dyDescent="0.2">
      <c r="B1755" s="50" t="str">
        <f t="shared" si="32"/>
        <v>2017-072-5</v>
      </c>
      <c r="C1755" s="51">
        <v>2017</v>
      </c>
      <c r="D1755" s="51" t="s">
        <v>101</v>
      </c>
      <c r="E1755" s="51">
        <v>5</v>
      </c>
      <c r="F1755" s="52" t="s">
        <v>2273</v>
      </c>
      <c r="G1755" s="51"/>
      <c r="H1755" s="53"/>
      <c r="I1755" s="54"/>
    </row>
    <row r="1756" spans="2:9" s="1" customFormat="1" x14ac:dyDescent="0.2">
      <c r="B1756" s="55" t="str">
        <f t="shared" si="32"/>
        <v>2017-073-0</v>
      </c>
      <c r="C1756" s="56">
        <v>2017</v>
      </c>
      <c r="D1756" s="56" t="s">
        <v>102</v>
      </c>
      <c r="E1756" s="56">
        <v>0</v>
      </c>
      <c r="F1756" s="57" t="s">
        <v>276</v>
      </c>
      <c r="G1756" s="56"/>
      <c r="H1756" s="58"/>
      <c r="I1756" s="59"/>
    </row>
    <row r="1757" spans="2:9" s="1" customFormat="1" x14ac:dyDescent="0.2">
      <c r="B1757" s="44" t="str">
        <f t="shared" si="32"/>
        <v>2017-073-1</v>
      </c>
      <c r="C1757" s="45">
        <v>2017</v>
      </c>
      <c r="D1757" s="45" t="s">
        <v>102</v>
      </c>
      <c r="E1757" s="45">
        <v>1</v>
      </c>
      <c r="F1757" s="47" t="s">
        <v>690</v>
      </c>
      <c r="G1757" s="45"/>
      <c r="H1757" s="48"/>
      <c r="I1757" s="49"/>
    </row>
    <row r="1758" spans="2:9" s="1" customFormat="1" x14ac:dyDescent="0.2">
      <c r="B1758" s="44" t="str">
        <f t="shared" si="32"/>
        <v>2017-073-2</v>
      </c>
      <c r="C1758" s="45">
        <v>2017</v>
      </c>
      <c r="D1758" s="45" t="s">
        <v>102</v>
      </c>
      <c r="E1758" s="45">
        <v>2</v>
      </c>
      <c r="F1758" s="47" t="s">
        <v>1090</v>
      </c>
      <c r="G1758" s="45"/>
      <c r="H1758" s="48"/>
      <c r="I1758" s="49"/>
    </row>
    <row r="1759" spans="2:9" s="1" customFormat="1" ht="27" x14ac:dyDescent="0.2">
      <c r="B1759" s="44" t="str">
        <f t="shared" si="32"/>
        <v>2017-073-3</v>
      </c>
      <c r="C1759" s="45">
        <v>2017</v>
      </c>
      <c r="D1759" s="45" t="s">
        <v>102</v>
      </c>
      <c r="E1759" s="45">
        <v>3</v>
      </c>
      <c r="F1759" s="47" t="s">
        <v>1483</v>
      </c>
      <c r="G1759" s="45" t="s">
        <v>3210</v>
      </c>
      <c r="H1759" s="48"/>
      <c r="I1759" s="49"/>
    </row>
    <row r="1760" spans="2:9" s="1" customFormat="1" x14ac:dyDescent="0.2">
      <c r="B1760" s="44" t="str">
        <f t="shared" si="32"/>
        <v>2017-073-4</v>
      </c>
      <c r="C1760" s="45">
        <v>2017</v>
      </c>
      <c r="D1760" s="45" t="s">
        <v>102</v>
      </c>
      <c r="E1760" s="45">
        <v>4</v>
      </c>
      <c r="F1760" s="47" t="s">
        <v>1878</v>
      </c>
      <c r="G1760" s="45"/>
      <c r="H1760" s="48"/>
      <c r="I1760" s="49"/>
    </row>
    <row r="1761" spans="2:9" s="1" customFormat="1" x14ac:dyDescent="0.2">
      <c r="B1761" s="50" t="str">
        <f t="shared" si="32"/>
        <v>2017-073-5</v>
      </c>
      <c r="C1761" s="51">
        <v>2017</v>
      </c>
      <c r="D1761" s="51" t="s">
        <v>102</v>
      </c>
      <c r="E1761" s="51">
        <v>5</v>
      </c>
      <c r="F1761" s="52" t="s">
        <v>2274</v>
      </c>
      <c r="G1761" s="51"/>
      <c r="H1761" s="53"/>
      <c r="I1761" s="54"/>
    </row>
    <row r="1762" spans="2:9" s="1" customFormat="1" x14ac:dyDescent="0.2">
      <c r="B1762" s="55" t="str">
        <f t="shared" si="32"/>
        <v>2017-074-0</v>
      </c>
      <c r="C1762" s="56">
        <v>2017</v>
      </c>
      <c r="D1762" s="56" t="s">
        <v>103</v>
      </c>
      <c r="E1762" s="56">
        <v>0</v>
      </c>
      <c r="F1762" s="57" t="s">
        <v>301</v>
      </c>
      <c r="G1762" s="56"/>
      <c r="H1762" s="58"/>
      <c r="I1762" s="59"/>
    </row>
    <row r="1763" spans="2:9" s="1" customFormat="1" x14ac:dyDescent="0.2">
      <c r="B1763" s="44" t="str">
        <f t="shared" si="32"/>
        <v>2017-074-1</v>
      </c>
      <c r="C1763" s="45">
        <v>2017</v>
      </c>
      <c r="D1763" s="45" t="s">
        <v>103</v>
      </c>
      <c r="E1763" s="45">
        <v>1</v>
      </c>
      <c r="F1763" s="47" t="s">
        <v>691</v>
      </c>
      <c r="G1763" s="45"/>
      <c r="H1763" s="48"/>
      <c r="I1763" s="49"/>
    </row>
    <row r="1764" spans="2:9" s="1" customFormat="1" x14ac:dyDescent="0.2">
      <c r="B1764" s="44" t="str">
        <f t="shared" si="32"/>
        <v>2017-074-2</v>
      </c>
      <c r="C1764" s="45">
        <v>2017</v>
      </c>
      <c r="D1764" s="45" t="s">
        <v>103</v>
      </c>
      <c r="E1764" s="45">
        <v>2</v>
      </c>
      <c r="F1764" s="47" t="s">
        <v>1091</v>
      </c>
      <c r="G1764" s="45"/>
      <c r="H1764" s="48"/>
      <c r="I1764" s="49"/>
    </row>
    <row r="1765" spans="2:9" s="1" customFormat="1" ht="27" x14ac:dyDescent="0.2">
      <c r="B1765" s="44" t="str">
        <f t="shared" si="32"/>
        <v>2017-074-3</v>
      </c>
      <c r="C1765" s="45">
        <v>2017</v>
      </c>
      <c r="D1765" s="45" t="s">
        <v>103</v>
      </c>
      <c r="E1765" s="45">
        <v>3</v>
      </c>
      <c r="F1765" s="47" t="s">
        <v>1484</v>
      </c>
      <c r="G1765" s="45"/>
      <c r="H1765" s="48"/>
      <c r="I1765" s="49"/>
    </row>
    <row r="1766" spans="2:9" s="1" customFormat="1" x14ac:dyDescent="0.2">
      <c r="B1766" s="44" t="str">
        <f t="shared" si="32"/>
        <v>2017-074-4</v>
      </c>
      <c r="C1766" s="45">
        <v>2017</v>
      </c>
      <c r="D1766" s="45" t="s">
        <v>103</v>
      </c>
      <c r="E1766" s="45">
        <v>4</v>
      </c>
      <c r="F1766" s="47" t="s">
        <v>1879</v>
      </c>
      <c r="G1766" s="45"/>
      <c r="H1766" s="48"/>
      <c r="I1766" s="49"/>
    </row>
    <row r="1767" spans="2:9" s="1" customFormat="1" x14ac:dyDescent="0.2">
      <c r="B1767" s="50" t="str">
        <f t="shared" si="32"/>
        <v>2017-074-5</v>
      </c>
      <c r="C1767" s="51">
        <v>2017</v>
      </c>
      <c r="D1767" s="51" t="s">
        <v>103</v>
      </c>
      <c r="E1767" s="51">
        <v>5</v>
      </c>
      <c r="F1767" s="52" t="s">
        <v>2275</v>
      </c>
      <c r="G1767" s="51" t="s">
        <v>3210</v>
      </c>
      <c r="H1767" s="53"/>
      <c r="I1767" s="54"/>
    </row>
    <row r="1768" spans="2:9" s="1" customFormat="1" x14ac:dyDescent="0.2">
      <c r="B1768" s="55" t="str">
        <f t="shared" si="32"/>
        <v>2017-075-0</v>
      </c>
      <c r="C1768" s="56">
        <v>2017</v>
      </c>
      <c r="D1768" s="56" t="s">
        <v>104</v>
      </c>
      <c r="E1768" s="56">
        <v>0</v>
      </c>
      <c r="F1768" s="57" t="s">
        <v>302</v>
      </c>
      <c r="G1768" s="56"/>
      <c r="H1768" s="58"/>
      <c r="I1768" s="59"/>
    </row>
    <row r="1769" spans="2:9" s="1" customFormat="1" x14ac:dyDescent="0.2">
      <c r="B1769" s="44" t="str">
        <f t="shared" si="32"/>
        <v>2017-075-1</v>
      </c>
      <c r="C1769" s="45">
        <v>2017</v>
      </c>
      <c r="D1769" s="45" t="s">
        <v>104</v>
      </c>
      <c r="E1769" s="45">
        <v>1</v>
      </c>
      <c r="F1769" s="47" t="s">
        <v>692</v>
      </c>
      <c r="G1769" s="45"/>
      <c r="H1769" s="48"/>
      <c r="I1769" s="49"/>
    </row>
    <row r="1770" spans="2:9" s="1" customFormat="1" x14ac:dyDescent="0.2">
      <c r="B1770" s="44" t="str">
        <f t="shared" si="32"/>
        <v>2017-075-2</v>
      </c>
      <c r="C1770" s="45">
        <v>2017</v>
      </c>
      <c r="D1770" s="45" t="s">
        <v>104</v>
      </c>
      <c r="E1770" s="45">
        <v>2</v>
      </c>
      <c r="F1770" s="47" t="s">
        <v>1092</v>
      </c>
      <c r="G1770" s="45"/>
      <c r="H1770" s="48"/>
      <c r="I1770" s="49"/>
    </row>
    <row r="1771" spans="2:9" s="1" customFormat="1" x14ac:dyDescent="0.2">
      <c r="B1771" s="44" t="str">
        <f t="shared" si="32"/>
        <v>2017-075-3</v>
      </c>
      <c r="C1771" s="45">
        <v>2017</v>
      </c>
      <c r="D1771" s="45" t="s">
        <v>104</v>
      </c>
      <c r="E1771" s="45">
        <v>3</v>
      </c>
      <c r="F1771" s="47" t="s">
        <v>1485</v>
      </c>
      <c r="G1771" s="45" t="s">
        <v>3210</v>
      </c>
      <c r="H1771" s="48"/>
      <c r="I1771" s="49"/>
    </row>
    <row r="1772" spans="2:9" s="1" customFormat="1" ht="27" x14ac:dyDescent="0.2">
      <c r="B1772" s="44" t="str">
        <f t="shared" si="32"/>
        <v>2017-075-4</v>
      </c>
      <c r="C1772" s="45">
        <v>2017</v>
      </c>
      <c r="D1772" s="45" t="s">
        <v>104</v>
      </c>
      <c r="E1772" s="45">
        <v>4</v>
      </c>
      <c r="F1772" s="47" t="s">
        <v>1880</v>
      </c>
      <c r="G1772" s="45"/>
      <c r="H1772" s="48"/>
      <c r="I1772" s="49"/>
    </row>
    <row r="1773" spans="2:9" s="1" customFormat="1" ht="14.25" thickBot="1" x14ac:dyDescent="0.25">
      <c r="B1773" s="60" t="str">
        <f t="shared" si="32"/>
        <v>2017-075-5</v>
      </c>
      <c r="C1773" s="61">
        <v>2017</v>
      </c>
      <c r="D1773" s="61" t="s">
        <v>104</v>
      </c>
      <c r="E1773" s="61">
        <v>5</v>
      </c>
      <c r="F1773" s="62" t="s">
        <v>2276</v>
      </c>
      <c r="G1773" s="61"/>
      <c r="H1773" s="63"/>
      <c r="I1773" s="64"/>
    </row>
    <row r="1774" spans="2:9" s="1" customFormat="1" x14ac:dyDescent="0.2">
      <c r="B1774" s="38" t="str">
        <f t="shared" ref="B1774" si="33">C1774&amp;"-"&amp;D1774&amp;"-"&amp;E1774</f>
        <v>2016-051-0</v>
      </c>
      <c r="C1774" s="39">
        <v>2016</v>
      </c>
      <c r="D1774" s="39" t="s">
        <v>80</v>
      </c>
      <c r="E1774" s="39">
        <v>0</v>
      </c>
      <c r="F1774" s="41" t="s">
        <v>110</v>
      </c>
      <c r="G1774" s="39"/>
      <c r="H1774" s="42"/>
      <c r="I1774" s="43"/>
    </row>
    <row r="1775" spans="2:9" s="1" customFormat="1" x14ac:dyDescent="0.2">
      <c r="B1775" s="44" t="str">
        <f t="shared" ref="B1775:B1838" si="34">C1775&amp;"-"&amp;D1775&amp;"-"&amp;E1775</f>
        <v>2016-051-1</v>
      </c>
      <c r="C1775" s="45">
        <v>2016</v>
      </c>
      <c r="D1775" s="45" t="s">
        <v>80</v>
      </c>
      <c r="E1775" s="45">
        <v>1</v>
      </c>
      <c r="F1775" s="47" t="s">
        <v>693</v>
      </c>
      <c r="G1775" s="45"/>
      <c r="H1775" s="48"/>
      <c r="I1775" s="49"/>
    </row>
    <row r="1776" spans="2:9" s="1" customFormat="1" x14ac:dyDescent="0.2">
      <c r="B1776" s="44" t="str">
        <f t="shared" si="34"/>
        <v>2016-051-2</v>
      </c>
      <c r="C1776" s="45">
        <v>2016</v>
      </c>
      <c r="D1776" s="45" t="s">
        <v>80</v>
      </c>
      <c r="E1776" s="45">
        <v>2</v>
      </c>
      <c r="F1776" s="47" t="s">
        <v>1093</v>
      </c>
      <c r="G1776" s="45" t="s">
        <v>3210</v>
      </c>
      <c r="H1776" s="48"/>
      <c r="I1776" s="49"/>
    </row>
    <row r="1777" spans="2:9" s="1" customFormat="1" x14ac:dyDescent="0.2">
      <c r="B1777" s="44" t="str">
        <f t="shared" si="34"/>
        <v>2016-051-3</v>
      </c>
      <c r="C1777" s="45">
        <v>2016</v>
      </c>
      <c r="D1777" s="45" t="s">
        <v>80</v>
      </c>
      <c r="E1777" s="45">
        <v>3</v>
      </c>
      <c r="F1777" s="47" t="s">
        <v>1486</v>
      </c>
      <c r="G1777" s="45"/>
      <c r="H1777" s="48"/>
      <c r="I1777" s="49"/>
    </row>
    <row r="1778" spans="2:9" s="1" customFormat="1" x14ac:dyDescent="0.2">
      <c r="B1778" s="44" t="str">
        <f t="shared" si="34"/>
        <v>2016-051-4</v>
      </c>
      <c r="C1778" s="45">
        <v>2016</v>
      </c>
      <c r="D1778" s="45" t="s">
        <v>80</v>
      </c>
      <c r="E1778" s="45">
        <v>4</v>
      </c>
      <c r="F1778" s="47" t="s">
        <v>1881</v>
      </c>
      <c r="G1778" s="45"/>
      <c r="H1778" s="48"/>
      <c r="I1778" s="49"/>
    </row>
    <row r="1779" spans="2:9" s="1" customFormat="1" x14ac:dyDescent="0.2">
      <c r="B1779" s="50" t="str">
        <f t="shared" si="34"/>
        <v>2016-051-5</v>
      </c>
      <c r="C1779" s="51">
        <v>2016</v>
      </c>
      <c r="D1779" s="51" t="s">
        <v>80</v>
      </c>
      <c r="E1779" s="51">
        <v>5</v>
      </c>
      <c r="F1779" s="52" t="s">
        <v>2277</v>
      </c>
      <c r="G1779" s="51"/>
      <c r="H1779" s="53"/>
      <c r="I1779" s="54"/>
    </row>
    <row r="1780" spans="2:9" s="1" customFormat="1" x14ac:dyDescent="0.2">
      <c r="B1780" s="55" t="str">
        <f t="shared" si="34"/>
        <v>2016-052-0</v>
      </c>
      <c r="C1780" s="56">
        <v>2016</v>
      </c>
      <c r="D1780" s="56" t="s">
        <v>81</v>
      </c>
      <c r="E1780" s="56">
        <v>0</v>
      </c>
      <c r="F1780" s="57" t="s">
        <v>303</v>
      </c>
      <c r="G1780" s="56"/>
      <c r="H1780" s="58"/>
      <c r="I1780" s="59"/>
    </row>
    <row r="1781" spans="2:9" s="1" customFormat="1" x14ac:dyDescent="0.2">
      <c r="B1781" s="44" t="str">
        <f t="shared" si="34"/>
        <v>2016-052-1</v>
      </c>
      <c r="C1781" s="45">
        <v>2016</v>
      </c>
      <c r="D1781" s="45" t="s">
        <v>81</v>
      </c>
      <c r="E1781" s="45">
        <v>1</v>
      </c>
      <c r="F1781" s="47" t="s">
        <v>694</v>
      </c>
      <c r="G1781" s="45"/>
      <c r="H1781" s="48"/>
      <c r="I1781" s="49"/>
    </row>
    <row r="1782" spans="2:9" s="1" customFormat="1" x14ac:dyDescent="0.2">
      <c r="B1782" s="44" t="str">
        <f t="shared" si="34"/>
        <v>2016-052-2</v>
      </c>
      <c r="C1782" s="45">
        <v>2016</v>
      </c>
      <c r="D1782" s="45" t="s">
        <v>81</v>
      </c>
      <c r="E1782" s="45">
        <v>2</v>
      </c>
      <c r="F1782" s="47" t="s">
        <v>1094</v>
      </c>
      <c r="G1782" s="45"/>
      <c r="H1782" s="48"/>
      <c r="I1782" s="49"/>
    </row>
    <row r="1783" spans="2:9" s="1" customFormat="1" ht="27" x14ac:dyDescent="0.2">
      <c r="B1783" s="44" t="str">
        <f t="shared" si="34"/>
        <v>2016-052-3</v>
      </c>
      <c r="C1783" s="45">
        <v>2016</v>
      </c>
      <c r="D1783" s="45" t="s">
        <v>81</v>
      </c>
      <c r="E1783" s="45">
        <v>3</v>
      </c>
      <c r="F1783" s="47" t="s">
        <v>1487</v>
      </c>
      <c r="G1783" s="45"/>
      <c r="H1783" s="48"/>
      <c r="I1783" s="49"/>
    </row>
    <row r="1784" spans="2:9" s="1" customFormat="1" x14ac:dyDescent="0.2">
      <c r="B1784" s="44" t="str">
        <f t="shared" si="34"/>
        <v>2016-052-4</v>
      </c>
      <c r="C1784" s="45">
        <v>2016</v>
      </c>
      <c r="D1784" s="45" t="s">
        <v>81</v>
      </c>
      <c r="E1784" s="45">
        <v>4</v>
      </c>
      <c r="F1784" s="47" t="s">
        <v>1882</v>
      </c>
      <c r="G1784" s="45"/>
      <c r="H1784" s="48"/>
      <c r="I1784" s="49"/>
    </row>
    <row r="1785" spans="2:9" s="1" customFormat="1" ht="27" x14ac:dyDescent="0.2">
      <c r="B1785" s="50" t="str">
        <f t="shared" si="34"/>
        <v>2016-052-5</v>
      </c>
      <c r="C1785" s="51">
        <v>2016</v>
      </c>
      <c r="D1785" s="51" t="s">
        <v>81</v>
      </c>
      <c r="E1785" s="51">
        <v>5</v>
      </c>
      <c r="F1785" s="52" t="s">
        <v>2278</v>
      </c>
      <c r="G1785" s="51" t="s">
        <v>3210</v>
      </c>
      <c r="H1785" s="53"/>
      <c r="I1785" s="54"/>
    </row>
    <row r="1786" spans="2:9" s="1" customFormat="1" x14ac:dyDescent="0.2">
      <c r="B1786" s="55" t="str">
        <f t="shared" si="34"/>
        <v>2016-053-0</v>
      </c>
      <c r="C1786" s="56">
        <v>2016</v>
      </c>
      <c r="D1786" s="56" t="s">
        <v>82</v>
      </c>
      <c r="E1786" s="56">
        <v>0</v>
      </c>
      <c r="F1786" s="57" t="s">
        <v>304</v>
      </c>
      <c r="G1786" s="56"/>
      <c r="H1786" s="58"/>
      <c r="I1786" s="59"/>
    </row>
    <row r="1787" spans="2:9" s="1" customFormat="1" x14ac:dyDescent="0.2">
      <c r="B1787" s="44" t="str">
        <f t="shared" si="34"/>
        <v>2016-053-1</v>
      </c>
      <c r="C1787" s="45">
        <v>2016</v>
      </c>
      <c r="D1787" s="45" t="s">
        <v>82</v>
      </c>
      <c r="E1787" s="45">
        <v>1</v>
      </c>
      <c r="F1787" s="47" t="s">
        <v>695</v>
      </c>
      <c r="G1787" s="45"/>
      <c r="H1787" s="48"/>
      <c r="I1787" s="49"/>
    </row>
    <row r="1788" spans="2:9" s="1" customFormat="1" x14ac:dyDescent="0.2">
      <c r="B1788" s="44" t="str">
        <f t="shared" si="34"/>
        <v>2016-053-2</v>
      </c>
      <c r="C1788" s="45">
        <v>2016</v>
      </c>
      <c r="D1788" s="45" t="s">
        <v>82</v>
      </c>
      <c r="E1788" s="45">
        <v>2</v>
      </c>
      <c r="F1788" s="47" t="s">
        <v>1095</v>
      </c>
      <c r="G1788" s="45" t="s">
        <v>3210</v>
      </c>
      <c r="H1788" s="48"/>
      <c r="I1788" s="49"/>
    </row>
    <row r="1789" spans="2:9" s="1" customFormat="1" x14ac:dyDescent="0.2">
      <c r="B1789" s="44" t="str">
        <f t="shared" si="34"/>
        <v>2016-053-3</v>
      </c>
      <c r="C1789" s="45">
        <v>2016</v>
      </c>
      <c r="D1789" s="45" t="s">
        <v>82</v>
      </c>
      <c r="E1789" s="45">
        <v>3</v>
      </c>
      <c r="F1789" s="47" t="s">
        <v>1488</v>
      </c>
      <c r="G1789" s="45"/>
      <c r="H1789" s="48"/>
      <c r="I1789" s="49"/>
    </row>
    <row r="1790" spans="2:9" s="1" customFormat="1" x14ac:dyDescent="0.2">
      <c r="B1790" s="44" t="str">
        <f t="shared" si="34"/>
        <v>2016-053-4</v>
      </c>
      <c r="C1790" s="45">
        <v>2016</v>
      </c>
      <c r="D1790" s="45" t="s">
        <v>82</v>
      </c>
      <c r="E1790" s="45">
        <v>4</v>
      </c>
      <c r="F1790" s="47" t="s">
        <v>1883</v>
      </c>
      <c r="G1790" s="45"/>
      <c r="H1790" s="48"/>
      <c r="I1790" s="49"/>
    </row>
    <row r="1791" spans="2:9" s="1" customFormat="1" x14ac:dyDescent="0.2">
      <c r="B1791" s="50" t="str">
        <f t="shared" si="34"/>
        <v>2016-053-5</v>
      </c>
      <c r="C1791" s="51">
        <v>2016</v>
      </c>
      <c r="D1791" s="51" t="s">
        <v>82</v>
      </c>
      <c r="E1791" s="51">
        <v>5</v>
      </c>
      <c r="F1791" s="52" t="s">
        <v>2279</v>
      </c>
      <c r="G1791" s="51"/>
      <c r="H1791" s="53"/>
      <c r="I1791" s="54"/>
    </row>
    <row r="1792" spans="2:9" s="1" customFormat="1" x14ac:dyDescent="0.2">
      <c r="B1792" s="55" t="str">
        <f t="shared" si="34"/>
        <v>2016-054-0</v>
      </c>
      <c r="C1792" s="56">
        <v>2016</v>
      </c>
      <c r="D1792" s="56" t="s">
        <v>83</v>
      </c>
      <c r="E1792" s="56">
        <v>0</v>
      </c>
      <c r="F1792" s="57" t="s">
        <v>305</v>
      </c>
      <c r="G1792" s="56"/>
      <c r="H1792" s="58"/>
      <c r="I1792" s="59"/>
    </row>
    <row r="1793" spans="2:9" s="1" customFormat="1" x14ac:dyDescent="0.2">
      <c r="B1793" s="44" t="str">
        <f t="shared" si="34"/>
        <v>2016-054-1</v>
      </c>
      <c r="C1793" s="45">
        <v>2016</v>
      </c>
      <c r="D1793" s="45" t="s">
        <v>83</v>
      </c>
      <c r="E1793" s="45">
        <v>1</v>
      </c>
      <c r="F1793" s="47" t="s">
        <v>696</v>
      </c>
      <c r="G1793" s="45" t="s">
        <v>3210</v>
      </c>
      <c r="H1793" s="48"/>
      <c r="I1793" s="49"/>
    </row>
    <row r="1794" spans="2:9" s="1" customFormat="1" x14ac:dyDescent="0.2">
      <c r="B1794" s="44" t="str">
        <f t="shared" si="34"/>
        <v>2016-054-2</v>
      </c>
      <c r="C1794" s="45">
        <v>2016</v>
      </c>
      <c r="D1794" s="45" t="s">
        <v>83</v>
      </c>
      <c r="E1794" s="45">
        <v>2</v>
      </c>
      <c r="F1794" s="47" t="s">
        <v>1096</v>
      </c>
      <c r="G1794" s="45"/>
      <c r="H1794" s="48"/>
      <c r="I1794" s="49"/>
    </row>
    <row r="1795" spans="2:9" s="1" customFormat="1" x14ac:dyDescent="0.2">
      <c r="B1795" s="44" t="str">
        <f t="shared" si="34"/>
        <v>2016-054-3</v>
      </c>
      <c r="C1795" s="45">
        <v>2016</v>
      </c>
      <c r="D1795" s="45" t="s">
        <v>83</v>
      </c>
      <c r="E1795" s="45">
        <v>3</v>
      </c>
      <c r="F1795" s="47" t="s">
        <v>1489</v>
      </c>
      <c r="G1795" s="45"/>
      <c r="H1795" s="48"/>
      <c r="I1795" s="49"/>
    </row>
    <row r="1796" spans="2:9" s="1" customFormat="1" x14ac:dyDescent="0.2">
      <c r="B1796" s="44" t="str">
        <f t="shared" si="34"/>
        <v>2016-054-4</v>
      </c>
      <c r="C1796" s="45">
        <v>2016</v>
      </c>
      <c r="D1796" s="45" t="s">
        <v>83</v>
      </c>
      <c r="E1796" s="45">
        <v>4</v>
      </c>
      <c r="F1796" s="47" t="s">
        <v>1884</v>
      </c>
      <c r="G1796" s="45"/>
      <c r="H1796" s="48"/>
      <c r="I1796" s="49"/>
    </row>
    <row r="1797" spans="2:9" s="1" customFormat="1" ht="27" x14ac:dyDescent="0.2">
      <c r="B1797" s="50" t="str">
        <f t="shared" si="34"/>
        <v>2016-054-5</v>
      </c>
      <c r="C1797" s="51">
        <v>2016</v>
      </c>
      <c r="D1797" s="51" t="s">
        <v>83</v>
      </c>
      <c r="E1797" s="51">
        <v>5</v>
      </c>
      <c r="F1797" s="52" t="s">
        <v>2280</v>
      </c>
      <c r="G1797" s="51"/>
      <c r="H1797" s="53"/>
      <c r="I1797" s="54"/>
    </row>
    <row r="1798" spans="2:9" s="1" customFormat="1" x14ac:dyDescent="0.2">
      <c r="B1798" s="55" t="str">
        <f t="shared" si="34"/>
        <v>2016-055-0</v>
      </c>
      <c r="C1798" s="56">
        <v>2016</v>
      </c>
      <c r="D1798" s="56" t="s">
        <v>84</v>
      </c>
      <c r="E1798" s="56">
        <v>0</v>
      </c>
      <c r="F1798" s="57" t="s">
        <v>306</v>
      </c>
      <c r="G1798" s="56"/>
      <c r="H1798" s="58"/>
      <c r="I1798" s="59"/>
    </row>
    <row r="1799" spans="2:9" s="1" customFormat="1" x14ac:dyDescent="0.2">
      <c r="B1799" s="44" t="str">
        <f t="shared" si="34"/>
        <v>2016-055-1</v>
      </c>
      <c r="C1799" s="45">
        <v>2016</v>
      </c>
      <c r="D1799" s="45" t="s">
        <v>84</v>
      </c>
      <c r="E1799" s="45">
        <v>1</v>
      </c>
      <c r="F1799" s="47" t="s">
        <v>697</v>
      </c>
      <c r="G1799" s="45"/>
      <c r="H1799" s="48"/>
      <c r="I1799" s="49"/>
    </row>
    <row r="1800" spans="2:9" s="1" customFormat="1" x14ac:dyDescent="0.2">
      <c r="B1800" s="44" t="str">
        <f t="shared" si="34"/>
        <v>2016-055-2</v>
      </c>
      <c r="C1800" s="45">
        <v>2016</v>
      </c>
      <c r="D1800" s="45" t="s">
        <v>84</v>
      </c>
      <c r="E1800" s="45">
        <v>2</v>
      </c>
      <c r="F1800" s="47" t="s">
        <v>1097</v>
      </c>
      <c r="G1800" s="45"/>
      <c r="H1800" s="48"/>
      <c r="I1800" s="49"/>
    </row>
    <row r="1801" spans="2:9" s="1" customFormat="1" ht="27" x14ac:dyDescent="0.2">
      <c r="B1801" s="44" t="str">
        <f t="shared" si="34"/>
        <v>2016-055-3</v>
      </c>
      <c r="C1801" s="45">
        <v>2016</v>
      </c>
      <c r="D1801" s="45" t="s">
        <v>84</v>
      </c>
      <c r="E1801" s="45">
        <v>3</v>
      </c>
      <c r="F1801" s="47" t="s">
        <v>1490</v>
      </c>
      <c r="G1801" s="45"/>
      <c r="H1801" s="48"/>
      <c r="I1801" s="49"/>
    </row>
    <row r="1802" spans="2:9" s="1" customFormat="1" x14ac:dyDescent="0.2">
      <c r="B1802" s="44" t="str">
        <f t="shared" si="34"/>
        <v>2016-055-4</v>
      </c>
      <c r="C1802" s="45">
        <v>2016</v>
      </c>
      <c r="D1802" s="45" t="s">
        <v>84</v>
      </c>
      <c r="E1802" s="45">
        <v>4</v>
      </c>
      <c r="F1802" s="47" t="s">
        <v>1885</v>
      </c>
      <c r="G1802" s="45" t="s">
        <v>3210</v>
      </c>
      <c r="H1802" s="48"/>
      <c r="I1802" s="49"/>
    </row>
    <row r="1803" spans="2:9" s="1" customFormat="1" ht="27" x14ac:dyDescent="0.2">
      <c r="B1803" s="50" t="str">
        <f t="shared" si="34"/>
        <v>2016-055-5</v>
      </c>
      <c r="C1803" s="51">
        <v>2016</v>
      </c>
      <c r="D1803" s="51" t="s">
        <v>84</v>
      </c>
      <c r="E1803" s="51">
        <v>5</v>
      </c>
      <c r="F1803" s="52" t="s">
        <v>2281</v>
      </c>
      <c r="G1803" s="51"/>
      <c r="H1803" s="53"/>
      <c r="I1803" s="54"/>
    </row>
    <row r="1804" spans="2:9" s="1" customFormat="1" ht="121.5" x14ac:dyDescent="0.2">
      <c r="B1804" s="55" t="str">
        <f t="shared" si="34"/>
        <v>2016-056-0</v>
      </c>
      <c r="C1804" s="56">
        <v>2016</v>
      </c>
      <c r="D1804" s="56" t="s">
        <v>85</v>
      </c>
      <c r="E1804" s="56">
        <v>0</v>
      </c>
      <c r="F1804" s="57" t="s">
        <v>307</v>
      </c>
      <c r="G1804" s="56"/>
      <c r="H1804" s="58"/>
      <c r="I1804" s="59"/>
    </row>
    <row r="1805" spans="2:9" s="1" customFormat="1" x14ac:dyDescent="0.2">
      <c r="B1805" s="44" t="str">
        <f t="shared" si="34"/>
        <v>2016-056-1</v>
      </c>
      <c r="C1805" s="45">
        <v>2016</v>
      </c>
      <c r="D1805" s="45" t="s">
        <v>85</v>
      </c>
      <c r="E1805" s="45">
        <v>1</v>
      </c>
      <c r="F1805" s="47" t="s">
        <v>44</v>
      </c>
      <c r="G1805" s="45"/>
      <c r="H1805" s="48"/>
      <c r="I1805" s="49"/>
    </row>
    <row r="1806" spans="2:9" s="1" customFormat="1" x14ac:dyDescent="0.2">
      <c r="B1806" s="44" t="str">
        <f t="shared" si="34"/>
        <v>2016-056-2</v>
      </c>
      <c r="C1806" s="45">
        <v>2016</v>
      </c>
      <c r="D1806" s="45" t="s">
        <v>85</v>
      </c>
      <c r="E1806" s="45">
        <v>2</v>
      </c>
      <c r="F1806" s="47" t="s">
        <v>55</v>
      </c>
      <c r="G1806" s="45"/>
      <c r="H1806" s="48"/>
      <c r="I1806" s="49"/>
    </row>
    <row r="1807" spans="2:9" s="1" customFormat="1" x14ac:dyDescent="0.2">
      <c r="B1807" s="44" t="str">
        <f t="shared" si="34"/>
        <v>2016-056-3</v>
      </c>
      <c r="C1807" s="45">
        <v>2016</v>
      </c>
      <c r="D1807" s="45" t="s">
        <v>85</v>
      </c>
      <c r="E1807" s="45">
        <v>3</v>
      </c>
      <c r="F1807" s="47" t="s">
        <v>49</v>
      </c>
      <c r="G1807" s="45"/>
      <c r="H1807" s="48"/>
      <c r="I1807" s="49"/>
    </row>
    <row r="1808" spans="2:9" s="1" customFormat="1" x14ac:dyDescent="0.2">
      <c r="B1808" s="44" t="str">
        <f t="shared" si="34"/>
        <v>2016-056-4</v>
      </c>
      <c r="C1808" s="45">
        <v>2016</v>
      </c>
      <c r="D1808" s="45" t="s">
        <v>85</v>
      </c>
      <c r="E1808" s="45">
        <v>4</v>
      </c>
      <c r="F1808" s="47" t="s">
        <v>57</v>
      </c>
      <c r="G1808" s="45"/>
      <c r="H1808" s="48"/>
      <c r="I1808" s="49"/>
    </row>
    <row r="1809" spans="2:9" s="1" customFormat="1" x14ac:dyDescent="0.2">
      <c r="B1809" s="50" t="str">
        <f t="shared" si="34"/>
        <v>2016-056-5</v>
      </c>
      <c r="C1809" s="51">
        <v>2016</v>
      </c>
      <c r="D1809" s="51" t="s">
        <v>85</v>
      </c>
      <c r="E1809" s="51">
        <v>5</v>
      </c>
      <c r="F1809" s="52" t="s">
        <v>59</v>
      </c>
      <c r="G1809" s="51" t="s">
        <v>3210</v>
      </c>
      <c r="H1809" s="53"/>
      <c r="I1809" s="54"/>
    </row>
    <row r="1810" spans="2:9" s="1" customFormat="1" x14ac:dyDescent="0.2">
      <c r="B1810" s="55" t="str">
        <f t="shared" si="34"/>
        <v>2016-057-0</v>
      </c>
      <c r="C1810" s="56">
        <v>2016</v>
      </c>
      <c r="D1810" s="56" t="s">
        <v>86</v>
      </c>
      <c r="E1810" s="56">
        <v>0</v>
      </c>
      <c r="F1810" s="57" t="s">
        <v>223</v>
      </c>
      <c r="G1810" s="56"/>
      <c r="H1810" s="58"/>
      <c r="I1810" s="59"/>
    </row>
    <row r="1811" spans="2:9" s="1" customFormat="1" x14ac:dyDescent="0.2">
      <c r="B1811" s="44" t="str">
        <f t="shared" si="34"/>
        <v>2016-057-1</v>
      </c>
      <c r="C1811" s="45">
        <v>2016</v>
      </c>
      <c r="D1811" s="45" t="s">
        <v>86</v>
      </c>
      <c r="E1811" s="45">
        <v>1</v>
      </c>
      <c r="F1811" s="47" t="s">
        <v>698</v>
      </c>
      <c r="G1811" s="45"/>
      <c r="H1811" s="48"/>
      <c r="I1811" s="49"/>
    </row>
    <row r="1812" spans="2:9" s="1" customFormat="1" ht="27" x14ac:dyDescent="0.2">
      <c r="B1812" s="44" t="str">
        <f t="shared" si="34"/>
        <v>2016-057-2</v>
      </c>
      <c r="C1812" s="45">
        <v>2016</v>
      </c>
      <c r="D1812" s="45" t="s">
        <v>86</v>
      </c>
      <c r="E1812" s="45">
        <v>2</v>
      </c>
      <c r="F1812" s="47" t="s">
        <v>1098</v>
      </c>
      <c r="G1812" s="45" t="s">
        <v>3210</v>
      </c>
      <c r="H1812" s="48"/>
      <c r="I1812" s="49"/>
    </row>
    <row r="1813" spans="2:9" s="1" customFormat="1" ht="27" x14ac:dyDescent="0.2">
      <c r="B1813" s="44" t="str">
        <f t="shared" si="34"/>
        <v>2016-057-3</v>
      </c>
      <c r="C1813" s="45">
        <v>2016</v>
      </c>
      <c r="D1813" s="45" t="s">
        <v>86</v>
      </c>
      <c r="E1813" s="45">
        <v>3</v>
      </c>
      <c r="F1813" s="47" t="s">
        <v>1491</v>
      </c>
      <c r="G1813" s="45"/>
      <c r="H1813" s="48"/>
      <c r="I1813" s="49"/>
    </row>
    <row r="1814" spans="2:9" s="1" customFormat="1" x14ac:dyDescent="0.2">
      <c r="B1814" s="44" t="str">
        <f t="shared" si="34"/>
        <v>2016-057-4</v>
      </c>
      <c r="C1814" s="45">
        <v>2016</v>
      </c>
      <c r="D1814" s="45" t="s">
        <v>86</v>
      </c>
      <c r="E1814" s="45">
        <v>4</v>
      </c>
      <c r="F1814" s="47" t="s">
        <v>1886</v>
      </c>
      <c r="G1814" s="45"/>
      <c r="H1814" s="48"/>
      <c r="I1814" s="49"/>
    </row>
    <row r="1815" spans="2:9" s="1" customFormat="1" ht="27" x14ac:dyDescent="0.2">
      <c r="B1815" s="50" t="str">
        <f t="shared" si="34"/>
        <v>2016-057-5</v>
      </c>
      <c r="C1815" s="51">
        <v>2016</v>
      </c>
      <c r="D1815" s="51" t="s">
        <v>86</v>
      </c>
      <c r="E1815" s="51">
        <v>5</v>
      </c>
      <c r="F1815" s="52" t="s">
        <v>2282</v>
      </c>
      <c r="G1815" s="51"/>
      <c r="H1815" s="53"/>
      <c r="I1815" s="54"/>
    </row>
    <row r="1816" spans="2:9" s="1" customFormat="1" x14ac:dyDescent="0.2">
      <c r="B1816" s="55" t="str">
        <f t="shared" si="34"/>
        <v>2016-058-0</v>
      </c>
      <c r="C1816" s="56">
        <v>2016</v>
      </c>
      <c r="D1816" s="56" t="s">
        <v>87</v>
      </c>
      <c r="E1816" s="56">
        <v>0</v>
      </c>
      <c r="F1816" s="57" t="s">
        <v>308</v>
      </c>
      <c r="G1816" s="56"/>
      <c r="H1816" s="58"/>
      <c r="I1816" s="59"/>
    </row>
    <row r="1817" spans="2:9" s="1" customFormat="1" x14ac:dyDescent="0.2">
      <c r="B1817" s="44" t="str">
        <f t="shared" si="34"/>
        <v>2016-058-1</v>
      </c>
      <c r="C1817" s="45">
        <v>2016</v>
      </c>
      <c r="D1817" s="45" t="s">
        <v>87</v>
      </c>
      <c r="E1817" s="45">
        <v>1</v>
      </c>
      <c r="F1817" s="47" t="s">
        <v>699</v>
      </c>
      <c r="G1817" s="45"/>
      <c r="H1817" s="48"/>
      <c r="I1817" s="49"/>
    </row>
    <row r="1818" spans="2:9" s="1" customFormat="1" x14ac:dyDescent="0.2">
      <c r="B1818" s="44" t="str">
        <f t="shared" si="34"/>
        <v>2016-058-2</v>
      </c>
      <c r="C1818" s="45">
        <v>2016</v>
      </c>
      <c r="D1818" s="45" t="s">
        <v>87</v>
      </c>
      <c r="E1818" s="45">
        <v>2</v>
      </c>
      <c r="F1818" s="47" t="s">
        <v>1099</v>
      </c>
      <c r="G1818" s="45"/>
      <c r="H1818" s="48"/>
      <c r="I1818" s="49"/>
    </row>
    <row r="1819" spans="2:9" s="1" customFormat="1" ht="27" x14ac:dyDescent="0.2">
      <c r="B1819" s="44" t="str">
        <f t="shared" si="34"/>
        <v>2016-058-3</v>
      </c>
      <c r="C1819" s="45">
        <v>2016</v>
      </c>
      <c r="D1819" s="45" t="s">
        <v>87</v>
      </c>
      <c r="E1819" s="45">
        <v>3</v>
      </c>
      <c r="F1819" s="47" t="s">
        <v>1492</v>
      </c>
      <c r="G1819" s="45" t="s">
        <v>3210</v>
      </c>
      <c r="H1819" s="48"/>
      <c r="I1819" s="49"/>
    </row>
    <row r="1820" spans="2:9" s="1" customFormat="1" ht="27" x14ac:dyDescent="0.2">
      <c r="B1820" s="44" t="str">
        <f t="shared" si="34"/>
        <v>2016-058-4</v>
      </c>
      <c r="C1820" s="45">
        <v>2016</v>
      </c>
      <c r="D1820" s="45" t="s">
        <v>87</v>
      </c>
      <c r="E1820" s="45">
        <v>4</v>
      </c>
      <c r="F1820" s="47" t="s">
        <v>1887</v>
      </c>
      <c r="G1820" s="45"/>
      <c r="H1820" s="48"/>
      <c r="I1820" s="49"/>
    </row>
    <row r="1821" spans="2:9" s="1" customFormat="1" x14ac:dyDescent="0.2">
      <c r="B1821" s="50" t="str">
        <f t="shared" si="34"/>
        <v>2016-058-5</v>
      </c>
      <c r="C1821" s="51">
        <v>2016</v>
      </c>
      <c r="D1821" s="51" t="s">
        <v>87</v>
      </c>
      <c r="E1821" s="51">
        <v>5</v>
      </c>
      <c r="F1821" s="52" t="s">
        <v>2283</v>
      </c>
      <c r="G1821" s="51"/>
      <c r="H1821" s="53"/>
      <c r="I1821" s="54"/>
    </row>
    <row r="1822" spans="2:9" s="1" customFormat="1" x14ac:dyDescent="0.2">
      <c r="B1822" s="55" t="str">
        <f t="shared" si="34"/>
        <v>2016-059-0</v>
      </c>
      <c r="C1822" s="56">
        <v>2016</v>
      </c>
      <c r="D1822" s="56" t="s">
        <v>88</v>
      </c>
      <c r="E1822" s="56">
        <v>0</v>
      </c>
      <c r="F1822" s="57" t="s">
        <v>309</v>
      </c>
      <c r="G1822" s="56"/>
      <c r="H1822" s="58"/>
      <c r="I1822" s="59"/>
    </row>
    <row r="1823" spans="2:9" s="1" customFormat="1" ht="27" x14ac:dyDescent="0.2">
      <c r="B1823" s="44" t="str">
        <f t="shared" si="34"/>
        <v>2016-059-1</v>
      </c>
      <c r="C1823" s="45">
        <v>2016</v>
      </c>
      <c r="D1823" s="45" t="s">
        <v>88</v>
      </c>
      <c r="E1823" s="45">
        <v>1</v>
      </c>
      <c r="F1823" s="47" t="s">
        <v>700</v>
      </c>
      <c r="G1823" s="45" t="s">
        <v>3210</v>
      </c>
      <c r="H1823" s="48"/>
      <c r="I1823" s="49"/>
    </row>
    <row r="1824" spans="2:9" s="1" customFormat="1" x14ac:dyDescent="0.2">
      <c r="B1824" s="44" t="str">
        <f t="shared" si="34"/>
        <v>2016-059-2</v>
      </c>
      <c r="C1824" s="45">
        <v>2016</v>
      </c>
      <c r="D1824" s="45" t="s">
        <v>88</v>
      </c>
      <c r="E1824" s="45">
        <v>2</v>
      </c>
      <c r="F1824" s="47" t="s">
        <v>1100</v>
      </c>
      <c r="G1824" s="45"/>
      <c r="H1824" s="48"/>
      <c r="I1824" s="49"/>
    </row>
    <row r="1825" spans="2:9" s="1" customFormat="1" x14ac:dyDescent="0.2">
      <c r="B1825" s="44" t="str">
        <f t="shared" si="34"/>
        <v>2016-059-3</v>
      </c>
      <c r="C1825" s="45">
        <v>2016</v>
      </c>
      <c r="D1825" s="45" t="s">
        <v>88</v>
      </c>
      <c r="E1825" s="45">
        <v>3</v>
      </c>
      <c r="F1825" s="47" t="s">
        <v>1493</v>
      </c>
      <c r="G1825" s="45"/>
      <c r="H1825" s="48"/>
      <c r="I1825" s="49"/>
    </row>
    <row r="1826" spans="2:9" s="1" customFormat="1" ht="27" x14ac:dyDescent="0.2">
      <c r="B1826" s="44" t="str">
        <f t="shared" si="34"/>
        <v>2016-059-4</v>
      </c>
      <c r="C1826" s="45">
        <v>2016</v>
      </c>
      <c r="D1826" s="45" t="s">
        <v>88</v>
      </c>
      <c r="E1826" s="45">
        <v>4</v>
      </c>
      <c r="F1826" s="47" t="s">
        <v>1888</v>
      </c>
      <c r="G1826" s="45"/>
      <c r="H1826" s="48"/>
      <c r="I1826" s="49"/>
    </row>
    <row r="1827" spans="2:9" s="1" customFormat="1" x14ac:dyDescent="0.2">
      <c r="B1827" s="50" t="str">
        <f t="shared" si="34"/>
        <v>2016-059-5</v>
      </c>
      <c r="C1827" s="51">
        <v>2016</v>
      </c>
      <c r="D1827" s="51" t="s">
        <v>88</v>
      </c>
      <c r="E1827" s="51">
        <v>5</v>
      </c>
      <c r="F1827" s="52" t="s">
        <v>2284</v>
      </c>
      <c r="G1827" s="51"/>
      <c r="H1827" s="53"/>
      <c r="I1827" s="54"/>
    </row>
    <row r="1828" spans="2:9" s="1" customFormat="1" x14ac:dyDescent="0.2">
      <c r="B1828" s="55" t="str">
        <f t="shared" si="34"/>
        <v>2016-060-0</v>
      </c>
      <c r="C1828" s="56">
        <v>2016</v>
      </c>
      <c r="D1828" s="56" t="s">
        <v>89</v>
      </c>
      <c r="E1828" s="56">
        <v>0</v>
      </c>
      <c r="F1828" s="57" t="s">
        <v>310</v>
      </c>
      <c r="G1828" s="56"/>
      <c r="H1828" s="58"/>
      <c r="I1828" s="59"/>
    </row>
    <row r="1829" spans="2:9" s="1" customFormat="1" x14ac:dyDescent="0.2">
      <c r="B1829" s="44" t="str">
        <f t="shared" si="34"/>
        <v>2016-060-1</v>
      </c>
      <c r="C1829" s="45">
        <v>2016</v>
      </c>
      <c r="D1829" s="45" t="s">
        <v>89</v>
      </c>
      <c r="E1829" s="45">
        <v>1</v>
      </c>
      <c r="F1829" s="47" t="s">
        <v>701</v>
      </c>
      <c r="G1829" s="45"/>
      <c r="H1829" s="48"/>
      <c r="I1829" s="49"/>
    </row>
    <row r="1830" spans="2:9" s="1" customFormat="1" x14ac:dyDescent="0.2">
      <c r="B1830" s="44" t="str">
        <f t="shared" si="34"/>
        <v>2016-060-2</v>
      </c>
      <c r="C1830" s="45">
        <v>2016</v>
      </c>
      <c r="D1830" s="45" t="s">
        <v>89</v>
      </c>
      <c r="E1830" s="45">
        <v>2</v>
      </c>
      <c r="F1830" s="47" t="s">
        <v>1101</v>
      </c>
      <c r="G1830" s="45"/>
      <c r="H1830" s="48"/>
      <c r="I1830" s="49"/>
    </row>
    <row r="1831" spans="2:9" s="1" customFormat="1" x14ac:dyDescent="0.2">
      <c r="B1831" s="44" t="str">
        <f t="shared" si="34"/>
        <v>2016-060-3</v>
      </c>
      <c r="C1831" s="45">
        <v>2016</v>
      </c>
      <c r="D1831" s="45" t="s">
        <v>89</v>
      </c>
      <c r="E1831" s="45">
        <v>3</v>
      </c>
      <c r="F1831" s="47" t="s">
        <v>1494</v>
      </c>
      <c r="G1831" s="45"/>
      <c r="H1831" s="48"/>
      <c r="I1831" s="49"/>
    </row>
    <row r="1832" spans="2:9" s="1" customFormat="1" x14ac:dyDescent="0.2">
      <c r="B1832" s="44" t="str">
        <f t="shared" si="34"/>
        <v>2016-060-4</v>
      </c>
      <c r="C1832" s="45">
        <v>2016</v>
      </c>
      <c r="D1832" s="45" t="s">
        <v>89</v>
      </c>
      <c r="E1832" s="45">
        <v>4</v>
      </c>
      <c r="F1832" s="47" t="s">
        <v>1889</v>
      </c>
      <c r="G1832" s="45" t="s">
        <v>3210</v>
      </c>
      <c r="H1832" s="48"/>
      <c r="I1832" s="49"/>
    </row>
    <row r="1833" spans="2:9" s="1" customFormat="1" ht="27" x14ac:dyDescent="0.2">
      <c r="B1833" s="50" t="str">
        <f t="shared" si="34"/>
        <v>2016-060-5</v>
      </c>
      <c r="C1833" s="51">
        <v>2016</v>
      </c>
      <c r="D1833" s="51" t="s">
        <v>89</v>
      </c>
      <c r="E1833" s="51">
        <v>5</v>
      </c>
      <c r="F1833" s="52" t="s">
        <v>2285</v>
      </c>
      <c r="G1833" s="51"/>
      <c r="H1833" s="53"/>
      <c r="I1833" s="54"/>
    </row>
    <row r="1834" spans="2:9" s="1" customFormat="1" x14ac:dyDescent="0.2">
      <c r="B1834" s="55" t="str">
        <f t="shared" si="34"/>
        <v>2016-061-0</v>
      </c>
      <c r="C1834" s="56">
        <v>2016</v>
      </c>
      <c r="D1834" s="56" t="s">
        <v>90</v>
      </c>
      <c r="E1834" s="56">
        <v>0</v>
      </c>
      <c r="F1834" s="57" t="s">
        <v>311</v>
      </c>
      <c r="G1834" s="56"/>
      <c r="H1834" s="58"/>
      <c r="I1834" s="59"/>
    </row>
    <row r="1835" spans="2:9" s="1" customFormat="1" x14ac:dyDescent="0.2">
      <c r="B1835" s="44" t="str">
        <f t="shared" si="34"/>
        <v>2016-061-1</v>
      </c>
      <c r="C1835" s="45">
        <v>2016</v>
      </c>
      <c r="D1835" s="45" t="s">
        <v>90</v>
      </c>
      <c r="E1835" s="45">
        <v>1</v>
      </c>
      <c r="F1835" s="47" t="s">
        <v>702</v>
      </c>
      <c r="G1835" s="45" t="s">
        <v>3210</v>
      </c>
      <c r="H1835" s="48"/>
      <c r="I1835" s="49"/>
    </row>
    <row r="1836" spans="2:9" s="1" customFormat="1" x14ac:dyDescent="0.2">
      <c r="B1836" s="44" t="str">
        <f t="shared" si="34"/>
        <v>2016-061-2</v>
      </c>
      <c r="C1836" s="45">
        <v>2016</v>
      </c>
      <c r="D1836" s="45" t="s">
        <v>90</v>
      </c>
      <c r="E1836" s="45">
        <v>2</v>
      </c>
      <c r="F1836" s="47" t="s">
        <v>1102</v>
      </c>
      <c r="G1836" s="45"/>
      <c r="H1836" s="48"/>
      <c r="I1836" s="49"/>
    </row>
    <row r="1837" spans="2:9" s="1" customFormat="1" x14ac:dyDescent="0.2">
      <c r="B1837" s="44" t="str">
        <f t="shared" si="34"/>
        <v>2016-061-3</v>
      </c>
      <c r="C1837" s="45">
        <v>2016</v>
      </c>
      <c r="D1837" s="45" t="s">
        <v>90</v>
      </c>
      <c r="E1837" s="45">
        <v>3</v>
      </c>
      <c r="F1837" s="47" t="s">
        <v>1495</v>
      </c>
      <c r="G1837" s="45"/>
      <c r="H1837" s="48"/>
      <c r="I1837" s="49"/>
    </row>
    <row r="1838" spans="2:9" s="1" customFormat="1" x14ac:dyDescent="0.2">
      <c r="B1838" s="44" t="str">
        <f t="shared" si="34"/>
        <v>2016-061-4</v>
      </c>
      <c r="C1838" s="45">
        <v>2016</v>
      </c>
      <c r="D1838" s="45" t="s">
        <v>90</v>
      </c>
      <c r="E1838" s="45">
        <v>4</v>
      </c>
      <c r="F1838" s="47" t="s">
        <v>1890</v>
      </c>
      <c r="G1838" s="45"/>
      <c r="H1838" s="48"/>
      <c r="I1838" s="49"/>
    </row>
    <row r="1839" spans="2:9" s="1" customFormat="1" x14ac:dyDescent="0.2">
      <c r="B1839" s="50" t="str">
        <f t="shared" ref="B1839:B1902" si="35">C1839&amp;"-"&amp;D1839&amp;"-"&amp;E1839</f>
        <v>2016-061-5</v>
      </c>
      <c r="C1839" s="51">
        <v>2016</v>
      </c>
      <c r="D1839" s="51" t="s">
        <v>90</v>
      </c>
      <c r="E1839" s="51">
        <v>5</v>
      </c>
      <c r="F1839" s="52" t="s">
        <v>2286</v>
      </c>
      <c r="G1839" s="51"/>
      <c r="H1839" s="53"/>
      <c r="I1839" s="54"/>
    </row>
    <row r="1840" spans="2:9" s="1" customFormat="1" x14ac:dyDescent="0.2">
      <c r="B1840" s="55" t="str">
        <f t="shared" si="35"/>
        <v>2016-062-0</v>
      </c>
      <c r="C1840" s="56">
        <v>2016</v>
      </c>
      <c r="D1840" s="56" t="s">
        <v>91</v>
      </c>
      <c r="E1840" s="56">
        <v>0</v>
      </c>
      <c r="F1840" s="57" t="s">
        <v>312</v>
      </c>
      <c r="G1840" s="56"/>
      <c r="H1840" s="58"/>
      <c r="I1840" s="59"/>
    </row>
    <row r="1841" spans="2:9" s="1" customFormat="1" x14ac:dyDescent="0.2">
      <c r="B1841" s="44" t="str">
        <f t="shared" si="35"/>
        <v>2016-062-1</v>
      </c>
      <c r="C1841" s="45">
        <v>2016</v>
      </c>
      <c r="D1841" s="45" t="s">
        <v>91</v>
      </c>
      <c r="E1841" s="45">
        <v>1</v>
      </c>
      <c r="F1841" s="47" t="s">
        <v>703</v>
      </c>
      <c r="G1841" s="45"/>
      <c r="H1841" s="48"/>
      <c r="I1841" s="49"/>
    </row>
    <row r="1842" spans="2:9" s="1" customFormat="1" x14ac:dyDescent="0.2">
      <c r="B1842" s="44" t="str">
        <f t="shared" si="35"/>
        <v>2016-062-2</v>
      </c>
      <c r="C1842" s="45">
        <v>2016</v>
      </c>
      <c r="D1842" s="45" t="s">
        <v>91</v>
      </c>
      <c r="E1842" s="45">
        <v>2</v>
      </c>
      <c r="F1842" s="47" t="s">
        <v>1103</v>
      </c>
      <c r="G1842" s="45"/>
      <c r="H1842" s="48"/>
      <c r="I1842" s="49"/>
    </row>
    <row r="1843" spans="2:9" s="1" customFormat="1" x14ac:dyDescent="0.2">
      <c r="B1843" s="44" t="str">
        <f t="shared" si="35"/>
        <v>2016-062-3</v>
      </c>
      <c r="C1843" s="45">
        <v>2016</v>
      </c>
      <c r="D1843" s="45" t="s">
        <v>91</v>
      </c>
      <c r="E1843" s="45">
        <v>3</v>
      </c>
      <c r="F1843" s="47" t="s">
        <v>1496</v>
      </c>
      <c r="G1843" s="45" t="s">
        <v>3210</v>
      </c>
      <c r="H1843" s="48"/>
      <c r="I1843" s="49"/>
    </row>
    <row r="1844" spans="2:9" s="1" customFormat="1" x14ac:dyDescent="0.2">
      <c r="B1844" s="44" t="str">
        <f t="shared" si="35"/>
        <v>2016-062-4</v>
      </c>
      <c r="C1844" s="45">
        <v>2016</v>
      </c>
      <c r="D1844" s="45" t="s">
        <v>91</v>
      </c>
      <c r="E1844" s="45">
        <v>4</v>
      </c>
      <c r="F1844" s="47" t="s">
        <v>1891</v>
      </c>
      <c r="G1844" s="45"/>
      <c r="H1844" s="48"/>
      <c r="I1844" s="49"/>
    </row>
    <row r="1845" spans="2:9" s="1" customFormat="1" x14ac:dyDescent="0.2">
      <c r="B1845" s="50" t="str">
        <f t="shared" si="35"/>
        <v>2016-062-5</v>
      </c>
      <c r="C1845" s="51">
        <v>2016</v>
      </c>
      <c r="D1845" s="51" t="s">
        <v>91</v>
      </c>
      <c r="E1845" s="51">
        <v>5</v>
      </c>
      <c r="F1845" s="52" t="s">
        <v>2287</v>
      </c>
      <c r="G1845" s="51"/>
      <c r="H1845" s="53"/>
      <c r="I1845" s="54"/>
    </row>
    <row r="1846" spans="2:9" s="1" customFormat="1" x14ac:dyDescent="0.2">
      <c r="B1846" s="55" t="str">
        <f t="shared" si="35"/>
        <v>2016-063-0</v>
      </c>
      <c r="C1846" s="56">
        <v>2016</v>
      </c>
      <c r="D1846" s="56" t="s">
        <v>92</v>
      </c>
      <c r="E1846" s="56">
        <v>0</v>
      </c>
      <c r="F1846" s="57" t="s">
        <v>313</v>
      </c>
      <c r="G1846" s="56"/>
      <c r="H1846" s="58"/>
      <c r="I1846" s="59"/>
    </row>
    <row r="1847" spans="2:9" s="1" customFormat="1" x14ac:dyDescent="0.2">
      <c r="B1847" s="44" t="str">
        <f t="shared" si="35"/>
        <v>2016-063-1</v>
      </c>
      <c r="C1847" s="45">
        <v>2016</v>
      </c>
      <c r="D1847" s="45" t="s">
        <v>92</v>
      </c>
      <c r="E1847" s="45">
        <v>1</v>
      </c>
      <c r="F1847" s="47" t="s">
        <v>704</v>
      </c>
      <c r="G1847" s="45" t="s">
        <v>3210</v>
      </c>
      <c r="H1847" s="48"/>
      <c r="I1847" s="49"/>
    </row>
    <row r="1848" spans="2:9" s="1" customFormat="1" x14ac:dyDescent="0.2">
      <c r="B1848" s="44" t="str">
        <f t="shared" si="35"/>
        <v>2016-063-2</v>
      </c>
      <c r="C1848" s="45">
        <v>2016</v>
      </c>
      <c r="D1848" s="45" t="s">
        <v>92</v>
      </c>
      <c r="E1848" s="45">
        <v>2</v>
      </c>
      <c r="F1848" s="47" t="s">
        <v>1104</v>
      </c>
      <c r="G1848" s="45"/>
      <c r="H1848" s="48"/>
      <c r="I1848" s="49"/>
    </row>
    <row r="1849" spans="2:9" s="1" customFormat="1" x14ac:dyDescent="0.2">
      <c r="B1849" s="44" t="str">
        <f t="shared" si="35"/>
        <v>2016-063-3</v>
      </c>
      <c r="C1849" s="45">
        <v>2016</v>
      </c>
      <c r="D1849" s="45" t="s">
        <v>92</v>
      </c>
      <c r="E1849" s="45">
        <v>3</v>
      </c>
      <c r="F1849" s="47" t="s">
        <v>1497</v>
      </c>
      <c r="G1849" s="45"/>
      <c r="H1849" s="48"/>
      <c r="I1849" s="49"/>
    </row>
    <row r="1850" spans="2:9" s="1" customFormat="1" x14ac:dyDescent="0.2">
      <c r="B1850" s="44" t="str">
        <f t="shared" si="35"/>
        <v>2016-063-4</v>
      </c>
      <c r="C1850" s="45">
        <v>2016</v>
      </c>
      <c r="D1850" s="45" t="s">
        <v>92</v>
      </c>
      <c r="E1850" s="45">
        <v>4</v>
      </c>
      <c r="F1850" s="47" t="s">
        <v>1892</v>
      </c>
      <c r="G1850" s="45"/>
      <c r="H1850" s="48"/>
      <c r="I1850" s="49"/>
    </row>
    <row r="1851" spans="2:9" s="1" customFormat="1" x14ac:dyDescent="0.2">
      <c r="B1851" s="50" t="str">
        <f t="shared" si="35"/>
        <v>2016-063-5</v>
      </c>
      <c r="C1851" s="51">
        <v>2016</v>
      </c>
      <c r="D1851" s="51" t="s">
        <v>92</v>
      </c>
      <c r="E1851" s="51">
        <v>5</v>
      </c>
      <c r="F1851" s="52" t="s">
        <v>2288</v>
      </c>
      <c r="G1851" s="51"/>
      <c r="H1851" s="53"/>
      <c r="I1851" s="54"/>
    </row>
    <row r="1852" spans="2:9" s="1" customFormat="1" ht="27" x14ac:dyDescent="0.2">
      <c r="B1852" s="55" t="str">
        <f t="shared" si="35"/>
        <v>2016-064-0</v>
      </c>
      <c r="C1852" s="56">
        <v>2016</v>
      </c>
      <c r="D1852" s="56" t="s">
        <v>93</v>
      </c>
      <c r="E1852" s="56">
        <v>0</v>
      </c>
      <c r="F1852" s="57" t="s">
        <v>314</v>
      </c>
      <c r="G1852" s="56"/>
      <c r="H1852" s="58"/>
      <c r="I1852" s="59"/>
    </row>
    <row r="1853" spans="2:9" s="1" customFormat="1" x14ac:dyDescent="0.2">
      <c r="B1853" s="44" t="str">
        <f t="shared" si="35"/>
        <v>2016-064-1</v>
      </c>
      <c r="C1853" s="45">
        <v>2016</v>
      </c>
      <c r="D1853" s="45" t="s">
        <v>93</v>
      </c>
      <c r="E1853" s="45">
        <v>1</v>
      </c>
      <c r="F1853" s="47" t="s">
        <v>705</v>
      </c>
      <c r="G1853" s="45"/>
      <c r="H1853" s="48"/>
      <c r="I1853" s="49"/>
    </row>
    <row r="1854" spans="2:9" s="1" customFormat="1" x14ac:dyDescent="0.2">
      <c r="B1854" s="44" t="str">
        <f t="shared" si="35"/>
        <v>2016-064-2</v>
      </c>
      <c r="C1854" s="45">
        <v>2016</v>
      </c>
      <c r="D1854" s="45" t="s">
        <v>93</v>
      </c>
      <c r="E1854" s="45">
        <v>2</v>
      </c>
      <c r="F1854" s="47" t="s">
        <v>1105</v>
      </c>
      <c r="G1854" s="45"/>
      <c r="H1854" s="48"/>
      <c r="I1854" s="49"/>
    </row>
    <row r="1855" spans="2:9" s="1" customFormat="1" x14ac:dyDescent="0.2">
      <c r="B1855" s="44" t="str">
        <f t="shared" si="35"/>
        <v>2016-064-3</v>
      </c>
      <c r="C1855" s="45">
        <v>2016</v>
      </c>
      <c r="D1855" s="45" t="s">
        <v>93</v>
      </c>
      <c r="E1855" s="45">
        <v>3</v>
      </c>
      <c r="F1855" s="47" t="s">
        <v>1498</v>
      </c>
      <c r="G1855" s="45" t="s">
        <v>3210</v>
      </c>
      <c r="H1855" s="48"/>
      <c r="I1855" s="49"/>
    </row>
    <row r="1856" spans="2:9" s="1" customFormat="1" x14ac:dyDescent="0.2">
      <c r="B1856" s="44" t="str">
        <f t="shared" si="35"/>
        <v>2016-064-4</v>
      </c>
      <c r="C1856" s="45">
        <v>2016</v>
      </c>
      <c r="D1856" s="45" t="s">
        <v>93</v>
      </c>
      <c r="E1856" s="45">
        <v>4</v>
      </c>
      <c r="F1856" s="47" t="s">
        <v>1893</v>
      </c>
      <c r="G1856" s="45"/>
      <c r="H1856" s="48"/>
      <c r="I1856" s="49"/>
    </row>
    <row r="1857" spans="2:9" s="1" customFormat="1" x14ac:dyDescent="0.2">
      <c r="B1857" s="50" t="str">
        <f t="shared" si="35"/>
        <v>2016-064-5</v>
      </c>
      <c r="C1857" s="51">
        <v>2016</v>
      </c>
      <c r="D1857" s="51" t="s">
        <v>93</v>
      </c>
      <c r="E1857" s="51">
        <v>5</v>
      </c>
      <c r="F1857" s="52" t="s">
        <v>2289</v>
      </c>
      <c r="G1857" s="51"/>
      <c r="H1857" s="53"/>
      <c r="I1857" s="54"/>
    </row>
    <row r="1858" spans="2:9" s="1" customFormat="1" x14ac:dyDescent="0.2">
      <c r="B1858" s="55" t="str">
        <f t="shared" si="35"/>
        <v>2016-065-0</v>
      </c>
      <c r="C1858" s="56">
        <v>2016</v>
      </c>
      <c r="D1858" s="56" t="s">
        <v>94</v>
      </c>
      <c r="E1858" s="56">
        <v>0</v>
      </c>
      <c r="F1858" s="57" t="s">
        <v>295</v>
      </c>
      <c r="G1858" s="56"/>
      <c r="H1858" s="58"/>
      <c r="I1858" s="59"/>
    </row>
    <row r="1859" spans="2:9" s="1" customFormat="1" x14ac:dyDescent="0.2">
      <c r="B1859" s="44" t="str">
        <f t="shared" si="35"/>
        <v>2016-065-1</v>
      </c>
      <c r="C1859" s="45">
        <v>2016</v>
      </c>
      <c r="D1859" s="45" t="s">
        <v>94</v>
      </c>
      <c r="E1859" s="45">
        <v>1</v>
      </c>
      <c r="F1859" s="47" t="s">
        <v>706</v>
      </c>
      <c r="G1859" s="45"/>
      <c r="H1859" s="48"/>
      <c r="I1859" s="49"/>
    </row>
    <row r="1860" spans="2:9" s="1" customFormat="1" x14ac:dyDescent="0.2">
      <c r="B1860" s="44" t="str">
        <f t="shared" si="35"/>
        <v>2016-065-2</v>
      </c>
      <c r="C1860" s="45">
        <v>2016</v>
      </c>
      <c r="D1860" s="45" t="s">
        <v>94</v>
      </c>
      <c r="E1860" s="45">
        <v>2</v>
      </c>
      <c r="F1860" s="47" t="s">
        <v>1106</v>
      </c>
      <c r="G1860" s="45" t="s">
        <v>3210</v>
      </c>
      <c r="H1860" s="48"/>
      <c r="I1860" s="49"/>
    </row>
    <row r="1861" spans="2:9" s="1" customFormat="1" x14ac:dyDescent="0.2">
      <c r="B1861" s="44" t="str">
        <f t="shared" si="35"/>
        <v>2016-065-3</v>
      </c>
      <c r="C1861" s="45">
        <v>2016</v>
      </c>
      <c r="D1861" s="45" t="s">
        <v>94</v>
      </c>
      <c r="E1861" s="45">
        <v>3</v>
      </c>
      <c r="F1861" s="47" t="s">
        <v>1499</v>
      </c>
      <c r="G1861" s="45"/>
      <c r="H1861" s="48"/>
      <c r="I1861" s="49"/>
    </row>
    <row r="1862" spans="2:9" s="1" customFormat="1" ht="27" x14ac:dyDescent="0.2">
      <c r="B1862" s="44" t="str">
        <f t="shared" si="35"/>
        <v>2016-065-4</v>
      </c>
      <c r="C1862" s="45">
        <v>2016</v>
      </c>
      <c r="D1862" s="45" t="s">
        <v>94</v>
      </c>
      <c r="E1862" s="45">
        <v>4</v>
      </c>
      <c r="F1862" s="47" t="s">
        <v>1894</v>
      </c>
      <c r="G1862" s="45"/>
      <c r="H1862" s="48"/>
      <c r="I1862" s="49"/>
    </row>
    <row r="1863" spans="2:9" s="1" customFormat="1" x14ac:dyDescent="0.2">
      <c r="B1863" s="50" t="str">
        <f t="shared" si="35"/>
        <v>2016-065-5</v>
      </c>
      <c r="C1863" s="51">
        <v>2016</v>
      </c>
      <c r="D1863" s="51" t="s">
        <v>94</v>
      </c>
      <c r="E1863" s="51">
        <v>5</v>
      </c>
      <c r="F1863" s="52" t="s">
        <v>2290</v>
      </c>
      <c r="G1863" s="51"/>
      <c r="H1863" s="53"/>
      <c r="I1863" s="54"/>
    </row>
    <row r="1864" spans="2:9" s="1" customFormat="1" x14ac:dyDescent="0.2">
      <c r="B1864" s="55" t="str">
        <f t="shared" si="35"/>
        <v>2016-066-0</v>
      </c>
      <c r="C1864" s="56">
        <v>2016</v>
      </c>
      <c r="D1864" s="56" t="s">
        <v>95</v>
      </c>
      <c r="E1864" s="56">
        <v>0</v>
      </c>
      <c r="F1864" s="57" t="s">
        <v>268</v>
      </c>
      <c r="G1864" s="56"/>
      <c r="H1864" s="58"/>
      <c r="I1864" s="59"/>
    </row>
    <row r="1865" spans="2:9" s="1" customFormat="1" x14ac:dyDescent="0.2">
      <c r="B1865" s="44" t="str">
        <f t="shared" si="35"/>
        <v>2016-066-1</v>
      </c>
      <c r="C1865" s="45">
        <v>2016</v>
      </c>
      <c r="D1865" s="45" t="s">
        <v>95</v>
      </c>
      <c r="E1865" s="45">
        <v>1</v>
      </c>
      <c r="F1865" s="47" t="s">
        <v>707</v>
      </c>
      <c r="G1865" s="45"/>
      <c r="H1865" s="48"/>
      <c r="I1865" s="49"/>
    </row>
    <row r="1866" spans="2:9" s="1" customFormat="1" x14ac:dyDescent="0.2">
      <c r="B1866" s="44" t="str">
        <f t="shared" si="35"/>
        <v>2016-066-2</v>
      </c>
      <c r="C1866" s="45">
        <v>2016</v>
      </c>
      <c r="D1866" s="45" t="s">
        <v>95</v>
      </c>
      <c r="E1866" s="45">
        <v>2</v>
      </c>
      <c r="F1866" s="47" t="s">
        <v>1107</v>
      </c>
      <c r="G1866" s="45" t="s">
        <v>3210</v>
      </c>
      <c r="H1866" s="48"/>
      <c r="I1866" s="49"/>
    </row>
    <row r="1867" spans="2:9" s="1" customFormat="1" x14ac:dyDescent="0.2">
      <c r="B1867" s="44" t="str">
        <f t="shared" si="35"/>
        <v>2016-066-3</v>
      </c>
      <c r="C1867" s="45">
        <v>2016</v>
      </c>
      <c r="D1867" s="45" t="s">
        <v>95</v>
      </c>
      <c r="E1867" s="45">
        <v>3</v>
      </c>
      <c r="F1867" s="47" t="s">
        <v>1500</v>
      </c>
      <c r="G1867" s="45"/>
      <c r="H1867" s="48"/>
      <c r="I1867" s="49"/>
    </row>
    <row r="1868" spans="2:9" s="1" customFormat="1" x14ac:dyDescent="0.2">
      <c r="B1868" s="44" t="str">
        <f t="shared" si="35"/>
        <v>2016-066-4</v>
      </c>
      <c r="C1868" s="45">
        <v>2016</v>
      </c>
      <c r="D1868" s="45" t="s">
        <v>95</v>
      </c>
      <c r="E1868" s="45">
        <v>4</v>
      </c>
      <c r="F1868" s="47" t="s">
        <v>1895</v>
      </c>
      <c r="G1868" s="45"/>
      <c r="H1868" s="48"/>
      <c r="I1868" s="49"/>
    </row>
    <row r="1869" spans="2:9" s="1" customFormat="1" x14ac:dyDescent="0.2">
      <c r="B1869" s="50" t="str">
        <f t="shared" si="35"/>
        <v>2016-066-5</v>
      </c>
      <c r="C1869" s="51">
        <v>2016</v>
      </c>
      <c r="D1869" s="51" t="s">
        <v>95</v>
      </c>
      <c r="E1869" s="51">
        <v>5</v>
      </c>
      <c r="F1869" s="52" t="s">
        <v>2291</v>
      </c>
      <c r="G1869" s="51"/>
      <c r="H1869" s="53"/>
      <c r="I1869" s="54"/>
    </row>
    <row r="1870" spans="2:9" s="1" customFormat="1" x14ac:dyDescent="0.2">
      <c r="B1870" s="55" t="str">
        <f t="shared" si="35"/>
        <v>2016-067-0</v>
      </c>
      <c r="C1870" s="56">
        <v>2016</v>
      </c>
      <c r="D1870" s="56" t="s">
        <v>96</v>
      </c>
      <c r="E1870" s="56">
        <v>0</v>
      </c>
      <c r="F1870" s="57" t="s">
        <v>315</v>
      </c>
      <c r="G1870" s="56"/>
      <c r="H1870" s="58"/>
      <c r="I1870" s="59"/>
    </row>
    <row r="1871" spans="2:9" s="1" customFormat="1" x14ac:dyDescent="0.2">
      <c r="B1871" s="44" t="str">
        <f t="shared" si="35"/>
        <v>2016-067-1</v>
      </c>
      <c r="C1871" s="45">
        <v>2016</v>
      </c>
      <c r="D1871" s="45" t="s">
        <v>96</v>
      </c>
      <c r="E1871" s="45">
        <v>1</v>
      </c>
      <c r="F1871" s="47" t="s">
        <v>708</v>
      </c>
      <c r="G1871" s="45"/>
      <c r="H1871" s="48"/>
      <c r="I1871" s="49"/>
    </row>
    <row r="1872" spans="2:9" s="1" customFormat="1" x14ac:dyDescent="0.2">
      <c r="B1872" s="44" t="str">
        <f t="shared" si="35"/>
        <v>2016-067-2</v>
      </c>
      <c r="C1872" s="45">
        <v>2016</v>
      </c>
      <c r="D1872" s="45" t="s">
        <v>96</v>
      </c>
      <c r="E1872" s="45">
        <v>2</v>
      </c>
      <c r="F1872" s="47" t="s">
        <v>1108</v>
      </c>
      <c r="G1872" s="45"/>
      <c r="H1872" s="48"/>
      <c r="I1872" s="49"/>
    </row>
    <row r="1873" spans="2:9" s="1" customFormat="1" x14ac:dyDescent="0.2">
      <c r="B1873" s="44" t="str">
        <f t="shared" si="35"/>
        <v>2016-067-3</v>
      </c>
      <c r="C1873" s="45">
        <v>2016</v>
      </c>
      <c r="D1873" s="45" t="s">
        <v>96</v>
      </c>
      <c r="E1873" s="45">
        <v>3</v>
      </c>
      <c r="F1873" s="47" t="s">
        <v>1501</v>
      </c>
      <c r="G1873" s="45"/>
      <c r="H1873" s="48"/>
      <c r="I1873" s="49"/>
    </row>
    <row r="1874" spans="2:9" s="1" customFormat="1" x14ac:dyDescent="0.2">
      <c r="B1874" s="44" t="str">
        <f t="shared" si="35"/>
        <v>2016-067-4</v>
      </c>
      <c r="C1874" s="45">
        <v>2016</v>
      </c>
      <c r="D1874" s="45" t="s">
        <v>96</v>
      </c>
      <c r="E1874" s="45">
        <v>4</v>
      </c>
      <c r="F1874" s="47" t="s">
        <v>1896</v>
      </c>
      <c r="G1874" s="45"/>
      <c r="H1874" s="48"/>
      <c r="I1874" s="49"/>
    </row>
    <row r="1875" spans="2:9" s="1" customFormat="1" x14ac:dyDescent="0.2">
      <c r="B1875" s="50" t="str">
        <f t="shared" si="35"/>
        <v>2016-067-5</v>
      </c>
      <c r="C1875" s="51">
        <v>2016</v>
      </c>
      <c r="D1875" s="51" t="s">
        <v>96</v>
      </c>
      <c r="E1875" s="51">
        <v>5</v>
      </c>
      <c r="F1875" s="52" t="s">
        <v>2292</v>
      </c>
      <c r="G1875" s="51" t="s">
        <v>3210</v>
      </c>
      <c r="H1875" s="53"/>
      <c r="I1875" s="54"/>
    </row>
    <row r="1876" spans="2:9" s="1" customFormat="1" x14ac:dyDescent="0.2">
      <c r="B1876" s="55" t="str">
        <f t="shared" si="35"/>
        <v>2016-068-0</v>
      </c>
      <c r="C1876" s="56">
        <v>2016</v>
      </c>
      <c r="D1876" s="56" t="s">
        <v>97</v>
      </c>
      <c r="E1876" s="56">
        <v>0</v>
      </c>
      <c r="F1876" s="57" t="s">
        <v>316</v>
      </c>
      <c r="G1876" s="56"/>
      <c r="H1876" s="58"/>
      <c r="I1876" s="59"/>
    </row>
    <row r="1877" spans="2:9" s="1" customFormat="1" x14ac:dyDescent="0.2">
      <c r="B1877" s="44" t="str">
        <f t="shared" si="35"/>
        <v>2016-068-1</v>
      </c>
      <c r="C1877" s="45">
        <v>2016</v>
      </c>
      <c r="D1877" s="45" t="s">
        <v>97</v>
      </c>
      <c r="E1877" s="45">
        <v>1</v>
      </c>
      <c r="F1877" s="47" t="s">
        <v>709</v>
      </c>
      <c r="G1877" s="45"/>
      <c r="H1877" s="48"/>
      <c r="I1877" s="49"/>
    </row>
    <row r="1878" spans="2:9" s="1" customFormat="1" x14ac:dyDescent="0.2">
      <c r="B1878" s="44" t="str">
        <f t="shared" si="35"/>
        <v>2016-068-2</v>
      </c>
      <c r="C1878" s="45">
        <v>2016</v>
      </c>
      <c r="D1878" s="45" t="s">
        <v>97</v>
      </c>
      <c r="E1878" s="45">
        <v>2</v>
      </c>
      <c r="F1878" s="47" t="s">
        <v>1109</v>
      </c>
      <c r="G1878" s="45"/>
      <c r="H1878" s="48"/>
      <c r="I1878" s="49"/>
    </row>
    <row r="1879" spans="2:9" s="1" customFormat="1" x14ac:dyDescent="0.2">
      <c r="B1879" s="44" t="str">
        <f t="shared" si="35"/>
        <v>2016-068-3</v>
      </c>
      <c r="C1879" s="45">
        <v>2016</v>
      </c>
      <c r="D1879" s="45" t="s">
        <v>97</v>
      </c>
      <c r="E1879" s="45">
        <v>3</v>
      </c>
      <c r="F1879" s="47" t="s">
        <v>1502</v>
      </c>
      <c r="G1879" s="45" t="s">
        <v>3210</v>
      </c>
      <c r="H1879" s="48"/>
      <c r="I1879" s="49"/>
    </row>
    <row r="1880" spans="2:9" s="1" customFormat="1" x14ac:dyDescent="0.2">
      <c r="B1880" s="44" t="str">
        <f t="shared" si="35"/>
        <v>2016-068-4</v>
      </c>
      <c r="C1880" s="45">
        <v>2016</v>
      </c>
      <c r="D1880" s="45" t="s">
        <v>97</v>
      </c>
      <c r="E1880" s="45">
        <v>4</v>
      </c>
      <c r="F1880" s="47" t="s">
        <v>1897</v>
      </c>
      <c r="G1880" s="45"/>
      <c r="H1880" s="48"/>
      <c r="I1880" s="49"/>
    </row>
    <row r="1881" spans="2:9" s="1" customFormat="1" x14ac:dyDescent="0.2">
      <c r="B1881" s="50" t="str">
        <f t="shared" si="35"/>
        <v>2016-068-5</v>
      </c>
      <c r="C1881" s="51">
        <v>2016</v>
      </c>
      <c r="D1881" s="51" t="s">
        <v>97</v>
      </c>
      <c r="E1881" s="51">
        <v>5</v>
      </c>
      <c r="F1881" s="52" t="s">
        <v>2293</v>
      </c>
      <c r="G1881" s="51"/>
      <c r="H1881" s="53"/>
      <c r="I1881" s="54"/>
    </row>
    <row r="1882" spans="2:9" s="1" customFormat="1" x14ac:dyDescent="0.2">
      <c r="B1882" s="55" t="str">
        <f t="shared" si="35"/>
        <v>2016-069-0</v>
      </c>
      <c r="C1882" s="56">
        <v>2016</v>
      </c>
      <c r="D1882" s="56" t="s">
        <v>98</v>
      </c>
      <c r="E1882" s="56">
        <v>0</v>
      </c>
      <c r="F1882" s="57" t="s">
        <v>132</v>
      </c>
      <c r="G1882" s="56"/>
      <c r="H1882" s="58"/>
      <c r="I1882" s="59"/>
    </row>
    <row r="1883" spans="2:9" s="1" customFormat="1" ht="27" x14ac:dyDescent="0.2">
      <c r="B1883" s="44" t="str">
        <f t="shared" si="35"/>
        <v>2016-069-1</v>
      </c>
      <c r="C1883" s="45">
        <v>2016</v>
      </c>
      <c r="D1883" s="45" t="s">
        <v>98</v>
      </c>
      <c r="E1883" s="45">
        <v>1</v>
      </c>
      <c r="F1883" s="47" t="s">
        <v>710</v>
      </c>
      <c r="G1883" s="45"/>
      <c r="H1883" s="48"/>
      <c r="I1883" s="49"/>
    </row>
    <row r="1884" spans="2:9" s="1" customFormat="1" ht="27" x14ac:dyDescent="0.2">
      <c r="B1884" s="44" t="str">
        <f t="shared" si="35"/>
        <v>2016-069-2</v>
      </c>
      <c r="C1884" s="45">
        <v>2016</v>
      </c>
      <c r="D1884" s="45" t="s">
        <v>98</v>
      </c>
      <c r="E1884" s="45">
        <v>2</v>
      </c>
      <c r="F1884" s="47" t="s">
        <v>1110</v>
      </c>
      <c r="G1884" s="45" t="s">
        <v>3210</v>
      </c>
      <c r="H1884" s="48"/>
      <c r="I1884" s="49"/>
    </row>
    <row r="1885" spans="2:9" s="1" customFormat="1" ht="27" x14ac:dyDescent="0.2">
      <c r="B1885" s="44" t="str">
        <f t="shared" si="35"/>
        <v>2016-069-3</v>
      </c>
      <c r="C1885" s="45">
        <v>2016</v>
      </c>
      <c r="D1885" s="45" t="s">
        <v>98</v>
      </c>
      <c r="E1885" s="45">
        <v>3</v>
      </c>
      <c r="F1885" s="47" t="s">
        <v>1503</v>
      </c>
      <c r="G1885" s="45"/>
      <c r="H1885" s="48"/>
      <c r="I1885" s="49"/>
    </row>
    <row r="1886" spans="2:9" s="1" customFormat="1" ht="27" x14ac:dyDescent="0.2">
      <c r="B1886" s="44" t="str">
        <f t="shared" si="35"/>
        <v>2016-069-4</v>
      </c>
      <c r="C1886" s="45">
        <v>2016</v>
      </c>
      <c r="D1886" s="45" t="s">
        <v>98</v>
      </c>
      <c r="E1886" s="45">
        <v>4</v>
      </c>
      <c r="F1886" s="47" t="s">
        <v>1898</v>
      </c>
      <c r="G1886" s="45"/>
      <c r="H1886" s="48"/>
      <c r="I1886" s="49"/>
    </row>
    <row r="1887" spans="2:9" s="1" customFormat="1" ht="27" x14ac:dyDescent="0.2">
      <c r="B1887" s="50" t="str">
        <f t="shared" si="35"/>
        <v>2016-069-5</v>
      </c>
      <c r="C1887" s="51">
        <v>2016</v>
      </c>
      <c r="D1887" s="51" t="s">
        <v>98</v>
      </c>
      <c r="E1887" s="51">
        <v>5</v>
      </c>
      <c r="F1887" s="52" t="s">
        <v>2294</v>
      </c>
      <c r="G1887" s="51"/>
      <c r="H1887" s="53"/>
      <c r="I1887" s="54"/>
    </row>
    <row r="1888" spans="2:9" s="1" customFormat="1" x14ac:dyDescent="0.2">
      <c r="B1888" s="55" t="str">
        <f t="shared" si="35"/>
        <v>2016-070-0</v>
      </c>
      <c r="C1888" s="56">
        <v>2016</v>
      </c>
      <c r="D1888" s="56" t="s">
        <v>99</v>
      </c>
      <c r="E1888" s="56">
        <v>0</v>
      </c>
      <c r="F1888" s="57" t="s">
        <v>317</v>
      </c>
      <c r="G1888" s="56"/>
      <c r="H1888" s="58"/>
      <c r="I1888" s="59"/>
    </row>
    <row r="1889" spans="2:9" s="1" customFormat="1" x14ac:dyDescent="0.2">
      <c r="B1889" s="44" t="str">
        <f t="shared" si="35"/>
        <v>2016-070-1</v>
      </c>
      <c r="C1889" s="45">
        <v>2016</v>
      </c>
      <c r="D1889" s="45" t="s">
        <v>99</v>
      </c>
      <c r="E1889" s="45">
        <v>1</v>
      </c>
      <c r="F1889" s="47" t="s">
        <v>711</v>
      </c>
      <c r="G1889" s="45" t="s">
        <v>3210</v>
      </c>
      <c r="H1889" s="48"/>
      <c r="I1889" s="49"/>
    </row>
    <row r="1890" spans="2:9" s="1" customFormat="1" x14ac:dyDescent="0.2">
      <c r="B1890" s="44" t="str">
        <f t="shared" si="35"/>
        <v>2016-070-2</v>
      </c>
      <c r="C1890" s="45">
        <v>2016</v>
      </c>
      <c r="D1890" s="45" t="s">
        <v>99</v>
      </c>
      <c r="E1890" s="45">
        <v>2</v>
      </c>
      <c r="F1890" s="47" t="s">
        <v>1111</v>
      </c>
      <c r="G1890" s="45"/>
      <c r="H1890" s="48"/>
      <c r="I1890" s="49"/>
    </row>
    <row r="1891" spans="2:9" s="1" customFormat="1" ht="27" x14ac:dyDescent="0.2">
      <c r="B1891" s="44" t="str">
        <f t="shared" si="35"/>
        <v>2016-070-3</v>
      </c>
      <c r="C1891" s="45">
        <v>2016</v>
      </c>
      <c r="D1891" s="45" t="s">
        <v>99</v>
      </c>
      <c r="E1891" s="45">
        <v>3</v>
      </c>
      <c r="F1891" s="47" t="s">
        <v>1504</v>
      </c>
      <c r="G1891" s="45"/>
      <c r="H1891" s="48"/>
      <c r="I1891" s="49"/>
    </row>
    <row r="1892" spans="2:9" s="1" customFormat="1" x14ac:dyDescent="0.2">
      <c r="B1892" s="44" t="str">
        <f t="shared" si="35"/>
        <v>2016-070-4</v>
      </c>
      <c r="C1892" s="45">
        <v>2016</v>
      </c>
      <c r="D1892" s="45" t="s">
        <v>99</v>
      </c>
      <c r="E1892" s="45">
        <v>4</v>
      </c>
      <c r="F1892" s="47" t="s">
        <v>1899</v>
      </c>
      <c r="G1892" s="45"/>
      <c r="H1892" s="48"/>
      <c r="I1892" s="49"/>
    </row>
    <row r="1893" spans="2:9" s="1" customFormat="1" x14ac:dyDescent="0.2">
      <c r="B1893" s="50" t="str">
        <f t="shared" si="35"/>
        <v>2016-070-5</v>
      </c>
      <c r="C1893" s="51">
        <v>2016</v>
      </c>
      <c r="D1893" s="51" t="s">
        <v>99</v>
      </c>
      <c r="E1893" s="51">
        <v>5</v>
      </c>
      <c r="F1893" s="52" t="s">
        <v>2295</v>
      </c>
      <c r="G1893" s="51"/>
      <c r="H1893" s="53"/>
      <c r="I1893" s="54"/>
    </row>
    <row r="1894" spans="2:9" s="1" customFormat="1" x14ac:dyDescent="0.2">
      <c r="B1894" s="55" t="str">
        <f t="shared" si="35"/>
        <v>2016-071-0</v>
      </c>
      <c r="C1894" s="56">
        <v>2016</v>
      </c>
      <c r="D1894" s="56" t="s">
        <v>100</v>
      </c>
      <c r="E1894" s="56">
        <v>0</v>
      </c>
      <c r="F1894" s="57" t="s">
        <v>318</v>
      </c>
      <c r="G1894" s="56"/>
      <c r="H1894" s="58"/>
      <c r="I1894" s="59"/>
    </row>
    <row r="1895" spans="2:9" s="1" customFormat="1" x14ac:dyDescent="0.2">
      <c r="B1895" s="44" t="str">
        <f t="shared" si="35"/>
        <v>2016-071-1</v>
      </c>
      <c r="C1895" s="45">
        <v>2016</v>
      </c>
      <c r="D1895" s="45" t="s">
        <v>100</v>
      </c>
      <c r="E1895" s="45">
        <v>1</v>
      </c>
      <c r="F1895" s="47" t="s">
        <v>712</v>
      </c>
      <c r="G1895" s="45"/>
      <c r="H1895" s="48"/>
      <c r="I1895" s="49"/>
    </row>
    <row r="1896" spans="2:9" s="1" customFormat="1" x14ac:dyDescent="0.2">
      <c r="B1896" s="44" t="str">
        <f t="shared" si="35"/>
        <v>2016-071-2</v>
      </c>
      <c r="C1896" s="45">
        <v>2016</v>
      </c>
      <c r="D1896" s="45" t="s">
        <v>100</v>
      </c>
      <c r="E1896" s="45">
        <v>2</v>
      </c>
      <c r="F1896" s="47" t="s">
        <v>1112</v>
      </c>
      <c r="G1896" s="45"/>
      <c r="H1896" s="48"/>
      <c r="I1896" s="49"/>
    </row>
    <row r="1897" spans="2:9" s="1" customFormat="1" ht="27" x14ac:dyDescent="0.2">
      <c r="B1897" s="44" t="str">
        <f t="shared" si="35"/>
        <v>2016-071-3</v>
      </c>
      <c r="C1897" s="45">
        <v>2016</v>
      </c>
      <c r="D1897" s="45" t="s">
        <v>100</v>
      </c>
      <c r="E1897" s="45">
        <v>3</v>
      </c>
      <c r="F1897" s="47" t="s">
        <v>1505</v>
      </c>
      <c r="G1897" s="45"/>
      <c r="H1897" s="48"/>
      <c r="I1897" s="49"/>
    </row>
    <row r="1898" spans="2:9" s="1" customFormat="1" x14ac:dyDescent="0.2">
      <c r="B1898" s="44" t="str">
        <f t="shared" si="35"/>
        <v>2016-071-4</v>
      </c>
      <c r="C1898" s="45">
        <v>2016</v>
      </c>
      <c r="D1898" s="45" t="s">
        <v>100</v>
      </c>
      <c r="E1898" s="45">
        <v>4</v>
      </c>
      <c r="F1898" s="47" t="s">
        <v>1900</v>
      </c>
      <c r="G1898" s="45"/>
      <c r="H1898" s="48"/>
      <c r="I1898" s="49"/>
    </row>
    <row r="1899" spans="2:9" s="1" customFormat="1" x14ac:dyDescent="0.2">
      <c r="B1899" s="50" t="str">
        <f t="shared" si="35"/>
        <v>2016-071-5</v>
      </c>
      <c r="C1899" s="51">
        <v>2016</v>
      </c>
      <c r="D1899" s="51" t="s">
        <v>100</v>
      </c>
      <c r="E1899" s="51">
        <v>5</v>
      </c>
      <c r="F1899" s="52" t="s">
        <v>2296</v>
      </c>
      <c r="G1899" s="51" t="s">
        <v>3210</v>
      </c>
      <c r="H1899" s="53"/>
      <c r="I1899" s="54"/>
    </row>
    <row r="1900" spans="2:9" s="1" customFormat="1" x14ac:dyDescent="0.2">
      <c r="B1900" s="55" t="str">
        <f t="shared" si="35"/>
        <v>2016-072-0</v>
      </c>
      <c r="C1900" s="56">
        <v>2016</v>
      </c>
      <c r="D1900" s="56" t="s">
        <v>101</v>
      </c>
      <c r="E1900" s="56">
        <v>0</v>
      </c>
      <c r="F1900" s="57" t="s">
        <v>319</v>
      </c>
      <c r="G1900" s="56"/>
      <c r="H1900" s="58"/>
      <c r="I1900" s="59"/>
    </row>
    <row r="1901" spans="2:9" s="1" customFormat="1" x14ac:dyDescent="0.2">
      <c r="B1901" s="44" t="str">
        <f t="shared" si="35"/>
        <v>2016-072-1</v>
      </c>
      <c r="C1901" s="45">
        <v>2016</v>
      </c>
      <c r="D1901" s="45" t="s">
        <v>101</v>
      </c>
      <c r="E1901" s="45">
        <v>1</v>
      </c>
      <c r="F1901" s="47" t="s">
        <v>713</v>
      </c>
      <c r="G1901" s="45"/>
      <c r="H1901" s="48"/>
      <c r="I1901" s="49"/>
    </row>
    <row r="1902" spans="2:9" s="1" customFormat="1" x14ac:dyDescent="0.2">
      <c r="B1902" s="44" t="str">
        <f t="shared" si="35"/>
        <v>2016-072-2</v>
      </c>
      <c r="C1902" s="45">
        <v>2016</v>
      </c>
      <c r="D1902" s="45" t="s">
        <v>101</v>
      </c>
      <c r="E1902" s="45">
        <v>2</v>
      </c>
      <c r="F1902" s="47" t="s">
        <v>1113</v>
      </c>
      <c r="G1902" s="45"/>
      <c r="H1902" s="48"/>
      <c r="I1902" s="49"/>
    </row>
    <row r="1903" spans="2:9" s="1" customFormat="1" ht="27" x14ac:dyDescent="0.2">
      <c r="B1903" s="44" t="str">
        <f t="shared" ref="B1903:B1923" si="36">C1903&amp;"-"&amp;D1903&amp;"-"&amp;E1903</f>
        <v>2016-072-3</v>
      </c>
      <c r="C1903" s="45">
        <v>2016</v>
      </c>
      <c r="D1903" s="45" t="s">
        <v>101</v>
      </c>
      <c r="E1903" s="45">
        <v>3</v>
      </c>
      <c r="F1903" s="47" t="s">
        <v>1506</v>
      </c>
      <c r="G1903" s="45" t="s">
        <v>3210</v>
      </c>
      <c r="H1903" s="48"/>
      <c r="I1903" s="49"/>
    </row>
    <row r="1904" spans="2:9" s="1" customFormat="1" x14ac:dyDescent="0.2">
      <c r="B1904" s="44" t="str">
        <f t="shared" si="36"/>
        <v>2016-072-4</v>
      </c>
      <c r="C1904" s="45">
        <v>2016</v>
      </c>
      <c r="D1904" s="45" t="s">
        <v>101</v>
      </c>
      <c r="E1904" s="45">
        <v>4</v>
      </c>
      <c r="F1904" s="47" t="s">
        <v>1901</v>
      </c>
      <c r="G1904" s="45"/>
      <c r="H1904" s="48"/>
      <c r="I1904" s="49"/>
    </row>
    <row r="1905" spans="2:9" s="1" customFormat="1" x14ac:dyDescent="0.2">
      <c r="B1905" s="50" t="str">
        <f t="shared" si="36"/>
        <v>2016-072-5</v>
      </c>
      <c r="C1905" s="51">
        <v>2016</v>
      </c>
      <c r="D1905" s="51" t="s">
        <v>101</v>
      </c>
      <c r="E1905" s="51">
        <v>5</v>
      </c>
      <c r="F1905" s="52" t="s">
        <v>2297</v>
      </c>
      <c r="G1905" s="51"/>
      <c r="H1905" s="53"/>
      <c r="I1905" s="54"/>
    </row>
    <row r="1906" spans="2:9" s="1" customFormat="1" x14ac:dyDescent="0.2">
      <c r="B1906" s="55" t="str">
        <f t="shared" si="36"/>
        <v>2016-073-0</v>
      </c>
      <c r="C1906" s="56">
        <v>2016</v>
      </c>
      <c r="D1906" s="56" t="s">
        <v>102</v>
      </c>
      <c r="E1906" s="56">
        <v>0</v>
      </c>
      <c r="F1906" s="57" t="s">
        <v>320</v>
      </c>
      <c r="G1906" s="56"/>
      <c r="H1906" s="58"/>
      <c r="I1906" s="59"/>
    </row>
    <row r="1907" spans="2:9" s="1" customFormat="1" x14ac:dyDescent="0.2">
      <c r="B1907" s="44" t="str">
        <f t="shared" si="36"/>
        <v>2016-073-1</v>
      </c>
      <c r="C1907" s="45">
        <v>2016</v>
      </c>
      <c r="D1907" s="45" t="s">
        <v>102</v>
      </c>
      <c r="E1907" s="45">
        <v>1</v>
      </c>
      <c r="F1907" s="47" t="s">
        <v>714</v>
      </c>
      <c r="G1907" s="45"/>
      <c r="H1907" s="48"/>
      <c r="I1907" s="49"/>
    </row>
    <row r="1908" spans="2:9" s="1" customFormat="1" ht="27" x14ac:dyDescent="0.2">
      <c r="B1908" s="44" t="str">
        <f t="shared" si="36"/>
        <v>2016-073-2</v>
      </c>
      <c r="C1908" s="45">
        <v>2016</v>
      </c>
      <c r="D1908" s="45" t="s">
        <v>102</v>
      </c>
      <c r="E1908" s="45">
        <v>2</v>
      </c>
      <c r="F1908" s="47" t="s">
        <v>1114</v>
      </c>
      <c r="G1908" s="45"/>
      <c r="H1908" s="48"/>
      <c r="I1908" s="49"/>
    </row>
    <row r="1909" spans="2:9" s="1" customFormat="1" x14ac:dyDescent="0.2">
      <c r="B1909" s="44" t="str">
        <f t="shared" si="36"/>
        <v>2016-073-3</v>
      </c>
      <c r="C1909" s="45">
        <v>2016</v>
      </c>
      <c r="D1909" s="45" t="s">
        <v>102</v>
      </c>
      <c r="E1909" s="45">
        <v>3</v>
      </c>
      <c r="F1909" s="47" t="s">
        <v>1507</v>
      </c>
      <c r="G1909" s="45"/>
      <c r="H1909" s="48"/>
      <c r="I1909" s="49"/>
    </row>
    <row r="1910" spans="2:9" s="1" customFormat="1" x14ac:dyDescent="0.2">
      <c r="B1910" s="44" t="str">
        <f t="shared" si="36"/>
        <v>2016-073-4</v>
      </c>
      <c r="C1910" s="45">
        <v>2016</v>
      </c>
      <c r="D1910" s="45" t="s">
        <v>102</v>
      </c>
      <c r="E1910" s="45">
        <v>4</v>
      </c>
      <c r="F1910" s="47" t="s">
        <v>1902</v>
      </c>
      <c r="G1910" s="45" t="s">
        <v>3210</v>
      </c>
      <c r="H1910" s="48"/>
      <c r="I1910" s="49"/>
    </row>
    <row r="1911" spans="2:9" s="1" customFormat="1" x14ac:dyDescent="0.2">
      <c r="B1911" s="50" t="str">
        <f t="shared" si="36"/>
        <v>2016-073-5</v>
      </c>
      <c r="C1911" s="51">
        <v>2016</v>
      </c>
      <c r="D1911" s="51" t="s">
        <v>102</v>
      </c>
      <c r="E1911" s="51">
        <v>5</v>
      </c>
      <c r="F1911" s="52" t="s">
        <v>2298</v>
      </c>
      <c r="G1911" s="51"/>
      <c r="H1911" s="53"/>
      <c r="I1911" s="54"/>
    </row>
    <row r="1912" spans="2:9" s="1" customFormat="1" x14ac:dyDescent="0.2">
      <c r="B1912" s="55" t="str">
        <f t="shared" si="36"/>
        <v>2016-074-0</v>
      </c>
      <c r="C1912" s="56">
        <v>2016</v>
      </c>
      <c r="D1912" s="56" t="s">
        <v>103</v>
      </c>
      <c r="E1912" s="56">
        <v>0</v>
      </c>
      <c r="F1912" s="57" t="s">
        <v>321</v>
      </c>
      <c r="G1912" s="56"/>
      <c r="H1912" s="58"/>
      <c r="I1912" s="59"/>
    </row>
    <row r="1913" spans="2:9" s="1" customFormat="1" x14ac:dyDescent="0.2">
      <c r="B1913" s="44" t="str">
        <f t="shared" si="36"/>
        <v>2016-074-1</v>
      </c>
      <c r="C1913" s="45">
        <v>2016</v>
      </c>
      <c r="D1913" s="45" t="s">
        <v>103</v>
      </c>
      <c r="E1913" s="45">
        <v>1</v>
      </c>
      <c r="F1913" s="47" t="s">
        <v>715</v>
      </c>
      <c r="G1913" s="45"/>
      <c r="H1913" s="48"/>
      <c r="I1913" s="49"/>
    </row>
    <row r="1914" spans="2:9" s="1" customFormat="1" x14ac:dyDescent="0.2">
      <c r="B1914" s="44" t="str">
        <f t="shared" si="36"/>
        <v>2016-074-2</v>
      </c>
      <c r="C1914" s="45">
        <v>2016</v>
      </c>
      <c r="D1914" s="45" t="s">
        <v>103</v>
      </c>
      <c r="E1914" s="45">
        <v>2</v>
      </c>
      <c r="F1914" s="47" t="s">
        <v>1115</v>
      </c>
      <c r="G1914" s="45"/>
      <c r="H1914" s="48"/>
      <c r="I1914" s="49"/>
    </row>
    <row r="1915" spans="2:9" s="1" customFormat="1" ht="27" x14ac:dyDescent="0.2">
      <c r="B1915" s="44" t="str">
        <f t="shared" si="36"/>
        <v>2016-074-3</v>
      </c>
      <c r="C1915" s="45">
        <v>2016</v>
      </c>
      <c r="D1915" s="45" t="s">
        <v>103</v>
      </c>
      <c r="E1915" s="45">
        <v>3</v>
      </c>
      <c r="F1915" s="47" t="s">
        <v>1508</v>
      </c>
      <c r="G1915" s="45"/>
      <c r="H1915" s="48"/>
      <c r="I1915" s="49"/>
    </row>
    <row r="1916" spans="2:9" s="1" customFormat="1" ht="27" x14ac:dyDescent="0.2">
      <c r="B1916" s="44" t="str">
        <f t="shared" si="36"/>
        <v>2016-074-4</v>
      </c>
      <c r="C1916" s="45">
        <v>2016</v>
      </c>
      <c r="D1916" s="45" t="s">
        <v>103</v>
      </c>
      <c r="E1916" s="45">
        <v>4</v>
      </c>
      <c r="F1916" s="47" t="s">
        <v>1903</v>
      </c>
      <c r="G1916" s="45"/>
      <c r="H1916" s="48"/>
      <c r="I1916" s="49"/>
    </row>
    <row r="1917" spans="2:9" s="1" customFormat="1" ht="27" x14ac:dyDescent="0.2">
      <c r="B1917" s="50" t="str">
        <f t="shared" si="36"/>
        <v>2016-074-5</v>
      </c>
      <c r="C1917" s="51">
        <v>2016</v>
      </c>
      <c r="D1917" s="51" t="s">
        <v>103</v>
      </c>
      <c r="E1917" s="51">
        <v>5</v>
      </c>
      <c r="F1917" s="52" t="s">
        <v>2299</v>
      </c>
      <c r="G1917" s="51" t="s">
        <v>3210</v>
      </c>
      <c r="H1917" s="53"/>
      <c r="I1917" s="54"/>
    </row>
    <row r="1918" spans="2:9" s="1" customFormat="1" x14ac:dyDescent="0.2">
      <c r="B1918" s="55" t="str">
        <f t="shared" si="36"/>
        <v>2016-075-0</v>
      </c>
      <c r="C1918" s="56">
        <v>2016</v>
      </c>
      <c r="D1918" s="56" t="s">
        <v>104</v>
      </c>
      <c r="E1918" s="56">
        <v>0</v>
      </c>
      <c r="F1918" s="57" t="s">
        <v>322</v>
      </c>
      <c r="G1918" s="56"/>
      <c r="H1918" s="58"/>
      <c r="I1918" s="59"/>
    </row>
    <row r="1919" spans="2:9" s="1" customFormat="1" x14ac:dyDescent="0.2">
      <c r="B1919" s="44" t="str">
        <f t="shared" si="36"/>
        <v>2016-075-1</v>
      </c>
      <c r="C1919" s="45">
        <v>2016</v>
      </c>
      <c r="D1919" s="45" t="s">
        <v>104</v>
      </c>
      <c r="E1919" s="45">
        <v>1</v>
      </c>
      <c r="F1919" s="47" t="s">
        <v>716</v>
      </c>
      <c r="G1919" s="45"/>
      <c r="H1919" s="48"/>
      <c r="I1919" s="49"/>
    </row>
    <row r="1920" spans="2:9" s="1" customFormat="1" x14ac:dyDescent="0.2">
      <c r="B1920" s="44" t="str">
        <f t="shared" si="36"/>
        <v>2016-075-2</v>
      </c>
      <c r="C1920" s="45">
        <v>2016</v>
      </c>
      <c r="D1920" s="45" t="s">
        <v>104</v>
      </c>
      <c r="E1920" s="45">
        <v>2</v>
      </c>
      <c r="F1920" s="47" t="s">
        <v>1116</v>
      </c>
      <c r="G1920" s="45"/>
      <c r="H1920" s="48"/>
      <c r="I1920" s="49"/>
    </row>
    <row r="1921" spans="2:9" s="1" customFormat="1" x14ac:dyDescent="0.2">
      <c r="B1921" s="44" t="str">
        <f t="shared" si="36"/>
        <v>2016-075-3</v>
      </c>
      <c r="C1921" s="45">
        <v>2016</v>
      </c>
      <c r="D1921" s="45" t="s">
        <v>104</v>
      </c>
      <c r="E1921" s="45">
        <v>3</v>
      </c>
      <c r="F1921" s="47" t="s">
        <v>1509</v>
      </c>
      <c r="G1921" s="45"/>
      <c r="H1921" s="48"/>
      <c r="I1921" s="49"/>
    </row>
    <row r="1922" spans="2:9" s="1" customFormat="1" x14ac:dyDescent="0.2">
      <c r="B1922" s="44" t="str">
        <f t="shared" si="36"/>
        <v>2016-075-4</v>
      </c>
      <c r="C1922" s="45">
        <v>2016</v>
      </c>
      <c r="D1922" s="45" t="s">
        <v>104</v>
      </c>
      <c r="E1922" s="45">
        <v>4</v>
      </c>
      <c r="F1922" s="47" t="s">
        <v>1904</v>
      </c>
      <c r="G1922" s="45" t="s">
        <v>3210</v>
      </c>
      <c r="H1922" s="48"/>
      <c r="I1922" s="49"/>
    </row>
    <row r="1923" spans="2:9" s="1" customFormat="1" ht="14.25" thickBot="1" x14ac:dyDescent="0.25">
      <c r="B1923" s="60" t="str">
        <f t="shared" si="36"/>
        <v>2016-075-5</v>
      </c>
      <c r="C1923" s="61">
        <v>2016</v>
      </c>
      <c r="D1923" s="61" t="s">
        <v>104</v>
      </c>
      <c r="E1923" s="61">
        <v>5</v>
      </c>
      <c r="F1923" s="62" t="s">
        <v>2300</v>
      </c>
      <c r="G1923" s="61"/>
      <c r="H1923" s="63"/>
      <c r="I1923" s="64"/>
    </row>
    <row r="1924" spans="2:9" s="1" customFormat="1" x14ac:dyDescent="0.2">
      <c r="B1924" s="38" t="str">
        <f t="shared" ref="B1924:B1940" si="37">C1924&amp;"-"&amp;D1924&amp;"-"&amp;E1924</f>
        <v>2015-051-0</v>
      </c>
      <c r="C1924" s="39">
        <v>2015</v>
      </c>
      <c r="D1924" s="39" t="s">
        <v>80</v>
      </c>
      <c r="E1924" s="39">
        <v>0</v>
      </c>
      <c r="F1924" s="41" t="s">
        <v>323</v>
      </c>
      <c r="G1924" s="39"/>
      <c r="H1924" s="42"/>
      <c r="I1924" s="43"/>
    </row>
    <row r="1925" spans="2:9" s="1" customFormat="1" x14ac:dyDescent="0.2">
      <c r="B1925" s="44" t="str">
        <f t="shared" si="37"/>
        <v>2015-051-1</v>
      </c>
      <c r="C1925" s="45">
        <v>2015</v>
      </c>
      <c r="D1925" s="45" t="s">
        <v>80</v>
      </c>
      <c r="E1925" s="45">
        <v>1</v>
      </c>
      <c r="F1925" s="47" t="s">
        <v>717</v>
      </c>
      <c r="G1925" s="45"/>
      <c r="H1925" s="48"/>
      <c r="I1925" s="49"/>
    </row>
    <row r="1926" spans="2:9" s="1" customFormat="1" x14ac:dyDescent="0.2">
      <c r="B1926" s="44" t="str">
        <f t="shared" si="37"/>
        <v>2015-051-2</v>
      </c>
      <c r="C1926" s="45">
        <v>2015</v>
      </c>
      <c r="D1926" s="45" t="s">
        <v>80</v>
      </c>
      <c r="E1926" s="45">
        <v>2</v>
      </c>
      <c r="F1926" s="47" t="s">
        <v>1117</v>
      </c>
      <c r="G1926" s="45"/>
      <c r="H1926" s="48"/>
      <c r="I1926" s="49"/>
    </row>
    <row r="1927" spans="2:9" s="1" customFormat="1" x14ac:dyDescent="0.2">
      <c r="B1927" s="44" t="str">
        <f t="shared" si="37"/>
        <v>2015-051-3</v>
      </c>
      <c r="C1927" s="45">
        <v>2015</v>
      </c>
      <c r="D1927" s="45" t="s">
        <v>80</v>
      </c>
      <c r="E1927" s="45">
        <v>3</v>
      </c>
      <c r="F1927" s="47" t="s">
        <v>1510</v>
      </c>
      <c r="G1927" s="45" t="s">
        <v>3210</v>
      </c>
      <c r="H1927" s="48"/>
      <c r="I1927" s="49"/>
    </row>
    <row r="1928" spans="2:9" s="1" customFormat="1" x14ac:dyDescent="0.2">
      <c r="B1928" s="44" t="str">
        <f t="shared" si="37"/>
        <v>2015-051-4</v>
      </c>
      <c r="C1928" s="45">
        <v>2015</v>
      </c>
      <c r="D1928" s="45" t="s">
        <v>80</v>
      </c>
      <c r="E1928" s="45">
        <v>4</v>
      </c>
      <c r="F1928" s="47" t="s">
        <v>1905</v>
      </c>
      <c r="G1928" s="45"/>
      <c r="H1928" s="48"/>
      <c r="I1928" s="49"/>
    </row>
    <row r="1929" spans="2:9" s="1" customFormat="1" x14ac:dyDescent="0.2">
      <c r="B1929" s="50" t="str">
        <f t="shared" si="37"/>
        <v>2015-051-5</v>
      </c>
      <c r="C1929" s="51">
        <v>2015</v>
      </c>
      <c r="D1929" s="51" t="s">
        <v>80</v>
      </c>
      <c r="E1929" s="51">
        <v>5</v>
      </c>
      <c r="F1929" s="52" t="s">
        <v>2301</v>
      </c>
      <c r="G1929" s="51"/>
      <c r="H1929" s="53"/>
      <c r="I1929" s="54"/>
    </row>
    <row r="1930" spans="2:9" s="1" customFormat="1" x14ac:dyDescent="0.2">
      <c r="B1930" s="55" t="str">
        <f t="shared" si="37"/>
        <v>2015-052-0</v>
      </c>
      <c r="C1930" s="56">
        <v>2015</v>
      </c>
      <c r="D1930" s="56" t="s">
        <v>81</v>
      </c>
      <c r="E1930" s="56">
        <v>0</v>
      </c>
      <c r="F1930" s="57" t="s">
        <v>324</v>
      </c>
      <c r="G1930" s="56"/>
      <c r="H1930" s="58"/>
      <c r="I1930" s="59"/>
    </row>
    <row r="1931" spans="2:9" s="1" customFormat="1" x14ac:dyDescent="0.2">
      <c r="B1931" s="44" t="str">
        <f t="shared" si="37"/>
        <v>2015-052-1</v>
      </c>
      <c r="C1931" s="45">
        <v>2015</v>
      </c>
      <c r="D1931" s="45" t="s">
        <v>81</v>
      </c>
      <c r="E1931" s="45">
        <v>1</v>
      </c>
      <c r="F1931" s="47" t="s">
        <v>718</v>
      </c>
      <c r="G1931" s="45" t="s">
        <v>3210</v>
      </c>
      <c r="H1931" s="48"/>
      <c r="I1931" s="49"/>
    </row>
    <row r="1932" spans="2:9" s="1" customFormat="1" x14ac:dyDescent="0.2">
      <c r="B1932" s="44" t="str">
        <f t="shared" si="37"/>
        <v>2015-052-2</v>
      </c>
      <c r="C1932" s="45">
        <v>2015</v>
      </c>
      <c r="D1932" s="45" t="s">
        <v>81</v>
      </c>
      <c r="E1932" s="45">
        <v>2</v>
      </c>
      <c r="F1932" s="47" t="s">
        <v>1046</v>
      </c>
      <c r="G1932" s="45"/>
      <c r="H1932" s="48"/>
      <c r="I1932" s="49"/>
    </row>
    <row r="1933" spans="2:9" s="1" customFormat="1" x14ac:dyDescent="0.2">
      <c r="B1933" s="44" t="str">
        <f t="shared" si="37"/>
        <v>2015-052-3</v>
      </c>
      <c r="C1933" s="45">
        <v>2015</v>
      </c>
      <c r="D1933" s="45" t="s">
        <v>81</v>
      </c>
      <c r="E1933" s="45">
        <v>3</v>
      </c>
      <c r="F1933" s="47" t="s">
        <v>1511</v>
      </c>
      <c r="G1933" s="45"/>
      <c r="H1933" s="48"/>
      <c r="I1933" s="49"/>
    </row>
    <row r="1934" spans="2:9" s="1" customFormat="1" x14ac:dyDescent="0.2">
      <c r="B1934" s="44" t="str">
        <f t="shared" si="37"/>
        <v>2015-052-4</v>
      </c>
      <c r="C1934" s="45">
        <v>2015</v>
      </c>
      <c r="D1934" s="45" t="s">
        <v>81</v>
      </c>
      <c r="E1934" s="45">
        <v>4</v>
      </c>
      <c r="F1934" s="47" t="s">
        <v>936</v>
      </c>
      <c r="G1934" s="45"/>
      <c r="H1934" s="48"/>
      <c r="I1934" s="49"/>
    </row>
    <row r="1935" spans="2:9" s="1" customFormat="1" x14ac:dyDescent="0.2">
      <c r="B1935" s="50" t="str">
        <f t="shared" si="37"/>
        <v>2015-052-5</v>
      </c>
      <c r="C1935" s="51">
        <v>2015</v>
      </c>
      <c r="D1935" s="51" t="s">
        <v>81</v>
      </c>
      <c r="E1935" s="51">
        <v>5</v>
      </c>
      <c r="F1935" s="52" t="s">
        <v>2302</v>
      </c>
      <c r="G1935" s="51"/>
      <c r="H1935" s="53"/>
      <c r="I1935" s="54"/>
    </row>
    <row r="1936" spans="2:9" s="1" customFormat="1" x14ac:dyDescent="0.2">
      <c r="B1936" s="55" t="str">
        <f t="shared" si="37"/>
        <v>2015-053-0</v>
      </c>
      <c r="C1936" s="56">
        <v>2015</v>
      </c>
      <c r="D1936" s="56" t="s">
        <v>82</v>
      </c>
      <c r="E1936" s="56">
        <v>0</v>
      </c>
      <c r="F1936" s="57" t="s">
        <v>261</v>
      </c>
      <c r="G1936" s="56"/>
      <c r="H1936" s="58"/>
      <c r="I1936" s="59"/>
    </row>
    <row r="1937" spans="2:9" s="1" customFormat="1" x14ac:dyDescent="0.2">
      <c r="B1937" s="44" t="str">
        <f t="shared" si="37"/>
        <v>2015-053-1</v>
      </c>
      <c r="C1937" s="45">
        <v>2015</v>
      </c>
      <c r="D1937" s="45" t="s">
        <v>82</v>
      </c>
      <c r="E1937" s="45">
        <v>1</v>
      </c>
      <c r="F1937" s="47" t="s">
        <v>719</v>
      </c>
      <c r="G1937" s="45"/>
      <c r="H1937" s="48"/>
      <c r="I1937" s="49"/>
    </row>
    <row r="1938" spans="2:9" s="1" customFormat="1" x14ac:dyDescent="0.2">
      <c r="B1938" s="44" t="str">
        <f t="shared" si="37"/>
        <v>2015-053-2</v>
      </c>
      <c r="C1938" s="45">
        <v>2015</v>
      </c>
      <c r="D1938" s="45" t="s">
        <v>82</v>
      </c>
      <c r="E1938" s="45">
        <v>2</v>
      </c>
      <c r="F1938" s="47" t="s">
        <v>1118</v>
      </c>
      <c r="G1938" s="45"/>
      <c r="H1938" s="48"/>
      <c r="I1938" s="49"/>
    </row>
    <row r="1939" spans="2:9" s="1" customFormat="1" x14ac:dyDescent="0.2">
      <c r="B1939" s="44" t="str">
        <f t="shared" si="37"/>
        <v>2015-053-3</v>
      </c>
      <c r="C1939" s="45">
        <v>2015</v>
      </c>
      <c r="D1939" s="45" t="s">
        <v>82</v>
      </c>
      <c r="E1939" s="45">
        <v>3</v>
      </c>
      <c r="F1939" s="47" t="s">
        <v>1444</v>
      </c>
      <c r="G1939" s="45"/>
      <c r="H1939" s="48"/>
      <c r="I1939" s="49"/>
    </row>
    <row r="1940" spans="2:9" s="1" customFormat="1" x14ac:dyDescent="0.2">
      <c r="B1940" s="44" t="str">
        <f t="shared" si="37"/>
        <v>2015-053-4</v>
      </c>
      <c r="C1940" s="45">
        <v>2015</v>
      </c>
      <c r="D1940" s="45" t="s">
        <v>82</v>
      </c>
      <c r="E1940" s="45">
        <v>4</v>
      </c>
      <c r="F1940" s="47" t="s">
        <v>1906</v>
      </c>
      <c r="G1940" s="45"/>
      <c r="H1940" s="48"/>
      <c r="I1940" s="49"/>
    </row>
    <row r="1941" spans="2:9" s="1" customFormat="1" ht="27" x14ac:dyDescent="0.2">
      <c r="B1941" s="50" t="str">
        <f t="shared" ref="B1941:B2004" si="38">C1941&amp;"-"&amp;D1941&amp;"-"&amp;E1941</f>
        <v>2015-053-5</v>
      </c>
      <c r="C1941" s="51">
        <v>2015</v>
      </c>
      <c r="D1941" s="51" t="s">
        <v>82</v>
      </c>
      <c r="E1941" s="51">
        <v>5</v>
      </c>
      <c r="F1941" s="52" t="s">
        <v>2303</v>
      </c>
      <c r="G1941" s="51" t="s">
        <v>3210</v>
      </c>
      <c r="H1941" s="53"/>
      <c r="I1941" s="54"/>
    </row>
    <row r="1942" spans="2:9" s="1" customFormat="1" x14ac:dyDescent="0.2">
      <c r="B1942" s="55" t="str">
        <f t="shared" si="38"/>
        <v>2015-054-0</v>
      </c>
      <c r="C1942" s="56">
        <v>2015</v>
      </c>
      <c r="D1942" s="56" t="s">
        <v>83</v>
      </c>
      <c r="E1942" s="56">
        <v>0</v>
      </c>
      <c r="F1942" s="57" t="s">
        <v>325</v>
      </c>
      <c r="G1942" s="56"/>
      <c r="H1942" s="58"/>
      <c r="I1942" s="59"/>
    </row>
    <row r="1943" spans="2:9" s="1" customFormat="1" x14ac:dyDescent="0.2">
      <c r="B1943" s="44" t="str">
        <f t="shared" si="38"/>
        <v>2015-054-1</v>
      </c>
      <c r="C1943" s="45">
        <v>2015</v>
      </c>
      <c r="D1943" s="45" t="s">
        <v>83</v>
      </c>
      <c r="E1943" s="45">
        <v>1</v>
      </c>
      <c r="F1943" s="47" t="s">
        <v>720</v>
      </c>
      <c r="G1943" s="45"/>
      <c r="H1943" s="48"/>
      <c r="I1943" s="49"/>
    </row>
    <row r="1944" spans="2:9" s="1" customFormat="1" x14ac:dyDescent="0.2">
      <c r="B1944" s="44" t="str">
        <f t="shared" si="38"/>
        <v>2015-054-2</v>
      </c>
      <c r="C1944" s="45">
        <v>2015</v>
      </c>
      <c r="D1944" s="45" t="s">
        <v>83</v>
      </c>
      <c r="E1944" s="45">
        <v>2</v>
      </c>
      <c r="F1944" s="47" t="s">
        <v>1119</v>
      </c>
      <c r="G1944" s="45"/>
      <c r="H1944" s="48"/>
      <c r="I1944" s="49"/>
    </row>
    <row r="1945" spans="2:9" s="1" customFormat="1" x14ac:dyDescent="0.2">
      <c r="B1945" s="44" t="str">
        <f t="shared" si="38"/>
        <v>2015-054-3</v>
      </c>
      <c r="C1945" s="45">
        <v>2015</v>
      </c>
      <c r="D1945" s="45" t="s">
        <v>83</v>
      </c>
      <c r="E1945" s="45">
        <v>3</v>
      </c>
      <c r="F1945" s="47" t="s">
        <v>1512</v>
      </c>
      <c r="G1945" s="45"/>
      <c r="H1945" s="48"/>
      <c r="I1945" s="49"/>
    </row>
    <row r="1946" spans="2:9" s="1" customFormat="1" x14ac:dyDescent="0.2">
      <c r="B1946" s="44" t="str">
        <f t="shared" si="38"/>
        <v>2015-054-4</v>
      </c>
      <c r="C1946" s="45">
        <v>2015</v>
      </c>
      <c r="D1946" s="45" t="s">
        <v>83</v>
      </c>
      <c r="E1946" s="45">
        <v>4</v>
      </c>
      <c r="F1946" s="47" t="s">
        <v>1907</v>
      </c>
      <c r="G1946" s="45" t="s">
        <v>3210</v>
      </c>
      <c r="H1946" s="48"/>
      <c r="I1946" s="49"/>
    </row>
    <row r="1947" spans="2:9" s="1" customFormat="1" x14ac:dyDescent="0.2">
      <c r="B1947" s="50" t="str">
        <f t="shared" si="38"/>
        <v>2015-054-5</v>
      </c>
      <c r="C1947" s="51">
        <v>2015</v>
      </c>
      <c r="D1947" s="51" t="s">
        <v>83</v>
      </c>
      <c r="E1947" s="51">
        <v>5</v>
      </c>
      <c r="F1947" s="52" t="s">
        <v>603</v>
      </c>
      <c r="G1947" s="51"/>
      <c r="H1947" s="53"/>
      <c r="I1947" s="54"/>
    </row>
    <row r="1948" spans="2:9" s="1" customFormat="1" x14ac:dyDescent="0.2">
      <c r="B1948" s="55" t="str">
        <f t="shared" si="38"/>
        <v>2015-055-0</v>
      </c>
      <c r="C1948" s="56">
        <v>2015</v>
      </c>
      <c r="D1948" s="56" t="s">
        <v>84</v>
      </c>
      <c r="E1948" s="56">
        <v>0</v>
      </c>
      <c r="F1948" s="57" t="s">
        <v>326</v>
      </c>
      <c r="G1948" s="56"/>
      <c r="H1948" s="58"/>
      <c r="I1948" s="59"/>
    </row>
    <row r="1949" spans="2:9" s="1" customFormat="1" x14ac:dyDescent="0.2">
      <c r="B1949" s="44" t="str">
        <f t="shared" si="38"/>
        <v>2015-055-1</v>
      </c>
      <c r="C1949" s="45">
        <v>2015</v>
      </c>
      <c r="D1949" s="45" t="s">
        <v>84</v>
      </c>
      <c r="E1949" s="45">
        <v>1</v>
      </c>
      <c r="F1949" s="47" t="s">
        <v>721</v>
      </c>
      <c r="G1949" s="45"/>
      <c r="H1949" s="48"/>
      <c r="I1949" s="49"/>
    </row>
    <row r="1950" spans="2:9" s="1" customFormat="1" x14ac:dyDescent="0.2">
      <c r="B1950" s="44" t="str">
        <f t="shared" si="38"/>
        <v>2015-055-2</v>
      </c>
      <c r="C1950" s="45">
        <v>2015</v>
      </c>
      <c r="D1950" s="45" t="s">
        <v>84</v>
      </c>
      <c r="E1950" s="45">
        <v>2</v>
      </c>
      <c r="F1950" s="47" t="s">
        <v>1120</v>
      </c>
      <c r="G1950" s="45"/>
      <c r="H1950" s="48"/>
      <c r="I1950" s="49"/>
    </row>
    <row r="1951" spans="2:9" s="1" customFormat="1" x14ac:dyDescent="0.2">
      <c r="B1951" s="44" t="str">
        <f t="shared" si="38"/>
        <v>2015-055-3</v>
      </c>
      <c r="C1951" s="45">
        <v>2015</v>
      </c>
      <c r="D1951" s="45" t="s">
        <v>84</v>
      </c>
      <c r="E1951" s="45">
        <v>3</v>
      </c>
      <c r="F1951" s="47" t="s">
        <v>1513</v>
      </c>
      <c r="G1951" s="45" t="s">
        <v>3210</v>
      </c>
      <c r="H1951" s="48"/>
      <c r="I1951" s="49"/>
    </row>
    <row r="1952" spans="2:9" s="1" customFormat="1" x14ac:dyDescent="0.2">
      <c r="B1952" s="44" t="str">
        <f t="shared" si="38"/>
        <v>2015-055-4</v>
      </c>
      <c r="C1952" s="45">
        <v>2015</v>
      </c>
      <c r="D1952" s="45" t="s">
        <v>84</v>
      </c>
      <c r="E1952" s="45">
        <v>4</v>
      </c>
      <c r="F1952" s="47" t="s">
        <v>1908</v>
      </c>
      <c r="G1952" s="45"/>
      <c r="H1952" s="48"/>
      <c r="I1952" s="49"/>
    </row>
    <row r="1953" spans="2:9" s="1" customFormat="1" ht="27" x14ac:dyDescent="0.2">
      <c r="B1953" s="50" t="str">
        <f t="shared" si="38"/>
        <v>2015-055-5</v>
      </c>
      <c r="C1953" s="51">
        <v>2015</v>
      </c>
      <c r="D1953" s="51" t="s">
        <v>84</v>
      </c>
      <c r="E1953" s="51">
        <v>5</v>
      </c>
      <c r="F1953" s="52" t="s">
        <v>2304</v>
      </c>
      <c r="G1953" s="51"/>
      <c r="H1953" s="53"/>
      <c r="I1953" s="54"/>
    </row>
    <row r="1954" spans="2:9" s="1" customFormat="1" ht="40.5" x14ac:dyDescent="0.2">
      <c r="B1954" s="55" t="str">
        <f t="shared" si="38"/>
        <v>2015-056-0</v>
      </c>
      <c r="C1954" s="56">
        <v>2015</v>
      </c>
      <c r="D1954" s="56" t="s">
        <v>85</v>
      </c>
      <c r="E1954" s="56">
        <v>0</v>
      </c>
      <c r="F1954" s="57" t="s">
        <v>327</v>
      </c>
      <c r="G1954" s="56"/>
      <c r="H1954" s="58"/>
      <c r="I1954" s="59"/>
    </row>
    <row r="1955" spans="2:9" s="1" customFormat="1" x14ac:dyDescent="0.2">
      <c r="B1955" s="44" t="str">
        <f t="shared" si="38"/>
        <v>2015-056-1</v>
      </c>
      <c r="C1955" s="45">
        <v>2015</v>
      </c>
      <c r="D1955" s="45" t="s">
        <v>85</v>
      </c>
      <c r="E1955" s="45">
        <v>1</v>
      </c>
      <c r="F1955" s="47" t="s">
        <v>722</v>
      </c>
      <c r="G1955" s="45"/>
      <c r="H1955" s="48"/>
      <c r="I1955" s="49"/>
    </row>
    <row r="1956" spans="2:9" s="1" customFormat="1" x14ac:dyDescent="0.2">
      <c r="B1956" s="44" t="str">
        <f t="shared" si="38"/>
        <v>2015-056-2</v>
      </c>
      <c r="C1956" s="45">
        <v>2015</v>
      </c>
      <c r="D1956" s="45" t="s">
        <v>85</v>
      </c>
      <c r="E1956" s="45">
        <v>2</v>
      </c>
      <c r="F1956" s="47" t="s">
        <v>1121</v>
      </c>
      <c r="G1956" s="45"/>
      <c r="H1956" s="48"/>
      <c r="I1956" s="49"/>
    </row>
    <row r="1957" spans="2:9" s="1" customFormat="1" x14ac:dyDescent="0.2">
      <c r="B1957" s="44" t="str">
        <f t="shared" si="38"/>
        <v>2015-056-3</v>
      </c>
      <c r="C1957" s="45">
        <v>2015</v>
      </c>
      <c r="D1957" s="45" t="s">
        <v>85</v>
      </c>
      <c r="E1957" s="45">
        <v>3</v>
      </c>
      <c r="F1957" s="47" t="s">
        <v>1514</v>
      </c>
      <c r="G1957" s="45" t="s">
        <v>3210</v>
      </c>
      <c r="H1957" s="48"/>
      <c r="I1957" s="49"/>
    </row>
    <row r="1958" spans="2:9" s="1" customFormat="1" x14ac:dyDescent="0.2">
      <c r="B1958" s="44" t="str">
        <f t="shared" si="38"/>
        <v>2015-056-4</v>
      </c>
      <c r="C1958" s="45">
        <v>2015</v>
      </c>
      <c r="D1958" s="45" t="s">
        <v>85</v>
      </c>
      <c r="E1958" s="45">
        <v>4</v>
      </c>
      <c r="F1958" s="47" t="s">
        <v>1909</v>
      </c>
      <c r="G1958" s="45"/>
      <c r="H1958" s="48"/>
      <c r="I1958" s="49"/>
    </row>
    <row r="1959" spans="2:9" s="1" customFormat="1" ht="27" x14ac:dyDescent="0.2">
      <c r="B1959" s="50" t="str">
        <f t="shared" si="38"/>
        <v>2015-056-5</v>
      </c>
      <c r="C1959" s="51">
        <v>2015</v>
      </c>
      <c r="D1959" s="51" t="s">
        <v>85</v>
      </c>
      <c r="E1959" s="51">
        <v>5</v>
      </c>
      <c r="F1959" s="52" t="s">
        <v>2305</v>
      </c>
      <c r="G1959" s="51"/>
      <c r="H1959" s="53"/>
      <c r="I1959" s="54"/>
    </row>
    <row r="1960" spans="2:9" s="1" customFormat="1" x14ac:dyDescent="0.2">
      <c r="B1960" s="55" t="str">
        <f t="shared" si="38"/>
        <v>2015-057-0</v>
      </c>
      <c r="C1960" s="56">
        <v>2015</v>
      </c>
      <c r="D1960" s="56" t="s">
        <v>86</v>
      </c>
      <c r="E1960" s="56">
        <v>0</v>
      </c>
      <c r="F1960" s="57" t="s">
        <v>112</v>
      </c>
      <c r="G1960" s="56"/>
      <c r="H1960" s="58"/>
      <c r="I1960" s="59"/>
    </row>
    <row r="1961" spans="2:9" s="1" customFormat="1" x14ac:dyDescent="0.2">
      <c r="B1961" s="44" t="str">
        <f t="shared" si="38"/>
        <v>2015-057-1</v>
      </c>
      <c r="C1961" s="45">
        <v>2015</v>
      </c>
      <c r="D1961" s="45" t="s">
        <v>86</v>
      </c>
      <c r="E1961" s="45">
        <v>1</v>
      </c>
      <c r="F1961" s="47" t="s">
        <v>723</v>
      </c>
      <c r="G1961" s="45"/>
      <c r="H1961" s="48"/>
      <c r="I1961" s="49"/>
    </row>
    <row r="1962" spans="2:9" s="1" customFormat="1" x14ac:dyDescent="0.2">
      <c r="B1962" s="44" t="str">
        <f t="shared" si="38"/>
        <v>2015-057-2</v>
      </c>
      <c r="C1962" s="45">
        <v>2015</v>
      </c>
      <c r="D1962" s="45" t="s">
        <v>86</v>
      </c>
      <c r="E1962" s="45">
        <v>2</v>
      </c>
      <c r="F1962" s="47" t="s">
        <v>1122</v>
      </c>
      <c r="G1962" s="45" t="s">
        <v>3210</v>
      </c>
      <c r="H1962" s="48"/>
      <c r="I1962" s="49"/>
    </row>
    <row r="1963" spans="2:9" s="1" customFormat="1" x14ac:dyDescent="0.2">
      <c r="B1963" s="44" t="str">
        <f t="shared" si="38"/>
        <v>2015-057-3</v>
      </c>
      <c r="C1963" s="45">
        <v>2015</v>
      </c>
      <c r="D1963" s="45" t="s">
        <v>86</v>
      </c>
      <c r="E1963" s="45">
        <v>3</v>
      </c>
      <c r="F1963" s="47" t="s">
        <v>1515</v>
      </c>
      <c r="G1963" s="45"/>
      <c r="H1963" s="48"/>
      <c r="I1963" s="49"/>
    </row>
    <row r="1964" spans="2:9" s="1" customFormat="1" ht="27" x14ac:dyDescent="0.2">
      <c r="B1964" s="44" t="str">
        <f t="shared" si="38"/>
        <v>2015-057-4</v>
      </c>
      <c r="C1964" s="45">
        <v>2015</v>
      </c>
      <c r="D1964" s="45" t="s">
        <v>86</v>
      </c>
      <c r="E1964" s="45">
        <v>4</v>
      </c>
      <c r="F1964" s="47" t="s">
        <v>1910</v>
      </c>
      <c r="G1964" s="45"/>
      <c r="H1964" s="48"/>
      <c r="I1964" s="49"/>
    </row>
    <row r="1965" spans="2:9" s="1" customFormat="1" ht="27" x14ac:dyDescent="0.2">
      <c r="B1965" s="50" t="str">
        <f t="shared" si="38"/>
        <v>2015-057-5</v>
      </c>
      <c r="C1965" s="51">
        <v>2015</v>
      </c>
      <c r="D1965" s="51" t="s">
        <v>86</v>
      </c>
      <c r="E1965" s="51">
        <v>5</v>
      </c>
      <c r="F1965" s="52" t="s">
        <v>2306</v>
      </c>
      <c r="G1965" s="51"/>
      <c r="H1965" s="53"/>
      <c r="I1965" s="54"/>
    </row>
    <row r="1966" spans="2:9" s="1" customFormat="1" ht="81" x14ac:dyDescent="0.2">
      <c r="B1966" s="55" t="str">
        <f t="shared" si="38"/>
        <v>2015-058-0</v>
      </c>
      <c r="C1966" s="56">
        <v>2015</v>
      </c>
      <c r="D1966" s="56" t="s">
        <v>87</v>
      </c>
      <c r="E1966" s="56">
        <v>0</v>
      </c>
      <c r="F1966" s="57" t="s">
        <v>328</v>
      </c>
      <c r="G1966" s="56"/>
      <c r="H1966" s="58"/>
      <c r="I1966" s="59"/>
    </row>
    <row r="1967" spans="2:9" s="1" customFormat="1" x14ac:dyDescent="0.2">
      <c r="B1967" s="44" t="str">
        <f t="shared" si="38"/>
        <v>2015-058-1</v>
      </c>
      <c r="C1967" s="45">
        <v>2015</v>
      </c>
      <c r="D1967" s="45" t="s">
        <v>87</v>
      </c>
      <c r="E1967" s="45">
        <v>1</v>
      </c>
      <c r="F1967" s="47" t="s">
        <v>50</v>
      </c>
      <c r="G1967" s="45"/>
      <c r="H1967" s="48"/>
      <c r="I1967" s="49"/>
    </row>
    <row r="1968" spans="2:9" s="1" customFormat="1" x14ac:dyDescent="0.2">
      <c r="B1968" s="44" t="str">
        <f t="shared" si="38"/>
        <v>2015-058-2</v>
      </c>
      <c r="C1968" s="45">
        <v>2015</v>
      </c>
      <c r="D1968" s="45" t="s">
        <v>87</v>
      </c>
      <c r="E1968" s="45">
        <v>2</v>
      </c>
      <c r="F1968" s="47" t="s">
        <v>44</v>
      </c>
      <c r="G1968" s="45"/>
      <c r="H1968" s="48"/>
      <c r="I1968" s="49"/>
    </row>
    <row r="1969" spans="2:9" s="1" customFormat="1" x14ac:dyDescent="0.2">
      <c r="B1969" s="44" t="str">
        <f t="shared" si="38"/>
        <v>2015-058-3</v>
      </c>
      <c r="C1969" s="45">
        <v>2015</v>
      </c>
      <c r="D1969" s="45" t="s">
        <v>87</v>
      </c>
      <c r="E1969" s="45">
        <v>3</v>
      </c>
      <c r="F1969" s="47" t="s">
        <v>47</v>
      </c>
      <c r="G1969" s="45"/>
      <c r="H1969" s="48"/>
      <c r="I1969" s="49"/>
    </row>
    <row r="1970" spans="2:9" s="1" customFormat="1" x14ac:dyDescent="0.2">
      <c r="B1970" s="44" t="str">
        <f t="shared" si="38"/>
        <v>2015-058-4</v>
      </c>
      <c r="C1970" s="45">
        <v>2015</v>
      </c>
      <c r="D1970" s="45" t="s">
        <v>87</v>
      </c>
      <c r="E1970" s="45">
        <v>4</v>
      </c>
      <c r="F1970" s="47" t="s">
        <v>55</v>
      </c>
      <c r="G1970" s="45" t="s">
        <v>3210</v>
      </c>
      <c r="H1970" s="48"/>
      <c r="I1970" s="49"/>
    </row>
    <row r="1971" spans="2:9" s="1" customFormat="1" x14ac:dyDescent="0.2">
      <c r="B1971" s="50" t="str">
        <f t="shared" si="38"/>
        <v>2015-058-5</v>
      </c>
      <c r="C1971" s="51">
        <v>2015</v>
      </c>
      <c r="D1971" s="51" t="s">
        <v>87</v>
      </c>
      <c r="E1971" s="51">
        <v>5</v>
      </c>
      <c r="F1971" s="67" t="s">
        <v>46</v>
      </c>
      <c r="G1971" s="51"/>
      <c r="H1971" s="53"/>
      <c r="I1971" s="54"/>
    </row>
    <row r="1972" spans="2:9" s="1" customFormat="1" x14ac:dyDescent="0.2">
      <c r="B1972" s="55" t="str">
        <f t="shared" si="38"/>
        <v>2015-059-0</v>
      </c>
      <c r="C1972" s="56">
        <v>2015</v>
      </c>
      <c r="D1972" s="56" t="s">
        <v>88</v>
      </c>
      <c r="E1972" s="56">
        <v>0</v>
      </c>
      <c r="F1972" s="57" t="s">
        <v>175</v>
      </c>
      <c r="G1972" s="56"/>
      <c r="H1972" s="58"/>
      <c r="I1972" s="59"/>
    </row>
    <row r="1973" spans="2:9" s="1" customFormat="1" x14ac:dyDescent="0.2">
      <c r="B1973" s="44" t="str">
        <f t="shared" si="38"/>
        <v>2015-059-1</v>
      </c>
      <c r="C1973" s="45">
        <v>2015</v>
      </c>
      <c r="D1973" s="45" t="s">
        <v>88</v>
      </c>
      <c r="E1973" s="45">
        <v>1</v>
      </c>
      <c r="F1973" s="47" t="s">
        <v>724</v>
      </c>
      <c r="G1973" s="45"/>
      <c r="H1973" s="48"/>
      <c r="I1973" s="49"/>
    </row>
    <row r="1974" spans="2:9" s="1" customFormat="1" x14ac:dyDescent="0.2">
      <c r="B1974" s="44" t="str">
        <f t="shared" si="38"/>
        <v>2015-059-2</v>
      </c>
      <c r="C1974" s="45">
        <v>2015</v>
      </c>
      <c r="D1974" s="45" t="s">
        <v>88</v>
      </c>
      <c r="E1974" s="45">
        <v>2</v>
      </c>
      <c r="F1974" s="47" t="s">
        <v>1123</v>
      </c>
      <c r="G1974" s="45"/>
      <c r="H1974" s="48"/>
      <c r="I1974" s="49"/>
    </row>
    <row r="1975" spans="2:9" s="1" customFormat="1" x14ac:dyDescent="0.2">
      <c r="B1975" s="44" t="str">
        <f t="shared" si="38"/>
        <v>2015-059-3</v>
      </c>
      <c r="C1975" s="45">
        <v>2015</v>
      </c>
      <c r="D1975" s="45" t="s">
        <v>88</v>
      </c>
      <c r="E1975" s="45">
        <v>3</v>
      </c>
      <c r="F1975" s="47" t="s">
        <v>1516</v>
      </c>
      <c r="G1975" s="45"/>
      <c r="H1975" s="48"/>
      <c r="I1975" s="49"/>
    </row>
    <row r="1976" spans="2:9" s="1" customFormat="1" x14ac:dyDescent="0.2">
      <c r="B1976" s="44" t="str">
        <f t="shared" si="38"/>
        <v>2015-059-4</v>
      </c>
      <c r="C1976" s="45">
        <v>2015</v>
      </c>
      <c r="D1976" s="45" t="s">
        <v>88</v>
      </c>
      <c r="E1976" s="45">
        <v>4</v>
      </c>
      <c r="F1976" s="47" t="s">
        <v>1911</v>
      </c>
      <c r="G1976" s="45"/>
      <c r="H1976" s="48"/>
      <c r="I1976" s="49"/>
    </row>
    <row r="1977" spans="2:9" s="1" customFormat="1" x14ac:dyDescent="0.2">
      <c r="B1977" s="50" t="str">
        <f t="shared" si="38"/>
        <v>2015-059-5</v>
      </c>
      <c r="C1977" s="51">
        <v>2015</v>
      </c>
      <c r="D1977" s="51" t="s">
        <v>88</v>
      </c>
      <c r="E1977" s="51">
        <v>5</v>
      </c>
      <c r="F1977" s="52" t="s">
        <v>2307</v>
      </c>
      <c r="G1977" s="51" t="s">
        <v>3210</v>
      </c>
      <c r="H1977" s="53"/>
      <c r="I1977" s="54"/>
    </row>
    <row r="1978" spans="2:9" s="1" customFormat="1" x14ac:dyDescent="0.2">
      <c r="B1978" s="55" t="str">
        <f t="shared" si="38"/>
        <v>2015-060-0</v>
      </c>
      <c r="C1978" s="56">
        <v>2015</v>
      </c>
      <c r="D1978" s="56" t="s">
        <v>89</v>
      </c>
      <c r="E1978" s="56">
        <v>0</v>
      </c>
      <c r="F1978" s="57" t="s">
        <v>329</v>
      </c>
      <c r="G1978" s="56"/>
      <c r="H1978" s="58"/>
      <c r="I1978" s="59"/>
    </row>
    <row r="1979" spans="2:9" s="1" customFormat="1" x14ac:dyDescent="0.2">
      <c r="B1979" s="44" t="str">
        <f t="shared" si="38"/>
        <v>2015-060-1</v>
      </c>
      <c r="C1979" s="45">
        <v>2015</v>
      </c>
      <c r="D1979" s="45" t="s">
        <v>89</v>
      </c>
      <c r="E1979" s="45">
        <v>1</v>
      </c>
      <c r="F1979" s="47" t="s">
        <v>725</v>
      </c>
      <c r="G1979" s="45"/>
      <c r="H1979" s="48"/>
      <c r="I1979" s="49"/>
    </row>
    <row r="1980" spans="2:9" s="1" customFormat="1" x14ac:dyDescent="0.2">
      <c r="B1980" s="44" t="str">
        <f t="shared" si="38"/>
        <v>2015-060-2</v>
      </c>
      <c r="C1980" s="45">
        <v>2015</v>
      </c>
      <c r="D1980" s="45" t="s">
        <v>89</v>
      </c>
      <c r="E1980" s="45">
        <v>2</v>
      </c>
      <c r="F1980" s="47" t="s">
        <v>1124</v>
      </c>
      <c r="G1980" s="45"/>
      <c r="H1980" s="48"/>
      <c r="I1980" s="49"/>
    </row>
    <row r="1981" spans="2:9" s="1" customFormat="1" x14ac:dyDescent="0.2">
      <c r="B1981" s="44" t="str">
        <f t="shared" si="38"/>
        <v>2015-060-3</v>
      </c>
      <c r="C1981" s="45">
        <v>2015</v>
      </c>
      <c r="D1981" s="45" t="s">
        <v>89</v>
      </c>
      <c r="E1981" s="45">
        <v>3</v>
      </c>
      <c r="F1981" s="47" t="s">
        <v>1517</v>
      </c>
      <c r="G1981" s="45"/>
      <c r="H1981" s="48"/>
      <c r="I1981" s="49"/>
    </row>
    <row r="1982" spans="2:9" s="1" customFormat="1" ht="27" x14ac:dyDescent="0.2">
      <c r="B1982" s="44" t="str">
        <f t="shared" si="38"/>
        <v>2015-060-4</v>
      </c>
      <c r="C1982" s="45">
        <v>2015</v>
      </c>
      <c r="D1982" s="45" t="s">
        <v>89</v>
      </c>
      <c r="E1982" s="45">
        <v>4</v>
      </c>
      <c r="F1982" s="47" t="s">
        <v>1912</v>
      </c>
      <c r="G1982" s="45"/>
      <c r="H1982" s="48"/>
      <c r="I1982" s="49"/>
    </row>
    <row r="1983" spans="2:9" s="1" customFormat="1" ht="27" x14ac:dyDescent="0.2">
      <c r="B1983" s="50" t="str">
        <f t="shared" si="38"/>
        <v>2015-060-5</v>
      </c>
      <c r="C1983" s="51">
        <v>2015</v>
      </c>
      <c r="D1983" s="51" t="s">
        <v>89</v>
      </c>
      <c r="E1983" s="51">
        <v>5</v>
      </c>
      <c r="F1983" s="52" t="s">
        <v>2308</v>
      </c>
      <c r="G1983" s="51" t="s">
        <v>3210</v>
      </c>
      <c r="H1983" s="53"/>
      <c r="I1983" s="54"/>
    </row>
    <row r="1984" spans="2:9" s="1" customFormat="1" x14ac:dyDescent="0.2">
      <c r="B1984" s="55" t="str">
        <f t="shared" si="38"/>
        <v>2015-061-0</v>
      </c>
      <c r="C1984" s="56">
        <v>2015</v>
      </c>
      <c r="D1984" s="56" t="s">
        <v>90</v>
      </c>
      <c r="E1984" s="56">
        <v>0</v>
      </c>
      <c r="F1984" s="57" t="s">
        <v>330</v>
      </c>
      <c r="G1984" s="56"/>
      <c r="H1984" s="58"/>
      <c r="I1984" s="59"/>
    </row>
    <row r="1985" spans="2:9" s="1" customFormat="1" x14ac:dyDescent="0.2">
      <c r="B1985" s="44" t="str">
        <f t="shared" si="38"/>
        <v>2015-061-1</v>
      </c>
      <c r="C1985" s="45">
        <v>2015</v>
      </c>
      <c r="D1985" s="45" t="s">
        <v>90</v>
      </c>
      <c r="E1985" s="45">
        <v>1</v>
      </c>
      <c r="F1985" s="47" t="s">
        <v>726</v>
      </c>
      <c r="G1985" s="45"/>
      <c r="H1985" s="48"/>
      <c r="I1985" s="49"/>
    </row>
    <row r="1986" spans="2:9" s="1" customFormat="1" x14ac:dyDescent="0.2">
      <c r="B1986" s="44" t="str">
        <f t="shared" si="38"/>
        <v>2015-061-2</v>
      </c>
      <c r="C1986" s="45">
        <v>2015</v>
      </c>
      <c r="D1986" s="45" t="s">
        <v>90</v>
      </c>
      <c r="E1986" s="45">
        <v>2</v>
      </c>
      <c r="F1986" s="47" t="s">
        <v>1125</v>
      </c>
      <c r="G1986" s="45" t="s">
        <v>3210</v>
      </c>
      <c r="H1986" s="48"/>
      <c r="I1986" s="49"/>
    </row>
    <row r="1987" spans="2:9" s="1" customFormat="1" ht="27" x14ac:dyDescent="0.2">
      <c r="B1987" s="44" t="str">
        <f t="shared" si="38"/>
        <v>2015-061-3</v>
      </c>
      <c r="C1987" s="45">
        <v>2015</v>
      </c>
      <c r="D1987" s="45" t="s">
        <v>90</v>
      </c>
      <c r="E1987" s="45">
        <v>3</v>
      </c>
      <c r="F1987" s="47" t="s">
        <v>1518</v>
      </c>
      <c r="G1987" s="45"/>
      <c r="H1987" s="48"/>
      <c r="I1987" s="49"/>
    </row>
    <row r="1988" spans="2:9" s="1" customFormat="1" ht="27" x14ac:dyDescent="0.2">
      <c r="B1988" s="44" t="str">
        <f t="shared" si="38"/>
        <v>2015-061-4</v>
      </c>
      <c r="C1988" s="45">
        <v>2015</v>
      </c>
      <c r="D1988" s="45" t="s">
        <v>90</v>
      </c>
      <c r="E1988" s="45">
        <v>4</v>
      </c>
      <c r="F1988" s="47" t="s">
        <v>1913</v>
      </c>
      <c r="G1988" s="45"/>
      <c r="H1988" s="48"/>
      <c r="I1988" s="49"/>
    </row>
    <row r="1989" spans="2:9" s="1" customFormat="1" ht="27" x14ac:dyDescent="0.2">
      <c r="B1989" s="50" t="str">
        <f t="shared" si="38"/>
        <v>2015-061-5</v>
      </c>
      <c r="C1989" s="51">
        <v>2015</v>
      </c>
      <c r="D1989" s="51" t="s">
        <v>90</v>
      </c>
      <c r="E1989" s="51">
        <v>5</v>
      </c>
      <c r="F1989" s="52" t="s">
        <v>2309</v>
      </c>
      <c r="G1989" s="51"/>
      <c r="H1989" s="53"/>
      <c r="I1989" s="54"/>
    </row>
    <row r="1990" spans="2:9" s="1" customFormat="1" x14ac:dyDescent="0.2">
      <c r="B1990" s="55" t="str">
        <f t="shared" si="38"/>
        <v>2015-062-0</v>
      </c>
      <c r="C1990" s="56">
        <v>2015</v>
      </c>
      <c r="D1990" s="56" t="s">
        <v>91</v>
      </c>
      <c r="E1990" s="56">
        <v>0</v>
      </c>
      <c r="F1990" s="57" t="s">
        <v>331</v>
      </c>
      <c r="G1990" s="56"/>
      <c r="H1990" s="58"/>
      <c r="I1990" s="59"/>
    </row>
    <row r="1991" spans="2:9" s="1" customFormat="1" x14ac:dyDescent="0.2">
      <c r="B1991" s="44" t="str">
        <f t="shared" si="38"/>
        <v>2015-062-1</v>
      </c>
      <c r="C1991" s="45">
        <v>2015</v>
      </c>
      <c r="D1991" s="45" t="s">
        <v>91</v>
      </c>
      <c r="E1991" s="45">
        <v>1</v>
      </c>
      <c r="F1991" s="47" t="s">
        <v>727</v>
      </c>
      <c r="G1991" s="45"/>
      <c r="H1991" s="48"/>
      <c r="I1991" s="49"/>
    </row>
    <row r="1992" spans="2:9" s="1" customFormat="1" ht="27" x14ac:dyDescent="0.2">
      <c r="B1992" s="44" t="str">
        <f t="shared" si="38"/>
        <v>2015-062-2</v>
      </c>
      <c r="C1992" s="45">
        <v>2015</v>
      </c>
      <c r="D1992" s="45" t="s">
        <v>91</v>
      </c>
      <c r="E1992" s="45">
        <v>2</v>
      </c>
      <c r="F1992" s="47" t="s">
        <v>1126</v>
      </c>
      <c r="G1992" s="45"/>
      <c r="H1992" s="48"/>
      <c r="I1992" s="49"/>
    </row>
    <row r="1993" spans="2:9" s="1" customFormat="1" ht="27" x14ac:dyDescent="0.2">
      <c r="B1993" s="44" t="str">
        <f t="shared" si="38"/>
        <v>2015-062-3</v>
      </c>
      <c r="C1993" s="45">
        <v>2015</v>
      </c>
      <c r="D1993" s="45" t="s">
        <v>91</v>
      </c>
      <c r="E1993" s="45">
        <v>3</v>
      </c>
      <c r="F1993" s="47" t="s">
        <v>1519</v>
      </c>
      <c r="G1993" s="45" t="s">
        <v>3210</v>
      </c>
      <c r="H1993" s="48"/>
      <c r="I1993" s="49"/>
    </row>
    <row r="1994" spans="2:9" s="1" customFormat="1" x14ac:dyDescent="0.2">
      <c r="B1994" s="44" t="str">
        <f t="shared" si="38"/>
        <v>2015-062-4</v>
      </c>
      <c r="C1994" s="45">
        <v>2015</v>
      </c>
      <c r="D1994" s="45" t="s">
        <v>91</v>
      </c>
      <c r="E1994" s="45">
        <v>4</v>
      </c>
      <c r="F1994" s="47" t="s">
        <v>1914</v>
      </c>
      <c r="G1994" s="45"/>
      <c r="H1994" s="48"/>
      <c r="I1994" s="49"/>
    </row>
    <row r="1995" spans="2:9" s="1" customFormat="1" x14ac:dyDescent="0.2">
      <c r="B1995" s="50" t="str">
        <f t="shared" si="38"/>
        <v>2015-062-5</v>
      </c>
      <c r="C1995" s="51">
        <v>2015</v>
      </c>
      <c r="D1995" s="51" t="s">
        <v>91</v>
      </c>
      <c r="E1995" s="51">
        <v>5</v>
      </c>
      <c r="F1995" s="52" t="s">
        <v>816</v>
      </c>
      <c r="G1995" s="51"/>
      <c r="H1995" s="53"/>
      <c r="I1995" s="54"/>
    </row>
    <row r="1996" spans="2:9" s="1" customFormat="1" x14ac:dyDescent="0.2">
      <c r="B1996" s="55" t="str">
        <f t="shared" si="38"/>
        <v>2015-063-0</v>
      </c>
      <c r="C1996" s="56">
        <v>2015</v>
      </c>
      <c r="D1996" s="56" t="s">
        <v>92</v>
      </c>
      <c r="E1996" s="56">
        <v>0</v>
      </c>
      <c r="F1996" s="57" t="s">
        <v>332</v>
      </c>
      <c r="G1996" s="56"/>
      <c r="H1996" s="58"/>
      <c r="I1996" s="59"/>
    </row>
    <row r="1997" spans="2:9" s="1" customFormat="1" x14ac:dyDescent="0.2">
      <c r="B1997" s="44" t="str">
        <f t="shared" si="38"/>
        <v>2015-063-1</v>
      </c>
      <c r="C1997" s="45">
        <v>2015</v>
      </c>
      <c r="D1997" s="45" t="s">
        <v>92</v>
      </c>
      <c r="E1997" s="45">
        <v>1</v>
      </c>
      <c r="F1997" s="47" t="s">
        <v>728</v>
      </c>
      <c r="G1997" s="45"/>
      <c r="H1997" s="48"/>
      <c r="I1997" s="49"/>
    </row>
    <row r="1998" spans="2:9" s="1" customFormat="1" x14ac:dyDescent="0.2">
      <c r="B1998" s="44" t="str">
        <f t="shared" si="38"/>
        <v>2015-063-2</v>
      </c>
      <c r="C1998" s="45">
        <v>2015</v>
      </c>
      <c r="D1998" s="45" t="s">
        <v>92</v>
      </c>
      <c r="E1998" s="45">
        <v>2</v>
      </c>
      <c r="F1998" s="47" t="s">
        <v>1127</v>
      </c>
      <c r="G1998" s="45"/>
      <c r="H1998" s="48"/>
      <c r="I1998" s="49"/>
    </row>
    <row r="1999" spans="2:9" s="1" customFormat="1" x14ac:dyDescent="0.2">
      <c r="B1999" s="44" t="str">
        <f t="shared" si="38"/>
        <v>2015-063-3</v>
      </c>
      <c r="C1999" s="45">
        <v>2015</v>
      </c>
      <c r="D1999" s="45" t="s">
        <v>92</v>
      </c>
      <c r="E1999" s="45">
        <v>3</v>
      </c>
      <c r="F1999" s="47" t="s">
        <v>1520</v>
      </c>
      <c r="G1999" s="45"/>
      <c r="H1999" s="48"/>
      <c r="I1999" s="49"/>
    </row>
    <row r="2000" spans="2:9" s="1" customFormat="1" ht="27" x14ac:dyDescent="0.2">
      <c r="B2000" s="44" t="str">
        <f t="shared" si="38"/>
        <v>2015-063-4</v>
      </c>
      <c r="C2000" s="45">
        <v>2015</v>
      </c>
      <c r="D2000" s="45" t="s">
        <v>92</v>
      </c>
      <c r="E2000" s="45">
        <v>4</v>
      </c>
      <c r="F2000" s="47" t="s">
        <v>1915</v>
      </c>
      <c r="G2000" s="45" t="s">
        <v>3210</v>
      </c>
      <c r="H2000" s="48"/>
      <c r="I2000" s="49"/>
    </row>
    <row r="2001" spans="2:9" s="1" customFormat="1" ht="27" x14ac:dyDescent="0.2">
      <c r="B2001" s="50" t="str">
        <f t="shared" si="38"/>
        <v>2015-063-5</v>
      </c>
      <c r="C2001" s="51">
        <v>2015</v>
      </c>
      <c r="D2001" s="51" t="s">
        <v>92</v>
      </c>
      <c r="E2001" s="51">
        <v>5</v>
      </c>
      <c r="F2001" s="52" t="s">
        <v>2310</v>
      </c>
      <c r="G2001" s="51"/>
      <c r="H2001" s="53"/>
      <c r="I2001" s="54"/>
    </row>
    <row r="2002" spans="2:9" s="1" customFormat="1" x14ac:dyDescent="0.2">
      <c r="B2002" s="55" t="str">
        <f t="shared" si="38"/>
        <v>2015-064-0</v>
      </c>
      <c r="C2002" s="56">
        <v>2015</v>
      </c>
      <c r="D2002" s="56" t="s">
        <v>93</v>
      </c>
      <c r="E2002" s="56">
        <v>0</v>
      </c>
      <c r="F2002" s="57" t="s">
        <v>333</v>
      </c>
      <c r="G2002" s="56"/>
      <c r="H2002" s="58"/>
      <c r="I2002" s="59"/>
    </row>
    <row r="2003" spans="2:9" s="1" customFormat="1" x14ac:dyDescent="0.2">
      <c r="B2003" s="44" t="str">
        <f t="shared" si="38"/>
        <v>2015-064-1</v>
      </c>
      <c r="C2003" s="45">
        <v>2015</v>
      </c>
      <c r="D2003" s="45" t="s">
        <v>93</v>
      </c>
      <c r="E2003" s="45">
        <v>1</v>
      </c>
      <c r="F2003" s="47" t="s">
        <v>729</v>
      </c>
      <c r="G2003" s="45" t="s">
        <v>3210</v>
      </c>
      <c r="H2003" s="48"/>
      <c r="I2003" s="49"/>
    </row>
    <row r="2004" spans="2:9" s="1" customFormat="1" ht="27" x14ac:dyDescent="0.2">
      <c r="B2004" s="44" t="str">
        <f t="shared" si="38"/>
        <v>2015-064-2</v>
      </c>
      <c r="C2004" s="45">
        <v>2015</v>
      </c>
      <c r="D2004" s="45" t="s">
        <v>93</v>
      </c>
      <c r="E2004" s="45">
        <v>2</v>
      </c>
      <c r="F2004" s="47" t="s">
        <v>1128</v>
      </c>
      <c r="G2004" s="45"/>
      <c r="H2004" s="48"/>
      <c r="I2004" s="49"/>
    </row>
    <row r="2005" spans="2:9" s="1" customFormat="1" ht="27" x14ac:dyDescent="0.2">
      <c r="B2005" s="44" t="str">
        <f t="shared" ref="B2005:B2068" si="39">C2005&amp;"-"&amp;D2005&amp;"-"&amp;E2005</f>
        <v>2015-064-3</v>
      </c>
      <c r="C2005" s="45">
        <v>2015</v>
      </c>
      <c r="D2005" s="45" t="s">
        <v>93</v>
      </c>
      <c r="E2005" s="45">
        <v>3</v>
      </c>
      <c r="F2005" s="47" t="s">
        <v>1521</v>
      </c>
      <c r="G2005" s="45"/>
      <c r="H2005" s="48"/>
      <c r="I2005" s="49"/>
    </row>
    <row r="2006" spans="2:9" s="1" customFormat="1" ht="27" x14ac:dyDescent="0.2">
      <c r="B2006" s="44" t="str">
        <f t="shared" si="39"/>
        <v>2015-064-4</v>
      </c>
      <c r="C2006" s="45">
        <v>2015</v>
      </c>
      <c r="D2006" s="45" t="s">
        <v>93</v>
      </c>
      <c r="E2006" s="45">
        <v>4</v>
      </c>
      <c r="F2006" s="47" t="s">
        <v>1916</v>
      </c>
      <c r="G2006" s="45"/>
      <c r="H2006" s="48"/>
      <c r="I2006" s="49"/>
    </row>
    <row r="2007" spans="2:9" s="1" customFormat="1" ht="27" x14ac:dyDescent="0.2">
      <c r="B2007" s="50" t="str">
        <f t="shared" si="39"/>
        <v>2015-064-5</v>
      </c>
      <c r="C2007" s="51">
        <v>2015</v>
      </c>
      <c r="D2007" s="51" t="s">
        <v>93</v>
      </c>
      <c r="E2007" s="51">
        <v>5</v>
      </c>
      <c r="F2007" s="52" t="s">
        <v>2311</v>
      </c>
      <c r="G2007" s="51"/>
      <c r="H2007" s="53"/>
      <c r="I2007" s="54"/>
    </row>
    <row r="2008" spans="2:9" s="1" customFormat="1" x14ac:dyDescent="0.2">
      <c r="B2008" s="55" t="str">
        <f t="shared" si="39"/>
        <v>2015-065-0</v>
      </c>
      <c r="C2008" s="56">
        <v>2015</v>
      </c>
      <c r="D2008" s="56" t="s">
        <v>94</v>
      </c>
      <c r="E2008" s="56">
        <v>0</v>
      </c>
      <c r="F2008" s="57" t="s">
        <v>183</v>
      </c>
      <c r="G2008" s="56"/>
      <c r="H2008" s="58"/>
      <c r="I2008" s="59"/>
    </row>
    <row r="2009" spans="2:9" s="1" customFormat="1" x14ac:dyDescent="0.2">
      <c r="B2009" s="44" t="str">
        <f t="shared" si="39"/>
        <v>2015-065-1</v>
      </c>
      <c r="C2009" s="45">
        <v>2015</v>
      </c>
      <c r="D2009" s="45" t="s">
        <v>94</v>
      </c>
      <c r="E2009" s="45">
        <v>1</v>
      </c>
      <c r="F2009" s="47" t="s">
        <v>730</v>
      </c>
      <c r="G2009" s="45" t="s">
        <v>3210</v>
      </c>
      <c r="H2009" s="48"/>
      <c r="I2009" s="49"/>
    </row>
    <row r="2010" spans="2:9" s="1" customFormat="1" x14ac:dyDescent="0.2">
      <c r="B2010" s="44" t="str">
        <f t="shared" si="39"/>
        <v>2015-065-2</v>
      </c>
      <c r="C2010" s="45">
        <v>2015</v>
      </c>
      <c r="D2010" s="45" t="s">
        <v>94</v>
      </c>
      <c r="E2010" s="45">
        <v>2</v>
      </c>
      <c r="F2010" s="47" t="s">
        <v>1129</v>
      </c>
      <c r="G2010" s="45"/>
      <c r="H2010" s="48"/>
      <c r="I2010" s="49"/>
    </row>
    <row r="2011" spans="2:9" s="1" customFormat="1" x14ac:dyDescent="0.2">
      <c r="B2011" s="44" t="str">
        <f t="shared" si="39"/>
        <v>2015-065-3</v>
      </c>
      <c r="C2011" s="45">
        <v>2015</v>
      </c>
      <c r="D2011" s="45" t="s">
        <v>94</v>
      </c>
      <c r="E2011" s="45">
        <v>3</v>
      </c>
      <c r="F2011" s="47" t="s">
        <v>1522</v>
      </c>
      <c r="G2011" s="45"/>
      <c r="H2011" s="48"/>
      <c r="I2011" s="49"/>
    </row>
    <row r="2012" spans="2:9" s="1" customFormat="1" x14ac:dyDescent="0.2">
      <c r="B2012" s="44" t="str">
        <f t="shared" si="39"/>
        <v>2015-065-4</v>
      </c>
      <c r="C2012" s="45">
        <v>2015</v>
      </c>
      <c r="D2012" s="45" t="s">
        <v>94</v>
      </c>
      <c r="E2012" s="45">
        <v>4</v>
      </c>
      <c r="F2012" s="47" t="s">
        <v>1917</v>
      </c>
      <c r="G2012" s="45"/>
      <c r="H2012" s="48"/>
      <c r="I2012" s="49"/>
    </row>
    <row r="2013" spans="2:9" s="1" customFormat="1" ht="27" x14ac:dyDescent="0.2">
      <c r="B2013" s="50" t="str">
        <f t="shared" si="39"/>
        <v>2015-065-5</v>
      </c>
      <c r="C2013" s="51">
        <v>2015</v>
      </c>
      <c r="D2013" s="51" t="s">
        <v>94</v>
      </c>
      <c r="E2013" s="51">
        <v>5</v>
      </c>
      <c r="F2013" s="52" t="s">
        <v>2312</v>
      </c>
      <c r="G2013" s="51"/>
      <c r="H2013" s="53"/>
      <c r="I2013" s="54"/>
    </row>
    <row r="2014" spans="2:9" s="1" customFormat="1" ht="81" x14ac:dyDescent="0.2">
      <c r="B2014" s="55" t="str">
        <f t="shared" si="39"/>
        <v>2015-066-0</v>
      </c>
      <c r="C2014" s="56">
        <v>2015</v>
      </c>
      <c r="D2014" s="56" t="s">
        <v>95</v>
      </c>
      <c r="E2014" s="56">
        <v>0</v>
      </c>
      <c r="F2014" s="57" t="s">
        <v>334</v>
      </c>
      <c r="G2014" s="56"/>
      <c r="H2014" s="58"/>
      <c r="I2014" s="59"/>
    </row>
    <row r="2015" spans="2:9" s="1" customFormat="1" x14ac:dyDescent="0.2">
      <c r="B2015" s="44" t="str">
        <f t="shared" si="39"/>
        <v>2015-066-1</v>
      </c>
      <c r="C2015" s="45">
        <v>2015</v>
      </c>
      <c r="D2015" s="45" t="s">
        <v>95</v>
      </c>
      <c r="E2015" s="45">
        <v>1</v>
      </c>
      <c r="F2015" s="47" t="s">
        <v>47</v>
      </c>
      <c r="G2015" s="45"/>
      <c r="H2015" s="48"/>
      <c r="I2015" s="49"/>
    </row>
    <row r="2016" spans="2:9" s="1" customFormat="1" x14ac:dyDescent="0.2">
      <c r="B2016" s="44" t="str">
        <f t="shared" si="39"/>
        <v>2015-066-2</v>
      </c>
      <c r="C2016" s="45">
        <v>2015</v>
      </c>
      <c r="D2016" s="45" t="s">
        <v>95</v>
      </c>
      <c r="E2016" s="45">
        <v>2</v>
      </c>
      <c r="F2016" s="47" t="s">
        <v>49</v>
      </c>
      <c r="G2016" s="45"/>
      <c r="H2016" s="48"/>
      <c r="I2016" s="49"/>
    </row>
    <row r="2017" spans="2:9" s="1" customFormat="1" x14ac:dyDescent="0.2">
      <c r="B2017" s="44" t="str">
        <f t="shared" si="39"/>
        <v>2015-066-3</v>
      </c>
      <c r="C2017" s="45">
        <v>2015</v>
      </c>
      <c r="D2017" s="45" t="s">
        <v>95</v>
      </c>
      <c r="E2017" s="45">
        <v>3</v>
      </c>
      <c r="F2017" s="47" t="s">
        <v>51</v>
      </c>
      <c r="G2017" s="45"/>
      <c r="H2017" s="48"/>
      <c r="I2017" s="49"/>
    </row>
    <row r="2018" spans="2:9" s="1" customFormat="1" x14ac:dyDescent="0.2">
      <c r="B2018" s="44" t="str">
        <f t="shared" si="39"/>
        <v>2015-066-4</v>
      </c>
      <c r="C2018" s="45">
        <v>2015</v>
      </c>
      <c r="D2018" s="45" t="s">
        <v>95</v>
      </c>
      <c r="E2018" s="45">
        <v>4</v>
      </c>
      <c r="F2018" s="47" t="s">
        <v>57</v>
      </c>
      <c r="G2018" s="45" t="s">
        <v>3210</v>
      </c>
      <c r="H2018" s="48"/>
      <c r="I2018" s="49"/>
    </row>
    <row r="2019" spans="2:9" s="1" customFormat="1" x14ac:dyDescent="0.2">
      <c r="B2019" s="50" t="str">
        <f t="shared" si="39"/>
        <v>2015-066-5</v>
      </c>
      <c r="C2019" s="51">
        <v>2015</v>
      </c>
      <c r="D2019" s="51" t="s">
        <v>95</v>
      </c>
      <c r="E2019" s="51">
        <v>5</v>
      </c>
      <c r="F2019" s="52" t="s">
        <v>60</v>
      </c>
      <c r="G2019" s="51"/>
      <c r="H2019" s="53"/>
      <c r="I2019" s="54"/>
    </row>
    <row r="2020" spans="2:9" s="1" customFormat="1" x14ac:dyDescent="0.2">
      <c r="B2020" s="55" t="str">
        <f t="shared" si="39"/>
        <v>2015-067-0</v>
      </c>
      <c r="C2020" s="56">
        <v>2015</v>
      </c>
      <c r="D2020" s="56" t="s">
        <v>96</v>
      </c>
      <c r="E2020" s="56">
        <v>0</v>
      </c>
      <c r="F2020" s="57" t="s">
        <v>335</v>
      </c>
      <c r="G2020" s="56"/>
      <c r="H2020" s="58"/>
      <c r="I2020" s="59"/>
    </row>
    <row r="2021" spans="2:9" s="1" customFormat="1" x14ac:dyDescent="0.2">
      <c r="B2021" s="44" t="str">
        <f t="shared" si="39"/>
        <v>2015-067-1</v>
      </c>
      <c r="C2021" s="45">
        <v>2015</v>
      </c>
      <c r="D2021" s="45" t="s">
        <v>96</v>
      </c>
      <c r="E2021" s="45">
        <v>1</v>
      </c>
      <c r="F2021" s="47" t="s">
        <v>731</v>
      </c>
      <c r="G2021" s="45"/>
      <c r="H2021" s="48"/>
      <c r="I2021" s="49"/>
    </row>
    <row r="2022" spans="2:9" s="1" customFormat="1" x14ac:dyDescent="0.2">
      <c r="B2022" s="44" t="str">
        <f t="shared" si="39"/>
        <v>2015-067-2</v>
      </c>
      <c r="C2022" s="45">
        <v>2015</v>
      </c>
      <c r="D2022" s="45" t="s">
        <v>96</v>
      </c>
      <c r="E2022" s="45">
        <v>2</v>
      </c>
      <c r="F2022" s="47" t="s">
        <v>1130</v>
      </c>
      <c r="G2022" s="45"/>
      <c r="H2022" s="48"/>
      <c r="I2022" s="49"/>
    </row>
    <row r="2023" spans="2:9" s="1" customFormat="1" x14ac:dyDescent="0.2">
      <c r="B2023" s="44" t="str">
        <f t="shared" si="39"/>
        <v>2015-067-3</v>
      </c>
      <c r="C2023" s="45">
        <v>2015</v>
      </c>
      <c r="D2023" s="45" t="s">
        <v>96</v>
      </c>
      <c r="E2023" s="45">
        <v>3</v>
      </c>
      <c r="F2023" s="47" t="s">
        <v>1523</v>
      </c>
      <c r="G2023" s="45"/>
      <c r="H2023" s="48"/>
      <c r="I2023" s="49"/>
    </row>
    <row r="2024" spans="2:9" s="1" customFormat="1" x14ac:dyDescent="0.2">
      <c r="B2024" s="44" t="str">
        <f t="shared" si="39"/>
        <v>2015-067-4</v>
      </c>
      <c r="C2024" s="45">
        <v>2015</v>
      </c>
      <c r="D2024" s="45" t="s">
        <v>96</v>
      </c>
      <c r="E2024" s="45">
        <v>4</v>
      </c>
      <c r="F2024" s="47" t="s">
        <v>1918</v>
      </c>
      <c r="G2024" s="45" t="s">
        <v>3210</v>
      </c>
      <c r="H2024" s="48"/>
      <c r="I2024" s="49"/>
    </row>
    <row r="2025" spans="2:9" s="1" customFormat="1" x14ac:dyDescent="0.2">
      <c r="B2025" s="50" t="str">
        <f t="shared" si="39"/>
        <v>2015-067-5</v>
      </c>
      <c r="C2025" s="51">
        <v>2015</v>
      </c>
      <c r="D2025" s="51" t="s">
        <v>96</v>
      </c>
      <c r="E2025" s="51">
        <v>5</v>
      </c>
      <c r="F2025" s="52" t="s">
        <v>2313</v>
      </c>
      <c r="G2025" s="51"/>
      <c r="H2025" s="53"/>
      <c r="I2025" s="54"/>
    </row>
    <row r="2026" spans="2:9" s="1" customFormat="1" x14ac:dyDescent="0.2">
      <c r="B2026" s="55" t="str">
        <f t="shared" si="39"/>
        <v>2015-068-0</v>
      </c>
      <c r="C2026" s="56">
        <v>2015</v>
      </c>
      <c r="D2026" s="56" t="s">
        <v>97</v>
      </c>
      <c r="E2026" s="56">
        <v>0</v>
      </c>
      <c r="F2026" s="57" t="s">
        <v>336</v>
      </c>
      <c r="G2026" s="56"/>
      <c r="H2026" s="58"/>
      <c r="I2026" s="59"/>
    </row>
    <row r="2027" spans="2:9" s="1" customFormat="1" x14ac:dyDescent="0.2">
      <c r="B2027" s="44" t="str">
        <f t="shared" si="39"/>
        <v>2015-068-1</v>
      </c>
      <c r="C2027" s="45">
        <v>2015</v>
      </c>
      <c r="D2027" s="45" t="s">
        <v>97</v>
      </c>
      <c r="E2027" s="45">
        <v>1</v>
      </c>
      <c r="F2027" s="47" t="s">
        <v>732</v>
      </c>
      <c r="G2027" s="45"/>
      <c r="H2027" s="48"/>
      <c r="I2027" s="49"/>
    </row>
    <row r="2028" spans="2:9" s="1" customFormat="1" x14ac:dyDescent="0.2">
      <c r="B2028" s="44" t="str">
        <f t="shared" si="39"/>
        <v>2015-068-2</v>
      </c>
      <c r="C2028" s="45">
        <v>2015</v>
      </c>
      <c r="D2028" s="45" t="s">
        <v>97</v>
      </c>
      <c r="E2028" s="45">
        <v>2</v>
      </c>
      <c r="F2028" s="47" t="s">
        <v>1131</v>
      </c>
      <c r="G2028" s="45"/>
      <c r="H2028" s="48"/>
      <c r="I2028" s="49"/>
    </row>
    <row r="2029" spans="2:9" s="1" customFormat="1" x14ac:dyDescent="0.2">
      <c r="B2029" s="44" t="str">
        <f t="shared" si="39"/>
        <v>2015-068-3</v>
      </c>
      <c r="C2029" s="45">
        <v>2015</v>
      </c>
      <c r="D2029" s="45" t="s">
        <v>97</v>
      </c>
      <c r="E2029" s="45">
        <v>3</v>
      </c>
      <c r="F2029" s="47" t="s">
        <v>1524</v>
      </c>
      <c r="G2029" s="45"/>
      <c r="H2029" s="48"/>
      <c r="I2029" s="49"/>
    </row>
    <row r="2030" spans="2:9" s="1" customFormat="1" x14ac:dyDescent="0.2">
      <c r="B2030" s="44" t="str">
        <f t="shared" si="39"/>
        <v>2015-068-4</v>
      </c>
      <c r="C2030" s="45">
        <v>2015</v>
      </c>
      <c r="D2030" s="45" t="s">
        <v>97</v>
      </c>
      <c r="E2030" s="45">
        <v>4</v>
      </c>
      <c r="F2030" s="47" t="s">
        <v>1919</v>
      </c>
      <c r="G2030" s="45"/>
      <c r="H2030" s="48"/>
      <c r="I2030" s="49"/>
    </row>
    <row r="2031" spans="2:9" s="1" customFormat="1" x14ac:dyDescent="0.2">
      <c r="B2031" s="50" t="str">
        <f t="shared" si="39"/>
        <v>2015-068-5</v>
      </c>
      <c r="C2031" s="51">
        <v>2015</v>
      </c>
      <c r="D2031" s="51" t="s">
        <v>97</v>
      </c>
      <c r="E2031" s="51">
        <v>5</v>
      </c>
      <c r="F2031" s="52" t="s">
        <v>2314</v>
      </c>
      <c r="G2031" s="51" t="s">
        <v>3210</v>
      </c>
      <c r="H2031" s="53"/>
      <c r="I2031" s="54"/>
    </row>
    <row r="2032" spans="2:9" s="1" customFormat="1" x14ac:dyDescent="0.2">
      <c r="B2032" s="55" t="str">
        <f t="shared" si="39"/>
        <v>2015-069-0</v>
      </c>
      <c r="C2032" s="56">
        <v>2015</v>
      </c>
      <c r="D2032" s="56" t="s">
        <v>98</v>
      </c>
      <c r="E2032" s="56">
        <v>0</v>
      </c>
      <c r="F2032" s="57" t="s">
        <v>133</v>
      </c>
      <c r="G2032" s="56"/>
      <c r="H2032" s="58"/>
      <c r="I2032" s="59"/>
    </row>
    <row r="2033" spans="2:9" s="1" customFormat="1" ht="27" x14ac:dyDescent="0.2">
      <c r="B2033" s="44" t="str">
        <f t="shared" si="39"/>
        <v>2015-069-1</v>
      </c>
      <c r="C2033" s="45">
        <v>2015</v>
      </c>
      <c r="D2033" s="45" t="s">
        <v>98</v>
      </c>
      <c r="E2033" s="45">
        <v>1</v>
      </c>
      <c r="F2033" s="47" t="s">
        <v>733</v>
      </c>
      <c r="G2033" s="45"/>
      <c r="H2033" s="48"/>
      <c r="I2033" s="49"/>
    </row>
    <row r="2034" spans="2:9" s="1" customFormat="1" ht="27" x14ac:dyDescent="0.2">
      <c r="B2034" s="44" t="str">
        <f t="shared" si="39"/>
        <v>2015-069-2</v>
      </c>
      <c r="C2034" s="45">
        <v>2015</v>
      </c>
      <c r="D2034" s="45" t="s">
        <v>98</v>
      </c>
      <c r="E2034" s="45">
        <v>2</v>
      </c>
      <c r="F2034" s="47" t="s">
        <v>1132</v>
      </c>
      <c r="G2034" s="45"/>
      <c r="H2034" s="48"/>
      <c r="I2034" s="49"/>
    </row>
    <row r="2035" spans="2:9" s="1" customFormat="1" x14ac:dyDescent="0.2">
      <c r="B2035" s="44" t="str">
        <f t="shared" si="39"/>
        <v>2015-069-3</v>
      </c>
      <c r="C2035" s="45">
        <v>2015</v>
      </c>
      <c r="D2035" s="45" t="s">
        <v>98</v>
      </c>
      <c r="E2035" s="45">
        <v>3</v>
      </c>
      <c r="F2035" s="47" t="s">
        <v>1525</v>
      </c>
      <c r="G2035" s="45" t="s">
        <v>3210</v>
      </c>
      <c r="H2035" s="48"/>
      <c r="I2035" s="49"/>
    </row>
    <row r="2036" spans="2:9" s="1" customFormat="1" ht="27" x14ac:dyDescent="0.2">
      <c r="B2036" s="44" t="str">
        <f t="shared" si="39"/>
        <v>2015-069-4</v>
      </c>
      <c r="C2036" s="45">
        <v>2015</v>
      </c>
      <c r="D2036" s="45" t="s">
        <v>98</v>
      </c>
      <c r="E2036" s="45">
        <v>4</v>
      </c>
      <c r="F2036" s="47" t="s">
        <v>1920</v>
      </c>
      <c r="G2036" s="45"/>
      <c r="H2036" s="48"/>
      <c r="I2036" s="49"/>
    </row>
    <row r="2037" spans="2:9" s="1" customFormat="1" ht="27" x14ac:dyDescent="0.2">
      <c r="B2037" s="50" t="str">
        <f t="shared" si="39"/>
        <v>2015-069-5</v>
      </c>
      <c r="C2037" s="51">
        <v>2015</v>
      </c>
      <c r="D2037" s="51" t="s">
        <v>98</v>
      </c>
      <c r="E2037" s="51">
        <v>5</v>
      </c>
      <c r="F2037" s="52" t="s">
        <v>2315</v>
      </c>
      <c r="G2037" s="51"/>
      <c r="H2037" s="53"/>
      <c r="I2037" s="54"/>
    </row>
    <row r="2038" spans="2:9" s="1" customFormat="1" x14ac:dyDescent="0.2">
      <c r="B2038" s="55" t="str">
        <f t="shared" si="39"/>
        <v>2015-070-0</v>
      </c>
      <c r="C2038" s="56">
        <v>2015</v>
      </c>
      <c r="D2038" s="56" t="s">
        <v>99</v>
      </c>
      <c r="E2038" s="56">
        <v>0</v>
      </c>
      <c r="F2038" s="57" t="s">
        <v>337</v>
      </c>
      <c r="G2038" s="56"/>
      <c r="H2038" s="58"/>
      <c r="I2038" s="59"/>
    </row>
    <row r="2039" spans="2:9" s="1" customFormat="1" x14ac:dyDescent="0.2">
      <c r="B2039" s="44" t="str">
        <f t="shared" si="39"/>
        <v>2015-070-1</v>
      </c>
      <c r="C2039" s="45">
        <v>2015</v>
      </c>
      <c r="D2039" s="45" t="s">
        <v>99</v>
      </c>
      <c r="E2039" s="45">
        <v>1</v>
      </c>
      <c r="F2039" s="47" t="s">
        <v>734</v>
      </c>
      <c r="G2039" s="45"/>
      <c r="H2039" s="48"/>
      <c r="I2039" s="49"/>
    </row>
    <row r="2040" spans="2:9" s="1" customFormat="1" x14ac:dyDescent="0.2">
      <c r="B2040" s="44" t="str">
        <f t="shared" si="39"/>
        <v>2015-070-2</v>
      </c>
      <c r="C2040" s="45">
        <v>2015</v>
      </c>
      <c r="D2040" s="45" t="s">
        <v>99</v>
      </c>
      <c r="E2040" s="45">
        <v>2</v>
      </c>
      <c r="F2040" s="47" t="s">
        <v>2497</v>
      </c>
      <c r="G2040" s="45" t="s">
        <v>3210</v>
      </c>
      <c r="H2040" s="48"/>
      <c r="I2040" s="49"/>
    </row>
    <row r="2041" spans="2:9" s="1" customFormat="1" ht="27" x14ac:dyDescent="0.2">
      <c r="B2041" s="44" t="str">
        <f t="shared" si="39"/>
        <v>2015-070-3</v>
      </c>
      <c r="C2041" s="45">
        <v>2015</v>
      </c>
      <c r="D2041" s="45" t="s">
        <v>99</v>
      </c>
      <c r="E2041" s="45">
        <v>3</v>
      </c>
      <c r="F2041" s="47" t="s">
        <v>1526</v>
      </c>
      <c r="G2041" s="45"/>
      <c r="H2041" s="48"/>
      <c r="I2041" s="49"/>
    </row>
    <row r="2042" spans="2:9" s="1" customFormat="1" x14ac:dyDescent="0.2">
      <c r="B2042" s="44" t="str">
        <f t="shared" si="39"/>
        <v>2015-070-4</v>
      </c>
      <c r="C2042" s="45">
        <v>2015</v>
      </c>
      <c r="D2042" s="45" t="s">
        <v>99</v>
      </c>
      <c r="E2042" s="45">
        <v>4</v>
      </c>
      <c r="F2042" s="47" t="s">
        <v>1921</v>
      </c>
      <c r="G2042" s="45"/>
      <c r="H2042" s="48"/>
      <c r="I2042" s="49"/>
    </row>
    <row r="2043" spans="2:9" s="1" customFormat="1" x14ac:dyDescent="0.2">
      <c r="B2043" s="50" t="str">
        <f t="shared" si="39"/>
        <v>2015-070-5</v>
      </c>
      <c r="C2043" s="51">
        <v>2015</v>
      </c>
      <c r="D2043" s="51" t="s">
        <v>99</v>
      </c>
      <c r="E2043" s="51">
        <v>5</v>
      </c>
      <c r="F2043" s="52" t="s">
        <v>2316</v>
      </c>
      <c r="G2043" s="51"/>
      <c r="H2043" s="53"/>
      <c r="I2043" s="54"/>
    </row>
    <row r="2044" spans="2:9" s="1" customFormat="1" x14ac:dyDescent="0.2">
      <c r="B2044" s="55" t="str">
        <f t="shared" si="39"/>
        <v>2015-071-0</v>
      </c>
      <c r="C2044" s="56">
        <v>2015</v>
      </c>
      <c r="D2044" s="56" t="s">
        <v>100</v>
      </c>
      <c r="E2044" s="56">
        <v>0</v>
      </c>
      <c r="F2044" s="57" t="s">
        <v>275</v>
      </c>
      <c r="G2044" s="56"/>
      <c r="H2044" s="58"/>
      <c r="I2044" s="59"/>
    </row>
    <row r="2045" spans="2:9" s="1" customFormat="1" ht="27" x14ac:dyDescent="0.2">
      <c r="B2045" s="44" t="str">
        <f t="shared" si="39"/>
        <v>2015-071-1</v>
      </c>
      <c r="C2045" s="45">
        <v>2015</v>
      </c>
      <c r="D2045" s="45" t="s">
        <v>100</v>
      </c>
      <c r="E2045" s="45">
        <v>1</v>
      </c>
      <c r="F2045" s="47" t="s">
        <v>735</v>
      </c>
      <c r="G2045" s="45"/>
      <c r="H2045" s="48"/>
      <c r="I2045" s="49"/>
    </row>
    <row r="2046" spans="2:9" s="1" customFormat="1" x14ac:dyDescent="0.2">
      <c r="B2046" s="44" t="str">
        <f t="shared" si="39"/>
        <v>2015-071-2</v>
      </c>
      <c r="C2046" s="45">
        <v>2015</v>
      </c>
      <c r="D2046" s="45" t="s">
        <v>100</v>
      </c>
      <c r="E2046" s="45">
        <v>2</v>
      </c>
      <c r="F2046" s="47" t="s">
        <v>1133</v>
      </c>
      <c r="G2046" s="45" t="s">
        <v>3210</v>
      </c>
      <c r="H2046" s="48"/>
      <c r="I2046" s="49"/>
    </row>
    <row r="2047" spans="2:9" s="1" customFormat="1" ht="27" x14ac:dyDescent="0.2">
      <c r="B2047" s="44" t="str">
        <f t="shared" si="39"/>
        <v>2015-071-3</v>
      </c>
      <c r="C2047" s="45">
        <v>2015</v>
      </c>
      <c r="D2047" s="45" t="s">
        <v>100</v>
      </c>
      <c r="E2047" s="45">
        <v>3</v>
      </c>
      <c r="F2047" s="47" t="s">
        <v>1527</v>
      </c>
      <c r="G2047" s="45"/>
      <c r="H2047" s="48"/>
      <c r="I2047" s="49"/>
    </row>
    <row r="2048" spans="2:9" s="1" customFormat="1" x14ac:dyDescent="0.2">
      <c r="B2048" s="44" t="str">
        <f t="shared" si="39"/>
        <v>2015-071-4</v>
      </c>
      <c r="C2048" s="45">
        <v>2015</v>
      </c>
      <c r="D2048" s="45" t="s">
        <v>100</v>
      </c>
      <c r="E2048" s="45">
        <v>4</v>
      </c>
      <c r="F2048" s="47" t="s">
        <v>1922</v>
      </c>
      <c r="G2048" s="45"/>
      <c r="H2048" s="48"/>
      <c r="I2048" s="49"/>
    </row>
    <row r="2049" spans="2:9" s="1" customFormat="1" ht="27" x14ac:dyDescent="0.2">
      <c r="B2049" s="50" t="str">
        <f t="shared" si="39"/>
        <v>2015-071-5</v>
      </c>
      <c r="C2049" s="51">
        <v>2015</v>
      </c>
      <c r="D2049" s="51" t="s">
        <v>100</v>
      </c>
      <c r="E2049" s="51">
        <v>5</v>
      </c>
      <c r="F2049" s="52" t="s">
        <v>2317</v>
      </c>
      <c r="G2049" s="51"/>
      <c r="H2049" s="53"/>
      <c r="I2049" s="54"/>
    </row>
    <row r="2050" spans="2:9" s="1" customFormat="1" x14ac:dyDescent="0.2">
      <c r="B2050" s="55" t="str">
        <f t="shared" si="39"/>
        <v>2015-072-0</v>
      </c>
      <c r="C2050" s="56">
        <v>2015</v>
      </c>
      <c r="D2050" s="56" t="s">
        <v>101</v>
      </c>
      <c r="E2050" s="56">
        <v>0</v>
      </c>
      <c r="F2050" s="57" t="s">
        <v>320</v>
      </c>
      <c r="G2050" s="56"/>
      <c r="H2050" s="58"/>
      <c r="I2050" s="59"/>
    </row>
    <row r="2051" spans="2:9" s="1" customFormat="1" x14ac:dyDescent="0.2">
      <c r="B2051" s="44" t="str">
        <f t="shared" si="39"/>
        <v>2015-072-1</v>
      </c>
      <c r="C2051" s="45">
        <v>2015</v>
      </c>
      <c r="D2051" s="45" t="s">
        <v>101</v>
      </c>
      <c r="E2051" s="45">
        <v>1</v>
      </c>
      <c r="F2051" s="47" t="s">
        <v>736</v>
      </c>
      <c r="G2051" s="45" t="s">
        <v>3210</v>
      </c>
      <c r="H2051" s="48"/>
      <c r="I2051" s="49"/>
    </row>
    <row r="2052" spans="2:9" s="1" customFormat="1" x14ac:dyDescent="0.2">
      <c r="B2052" s="44" t="str">
        <f t="shared" si="39"/>
        <v>2015-072-2</v>
      </c>
      <c r="C2052" s="45">
        <v>2015</v>
      </c>
      <c r="D2052" s="45" t="s">
        <v>101</v>
      </c>
      <c r="E2052" s="45">
        <v>2</v>
      </c>
      <c r="F2052" s="47" t="s">
        <v>1134</v>
      </c>
      <c r="G2052" s="45"/>
      <c r="H2052" s="48"/>
      <c r="I2052" s="49"/>
    </row>
    <row r="2053" spans="2:9" s="1" customFormat="1" x14ac:dyDescent="0.2">
      <c r="B2053" s="44" t="str">
        <f t="shared" si="39"/>
        <v>2015-072-3</v>
      </c>
      <c r="C2053" s="45">
        <v>2015</v>
      </c>
      <c r="D2053" s="45" t="s">
        <v>101</v>
      </c>
      <c r="E2053" s="45">
        <v>3</v>
      </c>
      <c r="F2053" s="47" t="s">
        <v>1528</v>
      </c>
      <c r="G2053" s="45"/>
      <c r="H2053" s="48"/>
      <c r="I2053" s="49"/>
    </row>
    <row r="2054" spans="2:9" s="1" customFormat="1" x14ac:dyDescent="0.2">
      <c r="B2054" s="44" t="str">
        <f t="shared" si="39"/>
        <v>2015-072-4</v>
      </c>
      <c r="C2054" s="45">
        <v>2015</v>
      </c>
      <c r="D2054" s="45" t="s">
        <v>101</v>
      </c>
      <c r="E2054" s="45">
        <v>4</v>
      </c>
      <c r="F2054" s="47" t="s">
        <v>1923</v>
      </c>
      <c r="G2054" s="45"/>
      <c r="H2054" s="48"/>
      <c r="I2054" s="49"/>
    </row>
    <row r="2055" spans="2:9" s="1" customFormat="1" x14ac:dyDescent="0.2">
      <c r="B2055" s="50" t="str">
        <f t="shared" si="39"/>
        <v>2015-072-5</v>
      </c>
      <c r="C2055" s="51">
        <v>2015</v>
      </c>
      <c r="D2055" s="51" t="s">
        <v>101</v>
      </c>
      <c r="E2055" s="51">
        <v>5</v>
      </c>
      <c r="F2055" s="52" t="s">
        <v>2318</v>
      </c>
      <c r="G2055" s="51"/>
      <c r="H2055" s="53"/>
      <c r="I2055" s="54"/>
    </row>
    <row r="2056" spans="2:9" s="1" customFormat="1" x14ac:dyDescent="0.2">
      <c r="B2056" s="55" t="str">
        <f t="shared" si="39"/>
        <v>2015-073-0</v>
      </c>
      <c r="C2056" s="56">
        <v>2015</v>
      </c>
      <c r="D2056" s="56" t="s">
        <v>102</v>
      </c>
      <c r="E2056" s="56">
        <v>0</v>
      </c>
      <c r="F2056" s="57" t="s">
        <v>212</v>
      </c>
      <c r="G2056" s="56"/>
      <c r="H2056" s="58"/>
      <c r="I2056" s="59"/>
    </row>
    <row r="2057" spans="2:9" s="1" customFormat="1" x14ac:dyDescent="0.2">
      <c r="B2057" s="44" t="str">
        <f t="shared" si="39"/>
        <v>2015-073-1</v>
      </c>
      <c r="C2057" s="45">
        <v>2015</v>
      </c>
      <c r="D2057" s="45" t="s">
        <v>102</v>
      </c>
      <c r="E2057" s="45">
        <v>1</v>
      </c>
      <c r="F2057" s="47" t="s">
        <v>737</v>
      </c>
      <c r="G2057" s="45"/>
      <c r="H2057" s="48"/>
      <c r="I2057" s="49"/>
    </row>
    <row r="2058" spans="2:9" s="1" customFormat="1" x14ac:dyDescent="0.2">
      <c r="B2058" s="44" t="str">
        <f t="shared" si="39"/>
        <v>2015-073-2</v>
      </c>
      <c r="C2058" s="45">
        <v>2015</v>
      </c>
      <c r="D2058" s="45" t="s">
        <v>102</v>
      </c>
      <c r="E2058" s="45">
        <v>2</v>
      </c>
      <c r="F2058" s="47" t="s">
        <v>1135</v>
      </c>
      <c r="G2058" s="45"/>
      <c r="H2058" s="48"/>
      <c r="I2058" s="49"/>
    </row>
    <row r="2059" spans="2:9" s="1" customFormat="1" ht="27" x14ac:dyDescent="0.2">
      <c r="B2059" s="44" t="str">
        <f t="shared" si="39"/>
        <v>2015-073-3</v>
      </c>
      <c r="C2059" s="45">
        <v>2015</v>
      </c>
      <c r="D2059" s="45" t="s">
        <v>102</v>
      </c>
      <c r="E2059" s="45">
        <v>3</v>
      </c>
      <c r="F2059" s="47" t="s">
        <v>1529</v>
      </c>
      <c r="G2059" s="45"/>
      <c r="H2059" s="48"/>
      <c r="I2059" s="49"/>
    </row>
    <row r="2060" spans="2:9" s="1" customFormat="1" x14ac:dyDescent="0.2">
      <c r="B2060" s="44" t="str">
        <f t="shared" si="39"/>
        <v>2015-073-4</v>
      </c>
      <c r="C2060" s="45">
        <v>2015</v>
      </c>
      <c r="D2060" s="45" t="s">
        <v>102</v>
      </c>
      <c r="E2060" s="45">
        <v>4</v>
      </c>
      <c r="F2060" s="47" t="s">
        <v>1924</v>
      </c>
      <c r="G2060" s="45" t="s">
        <v>3210</v>
      </c>
      <c r="H2060" s="48"/>
      <c r="I2060" s="49"/>
    </row>
    <row r="2061" spans="2:9" s="1" customFormat="1" x14ac:dyDescent="0.2">
      <c r="B2061" s="50" t="str">
        <f t="shared" si="39"/>
        <v>2015-073-5</v>
      </c>
      <c r="C2061" s="51">
        <v>2015</v>
      </c>
      <c r="D2061" s="51" t="s">
        <v>102</v>
      </c>
      <c r="E2061" s="51">
        <v>5</v>
      </c>
      <c r="F2061" s="52" t="s">
        <v>2319</v>
      </c>
      <c r="G2061" s="51"/>
      <c r="H2061" s="53"/>
      <c r="I2061" s="54"/>
    </row>
    <row r="2062" spans="2:9" s="1" customFormat="1" x14ac:dyDescent="0.2">
      <c r="B2062" s="55" t="str">
        <f t="shared" si="39"/>
        <v>2015-074-0</v>
      </c>
      <c r="C2062" s="56">
        <v>2015</v>
      </c>
      <c r="D2062" s="56" t="s">
        <v>103</v>
      </c>
      <c r="E2062" s="56">
        <v>0</v>
      </c>
      <c r="F2062" s="57" t="s">
        <v>142</v>
      </c>
      <c r="G2062" s="56"/>
      <c r="H2062" s="58"/>
      <c r="I2062" s="59"/>
    </row>
    <row r="2063" spans="2:9" s="1" customFormat="1" ht="27" x14ac:dyDescent="0.2">
      <c r="B2063" s="44" t="str">
        <f t="shared" si="39"/>
        <v>2015-074-1</v>
      </c>
      <c r="C2063" s="45">
        <v>2015</v>
      </c>
      <c r="D2063" s="45" t="s">
        <v>103</v>
      </c>
      <c r="E2063" s="45">
        <v>1</v>
      </c>
      <c r="F2063" s="47" t="s">
        <v>738</v>
      </c>
      <c r="G2063" s="45"/>
      <c r="H2063" s="48"/>
      <c r="I2063" s="49"/>
    </row>
    <row r="2064" spans="2:9" s="1" customFormat="1" x14ac:dyDescent="0.2">
      <c r="B2064" s="44" t="str">
        <f t="shared" si="39"/>
        <v>2015-074-2</v>
      </c>
      <c r="C2064" s="45">
        <v>2015</v>
      </c>
      <c r="D2064" s="45" t="s">
        <v>103</v>
      </c>
      <c r="E2064" s="45">
        <v>2</v>
      </c>
      <c r="F2064" s="47" t="s">
        <v>1136</v>
      </c>
      <c r="G2064" s="45"/>
      <c r="H2064" s="48"/>
      <c r="I2064" s="49"/>
    </row>
    <row r="2065" spans="2:9" s="1" customFormat="1" x14ac:dyDescent="0.2">
      <c r="B2065" s="44" t="str">
        <f t="shared" si="39"/>
        <v>2015-074-3</v>
      </c>
      <c r="C2065" s="45">
        <v>2015</v>
      </c>
      <c r="D2065" s="45" t="s">
        <v>103</v>
      </c>
      <c r="E2065" s="45">
        <v>3</v>
      </c>
      <c r="F2065" s="47" t="s">
        <v>1530</v>
      </c>
      <c r="G2065" s="45" t="s">
        <v>3210</v>
      </c>
      <c r="H2065" s="48"/>
      <c r="I2065" s="49"/>
    </row>
    <row r="2066" spans="2:9" s="1" customFormat="1" x14ac:dyDescent="0.2">
      <c r="B2066" s="44" t="str">
        <f t="shared" si="39"/>
        <v>2015-074-4</v>
      </c>
      <c r="C2066" s="45">
        <v>2015</v>
      </c>
      <c r="D2066" s="45" t="s">
        <v>103</v>
      </c>
      <c r="E2066" s="45">
        <v>4</v>
      </c>
      <c r="F2066" s="47" t="s">
        <v>1925</v>
      </c>
      <c r="G2066" s="45"/>
      <c r="H2066" s="48"/>
      <c r="I2066" s="49"/>
    </row>
    <row r="2067" spans="2:9" s="1" customFormat="1" ht="27" x14ac:dyDescent="0.2">
      <c r="B2067" s="50" t="str">
        <f t="shared" si="39"/>
        <v>2015-074-5</v>
      </c>
      <c r="C2067" s="51">
        <v>2015</v>
      </c>
      <c r="D2067" s="51" t="s">
        <v>103</v>
      </c>
      <c r="E2067" s="51">
        <v>5</v>
      </c>
      <c r="F2067" s="52" t="s">
        <v>2320</v>
      </c>
      <c r="G2067" s="51"/>
      <c r="H2067" s="53"/>
      <c r="I2067" s="54"/>
    </row>
    <row r="2068" spans="2:9" s="1" customFormat="1" ht="121.5" x14ac:dyDescent="0.2">
      <c r="B2068" s="55" t="str">
        <f t="shared" si="39"/>
        <v>2015-075-0</v>
      </c>
      <c r="C2068" s="56">
        <v>2015</v>
      </c>
      <c r="D2068" s="56" t="s">
        <v>104</v>
      </c>
      <c r="E2068" s="56">
        <v>0</v>
      </c>
      <c r="F2068" s="57" t="s">
        <v>338</v>
      </c>
      <c r="G2068" s="56"/>
      <c r="H2068" s="58"/>
      <c r="I2068" s="59"/>
    </row>
    <row r="2069" spans="2:9" s="1" customFormat="1" x14ac:dyDescent="0.2">
      <c r="B2069" s="44" t="str">
        <f t="shared" ref="B2069:B2073" si="40">C2069&amp;"-"&amp;D2069&amp;"-"&amp;E2069</f>
        <v>2015-075-1</v>
      </c>
      <c r="C2069" s="45">
        <v>2015</v>
      </c>
      <c r="D2069" s="45" t="s">
        <v>104</v>
      </c>
      <c r="E2069" s="45">
        <v>1</v>
      </c>
      <c r="F2069" s="47" t="s">
        <v>45</v>
      </c>
      <c r="G2069" s="45"/>
      <c r="H2069" s="48"/>
      <c r="I2069" s="49"/>
    </row>
    <row r="2070" spans="2:9" s="1" customFormat="1" x14ac:dyDescent="0.2">
      <c r="B2070" s="44" t="str">
        <f t="shared" si="40"/>
        <v>2015-075-2</v>
      </c>
      <c r="C2070" s="45">
        <v>2015</v>
      </c>
      <c r="D2070" s="45" t="s">
        <v>104</v>
      </c>
      <c r="E2070" s="45">
        <v>2</v>
      </c>
      <c r="F2070" s="47" t="s">
        <v>44</v>
      </c>
      <c r="G2070" s="45"/>
      <c r="H2070" s="48"/>
      <c r="I2070" s="49"/>
    </row>
    <row r="2071" spans="2:9" s="1" customFormat="1" x14ac:dyDescent="0.2">
      <c r="B2071" s="44" t="str">
        <f t="shared" si="40"/>
        <v>2015-075-3</v>
      </c>
      <c r="C2071" s="45">
        <v>2015</v>
      </c>
      <c r="D2071" s="45" t="s">
        <v>104</v>
      </c>
      <c r="E2071" s="45">
        <v>3</v>
      </c>
      <c r="F2071" s="47" t="s">
        <v>47</v>
      </c>
      <c r="G2071" s="45"/>
      <c r="H2071" s="48"/>
      <c r="I2071" s="49"/>
    </row>
    <row r="2072" spans="2:9" s="1" customFormat="1" x14ac:dyDescent="0.2">
      <c r="B2072" s="44" t="str">
        <f t="shared" si="40"/>
        <v>2015-075-4</v>
      </c>
      <c r="C2072" s="45">
        <v>2015</v>
      </c>
      <c r="D2072" s="45" t="s">
        <v>104</v>
      </c>
      <c r="E2072" s="45">
        <v>4</v>
      </c>
      <c r="F2072" s="47" t="s">
        <v>55</v>
      </c>
      <c r="G2072" s="45"/>
      <c r="H2072" s="48"/>
      <c r="I2072" s="49"/>
    </row>
    <row r="2073" spans="2:9" s="1" customFormat="1" ht="14.25" thickBot="1" x14ac:dyDescent="0.25">
      <c r="B2073" s="60" t="str">
        <f t="shared" si="40"/>
        <v>2015-075-5</v>
      </c>
      <c r="C2073" s="61">
        <v>2015</v>
      </c>
      <c r="D2073" s="61" t="s">
        <v>104</v>
      </c>
      <c r="E2073" s="61">
        <v>5</v>
      </c>
      <c r="F2073" s="62" t="s">
        <v>46</v>
      </c>
      <c r="G2073" s="61" t="s">
        <v>3210</v>
      </c>
      <c r="H2073" s="63"/>
      <c r="I2073" s="64"/>
    </row>
    <row r="2074" spans="2:9" s="1" customFormat="1" x14ac:dyDescent="0.2">
      <c r="B2074" s="38" t="str">
        <f t="shared" ref="B2074:B2106" si="41">C2074&amp;"-"&amp;D2074&amp;"-"&amp;E2074</f>
        <v>2014-051-0</v>
      </c>
      <c r="C2074" s="39">
        <v>2014</v>
      </c>
      <c r="D2074" s="39" t="s">
        <v>80</v>
      </c>
      <c r="E2074" s="39">
        <v>0</v>
      </c>
      <c r="F2074" s="41" t="s">
        <v>339</v>
      </c>
      <c r="G2074" s="39"/>
      <c r="H2074" s="42"/>
      <c r="I2074" s="43"/>
    </row>
    <row r="2075" spans="2:9" s="1" customFormat="1" x14ac:dyDescent="0.2">
      <c r="B2075" s="44" t="str">
        <f t="shared" si="41"/>
        <v>2014-051-1</v>
      </c>
      <c r="C2075" s="45">
        <v>2014</v>
      </c>
      <c r="D2075" s="45" t="s">
        <v>80</v>
      </c>
      <c r="E2075" s="45">
        <v>1</v>
      </c>
      <c r="F2075" s="47" t="s">
        <v>739</v>
      </c>
      <c r="G2075" s="45"/>
      <c r="H2075" s="48"/>
      <c r="I2075" s="49"/>
    </row>
    <row r="2076" spans="2:9" s="1" customFormat="1" x14ac:dyDescent="0.2">
      <c r="B2076" s="44" t="str">
        <f t="shared" si="41"/>
        <v>2014-051-2</v>
      </c>
      <c r="C2076" s="45">
        <v>2014</v>
      </c>
      <c r="D2076" s="45" t="s">
        <v>80</v>
      </c>
      <c r="E2076" s="45">
        <v>2</v>
      </c>
      <c r="F2076" s="47" t="s">
        <v>1137</v>
      </c>
      <c r="G2076" s="45"/>
      <c r="H2076" s="48"/>
      <c r="I2076" s="49"/>
    </row>
    <row r="2077" spans="2:9" s="1" customFormat="1" x14ac:dyDescent="0.2">
      <c r="B2077" s="44" t="str">
        <f t="shared" si="41"/>
        <v>2014-051-3</v>
      </c>
      <c r="C2077" s="45">
        <v>2014</v>
      </c>
      <c r="D2077" s="45" t="s">
        <v>80</v>
      </c>
      <c r="E2077" s="45">
        <v>3</v>
      </c>
      <c r="F2077" s="47" t="s">
        <v>1531</v>
      </c>
      <c r="G2077" s="45"/>
      <c r="H2077" s="48"/>
      <c r="I2077" s="49"/>
    </row>
    <row r="2078" spans="2:9" s="1" customFormat="1" x14ac:dyDescent="0.2">
      <c r="B2078" s="44" t="str">
        <f t="shared" si="41"/>
        <v>2014-051-4</v>
      </c>
      <c r="C2078" s="45">
        <v>2014</v>
      </c>
      <c r="D2078" s="45" t="s">
        <v>80</v>
      </c>
      <c r="E2078" s="45">
        <v>4</v>
      </c>
      <c r="F2078" s="47" t="s">
        <v>1926</v>
      </c>
      <c r="G2078" s="45" t="s">
        <v>3210</v>
      </c>
      <c r="H2078" s="48"/>
      <c r="I2078" s="49"/>
    </row>
    <row r="2079" spans="2:9" s="1" customFormat="1" x14ac:dyDescent="0.2">
      <c r="B2079" s="50" t="str">
        <f t="shared" si="41"/>
        <v>2014-051-5</v>
      </c>
      <c r="C2079" s="51">
        <v>2014</v>
      </c>
      <c r="D2079" s="51" t="s">
        <v>80</v>
      </c>
      <c r="E2079" s="51">
        <v>5</v>
      </c>
      <c r="F2079" s="52" t="s">
        <v>2321</v>
      </c>
      <c r="G2079" s="51"/>
      <c r="H2079" s="53"/>
      <c r="I2079" s="54"/>
    </row>
    <row r="2080" spans="2:9" s="1" customFormat="1" x14ac:dyDescent="0.2">
      <c r="B2080" s="55" t="str">
        <f t="shared" si="41"/>
        <v>2014-052-0</v>
      </c>
      <c r="C2080" s="56">
        <v>2014</v>
      </c>
      <c r="D2080" s="56" t="s">
        <v>81</v>
      </c>
      <c r="E2080" s="56">
        <v>0</v>
      </c>
      <c r="F2080" s="57" t="s">
        <v>340</v>
      </c>
      <c r="G2080" s="56"/>
      <c r="H2080" s="58"/>
      <c r="I2080" s="59"/>
    </row>
    <row r="2081" spans="2:9" s="1" customFormat="1" x14ac:dyDescent="0.2">
      <c r="B2081" s="44" t="str">
        <f t="shared" si="41"/>
        <v>2014-052-1</v>
      </c>
      <c r="C2081" s="45">
        <v>2014</v>
      </c>
      <c r="D2081" s="45" t="s">
        <v>81</v>
      </c>
      <c r="E2081" s="45">
        <v>1</v>
      </c>
      <c r="F2081" s="47" t="s">
        <v>740</v>
      </c>
      <c r="G2081" s="45"/>
      <c r="H2081" s="48"/>
      <c r="I2081" s="49"/>
    </row>
    <row r="2082" spans="2:9" s="1" customFormat="1" x14ac:dyDescent="0.2">
      <c r="B2082" s="44" t="str">
        <f t="shared" si="41"/>
        <v>2014-052-2</v>
      </c>
      <c r="C2082" s="45">
        <v>2014</v>
      </c>
      <c r="D2082" s="45" t="s">
        <v>81</v>
      </c>
      <c r="E2082" s="45">
        <v>2</v>
      </c>
      <c r="F2082" s="47" t="s">
        <v>1138</v>
      </c>
      <c r="G2082" s="45"/>
      <c r="H2082" s="48"/>
      <c r="I2082" s="49"/>
    </row>
    <row r="2083" spans="2:9" s="1" customFormat="1" x14ac:dyDescent="0.2">
      <c r="B2083" s="44" t="str">
        <f t="shared" si="41"/>
        <v>2014-052-3</v>
      </c>
      <c r="C2083" s="45">
        <v>2014</v>
      </c>
      <c r="D2083" s="45" t="s">
        <v>81</v>
      </c>
      <c r="E2083" s="45">
        <v>3</v>
      </c>
      <c r="F2083" s="47" t="s">
        <v>1532</v>
      </c>
      <c r="G2083" s="45"/>
      <c r="H2083" s="48"/>
      <c r="I2083" s="49"/>
    </row>
    <row r="2084" spans="2:9" s="1" customFormat="1" x14ac:dyDescent="0.2">
      <c r="B2084" s="44" t="str">
        <f t="shared" si="41"/>
        <v>2014-052-4</v>
      </c>
      <c r="C2084" s="45">
        <v>2014</v>
      </c>
      <c r="D2084" s="45" t="s">
        <v>81</v>
      </c>
      <c r="E2084" s="45">
        <v>4</v>
      </c>
      <c r="F2084" s="47" t="s">
        <v>1927</v>
      </c>
      <c r="G2084" s="45" t="s">
        <v>3210</v>
      </c>
      <c r="H2084" s="48"/>
      <c r="I2084" s="49"/>
    </row>
    <row r="2085" spans="2:9" s="1" customFormat="1" x14ac:dyDescent="0.2">
      <c r="B2085" s="50" t="str">
        <f t="shared" si="41"/>
        <v>2014-052-5</v>
      </c>
      <c r="C2085" s="51">
        <v>2014</v>
      </c>
      <c r="D2085" s="51" t="s">
        <v>81</v>
      </c>
      <c r="E2085" s="51">
        <v>5</v>
      </c>
      <c r="F2085" s="52" t="s">
        <v>2322</v>
      </c>
      <c r="G2085" s="51"/>
      <c r="H2085" s="53"/>
      <c r="I2085" s="54"/>
    </row>
    <row r="2086" spans="2:9" s="1" customFormat="1" x14ac:dyDescent="0.2">
      <c r="B2086" s="55" t="str">
        <f t="shared" si="41"/>
        <v>2014-053-0</v>
      </c>
      <c r="C2086" s="56">
        <v>2014</v>
      </c>
      <c r="D2086" s="56" t="s">
        <v>82</v>
      </c>
      <c r="E2086" s="56">
        <v>0</v>
      </c>
      <c r="F2086" s="57" t="s">
        <v>341</v>
      </c>
      <c r="G2086" s="56"/>
      <c r="H2086" s="58"/>
      <c r="I2086" s="59"/>
    </row>
    <row r="2087" spans="2:9" s="1" customFormat="1" x14ac:dyDescent="0.2">
      <c r="B2087" s="44" t="str">
        <f t="shared" si="41"/>
        <v>2014-053-1</v>
      </c>
      <c r="C2087" s="45">
        <v>2014</v>
      </c>
      <c r="D2087" s="45" t="s">
        <v>82</v>
      </c>
      <c r="E2087" s="45">
        <v>1</v>
      </c>
      <c r="F2087" s="47" t="s">
        <v>741</v>
      </c>
      <c r="G2087" s="45"/>
      <c r="H2087" s="48"/>
      <c r="I2087" s="49"/>
    </row>
    <row r="2088" spans="2:9" s="1" customFormat="1" x14ac:dyDescent="0.2">
      <c r="B2088" s="44" t="str">
        <f t="shared" si="41"/>
        <v>2014-053-2</v>
      </c>
      <c r="C2088" s="45">
        <v>2014</v>
      </c>
      <c r="D2088" s="45" t="s">
        <v>82</v>
      </c>
      <c r="E2088" s="45">
        <v>2</v>
      </c>
      <c r="F2088" s="47" t="s">
        <v>1139</v>
      </c>
      <c r="G2088" s="45"/>
      <c r="H2088" s="48"/>
      <c r="I2088" s="49"/>
    </row>
    <row r="2089" spans="2:9" s="1" customFormat="1" x14ac:dyDescent="0.2">
      <c r="B2089" s="44" t="str">
        <f t="shared" si="41"/>
        <v>2014-053-3</v>
      </c>
      <c r="C2089" s="45">
        <v>2014</v>
      </c>
      <c r="D2089" s="45" t="s">
        <v>82</v>
      </c>
      <c r="E2089" s="45">
        <v>3</v>
      </c>
      <c r="F2089" s="47" t="s">
        <v>1533</v>
      </c>
      <c r="G2089" s="45"/>
      <c r="H2089" s="48"/>
      <c r="I2089" s="49"/>
    </row>
    <row r="2090" spans="2:9" s="1" customFormat="1" x14ac:dyDescent="0.2">
      <c r="B2090" s="44" t="str">
        <f t="shared" si="41"/>
        <v>2014-053-4</v>
      </c>
      <c r="C2090" s="45">
        <v>2014</v>
      </c>
      <c r="D2090" s="45" t="s">
        <v>82</v>
      </c>
      <c r="E2090" s="45">
        <v>4</v>
      </c>
      <c r="F2090" s="47" t="s">
        <v>1928</v>
      </c>
      <c r="G2090" s="45"/>
      <c r="H2090" s="48"/>
      <c r="I2090" s="49"/>
    </row>
    <row r="2091" spans="2:9" s="1" customFormat="1" ht="27" x14ac:dyDescent="0.2">
      <c r="B2091" s="50" t="str">
        <f t="shared" si="41"/>
        <v>2014-053-5</v>
      </c>
      <c r="C2091" s="51">
        <v>2014</v>
      </c>
      <c r="D2091" s="51" t="s">
        <v>82</v>
      </c>
      <c r="E2091" s="51">
        <v>5</v>
      </c>
      <c r="F2091" s="52" t="s">
        <v>2323</v>
      </c>
      <c r="G2091" s="51" t="s">
        <v>3210</v>
      </c>
      <c r="H2091" s="53"/>
      <c r="I2091" s="54"/>
    </row>
    <row r="2092" spans="2:9" s="1" customFormat="1" ht="40.5" x14ac:dyDescent="0.2">
      <c r="B2092" s="55" t="str">
        <f t="shared" si="41"/>
        <v>2014-054-0</v>
      </c>
      <c r="C2092" s="56">
        <v>2014</v>
      </c>
      <c r="D2092" s="56" t="s">
        <v>83</v>
      </c>
      <c r="E2092" s="56">
        <v>0</v>
      </c>
      <c r="F2092" s="57" t="s">
        <v>342</v>
      </c>
      <c r="G2092" s="56"/>
      <c r="H2092" s="58"/>
      <c r="I2092" s="59"/>
    </row>
    <row r="2093" spans="2:9" s="1" customFormat="1" x14ac:dyDescent="0.2">
      <c r="B2093" s="44" t="str">
        <f t="shared" si="41"/>
        <v>2014-054-1</v>
      </c>
      <c r="C2093" s="45">
        <v>2014</v>
      </c>
      <c r="D2093" s="45" t="s">
        <v>83</v>
      </c>
      <c r="E2093" s="45">
        <v>1</v>
      </c>
      <c r="F2093" s="47" t="s">
        <v>742</v>
      </c>
      <c r="G2093" s="45" t="s">
        <v>3210</v>
      </c>
      <c r="H2093" s="48"/>
      <c r="I2093" s="49"/>
    </row>
    <row r="2094" spans="2:9" s="1" customFormat="1" x14ac:dyDescent="0.2">
      <c r="B2094" s="44" t="str">
        <f t="shared" si="41"/>
        <v>2014-054-2</v>
      </c>
      <c r="C2094" s="45">
        <v>2014</v>
      </c>
      <c r="D2094" s="45" t="s">
        <v>83</v>
      </c>
      <c r="E2094" s="45">
        <v>2</v>
      </c>
      <c r="F2094" s="47" t="s">
        <v>1140</v>
      </c>
      <c r="G2094" s="45"/>
      <c r="H2094" s="48"/>
      <c r="I2094" s="49"/>
    </row>
    <row r="2095" spans="2:9" s="1" customFormat="1" x14ac:dyDescent="0.2">
      <c r="B2095" s="44" t="str">
        <f t="shared" si="41"/>
        <v>2014-054-3</v>
      </c>
      <c r="C2095" s="45">
        <v>2014</v>
      </c>
      <c r="D2095" s="45" t="s">
        <v>83</v>
      </c>
      <c r="E2095" s="45">
        <v>3</v>
      </c>
      <c r="F2095" s="47" t="s">
        <v>1534</v>
      </c>
      <c r="G2095" s="45"/>
      <c r="H2095" s="48"/>
      <c r="I2095" s="49"/>
    </row>
    <row r="2096" spans="2:9" s="1" customFormat="1" x14ac:dyDescent="0.2">
      <c r="B2096" s="44" t="str">
        <f t="shared" si="41"/>
        <v>2014-054-4</v>
      </c>
      <c r="C2096" s="45">
        <v>2014</v>
      </c>
      <c r="D2096" s="45" t="s">
        <v>83</v>
      </c>
      <c r="E2096" s="45">
        <v>4</v>
      </c>
      <c r="F2096" s="47" t="s">
        <v>1929</v>
      </c>
      <c r="G2096" s="45"/>
      <c r="H2096" s="48"/>
      <c r="I2096" s="49"/>
    </row>
    <row r="2097" spans="2:9" s="1" customFormat="1" ht="27" x14ac:dyDescent="0.2">
      <c r="B2097" s="50" t="str">
        <f t="shared" si="41"/>
        <v>2014-054-5</v>
      </c>
      <c r="C2097" s="51">
        <v>2014</v>
      </c>
      <c r="D2097" s="51" t="s">
        <v>83</v>
      </c>
      <c r="E2097" s="51">
        <v>5</v>
      </c>
      <c r="F2097" s="52" t="s">
        <v>2324</v>
      </c>
      <c r="G2097" s="51"/>
      <c r="H2097" s="53"/>
      <c r="I2097" s="54"/>
    </row>
    <row r="2098" spans="2:9" s="1" customFormat="1" ht="40.5" x14ac:dyDescent="0.2">
      <c r="B2098" s="55" t="str">
        <f t="shared" si="41"/>
        <v>2014-055-0</v>
      </c>
      <c r="C2098" s="56">
        <v>2014</v>
      </c>
      <c r="D2098" s="56" t="s">
        <v>84</v>
      </c>
      <c r="E2098" s="56">
        <v>0</v>
      </c>
      <c r="F2098" s="57" t="s">
        <v>343</v>
      </c>
      <c r="G2098" s="56"/>
      <c r="H2098" s="58"/>
      <c r="I2098" s="59"/>
    </row>
    <row r="2099" spans="2:9" s="1" customFormat="1" x14ac:dyDescent="0.2">
      <c r="B2099" s="44" t="str">
        <f t="shared" si="41"/>
        <v>2014-055-1</v>
      </c>
      <c r="C2099" s="45">
        <v>2014</v>
      </c>
      <c r="D2099" s="45" t="s">
        <v>84</v>
      </c>
      <c r="E2099" s="45">
        <v>1</v>
      </c>
      <c r="F2099" s="47" t="s">
        <v>743</v>
      </c>
      <c r="G2099" s="45"/>
      <c r="H2099" s="48"/>
      <c r="I2099" s="49"/>
    </row>
    <row r="2100" spans="2:9" s="1" customFormat="1" x14ac:dyDescent="0.2">
      <c r="B2100" s="44" t="str">
        <f t="shared" si="41"/>
        <v>2014-055-2</v>
      </c>
      <c r="C2100" s="45">
        <v>2014</v>
      </c>
      <c r="D2100" s="45" t="s">
        <v>84</v>
      </c>
      <c r="E2100" s="45">
        <v>2</v>
      </c>
      <c r="F2100" s="47" t="s">
        <v>1141</v>
      </c>
      <c r="G2100" s="45"/>
      <c r="H2100" s="48"/>
      <c r="I2100" s="49"/>
    </row>
    <row r="2101" spans="2:9" s="1" customFormat="1" x14ac:dyDescent="0.2">
      <c r="B2101" s="44" t="str">
        <f t="shared" si="41"/>
        <v>2014-055-3</v>
      </c>
      <c r="C2101" s="45">
        <v>2014</v>
      </c>
      <c r="D2101" s="45" t="s">
        <v>84</v>
      </c>
      <c r="E2101" s="45">
        <v>3</v>
      </c>
      <c r="F2101" s="47" t="s">
        <v>1535</v>
      </c>
      <c r="G2101" s="45"/>
      <c r="H2101" s="48"/>
      <c r="I2101" s="49"/>
    </row>
    <row r="2102" spans="2:9" s="1" customFormat="1" ht="27" x14ac:dyDescent="0.2">
      <c r="B2102" s="44" t="str">
        <f t="shared" si="41"/>
        <v>2014-055-4</v>
      </c>
      <c r="C2102" s="45">
        <v>2014</v>
      </c>
      <c r="D2102" s="45" t="s">
        <v>84</v>
      </c>
      <c r="E2102" s="45">
        <v>4</v>
      </c>
      <c r="F2102" s="47" t="s">
        <v>1930</v>
      </c>
      <c r="G2102" s="45"/>
      <c r="H2102" s="48"/>
      <c r="I2102" s="49"/>
    </row>
    <row r="2103" spans="2:9" s="1" customFormat="1" ht="27" x14ac:dyDescent="0.2">
      <c r="B2103" s="50" t="str">
        <f t="shared" si="41"/>
        <v>2014-055-5</v>
      </c>
      <c r="C2103" s="51">
        <v>2014</v>
      </c>
      <c r="D2103" s="51" t="s">
        <v>84</v>
      </c>
      <c r="E2103" s="51">
        <v>5</v>
      </c>
      <c r="F2103" s="52" t="s">
        <v>2325</v>
      </c>
      <c r="G2103" s="51" t="s">
        <v>3210</v>
      </c>
      <c r="H2103" s="53"/>
      <c r="I2103" s="54"/>
    </row>
    <row r="2104" spans="2:9" s="1" customFormat="1" x14ac:dyDescent="0.2">
      <c r="B2104" s="55" t="str">
        <f t="shared" si="41"/>
        <v>2014-056-0</v>
      </c>
      <c r="C2104" s="56">
        <v>2014</v>
      </c>
      <c r="D2104" s="56" t="s">
        <v>85</v>
      </c>
      <c r="E2104" s="56">
        <v>0</v>
      </c>
      <c r="F2104" s="57" t="s">
        <v>344</v>
      </c>
      <c r="G2104" s="56"/>
      <c r="H2104" s="58"/>
      <c r="I2104" s="59"/>
    </row>
    <row r="2105" spans="2:9" s="1" customFormat="1" x14ac:dyDescent="0.2">
      <c r="B2105" s="44" t="str">
        <f t="shared" si="41"/>
        <v>2014-056-1</v>
      </c>
      <c r="C2105" s="45">
        <v>2014</v>
      </c>
      <c r="D2105" s="45" t="s">
        <v>85</v>
      </c>
      <c r="E2105" s="45">
        <v>1</v>
      </c>
      <c r="F2105" s="47" t="s">
        <v>744</v>
      </c>
      <c r="G2105" s="45"/>
      <c r="H2105" s="48"/>
      <c r="I2105" s="49"/>
    </row>
    <row r="2106" spans="2:9" s="1" customFormat="1" x14ac:dyDescent="0.2">
      <c r="B2106" s="44" t="str">
        <f t="shared" si="41"/>
        <v>2014-056-2</v>
      </c>
      <c r="C2106" s="45">
        <v>2014</v>
      </c>
      <c r="D2106" s="45" t="s">
        <v>85</v>
      </c>
      <c r="E2106" s="45">
        <v>2</v>
      </c>
      <c r="F2106" s="47" t="s">
        <v>1142</v>
      </c>
      <c r="G2106" s="45"/>
      <c r="H2106" s="48"/>
      <c r="I2106" s="49"/>
    </row>
    <row r="2107" spans="2:9" s="1" customFormat="1" x14ac:dyDescent="0.2">
      <c r="B2107" s="44" t="str">
        <f t="shared" ref="B2107:B2170" si="42">C2107&amp;"-"&amp;D2107&amp;"-"&amp;E2107</f>
        <v>2014-056-3</v>
      </c>
      <c r="C2107" s="45">
        <v>2014</v>
      </c>
      <c r="D2107" s="45" t="s">
        <v>85</v>
      </c>
      <c r="E2107" s="45">
        <v>3</v>
      </c>
      <c r="F2107" s="47" t="s">
        <v>1536</v>
      </c>
      <c r="G2107" s="45"/>
      <c r="H2107" s="48"/>
      <c r="I2107" s="49"/>
    </row>
    <row r="2108" spans="2:9" s="1" customFormat="1" x14ac:dyDescent="0.2">
      <c r="B2108" s="44" t="str">
        <f t="shared" si="42"/>
        <v>2014-056-4</v>
      </c>
      <c r="C2108" s="45">
        <v>2014</v>
      </c>
      <c r="D2108" s="45" t="s">
        <v>85</v>
      </c>
      <c r="E2108" s="45">
        <v>4</v>
      </c>
      <c r="F2108" s="47" t="s">
        <v>1931</v>
      </c>
      <c r="G2108" s="45" t="s">
        <v>3210</v>
      </c>
      <c r="H2108" s="48"/>
      <c r="I2108" s="49"/>
    </row>
    <row r="2109" spans="2:9" s="1" customFormat="1" x14ac:dyDescent="0.2">
      <c r="B2109" s="50" t="str">
        <f t="shared" si="42"/>
        <v>2014-056-5</v>
      </c>
      <c r="C2109" s="51">
        <v>2014</v>
      </c>
      <c r="D2109" s="51" t="s">
        <v>85</v>
      </c>
      <c r="E2109" s="51">
        <v>5</v>
      </c>
      <c r="F2109" s="52" t="s">
        <v>2326</v>
      </c>
      <c r="G2109" s="51"/>
      <c r="H2109" s="53"/>
      <c r="I2109" s="54"/>
    </row>
    <row r="2110" spans="2:9" s="1" customFormat="1" x14ac:dyDescent="0.2">
      <c r="B2110" s="55" t="str">
        <f t="shared" si="42"/>
        <v>2014-057-0</v>
      </c>
      <c r="C2110" s="56">
        <v>2014</v>
      </c>
      <c r="D2110" s="56" t="s">
        <v>86</v>
      </c>
      <c r="E2110" s="56">
        <v>0</v>
      </c>
      <c r="F2110" s="57" t="s">
        <v>345</v>
      </c>
      <c r="G2110" s="56"/>
      <c r="H2110" s="58"/>
      <c r="I2110" s="59"/>
    </row>
    <row r="2111" spans="2:9" s="1" customFormat="1" x14ac:dyDescent="0.2">
      <c r="B2111" s="44" t="str">
        <f t="shared" si="42"/>
        <v>2014-057-1</v>
      </c>
      <c r="C2111" s="45">
        <v>2014</v>
      </c>
      <c r="D2111" s="45" t="s">
        <v>86</v>
      </c>
      <c r="E2111" s="45">
        <v>1</v>
      </c>
      <c r="F2111" s="47" t="s">
        <v>745</v>
      </c>
      <c r="G2111" s="45"/>
      <c r="H2111" s="48"/>
      <c r="I2111" s="49"/>
    </row>
    <row r="2112" spans="2:9" s="1" customFormat="1" x14ac:dyDescent="0.2">
      <c r="B2112" s="44" t="str">
        <f t="shared" si="42"/>
        <v>2014-057-2</v>
      </c>
      <c r="C2112" s="45">
        <v>2014</v>
      </c>
      <c r="D2112" s="45" t="s">
        <v>86</v>
      </c>
      <c r="E2112" s="45">
        <v>2</v>
      </c>
      <c r="F2112" s="47" t="s">
        <v>1143</v>
      </c>
      <c r="G2112" s="45"/>
      <c r="H2112" s="48"/>
      <c r="I2112" s="49"/>
    </row>
    <row r="2113" spans="2:9" s="1" customFormat="1" x14ac:dyDescent="0.2">
      <c r="B2113" s="44" t="str">
        <f t="shared" si="42"/>
        <v>2014-057-3</v>
      </c>
      <c r="C2113" s="45">
        <v>2014</v>
      </c>
      <c r="D2113" s="45" t="s">
        <v>86</v>
      </c>
      <c r="E2113" s="45">
        <v>3</v>
      </c>
      <c r="F2113" s="47" t="s">
        <v>1537</v>
      </c>
      <c r="G2113" s="45"/>
      <c r="H2113" s="48"/>
      <c r="I2113" s="49"/>
    </row>
    <row r="2114" spans="2:9" s="1" customFormat="1" ht="27" x14ac:dyDescent="0.2">
      <c r="B2114" s="44" t="str">
        <f t="shared" si="42"/>
        <v>2014-057-4</v>
      </c>
      <c r="C2114" s="45">
        <v>2014</v>
      </c>
      <c r="D2114" s="45" t="s">
        <v>86</v>
      </c>
      <c r="E2114" s="45">
        <v>4</v>
      </c>
      <c r="F2114" s="47" t="s">
        <v>1932</v>
      </c>
      <c r="G2114" s="45" t="s">
        <v>3210</v>
      </c>
      <c r="H2114" s="48"/>
      <c r="I2114" s="49"/>
    </row>
    <row r="2115" spans="2:9" s="1" customFormat="1" ht="27" x14ac:dyDescent="0.2">
      <c r="B2115" s="50" t="str">
        <f t="shared" si="42"/>
        <v>2014-057-5</v>
      </c>
      <c r="C2115" s="51">
        <v>2014</v>
      </c>
      <c r="D2115" s="51" t="s">
        <v>86</v>
      </c>
      <c r="E2115" s="51">
        <v>5</v>
      </c>
      <c r="F2115" s="52" t="s">
        <v>2327</v>
      </c>
      <c r="G2115" s="51"/>
      <c r="H2115" s="53"/>
      <c r="I2115" s="54"/>
    </row>
    <row r="2116" spans="2:9" s="1" customFormat="1" ht="81" x14ac:dyDescent="0.2">
      <c r="B2116" s="55" t="str">
        <f t="shared" si="42"/>
        <v>2014-058-0</v>
      </c>
      <c r="C2116" s="56">
        <v>2014</v>
      </c>
      <c r="D2116" s="56" t="s">
        <v>87</v>
      </c>
      <c r="E2116" s="56">
        <v>0</v>
      </c>
      <c r="F2116" s="57" t="s">
        <v>346</v>
      </c>
      <c r="G2116" s="56"/>
      <c r="H2116" s="58"/>
      <c r="I2116" s="59"/>
    </row>
    <row r="2117" spans="2:9" s="1" customFormat="1" x14ac:dyDescent="0.2">
      <c r="B2117" s="44" t="str">
        <f t="shared" si="42"/>
        <v>2014-058-1</v>
      </c>
      <c r="C2117" s="45">
        <v>2014</v>
      </c>
      <c r="D2117" s="45" t="s">
        <v>87</v>
      </c>
      <c r="E2117" s="45">
        <v>1</v>
      </c>
      <c r="F2117" s="47" t="s">
        <v>45</v>
      </c>
      <c r="G2117" s="45"/>
      <c r="H2117" s="48"/>
      <c r="I2117" s="49"/>
    </row>
    <row r="2118" spans="2:9" s="1" customFormat="1" x14ac:dyDescent="0.2">
      <c r="B2118" s="44" t="str">
        <f t="shared" si="42"/>
        <v>2014-058-2</v>
      </c>
      <c r="C2118" s="45">
        <v>2014</v>
      </c>
      <c r="D2118" s="45" t="s">
        <v>87</v>
      </c>
      <c r="E2118" s="45">
        <v>2</v>
      </c>
      <c r="F2118" s="47" t="s">
        <v>54</v>
      </c>
      <c r="G2118" s="45"/>
      <c r="H2118" s="48"/>
      <c r="I2118" s="49"/>
    </row>
    <row r="2119" spans="2:9" s="1" customFormat="1" x14ac:dyDescent="0.2">
      <c r="B2119" s="44" t="str">
        <f t="shared" si="42"/>
        <v>2014-058-3</v>
      </c>
      <c r="C2119" s="45">
        <v>2014</v>
      </c>
      <c r="D2119" s="45" t="s">
        <v>87</v>
      </c>
      <c r="E2119" s="45">
        <v>3</v>
      </c>
      <c r="F2119" s="47" t="s">
        <v>55</v>
      </c>
      <c r="G2119" s="45"/>
      <c r="H2119" s="48"/>
      <c r="I2119" s="49"/>
    </row>
    <row r="2120" spans="2:9" s="1" customFormat="1" x14ac:dyDescent="0.2">
      <c r="B2120" s="44" t="str">
        <f t="shared" si="42"/>
        <v>2014-058-4</v>
      </c>
      <c r="C2120" s="45">
        <v>2014</v>
      </c>
      <c r="D2120" s="45" t="s">
        <v>87</v>
      </c>
      <c r="E2120" s="45">
        <v>4</v>
      </c>
      <c r="F2120" s="47" t="s">
        <v>59</v>
      </c>
      <c r="G2120" s="45"/>
      <c r="H2120" s="48"/>
      <c r="I2120" s="49"/>
    </row>
    <row r="2121" spans="2:9" s="1" customFormat="1" x14ac:dyDescent="0.2">
      <c r="B2121" s="50" t="str">
        <f t="shared" si="42"/>
        <v>2014-058-5</v>
      </c>
      <c r="C2121" s="51">
        <v>2014</v>
      </c>
      <c r="D2121" s="51" t="s">
        <v>87</v>
      </c>
      <c r="E2121" s="51">
        <v>5</v>
      </c>
      <c r="F2121" s="52" t="s">
        <v>60</v>
      </c>
      <c r="G2121" s="51" t="s">
        <v>3210</v>
      </c>
      <c r="H2121" s="53"/>
      <c r="I2121" s="54"/>
    </row>
    <row r="2122" spans="2:9" s="1" customFormat="1" ht="27" x14ac:dyDescent="0.2">
      <c r="B2122" s="55" t="str">
        <f t="shared" si="42"/>
        <v>2014-059-0</v>
      </c>
      <c r="C2122" s="56">
        <v>2014</v>
      </c>
      <c r="D2122" s="56" t="s">
        <v>88</v>
      </c>
      <c r="E2122" s="56">
        <v>0</v>
      </c>
      <c r="F2122" s="57" t="s">
        <v>347</v>
      </c>
      <c r="G2122" s="56"/>
      <c r="H2122" s="58"/>
      <c r="I2122" s="59"/>
    </row>
    <row r="2123" spans="2:9" s="1" customFormat="1" x14ac:dyDescent="0.2">
      <c r="B2123" s="44" t="str">
        <f t="shared" si="42"/>
        <v>2014-059-1</v>
      </c>
      <c r="C2123" s="45">
        <v>2014</v>
      </c>
      <c r="D2123" s="45" t="s">
        <v>88</v>
      </c>
      <c r="E2123" s="45">
        <v>1</v>
      </c>
      <c r="F2123" s="47" t="s">
        <v>746</v>
      </c>
      <c r="G2123" s="45"/>
      <c r="H2123" s="48"/>
      <c r="I2123" s="49"/>
    </row>
    <row r="2124" spans="2:9" s="1" customFormat="1" x14ac:dyDescent="0.2">
      <c r="B2124" s="44" t="str">
        <f t="shared" si="42"/>
        <v>2014-059-2</v>
      </c>
      <c r="C2124" s="45">
        <v>2014</v>
      </c>
      <c r="D2124" s="45" t="s">
        <v>88</v>
      </c>
      <c r="E2124" s="45">
        <v>2</v>
      </c>
      <c r="F2124" s="47" t="s">
        <v>1144</v>
      </c>
      <c r="G2124" s="45"/>
      <c r="H2124" s="48"/>
      <c r="I2124" s="49"/>
    </row>
    <row r="2125" spans="2:9" s="1" customFormat="1" ht="27" x14ac:dyDescent="0.2">
      <c r="B2125" s="44" t="str">
        <f t="shared" si="42"/>
        <v>2014-059-3</v>
      </c>
      <c r="C2125" s="45">
        <v>2014</v>
      </c>
      <c r="D2125" s="45" t="s">
        <v>88</v>
      </c>
      <c r="E2125" s="45">
        <v>3</v>
      </c>
      <c r="F2125" s="47" t="s">
        <v>1538</v>
      </c>
      <c r="G2125" s="45" t="s">
        <v>3210</v>
      </c>
      <c r="H2125" s="48"/>
      <c r="I2125" s="49"/>
    </row>
    <row r="2126" spans="2:9" s="1" customFormat="1" x14ac:dyDescent="0.2">
      <c r="B2126" s="44" t="str">
        <f t="shared" si="42"/>
        <v>2014-059-4</v>
      </c>
      <c r="C2126" s="45">
        <v>2014</v>
      </c>
      <c r="D2126" s="45" t="s">
        <v>88</v>
      </c>
      <c r="E2126" s="45">
        <v>4</v>
      </c>
      <c r="F2126" s="47" t="s">
        <v>1933</v>
      </c>
      <c r="G2126" s="45"/>
      <c r="H2126" s="48"/>
      <c r="I2126" s="49"/>
    </row>
    <row r="2127" spans="2:9" s="1" customFormat="1" x14ac:dyDescent="0.2">
      <c r="B2127" s="50" t="str">
        <f t="shared" si="42"/>
        <v>2014-059-5</v>
      </c>
      <c r="C2127" s="51">
        <v>2014</v>
      </c>
      <c r="D2127" s="51" t="s">
        <v>88</v>
      </c>
      <c r="E2127" s="51">
        <v>5</v>
      </c>
      <c r="F2127" s="52" t="s">
        <v>2328</v>
      </c>
      <c r="G2127" s="51"/>
      <c r="H2127" s="53"/>
      <c r="I2127" s="54"/>
    </row>
    <row r="2128" spans="2:9" s="1" customFormat="1" x14ac:dyDescent="0.2">
      <c r="B2128" s="55" t="str">
        <f t="shared" si="42"/>
        <v>2014-060-0</v>
      </c>
      <c r="C2128" s="56">
        <v>2014</v>
      </c>
      <c r="D2128" s="56" t="s">
        <v>89</v>
      </c>
      <c r="E2128" s="56">
        <v>0</v>
      </c>
      <c r="F2128" s="57" t="s">
        <v>348</v>
      </c>
      <c r="G2128" s="56"/>
      <c r="H2128" s="58"/>
      <c r="I2128" s="59"/>
    </row>
    <row r="2129" spans="2:9" s="1" customFormat="1" x14ac:dyDescent="0.2">
      <c r="B2129" s="44" t="str">
        <f t="shared" si="42"/>
        <v>2014-060-1</v>
      </c>
      <c r="C2129" s="45">
        <v>2014</v>
      </c>
      <c r="D2129" s="45" t="s">
        <v>89</v>
      </c>
      <c r="E2129" s="45">
        <v>1</v>
      </c>
      <c r="F2129" s="47" t="s">
        <v>747</v>
      </c>
      <c r="G2129" s="45"/>
      <c r="H2129" s="48"/>
      <c r="I2129" s="49"/>
    </row>
    <row r="2130" spans="2:9" s="1" customFormat="1" x14ac:dyDescent="0.2">
      <c r="B2130" s="44" t="str">
        <f t="shared" si="42"/>
        <v>2014-060-2</v>
      </c>
      <c r="C2130" s="45">
        <v>2014</v>
      </c>
      <c r="D2130" s="45" t="s">
        <v>89</v>
      </c>
      <c r="E2130" s="45">
        <v>2</v>
      </c>
      <c r="F2130" s="47" t="s">
        <v>1145</v>
      </c>
      <c r="G2130" s="45" t="s">
        <v>3210</v>
      </c>
      <c r="H2130" s="48"/>
      <c r="I2130" s="49"/>
    </row>
    <row r="2131" spans="2:9" s="1" customFormat="1" x14ac:dyDescent="0.2">
      <c r="B2131" s="44" t="str">
        <f t="shared" si="42"/>
        <v>2014-060-3</v>
      </c>
      <c r="C2131" s="45">
        <v>2014</v>
      </c>
      <c r="D2131" s="45" t="s">
        <v>89</v>
      </c>
      <c r="E2131" s="45">
        <v>3</v>
      </c>
      <c r="F2131" s="47" t="s">
        <v>1539</v>
      </c>
      <c r="G2131" s="45"/>
      <c r="H2131" s="48"/>
      <c r="I2131" s="49"/>
    </row>
    <row r="2132" spans="2:9" s="1" customFormat="1" x14ac:dyDescent="0.2">
      <c r="B2132" s="44" t="str">
        <f t="shared" si="42"/>
        <v>2014-060-4</v>
      </c>
      <c r="C2132" s="45">
        <v>2014</v>
      </c>
      <c r="D2132" s="45" t="s">
        <v>89</v>
      </c>
      <c r="E2132" s="45">
        <v>4</v>
      </c>
      <c r="F2132" s="47" t="s">
        <v>1934</v>
      </c>
      <c r="G2132" s="45"/>
      <c r="H2132" s="48"/>
      <c r="I2132" s="49"/>
    </row>
    <row r="2133" spans="2:9" s="1" customFormat="1" x14ac:dyDescent="0.2">
      <c r="B2133" s="50" t="str">
        <f t="shared" si="42"/>
        <v>2014-060-5</v>
      </c>
      <c r="C2133" s="51">
        <v>2014</v>
      </c>
      <c r="D2133" s="51" t="s">
        <v>89</v>
      </c>
      <c r="E2133" s="51">
        <v>5</v>
      </c>
      <c r="F2133" s="52" t="s">
        <v>2329</v>
      </c>
      <c r="G2133" s="51"/>
      <c r="H2133" s="53"/>
      <c r="I2133" s="54"/>
    </row>
    <row r="2134" spans="2:9" s="1" customFormat="1" x14ac:dyDescent="0.2">
      <c r="B2134" s="55" t="str">
        <f t="shared" si="42"/>
        <v>2014-061-0</v>
      </c>
      <c r="C2134" s="56">
        <v>2014</v>
      </c>
      <c r="D2134" s="56" t="s">
        <v>90</v>
      </c>
      <c r="E2134" s="56">
        <v>0</v>
      </c>
      <c r="F2134" s="57" t="s">
        <v>349</v>
      </c>
      <c r="G2134" s="56"/>
      <c r="H2134" s="58"/>
      <c r="I2134" s="59"/>
    </row>
    <row r="2135" spans="2:9" s="1" customFormat="1" x14ac:dyDescent="0.2">
      <c r="B2135" s="44" t="str">
        <f t="shared" si="42"/>
        <v>2014-061-1</v>
      </c>
      <c r="C2135" s="45">
        <v>2014</v>
      </c>
      <c r="D2135" s="45" t="s">
        <v>90</v>
      </c>
      <c r="E2135" s="45">
        <v>1</v>
      </c>
      <c r="F2135" s="47" t="s">
        <v>748</v>
      </c>
      <c r="G2135" s="45"/>
      <c r="H2135" s="48"/>
      <c r="I2135" s="49"/>
    </row>
    <row r="2136" spans="2:9" s="1" customFormat="1" x14ac:dyDescent="0.2">
      <c r="B2136" s="44" t="str">
        <f t="shared" si="42"/>
        <v>2014-061-2</v>
      </c>
      <c r="C2136" s="45">
        <v>2014</v>
      </c>
      <c r="D2136" s="45" t="s">
        <v>90</v>
      </c>
      <c r="E2136" s="45">
        <v>2</v>
      </c>
      <c r="F2136" s="47" t="s">
        <v>1146</v>
      </c>
      <c r="G2136" s="45"/>
      <c r="H2136" s="48"/>
      <c r="I2136" s="49"/>
    </row>
    <row r="2137" spans="2:9" s="1" customFormat="1" x14ac:dyDescent="0.2">
      <c r="B2137" s="44" t="str">
        <f t="shared" si="42"/>
        <v>2014-061-3</v>
      </c>
      <c r="C2137" s="45">
        <v>2014</v>
      </c>
      <c r="D2137" s="45" t="s">
        <v>90</v>
      </c>
      <c r="E2137" s="45">
        <v>3</v>
      </c>
      <c r="F2137" s="47" t="s">
        <v>1540</v>
      </c>
      <c r="G2137" s="45"/>
      <c r="H2137" s="48"/>
      <c r="I2137" s="49"/>
    </row>
    <row r="2138" spans="2:9" s="1" customFormat="1" x14ac:dyDescent="0.2">
      <c r="B2138" s="44" t="str">
        <f t="shared" si="42"/>
        <v>2014-061-4</v>
      </c>
      <c r="C2138" s="45">
        <v>2014</v>
      </c>
      <c r="D2138" s="45" t="s">
        <v>90</v>
      </c>
      <c r="E2138" s="45">
        <v>4</v>
      </c>
      <c r="F2138" s="47" t="s">
        <v>1935</v>
      </c>
      <c r="G2138" s="45"/>
      <c r="H2138" s="48"/>
      <c r="I2138" s="49"/>
    </row>
    <row r="2139" spans="2:9" s="1" customFormat="1" x14ac:dyDescent="0.2">
      <c r="B2139" s="50" t="str">
        <f t="shared" si="42"/>
        <v>2014-061-5</v>
      </c>
      <c r="C2139" s="51">
        <v>2014</v>
      </c>
      <c r="D2139" s="51" t="s">
        <v>90</v>
      </c>
      <c r="E2139" s="51">
        <v>5</v>
      </c>
      <c r="F2139" s="52" t="s">
        <v>2330</v>
      </c>
      <c r="G2139" s="51" t="s">
        <v>3210</v>
      </c>
      <c r="H2139" s="53"/>
      <c r="I2139" s="54"/>
    </row>
    <row r="2140" spans="2:9" s="1" customFormat="1" x14ac:dyDescent="0.2">
      <c r="B2140" s="55" t="str">
        <f t="shared" si="42"/>
        <v>2014-062-0</v>
      </c>
      <c r="C2140" s="56">
        <v>2014</v>
      </c>
      <c r="D2140" s="56" t="s">
        <v>91</v>
      </c>
      <c r="E2140" s="56">
        <v>0</v>
      </c>
      <c r="F2140" s="57" t="s">
        <v>350</v>
      </c>
      <c r="G2140" s="56"/>
      <c r="H2140" s="58"/>
      <c r="I2140" s="59"/>
    </row>
    <row r="2141" spans="2:9" s="1" customFormat="1" x14ac:dyDescent="0.2">
      <c r="B2141" s="44" t="str">
        <f t="shared" si="42"/>
        <v>2014-062-1</v>
      </c>
      <c r="C2141" s="45">
        <v>2014</v>
      </c>
      <c r="D2141" s="45" t="s">
        <v>91</v>
      </c>
      <c r="E2141" s="45">
        <v>1</v>
      </c>
      <c r="F2141" s="47" t="s">
        <v>749</v>
      </c>
      <c r="G2141" s="45" t="s">
        <v>3210</v>
      </c>
      <c r="H2141" s="48"/>
      <c r="I2141" s="49"/>
    </row>
    <row r="2142" spans="2:9" s="1" customFormat="1" x14ac:dyDescent="0.2">
      <c r="B2142" s="44" t="str">
        <f t="shared" si="42"/>
        <v>2014-062-2</v>
      </c>
      <c r="C2142" s="45">
        <v>2014</v>
      </c>
      <c r="D2142" s="45" t="s">
        <v>91</v>
      </c>
      <c r="E2142" s="45">
        <v>2</v>
      </c>
      <c r="F2142" s="47" t="s">
        <v>1147</v>
      </c>
      <c r="G2142" s="45"/>
      <c r="H2142" s="48"/>
      <c r="I2142" s="49"/>
    </row>
    <row r="2143" spans="2:9" s="1" customFormat="1" x14ac:dyDescent="0.2">
      <c r="B2143" s="44" t="str">
        <f t="shared" si="42"/>
        <v>2014-062-3</v>
      </c>
      <c r="C2143" s="45">
        <v>2014</v>
      </c>
      <c r="D2143" s="45" t="s">
        <v>91</v>
      </c>
      <c r="E2143" s="45">
        <v>3</v>
      </c>
      <c r="F2143" s="47" t="s">
        <v>1541</v>
      </c>
      <c r="G2143" s="45"/>
      <c r="H2143" s="48"/>
      <c r="I2143" s="49"/>
    </row>
    <row r="2144" spans="2:9" s="1" customFormat="1" x14ac:dyDescent="0.2">
      <c r="B2144" s="44" t="str">
        <f t="shared" si="42"/>
        <v>2014-062-4</v>
      </c>
      <c r="C2144" s="45">
        <v>2014</v>
      </c>
      <c r="D2144" s="45" t="s">
        <v>91</v>
      </c>
      <c r="E2144" s="45">
        <v>4</v>
      </c>
      <c r="F2144" s="47" t="s">
        <v>1936</v>
      </c>
      <c r="G2144" s="45"/>
      <c r="H2144" s="48"/>
      <c r="I2144" s="49"/>
    </row>
    <row r="2145" spans="2:9" s="1" customFormat="1" x14ac:dyDescent="0.2">
      <c r="B2145" s="50" t="str">
        <f t="shared" si="42"/>
        <v>2014-062-5</v>
      </c>
      <c r="C2145" s="51">
        <v>2014</v>
      </c>
      <c r="D2145" s="51" t="s">
        <v>91</v>
      </c>
      <c r="E2145" s="51">
        <v>5</v>
      </c>
      <c r="F2145" s="52" t="s">
        <v>2331</v>
      </c>
      <c r="G2145" s="51"/>
      <c r="H2145" s="53"/>
      <c r="I2145" s="54"/>
    </row>
    <row r="2146" spans="2:9" s="1" customFormat="1" x14ac:dyDescent="0.2">
      <c r="B2146" s="55" t="str">
        <f t="shared" si="42"/>
        <v>2014-063-0</v>
      </c>
      <c r="C2146" s="56">
        <v>2014</v>
      </c>
      <c r="D2146" s="56" t="s">
        <v>92</v>
      </c>
      <c r="E2146" s="56">
        <v>0</v>
      </c>
      <c r="F2146" s="57" t="s">
        <v>351</v>
      </c>
      <c r="G2146" s="56"/>
      <c r="H2146" s="58"/>
      <c r="I2146" s="59"/>
    </row>
    <row r="2147" spans="2:9" s="1" customFormat="1" x14ac:dyDescent="0.2">
      <c r="B2147" s="44" t="str">
        <f t="shared" si="42"/>
        <v>2014-063-1</v>
      </c>
      <c r="C2147" s="45">
        <v>2014</v>
      </c>
      <c r="D2147" s="45" t="s">
        <v>92</v>
      </c>
      <c r="E2147" s="45">
        <v>1</v>
      </c>
      <c r="F2147" s="47" t="s">
        <v>750</v>
      </c>
      <c r="G2147" s="45"/>
      <c r="H2147" s="48"/>
      <c r="I2147" s="49"/>
    </row>
    <row r="2148" spans="2:9" s="1" customFormat="1" x14ac:dyDescent="0.2">
      <c r="B2148" s="44" t="str">
        <f t="shared" si="42"/>
        <v>2014-063-2</v>
      </c>
      <c r="C2148" s="45">
        <v>2014</v>
      </c>
      <c r="D2148" s="45" t="s">
        <v>92</v>
      </c>
      <c r="E2148" s="45">
        <v>2</v>
      </c>
      <c r="F2148" s="47" t="s">
        <v>1148</v>
      </c>
      <c r="G2148" s="45" t="s">
        <v>3210</v>
      </c>
      <c r="H2148" s="48"/>
      <c r="I2148" s="49"/>
    </row>
    <row r="2149" spans="2:9" s="1" customFormat="1" x14ac:dyDescent="0.2">
      <c r="B2149" s="44" t="str">
        <f t="shared" si="42"/>
        <v>2014-063-3</v>
      </c>
      <c r="C2149" s="45">
        <v>2014</v>
      </c>
      <c r="D2149" s="45" t="s">
        <v>92</v>
      </c>
      <c r="E2149" s="45">
        <v>3</v>
      </c>
      <c r="F2149" s="47" t="s">
        <v>1542</v>
      </c>
      <c r="G2149" s="45"/>
      <c r="H2149" s="48"/>
      <c r="I2149" s="49"/>
    </row>
    <row r="2150" spans="2:9" s="1" customFormat="1" x14ac:dyDescent="0.2">
      <c r="B2150" s="44" t="str">
        <f t="shared" si="42"/>
        <v>2014-063-4</v>
      </c>
      <c r="C2150" s="45">
        <v>2014</v>
      </c>
      <c r="D2150" s="45" t="s">
        <v>92</v>
      </c>
      <c r="E2150" s="45">
        <v>4</v>
      </c>
      <c r="F2150" s="47" t="s">
        <v>1937</v>
      </c>
      <c r="G2150" s="45"/>
      <c r="H2150" s="48"/>
      <c r="I2150" s="49"/>
    </row>
    <row r="2151" spans="2:9" s="1" customFormat="1" ht="27" x14ac:dyDescent="0.2">
      <c r="B2151" s="50" t="str">
        <f t="shared" si="42"/>
        <v>2014-063-5</v>
      </c>
      <c r="C2151" s="51">
        <v>2014</v>
      </c>
      <c r="D2151" s="51" t="s">
        <v>92</v>
      </c>
      <c r="E2151" s="51">
        <v>5</v>
      </c>
      <c r="F2151" s="52" t="s">
        <v>2332</v>
      </c>
      <c r="G2151" s="51"/>
      <c r="H2151" s="53"/>
      <c r="I2151" s="54"/>
    </row>
    <row r="2152" spans="2:9" s="1" customFormat="1" x14ac:dyDescent="0.2">
      <c r="B2152" s="55" t="str">
        <f t="shared" si="42"/>
        <v>2014-064-0</v>
      </c>
      <c r="C2152" s="56">
        <v>2014</v>
      </c>
      <c r="D2152" s="56" t="s">
        <v>93</v>
      </c>
      <c r="E2152" s="56">
        <v>0</v>
      </c>
      <c r="F2152" s="57" t="s">
        <v>352</v>
      </c>
      <c r="G2152" s="56"/>
      <c r="H2152" s="58"/>
      <c r="I2152" s="59"/>
    </row>
    <row r="2153" spans="2:9" s="1" customFormat="1" x14ac:dyDescent="0.2">
      <c r="B2153" s="44" t="str">
        <f t="shared" si="42"/>
        <v>2014-064-1</v>
      </c>
      <c r="C2153" s="45">
        <v>2014</v>
      </c>
      <c r="D2153" s="45" t="s">
        <v>93</v>
      </c>
      <c r="E2153" s="45">
        <v>1</v>
      </c>
      <c r="F2153" s="47" t="s">
        <v>751</v>
      </c>
      <c r="G2153" s="45"/>
      <c r="H2153" s="48"/>
      <c r="I2153" s="49"/>
    </row>
    <row r="2154" spans="2:9" s="1" customFormat="1" x14ac:dyDescent="0.2">
      <c r="B2154" s="44" t="str">
        <f t="shared" si="42"/>
        <v>2014-064-2</v>
      </c>
      <c r="C2154" s="45">
        <v>2014</v>
      </c>
      <c r="D2154" s="45" t="s">
        <v>93</v>
      </c>
      <c r="E2154" s="45">
        <v>2</v>
      </c>
      <c r="F2154" s="47" t="s">
        <v>1149</v>
      </c>
      <c r="G2154" s="45" t="s">
        <v>3210</v>
      </c>
      <c r="H2154" s="48"/>
      <c r="I2154" s="49"/>
    </row>
    <row r="2155" spans="2:9" s="1" customFormat="1" x14ac:dyDescent="0.2">
      <c r="B2155" s="44" t="str">
        <f t="shared" si="42"/>
        <v>2014-064-3</v>
      </c>
      <c r="C2155" s="45">
        <v>2014</v>
      </c>
      <c r="D2155" s="45" t="s">
        <v>93</v>
      </c>
      <c r="E2155" s="45">
        <v>3</v>
      </c>
      <c r="F2155" s="47" t="s">
        <v>1543</v>
      </c>
      <c r="G2155" s="45"/>
      <c r="H2155" s="48"/>
      <c r="I2155" s="49"/>
    </row>
    <row r="2156" spans="2:9" s="1" customFormat="1" x14ac:dyDescent="0.2">
      <c r="B2156" s="44" t="str">
        <f t="shared" si="42"/>
        <v>2014-064-4</v>
      </c>
      <c r="C2156" s="45">
        <v>2014</v>
      </c>
      <c r="D2156" s="45" t="s">
        <v>93</v>
      </c>
      <c r="E2156" s="45">
        <v>4</v>
      </c>
      <c r="F2156" s="47" t="s">
        <v>1938</v>
      </c>
      <c r="G2156" s="45"/>
      <c r="H2156" s="48"/>
      <c r="I2156" s="49"/>
    </row>
    <row r="2157" spans="2:9" s="1" customFormat="1" ht="27" x14ac:dyDescent="0.2">
      <c r="B2157" s="50" t="str">
        <f t="shared" si="42"/>
        <v>2014-064-5</v>
      </c>
      <c r="C2157" s="51">
        <v>2014</v>
      </c>
      <c r="D2157" s="51" t="s">
        <v>93</v>
      </c>
      <c r="E2157" s="51">
        <v>5</v>
      </c>
      <c r="F2157" s="52" t="s">
        <v>2333</v>
      </c>
      <c r="G2157" s="51"/>
      <c r="H2157" s="53"/>
      <c r="I2157" s="54"/>
    </row>
    <row r="2158" spans="2:9" s="1" customFormat="1" x14ac:dyDescent="0.2">
      <c r="B2158" s="55" t="str">
        <f t="shared" si="42"/>
        <v>2014-065-0</v>
      </c>
      <c r="C2158" s="56">
        <v>2014</v>
      </c>
      <c r="D2158" s="56" t="s">
        <v>94</v>
      </c>
      <c r="E2158" s="56">
        <v>0</v>
      </c>
      <c r="F2158" s="57" t="s">
        <v>353</v>
      </c>
      <c r="G2158" s="56"/>
      <c r="H2158" s="58"/>
      <c r="I2158" s="59"/>
    </row>
    <row r="2159" spans="2:9" s="1" customFormat="1" x14ac:dyDescent="0.2">
      <c r="B2159" s="44" t="str">
        <f t="shared" si="42"/>
        <v>2014-065-1</v>
      </c>
      <c r="C2159" s="45">
        <v>2014</v>
      </c>
      <c r="D2159" s="45" t="s">
        <v>94</v>
      </c>
      <c r="E2159" s="45">
        <v>1</v>
      </c>
      <c r="F2159" s="47" t="s">
        <v>752</v>
      </c>
      <c r="G2159" s="45" t="s">
        <v>3210</v>
      </c>
      <c r="H2159" s="48"/>
      <c r="I2159" s="49"/>
    </row>
    <row r="2160" spans="2:9" s="1" customFormat="1" x14ac:dyDescent="0.2">
      <c r="B2160" s="44" t="str">
        <f t="shared" si="42"/>
        <v>2014-065-2</v>
      </c>
      <c r="C2160" s="45">
        <v>2014</v>
      </c>
      <c r="D2160" s="45" t="s">
        <v>94</v>
      </c>
      <c r="E2160" s="45">
        <v>2</v>
      </c>
      <c r="F2160" s="47" t="s">
        <v>1150</v>
      </c>
      <c r="G2160" s="45"/>
      <c r="H2160" s="48"/>
      <c r="I2160" s="49"/>
    </row>
    <row r="2161" spans="2:9" s="1" customFormat="1" ht="27" x14ac:dyDescent="0.2">
      <c r="B2161" s="44" t="str">
        <f t="shared" si="42"/>
        <v>2014-065-3</v>
      </c>
      <c r="C2161" s="45">
        <v>2014</v>
      </c>
      <c r="D2161" s="45" t="s">
        <v>94</v>
      </c>
      <c r="E2161" s="45">
        <v>3</v>
      </c>
      <c r="F2161" s="47" t="s">
        <v>1544</v>
      </c>
      <c r="G2161" s="45"/>
      <c r="H2161" s="48"/>
      <c r="I2161" s="49"/>
    </row>
    <row r="2162" spans="2:9" s="1" customFormat="1" ht="27" x14ac:dyDescent="0.2">
      <c r="B2162" s="44" t="str">
        <f t="shared" si="42"/>
        <v>2014-065-4</v>
      </c>
      <c r="C2162" s="45">
        <v>2014</v>
      </c>
      <c r="D2162" s="45" t="s">
        <v>94</v>
      </c>
      <c r="E2162" s="45">
        <v>4</v>
      </c>
      <c r="F2162" s="47" t="s">
        <v>1939</v>
      </c>
      <c r="G2162" s="45"/>
      <c r="H2162" s="48"/>
      <c r="I2162" s="49"/>
    </row>
    <row r="2163" spans="2:9" s="1" customFormat="1" ht="27" x14ac:dyDescent="0.2">
      <c r="B2163" s="50" t="str">
        <f t="shared" si="42"/>
        <v>2014-065-5</v>
      </c>
      <c r="C2163" s="51">
        <v>2014</v>
      </c>
      <c r="D2163" s="51" t="s">
        <v>94</v>
      </c>
      <c r="E2163" s="51">
        <v>5</v>
      </c>
      <c r="F2163" s="52" t="s">
        <v>2334</v>
      </c>
      <c r="G2163" s="51"/>
      <c r="H2163" s="53"/>
      <c r="I2163" s="54"/>
    </row>
    <row r="2164" spans="2:9" s="1" customFormat="1" x14ac:dyDescent="0.2">
      <c r="B2164" s="55" t="str">
        <f t="shared" si="42"/>
        <v>2014-066-0</v>
      </c>
      <c r="C2164" s="56">
        <v>2014</v>
      </c>
      <c r="D2164" s="56" t="s">
        <v>95</v>
      </c>
      <c r="E2164" s="56">
        <v>0</v>
      </c>
      <c r="F2164" s="57" t="s">
        <v>354</v>
      </c>
      <c r="G2164" s="56"/>
      <c r="H2164" s="58"/>
      <c r="I2164" s="59"/>
    </row>
    <row r="2165" spans="2:9" s="1" customFormat="1" x14ac:dyDescent="0.2">
      <c r="B2165" s="44" t="str">
        <f t="shared" si="42"/>
        <v>2014-066-1</v>
      </c>
      <c r="C2165" s="45">
        <v>2014</v>
      </c>
      <c r="D2165" s="45" t="s">
        <v>95</v>
      </c>
      <c r="E2165" s="45">
        <v>1</v>
      </c>
      <c r="F2165" s="47" t="s">
        <v>753</v>
      </c>
      <c r="G2165" s="45" t="s">
        <v>3210</v>
      </c>
      <c r="H2165" s="48"/>
      <c r="I2165" s="49"/>
    </row>
    <row r="2166" spans="2:9" s="1" customFormat="1" x14ac:dyDescent="0.2">
      <c r="B2166" s="44" t="str">
        <f t="shared" si="42"/>
        <v>2014-066-2</v>
      </c>
      <c r="C2166" s="45">
        <v>2014</v>
      </c>
      <c r="D2166" s="45" t="s">
        <v>95</v>
      </c>
      <c r="E2166" s="45">
        <v>2</v>
      </c>
      <c r="F2166" s="47" t="s">
        <v>1151</v>
      </c>
      <c r="G2166" s="45"/>
      <c r="H2166" s="48"/>
      <c r="I2166" s="49"/>
    </row>
    <row r="2167" spans="2:9" s="1" customFormat="1" x14ac:dyDescent="0.2">
      <c r="B2167" s="44" t="str">
        <f t="shared" si="42"/>
        <v>2014-066-3</v>
      </c>
      <c r="C2167" s="45">
        <v>2014</v>
      </c>
      <c r="D2167" s="45" t="s">
        <v>95</v>
      </c>
      <c r="E2167" s="45">
        <v>3</v>
      </c>
      <c r="F2167" s="47" t="s">
        <v>1545</v>
      </c>
      <c r="G2167" s="45"/>
      <c r="H2167" s="48"/>
      <c r="I2167" s="49"/>
    </row>
    <row r="2168" spans="2:9" s="1" customFormat="1" x14ac:dyDescent="0.2">
      <c r="B2168" s="44" t="str">
        <f t="shared" si="42"/>
        <v>2014-066-4</v>
      </c>
      <c r="C2168" s="45">
        <v>2014</v>
      </c>
      <c r="D2168" s="45" t="s">
        <v>95</v>
      </c>
      <c r="E2168" s="45">
        <v>4</v>
      </c>
      <c r="F2168" s="47" t="s">
        <v>1940</v>
      </c>
      <c r="G2168" s="45"/>
      <c r="H2168" s="48"/>
      <c r="I2168" s="49"/>
    </row>
    <row r="2169" spans="2:9" s="1" customFormat="1" x14ac:dyDescent="0.2">
      <c r="B2169" s="50" t="str">
        <f t="shared" si="42"/>
        <v>2014-066-5</v>
      </c>
      <c r="C2169" s="51">
        <v>2014</v>
      </c>
      <c r="D2169" s="51" t="s">
        <v>95</v>
      </c>
      <c r="E2169" s="51">
        <v>5</v>
      </c>
      <c r="F2169" s="52" t="s">
        <v>2335</v>
      </c>
      <c r="G2169" s="51"/>
      <c r="H2169" s="53"/>
      <c r="I2169" s="54"/>
    </row>
    <row r="2170" spans="2:9" s="1" customFormat="1" x14ac:dyDescent="0.2">
      <c r="B2170" s="55" t="str">
        <f t="shared" si="42"/>
        <v>2014-067-0</v>
      </c>
      <c r="C2170" s="56">
        <v>2014</v>
      </c>
      <c r="D2170" s="56" t="s">
        <v>96</v>
      </c>
      <c r="E2170" s="56">
        <v>0</v>
      </c>
      <c r="F2170" s="57" t="s">
        <v>355</v>
      </c>
      <c r="G2170" s="56"/>
      <c r="H2170" s="58"/>
      <c r="I2170" s="59"/>
    </row>
    <row r="2171" spans="2:9" s="1" customFormat="1" x14ac:dyDescent="0.2">
      <c r="B2171" s="44" t="str">
        <f t="shared" ref="B2171:B2223" si="43">C2171&amp;"-"&amp;D2171&amp;"-"&amp;E2171</f>
        <v>2014-067-1</v>
      </c>
      <c r="C2171" s="45">
        <v>2014</v>
      </c>
      <c r="D2171" s="45" t="s">
        <v>96</v>
      </c>
      <c r="E2171" s="45">
        <v>1</v>
      </c>
      <c r="F2171" s="47" t="s">
        <v>754</v>
      </c>
      <c r="G2171" s="45"/>
      <c r="H2171" s="48"/>
      <c r="I2171" s="49"/>
    </row>
    <row r="2172" spans="2:9" s="1" customFormat="1" x14ac:dyDescent="0.2">
      <c r="B2172" s="44" t="str">
        <f t="shared" si="43"/>
        <v>2014-067-2</v>
      </c>
      <c r="C2172" s="45">
        <v>2014</v>
      </c>
      <c r="D2172" s="45" t="s">
        <v>96</v>
      </c>
      <c r="E2172" s="45">
        <v>2</v>
      </c>
      <c r="F2172" s="47" t="s">
        <v>1152</v>
      </c>
      <c r="G2172" s="45"/>
      <c r="H2172" s="48"/>
      <c r="I2172" s="49"/>
    </row>
    <row r="2173" spans="2:9" s="1" customFormat="1" x14ac:dyDescent="0.2">
      <c r="B2173" s="44" t="str">
        <f t="shared" si="43"/>
        <v>2014-067-3</v>
      </c>
      <c r="C2173" s="45">
        <v>2014</v>
      </c>
      <c r="D2173" s="45" t="s">
        <v>96</v>
      </c>
      <c r="E2173" s="45">
        <v>3</v>
      </c>
      <c r="F2173" s="47" t="s">
        <v>1454</v>
      </c>
      <c r="G2173" s="45" t="s">
        <v>3210</v>
      </c>
      <c r="H2173" s="48"/>
      <c r="I2173" s="49"/>
    </row>
    <row r="2174" spans="2:9" s="1" customFormat="1" x14ac:dyDescent="0.2">
      <c r="B2174" s="44" t="str">
        <f t="shared" si="43"/>
        <v>2014-067-4</v>
      </c>
      <c r="C2174" s="45">
        <v>2014</v>
      </c>
      <c r="D2174" s="45" t="s">
        <v>96</v>
      </c>
      <c r="E2174" s="45">
        <v>4</v>
      </c>
      <c r="F2174" s="47" t="s">
        <v>1941</v>
      </c>
      <c r="G2174" s="45"/>
      <c r="H2174" s="48"/>
      <c r="I2174" s="49"/>
    </row>
    <row r="2175" spans="2:9" s="1" customFormat="1" x14ac:dyDescent="0.2">
      <c r="B2175" s="50" t="str">
        <f t="shared" si="43"/>
        <v>2014-067-5</v>
      </c>
      <c r="C2175" s="51">
        <v>2014</v>
      </c>
      <c r="D2175" s="51" t="s">
        <v>96</v>
      </c>
      <c r="E2175" s="51">
        <v>5</v>
      </c>
      <c r="F2175" s="52" t="s">
        <v>2336</v>
      </c>
      <c r="G2175" s="51"/>
      <c r="H2175" s="53"/>
      <c r="I2175" s="54"/>
    </row>
    <row r="2176" spans="2:9" s="1" customFormat="1" x14ac:dyDescent="0.2">
      <c r="B2176" s="55" t="str">
        <f t="shared" si="43"/>
        <v>2014-068-0</v>
      </c>
      <c r="C2176" s="56">
        <v>2014</v>
      </c>
      <c r="D2176" s="56" t="s">
        <v>97</v>
      </c>
      <c r="E2176" s="56">
        <v>0</v>
      </c>
      <c r="F2176" s="57" t="s">
        <v>356</v>
      </c>
      <c r="G2176" s="56"/>
      <c r="H2176" s="58"/>
      <c r="I2176" s="59"/>
    </row>
    <row r="2177" spans="2:9" s="1" customFormat="1" x14ac:dyDescent="0.2">
      <c r="B2177" s="44" t="str">
        <f t="shared" si="43"/>
        <v>2014-068-1</v>
      </c>
      <c r="C2177" s="45">
        <v>2014</v>
      </c>
      <c r="D2177" s="45" t="s">
        <v>97</v>
      </c>
      <c r="E2177" s="45">
        <v>1</v>
      </c>
      <c r="F2177" s="47" t="s">
        <v>755</v>
      </c>
      <c r="G2177" s="45"/>
      <c r="H2177" s="48"/>
      <c r="I2177" s="49"/>
    </row>
    <row r="2178" spans="2:9" s="1" customFormat="1" x14ac:dyDescent="0.2">
      <c r="B2178" s="44" t="str">
        <f t="shared" si="43"/>
        <v>2014-068-2</v>
      </c>
      <c r="C2178" s="45">
        <v>2014</v>
      </c>
      <c r="D2178" s="45" t="s">
        <v>97</v>
      </c>
      <c r="E2178" s="45">
        <v>2</v>
      </c>
      <c r="F2178" s="47" t="s">
        <v>1153</v>
      </c>
      <c r="G2178" s="45"/>
      <c r="H2178" s="48"/>
      <c r="I2178" s="49"/>
    </row>
    <row r="2179" spans="2:9" s="1" customFormat="1" ht="27" x14ac:dyDescent="0.2">
      <c r="B2179" s="44" t="str">
        <f t="shared" si="43"/>
        <v>2014-068-3</v>
      </c>
      <c r="C2179" s="45">
        <v>2014</v>
      </c>
      <c r="D2179" s="45" t="s">
        <v>97</v>
      </c>
      <c r="E2179" s="45">
        <v>3</v>
      </c>
      <c r="F2179" s="47" t="s">
        <v>1546</v>
      </c>
      <c r="G2179" s="45"/>
      <c r="H2179" s="48"/>
      <c r="I2179" s="49"/>
    </row>
    <row r="2180" spans="2:9" s="1" customFormat="1" ht="27" x14ac:dyDescent="0.2">
      <c r="B2180" s="44" t="str">
        <f t="shared" si="43"/>
        <v>2014-068-4</v>
      </c>
      <c r="C2180" s="45">
        <v>2014</v>
      </c>
      <c r="D2180" s="45" t="s">
        <v>97</v>
      </c>
      <c r="E2180" s="45">
        <v>4</v>
      </c>
      <c r="F2180" s="47" t="s">
        <v>1942</v>
      </c>
      <c r="G2180" s="45" t="s">
        <v>3210</v>
      </c>
      <c r="H2180" s="48"/>
      <c r="I2180" s="49"/>
    </row>
    <row r="2181" spans="2:9" s="1" customFormat="1" x14ac:dyDescent="0.2">
      <c r="B2181" s="50" t="str">
        <f t="shared" si="43"/>
        <v>2014-068-5</v>
      </c>
      <c r="C2181" s="51">
        <v>2014</v>
      </c>
      <c r="D2181" s="51" t="s">
        <v>97</v>
      </c>
      <c r="E2181" s="51">
        <v>5</v>
      </c>
      <c r="F2181" s="52" t="s">
        <v>2337</v>
      </c>
      <c r="G2181" s="51"/>
      <c r="H2181" s="53"/>
      <c r="I2181" s="54"/>
    </row>
    <row r="2182" spans="2:9" s="1" customFormat="1" x14ac:dyDescent="0.2">
      <c r="B2182" s="55" t="str">
        <f t="shared" si="43"/>
        <v>2014-069-0</v>
      </c>
      <c r="C2182" s="56">
        <v>2014</v>
      </c>
      <c r="D2182" s="56" t="s">
        <v>98</v>
      </c>
      <c r="E2182" s="56">
        <v>0</v>
      </c>
      <c r="F2182" s="57" t="s">
        <v>357</v>
      </c>
      <c r="G2182" s="56"/>
      <c r="H2182" s="58"/>
      <c r="I2182" s="59"/>
    </row>
    <row r="2183" spans="2:9" s="1" customFormat="1" x14ac:dyDescent="0.2">
      <c r="B2183" s="44" t="str">
        <f t="shared" si="43"/>
        <v>2014-069-1</v>
      </c>
      <c r="C2183" s="45">
        <v>2014</v>
      </c>
      <c r="D2183" s="45" t="s">
        <v>98</v>
      </c>
      <c r="E2183" s="45">
        <v>1</v>
      </c>
      <c r="F2183" s="47" t="s">
        <v>756</v>
      </c>
      <c r="G2183" s="45"/>
      <c r="H2183" s="48"/>
      <c r="I2183" s="49"/>
    </row>
    <row r="2184" spans="2:9" s="1" customFormat="1" x14ac:dyDescent="0.2">
      <c r="B2184" s="44" t="str">
        <f t="shared" si="43"/>
        <v>2014-069-2</v>
      </c>
      <c r="C2184" s="45">
        <v>2014</v>
      </c>
      <c r="D2184" s="45" t="s">
        <v>98</v>
      </c>
      <c r="E2184" s="45">
        <v>2</v>
      </c>
      <c r="F2184" s="47" t="s">
        <v>1154</v>
      </c>
      <c r="G2184" s="45"/>
      <c r="H2184" s="48"/>
      <c r="I2184" s="49"/>
    </row>
    <row r="2185" spans="2:9" s="1" customFormat="1" x14ac:dyDescent="0.2">
      <c r="B2185" s="44" t="str">
        <f t="shared" si="43"/>
        <v>2014-069-3</v>
      </c>
      <c r="C2185" s="45">
        <v>2014</v>
      </c>
      <c r="D2185" s="45" t="s">
        <v>98</v>
      </c>
      <c r="E2185" s="45">
        <v>3</v>
      </c>
      <c r="F2185" s="47" t="s">
        <v>1547</v>
      </c>
      <c r="G2185" s="45"/>
      <c r="H2185" s="48"/>
      <c r="I2185" s="49"/>
    </row>
    <row r="2186" spans="2:9" s="1" customFormat="1" x14ac:dyDescent="0.2">
      <c r="B2186" s="44" t="str">
        <f t="shared" si="43"/>
        <v>2014-069-4</v>
      </c>
      <c r="C2186" s="45">
        <v>2014</v>
      </c>
      <c r="D2186" s="45" t="s">
        <v>98</v>
      </c>
      <c r="E2186" s="45">
        <v>4</v>
      </c>
      <c r="F2186" s="47" t="s">
        <v>1943</v>
      </c>
      <c r="G2186" s="45"/>
      <c r="H2186" s="48"/>
      <c r="I2186" s="49"/>
    </row>
    <row r="2187" spans="2:9" s="1" customFormat="1" x14ac:dyDescent="0.2">
      <c r="B2187" s="50" t="str">
        <f t="shared" si="43"/>
        <v>2014-069-5</v>
      </c>
      <c r="C2187" s="51">
        <v>2014</v>
      </c>
      <c r="D2187" s="51" t="s">
        <v>98</v>
      </c>
      <c r="E2187" s="51">
        <v>5</v>
      </c>
      <c r="F2187" s="52" t="s">
        <v>2338</v>
      </c>
      <c r="G2187" s="51" t="s">
        <v>3210</v>
      </c>
      <c r="H2187" s="53"/>
      <c r="I2187" s="54"/>
    </row>
    <row r="2188" spans="2:9" s="1" customFormat="1" x14ac:dyDescent="0.2">
      <c r="B2188" s="55" t="str">
        <f t="shared" si="43"/>
        <v>2014-070-0</v>
      </c>
      <c r="C2188" s="56">
        <v>2014</v>
      </c>
      <c r="D2188" s="56" t="s">
        <v>99</v>
      </c>
      <c r="E2188" s="56">
        <v>0</v>
      </c>
      <c r="F2188" s="57" t="s">
        <v>358</v>
      </c>
      <c r="G2188" s="56"/>
      <c r="H2188" s="58"/>
      <c r="I2188" s="59"/>
    </row>
    <row r="2189" spans="2:9" s="1" customFormat="1" x14ac:dyDescent="0.2">
      <c r="B2189" s="44" t="str">
        <f t="shared" si="43"/>
        <v>2014-070-1</v>
      </c>
      <c r="C2189" s="45">
        <v>2014</v>
      </c>
      <c r="D2189" s="45" t="s">
        <v>99</v>
      </c>
      <c r="E2189" s="45">
        <v>1</v>
      </c>
      <c r="F2189" s="47" t="s">
        <v>757</v>
      </c>
      <c r="G2189" s="45"/>
      <c r="H2189" s="48"/>
      <c r="I2189" s="49"/>
    </row>
    <row r="2190" spans="2:9" s="1" customFormat="1" x14ac:dyDescent="0.2">
      <c r="B2190" s="44" t="str">
        <f t="shared" si="43"/>
        <v>2014-070-2</v>
      </c>
      <c r="C2190" s="45">
        <v>2014</v>
      </c>
      <c r="D2190" s="45" t="s">
        <v>99</v>
      </c>
      <c r="E2190" s="45">
        <v>2</v>
      </c>
      <c r="F2190" s="47" t="s">
        <v>1155</v>
      </c>
      <c r="G2190" s="45" t="s">
        <v>3210</v>
      </c>
      <c r="H2190" s="48"/>
      <c r="I2190" s="49"/>
    </row>
    <row r="2191" spans="2:9" s="1" customFormat="1" x14ac:dyDescent="0.2">
      <c r="B2191" s="44" t="str">
        <f t="shared" si="43"/>
        <v>2014-070-3</v>
      </c>
      <c r="C2191" s="45">
        <v>2014</v>
      </c>
      <c r="D2191" s="45" t="s">
        <v>99</v>
      </c>
      <c r="E2191" s="45">
        <v>3</v>
      </c>
      <c r="F2191" s="47" t="s">
        <v>1548</v>
      </c>
      <c r="G2191" s="45"/>
      <c r="H2191" s="48"/>
      <c r="I2191" s="49"/>
    </row>
    <row r="2192" spans="2:9" s="1" customFormat="1" x14ac:dyDescent="0.2">
      <c r="B2192" s="44" t="str">
        <f t="shared" si="43"/>
        <v>2014-070-4</v>
      </c>
      <c r="C2192" s="45">
        <v>2014</v>
      </c>
      <c r="D2192" s="45" t="s">
        <v>99</v>
      </c>
      <c r="E2192" s="45">
        <v>4</v>
      </c>
      <c r="F2192" s="47" t="s">
        <v>1944</v>
      </c>
      <c r="G2192" s="45"/>
      <c r="H2192" s="48"/>
      <c r="I2192" s="49"/>
    </row>
    <row r="2193" spans="2:9" s="1" customFormat="1" ht="27" x14ac:dyDescent="0.2">
      <c r="B2193" s="50" t="str">
        <f t="shared" si="43"/>
        <v>2014-070-5</v>
      </c>
      <c r="C2193" s="51">
        <v>2014</v>
      </c>
      <c r="D2193" s="51" t="s">
        <v>99</v>
      </c>
      <c r="E2193" s="51">
        <v>5</v>
      </c>
      <c r="F2193" s="52" t="s">
        <v>2339</v>
      </c>
      <c r="G2193" s="51"/>
      <c r="H2193" s="53"/>
      <c r="I2193" s="54"/>
    </row>
    <row r="2194" spans="2:9" s="1" customFormat="1" x14ac:dyDescent="0.2">
      <c r="B2194" s="55" t="str">
        <f t="shared" si="43"/>
        <v>2014-071-0</v>
      </c>
      <c r="C2194" s="56">
        <v>2014</v>
      </c>
      <c r="D2194" s="56" t="s">
        <v>100</v>
      </c>
      <c r="E2194" s="56">
        <v>0</v>
      </c>
      <c r="F2194" s="57" t="s">
        <v>359</v>
      </c>
      <c r="G2194" s="56"/>
      <c r="H2194" s="58"/>
      <c r="I2194" s="59"/>
    </row>
    <row r="2195" spans="2:9" s="1" customFormat="1" x14ac:dyDescent="0.2">
      <c r="B2195" s="44" t="str">
        <f t="shared" si="43"/>
        <v>2014-071-1</v>
      </c>
      <c r="C2195" s="45">
        <v>2014</v>
      </c>
      <c r="D2195" s="45" t="s">
        <v>100</v>
      </c>
      <c r="E2195" s="45">
        <v>1</v>
      </c>
      <c r="F2195" s="47" t="s">
        <v>758</v>
      </c>
      <c r="G2195" s="45"/>
      <c r="H2195" s="48"/>
      <c r="I2195" s="49"/>
    </row>
    <row r="2196" spans="2:9" s="1" customFormat="1" x14ac:dyDescent="0.2">
      <c r="B2196" s="44" t="str">
        <f t="shared" si="43"/>
        <v>2014-071-2</v>
      </c>
      <c r="C2196" s="45">
        <v>2014</v>
      </c>
      <c r="D2196" s="45" t="s">
        <v>100</v>
      </c>
      <c r="E2196" s="45">
        <v>2</v>
      </c>
      <c r="F2196" s="47" t="s">
        <v>1156</v>
      </c>
      <c r="G2196" s="45"/>
      <c r="H2196" s="48"/>
      <c r="I2196" s="49"/>
    </row>
    <row r="2197" spans="2:9" s="1" customFormat="1" x14ac:dyDescent="0.2">
      <c r="B2197" s="44" t="str">
        <f t="shared" si="43"/>
        <v>2014-071-3</v>
      </c>
      <c r="C2197" s="45">
        <v>2014</v>
      </c>
      <c r="D2197" s="45" t="s">
        <v>100</v>
      </c>
      <c r="E2197" s="45">
        <v>3</v>
      </c>
      <c r="F2197" s="47" t="s">
        <v>1549</v>
      </c>
      <c r="G2197" s="45" t="s">
        <v>3210</v>
      </c>
      <c r="H2197" s="48"/>
      <c r="I2197" s="49"/>
    </row>
    <row r="2198" spans="2:9" s="1" customFormat="1" x14ac:dyDescent="0.2">
      <c r="B2198" s="44" t="str">
        <f t="shared" si="43"/>
        <v>2014-071-4</v>
      </c>
      <c r="C2198" s="45">
        <v>2014</v>
      </c>
      <c r="D2198" s="45" t="s">
        <v>100</v>
      </c>
      <c r="E2198" s="45">
        <v>4</v>
      </c>
      <c r="F2198" s="47" t="s">
        <v>1945</v>
      </c>
      <c r="G2198" s="45"/>
      <c r="H2198" s="48"/>
      <c r="I2198" s="49"/>
    </row>
    <row r="2199" spans="2:9" s="1" customFormat="1" x14ac:dyDescent="0.2">
      <c r="B2199" s="50" t="str">
        <f t="shared" si="43"/>
        <v>2014-071-5</v>
      </c>
      <c r="C2199" s="51">
        <v>2014</v>
      </c>
      <c r="D2199" s="51" t="s">
        <v>100</v>
      </c>
      <c r="E2199" s="51">
        <v>5</v>
      </c>
      <c r="F2199" s="52" t="s">
        <v>2340</v>
      </c>
      <c r="G2199" s="51"/>
      <c r="H2199" s="53"/>
      <c r="I2199" s="54"/>
    </row>
    <row r="2200" spans="2:9" s="1" customFormat="1" x14ac:dyDescent="0.2">
      <c r="B2200" s="55" t="str">
        <f t="shared" si="43"/>
        <v>2014-072-0</v>
      </c>
      <c r="C2200" s="56">
        <v>2014</v>
      </c>
      <c r="D2200" s="56" t="s">
        <v>101</v>
      </c>
      <c r="E2200" s="56">
        <v>0</v>
      </c>
      <c r="F2200" s="57" t="s">
        <v>360</v>
      </c>
      <c r="G2200" s="56"/>
      <c r="H2200" s="58"/>
      <c r="I2200" s="59"/>
    </row>
    <row r="2201" spans="2:9" s="1" customFormat="1" x14ac:dyDescent="0.2">
      <c r="B2201" s="44" t="str">
        <f t="shared" si="43"/>
        <v>2014-072-1</v>
      </c>
      <c r="C2201" s="45">
        <v>2014</v>
      </c>
      <c r="D2201" s="45" t="s">
        <v>101</v>
      </c>
      <c r="E2201" s="45">
        <v>1</v>
      </c>
      <c r="F2201" s="47" t="s">
        <v>759</v>
      </c>
      <c r="G2201" s="45"/>
      <c r="H2201" s="48"/>
      <c r="I2201" s="49"/>
    </row>
    <row r="2202" spans="2:9" s="1" customFormat="1" x14ac:dyDescent="0.2">
      <c r="B2202" s="44" t="str">
        <f t="shared" si="43"/>
        <v>2014-072-2</v>
      </c>
      <c r="C2202" s="45">
        <v>2014</v>
      </c>
      <c r="D2202" s="45" t="s">
        <v>101</v>
      </c>
      <c r="E2202" s="45">
        <v>2</v>
      </c>
      <c r="F2202" s="47" t="s">
        <v>1157</v>
      </c>
      <c r="G2202" s="45" t="s">
        <v>3210</v>
      </c>
      <c r="H2202" s="48"/>
      <c r="I2202" s="49"/>
    </row>
    <row r="2203" spans="2:9" s="1" customFormat="1" x14ac:dyDescent="0.2">
      <c r="B2203" s="44" t="str">
        <f t="shared" si="43"/>
        <v>2014-072-3</v>
      </c>
      <c r="C2203" s="45">
        <v>2014</v>
      </c>
      <c r="D2203" s="45" t="s">
        <v>101</v>
      </c>
      <c r="E2203" s="45">
        <v>3</v>
      </c>
      <c r="F2203" s="47" t="s">
        <v>1550</v>
      </c>
      <c r="G2203" s="45"/>
      <c r="H2203" s="48"/>
      <c r="I2203" s="49"/>
    </row>
    <row r="2204" spans="2:9" s="1" customFormat="1" x14ac:dyDescent="0.2">
      <c r="B2204" s="44" t="str">
        <f t="shared" si="43"/>
        <v>2014-072-4</v>
      </c>
      <c r="C2204" s="45">
        <v>2014</v>
      </c>
      <c r="D2204" s="45" t="s">
        <v>101</v>
      </c>
      <c r="E2204" s="45">
        <v>4</v>
      </c>
      <c r="F2204" s="47" t="s">
        <v>1946</v>
      </c>
      <c r="G2204" s="45"/>
      <c r="H2204" s="48"/>
      <c r="I2204" s="49"/>
    </row>
    <row r="2205" spans="2:9" s="1" customFormat="1" x14ac:dyDescent="0.2">
      <c r="B2205" s="50" t="str">
        <f t="shared" si="43"/>
        <v>2014-072-5</v>
      </c>
      <c r="C2205" s="51">
        <v>2014</v>
      </c>
      <c r="D2205" s="51" t="s">
        <v>101</v>
      </c>
      <c r="E2205" s="51">
        <v>5</v>
      </c>
      <c r="F2205" s="52" t="s">
        <v>2341</v>
      </c>
      <c r="G2205" s="51"/>
      <c r="H2205" s="53"/>
      <c r="I2205" s="54"/>
    </row>
    <row r="2206" spans="2:9" s="1" customFormat="1" x14ac:dyDescent="0.2">
      <c r="B2206" s="55" t="str">
        <f t="shared" si="43"/>
        <v>2014-073-0</v>
      </c>
      <c r="C2206" s="56">
        <v>2014</v>
      </c>
      <c r="D2206" s="56" t="s">
        <v>102</v>
      </c>
      <c r="E2206" s="56">
        <v>0</v>
      </c>
      <c r="F2206" s="57" t="s">
        <v>361</v>
      </c>
      <c r="G2206" s="56"/>
      <c r="H2206" s="58"/>
      <c r="I2206" s="59"/>
    </row>
    <row r="2207" spans="2:9" s="1" customFormat="1" x14ac:dyDescent="0.2">
      <c r="B2207" s="44" t="str">
        <f t="shared" si="43"/>
        <v>2014-073-1</v>
      </c>
      <c r="C2207" s="45">
        <v>2014</v>
      </c>
      <c r="D2207" s="45" t="s">
        <v>102</v>
      </c>
      <c r="E2207" s="45">
        <v>1</v>
      </c>
      <c r="F2207" s="47" t="s">
        <v>760</v>
      </c>
      <c r="G2207" s="45"/>
      <c r="H2207" s="48"/>
      <c r="I2207" s="49"/>
    </row>
    <row r="2208" spans="2:9" s="1" customFormat="1" x14ac:dyDescent="0.2">
      <c r="B2208" s="44" t="str">
        <f t="shared" si="43"/>
        <v>2014-073-2</v>
      </c>
      <c r="C2208" s="45">
        <v>2014</v>
      </c>
      <c r="D2208" s="45" t="s">
        <v>102</v>
      </c>
      <c r="E2208" s="45">
        <v>2</v>
      </c>
      <c r="F2208" s="47" t="s">
        <v>1158</v>
      </c>
      <c r="G2208" s="45"/>
      <c r="H2208" s="48"/>
      <c r="I2208" s="49"/>
    </row>
    <row r="2209" spans="2:9" s="1" customFormat="1" x14ac:dyDescent="0.2">
      <c r="B2209" s="44" t="str">
        <f t="shared" si="43"/>
        <v>2014-073-3</v>
      </c>
      <c r="C2209" s="45">
        <v>2014</v>
      </c>
      <c r="D2209" s="45" t="s">
        <v>102</v>
      </c>
      <c r="E2209" s="45">
        <v>3</v>
      </c>
      <c r="F2209" s="47" t="s">
        <v>1551</v>
      </c>
      <c r="G2209" s="45" t="s">
        <v>3210</v>
      </c>
      <c r="H2209" s="48"/>
      <c r="I2209" s="49"/>
    </row>
    <row r="2210" spans="2:9" s="1" customFormat="1" x14ac:dyDescent="0.2">
      <c r="B2210" s="44" t="str">
        <f t="shared" si="43"/>
        <v>2014-073-4</v>
      </c>
      <c r="C2210" s="45">
        <v>2014</v>
      </c>
      <c r="D2210" s="45" t="s">
        <v>102</v>
      </c>
      <c r="E2210" s="45">
        <v>4</v>
      </c>
      <c r="F2210" s="47" t="s">
        <v>1947</v>
      </c>
      <c r="G2210" s="45"/>
      <c r="H2210" s="48"/>
      <c r="I2210" s="49"/>
    </row>
    <row r="2211" spans="2:9" s="1" customFormat="1" x14ac:dyDescent="0.2">
      <c r="B2211" s="50" t="str">
        <f t="shared" si="43"/>
        <v>2014-073-5</v>
      </c>
      <c r="C2211" s="51">
        <v>2014</v>
      </c>
      <c r="D2211" s="51" t="s">
        <v>102</v>
      </c>
      <c r="E2211" s="51">
        <v>5</v>
      </c>
      <c r="F2211" s="52" t="s">
        <v>2342</v>
      </c>
      <c r="G2211" s="51"/>
      <c r="H2211" s="53"/>
      <c r="I2211" s="54"/>
    </row>
    <row r="2212" spans="2:9" s="1" customFormat="1" ht="27" x14ac:dyDescent="0.2">
      <c r="B2212" s="55" t="str">
        <f t="shared" si="43"/>
        <v>2014-074-0</v>
      </c>
      <c r="C2212" s="56">
        <v>2014</v>
      </c>
      <c r="D2212" s="56" t="s">
        <v>103</v>
      </c>
      <c r="E2212" s="56">
        <v>0</v>
      </c>
      <c r="F2212" s="57" t="s">
        <v>362</v>
      </c>
      <c r="G2212" s="56"/>
      <c r="H2212" s="58"/>
      <c r="I2212" s="59"/>
    </row>
    <row r="2213" spans="2:9" s="1" customFormat="1" ht="27" x14ac:dyDescent="0.2">
      <c r="B2213" s="44" t="str">
        <f t="shared" si="43"/>
        <v>2014-074-1</v>
      </c>
      <c r="C2213" s="45">
        <v>2014</v>
      </c>
      <c r="D2213" s="45" t="s">
        <v>103</v>
      </c>
      <c r="E2213" s="45">
        <v>1</v>
      </c>
      <c r="F2213" s="47" t="s">
        <v>761</v>
      </c>
      <c r="G2213" s="45"/>
      <c r="H2213" s="48"/>
      <c r="I2213" s="49"/>
    </row>
    <row r="2214" spans="2:9" s="1" customFormat="1" x14ac:dyDescent="0.2">
      <c r="B2214" s="44" t="str">
        <f t="shared" si="43"/>
        <v>2014-074-2</v>
      </c>
      <c r="C2214" s="45">
        <v>2014</v>
      </c>
      <c r="D2214" s="45" t="s">
        <v>103</v>
      </c>
      <c r="E2214" s="45">
        <v>2</v>
      </c>
      <c r="F2214" s="47" t="s">
        <v>1159</v>
      </c>
      <c r="G2214" s="45"/>
      <c r="H2214" s="48"/>
      <c r="I2214" s="49"/>
    </row>
    <row r="2215" spans="2:9" s="1" customFormat="1" x14ac:dyDescent="0.2">
      <c r="B2215" s="44" t="str">
        <f t="shared" si="43"/>
        <v>2014-074-3</v>
      </c>
      <c r="C2215" s="45">
        <v>2014</v>
      </c>
      <c r="D2215" s="45" t="s">
        <v>103</v>
      </c>
      <c r="E2215" s="45">
        <v>3</v>
      </c>
      <c r="F2215" s="47" t="s">
        <v>1552</v>
      </c>
      <c r="G2215" s="45" t="s">
        <v>3210</v>
      </c>
      <c r="H2215" s="48"/>
      <c r="I2215" s="49"/>
    </row>
    <row r="2216" spans="2:9" s="1" customFormat="1" x14ac:dyDescent="0.2">
      <c r="B2216" s="44" t="str">
        <f t="shared" si="43"/>
        <v>2014-074-4</v>
      </c>
      <c r="C2216" s="45">
        <v>2014</v>
      </c>
      <c r="D2216" s="45" t="s">
        <v>103</v>
      </c>
      <c r="E2216" s="45">
        <v>4</v>
      </c>
      <c r="F2216" s="47" t="s">
        <v>1948</v>
      </c>
      <c r="G2216" s="45"/>
      <c r="H2216" s="48"/>
      <c r="I2216" s="49"/>
    </row>
    <row r="2217" spans="2:9" s="1" customFormat="1" x14ac:dyDescent="0.2">
      <c r="B2217" s="50" t="str">
        <f t="shared" si="43"/>
        <v>2014-074-5</v>
      </c>
      <c r="C2217" s="51">
        <v>2014</v>
      </c>
      <c r="D2217" s="51" t="s">
        <v>103</v>
      </c>
      <c r="E2217" s="51">
        <v>5</v>
      </c>
      <c r="F2217" s="52" t="s">
        <v>2343</v>
      </c>
      <c r="G2217" s="51"/>
      <c r="H2217" s="53"/>
      <c r="I2217" s="54"/>
    </row>
    <row r="2218" spans="2:9" s="1" customFormat="1" x14ac:dyDescent="0.2">
      <c r="B2218" s="55" t="str">
        <f t="shared" si="43"/>
        <v>2014-075-0</v>
      </c>
      <c r="C2218" s="56">
        <v>2014</v>
      </c>
      <c r="D2218" s="56" t="s">
        <v>104</v>
      </c>
      <c r="E2218" s="56">
        <v>0</v>
      </c>
      <c r="F2218" s="57" t="s">
        <v>363</v>
      </c>
      <c r="G2218" s="56"/>
      <c r="H2218" s="58"/>
      <c r="I2218" s="59"/>
    </row>
    <row r="2219" spans="2:9" s="1" customFormat="1" x14ac:dyDescent="0.2">
      <c r="B2219" s="44" t="str">
        <f t="shared" si="43"/>
        <v>2014-075-1</v>
      </c>
      <c r="C2219" s="45">
        <v>2014</v>
      </c>
      <c r="D2219" s="45" t="s">
        <v>104</v>
      </c>
      <c r="E2219" s="45">
        <v>1</v>
      </c>
      <c r="F2219" s="47" t="s">
        <v>762</v>
      </c>
      <c r="G2219" s="45"/>
      <c r="H2219" s="48"/>
      <c r="I2219" s="49"/>
    </row>
    <row r="2220" spans="2:9" s="1" customFormat="1" x14ac:dyDescent="0.2">
      <c r="B2220" s="44" t="str">
        <f t="shared" si="43"/>
        <v>2014-075-2</v>
      </c>
      <c r="C2220" s="45">
        <v>2014</v>
      </c>
      <c r="D2220" s="45" t="s">
        <v>104</v>
      </c>
      <c r="E2220" s="45">
        <v>2</v>
      </c>
      <c r="F2220" s="47" t="s">
        <v>1160</v>
      </c>
      <c r="G2220" s="45" t="s">
        <v>3210</v>
      </c>
      <c r="H2220" s="48"/>
      <c r="I2220" s="49"/>
    </row>
    <row r="2221" spans="2:9" s="1" customFormat="1" x14ac:dyDescent="0.2">
      <c r="B2221" s="44" t="str">
        <f t="shared" si="43"/>
        <v>2014-075-3</v>
      </c>
      <c r="C2221" s="45">
        <v>2014</v>
      </c>
      <c r="D2221" s="45" t="s">
        <v>104</v>
      </c>
      <c r="E2221" s="45">
        <v>3</v>
      </c>
      <c r="F2221" s="47" t="s">
        <v>1553</v>
      </c>
      <c r="G2221" s="45"/>
      <c r="H2221" s="48"/>
      <c r="I2221" s="49"/>
    </row>
    <row r="2222" spans="2:9" s="1" customFormat="1" ht="27" x14ac:dyDescent="0.2">
      <c r="B2222" s="44" t="str">
        <f t="shared" si="43"/>
        <v>2014-075-4</v>
      </c>
      <c r="C2222" s="45">
        <v>2014</v>
      </c>
      <c r="D2222" s="45" t="s">
        <v>104</v>
      </c>
      <c r="E2222" s="45">
        <v>4</v>
      </c>
      <c r="F2222" s="47" t="s">
        <v>1949</v>
      </c>
      <c r="G2222" s="45"/>
      <c r="H2222" s="48"/>
      <c r="I2222" s="49"/>
    </row>
    <row r="2223" spans="2:9" s="1" customFormat="1" ht="27.75" thickBot="1" x14ac:dyDescent="0.25">
      <c r="B2223" s="60" t="str">
        <f t="shared" si="43"/>
        <v>2014-075-5</v>
      </c>
      <c r="C2223" s="61">
        <v>2014</v>
      </c>
      <c r="D2223" s="61" t="s">
        <v>104</v>
      </c>
      <c r="E2223" s="61">
        <v>5</v>
      </c>
      <c r="F2223" s="62" t="s">
        <v>2344</v>
      </c>
      <c r="G2223" s="61"/>
      <c r="H2223" s="63"/>
      <c r="I2223" s="64"/>
    </row>
    <row r="2224" spans="2:9" s="1" customFormat="1" x14ac:dyDescent="0.2">
      <c r="B2224" s="38" t="str">
        <f t="shared" ref="B2224:B2272" si="44">C2224&amp;"-"&amp;D2224&amp;"-"&amp;E2224</f>
        <v>2013-051-0</v>
      </c>
      <c r="C2224" s="39">
        <v>2013</v>
      </c>
      <c r="D2224" s="39" t="s">
        <v>80</v>
      </c>
      <c r="E2224" s="39">
        <v>0</v>
      </c>
      <c r="F2224" s="41" t="s">
        <v>364</v>
      </c>
      <c r="G2224" s="39"/>
      <c r="H2224" s="42"/>
      <c r="I2224" s="43"/>
    </row>
    <row r="2225" spans="2:9" s="1" customFormat="1" x14ac:dyDescent="0.2">
      <c r="B2225" s="44" t="str">
        <f t="shared" si="44"/>
        <v>2013-051-1</v>
      </c>
      <c r="C2225" s="45">
        <v>2013</v>
      </c>
      <c r="D2225" s="45" t="s">
        <v>80</v>
      </c>
      <c r="E2225" s="45">
        <v>1</v>
      </c>
      <c r="F2225" s="47" t="s">
        <v>763</v>
      </c>
      <c r="G2225" s="45"/>
      <c r="H2225" s="48"/>
      <c r="I2225" s="49"/>
    </row>
    <row r="2226" spans="2:9" s="1" customFormat="1" ht="27" x14ac:dyDescent="0.2">
      <c r="B2226" s="44" t="str">
        <f t="shared" si="44"/>
        <v>2013-051-2</v>
      </c>
      <c r="C2226" s="45">
        <v>2013</v>
      </c>
      <c r="D2226" s="45" t="s">
        <v>80</v>
      </c>
      <c r="E2226" s="45">
        <v>2</v>
      </c>
      <c r="F2226" s="47" t="s">
        <v>1161</v>
      </c>
      <c r="G2226" s="45" t="s">
        <v>3210</v>
      </c>
      <c r="H2226" s="48"/>
      <c r="I2226" s="49"/>
    </row>
    <row r="2227" spans="2:9" s="1" customFormat="1" x14ac:dyDescent="0.2">
      <c r="B2227" s="44" t="str">
        <f t="shared" si="44"/>
        <v>2013-051-3</v>
      </c>
      <c r="C2227" s="45">
        <v>2013</v>
      </c>
      <c r="D2227" s="45" t="s">
        <v>80</v>
      </c>
      <c r="E2227" s="45">
        <v>3</v>
      </c>
      <c r="F2227" s="47" t="s">
        <v>1554</v>
      </c>
      <c r="G2227" s="45"/>
      <c r="H2227" s="48"/>
      <c r="I2227" s="49"/>
    </row>
    <row r="2228" spans="2:9" s="1" customFormat="1" x14ac:dyDescent="0.2">
      <c r="B2228" s="44" t="str">
        <f t="shared" si="44"/>
        <v>2013-051-4</v>
      </c>
      <c r="C2228" s="45">
        <v>2013</v>
      </c>
      <c r="D2228" s="45" t="s">
        <v>80</v>
      </c>
      <c r="E2228" s="45">
        <v>4</v>
      </c>
      <c r="F2228" s="47" t="s">
        <v>1950</v>
      </c>
      <c r="G2228" s="45"/>
      <c r="H2228" s="48"/>
      <c r="I2228" s="49"/>
    </row>
    <row r="2229" spans="2:9" s="1" customFormat="1" x14ac:dyDescent="0.2">
      <c r="B2229" s="50" t="str">
        <f t="shared" si="44"/>
        <v>2013-051-5</v>
      </c>
      <c r="C2229" s="51">
        <v>2013</v>
      </c>
      <c r="D2229" s="51" t="s">
        <v>80</v>
      </c>
      <c r="E2229" s="51">
        <v>5</v>
      </c>
      <c r="F2229" s="52" t="s">
        <v>2345</v>
      </c>
      <c r="G2229" s="51"/>
      <c r="H2229" s="53"/>
      <c r="I2229" s="54"/>
    </row>
    <row r="2230" spans="2:9" s="1" customFormat="1" x14ac:dyDescent="0.2">
      <c r="B2230" s="55" t="str">
        <f t="shared" si="44"/>
        <v>2013-052-0</v>
      </c>
      <c r="C2230" s="56">
        <v>2013</v>
      </c>
      <c r="D2230" s="56" t="s">
        <v>81</v>
      </c>
      <c r="E2230" s="56">
        <v>0</v>
      </c>
      <c r="F2230" s="57" t="s">
        <v>365</v>
      </c>
      <c r="G2230" s="56"/>
      <c r="H2230" s="58"/>
      <c r="I2230" s="59"/>
    </row>
    <row r="2231" spans="2:9" s="1" customFormat="1" x14ac:dyDescent="0.2">
      <c r="B2231" s="44" t="str">
        <f t="shared" si="44"/>
        <v>2013-052-1</v>
      </c>
      <c r="C2231" s="45">
        <v>2013</v>
      </c>
      <c r="D2231" s="45" t="s">
        <v>81</v>
      </c>
      <c r="E2231" s="45">
        <v>1</v>
      </c>
      <c r="F2231" s="47" t="s">
        <v>764</v>
      </c>
      <c r="G2231" s="45"/>
      <c r="H2231" s="48"/>
      <c r="I2231" s="49"/>
    </row>
    <row r="2232" spans="2:9" s="1" customFormat="1" x14ac:dyDescent="0.2">
      <c r="B2232" s="44" t="str">
        <f t="shared" si="44"/>
        <v>2013-052-2</v>
      </c>
      <c r="C2232" s="45">
        <v>2013</v>
      </c>
      <c r="D2232" s="45" t="s">
        <v>81</v>
      </c>
      <c r="E2232" s="45">
        <v>2</v>
      </c>
      <c r="F2232" s="47" t="s">
        <v>1162</v>
      </c>
      <c r="G2232" s="45"/>
      <c r="H2232" s="48"/>
      <c r="I2232" s="49"/>
    </row>
    <row r="2233" spans="2:9" s="1" customFormat="1" x14ac:dyDescent="0.2">
      <c r="B2233" s="44" t="str">
        <f t="shared" si="44"/>
        <v>2013-052-3</v>
      </c>
      <c r="C2233" s="45">
        <v>2013</v>
      </c>
      <c r="D2233" s="45" t="s">
        <v>81</v>
      </c>
      <c r="E2233" s="45">
        <v>3</v>
      </c>
      <c r="F2233" s="47" t="s">
        <v>1555</v>
      </c>
      <c r="G2233" s="45"/>
      <c r="H2233" s="48"/>
      <c r="I2233" s="49"/>
    </row>
    <row r="2234" spans="2:9" s="1" customFormat="1" x14ac:dyDescent="0.2">
      <c r="B2234" s="44" t="str">
        <f t="shared" si="44"/>
        <v>2013-052-4</v>
      </c>
      <c r="C2234" s="45">
        <v>2013</v>
      </c>
      <c r="D2234" s="45" t="s">
        <v>81</v>
      </c>
      <c r="E2234" s="45">
        <v>4</v>
      </c>
      <c r="F2234" s="47" t="s">
        <v>1951</v>
      </c>
      <c r="G2234" s="45" t="s">
        <v>3210</v>
      </c>
      <c r="H2234" s="48"/>
      <c r="I2234" s="49"/>
    </row>
    <row r="2235" spans="2:9" s="1" customFormat="1" x14ac:dyDescent="0.2">
      <c r="B2235" s="50" t="str">
        <f t="shared" si="44"/>
        <v>2013-052-5</v>
      </c>
      <c r="C2235" s="51">
        <v>2013</v>
      </c>
      <c r="D2235" s="51" t="s">
        <v>81</v>
      </c>
      <c r="E2235" s="51">
        <v>5</v>
      </c>
      <c r="F2235" s="52" t="s">
        <v>2346</v>
      </c>
      <c r="G2235" s="51"/>
      <c r="H2235" s="53"/>
      <c r="I2235" s="54"/>
    </row>
    <row r="2236" spans="2:9" s="1" customFormat="1" x14ac:dyDescent="0.2">
      <c r="B2236" s="55" t="str">
        <f t="shared" si="44"/>
        <v>2013-053-0</v>
      </c>
      <c r="C2236" s="56">
        <v>2013</v>
      </c>
      <c r="D2236" s="56" t="s">
        <v>82</v>
      </c>
      <c r="E2236" s="56">
        <v>0</v>
      </c>
      <c r="F2236" s="57" t="s">
        <v>366</v>
      </c>
      <c r="G2236" s="56"/>
      <c r="H2236" s="58"/>
      <c r="I2236" s="59"/>
    </row>
    <row r="2237" spans="2:9" s="1" customFormat="1" x14ac:dyDescent="0.2">
      <c r="B2237" s="44" t="str">
        <f t="shared" si="44"/>
        <v>2013-053-1</v>
      </c>
      <c r="C2237" s="45">
        <v>2013</v>
      </c>
      <c r="D2237" s="45" t="s">
        <v>82</v>
      </c>
      <c r="E2237" s="45">
        <v>1</v>
      </c>
      <c r="F2237" s="47" t="s">
        <v>765</v>
      </c>
      <c r="G2237" s="45"/>
      <c r="H2237" s="48"/>
      <c r="I2237" s="49"/>
    </row>
    <row r="2238" spans="2:9" s="1" customFormat="1" x14ac:dyDescent="0.2">
      <c r="B2238" s="44" t="str">
        <f t="shared" si="44"/>
        <v>2013-053-2</v>
      </c>
      <c r="C2238" s="45">
        <v>2013</v>
      </c>
      <c r="D2238" s="45" t="s">
        <v>82</v>
      </c>
      <c r="E2238" s="45">
        <v>2</v>
      </c>
      <c r="F2238" s="47" t="s">
        <v>1163</v>
      </c>
      <c r="G2238" s="45"/>
      <c r="H2238" s="48"/>
      <c r="I2238" s="49"/>
    </row>
    <row r="2239" spans="2:9" s="1" customFormat="1" x14ac:dyDescent="0.2">
      <c r="B2239" s="44" t="str">
        <f t="shared" si="44"/>
        <v>2013-053-3</v>
      </c>
      <c r="C2239" s="45">
        <v>2013</v>
      </c>
      <c r="D2239" s="45" t="s">
        <v>82</v>
      </c>
      <c r="E2239" s="45">
        <v>3</v>
      </c>
      <c r="F2239" s="47" t="s">
        <v>48</v>
      </c>
      <c r="G2239" s="45"/>
      <c r="H2239" s="48"/>
      <c r="I2239" s="49"/>
    </row>
    <row r="2240" spans="2:9" s="1" customFormat="1" x14ac:dyDescent="0.2">
      <c r="B2240" s="44" t="str">
        <f t="shared" si="44"/>
        <v>2013-053-4</v>
      </c>
      <c r="C2240" s="45">
        <v>2013</v>
      </c>
      <c r="D2240" s="45" t="s">
        <v>82</v>
      </c>
      <c r="E2240" s="45">
        <v>4</v>
      </c>
      <c r="F2240" s="47" t="s">
        <v>1952</v>
      </c>
      <c r="G2240" s="45"/>
      <c r="H2240" s="48"/>
      <c r="I2240" s="49"/>
    </row>
    <row r="2241" spans="2:9" s="1" customFormat="1" x14ac:dyDescent="0.2">
      <c r="B2241" s="50" t="str">
        <f t="shared" si="44"/>
        <v>2013-053-5</v>
      </c>
      <c r="C2241" s="51">
        <v>2013</v>
      </c>
      <c r="D2241" s="51" t="s">
        <v>82</v>
      </c>
      <c r="E2241" s="51">
        <v>5</v>
      </c>
      <c r="F2241" s="52" t="s">
        <v>2347</v>
      </c>
      <c r="G2241" s="51" t="s">
        <v>3210</v>
      </c>
      <c r="H2241" s="53"/>
      <c r="I2241" s="54"/>
    </row>
    <row r="2242" spans="2:9" s="1" customFormat="1" ht="27" x14ac:dyDescent="0.2">
      <c r="B2242" s="55" t="str">
        <f t="shared" si="44"/>
        <v>2013-054-0</v>
      </c>
      <c r="C2242" s="56">
        <v>2013</v>
      </c>
      <c r="D2242" s="56" t="s">
        <v>83</v>
      </c>
      <c r="E2242" s="56">
        <v>0</v>
      </c>
      <c r="F2242" s="57" t="s">
        <v>367</v>
      </c>
      <c r="G2242" s="56"/>
      <c r="H2242" s="58"/>
      <c r="I2242" s="59"/>
    </row>
    <row r="2243" spans="2:9" s="1" customFormat="1" ht="27" x14ac:dyDescent="0.2">
      <c r="B2243" s="44" t="str">
        <f t="shared" si="44"/>
        <v>2013-054-1</v>
      </c>
      <c r="C2243" s="45">
        <v>2013</v>
      </c>
      <c r="D2243" s="45" t="s">
        <v>83</v>
      </c>
      <c r="E2243" s="45">
        <v>1</v>
      </c>
      <c r="F2243" s="47" t="s">
        <v>766</v>
      </c>
      <c r="G2243" s="45"/>
      <c r="H2243" s="48"/>
      <c r="I2243" s="49"/>
    </row>
    <row r="2244" spans="2:9" s="1" customFormat="1" x14ac:dyDescent="0.2">
      <c r="B2244" s="44" t="str">
        <f t="shared" si="44"/>
        <v>2013-054-2</v>
      </c>
      <c r="C2244" s="45">
        <v>2013</v>
      </c>
      <c r="D2244" s="45" t="s">
        <v>83</v>
      </c>
      <c r="E2244" s="45">
        <v>2</v>
      </c>
      <c r="F2244" s="47" t="s">
        <v>1164</v>
      </c>
      <c r="G2244" s="45"/>
      <c r="H2244" s="48"/>
      <c r="I2244" s="49"/>
    </row>
    <row r="2245" spans="2:9" s="1" customFormat="1" x14ac:dyDescent="0.2">
      <c r="B2245" s="44" t="str">
        <f t="shared" si="44"/>
        <v>2013-054-3</v>
      </c>
      <c r="C2245" s="45">
        <v>2013</v>
      </c>
      <c r="D2245" s="45" t="s">
        <v>83</v>
      </c>
      <c r="E2245" s="45">
        <v>3</v>
      </c>
      <c r="F2245" s="47" t="s">
        <v>1556</v>
      </c>
      <c r="G2245" s="45"/>
      <c r="H2245" s="48"/>
      <c r="I2245" s="49"/>
    </row>
    <row r="2246" spans="2:9" s="1" customFormat="1" x14ac:dyDescent="0.2">
      <c r="B2246" s="44" t="str">
        <f t="shared" si="44"/>
        <v>2013-054-4</v>
      </c>
      <c r="C2246" s="45">
        <v>2013</v>
      </c>
      <c r="D2246" s="45" t="s">
        <v>83</v>
      </c>
      <c r="E2246" s="45">
        <v>4</v>
      </c>
      <c r="F2246" s="47" t="s">
        <v>1953</v>
      </c>
      <c r="G2246" s="45" t="s">
        <v>3210</v>
      </c>
      <c r="H2246" s="48"/>
      <c r="I2246" s="49"/>
    </row>
    <row r="2247" spans="2:9" s="1" customFormat="1" x14ac:dyDescent="0.2">
      <c r="B2247" s="50" t="str">
        <f t="shared" si="44"/>
        <v>2013-054-5</v>
      </c>
      <c r="C2247" s="51">
        <v>2013</v>
      </c>
      <c r="D2247" s="51" t="s">
        <v>83</v>
      </c>
      <c r="E2247" s="51">
        <v>5</v>
      </c>
      <c r="F2247" s="52" t="s">
        <v>2348</v>
      </c>
      <c r="G2247" s="51"/>
      <c r="H2247" s="53"/>
      <c r="I2247" s="54"/>
    </row>
    <row r="2248" spans="2:9" s="1" customFormat="1" x14ac:dyDescent="0.2">
      <c r="B2248" s="55" t="str">
        <f t="shared" si="44"/>
        <v>2013-055-0</v>
      </c>
      <c r="C2248" s="56">
        <v>2013</v>
      </c>
      <c r="D2248" s="56" t="s">
        <v>84</v>
      </c>
      <c r="E2248" s="56">
        <v>0</v>
      </c>
      <c r="F2248" s="57" t="s">
        <v>368</v>
      </c>
      <c r="G2248" s="56"/>
      <c r="H2248" s="58"/>
      <c r="I2248" s="59"/>
    </row>
    <row r="2249" spans="2:9" s="1" customFormat="1" x14ac:dyDescent="0.2">
      <c r="B2249" s="44" t="str">
        <f t="shared" si="44"/>
        <v>2013-055-1</v>
      </c>
      <c r="C2249" s="45">
        <v>2013</v>
      </c>
      <c r="D2249" s="45" t="s">
        <v>84</v>
      </c>
      <c r="E2249" s="45">
        <v>1</v>
      </c>
      <c r="F2249" s="47" t="s">
        <v>767</v>
      </c>
      <c r="G2249" s="45" t="s">
        <v>3210</v>
      </c>
      <c r="H2249" s="48"/>
      <c r="I2249" s="49"/>
    </row>
    <row r="2250" spans="2:9" s="1" customFormat="1" x14ac:dyDescent="0.2">
      <c r="B2250" s="44" t="str">
        <f t="shared" si="44"/>
        <v>2013-055-2</v>
      </c>
      <c r="C2250" s="45">
        <v>2013</v>
      </c>
      <c r="D2250" s="45" t="s">
        <v>84</v>
      </c>
      <c r="E2250" s="45">
        <v>2</v>
      </c>
      <c r="F2250" s="47" t="s">
        <v>1165</v>
      </c>
      <c r="G2250" s="45"/>
      <c r="H2250" s="48"/>
      <c r="I2250" s="49"/>
    </row>
    <row r="2251" spans="2:9" s="1" customFormat="1" x14ac:dyDescent="0.2">
      <c r="B2251" s="44" t="str">
        <f t="shared" si="44"/>
        <v>2013-055-3</v>
      </c>
      <c r="C2251" s="45">
        <v>2013</v>
      </c>
      <c r="D2251" s="45" t="s">
        <v>84</v>
      </c>
      <c r="E2251" s="45">
        <v>3</v>
      </c>
      <c r="F2251" s="47" t="s">
        <v>1557</v>
      </c>
      <c r="G2251" s="45"/>
      <c r="H2251" s="48"/>
      <c r="I2251" s="49"/>
    </row>
    <row r="2252" spans="2:9" s="1" customFormat="1" x14ac:dyDescent="0.2">
      <c r="B2252" s="44" t="str">
        <f t="shared" si="44"/>
        <v>2013-055-4</v>
      </c>
      <c r="C2252" s="45">
        <v>2013</v>
      </c>
      <c r="D2252" s="45" t="s">
        <v>84</v>
      </c>
      <c r="E2252" s="45">
        <v>4</v>
      </c>
      <c r="F2252" s="47" t="s">
        <v>1954</v>
      </c>
      <c r="G2252" s="45"/>
      <c r="H2252" s="48"/>
      <c r="I2252" s="49"/>
    </row>
    <row r="2253" spans="2:9" s="1" customFormat="1" x14ac:dyDescent="0.2">
      <c r="B2253" s="50" t="str">
        <f t="shared" si="44"/>
        <v>2013-055-5</v>
      </c>
      <c r="C2253" s="51">
        <v>2013</v>
      </c>
      <c r="D2253" s="51" t="s">
        <v>84</v>
      </c>
      <c r="E2253" s="51">
        <v>5</v>
      </c>
      <c r="F2253" s="52" t="s">
        <v>1443</v>
      </c>
      <c r="G2253" s="51"/>
      <c r="H2253" s="53"/>
      <c r="I2253" s="54"/>
    </row>
    <row r="2254" spans="2:9" s="1" customFormat="1" ht="27" x14ac:dyDescent="0.2">
      <c r="B2254" s="55" t="str">
        <f t="shared" si="44"/>
        <v>2013-056-0</v>
      </c>
      <c r="C2254" s="56">
        <v>2013</v>
      </c>
      <c r="D2254" s="56" t="s">
        <v>85</v>
      </c>
      <c r="E2254" s="56">
        <v>0</v>
      </c>
      <c r="F2254" s="57" t="s">
        <v>369</v>
      </c>
      <c r="G2254" s="56"/>
      <c r="H2254" s="58"/>
      <c r="I2254" s="59"/>
    </row>
    <row r="2255" spans="2:9" s="1" customFormat="1" x14ac:dyDescent="0.2">
      <c r="B2255" s="44" t="str">
        <f t="shared" si="44"/>
        <v>2013-056-1</v>
      </c>
      <c r="C2255" s="45">
        <v>2013</v>
      </c>
      <c r="D2255" s="45" t="s">
        <v>85</v>
      </c>
      <c r="E2255" s="45">
        <v>1</v>
      </c>
      <c r="F2255" s="47" t="s">
        <v>768</v>
      </c>
      <c r="G2255" s="45"/>
      <c r="H2255" s="48"/>
      <c r="I2255" s="49"/>
    </row>
    <row r="2256" spans="2:9" s="1" customFormat="1" x14ac:dyDescent="0.2">
      <c r="B2256" s="44" t="str">
        <f t="shared" si="44"/>
        <v>2013-056-2</v>
      </c>
      <c r="C2256" s="45">
        <v>2013</v>
      </c>
      <c r="D2256" s="45" t="s">
        <v>85</v>
      </c>
      <c r="E2256" s="45">
        <v>2</v>
      </c>
      <c r="F2256" s="47" t="s">
        <v>1166</v>
      </c>
      <c r="G2256" s="45"/>
      <c r="H2256" s="48"/>
      <c r="I2256" s="49"/>
    </row>
    <row r="2257" spans="2:9" s="1" customFormat="1" x14ac:dyDescent="0.2">
      <c r="B2257" s="44" t="str">
        <f t="shared" si="44"/>
        <v>2013-056-3</v>
      </c>
      <c r="C2257" s="45">
        <v>2013</v>
      </c>
      <c r="D2257" s="45" t="s">
        <v>85</v>
      </c>
      <c r="E2257" s="45">
        <v>3</v>
      </c>
      <c r="F2257" s="47" t="s">
        <v>1558</v>
      </c>
      <c r="G2257" s="45"/>
      <c r="H2257" s="48"/>
      <c r="I2257" s="49"/>
    </row>
    <row r="2258" spans="2:9" s="1" customFormat="1" x14ac:dyDescent="0.2">
      <c r="B2258" s="44" t="str">
        <f t="shared" si="44"/>
        <v>2013-056-4</v>
      </c>
      <c r="C2258" s="45">
        <v>2013</v>
      </c>
      <c r="D2258" s="45" t="s">
        <v>85</v>
      </c>
      <c r="E2258" s="45">
        <v>4</v>
      </c>
      <c r="F2258" s="47" t="s">
        <v>1955</v>
      </c>
      <c r="G2258" s="45" t="s">
        <v>3210</v>
      </c>
      <c r="H2258" s="48"/>
      <c r="I2258" s="49"/>
    </row>
    <row r="2259" spans="2:9" s="1" customFormat="1" ht="27" x14ac:dyDescent="0.2">
      <c r="B2259" s="50" t="str">
        <f t="shared" si="44"/>
        <v>2013-056-5</v>
      </c>
      <c r="C2259" s="51">
        <v>2013</v>
      </c>
      <c r="D2259" s="51" t="s">
        <v>85</v>
      </c>
      <c r="E2259" s="51">
        <v>5</v>
      </c>
      <c r="F2259" s="52" t="s">
        <v>2349</v>
      </c>
      <c r="G2259" s="51"/>
      <c r="H2259" s="53"/>
      <c r="I2259" s="54"/>
    </row>
    <row r="2260" spans="2:9" s="1" customFormat="1" ht="40.5" x14ac:dyDescent="0.2">
      <c r="B2260" s="55" t="str">
        <f t="shared" si="44"/>
        <v>2013-057-0</v>
      </c>
      <c r="C2260" s="56">
        <v>2013</v>
      </c>
      <c r="D2260" s="56" t="s">
        <v>86</v>
      </c>
      <c r="E2260" s="56">
        <v>0</v>
      </c>
      <c r="F2260" s="57" t="s">
        <v>370</v>
      </c>
      <c r="G2260" s="56"/>
      <c r="H2260" s="58"/>
      <c r="I2260" s="59"/>
    </row>
    <row r="2261" spans="2:9" s="1" customFormat="1" x14ac:dyDescent="0.2">
      <c r="B2261" s="44" t="str">
        <f t="shared" si="44"/>
        <v>2013-057-1</v>
      </c>
      <c r="C2261" s="45">
        <v>2013</v>
      </c>
      <c r="D2261" s="45" t="s">
        <v>86</v>
      </c>
      <c r="E2261" s="45">
        <v>1</v>
      </c>
      <c r="F2261" s="47" t="s">
        <v>769</v>
      </c>
      <c r="G2261" s="45" t="s">
        <v>3210</v>
      </c>
      <c r="H2261" s="48"/>
      <c r="I2261" s="49"/>
    </row>
    <row r="2262" spans="2:9" s="1" customFormat="1" x14ac:dyDescent="0.2">
      <c r="B2262" s="44" t="str">
        <f t="shared" si="44"/>
        <v>2013-057-2</v>
      </c>
      <c r="C2262" s="45">
        <v>2013</v>
      </c>
      <c r="D2262" s="45" t="s">
        <v>86</v>
      </c>
      <c r="E2262" s="45">
        <v>2</v>
      </c>
      <c r="F2262" s="47" t="s">
        <v>1167</v>
      </c>
      <c r="G2262" s="45"/>
      <c r="H2262" s="48"/>
      <c r="I2262" s="49"/>
    </row>
    <row r="2263" spans="2:9" s="1" customFormat="1" x14ac:dyDescent="0.2">
      <c r="B2263" s="44" t="str">
        <f t="shared" si="44"/>
        <v>2013-057-3</v>
      </c>
      <c r="C2263" s="45">
        <v>2013</v>
      </c>
      <c r="D2263" s="45" t="s">
        <v>86</v>
      </c>
      <c r="E2263" s="45">
        <v>3</v>
      </c>
      <c r="F2263" s="47" t="s">
        <v>1559</v>
      </c>
      <c r="G2263" s="45"/>
      <c r="H2263" s="48"/>
      <c r="I2263" s="49"/>
    </row>
    <row r="2264" spans="2:9" s="1" customFormat="1" ht="27" x14ac:dyDescent="0.2">
      <c r="B2264" s="44" t="str">
        <f t="shared" si="44"/>
        <v>2013-057-4</v>
      </c>
      <c r="C2264" s="45">
        <v>2013</v>
      </c>
      <c r="D2264" s="45" t="s">
        <v>86</v>
      </c>
      <c r="E2264" s="45">
        <v>4</v>
      </c>
      <c r="F2264" s="47" t="s">
        <v>1956</v>
      </c>
      <c r="G2264" s="45"/>
      <c r="H2264" s="48"/>
      <c r="I2264" s="49"/>
    </row>
    <row r="2265" spans="2:9" s="1" customFormat="1" ht="27" x14ac:dyDescent="0.2">
      <c r="B2265" s="50" t="str">
        <f t="shared" si="44"/>
        <v>2013-057-5</v>
      </c>
      <c r="C2265" s="51">
        <v>2013</v>
      </c>
      <c r="D2265" s="51" t="s">
        <v>86</v>
      </c>
      <c r="E2265" s="51">
        <v>5</v>
      </c>
      <c r="F2265" s="52" t="s">
        <v>2350</v>
      </c>
      <c r="G2265" s="51"/>
      <c r="H2265" s="53"/>
      <c r="I2265" s="54"/>
    </row>
    <row r="2266" spans="2:9" s="1" customFormat="1" x14ac:dyDescent="0.2">
      <c r="B2266" s="55" t="str">
        <f t="shared" si="44"/>
        <v>2013-058-0</v>
      </c>
      <c r="C2266" s="56">
        <v>2013</v>
      </c>
      <c r="D2266" s="56" t="s">
        <v>87</v>
      </c>
      <c r="E2266" s="56">
        <v>0</v>
      </c>
      <c r="F2266" s="57" t="s">
        <v>371</v>
      </c>
      <c r="G2266" s="56"/>
      <c r="H2266" s="58"/>
      <c r="I2266" s="59"/>
    </row>
    <row r="2267" spans="2:9" s="1" customFormat="1" x14ac:dyDescent="0.2">
      <c r="B2267" s="44" t="str">
        <f t="shared" si="44"/>
        <v>2013-058-1</v>
      </c>
      <c r="C2267" s="45">
        <v>2013</v>
      </c>
      <c r="D2267" s="45" t="s">
        <v>87</v>
      </c>
      <c r="E2267" s="45">
        <v>1</v>
      </c>
      <c r="F2267" s="47" t="s">
        <v>770</v>
      </c>
      <c r="G2267" s="45"/>
      <c r="H2267" s="48"/>
      <c r="I2267" s="49"/>
    </row>
    <row r="2268" spans="2:9" s="1" customFormat="1" ht="27" x14ac:dyDescent="0.2">
      <c r="B2268" s="44" t="str">
        <f t="shared" si="44"/>
        <v>2013-058-2</v>
      </c>
      <c r="C2268" s="45">
        <v>2013</v>
      </c>
      <c r="D2268" s="45" t="s">
        <v>87</v>
      </c>
      <c r="E2268" s="45">
        <v>2</v>
      </c>
      <c r="F2268" s="47" t="s">
        <v>2498</v>
      </c>
      <c r="G2268" s="45" t="s">
        <v>3210</v>
      </c>
      <c r="H2268" s="48"/>
      <c r="I2268" s="49"/>
    </row>
    <row r="2269" spans="2:9" s="1" customFormat="1" x14ac:dyDescent="0.2">
      <c r="B2269" s="44" t="str">
        <f t="shared" si="44"/>
        <v>2013-058-3</v>
      </c>
      <c r="C2269" s="45">
        <v>2013</v>
      </c>
      <c r="D2269" s="45" t="s">
        <v>87</v>
      </c>
      <c r="E2269" s="45">
        <v>3</v>
      </c>
      <c r="F2269" s="47" t="s">
        <v>1560</v>
      </c>
      <c r="G2269" s="45"/>
      <c r="H2269" s="48"/>
      <c r="I2269" s="49"/>
    </row>
    <row r="2270" spans="2:9" s="1" customFormat="1" x14ac:dyDescent="0.2">
      <c r="B2270" s="44" t="str">
        <f t="shared" si="44"/>
        <v>2013-058-4</v>
      </c>
      <c r="C2270" s="45">
        <v>2013</v>
      </c>
      <c r="D2270" s="45" t="s">
        <v>87</v>
      </c>
      <c r="E2270" s="45">
        <v>4</v>
      </c>
      <c r="F2270" s="47" t="s">
        <v>1957</v>
      </c>
      <c r="G2270" s="45"/>
      <c r="H2270" s="48"/>
      <c r="I2270" s="49"/>
    </row>
    <row r="2271" spans="2:9" s="1" customFormat="1" ht="27" x14ac:dyDescent="0.2">
      <c r="B2271" s="50" t="str">
        <f t="shared" si="44"/>
        <v>2013-058-5</v>
      </c>
      <c r="C2271" s="51">
        <v>2013</v>
      </c>
      <c r="D2271" s="51" t="s">
        <v>87</v>
      </c>
      <c r="E2271" s="51">
        <v>5</v>
      </c>
      <c r="F2271" s="52" t="s">
        <v>2351</v>
      </c>
      <c r="G2271" s="51"/>
      <c r="H2271" s="53"/>
      <c r="I2271" s="54"/>
    </row>
    <row r="2272" spans="2:9" s="1" customFormat="1" x14ac:dyDescent="0.2">
      <c r="B2272" s="55" t="str">
        <f t="shared" si="44"/>
        <v>2013-059-0</v>
      </c>
      <c r="C2272" s="56">
        <v>2013</v>
      </c>
      <c r="D2272" s="56" t="s">
        <v>88</v>
      </c>
      <c r="E2272" s="56">
        <v>0</v>
      </c>
      <c r="F2272" s="57" t="s">
        <v>372</v>
      </c>
      <c r="G2272" s="56"/>
      <c r="H2272" s="58"/>
      <c r="I2272" s="59"/>
    </row>
    <row r="2273" spans="2:9" s="1" customFormat="1" x14ac:dyDescent="0.2">
      <c r="B2273" s="44" t="str">
        <f t="shared" ref="B2273:B2336" si="45">C2273&amp;"-"&amp;D2273&amp;"-"&amp;E2273</f>
        <v>2013-059-1</v>
      </c>
      <c r="C2273" s="45">
        <v>2013</v>
      </c>
      <c r="D2273" s="45" t="s">
        <v>88</v>
      </c>
      <c r="E2273" s="45">
        <v>1</v>
      </c>
      <c r="F2273" s="47" t="s">
        <v>771</v>
      </c>
      <c r="G2273" s="45" t="s">
        <v>3210</v>
      </c>
      <c r="H2273" s="48"/>
      <c r="I2273" s="49"/>
    </row>
    <row r="2274" spans="2:9" s="1" customFormat="1" x14ac:dyDescent="0.2">
      <c r="B2274" s="44" t="str">
        <f t="shared" si="45"/>
        <v>2013-059-2</v>
      </c>
      <c r="C2274" s="45">
        <v>2013</v>
      </c>
      <c r="D2274" s="45" t="s">
        <v>88</v>
      </c>
      <c r="E2274" s="45">
        <v>2</v>
      </c>
      <c r="F2274" s="47" t="s">
        <v>1168</v>
      </c>
      <c r="G2274" s="45"/>
      <c r="H2274" s="48"/>
      <c r="I2274" s="49"/>
    </row>
    <row r="2275" spans="2:9" s="1" customFormat="1" x14ac:dyDescent="0.2">
      <c r="B2275" s="44" t="str">
        <f t="shared" si="45"/>
        <v>2013-059-3</v>
      </c>
      <c r="C2275" s="45">
        <v>2013</v>
      </c>
      <c r="D2275" s="45" t="s">
        <v>88</v>
      </c>
      <c r="E2275" s="45">
        <v>3</v>
      </c>
      <c r="F2275" s="47" t="s">
        <v>1561</v>
      </c>
      <c r="G2275" s="45"/>
      <c r="H2275" s="48"/>
      <c r="I2275" s="49"/>
    </row>
    <row r="2276" spans="2:9" s="1" customFormat="1" x14ac:dyDescent="0.2">
      <c r="B2276" s="44" t="str">
        <f t="shared" si="45"/>
        <v>2013-059-4</v>
      </c>
      <c r="C2276" s="45">
        <v>2013</v>
      </c>
      <c r="D2276" s="45" t="s">
        <v>88</v>
      </c>
      <c r="E2276" s="45">
        <v>4</v>
      </c>
      <c r="F2276" s="47" t="s">
        <v>1958</v>
      </c>
      <c r="G2276" s="45"/>
      <c r="H2276" s="48"/>
      <c r="I2276" s="49"/>
    </row>
    <row r="2277" spans="2:9" s="1" customFormat="1" ht="27" x14ac:dyDescent="0.2">
      <c r="B2277" s="50" t="str">
        <f t="shared" si="45"/>
        <v>2013-059-5</v>
      </c>
      <c r="C2277" s="51">
        <v>2013</v>
      </c>
      <c r="D2277" s="51" t="s">
        <v>88</v>
      </c>
      <c r="E2277" s="51">
        <v>5</v>
      </c>
      <c r="F2277" s="52" t="s">
        <v>2352</v>
      </c>
      <c r="G2277" s="51"/>
      <c r="H2277" s="53"/>
      <c r="I2277" s="54"/>
    </row>
    <row r="2278" spans="2:9" s="1" customFormat="1" x14ac:dyDescent="0.2">
      <c r="B2278" s="55" t="str">
        <f t="shared" si="45"/>
        <v>2013-060-0</v>
      </c>
      <c r="C2278" s="56">
        <v>2013</v>
      </c>
      <c r="D2278" s="56" t="s">
        <v>89</v>
      </c>
      <c r="E2278" s="56">
        <v>0</v>
      </c>
      <c r="F2278" s="57" t="s">
        <v>373</v>
      </c>
      <c r="G2278" s="56"/>
      <c r="H2278" s="58"/>
      <c r="I2278" s="59"/>
    </row>
    <row r="2279" spans="2:9" s="1" customFormat="1" x14ac:dyDescent="0.2">
      <c r="B2279" s="44" t="str">
        <f t="shared" si="45"/>
        <v>2013-060-1</v>
      </c>
      <c r="C2279" s="45">
        <v>2013</v>
      </c>
      <c r="D2279" s="45" t="s">
        <v>89</v>
      </c>
      <c r="E2279" s="45">
        <v>1</v>
      </c>
      <c r="F2279" s="47" t="s">
        <v>772</v>
      </c>
      <c r="G2279" s="45"/>
      <c r="H2279" s="48"/>
      <c r="I2279" s="49"/>
    </row>
    <row r="2280" spans="2:9" s="1" customFormat="1" x14ac:dyDescent="0.2">
      <c r="B2280" s="44" t="str">
        <f t="shared" si="45"/>
        <v>2013-060-2</v>
      </c>
      <c r="C2280" s="45">
        <v>2013</v>
      </c>
      <c r="D2280" s="45" t="s">
        <v>89</v>
      </c>
      <c r="E2280" s="45">
        <v>2</v>
      </c>
      <c r="F2280" s="47" t="s">
        <v>1169</v>
      </c>
      <c r="G2280" s="45"/>
      <c r="H2280" s="48"/>
      <c r="I2280" s="49"/>
    </row>
    <row r="2281" spans="2:9" s="1" customFormat="1" x14ac:dyDescent="0.2">
      <c r="B2281" s="44" t="str">
        <f t="shared" si="45"/>
        <v>2013-060-3</v>
      </c>
      <c r="C2281" s="45">
        <v>2013</v>
      </c>
      <c r="D2281" s="45" t="s">
        <v>89</v>
      </c>
      <c r="E2281" s="45">
        <v>3</v>
      </c>
      <c r="F2281" s="47" t="s">
        <v>1562</v>
      </c>
      <c r="G2281" s="45"/>
      <c r="H2281" s="48"/>
      <c r="I2281" s="49"/>
    </row>
    <row r="2282" spans="2:9" s="1" customFormat="1" x14ac:dyDescent="0.2">
      <c r="B2282" s="44" t="str">
        <f t="shared" si="45"/>
        <v>2013-060-4</v>
      </c>
      <c r="C2282" s="45">
        <v>2013</v>
      </c>
      <c r="D2282" s="45" t="s">
        <v>89</v>
      </c>
      <c r="E2282" s="45">
        <v>4</v>
      </c>
      <c r="F2282" s="47" t="s">
        <v>1959</v>
      </c>
      <c r="G2282" s="45"/>
      <c r="H2282" s="48"/>
      <c r="I2282" s="49"/>
    </row>
    <row r="2283" spans="2:9" s="1" customFormat="1" ht="27" x14ac:dyDescent="0.2">
      <c r="B2283" s="50" t="str">
        <f t="shared" si="45"/>
        <v>2013-060-5</v>
      </c>
      <c r="C2283" s="51">
        <v>2013</v>
      </c>
      <c r="D2283" s="51" t="s">
        <v>89</v>
      </c>
      <c r="E2283" s="51">
        <v>5</v>
      </c>
      <c r="F2283" s="52" t="s">
        <v>2353</v>
      </c>
      <c r="G2283" s="51" t="s">
        <v>3210</v>
      </c>
      <c r="H2283" s="53"/>
      <c r="I2283" s="54"/>
    </row>
    <row r="2284" spans="2:9" s="1" customFormat="1" x14ac:dyDescent="0.2">
      <c r="B2284" s="55" t="str">
        <f t="shared" si="45"/>
        <v>2013-061-0</v>
      </c>
      <c r="C2284" s="56">
        <v>2013</v>
      </c>
      <c r="D2284" s="56" t="s">
        <v>90</v>
      </c>
      <c r="E2284" s="56">
        <v>0</v>
      </c>
      <c r="F2284" s="57" t="s">
        <v>374</v>
      </c>
      <c r="G2284" s="56"/>
      <c r="H2284" s="58"/>
      <c r="I2284" s="59"/>
    </row>
    <row r="2285" spans="2:9" s="1" customFormat="1" x14ac:dyDescent="0.2">
      <c r="B2285" s="44" t="str">
        <f t="shared" si="45"/>
        <v>2013-061-1</v>
      </c>
      <c r="C2285" s="45">
        <v>2013</v>
      </c>
      <c r="D2285" s="45" t="s">
        <v>90</v>
      </c>
      <c r="E2285" s="45">
        <v>1</v>
      </c>
      <c r="F2285" s="47" t="s">
        <v>773</v>
      </c>
      <c r="G2285" s="45"/>
      <c r="H2285" s="48"/>
      <c r="I2285" s="49"/>
    </row>
    <row r="2286" spans="2:9" s="1" customFormat="1" x14ac:dyDescent="0.2">
      <c r="B2286" s="44" t="str">
        <f t="shared" si="45"/>
        <v>2013-061-2</v>
      </c>
      <c r="C2286" s="45">
        <v>2013</v>
      </c>
      <c r="D2286" s="45" t="s">
        <v>90</v>
      </c>
      <c r="E2286" s="45">
        <v>2</v>
      </c>
      <c r="F2286" s="47" t="s">
        <v>1170</v>
      </c>
      <c r="G2286" s="45"/>
      <c r="H2286" s="48"/>
      <c r="I2286" s="49"/>
    </row>
    <row r="2287" spans="2:9" s="1" customFormat="1" x14ac:dyDescent="0.2">
      <c r="B2287" s="44" t="str">
        <f t="shared" si="45"/>
        <v>2013-061-3</v>
      </c>
      <c r="C2287" s="45">
        <v>2013</v>
      </c>
      <c r="D2287" s="45" t="s">
        <v>90</v>
      </c>
      <c r="E2287" s="45">
        <v>3</v>
      </c>
      <c r="F2287" s="47" t="s">
        <v>1563</v>
      </c>
      <c r="G2287" s="45" t="s">
        <v>3210</v>
      </c>
      <c r="H2287" s="48"/>
      <c r="I2287" s="49"/>
    </row>
    <row r="2288" spans="2:9" s="1" customFormat="1" x14ac:dyDescent="0.2">
      <c r="B2288" s="44" t="str">
        <f t="shared" si="45"/>
        <v>2013-061-4</v>
      </c>
      <c r="C2288" s="45">
        <v>2013</v>
      </c>
      <c r="D2288" s="45" t="s">
        <v>90</v>
      </c>
      <c r="E2288" s="45">
        <v>4</v>
      </c>
      <c r="F2288" s="47" t="s">
        <v>1960</v>
      </c>
      <c r="G2288" s="45"/>
      <c r="H2288" s="48"/>
      <c r="I2288" s="49"/>
    </row>
    <row r="2289" spans="2:9" s="1" customFormat="1" x14ac:dyDescent="0.2">
      <c r="B2289" s="50" t="str">
        <f t="shared" si="45"/>
        <v>2013-061-5</v>
      </c>
      <c r="C2289" s="51">
        <v>2013</v>
      </c>
      <c r="D2289" s="51" t="s">
        <v>90</v>
      </c>
      <c r="E2289" s="51">
        <v>5</v>
      </c>
      <c r="F2289" s="52" t="s">
        <v>2354</v>
      </c>
      <c r="G2289" s="51"/>
      <c r="H2289" s="53"/>
      <c r="I2289" s="54"/>
    </row>
    <row r="2290" spans="2:9" s="1" customFormat="1" x14ac:dyDescent="0.2">
      <c r="B2290" s="55" t="str">
        <f t="shared" si="45"/>
        <v>2013-062-0</v>
      </c>
      <c r="C2290" s="56">
        <v>2013</v>
      </c>
      <c r="D2290" s="56" t="s">
        <v>91</v>
      </c>
      <c r="E2290" s="56">
        <v>0</v>
      </c>
      <c r="F2290" s="57" t="s">
        <v>375</v>
      </c>
      <c r="G2290" s="56"/>
      <c r="H2290" s="58"/>
      <c r="I2290" s="59"/>
    </row>
    <row r="2291" spans="2:9" s="1" customFormat="1" ht="27" x14ac:dyDescent="0.2">
      <c r="B2291" s="44" t="str">
        <f t="shared" si="45"/>
        <v>2013-062-1</v>
      </c>
      <c r="C2291" s="45">
        <v>2013</v>
      </c>
      <c r="D2291" s="45" t="s">
        <v>91</v>
      </c>
      <c r="E2291" s="45">
        <v>1</v>
      </c>
      <c r="F2291" s="47" t="s">
        <v>774</v>
      </c>
      <c r="G2291" s="45"/>
      <c r="H2291" s="48"/>
      <c r="I2291" s="49"/>
    </row>
    <row r="2292" spans="2:9" s="1" customFormat="1" ht="27" x14ac:dyDescent="0.2">
      <c r="B2292" s="44" t="str">
        <f t="shared" si="45"/>
        <v>2013-062-2</v>
      </c>
      <c r="C2292" s="45">
        <v>2013</v>
      </c>
      <c r="D2292" s="45" t="s">
        <v>91</v>
      </c>
      <c r="E2292" s="45">
        <v>2</v>
      </c>
      <c r="F2292" s="47" t="s">
        <v>1171</v>
      </c>
      <c r="G2292" s="45" t="s">
        <v>3210</v>
      </c>
      <c r="H2292" s="48"/>
      <c r="I2292" s="49"/>
    </row>
    <row r="2293" spans="2:9" s="1" customFormat="1" ht="27" x14ac:dyDescent="0.2">
      <c r="B2293" s="44" t="str">
        <f t="shared" si="45"/>
        <v>2013-062-3</v>
      </c>
      <c r="C2293" s="45">
        <v>2013</v>
      </c>
      <c r="D2293" s="45" t="s">
        <v>91</v>
      </c>
      <c r="E2293" s="45">
        <v>3</v>
      </c>
      <c r="F2293" s="47" t="s">
        <v>1564</v>
      </c>
      <c r="G2293" s="45"/>
      <c r="H2293" s="48"/>
      <c r="I2293" s="49"/>
    </row>
    <row r="2294" spans="2:9" s="1" customFormat="1" x14ac:dyDescent="0.2">
      <c r="B2294" s="44" t="str">
        <f t="shared" si="45"/>
        <v>2013-062-4</v>
      </c>
      <c r="C2294" s="45">
        <v>2013</v>
      </c>
      <c r="D2294" s="45" t="s">
        <v>91</v>
      </c>
      <c r="E2294" s="45">
        <v>4</v>
      </c>
      <c r="F2294" s="47" t="s">
        <v>1961</v>
      </c>
      <c r="G2294" s="45"/>
      <c r="H2294" s="48"/>
      <c r="I2294" s="49"/>
    </row>
    <row r="2295" spans="2:9" s="1" customFormat="1" x14ac:dyDescent="0.2">
      <c r="B2295" s="50" t="str">
        <f t="shared" si="45"/>
        <v>2013-062-5</v>
      </c>
      <c r="C2295" s="51">
        <v>2013</v>
      </c>
      <c r="D2295" s="51" t="s">
        <v>91</v>
      </c>
      <c r="E2295" s="51">
        <v>5</v>
      </c>
      <c r="F2295" s="52" t="s">
        <v>2355</v>
      </c>
      <c r="G2295" s="51"/>
      <c r="H2295" s="53"/>
      <c r="I2295" s="54"/>
    </row>
    <row r="2296" spans="2:9" s="1" customFormat="1" x14ac:dyDescent="0.2">
      <c r="B2296" s="55" t="str">
        <f t="shared" si="45"/>
        <v>2013-063-0</v>
      </c>
      <c r="C2296" s="56">
        <v>2013</v>
      </c>
      <c r="D2296" s="56" t="s">
        <v>92</v>
      </c>
      <c r="E2296" s="56">
        <v>0</v>
      </c>
      <c r="F2296" s="57" t="s">
        <v>376</v>
      </c>
      <c r="G2296" s="56"/>
      <c r="H2296" s="58"/>
      <c r="I2296" s="59"/>
    </row>
    <row r="2297" spans="2:9" s="1" customFormat="1" x14ac:dyDescent="0.2">
      <c r="B2297" s="44" t="str">
        <f t="shared" si="45"/>
        <v>2013-063-1</v>
      </c>
      <c r="C2297" s="45">
        <v>2013</v>
      </c>
      <c r="D2297" s="45" t="s">
        <v>92</v>
      </c>
      <c r="E2297" s="45">
        <v>1</v>
      </c>
      <c r="F2297" s="47" t="s">
        <v>775</v>
      </c>
      <c r="G2297" s="45"/>
      <c r="H2297" s="48"/>
      <c r="I2297" s="49"/>
    </row>
    <row r="2298" spans="2:9" s="1" customFormat="1" x14ac:dyDescent="0.2">
      <c r="B2298" s="44" t="str">
        <f t="shared" si="45"/>
        <v>2013-063-2</v>
      </c>
      <c r="C2298" s="45">
        <v>2013</v>
      </c>
      <c r="D2298" s="45" t="s">
        <v>92</v>
      </c>
      <c r="E2298" s="45">
        <v>2</v>
      </c>
      <c r="F2298" s="47" t="s">
        <v>1172</v>
      </c>
      <c r="G2298" s="45"/>
      <c r="H2298" s="48"/>
      <c r="I2298" s="49"/>
    </row>
    <row r="2299" spans="2:9" s="1" customFormat="1" ht="27" x14ac:dyDescent="0.2">
      <c r="B2299" s="44" t="str">
        <f t="shared" si="45"/>
        <v>2013-063-3</v>
      </c>
      <c r="C2299" s="45">
        <v>2013</v>
      </c>
      <c r="D2299" s="45" t="s">
        <v>92</v>
      </c>
      <c r="E2299" s="45">
        <v>3</v>
      </c>
      <c r="F2299" s="47" t="s">
        <v>1565</v>
      </c>
      <c r="G2299" s="45"/>
      <c r="H2299" s="48"/>
      <c r="I2299" s="49"/>
    </row>
    <row r="2300" spans="2:9" s="1" customFormat="1" x14ac:dyDescent="0.2">
      <c r="B2300" s="44" t="str">
        <f t="shared" si="45"/>
        <v>2013-063-4</v>
      </c>
      <c r="C2300" s="45">
        <v>2013</v>
      </c>
      <c r="D2300" s="45" t="s">
        <v>92</v>
      </c>
      <c r="E2300" s="45">
        <v>4</v>
      </c>
      <c r="F2300" s="47" t="s">
        <v>1962</v>
      </c>
      <c r="G2300" s="45"/>
      <c r="H2300" s="48"/>
      <c r="I2300" s="49"/>
    </row>
    <row r="2301" spans="2:9" s="1" customFormat="1" ht="27" x14ac:dyDescent="0.2">
      <c r="B2301" s="50" t="str">
        <f t="shared" si="45"/>
        <v>2013-063-5</v>
      </c>
      <c r="C2301" s="51">
        <v>2013</v>
      </c>
      <c r="D2301" s="51" t="s">
        <v>92</v>
      </c>
      <c r="E2301" s="51">
        <v>5</v>
      </c>
      <c r="F2301" s="52" t="s">
        <v>2356</v>
      </c>
      <c r="G2301" s="51" t="s">
        <v>3210</v>
      </c>
      <c r="H2301" s="53"/>
      <c r="I2301" s="54"/>
    </row>
    <row r="2302" spans="2:9" s="1" customFormat="1" x14ac:dyDescent="0.2">
      <c r="B2302" s="55" t="str">
        <f t="shared" si="45"/>
        <v>2013-064-0</v>
      </c>
      <c r="C2302" s="56">
        <v>2013</v>
      </c>
      <c r="D2302" s="56" t="s">
        <v>93</v>
      </c>
      <c r="E2302" s="56">
        <v>0</v>
      </c>
      <c r="F2302" s="57" t="s">
        <v>377</v>
      </c>
      <c r="G2302" s="56"/>
      <c r="H2302" s="58"/>
      <c r="I2302" s="59"/>
    </row>
    <row r="2303" spans="2:9" s="1" customFormat="1" x14ac:dyDescent="0.2">
      <c r="B2303" s="44" t="str">
        <f t="shared" si="45"/>
        <v>2013-064-1</v>
      </c>
      <c r="C2303" s="45">
        <v>2013</v>
      </c>
      <c r="D2303" s="45" t="s">
        <v>93</v>
      </c>
      <c r="E2303" s="45">
        <v>1</v>
      </c>
      <c r="F2303" s="47" t="s">
        <v>776</v>
      </c>
      <c r="G2303" s="45"/>
      <c r="H2303" s="48"/>
      <c r="I2303" s="49"/>
    </row>
    <row r="2304" spans="2:9" s="1" customFormat="1" x14ac:dyDescent="0.2">
      <c r="B2304" s="44" t="str">
        <f t="shared" si="45"/>
        <v>2013-064-2</v>
      </c>
      <c r="C2304" s="45">
        <v>2013</v>
      </c>
      <c r="D2304" s="45" t="s">
        <v>93</v>
      </c>
      <c r="E2304" s="45">
        <v>2</v>
      </c>
      <c r="F2304" s="47" t="s">
        <v>1173</v>
      </c>
      <c r="G2304" s="45"/>
      <c r="H2304" s="48"/>
      <c r="I2304" s="49"/>
    </row>
    <row r="2305" spans="2:9" s="1" customFormat="1" ht="27" x14ac:dyDescent="0.2">
      <c r="B2305" s="44" t="str">
        <f t="shared" si="45"/>
        <v>2013-064-3</v>
      </c>
      <c r="C2305" s="45">
        <v>2013</v>
      </c>
      <c r="D2305" s="45" t="s">
        <v>93</v>
      </c>
      <c r="E2305" s="45">
        <v>3</v>
      </c>
      <c r="F2305" s="47" t="s">
        <v>1566</v>
      </c>
      <c r="G2305" s="45"/>
      <c r="H2305" s="48"/>
      <c r="I2305" s="49"/>
    </row>
    <row r="2306" spans="2:9" s="1" customFormat="1" x14ac:dyDescent="0.2">
      <c r="B2306" s="44" t="str">
        <f t="shared" si="45"/>
        <v>2013-064-4</v>
      </c>
      <c r="C2306" s="45">
        <v>2013</v>
      </c>
      <c r="D2306" s="45" t="s">
        <v>93</v>
      </c>
      <c r="E2306" s="45">
        <v>4</v>
      </c>
      <c r="F2306" s="47" t="s">
        <v>1963</v>
      </c>
      <c r="G2306" s="45" t="s">
        <v>3210</v>
      </c>
      <c r="H2306" s="48"/>
      <c r="I2306" s="49"/>
    </row>
    <row r="2307" spans="2:9" s="1" customFormat="1" x14ac:dyDescent="0.2">
      <c r="B2307" s="50" t="str">
        <f t="shared" si="45"/>
        <v>2013-064-5</v>
      </c>
      <c r="C2307" s="51">
        <v>2013</v>
      </c>
      <c r="D2307" s="51" t="s">
        <v>93</v>
      </c>
      <c r="E2307" s="51">
        <v>5</v>
      </c>
      <c r="F2307" s="52" t="s">
        <v>2357</v>
      </c>
      <c r="G2307" s="51"/>
      <c r="H2307" s="53"/>
      <c r="I2307" s="54"/>
    </row>
    <row r="2308" spans="2:9" s="1" customFormat="1" x14ac:dyDescent="0.2">
      <c r="B2308" s="55" t="str">
        <f t="shared" si="45"/>
        <v>2013-065-0</v>
      </c>
      <c r="C2308" s="56">
        <v>2013</v>
      </c>
      <c r="D2308" s="56" t="s">
        <v>94</v>
      </c>
      <c r="E2308" s="56">
        <v>0</v>
      </c>
      <c r="F2308" s="57" t="s">
        <v>378</v>
      </c>
      <c r="G2308" s="56"/>
      <c r="H2308" s="58"/>
      <c r="I2308" s="59"/>
    </row>
    <row r="2309" spans="2:9" s="1" customFormat="1" x14ac:dyDescent="0.2">
      <c r="B2309" s="44" t="str">
        <f t="shared" si="45"/>
        <v>2013-065-1</v>
      </c>
      <c r="C2309" s="45">
        <v>2013</v>
      </c>
      <c r="D2309" s="45" t="s">
        <v>94</v>
      </c>
      <c r="E2309" s="45">
        <v>1</v>
      </c>
      <c r="F2309" s="47" t="s">
        <v>777</v>
      </c>
      <c r="G2309" s="45"/>
      <c r="H2309" s="48"/>
      <c r="I2309" s="49"/>
    </row>
    <row r="2310" spans="2:9" s="1" customFormat="1" x14ac:dyDescent="0.2">
      <c r="B2310" s="44" t="str">
        <f t="shared" si="45"/>
        <v>2013-065-2</v>
      </c>
      <c r="C2310" s="45">
        <v>2013</v>
      </c>
      <c r="D2310" s="45" t="s">
        <v>94</v>
      </c>
      <c r="E2310" s="45">
        <v>2</v>
      </c>
      <c r="F2310" s="47" t="s">
        <v>751</v>
      </c>
      <c r="G2310" s="45"/>
      <c r="H2310" s="48"/>
      <c r="I2310" s="49"/>
    </row>
    <row r="2311" spans="2:9" s="1" customFormat="1" x14ac:dyDescent="0.2">
      <c r="B2311" s="44" t="str">
        <f t="shared" si="45"/>
        <v>2013-065-3</v>
      </c>
      <c r="C2311" s="45">
        <v>2013</v>
      </c>
      <c r="D2311" s="45" t="s">
        <v>94</v>
      </c>
      <c r="E2311" s="45">
        <v>3</v>
      </c>
      <c r="F2311" s="47" t="s">
        <v>1567</v>
      </c>
      <c r="G2311" s="45"/>
      <c r="H2311" s="48"/>
      <c r="I2311" s="49"/>
    </row>
    <row r="2312" spans="2:9" s="1" customFormat="1" x14ac:dyDescent="0.2">
      <c r="B2312" s="44" t="str">
        <f t="shared" si="45"/>
        <v>2013-065-4</v>
      </c>
      <c r="C2312" s="45">
        <v>2013</v>
      </c>
      <c r="D2312" s="45" t="s">
        <v>94</v>
      </c>
      <c r="E2312" s="45">
        <v>4</v>
      </c>
      <c r="F2312" s="47" t="s">
        <v>1964</v>
      </c>
      <c r="G2312" s="45"/>
      <c r="H2312" s="48"/>
      <c r="I2312" s="49"/>
    </row>
    <row r="2313" spans="2:9" s="1" customFormat="1" ht="27" x14ac:dyDescent="0.2">
      <c r="B2313" s="50" t="str">
        <f t="shared" si="45"/>
        <v>2013-065-5</v>
      </c>
      <c r="C2313" s="51">
        <v>2013</v>
      </c>
      <c r="D2313" s="51" t="s">
        <v>94</v>
      </c>
      <c r="E2313" s="51">
        <v>5</v>
      </c>
      <c r="F2313" s="52" t="s">
        <v>2358</v>
      </c>
      <c r="G2313" s="51" t="s">
        <v>3210</v>
      </c>
      <c r="H2313" s="53"/>
      <c r="I2313" s="54"/>
    </row>
    <row r="2314" spans="2:9" s="1" customFormat="1" x14ac:dyDescent="0.2">
      <c r="B2314" s="55" t="str">
        <f t="shared" si="45"/>
        <v>2013-066-0</v>
      </c>
      <c r="C2314" s="56">
        <v>2013</v>
      </c>
      <c r="D2314" s="56" t="s">
        <v>95</v>
      </c>
      <c r="E2314" s="56">
        <v>0</v>
      </c>
      <c r="F2314" s="57" t="s">
        <v>379</v>
      </c>
      <c r="G2314" s="56"/>
      <c r="H2314" s="58"/>
      <c r="I2314" s="59"/>
    </row>
    <row r="2315" spans="2:9" s="1" customFormat="1" x14ac:dyDescent="0.2">
      <c r="B2315" s="44" t="str">
        <f t="shared" si="45"/>
        <v>2013-066-1</v>
      </c>
      <c r="C2315" s="45">
        <v>2013</v>
      </c>
      <c r="D2315" s="45" t="s">
        <v>95</v>
      </c>
      <c r="E2315" s="45">
        <v>1</v>
      </c>
      <c r="F2315" s="47" t="s">
        <v>778</v>
      </c>
      <c r="G2315" s="45"/>
      <c r="H2315" s="48"/>
      <c r="I2315" s="49"/>
    </row>
    <row r="2316" spans="2:9" s="1" customFormat="1" x14ac:dyDescent="0.2">
      <c r="B2316" s="44" t="str">
        <f t="shared" si="45"/>
        <v>2013-066-2</v>
      </c>
      <c r="C2316" s="45">
        <v>2013</v>
      </c>
      <c r="D2316" s="45" t="s">
        <v>95</v>
      </c>
      <c r="E2316" s="45">
        <v>2</v>
      </c>
      <c r="F2316" s="47" t="s">
        <v>1174</v>
      </c>
      <c r="G2316" s="45"/>
      <c r="H2316" s="48"/>
      <c r="I2316" s="49"/>
    </row>
    <row r="2317" spans="2:9" s="1" customFormat="1" x14ac:dyDescent="0.2">
      <c r="B2317" s="44" t="str">
        <f t="shared" si="45"/>
        <v>2013-066-3</v>
      </c>
      <c r="C2317" s="45">
        <v>2013</v>
      </c>
      <c r="D2317" s="45" t="s">
        <v>95</v>
      </c>
      <c r="E2317" s="45">
        <v>3</v>
      </c>
      <c r="F2317" s="47" t="s">
        <v>1568</v>
      </c>
      <c r="G2317" s="45" t="s">
        <v>3210</v>
      </c>
      <c r="H2317" s="48"/>
      <c r="I2317" s="49"/>
    </row>
    <row r="2318" spans="2:9" s="1" customFormat="1" x14ac:dyDescent="0.2">
      <c r="B2318" s="44" t="str">
        <f t="shared" si="45"/>
        <v>2013-066-4</v>
      </c>
      <c r="C2318" s="45">
        <v>2013</v>
      </c>
      <c r="D2318" s="45" t="s">
        <v>95</v>
      </c>
      <c r="E2318" s="45">
        <v>4</v>
      </c>
      <c r="F2318" s="47" t="s">
        <v>1965</v>
      </c>
      <c r="G2318" s="45"/>
      <c r="H2318" s="48"/>
      <c r="I2318" s="49"/>
    </row>
    <row r="2319" spans="2:9" s="1" customFormat="1" x14ac:dyDescent="0.2">
      <c r="B2319" s="50" t="str">
        <f t="shared" si="45"/>
        <v>2013-066-5</v>
      </c>
      <c r="C2319" s="51">
        <v>2013</v>
      </c>
      <c r="D2319" s="51" t="s">
        <v>95</v>
      </c>
      <c r="E2319" s="51">
        <v>5</v>
      </c>
      <c r="F2319" s="52" t="s">
        <v>2359</v>
      </c>
      <c r="G2319" s="51"/>
      <c r="H2319" s="53"/>
      <c r="I2319" s="54"/>
    </row>
    <row r="2320" spans="2:9" s="1" customFormat="1" x14ac:dyDescent="0.2">
      <c r="B2320" s="55" t="str">
        <f t="shared" si="45"/>
        <v>2013-067-0</v>
      </c>
      <c r="C2320" s="56">
        <v>2013</v>
      </c>
      <c r="D2320" s="56" t="s">
        <v>96</v>
      </c>
      <c r="E2320" s="56">
        <v>0</v>
      </c>
      <c r="F2320" s="57" t="s">
        <v>380</v>
      </c>
      <c r="G2320" s="56"/>
      <c r="H2320" s="58"/>
      <c r="I2320" s="59"/>
    </row>
    <row r="2321" spans="2:9" s="1" customFormat="1" x14ac:dyDescent="0.2">
      <c r="B2321" s="44" t="str">
        <f t="shared" si="45"/>
        <v>2013-067-1</v>
      </c>
      <c r="C2321" s="45">
        <v>2013</v>
      </c>
      <c r="D2321" s="45" t="s">
        <v>96</v>
      </c>
      <c r="E2321" s="45">
        <v>1</v>
      </c>
      <c r="F2321" s="47" t="s">
        <v>779</v>
      </c>
      <c r="G2321" s="45"/>
      <c r="H2321" s="48"/>
      <c r="I2321" s="49"/>
    </row>
    <row r="2322" spans="2:9" s="1" customFormat="1" x14ac:dyDescent="0.2">
      <c r="B2322" s="44" t="str">
        <f t="shared" si="45"/>
        <v>2013-067-2</v>
      </c>
      <c r="C2322" s="45">
        <v>2013</v>
      </c>
      <c r="D2322" s="45" t="s">
        <v>96</v>
      </c>
      <c r="E2322" s="45">
        <v>2</v>
      </c>
      <c r="F2322" s="47" t="s">
        <v>1175</v>
      </c>
      <c r="G2322" s="45" t="s">
        <v>3210</v>
      </c>
      <c r="H2322" s="48"/>
      <c r="I2322" s="49"/>
    </row>
    <row r="2323" spans="2:9" s="1" customFormat="1" x14ac:dyDescent="0.2">
      <c r="B2323" s="44" t="str">
        <f t="shared" si="45"/>
        <v>2013-067-3</v>
      </c>
      <c r="C2323" s="45">
        <v>2013</v>
      </c>
      <c r="D2323" s="45" t="s">
        <v>96</v>
      </c>
      <c r="E2323" s="45">
        <v>3</v>
      </c>
      <c r="F2323" s="47" t="s">
        <v>1569</v>
      </c>
      <c r="G2323" s="45"/>
      <c r="H2323" s="48"/>
      <c r="I2323" s="49"/>
    </row>
    <row r="2324" spans="2:9" s="1" customFormat="1" x14ac:dyDescent="0.2">
      <c r="B2324" s="44" t="str">
        <f t="shared" si="45"/>
        <v>2013-067-4</v>
      </c>
      <c r="C2324" s="45">
        <v>2013</v>
      </c>
      <c r="D2324" s="45" t="s">
        <v>96</v>
      </c>
      <c r="E2324" s="45">
        <v>4</v>
      </c>
      <c r="F2324" s="47" t="s">
        <v>1966</v>
      </c>
      <c r="G2324" s="45"/>
      <c r="H2324" s="48"/>
      <c r="I2324" s="49"/>
    </row>
    <row r="2325" spans="2:9" s="1" customFormat="1" x14ac:dyDescent="0.2">
      <c r="B2325" s="50" t="str">
        <f t="shared" si="45"/>
        <v>2013-067-5</v>
      </c>
      <c r="C2325" s="51">
        <v>2013</v>
      </c>
      <c r="D2325" s="51" t="s">
        <v>96</v>
      </c>
      <c r="E2325" s="51">
        <v>5</v>
      </c>
      <c r="F2325" s="52" t="s">
        <v>2360</v>
      </c>
      <c r="G2325" s="51"/>
      <c r="H2325" s="53"/>
      <c r="I2325" s="54"/>
    </row>
    <row r="2326" spans="2:9" s="1" customFormat="1" x14ac:dyDescent="0.2">
      <c r="B2326" s="55" t="str">
        <f t="shared" si="45"/>
        <v>2013-068-0</v>
      </c>
      <c r="C2326" s="56">
        <v>2013</v>
      </c>
      <c r="D2326" s="56" t="s">
        <v>97</v>
      </c>
      <c r="E2326" s="56">
        <v>0</v>
      </c>
      <c r="F2326" s="57" t="s">
        <v>381</v>
      </c>
      <c r="G2326" s="56"/>
      <c r="H2326" s="58"/>
      <c r="I2326" s="59"/>
    </row>
    <row r="2327" spans="2:9" s="1" customFormat="1" x14ac:dyDescent="0.2">
      <c r="B2327" s="44" t="str">
        <f t="shared" si="45"/>
        <v>2013-068-1</v>
      </c>
      <c r="C2327" s="45">
        <v>2013</v>
      </c>
      <c r="D2327" s="45" t="s">
        <v>97</v>
      </c>
      <c r="E2327" s="45">
        <v>1</v>
      </c>
      <c r="F2327" s="47" t="s">
        <v>780</v>
      </c>
      <c r="G2327" s="45" t="s">
        <v>3210</v>
      </c>
      <c r="H2327" s="48"/>
      <c r="I2327" s="49"/>
    </row>
    <row r="2328" spans="2:9" s="1" customFormat="1" x14ac:dyDescent="0.2">
      <c r="B2328" s="44" t="str">
        <f t="shared" si="45"/>
        <v>2013-068-2</v>
      </c>
      <c r="C2328" s="45">
        <v>2013</v>
      </c>
      <c r="D2328" s="45" t="s">
        <v>97</v>
      </c>
      <c r="E2328" s="45">
        <v>2</v>
      </c>
      <c r="F2328" s="47" t="s">
        <v>1176</v>
      </c>
      <c r="G2328" s="45"/>
      <c r="H2328" s="48"/>
      <c r="I2328" s="49"/>
    </row>
    <row r="2329" spans="2:9" s="1" customFormat="1" ht="27" x14ac:dyDescent="0.2">
      <c r="B2329" s="44" t="str">
        <f t="shared" si="45"/>
        <v>2013-068-3</v>
      </c>
      <c r="C2329" s="45">
        <v>2013</v>
      </c>
      <c r="D2329" s="45" t="s">
        <v>97</v>
      </c>
      <c r="E2329" s="45">
        <v>3</v>
      </c>
      <c r="F2329" s="47" t="s">
        <v>1570</v>
      </c>
      <c r="G2329" s="45"/>
      <c r="H2329" s="48"/>
      <c r="I2329" s="49"/>
    </row>
    <row r="2330" spans="2:9" s="1" customFormat="1" ht="27" x14ac:dyDescent="0.2">
      <c r="B2330" s="44" t="str">
        <f t="shared" si="45"/>
        <v>2013-068-4</v>
      </c>
      <c r="C2330" s="45">
        <v>2013</v>
      </c>
      <c r="D2330" s="45" t="s">
        <v>97</v>
      </c>
      <c r="E2330" s="45">
        <v>4</v>
      </c>
      <c r="F2330" s="47" t="s">
        <v>1967</v>
      </c>
      <c r="G2330" s="45"/>
      <c r="H2330" s="48"/>
      <c r="I2330" s="49"/>
    </row>
    <row r="2331" spans="2:9" s="1" customFormat="1" ht="27" x14ac:dyDescent="0.2">
      <c r="B2331" s="50" t="str">
        <f t="shared" si="45"/>
        <v>2013-068-5</v>
      </c>
      <c r="C2331" s="51">
        <v>2013</v>
      </c>
      <c r="D2331" s="51" t="s">
        <v>97</v>
      </c>
      <c r="E2331" s="51">
        <v>5</v>
      </c>
      <c r="F2331" s="52" t="s">
        <v>2361</v>
      </c>
      <c r="G2331" s="51"/>
      <c r="H2331" s="53"/>
      <c r="I2331" s="54"/>
    </row>
    <row r="2332" spans="2:9" s="1" customFormat="1" x14ac:dyDescent="0.2">
      <c r="B2332" s="55" t="str">
        <f t="shared" si="45"/>
        <v>2013-069-0</v>
      </c>
      <c r="C2332" s="56">
        <v>2013</v>
      </c>
      <c r="D2332" s="56" t="s">
        <v>98</v>
      </c>
      <c r="E2332" s="56">
        <v>0</v>
      </c>
      <c r="F2332" s="57" t="s">
        <v>382</v>
      </c>
      <c r="G2332" s="56"/>
      <c r="H2332" s="58"/>
      <c r="I2332" s="59"/>
    </row>
    <row r="2333" spans="2:9" s="1" customFormat="1" x14ac:dyDescent="0.2">
      <c r="B2333" s="44" t="str">
        <f t="shared" si="45"/>
        <v>2013-069-1</v>
      </c>
      <c r="C2333" s="45">
        <v>2013</v>
      </c>
      <c r="D2333" s="45" t="s">
        <v>98</v>
      </c>
      <c r="E2333" s="45">
        <v>1</v>
      </c>
      <c r="F2333" s="47" t="s">
        <v>781</v>
      </c>
      <c r="G2333" s="45"/>
      <c r="H2333" s="48"/>
      <c r="I2333" s="49"/>
    </row>
    <row r="2334" spans="2:9" s="1" customFormat="1" x14ac:dyDescent="0.2">
      <c r="B2334" s="44" t="str">
        <f t="shared" si="45"/>
        <v>2013-069-2</v>
      </c>
      <c r="C2334" s="45">
        <v>2013</v>
      </c>
      <c r="D2334" s="45" t="s">
        <v>98</v>
      </c>
      <c r="E2334" s="45">
        <v>2</v>
      </c>
      <c r="F2334" s="47" t="s">
        <v>1177</v>
      </c>
      <c r="G2334" s="45" t="s">
        <v>3210</v>
      </c>
      <c r="H2334" s="48"/>
      <c r="I2334" s="49"/>
    </row>
    <row r="2335" spans="2:9" s="1" customFormat="1" x14ac:dyDescent="0.2">
      <c r="B2335" s="44" t="str">
        <f t="shared" si="45"/>
        <v>2013-069-3</v>
      </c>
      <c r="C2335" s="45">
        <v>2013</v>
      </c>
      <c r="D2335" s="45" t="s">
        <v>98</v>
      </c>
      <c r="E2335" s="45">
        <v>3</v>
      </c>
      <c r="F2335" s="47" t="s">
        <v>1571</v>
      </c>
      <c r="G2335" s="45"/>
      <c r="H2335" s="48"/>
      <c r="I2335" s="49"/>
    </row>
    <row r="2336" spans="2:9" s="1" customFormat="1" x14ac:dyDescent="0.2">
      <c r="B2336" s="44" t="str">
        <f t="shared" si="45"/>
        <v>2013-069-4</v>
      </c>
      <c r="C2336" s="45">
        <v>2013</v>
      </c>
      <c r="D2336" s="45" t="s">
        <v>98</v>
      </c>
      <c r="E2336" s="45">
        <v>4</v>
      </c>
      <c r="F2336" s="47" t="s">
        <v>1968</v>
      </c>
      <c r="G2336" s="45"/>
      <c r="H2336" s="48"/>
      <c r="I2336" s="49"/>
    </row>
    <row r="2337" spans="2:9" s="1" customFormat="1" x14ac:dyDescent="0.2">
      <c r="B2337" s="50" t="str">
        <f t="shared" ref="B2337:B2373" si="46">C2337&amp;"-"&amp;D2337&amp;"-"&amp;E2337</f>
        <v>2013-069-5</v>
      </c>
      <c r="C2337" s="51">
        <v>2013</v>
      </c>
      <c r="D2337" s="51" t="s">
        <v>98</v>
      </c>
      <c r="E2337" s="51">
        <v>5</v>
      </c>
      <c r="F2337" s="52" t="s">
        <v>2362</v>
      </c>
      <c r="G2337" s="51"/>
      <c r="H2337" s="53"/>
      <c r="I2337" s="54"/>
    </row>
    <row r="2338" spans="2:9" s="1" customFormat="1" x14ac:dyDescent="0.2">
      <c r="B2338" s="55" t="str">
        <f t="shared" si="46"/>
        <v>2013-070-0</v>
      </c>
      <c r="C2338" s="56">
        <v>2013</v>
      </c>
      <c r="D2338" s="56" t="s">
        <v>99</v>
      </c>
      <c r="E2338" s="56">
        <v>0</v>
      </c>
      <c r="F2338" s="57" t="s">
        <v>383</v>
      </c>
      <c r="G2338" s="56"/>
      <c r="H2338" s="58"/>
      <c r="I2338" s="59"/>
    </row>
    <row r="2339" spans="2:9" s="1" customFormat="1" ht="27" x14ac:dyDescent="0.2">
      <c r="B2339" s="44" t="str">
        <f t="shared" si="46"/>
        <v>2013-070-1</v>
      </c>
      <c r="C2339" s="45">
        <v>2013</v>
      </c>
      <c r="D2339" s="45" t="s">
        <v>99</v>
      </c>
      <c r="E2339" s="45">
        <v>1</v>
      </c>
      <c r="F2339" s="47" t="s">
        <v>782</v>
      </c>
      <c r="G2339" s="45"/>
      <c r="H2339" s="48"/>
      <c r="I2339" s="49"/>
    </row>
    <row r="2340" spans="2:9" s="1" customFormat="1" x14ac:dyDescent="0.2">
      <c r="B2340" s="44" t="str">
        <f t="shared" si="46"/>
        <v>2013-070-2</v>
      </c>
      <c r="C2340" s="45">
        <v>2013</v>
      </c>
      <c r="D2340" s="45" t="s">
        <v>99</v>
      </c>
      <c r="E2340" s="45">
        <v>2</v>
      </c>
      <c r="F2340" s="47" t="s">
        <v>1178</v>
      </c>
      <c r="G2340" s="45"/>
      <c r="H2340" s="48"/>
      <c r="I2340" s="49"/>
    </row>
    <row r="2341" spans="2:9" s="1" customFormat="1" x14ac:dyDescent="0.2">
      <c r="B2341" s="44" t="str">
        <f t="shared" si="46"/>
        <v>2013-070-3</v>
      </c>
      <c r="C2341" s="45">
        <v>2013</v>
      </c>
      <c r="D2341" s="45" t="s">
        <v>99</v>
      </c>
      <c r="E2341" s="45">
        <v>3</v>
      </c>
      <c r="F2341" s="47" t="s">
        <v>1572</v>
      </c>
      <c r="G2341" s="45" t="s">
        <v>3210</v>
      </c>
      <c r="H2341" s="48"/>
      <c r="I2341" s="49"/>
    </row>
    <row r="2342" spans="2:9" s="1" customFormat="1" x14ac:dyDescent="0.2">
      <c r="B2342" s="44" t="str">
        <f t="shared" si="46"/>
        <v>2013-070-4</v>
      </c>
      <c r="C2342" s="45">
        <v>2013</v>
      </c>
      <c r="D2342" s="45" t="s">
        <v>99</v>
      </c>
      <c r="E2342" s="45">
        <v>4</v>
      </c>
      <c r="F2342" s="47" t="s">
        <v>1969</v>
      </c>
      <c r="G2342" s="45"/>
      <c r="H2342" s="48"/>
      <c r="I2342" s="49"/>
    </row>
    <row r="2343" spans="2:9" s="1" customFormat="1" ht="27" x14ac:dyDescent="0.2">
      <c r="B2343" s="50" t="str">
        <f t="shared" si="46"/>
        <v>2013-070-5</v>
      </c>
      <c r="C2343" s="51">
        <v>2013</v>
      </c>
      <c r="D2343" s="51" t="s">
        <v>99</v>
      </c>
      <c r="E2343" s="51">
        <v>5</v>
      </c>
      <c r="F2343" s="52" t="s">
        <v>2363</v>
      </c>
      <c r="G2343" s="51"/>
      <c r="H2343" s="53"/>
      <c r="I2343" s="54"/>
    </row>
    <row r="2344" spans="2:9" s="1" customFormat="1" x14ac:dyDescent="0.2">
      <c r="B2344" s="55" t="str">
        <f t="shared" si="46"/>
        <v>2013-071-0</v>
      </c>
      <c r="C2344" s="56">
        <v>2013</v>
      </c>
      <c r="D2344" s="56" t="s">
        <v>100</v>
      </c>
      <c r="E2344" s="56">
        <v>0</v>
      </c>
      <c r="F2344" s="57" t="s">
        <v>384</v>
      </c>
      <c r="G2344" s="56"/>
      <c r="H2344" s="58"/>
      <c r="I2344" s="59"/>
    </row>
    <row r="2345" spans="2:9" s="1" customFormat="1" x14ac:dyDescent="0.2">
      <c r="B2345" s="44" t="str">
        <f t="shared" si="46"/>
        <v>2013-071-1</v>
      </c>
      <c r="C2345" s="45">
        <v>2013</v>
      </c>
      <c r="D2345" s="45" t="s">
        <v>100</v>
      </c>
      <c r="E2345" s="45">
        <v>1</v>
      </c>
      <c r="F2345" s="47" t="s">
        <v>783</v>
      </c>
      <c r="G2345" s="45"/>
      <c r="H2345" s="48"/>
      <c r="I2345" s="49"/>
    </row>
    <row r="2346" spans="2:9" s="1" customFormat="1" ht="27" x14ac:dyDescent="0.2">
      <c r="B2346" s="44" t="str">
        <f t="shared" si="46"/>
        <v>2013-071-2</v>
      </c>
      <c r="C2346" s="45">
        <v>2013</v>
      </c>
      <c r="D2346" s="45" t="s">
        <v>100</v>
      </c>
      <c r="E2346" s="45">
        <v>2</v>
      </c>
      <c r="F2346" s="47" t="s">
        <v>1179</v>
      </c>
      <c r="G2346" s="45"/>
      <c r="H2346" s="48"/>
      <c r="I2346" s="49"/>
    </row>
    <row r="2347" spans="2:9" s="1" customFormat="1" ht="27" x14ac:dyDescent="0.2">
      <c r="B2347" s="44" t="str">
        <f t="shared" si="46"/>
        <v>2013-071-3</v>
      </c>
      <c r="C2347" s="45">
        <v>2013</v>
      </c>
      <c r="D2347" s="45" t="s">
        <v>100</v>
      </c>
      <c r="E2347" s="45">
        <v>3</v>
      </c>
      <c r="F2347" s="47" t="s">
        <v>1573</v>
      </c>
      <c r="G2347" s="45"/>
      <c r="H2347" s="48"/>
      <c r="I2347" s="49"/>
    </row>
    <row r="2348" spans="2:9" s="1" customFormat="1" x14ac:dyDescent="0.2">
      <c r="B2348" s="44" t="str">
        <f t="shared" si="46"/>
        <v>2013-071-4</v>
      </c>
      <c r="C2348" s="45">
        <v>2013</v>
      </c>
      <c r="D2348" s="45" t="s">
        <v>100</v>
      </c>
      <c r="E2348" s="45">
        <v>4</v>
      </c>
      <c r="F2348" s="47" t="s">
        <v>1970</v>
      </c>
      <c r="G2348" s="45"/>
      <c r="H2348" s="48"/>
      <c r="I2348" s="49"/>
    </row>
    <row r="2349" spans="2:9" s="1" customFormat="1" ht="27" x14ac:dyDescent="0.2">
      <c r="B2349" s="50" t="str">
        <f t="shared" si="46"/>
        <v>2013-071-5</v>
      </c>
      <c r="C2349" s="51">
        <v>2013</v>
      </c>
      <c r="D2349" s="51" t="s">
        <v>100</v>
      </c>
      <c r="E2349" s="51">
        <v>5</v>
      </c>
      <c r="F2349" s="52" t="s">
        <v>2364</v>
      </c>
      <c r="G2349" s="51" t="s">
        <v>3210</v>
      </c>
      <c r="H2349" s="53"/>
      <c r="I2349" s="54"/>
    </row>
    <row r="2350" spans="2:9" s="1" customFormat="1" x14ac:dyDescent="0.2">
      <c r="B2350" s="55" t="str">
        <f t="shared" si="46"/>
        <v>2013-072-0</v>
      </c>
      <c r="C2350" s="56">
        <v>2013</v>
      </c>
      <c r="D2350" s="56" t="s">
        <v>101</v>
      </c>
      <c r="E2350" s="56">
        <v>0</v>
      </c>
      <c r="F2350" s="57" t="s">
        <v>385</v>
      </c>
      <c r="G2350" s="56"/>
      <c r="H2350" s="58"/>
      <c r="I2350" s="59"/>
    </row>
    <row r="2351" spans="2:9" s="1" customFormat="1" x14ac:dyDescent="0.2">
      <c r="B2351" s="44" t="str">
        <f t="shared" si="46"/>
        <v>2013-072-1</v>
      </c>
      <c r="C2351" s="45">
        <v>2013</v>
      </c>
      <c r="D2351" s="45" t="s">
        <v>101</v>
      </c>
      <c r="E2351" s="45">
        <v>1</v>
      </c>
      <c r="F2351" s="47" t="s">
        <v>784</v>
      </c>
      <c r="G2351" s="45" t="s">
        <v>3210</v>
      </c>
      <c r="H2351" s="48"/>
      <c r="I2351" s="49"/>
    </row>
    <row r="2352" spans="2:9" s="1" customFormat="1" x14ac:dyDescent="0.2">
      <c r="B2352" s="44" t="str">
        <f t="shared" si="46"/>
        <v>2013-072-2</v>
      </c>
      <c r="C2352" s="45">
        <v>2013</v>
      </c>
      <c r="D2352" s="45" t="s">
        <v>101</v>
      </c>
      <c r="E2352" s="45">
        <v>2</v>
      </c>
      <c r="F2352" s="47" t="s">
        <v>1180</v>
      </c>
      <c r="G2352" s="45"/>
      <c r="H2352" s="48"/>
      <c r="I2352" s="49"/>
    </row>
    <row r="2353" spans="2:9" s="1" customFormat="1" x14ac:dyDescent="0.2">
      <c r="B2353" s="44" t="str">
        <f t="shared" si="46"/>
        <v>2013-072-3</v>
      </c>
      <c r="C2353" s="45">
        <v>2013</v>
      </c>
      <c r="D2353" s="45" t="s">
        <v>101</v>
      </c>
      <c r="E2353" s="45">
        <v>3</v>
      </c>
      <c r="F2353" s="47" t="s">
        <v>1574</v>
      </c>
      <c r="G2353" s="45"/>
      <c r="H2353" s="48"/>
      <c r="I2353" s="49"/>
    </row>
    <row r="2354" spans="2:9" s="1" customFormat="1" x14ac:dyDescent="0.2">
      <c r="B2354" s="44" t="str">
        <f t="shared" si="46"/>
        <v>2013-072-4</v>
      </c>
      <c r="C2354" s="45">
        <v>2013</v>
      </c>
      <c r="D2354" s="45" t="s">
        <v>101</v>
      </c>
      <c r="E2354" s="45">
        <v>4</v>
      </c>
      <c r="F2354" s="47" t="s">
        <v>1971</v>
      </c>
      <c r="G2354" s="45"/>
      <c r="H2354" s="48"/>
      <c r="I2354" s="49"/>
    </row>
    <row r="2355" spans="2:9" s="1" customFormat="1" ht="27" x14ac:dyDescent="0.2">
      <c r="B2355" s="50" t="str">
        <f t="shared" si="46"/>
        <v>2013-072-5</v>
      </c>
      <c r="C2355" s="51">
        <v>2013</v>
      </c>
      <c r="D2355" s="51" t="s">
        <v>101</v>
      </c>
      <c r="E2355" s="51">
        <v>5</v>
      </c>
      <c r="F2355" s="52" t="s">
        <v>2365</v>
      </c>
      <c r="G2355" s="51"/>
      <c r="H2355" s="53"/>
      <c r="I2355" s="54"/>
    </row>
    <row r="2356" spans="2:9" s="1" customFormat="1" x14ac:dyDescent="0.2">
      <c r="B2356" s="55" t="str">
        <f t="shared" si="46"/>
        <v>2013-073-0</v>
      </c>
      <c r="C2356" s="56">
        <v>2013</v>
      </c>
      <c r="D2356" s="56" t="s">
        <v>102</v>
      </c>
      <c r="E2356" s="56">
        <v>0</v>
      </c>
      <c r="F2356" s="57" t="s">
        <v>386</v>
      </c>
      <c r="G2356" s="56"/>
      <c r="H2356" s="58"/>
      <c r="I2356" s="59"/>
    </row>
    <row r="2357" spans="2:9" s="1" customFormat="1" x14ac:dyDescent="0.2">
      <c r="B2357" s="44" t="str">
        <f t="shared" si="46"/>
        <v>2013-073-1</v>
      </c>
      <c r="C2357" s="45">
        <v>2013</v>
      </c>
      <c r="D2357" s="45" t="s">
        <v>102</v>
      </c>
      <c r="E2357" s="45">
        <v>1</v>
      </c>
      <c r="F2357" s="47" t="s">
        <v>785</v>
      </c>
      <c r="G2357" s="45"/>
      <c r="H2357" s="48"/>
      <c r="I2357" s="49"/>
    </row>
    <row r="2358" spans="2:9" s="1" customFormat="1" x14ac:dyDescent="0.2">
      <c r="B2358" s="44" t="str">
        <f t="shared" si="46"/>
        <v>2013-073-2</v>
      </c>
      <c r="C2358" s="45">
        <v>2013</v>
      </c>
      <c r="D2358" s="45" t="s">
        <v>102</v>
      </c>
      <c r="E2358" s="45">
        <v>2</v>
      </c>
      <c r="F2358" s="47" t="s">
        <v>1181</v>
      </c>
      <c r="G2358" s="45"/>
      <c r="H2358" s="48"/>
      <c r="I2358" s="49"/>
    </row>
    <row r="2359" spans="2:9" s="1" customFormat="1" x14ac:dyDescent="0.2">
      <c r="B2359" s="44" t="str">
        <f t="shared" si="46"/>
        <v>2013-073-3</v>
      </c>
      <c r="C2359" s="45">
        <v>2013</v>
      </c>
      <c r="D2359" s="45" t="s">
        <v>102</v>
      </c>
      <c r="E2359" s="45">
        <v>3</v>
      </c>
      <c r="F2359" s="47" t="s">
        <v>1575</v>
      </c>
      <c r="G2359" s="45"/>
      <c r="H2359" s="48"/>
      <c r="I2359" s="49"/>
    </row>
    <row r="2360" spans="2:9" s="1" customFormat="1" ht="27" x14ac:dyDescent="0.2">
      <c r="B2360" s="44" t="str">
        <f t="shared" si="46"/>
        <v>2013-073-4</v>
      </c>
      <c r="C2360" s="45">
        <v>2013</v>
      </c>
      <c r="D2360" s="45" t="s">
        <v>102</v>
      </c>
      <c r="E2360" s="45">
        <v>4</v>
      </c>
      <c r="F2360" s="47" t="s">
        <v>1972</v>
      </c>
      <c r="G2360" s="45" t="s">
        <v>3210</v>
      </c>
      <c r="H2360" s="48"/>
      <c r="I2360" s="49"/>
    </row>
    <row r="2361" spans="2:9" s="1" customFormat="1" ht="27" x14ac:dyDescent="0.2">
      <c r="B2361" s="50" t="str">
        <f t="shared" si="46"/>
        <v>2013-073-5</v>
      </c>
      <c r="C2361" s="51">
        <v>2013</v>
      </c>
      <c r="D2361" s="51" t="s">
        <v>102</v>
      </c>
      <c r="E2361" s="51">
        <v>5</v>
      </c>
      <c r="F2361" s="52" t="s">
        <v>2366</v>
      </c>
      <c r="G2361" s="51"/>
      <c r="H2361" s="53"/>
      <c r="I2361" s="54"/>
    </row>
    <row r="2362" spans="2:9" s="1" customFormat="1" x14ac:dyDescent="0.2">
      <c r="B2362" s="55" t="str">
        <f t="shared" si="46"/>
        <v>2013-074-0</v>
      </c>
      <c r="C2362" s="56">
        <v>2013</v>
      </c>
      <c r="D2362" s="56" t="s">
        <v>103</v>
      </c>
      <c r="E2362" s="56">
        <v>0</v>
      </c>
      <c r="F2362" s="57" t="s">
        <v>387</v>
      </c>
      <c r="G2362" s="56"/>
      <c r="H2362" s="58"/>
      <c r="I2362" s="59"/>
    </row>
    <row r="2363" spans="2:9" s="1" customFormat="1" x14ac:dyDescent="0.2">
      <c r="B2363" s="44" t="str">
        <f t="shared" si="46"/>
        <v>2013-074-1</v>
      </c>
      <c r="C2363" s="45">
        <v>2013</v>
      </c>
      <c r="D2363" s="45" t="s">
        <v>103</v>
      </c>
      <c r="E2363" s="45">
        <v>1</v>
      </c>
      <c r="F2363" s="47" t="s">
        <v>786</v>
      </c>
      <c r="G2363" s="45"/>
      <c r="H2363" s="48"/>
      <c r="I2363" s="49"/>
    </row>
    <row r="2364" spans="2:9" s="1" customFormat="1" x14ac:dyDescent="0.2">
      <c r="B2364" s="44" t="str">
        <f t="shared" si="46"/>
        <v>2013-074-2</v>
      </c>
      <c r="C2364" s="45">
        <v>2013</v>
      </c>
      <c r="D2364" s="45" t="s">
        <v>103</v>
      </c>
      <c r="E2364" s="45">
        <v>2</v>
      </c>
      <c r="F2364" s="47" t="s">
        <v>1182</v>
      </c>
      <c r="G2364" s="45"/>
      <c r="H2364" s="48"/>
      <c r="I2364" s="49"/>
    </row>
    <row r="2365" spans="2:9" s="1" customFormat="1" x14ac:dyDescent="0.2">
      <c r="B2365" s="44" t="str">
        <f t="shared" si="46"/>
        <v>2013-074-3</v>
      </c>
      <c r="C2365" s="45">
        <v>2013</v>
      </c>
      <c r="D2365" s="45" t="s">
        <v>103</v>
      </c>
      <c r="E2365" s="45">
        <v>3</v>
      </c>
      <c r="F2365" s="47" t="s">
        <v>1576</v>
      </c>
      <c r="G2365" s="45" t="s">
        <v>3210</v>
      </c>
      <c r="H2365" s="48"/>
      <c r="I2365" s="49"/>
    </row>
    <row r="2366" spans="2:9" s="1" customFormat="1" ht="27" x14ac:dyDescent="0.2">
      <c r="B2366" s="44" t="str">
        <f t="shared" si="46"/>
        <v>2013-074-4</v>
      </c>
      <c r="C2366" s="45">
        <v>2013</v>
      </c>
      <c r="D2366" s="45" t="s">
        <v>103</v>
      </c>
      <c r="E2366" s="45">
        <v>4</v>
      </c>
      <c r="F2366" s="47" t="s">
        <v>1973</v>
      </c>
      <c r="G2366" s="45"/>
      <c r="H2366" s="48"/>
      <c r="I2366" s="49"/>
    </row>
    <row r="2367" spans="2:9" s="1" customFormat="1" ht="27" x14ac:dyDescent="0.2">
      <c r="B2367" s="50" t="str">
        <f t="shared" si="46"/>
        <v>2013-074-5</v>
      </c>
      <c r="C2367" s="51">
        <v>2013</v>
      </c>
      <c r="D2367" s="51" t="s">
        <v>103</v>
      </c>
      <c r="E2367" s="51">
        <v>5</v>
      </c>
      <c r="F2367" s="52" t="s">
        <v>2367</v>
      </c>
      <c r="G2367" s="51"/>
      <c r="H2367" s="53"/>
      <c r="I2367" s="54"/>
    </row>
    <row r="2368" spans="2:9" s="1" customFormat="1" ht="40.5" x14ac:dyDescent="0.2">
      <c r="B2368" s="55" t="str">
        <f t="shared" si="46"/>
        <v>2013-075-0</v>
      </c>
      <c r="C2368" s="56">
        <v>2013</v>
      </c>
      <c r="D2368" s="56" t="s">
        <v>104</v>
      </c>
      <c r="E2368" s="56">
        <v>0</v>
      </c>
      <c r="F2368" s="57" t="s">
        <v>388</v>
      </c>
      <c r="G2368" s="56"/>
      <c r="H2368" s="58"/>
      <c r="I2368" s="59"/>
    </row>
    <row r="2369" spans="2:9" s="1" customFormat="1" x14ac:dyDescent="0.2">
      <c r="B2369" s="44" t="str">
        <f t="shared" si="46"/>
        <v>2013-075-1</v>
      </c>
      <c r="C2369" s="45">
        <v>2013</v>
      </c>
      <c r="D2369" s="45" t="s">
        <v>104</v>
      </c>
      <c r="E2369" s="45">
        <v>1</v>
      </c>
      <c r="F2369" s="47" t="s">
        <v>787</v>
      </c>
      <c r="G2369" s="45"/>
      <c r="H2369" s="48"/>
      <c r="I2369" s="49"/>
    </row>
    <row r="2370" spans="2:9" s="1" customFormat="1" x14ac:dyDescent="0.2">
      <c r="B2370" s="44" t="str">
        <f t="shared" si="46"/>
        <v>2013-075-2</v>
      </c>
      <c r="C2370" s="45">
        <v>2013</v>
      </c>
      <c r="D2370" s="45" t="s">
        <v>104</v>
      </c>
      <c r="E2370" s="45">
        <v>2</v>
      </c>
      <c r="F2370" s="47" t="s">
        <v>1183</v>
      </c>
      <c r="G2370" s="45"/>
      <c r="H2370" s="48"/>
      <c r="I2370" s="49"/>
    </row>
    <row r="2371" spans="2:9" s="1" customFormat="1" x14ac:dyDescent="0.2">
      <c r="B2371" s="44" t="str">
        <f t="shared" si="46"/>
        <v>2013-075-3</v>
      </c>
      <c r="C2371" s="45">
        <v>2013</v>
      </c>
      <c r="D2371" s="45" t="s">
        <v>104</v>
      </c>
      <c r="E2371" s="45">
        <v>3</v>
      </c>
      <c r="F2371" s="47" t="s">
        <v>1577</v>
      </c>
      <c r="G2371" s="45"/>
      <c r="H2371" s="48"/>
      <c r="I2371" s="49"/>
    </row>
    <row r="2372" spans="2:9" s="1" customFormat="1" x14ac:dyDescent="0.2">
      <c r="B2372" s="44" t="str">
        <f t="shared" si="46"/>
        <v>2013-075-4</v>
      </c>
      <c r="C2372" s="45">
        <v>2013</v>
      </c>
      <c r="D2372" s="45" t="s">
        <v>104</v>
      </c>
      <c r="E2372" s="45">
        <v>4</v>
      </c>
      <c r="F2372" s="47" t="s">
        <v>1974</v>
      </c>
      <c r="G2372" s="45" t="s">
        <v>3210</v>
      </c>
      <c r="H2372" s="48"/>
      <c r="I2372" s="49"/>
    </row>
    <row r="2373" spans="2:9" s="1" customFormat="1" ht="14.25" thickBot="1" x14ac:dyDescent="0.25">
      <c r="B2373" s="60" t="str">
        <f t="shared" si="46"/>
        <v>2013-075-5</v>
      </c>
      <c r="C2373" s="61">
        <v>2013</v>
      </c>
      <c r="D2373" s="61" t="s">
        <v>104</v>
      </c>
      <c r="E2373" s="61">
        <v>5</v>
      </c>
      <c r="F2373" s="62" t="s">
        <v>2368</v>
      </c>
      <c r="G2373" s="61"/>
      <c r="H2373" s="63"/>
      <c r="I2373" s="64"/>
    </row>
    <row r="2374" spans="2:9" s="1" customFormat="1" x14ac:dyDescent="0.2">
      <c r="B2374" s="38" t="str">
        <f t="shared" ref="B2374" si="47">C2374&amp;"-"&amp;D2374&amp;"-"&amp;E2374</f>
        <v>2012-051-0</v>
      </c>
      <c r="C2374" s="39">
        <v>2012</v>
      </c>
      <c r="D2374" s="39" t="s">
        <v>80</v>
      </c>
      <c r="E2374" s="39">
        <v>0</v>
      </c>
      <c r="F2374" s="41" t="s">
        <v>389</v>
      </c>
      <c r="G2374" s="39"/>
      <c r="H2374" s="42"/>
      <c r="I2374" s="43"/>
    </row>
    <row r="2375" spans="2:9" s="1" customFormat="1" x14ac:dyDescent="0.2">
      <c r="B2375" s="44" t="str">
        <f t="shared" ref="B2375:B2438" si="48">C2375&amp;"-"&amp;D2375&amp;"-"&amp;E2375</f>
        <v>2012-051-1</v>
      </c>
      <c r="C2375" s="45">
        <v>2012</v>
      </c>
      <c r="D2375" s="45" t="s">
        <v>80</v>
      </c>
      <c r="E2375" s="45">
        <v>1</v>
      </c>
      <c r="F2375" s="47" t="s">
        <v>788</v>
      </c>
      <c r="G2375" s="45"/>
      <c r="H2375" s="48"/>
      <c r="I2375" s="49"/>
    </row>
    <row r="2376" spans="2:9" s="1" customFormat="1" x14ac:dyDescent="0.2">
      <c r="B2376" s="44" t="str">
        <f t="shared" si="48"/>
        <v>2012-051-2</v>
      </c>
      <c r="C2376" s="45">
        <v>2012</v>
      </c>
      <c r="D2376" s="45" t="s">
        <v>80</v>
      </c>
      <c r="E2376" s="45">
        <v>2</v>
      </c>
      <c r="F2376" s="47" t="s">
        <v>1184</v>
      </c>
      <c r="G2376" s="45"/>
      <c r="H2376" s="48"/>
      <c r="I2376" s="49"/>
    </row>
    <row r="2377" spans="2:9" s="1" customFormat="1" x14ac:dyDescent="0.2">
      <c r="B2377" s="44" t="str">
        <f t="shared" si="48"/>
        <v>2012-051-3</v>
      </c>
      <c r="C2377" s="45">
        <v>2012</v>
      </c>
      <c r="D2377" s="45" t="s">
        <v>80</v>
      </c>
      <c r="E2377" s="45">
        <v>3</v>
      </c>
      <c r="F2377" s="47" t="s">
        <v>1578</v>
      </c>
      <c r="G2377" s="45"/>
      <c r="H2377" s="48"/>
      <c r="I2377" s="49"/>
    </row>
    <row r="2378" spans="2:9" s="1" customFormat="1" x14ac:dyDescent="0.2">
      <c r="B2378" s="44" t="str">
        <f t="shared" si="48"/>
        <v>2012-051-4</v>
      </c>
      <c r="C2378" s="45">
        <v>2012</v>
      </c>
      <c r="D2378" s="45" t="s">
        <v>80</v>
      </c>
      <c r="E2378" s="45">
        <v>4</v>
      </c>
      <c r="F2378" s="47" t="s">
        <v>1975</v>
      </c>
      <c r="G2378" s="45"/>
      <c r="H2378" s="48"/>
      <c r="I2378" s="49"/>
    </row>
    <row r="2379" spans="2:9" s="1" customFormat="1" x14ac:dyDescent="0.2">
      <c r="B2379" s="50" t="str">
        <f t="shared" si="48"/>
        <v>2012-051-5</v>
      </c>
      <c r="C2379" s="51">
        <v>2012</v>
      </c>
      <c r="D2379" s="51" t="s">
        <v>80</v>
      </c>
      <c r="E2379" s="51">
        <v>5</v>
      </c>
      <c r="F2379" s="52" t="s">
        <v>2369</v>
      </c>
      <c r="G2379" s="51" t="s">
        <v>3210</v>
      </c>
      <c r="H2379" s="53"/>
      <c r="I2379" s="54"/>
    </row>
    <row r="2380" spans="2:9" s="1" customFormat="1" ht="40.5" x14ac:dyDescent="0.2">
      <c r="B2380" s="55" t="str">
        <f t="shared" si="48"/>
        <v>2012-052-0</v>
      </c>
      <c r="C2380" s="56">
        <v>2012</v>
      </c>
      <c r="D2380" s="56" t="s">
        <v>81</v>
      </c>
      <c r="E2380" s="56">
        <v>0</v>
      </c>
      <c r="F2380" s="57" t="s">
        <v>390</v>
      </c>
      <c r="G2380" s="56"/>
      <c r="H2380" s="58"/>
      <c r="I2380" s="59"/>
    </row>
    <row r="2381" spans="2:9" s="1" customFormat="1" x14ac:dyDescent="0.2">
      <c r="B2381" s="44" t="str">
        <f t="shared" si="48"/>
        <v>2012-052-1</v>
      </c>
      <c r="C2381" s="45">
        <v>2012</v>
      </c>
      <c r="D2381" s="45" t="s">
        <v>81</v>
      </c>
      <c r="E2381" s="45">
        <v>1</v>
      </c>
      <c r="F2381" s="47" t="s">
        <v>789</v>
      </c>
      <c r="G2381" s="45"/>
      <c r="H2381" s="48"/>
      <c r="I2381" s="49"/>
    </row>
    <row r="2382" spans="2:9" s="1" customFormat="1" x14ac:dyDescent="0.2">
      <c r="B2382" s="44" t="str">
        <f t="shared" si="48"/>
        <v>2012-052-2</v>
      </c>
      <c r="C2382" s="45">
        <v>2012</v>
      </c>
      <c r="D2382" s="45" t="s">
        <v>81</v>
      </c>
      <c r="E2382" s="45">
        <v>2</v>
      </c>
      <c r="F2382" s="47" t="s">
        <v>1185</v>
      </c>
      <c r="G2382" s="45"/>
      <c r="H2382" s="48"/>
      <c r="I2382" s="49"/>
    </row>
    <row r="2383" spans="2:9" s="1" customFormat="1" x14ac:dyDescent="0.2">
      <c r="B2383" s="44" t="str">
        <f t="shared" si="48"/>
        <v>2012-052-3</v>
      </c>
      <c r="C2383" s="45">
        <v>2012</v>
      </c>
      <c r="D2383" s="45" t="s">
        <v>81</v>
      </c>
      <c r="E2383" s="45">
        <v>3</v>
      </c>
      <c r="F2383" s="47" t="s">
        <v>1579</v>
      </c>
      <c r="G2383" s="45"/>
      <c r="H2383" s="48"/>
      <c r="I2383" s="49"/>
    </row>
    <row r="2384" spans="2:9" s="1" customFormat="1" x14ac:dyDescent="0.2">
      <c r="B2384" s="44" t="str">
        <f t="shared" si="48"/>
        <v>2012-052-4</v>
      </c>
      <c r="C2384" s="45">
        <v>2012</v>
      </c>
      <c r="D2384" s="45" t="s">
        <v>81</v>
      </c>
      <c r="E2384" s="45">
        <v>4</v>
      </c>
      <c r="F2384" s="47" t="s">
        <v>1976</v>
      </c>
      <c r="G2384" s="45" t="s">
        <v>3210</v>
      </c>
      <c r="H2384" s="48"/>
      <c r="I2384" s="49"/>
    </row>
    <row r="2385" spans="2:9" s="1" customFormat="1" x14ac:dyDescent="0.2">
      <c r="B2385" s="50" t="str">
        <f t="shared" si="48"/>
        <v>2012-052-5</v>
      </c>
      <c r="C2385" s="51">
        <v>2012</v>
      </c>
      <c r="D2385" s="51" t="s">
        <v>81</v>
      </c>
      <c r="E2385" s="51">
        <v>5</v>
      </c>
      <c r="F2385" s="52" t="s">
        <v>2370</v>
      </c>
      <c r="G2385" s="51"/>
      <c r="H2385" s="53"/>
      <c r="I2385" s="54"/>
    </row>
    <row r="2386" spans="2:9" s="1" customFormat="1" x14ac:dyDescent="0.2">
      <c r="B2386" s="55" t="str">
        <f t="shared" si="48"/>
        <v>2012-053-0</v>
      </c>
      <c r="C2386" s="56">
        <v>2012</v>
      </c>
      <c r="D2386" s="56" t="s">
        <v>82</v>
      </c>
      <c r="E2386" s="56">
        <v>0</v>
      </c>
      <c r="F2386" s="57" t="s">
        <v>391</v>
      </c>
      <c r="G2386" s="56"/>
      <c r="H2386" s="58"/>
      <c r="I2386" s="59"/>
    </row>
    <row r="2387" spans="2:9" s="1" customFormat="1" x14ac:dyDescent="0.2">
      <c r="B2387" s="44" t="str">
        <f t="shared" si="48"/>
        <v>2012-053-1</v>
      </c>
      <c r="C2387" s="45">
        <v>2012</v>
      </c>
      <c r="D2387" s="45" t="s">
        <v>82</v>
      </c>
      <c r="E2387" s="45">
        <v>1</v>
      </c>
      <c r="F2387" s="47" t="s">
        <v>790</v>
      </c>
      <c r="G2387" s="45"/>
      <c r="H2387" s="48"/>
      <c r="I2387" s="49"/>
    </row>
    <row r="2388" spans="2:9" s="1" customFormat="1" x14ac:dyDescent="0.2">
      <c r="B2388" s="44" t="str">
        <f t="shared" si="48"/>
        <v>2012-053-2</v>
      </c>
      <c r="C2388" s="45">
        <v>2012</v>
      </c>
      <c r="D2388" s="45" t="s">
        <v>82</v>
      </c>
      <c r="E2388" s="45">
        <v>2</v>
      </c>
      <c r="F2388" s="47" t="s">
        <v>1186</v>
      </c>
      <c r="G2388" s="45"/>
      <c r="H2388" s="48"/>
      <c r="I2388" s="49"/>
    </row>
    <row r="2389" spans="2:9" s="1" customFormat="1" x14ac:dyDescent="0.2">
      <c r="B2389" s="44" t="str">
        <f t="shared" si="48"/>
        <v>2012-053-3</v>
      </c>
      <c r="C2389" s="45">
        <v>2012</v>
      </c>
      <c r="D2389" s="45" t="s">
        <v>82</v>
      </c>
      <c r="E2389" s="45">
        <v>3</v>
      </c>
      <c r="F2389" s="47" t="s">
        <v>1580</v>
      </c>
      <c r="G2389" s="45"/>
      <c r="H2389" s="48"/>
      <c r="I2389" s="49"/>
    </row>
    <row r="2390" spans="2:9" s="1" customFormat="1" ht="27" x14ac:dyDescent="0.2">
      <c r="B2390" s="44" t="str">
        <f t="shared" si="48"/>
        <v>2012-053-4</v>
      </c>
      <c r="C2390" s="45">
        <v>2012</v>
      </c>
      <c r="D2390" s="45" t="s">
        <v>82</v>
      </c>
      <c r="E2390" s="45">
        <v>4</v>
      </c>
      <c r="F2390" s="47" t="s">
        <v>1977</v>
      </c>
      <c r="G2390" s="45" t="s">
        <v>3210</v>
      </c>
      <c r="H2390" s="48"/>
      <c r="I2390" s="49"/>
    </row>
    <row r="2391" spans="2:9" s="1" customFormat="1" ht="27" x14ac:dyDescent="0.2">
      <c r="B2391" s="50" t="str">
        <f t="shared" si="48"/>
        <v>2012-053-5</v>
      </c>
      <c r="C2391" s="51">
        <v>2012</v>
      </c>
      <c r="D2391" s="51" t="s">
        <v>82</v>
      </c>
      <c r="E2391" s="51">
        <v>5</v>
      </c>
      <c r="F2391" s="52" t="s">
        <v>2371</v>
      </c>
      <c r="G2391" s="51"/>
      <c r="H2391" s="53"/>
      <c r="I2391" s="54"/>
    </row>
    <row r="2392" spans="2:9" s="1" customFormat="1" ht="40.5" x14ac:dyDescent="0.2">
      <c r="B2392" s="55" t="str">
        <f t="shared" si="48"/>
        <v>2012-054-0</v>
      </c>
      <c r="C2392" s="56">
        <v>2012</v>
      </c>
      <c r="D2392" s="56" t="s">
        <v>83</v>
      </c>
      <c r="E2392" s="56">
        <v>0</v>
      </c>
      <c r="F2392" s="57" t="s">
        <v>392</v>
      </c>
      <c r="G2392" s="56"/>
      <c r="H2392" s="58"/>
      <c r="I2392" s="59"/>
    </row>
    <row r="2393" spans="2:9" s="1" customFormat="1" x14ac:dyDescent="0.2">
      <c r="B2393" s="44" t="str">
        <f t="shared" si="48"/>
        <v>2012-054-1</v>
      </c>
      <c r="C2393" s="45">
        <v>2012</v>
      </c>
      <c r="D2393" s="45" t="s">
        <v>83</v>
      </c>
      <c r="E2393" s="45">
        <v>1</v>
      </c>
      <c r="F2393" s="47" t="s">
        <v>791</v>
      </c>
      <c r="G2393" s="45"/>
      <c r="H2393" s="48"/>
      <c r="I2393" s="49"/>
    </row>
    <row r="2394" spans="2:9" s="1" customFormat="1" x14ac:dyDescent="0.2">
      <c r="B2394" s="44" t="str">
        <f t="shared" si="48"/>
        <v>2012-054-2</v>
      </c>
      <c r="C2394" s="45">
        <v>2012</v>
      </c>
      <c r="D2394" s="45" t="s">
        <v>83</v>
      </c>
      <c r="E2394" s="45">
        <v>2</v>
      </c>
      <c r="F2394" s="47" t="s">
        <v>1187</v>
      </c>
      <c r="G2394" s="45" t="s">
        <v>3210</v>
      </c>
      <c r="H2394" s="48"/>
      <c r="I2394" s="49"/>
    </row>
    <row r="2395" spans="2:9" s="1" customFormat="1" x14ac:dyDescent="0.2">
      <c r="B2395" s="44" t="str">
        <f t="shared" si="48"/>
        <v>2012-054-3</v>
      </c>
      <c r="C2395" s="45">
        <v>2012</v>
      </c>
      <c r="D2395" s="45" t="s">
        <v>83</v>
      </c>
      <c r="E2395" s="45">
        <v>3</v>
      </c>
      <c r="F2395" s="47" t="s">
        <v>1581</v>
      </c>
      <c r="G2395" s="45"/>
      <c r="H2395" s="48"/>
      <c r="I2395" s="49"/>
    </row>
    <row r="2396" spans="2:9" s="1" customFormat="1" x14ac:dyDescent="0.2">
      <c r="B2396" s="44" t="str">
        <f t="shared" si="48"/>
        <v>2012-054-4</v>
      </c>
      <c r="C2396" s="45">
        <v>2012</v>
      </c>
      <c r="D2396" s="45" t="s">
        <v>83</v>
      </c>
      <c r="E2396" s="45">
        <v>4</v>
      </c>
      <c r="F2396" s="47" t="s">
        <v>1978</v>
      </c>
      <c r="G2396" s="45"/>
      <c r="H2396" s="48"/>
      <c r="I2396" s="49"/>
    </row>
    <row r="2397" spans="2:9" s="1" customFormat="1" x14ac:dyDescent="0.2">
      <c r="B2397" s="50" t="str">
        <f t="shared" si="48"/>
        <v>2012-054-5</v>
      </c>
      <c r="C2397" s="51">
        <v>2012</v>
      </c>
      <c r="D2397" s="51" t="s">
        <v>83</v>
      </c>
      <c r="E2397" s="51">
        <v>5</v>
      </c>
      <c r="F2397" s="52" t="s">
        <v>2372</v>
      </c>
      <c r="G2397" s="51"/>
      <c r="H2397" s="53"/>
      <c r="I2397" s="54"/>
    </row>
    <row r="2398" spans="2:9" s="1" customFormat="1" ht="27" x14ac:dyDescent="0.2">
      <c r="B2398" s="55" t="str">
        <f t="shared" si="48"/>
        <v>2012-055-0</v>
      </c>
      <c r="C2398" s="56">
        <v>2012</v>
      </c>
      <c r="D2398" s="56" t="s">
        <v>84</v>
      </c>
      <c r="E2398" s="56">
        <v>0</v>
      </c>
      <c r="F2398" s="57" t="s">
        <v>393</v>
      </c>
      <c r="G2398" s="56"/>
      <c r="H2398" s="58"/>
      <c r="I2398" s="59"/>
    </row>
    <row r="2399" spans="2:9" s="1" customFormat="1" x14ac:dyDescent="0.2">
      <c r="B2399" s="44" t="str">
        <f t="shared" si="48"/>
        <v>2012-055-1</v>
      </c>
      <c r="C2399" s="45">
        <v>2012</v>
      </c>
      <c r="D2399" s="45" t="s">
        <v>84</v>
      </c>
      <c r="E2399" s="45">
        <v>1</v>
      </c>
      <c r="F2399" s="47" t="s">
        <v>792</v>
      </c>
      <c r="G2399" s="45"/>
      <c r="H2399" s="48"/>
      <c r="I2399" s="49"/>
    </row>
    <row r="2400" spans="2:9" s="1" customFormat="1" x14ac:dyDescent="0.2">
      <c r="B2400" s="44" t="str">
        <f t="shared" si="48"/>
        <v>2012-055-2</v>
      </c>
      <c r="C2400" s="45">
        <v>2012</v>
      </c>
      <c r="D2400" s="45" t="s">
        <v>84</v>
      </c>
      <c r="E2400" s="45">
        <v>2</v>
      </c>
      <c r="F2400" s="47" t="s">
        <v>1188</v>
      </c>
      <c r="G2400" s="45"/>
      <c r="H2400" s="48"/>
      <c r="I2400" s="49"/>
    </row>
    <row r="2401" spans="2:9" s="1" customFormat="1" x14ac:dyDescent="0.2">
      <c r="B2401" s="44" t="str">
        <f t="shared" si="48"/>
        <v>2012-055-3</v>
      </c>
      <c r="C2401" s="45">
        <v>2012</v>
      </c>
      <c r="D2401" s="45" t="s">
        <v>84</v>
      </c>
      <c r="E2401" s="45">
        <v>3</v>
      </c>
      <c r="F2401" s="47" t="s">
        <v>1582</v>
      </c>
      <c r="G2401" s="45"/>
      <c r="H2401" s="48"/>
      <c r="I2401" s="49"/>
    </row>
    <row r="2402" spans="2:9" s="1" customFormat="1" x14ac:dyDescent="0.2">
      <c r="B2402" s="44" t="str">
        <f t="shared" si="48"/>
        <v>2012-055-4</v>
      </c>
      <c r="C2402" s="45">
        <v>2012</v>
      </c>
      <c r="D2402" s="45" t="s">
        <v>84</v>
      </c>
      <c r="E2402" s="45">
        <v>4</v>
      </c>
      <c r="F2402" s="47" t="s">
        <v>1979</v>
      </c>
      <c r="G2402" s="45"/>
      <c r="H2402" s="48"/>
      <c r="I2402" s="49"/>
    </row>
    <row r="2403" spans="2:9" s="1" customFormat="1" x14ac:dyDescent="0.2">
      <c r="B2403" s="50" t="str">
        <f t="shared" si="48"/>
        <v>2012-055-5</v>
      </c>
      <c r="C2403" s="51">
        <v>2012</v>
      </c>
      <c r="D2403" s="51" t="s">
        <v>84</v>
      </c>
      <c r="E2403" s="51">
        <v>5</v>
      </c>
      <c r="F2403" s="52" t="s">
        <v>2373</v>
      </c>
      <c r="G2403" s="51" t="s">
        <v>3210</v>
      </c>
      <c r="H2403" s="53"/>
      <c r="I2403" s="54"/>
    </row>
    <row r="2404" spans="2:9" s="1" customFormat="1" x14ac:dyDescent="0.2">
      <c r="B2404" s="55" t="str">
        <f t="shared" si="48"/>
        <v>2012-056-0</v>
      </c>
      <c r="C2404" s="56">
        <v>2012</v>
      </c>
      <c r="D2404" s="56" t="s">
        <v>85</v>
      </c>
      <c r="E2404" s="56">
        <v>0</v>
      </c>
      <c r="F2404" s="57" t="s">
        <v>394</v>
      </c>
      <c r="G2404" s="56"/>
      <c r="H2404" s="58"/>
      <c r="I2404" s="59"/>
    </row>
    <row r="2405" spans="2:9" s="1" customFormat="1" x14ac:dyDescent="0.2">
      <c r="B2405" s="44" t="str">
        <f t="shared" si="48"/>
        <v>2012-056-1</v>
      </c>
      <c r="C2405" s="45">
        <v>2012</v>
      </c>
      <c r="D2405" s="45" t="s">
        <v>85</v>
      </c>
      <c r="E2405" s="45">
        <v>1</v>
      </c>
      <c r="F2405" s="47" t="s">
        <v>793</v>
      </c>
      <c r="G2405" s="45"/>
      <c r="H2405" s="48"/>
      <c r="I2405" s="49"/>
    </row>
    <row r="2406" spans="2:9" s="1" customFormat="1" x14ac:dyDescent="0.2">
      <c r="B2406" s="44" t="str">
        <f t="shared" si="48"/>
        <v>2012-056-2</v>
      </c>
      <c r="C2406" s="45">
        <v>2012</v>
      </c>
      <c r="D2406" s="45" t="s">
        <v>85</v>
      </c>
      <c r="E2406" s="45">
        <v>2</v>
      </c>
      <c r="F2406" s="47" t="s">
        <v>1189</v>
      </c>
      <c r="G2406" s="45"/>
      <c r="H2406" s="48"/>
      <c r="I2406" s="49"/>
    </row>
    <row r="2407" spans="2:9" s="1" customFormat="1" x14ac:dyDescent="0.2">
      <c r="B2407" s="44" t="str">
        <f t="shared" si="48"/>
        <v>2012-056-3</v>
      </c>
      <c r="C2407" s="45">
        <v>2012</v>
      </c>
      <c r="D2407" s="45" t="s">
        <v>85</v>
      </c>
      <c r="E2407" s="45">
        <v>3</v>
      </c>
      <c r="F2407" s="47" t="s">
        <v>1583</v>
      </c>
      <c r="G2407" s="45" t="s">
        <v>3210</v>
      </c>
      <c r="H2407" s="48"/>
      <c r="I2407" s="49"/>
    </row>
    <row r="2408" spans="2:9" s="1" customFormat="1" x14ac:dyDescent="0.2">
      <c r="B2408" s="44" t="str">
        <f t="shared" si="48"/>
        <v>2012-056-4</v>
      </c>
      <c r="C2408" s="45">
        <v>2012</v>
      </c>
      <c r="D2408" s="45" t="s">
        <v>85</v>
      </c>
      <c r="E2408" s="45">
        <v>4</v>
      </c>
      <c r="F2408" s="47" t="s">
        <v>1980</v>
      </c>
      <c r="G2408" s="45"/>
      <c r="H2408" s="48"/>
      <c r="I2408" s="49"/>
    </row>
    <row r="2409" spans="2:9" s="1" customFormat="1" ht="27" x14ac:dyDescent="0.2">
      <c r="B2409" s="50" t="str">
        <f t="shared" si="48"/>
        <v>2012-056-5</v>
      </c>
      <c r="C2409" s="51">
        <v>2012</v>
      </c>
      <c r="D2409" s="51" t="s">
        <v>85</v>
      </c>
      <c r="E2409" s="51">
        <v>5</v>
      </c>
      <c r="F2409" s="52" t="s">
        <v>2374</v>
      </c>
      <c r="G2409" s="51"/>
      <c r="H2409" s="53"/>
      <c r="I2409" s="54"/>
    </row>
    <row r="2410" spans="2:9" s="1" customFormat="1" x14ac:dyDescent="0.2">
      <c r="B2410" s="55" t="str">
        <f t="shared" si="48"/>
        <v>2012-057-0</v>
      </c>
      <c r="C2410" s="56">
        <v>2012</v>
      </c>
      <c r="D2410" s="56" t="s">
        <v>86</v>
      </c>
      <c r="E2410" s="56">
        <v>0</v>
      </c>
      <c r="F2410" s="57" t="s">
        <v>395</v>
      </c>
      <c r="G2410" s="56"/>
      <c r="H2410" s="58"/>
      <c r="I2410" s="59"/>
    </row>
    <row r="2411" spans="2:9" s="1" customFormat="1" x14ac:dyDescent="0.2">
      <c r="B2411" s="44" t="str">
        <f t="shared" si="48"/>
        <v>2012-057-1</v>
      </c>
      <c r="C2411" s="45">
        <v>2012</v>
      </c>
      <c r="D2411" s="45" t="s">
        <v>86</v>
      </c>
      <c r="E2411" s="45">
        <v>1</v>
      </c>
      <c r="F2411" s="47" t="s">
        <v>794</v>
      </c>
      <c r="G2411" s="45"/>
      <c r="H2411" s="48"/>
      <c r="I2411" s="49"/>
    </row>
    <row r="2412" spans="2:9" s="1" customFormat="1" x14ac:dyDescent="0.2">
      <c r="B2412" s="44" t="str">
        <f t="shared" si="48"/>
        <v>2012-057-2</v>
      </c>
      <c r="C2412" s="45">
        <v>2012</v>
      </c>
      <c r="D2412" s="45" t="s">
        <v>86</v>
      </c>
      <c r="E2412" s="45">
        <v>2</v>
      </c>
      <c r="F2412" s="47" t="s">
        <v>1190</v>
      </c>
      <c r="G2412" s="45" t="s">
        <v>3210</v>
      </c>
      <c r="H2412" s="48"/>
      <c r="I2412" s="49"/>
    </row>
    <row r="2413" spans="2:9" s="1" customFormat="1" x14ac:dyDescent="0.2">
      <c r="B2413" s="44" t="str">
        <f t="shared" si="48"/>
        <v>2012-057-3</v>
      </c>
      <c r="C2413" s="45">
        <v>2012</v>
      </c>
      <c r="D2413" s="45" t="s">
        <v>86</v>
      </c>
      <c r="E2413" s="45">
        <v>3</v>
      </c>
      <c r="F2413" s="47" t="s">
        <v>1584</v>
      </c>
      <c r="G2413" s="45"/>
      <c r="H2413" s="48"/>
      <c r="I2413" s="49"/>
    </row>
    <row r="2414" spans="2:9" s="1" customFormat="1" x14ac:dyDescent="0.2">
      <c r="B2414" s="44" t="str">
        <f t="shared" si="48"/>
        <v>2012-057-4</v>
      </c>
      <c r="C2414" s="45">
        <v>2012</v>
      </c>
      <c r="D2414" s="45" t="s">
        <v>86</v>
      </c>
      <c r="E2414" s="45">
        <v>4</v>
      </c>
      <c r="F2414" s="47" t="s">
        <v>1981</v>
      </c>
      <c r="G2414" s="45"/>
      <c r="H2414" s="48"/>
      <c r="I2414" s="49"/>
    </row>
    <row r="2415" spans="2:9" s="1" customFormat="1" x14ac:dyDescent="0.2">
      <c r="B2415" s="50" t="str">
        <f t="shared" si="48"/>
        <v>2012-057-5</v>
      </c>
      <c r="C2415" s="51">
        <v>2012</v>
      </c>
      <c r="D2415" s="51" t="s">
        <v>86</v>
      </c>
      <c r="E2415" s="51">
        <v>5</v>
      </c>
      <c r="F2415" s="52" t="s">
        <v>2375</v>
      </c>
      <c r="G2415" s="51"/>
      <c r="H2415" s="53"/>
      <c r="I2415" s="54"/>
    </row>
    <row r="2416" spans="2:9" s="1" customFormat="1" ht="40.5" x14ac:dyDescent="0.2">
      <c r="B2416" s="55" t="str">
        <f t="shared" si="48"/>
        <v>2012-058-0</v>
      </c>
      <c r="C2416" s="56">
        <v>2012</v>
      </c>
      <c r="D2416" s="56" t="s">
        <v>87</v>
      </c>
      <c r="E2416" s="56">
        <v>0</v>
      </c>
      <c r="F2416" s="57" t="s">
        <v>396</v>
      </c>
      <c r="G2416" s="56"/>
      <c r="H2416" s="58"/>
      <c r="I2416" s="59"/>
    </row>
    <row r="2417" spans="2:9" s="1" customFormat="1" x14ac:dyDescent="0.2">
      <c r="B2417" s="44" t="str">
        <f t="shared" si="48"/>
        <v>2012-058-1</v>
      </c>
      <c r="C2417" s="45">
        <v>2012</v>
      </c>
      <c r="D2417" s="45" t="s">
        <v>87</v>
      </c>
      <c r="E2417" s="45">
        <v>1</v>
      </c>
      <c r="F2417" s="47" t="s">
        <v>795</v>
      </c>
      <c r="G2417" s="45"/>
      <c r="H2417" s="48"/>
      <c r="I2417" s="49"/>
    </row>
    <row r="2418" spans="2:9" s="1" customFormat="1" x14ac:dyDescent="0.2">
      <c r="B2418" s="44" t="str">
        <f t="shared" si="48"/>
        <v>2012-058-2</v>
      </c>
      <c r="C2418" s="45">
        <v>2012</v>
      </c>
      <c r="D2418" s="45" t="s">
        <v>87</v>
      </c>
      <c r="E2418" s="45">
        <v>2</v>
      </c>
      <c r="F2418" s="47" t="s">
        <v>1191</v>
      </c>
      <c r="G2418" s="45"/>
      <c r="H2418" s="48"/>
      <c r="I2418" s="49"/>
    </row>
    <row r="2419" spans="2:9" s="1" customFormat="1" x14ac:dyDescent="0.2">
      <c r="B2419" s="44" t="str">
        <f t="shared" si="48"/>
        <v>2012-058-3</v>
      </c>
      <c r="C2419" s="45">
        <v>2012</v>
      </c>
      <c r="D2419" s="45" t="s">
        <v>87</v>
      </c>
      <c r="E2419" s="45">
        <v>3</v>
      </c>
      <c r="F2419" s="47" t="s">
        <v>1585</v>
      </c>
      <c r="G2419" s="45" t="s">
        <v>3210</v>
      </c>
      <c r="H2419" s="48"/>
      <c r="I2419" s="49"/>
    </row>
    <row r="2420" spans="2:9" s="1" customFormat="1" x14ac:dyDescent="0.2">
      <c r="B2420" s="44" t="str">
        <f t="shared" si="48"/>
        <v>2012-058-4</v>
      </c>
      <c r="C2420" s="45">
        <v>2012</v>
      </c>
      <c r="D2420" s="45" t="s">
        <v>87</v>
      </c>
      <c r="E2420" s="45">
        <v>4</v>
      </c>
      <c r="F2420" s="47" t="s">
        <v>1982</v>
      </c>
      <c r="G2420" s="45"/>
      <c r="H2420" s="48"/>
      <c r="I2420" s="49"/>
    </row>
    <row r="2421" spans="2:9" s="1" customFormat="1" x14ac:dyDescent="0.2">
      <c r="B2421" s="50" t="str">
        <f t="shared" si="48"/>
        <v>2012-058-5</v>
      </c>
      <c r="C2421" s="51">
        <v>2012</v>
      </c>
      <c r="D2421" s="51" t="s">
        <v>87</v>
      </c>
      <c r="E2421" s="51">
        <v>5</v>
      </c>
      <c r="F2421" s="52" t="s">
        <v>2376</v>
      </c>
      <c r="G2421" s="51"/>
      <c r="H2421" s="53"/>
      <c r="I2421" s="54"/>
    </row>
    <row r="2422" spans="2:9" s="1" customFormat="1" ht="27" x14ac:dyDescent="0.2">
      <c r="B2422" s="55" t="str">
        <f t="shared" si="48"/>
        <v>2012-059-0</v>
      </c>
      <c r="C2422" s="56">
        <v>2012</v>
      </c>
      <c r="D2422" s="56" t="s">
        <v>88</v>
      </c>
      <c r="E2422" s="56">
        <v>0</v>
      </c>
      <c r="F2422" s="57" t="s">
        <v>397</v>
      </c>
      <c r="G2422" s="56"/>
      <c r="H2422" s="58"/>
      <c r="I2422" s="59"/>
    </row>
    <row r="2423" spans="2:9" s="1" customFormat="1" x14ac:dyDescent="0.2">
      <c r="B2423" s="44" t="str">
        <f t="shared" si="48"/>
        <v>2012-059-1</v>
      </c>
      <c r="C2423" s="45">
        <v>2012</v>
      </c>
      <c r="D2423" s="45" t="s">
        <v>88</v>
      </c>
      <c r="E2423" s="45">
        <v>1</v>
      </c>
      <c r="F2423" s="47" t="s">
        <v>796</v>
      </c>
      <c r="G2423" s="45"/>
      <c r="H2423" s="48"/>
      <c r="I2423" s="49"/>
    </row>
    <row r="2424" spans="2:9" s="1" customFormat="1" x14ac:dyDescent="0.2">
      <c r="B2424" s="44" t="str">
        <f t="shared" si="48"/>
        <v>2012-059-2</v>
      </c>
      <c r="C2424" s="45">
        <v>2012</v>
      </c>
      <c r="D2424" s="45" t="s">
        <v>88</v>
      </c>
      <c r="E2424" s="45">
        <v>2</v>
      </c>
      <c r="F2424" s="47" t="s">
        <v>1192</v>
      </c>
      <c r="G2424" s="45"/>
      <c r="H2424" s="48"/>
      <c r="I2424" s="49"/>
    </row>
    <row r="2425" spans="2:9" s="1" customFormat="1" x14ac:dyDescent="0.2">
      <c r="B2425" s="44" t="str">
        <f t="shared" si="48"/>
        <v>2012-059-3</v>
      </c>
      <c r="C2425" s="45">
        <v>2012</v>
      </c>
      <c r="D2425" s="45" t="s">
        <v>88</v>
      </c>
      <c r="E2425" s="45">
        <v>3</v>
      </c>
      <c r="F2425" s="47" t="s">
        <v>1586</v>
      </c>
      <c r="G2425" s="45" t="s">
        <v>3210</v>
      </c>
      <c r="H2425" s="48"/>
      <c r="I2425" s="49"/>
    </row>
    <row r="2426" spans="2:9" s="1" customFormat="1" x14ac:dyDescent="0.2">
      <c r="B2426" s="44" t="str">
        <f t="shared" si="48"/>
        <v>2012-059-4</v>
      </c>
      <c r="C2426" s="45">
        <v>2012</v>
      </c>
      <c r="D2426" s="45" t="s">
        <v>88</v>
      </c>
      <c r="E2426" s="45">
        <v>4</v>
      </c>
      <c r="F2426" s="47" t="s">
        <v>1983</v>
      </c>
      <c r="G2426" s="45"/>
      <c r="H2426" s="48"/>
      <c r="I2426" s="49"/>
    </row>
    <row r="2427" spans="2:9" s="1" customFormat="1" x14ac:dyDescent="0.2">
      <c r="B2427" s="50" t="str">
        <f t="shared" si="48"/>
        <v>2012-059-5</v>
      </c>
      <c r="C2427" s="51">
        <v>2012</v>
      </c>
      <c r="D2427" s="51" t="s">
        <v>88</v>
      </c>
      <c r="E2427" s="51">
        <v>5</v>
      </c>
      <c r="F2427" s="52" t="s">
        <v>2377</v>
      </c>
      <c r="G2427" s="51"/>
      <c r="H2427" s="53"/>
      <c r="I2427" s="54"/>
    </row>
    <row r="2428" spans="2:9" s="1" customFormat="1" x14ac:dyDescent="0.2">
      <c r="B2428" s="55" t="str">
        <f t="shared" si="48"/>
        <v>2012-060-0</v>
      </c>
      <c r="C2428" s="56">
        <v>2012</v>
      </c>
      <c r="D2428" s="56" t="s">
        <v>89</v>
      </c>
      <c r="E2428" s="56">
        <v>0</v>
      </c>
      <c r="F2428" s="57" t="s">
        <v>398</v>
      </c>
      <c r="G2428" s="56"/>
      <c r="H2428" s="58"/>
      <c r="I2428" s="59"/>
    </row>
    <row r="2429" spans="2:9" s="1" customFormat="1" x14ac:dyDescent="0.2">
      <c r="B2429" s="44" t="str">
        <f t="shared" si="48"/>
        <v>2012-060-1</v>
      </c>
      <c r="C2429" s="45">
        <v>2012</v>
      </c>
      <c r="D2429" s="45" t="s">
        <v>89</v>
      </c>
      <c r="E2429" s="45">
        <v>1</v>
      </c>
      <c r="F2429" s="47" t="s">
        <v>797</v>
      </c>
      <c r="G2429" s="45"/>
      <c r="H2429" s="48"/>
      <c r="I2429" s="49"/>
    </row>
    <row r="2430" spans="2:9" s="1" customFormat="1" x14ac:dyDescent="0.2">
      <c r="B2430" s="44" t="str">
        <f t="shared" si="48"/>
        <v>2012-060-2</v>
      </c>
      <c r="C2430" s="45">
        <v>2012</v>
      </c>
      <c r="D2430" s="45" t="s">
        <v>89</v>
      </c>
      <c r="E2430" s="45">
        <v>2</v>
      </c>
      <c r="F2430" s="47" t="s">
        <v>1193</v>
      </c>
      <c r="G2430" s="45"/>
      <c r="H2430" s="48"/>
      <c r="I2430" s="49"/>
    </row>
    <row r="2431" spans="2:9" s="1" customFormat="1" x14ac:dyDescent="0.2">
      <c r="B2431" s="44" t="str">
        <f t="shared" si="48"/>
        <v>2012-060-3</v>
      </c>
      <c r="C2431" s="45">
        <v>2012</v>
      </c>
      <c r="D2431" s="45" t="s">
        <v>89</v>
      </c>
      <c r="E2431" s="45">
        <v>3</v>
      </c>
      <c r="F2431" s="47" t="s">
        <v>1587</v>
      </c>
      <c r="G2431" s="45" t="s">
        <v>3210</v>
      </c>
      <c r="H2431" s="48"/>
      <c r="I2431" s="49"/>
    </row>
    <row r="2432" spans="2:9" s="1" customFormat="1" x14ac:dyDescent="0.2">
      <c r="B2432" s="44" t="str">
        <f t="shared" si="48"/>
        <v>2012-060-4</v>
      </c>
      <c r="C2432" s="45">
        <v>2012</v>
      </c>
      <c r="D2432" s="45" t="s">
        <v>89</v>
      </c>
      <c r="E2432" s="45">
        <v>4</v>
      </c>
      <c r="F2432" s="47" t="s">
        <v>1984</v>
      </c>
      <c r="G2432" s="45"/>
      <c r="H2432" s="48"/>
      <c r="I2432" s="49"/>
    </row>
    <row r="2433" spans="2:9" s="1" customFormat="1" ht="27" x14ac:dyDescent="0.2">
      <c r="B2433" s="50" t="str">
        <f t="shared" si="48"/>
        <v>2012-060-5</v>
      </c>
      <c r="C2433" s="51">
        <v>2012</v>
      </c>
      <c r="D2433" s="51" t="s">
        <v>89</v>
      </c>
      <c r="E2433" s="51">
        <v>5</v>
      </c>
      <c r="F2433" s="52" t="s">
        <v>2378</v>
      </c>
      <c r="G2433" s="51"/>
      <c r="H2433" s="53"/>
      <c r="I2433" s="54"/>
    </row>
    <row r="2434" spans="2:9" s="1" customFormat="1" x14ac:dyDescent="0.2">
      <c r="B2434" s="55" t="str">
        <f t="shared" si="48"/>
        <v>2012-061-0</v>
      </c>
      <c r="C2434" s="56">
        <v>2012</v>
      </c>
      <c r="D2434" s="56" t="s">
        <v>90</v>
      </c>
      <c r="E2434" s="56">
        <v>0</v>
      </c>
      <c r="F2434" s="57" t="s">
        <v>399</v>
      </c>
      <c r="G2434" s="56"/>
      <c r="H2434" s="58"/>
      <c r="I2434" s="59"/>
    </row>
    <row r="2435" spans="2:9" s="1" customFormat="1" x14ac:dyDescent="0.2">
      <c r="B2435" s="44" t="str">
        <f t="shared" si="48"/>
        <v>2012-061-1</v>
      </c>
      <c r="C2435" s="45">
        <v>2012</v>
      </c>
      <c r="D2435" s="45" t="s">
        <v>90</v>
      </c>
      <c r="E2435" s="45">
        <v>1</v>
      </c>
      <c r="F2435" s="47" t="s">
        <v>798</v>
      </c>
      <c r="G2435" s="45"/>
      <c r="H2435" s="48"/>
      <c r="I2435" s="49"/>
    </row>
    <row r="2436" spans="2:9" s="1" customFormat="1" x14ac:dyDescent="0.2">
      <c r="B2436" s="44" t="str">
        <f t="shared" si="48"/>
        <v>2012-061-2</v>
      </c>
      <c r="C2436" s="45">
        <v>2012</v>
      </c>
      <c r="D2436" s="45" t="s">
        <v>90</v>
      </c>
      <c r="E2436" s="45">
        <v>2</v>
      </c>
      <c r="F2436" s="47" t="s">
        <v>1194</v>
      </c>
      <c r="G2436" s="45"/>
      <c r="H2436" s="48"/>
      <c r="I2436" s="49"/>
    </row>
    <row r="2437" spans="2:9" s="1" customFormat="1" x14ac:dyDescent="0.2">
      <c r="B2437" s="44" t="str">
        <f t="shared" si="48"/>
        <v>2012-061-3</v>
      </c>
      <c r="C2437" s="45">
        <v>2012</v>
      </c>
      <c r="D2437" s="45" t="s">
        <v>90</v>
      </c>
      <c r="E2437" s="45">
        <v>3</v>
      </c>
      <c r="F2437" s="47" t="s">
        <v>1588</v>
      </c>
      <c r="G2437" s="45"/>
      <c r="H2437" s="48"/>
      <c r="I2437" s="49"/>
    </row>
    <row r="2438" spans="2:9" s="1" customFormat="1" x14ac:dyDescent="0.2">
      <c r="B2438" s="44" t="str">
        <f t="shared" si="48"/>
        <v>2012-061-4</v>
      </c>
      <c r="C2438" s="45">
        <v>2012</v>
      </c>
      <c r="D2438" s="45" t="s">
        <v>90</v>
      </c>
      <c r="E2438" s="45">
        <v>4</v>
      </c>
      <c r="F2438" s="47" t="s">
        <v>1985</v>
      </c>
      <c r="G2438" s="45" t="s">
        <v>3210</v>
      </c>
      <c r="H2438" s="48"/>
      <c r="I2438" s="49"/>
    </row>
    <row r="2439" spans="2:9" s="1" customFormat="1" x14ac:dyDescent="0.2">
      <c r="B2439" s="50" t="str">
        <f t="shared" ref="B2439:B2502" si="49">C2439&amp;"-"&amp;D2439&amp;"-"&amp;E2439</f>
        <v>2012-061-5</v>
      </c>
      <c r="C2439" s="51">
        <v>2012</v>
      </c>
      <c r="D2439" s="51" t="s">
        <v>90</v>
      </c>
      <c r="E2439" s="51">
        <v>5</v>
      </c>
      <c r="F2439" s="52" t="s">
        <v>2379</v>
      </c>
      <c r="G2439" s="51"/>
      <c r="H2439" s="53"/>
      <c r="I2439" s="54"/>
    </row>
    <row r="2440" spans="2:9" s="1" customFormat="1" x14ac:dyDescent="0.2">
      <c r="B2440" s="55" t="str">
        <f t="shared" si="49"/>
        <v>2012-062-0</v>
      </c>
      <c r="C2440" s="56">
        <v>2012</v>
      </c>
      <c r="D2440" s="56" t="s">
        <v>91</v>
      </c>
      <c r="E2440" s="56">
        <v>0</v>
      </c>
      <c r="F2440" s="57" t="s">
        <v>400</v>
      </c>
      <c r="G2440" s="56"/>
      <c r="H2440" s="58"/>
      <c r="I2440" s="59"/>
    </row>
    <row r="2441" spans="2:9" s="1" customFormat="1" x14ac:dyDescent="0.2">
      <c r="B2441" s="44" t="str">
        <f t="shared" si="49"/>
        <v>2012-062-1</v>
      </c>
      <c r="C2441" s="45">
        <v>2012</v>
      </c>
      <c r="D2441" s="45" t="s">
        <v>91</v>
      </c>
      <c r="E2441" s="45">
        <v>1</v>
      </c>
      <c r="F2441" s="47" t="s">
        <v>799</v>
      </c>
      <c r="G2441" s="45"/>
      <c r="H2441" s="48"/>
      <c r="I2441" s="49"/>
    </row>
    <row r="2442" spans="2:9" s="1" customFormat="1" x14ac:dyDescent="0.2">
      <c r="B2442" s="44" t="str">
        <f t="shared" si="49"/>
        <v>2012-062-2</v>
      </c>
      <c r="C2442" s="45">
        <v>2012</v>
      </c>
      <c r="D2442" s="45" t="s">
        <v>91</v>
      </c>
      <c r="E2442" s="45">
        <v>2</v>
      </c>
      <c r="F2442" s="47" t="s">
        <v>1195</v>
      </c>
      <c r="G2442" s="45"/>
      <c r="H2442" s="48"/>
      <c r="I2442" s="49"/>
    </row>
    <row r="2443" spans="2:9" s="1" customFormat="1" x14ac:dyDescent="0.2">
      <c r="B2443" s="44" t="str">
        <f t="shared" si="49"/>
        <v>2012-062-3</v>
      </c>
      <c r="C2443" s="45">
        <v>2012</v>
      </c>
      <c r="D2443" s="45" t="s">
        <v>91</v>
      </c>
      <c r="E2443" s="45">
        <v>3</v>
      </c>
      <c r="F2443" s="47" t="s">
        <v>1589</v>
      </c>
      <c r="G2443" s="45"/>
      <c r="H2443" s="48"/>
      <c r="I2443" s="49"/>
    </row>
    <row r="2444" spans="2:9" s="1" customFormat="1" x14ac:dyDescent="0.2">
      <c r="B2444" s="44" t="str">
        <f t="shared" si="49"/>
        <v>2012-062-4</v>
      </c>
      <c r="C2444" s="45">
        <v>2012</v>
      </c>
      <c r="D2444" s="45" t="s">
        <v>91</v>
      </c>
      <c r="E2444" s="45">
        <v>4</v>
      </c>
      <c r="F2444" s="47" t="s">
        <v>1986</v>
      </c>
      <c r="G2444" s="45"/>
      <c r="H2444" s="48"/>
      <c r="I2444" s="49"/>
    </row>
    <row r="2445" spans="2:9" s="1" customFormat="1" x14ac:dyDescent="0.2">
      <c r="B2445" s="50" t="str">
        <f t="shared" si="49"/>
        <v>2012-062-5</v>
      </c>
      <c r="C2445" s="51">
        <v>2012</v>
      </c>
      <c r="D2445" s="51" t="s">
        <v>91</v>
      </c>
      <c r="E2445" s="51">
        <v>5</v>
      </c>
      <c r="F2445" s="52" t="s">
        <v>2380</v>
      </c>
      <c r="G2445" s="51" t="s">
        <v>3210</v>
      </c>
      <c r="H2445" s="53"/>
      <c r="I2445" s="54"/>
    </row>
    <row r="2446" spans="2:9" s="1" customFormat="1" x14ac:dyDescent="0.2">
      <c r="B2446" s="55" t="str">
        <f t="shared" si="49"/>
        <v>2012-063-0</v>
      </c>
      <c r="C2446" s="56">
        <v>2012</v>
      </c>
      <c r="D2446" s="56" t="s">
        <v>92</v>
      </c>
      <c r="E2446" s="56">
        <v>0</v>
      </c>
      <c r="F2446" s="57" t="s">
        <v>401</v>
      </c>
      <c r="G2446" s="56"/>
      <c r="H2446" s="58"/>
      <c r="I2446" s="59"/>
    </row>
    <row r="2447" spans="2:9" s="1" customFormat="1" x14ac:dyDescent="0.2">
      <c r="B2447" s="44" t="str">
        <f t="shared" si="49"/>
        <v>2012-063-1</v>
      </c>
      <c r="C2447" s="45">
        <v>2012</v>
      </c>
      <c r="D2447" s="45" t="s">
        <v>92</v>
      </c>
      <c r="E2447" s="45">
        <v>1</v>
      </c>
      <c r="F2447" s="47" t="s">
        <v>800</v>
      </c>
      <c r="G2447" s="45"/>
      <c r="H2447" s="48"/>
      <c r="I2447" s="49"/>
    </row>
    <row r="2448" spans="2:9" s="1" customFormat="1" x14ac:dyDescent="0.2">
      <c r="B2448" s="44" t="str">
        <f t="shared" si="49"/>
        <v>2012-063-2</v>
      </c>
      <c r="C2448" s="45">
        <v>2012</v>
      </c>
      <c r="D2448" s="45" t="s">
        <v>92</v>
      </c>
      <c r="E2448" s="45">
        <v>2</v>
      </c>
      <c r="F2448" s="47" t="s">
        <v>1196</v>
      </c>
      <c r="G2448" s="45"/>
      <c r="H2448" s="48"/>
      <c r="I2448" s="49"/>
    </row>
    <row r="2449" spans="2:9" s="1" customFormat="1" x14ac:dyDescent="0.2">
      <c r="B2449" s="44" t="str">
        <f t="shared" si="49"/>
        <v>2012-063-3</v>
      </c>
      <c r="C2449" s="45">
        <v>2012</v>
      </c>
      <c r="D2449" s="45" t="s">
        <v>92</v>
      </c>
      <c r="E2449" s="45">
        <v>3</v>
      </c>
      <c r="F2449" s="47" t="s">
        <v>1590</v>
      </c>
      <c r="G2449" s="45" t="s">
        <v>3210</v>
      </c>
      <c r="H2449" s="48"/>
      <c r="I2449" s="49"/>
    </row>
    <row r="2450" spans="2:9" s="1" customFormat="1" x14ac:dyDescent="0.2">
      <c r="B2450" s="44" t="str">
        <f t="shared" si="49"/>
        <v>2012-063-4</v>
      </c>
      <c r="C2450" s="45">
        <v>2012</v>
      </c>
      <c r="D2450" s="45" t="s">
        <v>92</v>
      </c>
      <c r="E2450" s="45">
        <v>4</v>
      </c>
      <c r="F2450" s="47" t="s">
        <v>1643</v>
      </c>
      <c r="G2450" s="45"/>
      <c r="H2450" s="48"/>
      <c r="I2450" s="49"/>
    </row>
    <row r="2451" spans="2:9" s="1" customFormat="1" x14ac:dyDescent="0.2">
      <c r="B2451" s="50" t="str">
        <f t="shared" si="49"/>
        <v>2012-063-5</v>
      </c>
      <c r="C2451" s="51">
        <v>2012</v>
      </c>
      <c r="D2451" s="51" t="s">
        <v>92</v>
      </c>
      <c r="E2451" s="51">
        <v>5</v>
      </c>
      <c r="F2451" s="52" t="s">
        <v>2381</v>
      </c>
      <c r="G2451" s="51"/>
      <c r="H2451" s="53"/>
      <c r="I2451" s="54"/>
    </row>
    <row r="2452" spans="2:9" s="1" customFormat="1" ht="27" x14ac:dyDescent="0.2">
      <c r="B2452" s="55" t="str">
        <f t="shared" si="49"/>
        <v>2012-064-0</v>
      </c>
      <c r="C2452" s="56">
        <v>2012</v>
      </c>
      <c r="D2452" s="56" t="s">
        <v>93</v>
      </c>
      <c r="E2452" s="56">
        <v>0</v>
      </c>
      <c r="F2452" s="57" t="s">
        <v>402</v>
      </c>
      <c r="G2452" s="56"/>
      <c r="H2452" s="58"/>
      <c r="I2452" s="59"/>
    </row>
    <row r="2453" spans="2:9" s="1" customFormat="1" x14ac:dyDescent="0.2">
      <c r="B2453" s="44" t="str">
        <f t="shared" si="49"/>
        <v>2012-064-1</v>
      </c>
      <c r="C2453" s="45">
        <v>2012</v>
      </c>
      <c r="D2453" s="45" t="s">
        <v>93</v>
      </c>
      <c r="E2453" s="45">
        <v>1</v>
      </c>
      <c r="F2453" s="47" t="s">
        <v>801</v>
      </c>
      <c r="G2453" s="45"/>
      <c r="H2453" s="48"/>
      <c r="I2453" s="49"/>
    </row>
    <row r="2454" spans="2:9" s="1" customFormat="1" x14ac:dyDescent="0.2">
      <c r="B2454" s="44" t="str">
        <f t="shared" si="49"/>
        <v>2012-064-2</v>
      </c>
      <c r="C2454" s="45">
        <v>2012</v>
      </c>
      <c r="D2454" s="45" t="s">
        <v>93</v>
      </c>
      <c r="E2454" s="45">
        <v>2</v>
      </c>
      <c r="F2454" s="47" t="s">
        <v>1197</v>
      </c>
      <c r="G2454" s="45"/>
      <c r="H2454" s="48"/>
      <c r="I2454" s="49"/>
    </row>
    <row r="2455" spans="2:9" s="1" customFormat="1" x14ac:dyDescent="0.2">
      <c r="B2455" s="44" t="str">
        <f t="shared" si="49"/>
        <v>2012-064-3</v>
      </c>
      <c r="C2455" s="45">
        <v>2012</v>
      </c>
      <c r="D2455" s="45" t="s">
        <v>93</v>
      </c>
      <c r="E2455" s="45">
        <v>3</v>
      </c>
      <c r="F2455" s="47" t="s">
        <v>1591</v>
      </c>
      <c r="G2455" s="45" t="s">
        <v>3210</v>
      </c>
      <c r="H2455" s="48"/>
      <c r="I2455" s="49"/>
    </row>
    <row r="2456" spans="2:9" s="1" customFormat="1" x14ac:dyDescent="0.2">
      <c r="B2456" s="44" t="str">
        <f t="shared" si="49"/>
        <v>2012-064-4</v>
      </c>
      <c r="C2456" s="45">
        <v>2012</v>
      </c>
      <c r="D2456" s="45" t="s">
        <v>93</v>
      </c>
      <c r="E2456" s="45">
        <v>4</v>
      </c>
      <c r="F2456" s="47" t="s">
        <v>1987</v>
      </c>
      <c r="G2456" s="45"/>
      <c r="H2456" s="48"/>
      <c r="I2456" s="49"/>
    </row>
    <row r="2457" spans="2:9" s="1" customFormat="1" ht="27" x14ac:dyDescent="0.2">
      <c r="B2457" s="50" t="str">
        <f t="shared" si="49"/>
        <v>2012-064-5</v>
      </c>
      <c r="C2457" s="51">
        <v>2012</v>
      </c>
      <c r="D2457" s="51" t="s">
        <v>93</v>
      </c>
      <c r="E2457" s="51">
        <v>5</v>
      </c>
      <c r="F2457" s="52" t="s">
        <v>2382</v>
      </c>
      <c r="G2457" s="51"/>
      <c r="H2457" s="53"/>
      <c r="I2457" s="54"/>
    </row>
    <row r="2458" spans="2:9" s="1" customFormat="1" x14ac:dyDescent="0.2">
      <c r="B2458" s="55" t="str">
        <f t="shared" si="49"/>
        <v>2012-065-0</v>
      </c>
      <c r="C2458" s="56">
        <v>2012</v>
      </c>
      <c r="D2458" s="56" t="s">
        <v>94</v>
      </c>
      <c r="E2458" s="56">
        <v>0</v>
      </c>
      <c r="F2458" s="57" t="s">
        <v>403</v>
      </c>
      <c r="G2458" s="56"/>
      <c r="H2458" s="58"/>
      <c r="I2458" s="59"/>
    </row>
    <row r="2459" spans="2:9" s="1" customFormat="1" x14ac:dyDescent="0.2">
      <c r="B2459" s="44" t="str">
        <f t="shared" si="49"/>
        <v>2012-065-1</v>
      </c>
      <c r="C2459" s="45">
        <v>2012</v>
      </c>
      <c r="D2459" s="45" t="s">
        <v>94</v>
      </c>
      <c r="E2459" s="45">
        <v>1</v>
      </c>
      <c r="F2459" s="47" t="s">
        <v>802</v>
      </c>
      <c r="G2459" s="45"/>
      <c r="H2459" s="48"/>
      <c r="I2459" s="49"/>
    </row>
    <row r="2460" spans="2:9" s="1" customFormat="1" x14ac:dyDescent="0.2">
      <c r="B2460" s="44" t="str">
        <f t="shared" si="49"/>
        <v>2012-065-2</v>
      </c>
      <c r="C2460" s="45">
        <v>2012</v>
      </c>
      <c r="D2460" s="45" t="s">
        <v>94</v>
      </c>
      <c r="E2460" s="45">
        <v>2</v>
      </c>
      <c r="F2460" s="47" t="s">
        <v>1198</v>
      </c>
      <c r="G2460" s="45"/>
      <c r="H2460" s="48"/>
      <c r="I2460" s="49"/>
    </row>
    <row r="2461" spans="2:9" s="1" customFormat="1" x14ac:dyDescent="0.2">
      <c r="B2461" s="44" t="str">
        <f t="shared" si="49"/>
        <v>2012-065-3</v>
      </c>
      <c r="C2461" s="45">
        <v>2012</v>
      </c>
      <c r="D2461" s="45" t="s">
        <v>94</v>
      </c>
      <c r="E2461" s="45">
        <v>3</v>
      </c>
      <c r="F2461" s="47" t="s">
        <v>1592</v>
      </c>
      <c r="G2461" s="45"/>
      <c r="H2461" s="48"/>
      <c r="I2461" s="49"/>
    </row>
    <row r="2462" spans="2:9" s="1" customFormat="1" x14ac:dyDescent="0.2">
      <c r="B2462" s="44" t="str">
        <f t="shared" si="49"/>
        <v>2012-065-4</v>
      </c>
      <c r="C2462" s="45">
        <v>2012</v>
      </c>
      <c r="D2462" s="45" t="s">
        <v>94</v>
      </c>
      <c r="E2462" s="45">
        <v>4</v>
      </c>
      <c r="F2462" s="47" t="s">
        <v>1988</v>
      </c>
      <c r="G2462" s="45"/>
      <c r="H2462" s="48"/>
      <c r="I2462" s="49"/>
    </row>
    <row r="2463" spans="2:9" s="1" customFormat="1" x14ac:dyDescent="0.2">
      <c r="B2463" s="50" t="str">
        <f t="shared" si="49"/>
        <v>2012-065-5</v>
      </c>
      <c r="C2463" s="51">
        <v>2012</v>
      </c>
      <c r="D2463" s="51" t="s">
        <v>94</v>
      </c>
      <c r="E2463" s="51">
        <v>5</v>
      </c>
      <c r="F2463" s="52" t="s">
        <v>2383</v>
      </c>
      <c r="G2463" s="51" t="s">
        <v>3210</v>
      </c>
      <c r="H2463" s="53"/>
      <c r="I2463" s="54"/>
    </row>
    <row r="2464" spans="2:9" s="1" customFormat="1" x14ac:dyDescent="0.2">
      <c r="B2464" s="55" t="str">
        <f t="shared" si="49"/>
        <v>2012-066-0</v>
      </c>
      <c r="C2464" s="56">
        <v>2012</v>
      </c>
      <c r="D2464" s="56" t="s">
        <v>95</v>
      </c>
      <c r="E2464" s="56">
        <v>0</v>
      </c>
      <c r="F2464" s="57" t="s">
        <v>404</v>
      </c>
      <c r="G2464" s="56"/>
      <c r="H2464" s="58"/>
      <c r="I2464" s="59"/>
    </row>
    <row r="2465" spans="2:9" s="1" customFormat="1" x14ac:dyDescent="0.2">
      <c r="B2465" s="44" t="str">
        <f t="shared" si="49"/>
        <v>2012-066-1</v>
      </c>
      <c r="C2465" s="45">
        <v>2012</v>
      </c>
      <c r="D2465" s="45" t="s">
        <v>95</v>
      </c>
      <c r="E2465" s="45">
        <v>1</v>
      </c>
      <c r="F2465" s="47" t="s">
        <v>803</v>
      </c>
      <c r="G2465" s="45"/>
      <c r="H2465" s="48"/>
      <c r="I2465" s="49"/>
    </row>
    <row r="2466" spans="2:9" s="1" customFormat="1" x14ac:dyDescent="0.2">
      <c r="B2466" s="44" t="str">
        <f t="shared" si="49"/>
        <v>2012-066-2</v>
      </c>
      <c r="C2466" s="45">
        <v>2012</v>
      </c>
      <c r="D2466" s="45" t="s">
        <v>95</v>
      </c>
      <c r="E2466" s="45">
        <v>2</v>
      </c>
      <c r="F2466" s="47" t="s">
        <v>1199</v>
      </c>
      <c r="G2466" s="45"/>
      <c r="H2466" s="48"/>
      <c r="I2466" s="49"/>
    </row>
    <row r="2467" spans="2:9" s="1" customFormat="1" x14ac:dyDescent="0.2">
      <c r="B2467" s="44" t="str">
        <f t="shared" si="49"/>
        <v>2012-066-3</v>
      </c>
      <c r="C2467" s="45">
        <v>2012</v>
      </c>
      <c r="D2467" s="45" t="s">
        <v>95</v>
      </c>
      <c r="E2467" s="45">
        <v>3</v>
      </c>
      <c r="F2467" s="47" t="s">
        <v>1593</v>
      </c>
      <c r="G2467" s="45"/>
      <c r="H2467" s="48"/>
      <c r="I2467" s="49"/>
    </row>
    <row r="2468" spans="2:9" s="1" customFormat="1" x14ac:dyDescent="0.2">
      <c r="B2468" s="44" t="str">
        <f t="shared" si="49"/>
        <v>2012-066-4</v>
      </c>
      <c r="C2468" s="45">
        <v>2012</v>
      </c>
      <c r="D2468" s="45" t="s">
        <v>95</v>
      </c>
      <c r="E2468" s="45">
        <v>4</v>
      </c>
      <c r="F2468" s="47" t="s">
        <v>1989</v>
      </c>
      <c r="G2468" s="45" t="s">
        <v>3210</v>
      </c>
      <c r="H2468" s="48"/>
      <c r="I2468" s="49"/>
    </row>
    <row r="2469" spans="2:9" s="1" customFormat="1" x14ac:dyDescent="0.2">
      <c r="B2469" s="50" t="str">
        <f t="shared" si="49"/>
        <v>2012-066-5</v>
      </c>
      <c r="C2469" s="51">
        <v>2012</v>
      </c>
      <c r="D2469" s="51" t="s">
        <v>95</v>
      </c>
      <c r="E2469" s="51">
        <v>5</v>
      </c>
      <c r="F2469" s="52" t="s">
        <v>2384</v>
      </c>
      <c r="G2469" s="51"/>
      <c r="H2469" s="53"/>
      <c r="I2469" s="54"/>
    </row>
    <row r="2470" spans="2:9" s="1" customFormat="1" x14ac:dyDescent="0.2">
      <c r="B2470" s="55" t="str">
        <f t="shared" si="49"/>
        <v>2012-067-0</v>
      </c>
      <c r="C2470" s="56">
        <v>2012</v>
      </c>
      <c r="D2470" s="56" t="s">
        <v>96</v>
      </c>
      <c r="E2470" s="56">
        <v>0</v>
      </c>
      <c r="F2470" s="57" t="s">
        <v>405</v>
      </c>
      <c r="G2470" s="56"/>
      <c r="H2470" s="58"/>
      <c r="I2470" s="59"/>
    </row>
    <row r="2471" spans="2:9" s="1" customFormat="1" x14ac:dyDescent="0.2">
      <c r="B2471" s="44" t="str">
        <f t="shared" si="49"/>
        <v>2012-067-1</v>
      </c>
      <c r="C2471" s="45">
        <v>2012</v>
      </c>
      <c r="D2471" s="45" t="s">
        <v>96</v>
      </c>
      <c r="E2471" s="45">
        <v>1</v>
      </c>
      <c r="F2471" s="47" t="s">
        <v>804</v>
      </c>
      <c r="G2471" s="45" t="s">
        <v>3210</v>
      </c>
      <c r="H2471" s="48"/>
      <c r="I2471" s="49"/>
    </row>
    <row r="2472" spans="2:9" s="1" customFormat="1" x14ac:dyDescent="0.2">
      <c r="B2472" s="44" t="str">
        <f t="shared" si="49"/>
        <v>2012-067-2</v>
      </c>
      <c r="C2472" s="45">
        <v>2012</v>
      </c>
      <c r="D2472" s="45" t="s">
        <v>96</v>
      </c>
      <c r="E2472" s="45">
        <v>2</v>
      </c>
      <c r="F2472" s="47" t="s">
        <v>1200</v>
      </c>
      <c r="G2472" s="45"/>
      <c r="H2472" s="48"/>
      <c r="I2472" s="49"/>
    </row>
    <row r="2473" spans="2:9" s="1" customFormat="1" x14ac:dyDescent="0.2">
      <c r="B2473" s="44" t="str">
        <f t="shared" si="49"/>
        <v>2012-067-3</v>
      </c>
      <c r="C2473" s="45">
        <v>2012</v>
      </c>
      <c r="D2473" s="45" t="s">
        <v>96</v>
      </c>
      <c r="E2473" s="45">
        <v>3</v>
      </c>
      <c r="F2473" s="47" t="s">
        <v>1594</v>
      </c>
      <c r="G2473" s="45"/>
      <c r="H2473" s="48"/>
      <c r="I2473" s="49"/>
    </row>
    <row r="2474" spans="2:9" s="1" customFormat="1" ht="27" x14ac:dyDescent="0.2">
      <c r="B2474" s="44" t="str">
        <f t="shared" si="49"/>
        <v>2012-067-4</v>
      </c>
      <c r="C2474" s="45">
        <v>2012</v>
      </c>
      <c r="D2474" s="45" t="s">
        <v>96</v>
      </c>
      <c r="E2474" s="45">
        <v>4</v>
      </c>
      <c r="F2474" s="47" t="s">
        <v>1990</v>
      </c>
      <c r="G2474" s="45"/>
      <c r="H2474" s="48"/>
      <c r="I2474" s="49"/>
    </row>
    <row r="2475" spans="2:9" s="1" customFormat="1" ht="27" x14ac:dyDescent="0.2">
      <c r="B2475" s="50" t="str">
        <f t="shared" si="49"/>
        <v>2012-067-5</v>
      </c>
      <c r="C2475" s="51">
        <v>2012</v>
      </c>
      <c r="D2475" s="51" t="s">
        <v>96</v>
      </c>
      <c r="E2475" s="51">
        <v>5</v>
      </c>
      <c r="F2475" s="52" t="s">
        <v>2385</v>
      </c>
      <c r="G2475" s="51"/>
      <c r="H2475" s="53"/>
      <c r="I2475" s="54"/>
    </row>
    <row r="2476" spans="2:9" s="1" customFormat="1" x14ac:dyDescent="0.2">
      <c r="B2476" s="55" t="str">
        <f t="shared" si="49"/>
        <v>2012-068-0</v>
      </c>
      <c r="C2476" s="56">
        <v>2012</v>
      </c>
      <c r="D2476" s="56" t="s">
        <v>97</v>
      </c>
      <c r="E2476" s="56">
        <v>0</v>
      </c>
      <c r="F2476" s="57" t="s">
        <v>406</v>
      </c>
      <c r="G2476" s="56"/>
      <c r="H2476" s="58"/>
      <c r="I2476" s="59"/>
    </row>
    <row r="2477" spans="2:9" s="1" customFormat="1" x14ac:dyDescent="0.2">
      <c r="B2477" s="44" t="str">
        <f t="shared" si="49"/>
        <v>2012-068-1</v>
      </c>
      <c r="C2477" s="45">
        <v>2012</v>
      </c>
      <c r="D2477" s="45" t="s">
        <v>97</v>
      </c>
      <c r="E2477" s="45">
        <v>1</v>
      </c>
      <c r="F2477" s="47" t="s">
        <v>805</v>
      </c>
      <c r="G2477" s="45"/>
      <c r="H2477" s="48"/>
      <c r="I2477" s="49"/>
    </row>
    <row r="2478" spans="2:9" s="1" customFormat="1" ht="27" x14ac:dyDescent="0.2">
      <c r="B2478" s="44" t="str">
        <f t="shared" si="49"/>
        <v>2012-068-2</v>
      </c>
      <c r="C2478" s="45">
        <v>2012</v>
      </c>
      <c r="D2478" s="45" t="s">
        <v>97</v>
      </c>
      <c r="E2478" s="45">
        <v>2</v>
      </c>
      <c r="F2478" s="47" t="s">
        <v>1201</v>
      </c>
      <c r="G2478" s="45" t="s">
        <v>3210</v>
      </c>
      <c r="H2478" s="48"/>
      <c r="I2478" s="49"/>
    </row>
    <row r="2479" spans="2:9" s="1" customFormat="1" ht="27" x14ac:dyDescent="0.2">
      <c r="B2479" s="44" t="str">
        <f t="shared" si="49"/>
        <v>2012-068-3</v>
      </c>
      <c r="C2479" s="45">
        <v>2012</v>
      </c>
      <c r="D2479" s="45" t="s">
        <v>97</v>
      </c>
      <c r="E2479" s="45">
        <v>3</v>
      </c>
      <c r="F2479" s="47" t="s">
        <v>1595</v>
      </c>
      <c r="G2479" s="45"/>
      <c r="H2479" s="48"/>
      <c r="I2479" s="49"/>
    </row>
    <row r="2480" spans="2:9" s="1" customFormat="1" ht="27" x14ac:dyDescent="0.2">
      <c r="B2480" s="44" t="str">
        <f t="shared" si="49"/>
        <v>2012-068-4</v>
      </c>
      <c r="C2480" s="45">
        <v>2012</v>
      </c>
      <c r="D2480" s="45" t="s">
        <v>97</v>
      </c>
      <c r="E2480" s="45">
        <v>4</v>
      </c>
      <c r="F2480" s="47" t="s">
        <v>1991</v>
      </c>
      <c r="G2480" s="45"/>
      <c r="H2480" s="48"/>
      <c r="I2480" s="49"/>
    </row>
    <row r="2481" spans="2:9" s="1" customFormat="1" ht="27" x14ac:dyDescent="0.2">
      <c r="B2481" s="50" t="str">
        <f t="shared" si="49"/>
        <v>2012-068-5</v>
      </c>
      <c r="C2481" s="51">
        <v>2012</v>
      </c>
      <c r="D2481" s="51" t="s">
        <v>97</v>
      </c>
      <c r="E2481" s="51">
        <v>5</v>
      </c>
      <c r="F2481" s="52" t="s">
        <v>2386</v>
      </c>
      <c r="G2481" s="51"/>
      <c r="H2481" s="53"/>
      <c r="I2481" s="54"/>
    </row>
    <row r="2482" spans="2:9" s="1" customFormat="1" ht="27" x14ac:dyDescent="0.2">
      <c r="B2482" s="55" t="str">
        <f t="shared" si="49"/>
        <v>2012-069-0</v>
      </c>
      <c r="C2482" s="56">
        <v>2012</v>
      </c>
      <c r="D2482" s="56" t="s">
        <v>98</v>
      </c>
      <c r="E2482" s="56">
        <v>0</v>
      </c>
      <c r="F2482" s="57" t="s">
        <v>407</v>
      </c>
      <c r="G2482" s="56"/>
      <c r="H2482" s="58"/>
      <c r="I2482" s="59"/>
    </row>
    <row r="2483" spans="2:9" s="1" customFormat="1" x14ac:dyDescent="0.2">
      <c r="B2483" s="44" t="str">
        <f t="shared" si="49"/>
        <v>2012-069-1</v>
      </c>
      <c r="C2483" s="45">
        <v>2012</v>
      </c>
      <c r="D2483" s="45" t="s">
        <v>98</v>
      </c>
      <c r="E2483" s="45">
        <v>1</v>
      </c>
      <c r="F2483" s="47" t="s">
        <v>806</v>
      </c>
      <c r="G2483" s="45" t="s">
        <v>3210</v>
      </c>
      <c r="H2483" s="48"/>
      <c r="I2483" s="49"/>
    </row>
    <row r="2484" spans="2:9" s="1" customFormat="1" x14ac:dyDescent="0.2">
      <c r="B2484" s="44" t="str">
        <f t="shared" si="49"/>
        <v>2012-069-2</v>
      </c>
      <c r="C2484" s="45">
        <v>2012</v>
      </c>
      <c r="D2484" s="45" t="s">
        <v>98</v>
      </c>
      <c r="E2484" s="45">
        <v>2</v>
      </c>
      <c r="F2484" s="47" t="s">
        <v>1202</v>
      </c>
      <c r="G2484" s="45"/>
      <c r="H2484" s="48"/>
      <c r="I2484" s="49"/>
    </row>
    <row r="2485" spans="2:9" s="1" customFormat="1" ht="27" x14ac:dyDescent="0.2">
      <c r="B2485" s="44" t="str">
        <f t="shared" si="49"/>
        <v>2012-069-3</v>
      </c>
      <c r="C2485" s="45">
        <v>2012</v>
      </c>
      <c r="D2485" s="45" t="s">
        <v>98</v>
      </c>
      <c r="E2485" s="45">
        <v>3</v>
      </c>
      <c r="F2485" s="47" t="s">
        <v>1596</v>
      </c>
      <c r="G2485" s="45"/>
      <c r="H2485" s="48"/>
      <c r="I2485" s="49"/>
    </row>
    <row r="2486" spans="2:9" s="1" customFormat="1" ht="27" x14ac:dyDescent="0.2">
      <c r="B2486" s="44" t="str">
        <f t="shared" si="49"/>
        <v>2012-069-4</v>
      </c>
      <c r="C2486" s="45">
        <v>2012</v>
      </c>
      <c r="D2486" s="45" t="s">
        <v>98</v>
      </c>
      <c r="E2486" s="45">
        <v>4</v>
      </c>
      <c r="F2486" s="47" t="s">
        <v>1992</v>
      </c>
      <c r="G2486" s="45"/>
      <c r="H2486" s="48"/>
      <c r="I2486" s="49"/>
    </row>
    <row r="2487" spans="2:9" s="1" customFormat="1" ht="27" x14ac:dyDescent="0.2">
      <c r="B2487" s="50" t="str">
        <f t="shared" si="49"/>
        <v>2012-069-5</v>
      </c>
      <c r="C2487" s="51">
        <v>2012</v>
      </c>
      <c r="D2487" s="51" t="s">
        <v>98</v>
      </c>
      <c r="E2487" s="51">
        <v>5</v>
      </c>
      <c r="F2487" s="52" t="s">
        <v>2387</v>
      </c>
      <c r="G2487" s="51"/>
      <c r="H2487" s="53"/>
      <c r="I2487" s="54"/>
    </row>
    <row r="2488" spans="2:9" s="1" customFormat="1" x14ac:dyDescent="0.2">
      <c r="B2488" s="55" t="str">
        <f t="shared" si="49"/>
        <v>2012-070-0</v>
      </c>
      <c r="C2488" s="56">
        <v>2012</v>
      </c>
      <c r="D2488" s="56" t="s">
        <v>99</v>
      </c>
      <c r="E2488" s="56">
        <v>0</v>
      </c>
      <c r="F2488" s="57" t="s">
        <v>408</v>
      </c>
      <c r="G2488" s="56"/>
      <c r="H2488" s="58"/>
      <c r="I2488" s="59"/>
    </row>
    <row r="2489" spans="2:9" s="1" customFormat="1" x14ac:dyDescent="0.2">
      <c r="B2489" s="44" t="str">
        <f t="shared" si="49"/>
        <v>2012-070-1</v>
      </c>
      <c r="C2489" s="45">
        <v>2012</v>
      </c>
      <c r="D2489" s="45" t="s">
        <v>99</v>
      </c>
      <c r="E2489" s="45">
        <v>1</v>
      </c>
      <c r="F2489" s="47" t="s">
        <v>807</v>
      </c>
      <c r="G2489" s="45"/>
      <c r="H2489" s="48"/>
      <c r="I2489" s="49"/>
    </row>
    <row r="2490" spans="2:9" s="1" customFormat="1" x14ac:dyDescent="0.2">
      <c r="B2490" s="44" t="str">
        <f t="shared" si="49"/>
        <v>2012-070-2</v>
      </c>
      <c r="C2490" s="45">
        <v>2012</v>
      </c>
      <c r="D2490" s="45" t="s">
        <v>99</v>
      </c>
      <c r="E2490" s="45">
        <v>2</v>
      </c>
      <c r="F2490" s="47" t="s">
        <v>1203</v>
      </c>
      <c r="G2490" s="45"/>
      <c r="H2490" s="48"/>
      <c r="I2490" s="49"/>
    </row>
    <row r="2491" spans="2:9" s="1" customFormat="1" x14ac:dyDescent="0.2">
      <c r="B2491" s="44" t="str">
        <f t="shared" si="49"/>
        <v>2012-070-3</v>
      </c>
      <c r="C2491" s="45">
        <v>2012</v>
      </c>
      <c r="D2491" s="45" t="s">
        <v>99</v>
      </c>
      <c r="E2491" s="45">
        <v>3</v>
      </c>
      <c r="F2491" s="47" t="s">
        <v>1597</v>
      </c>
      <c r="G2491" s="45" t="s">
        <v>3210</v>
      </c>
      <c r="H2491" s="48"/>
      <c r="I2491" s="49"/>
    </row>
    <row r="2492" spans="2:9" s="1" customFormat="1" ht="27" x14ac:dyDescent="0.2">
      <c r="B2492" s="44" t="str">
        <f t="shared" si="49"/>
        <v>2012-070-4</v>
      </c>
      <c r="C2492" s="45">
        <v>2012</v>
      </c>
      <c r="D2492" s="45" t="s">
        <v>99</v>
      </c>
      <c r="E2492" s="45">
        <v>4</v>
      </c>
      <c r="F2492" s="47" t="s">
        <v>1993</v>
      </c>
      <c r="G2492" s="45"/>
      <c r="H2492" s="48"/>
      <c r="I2492" s="49"/>
    </row>
    <row r="2493" spans="2:9" s="1" customFormat="1" ht="27" x14ac:dyDescent="0.2">
      <c r="B2493" s="50" t="str">
        <f t="shared" si="49"/>
        <v>2012-070-5</v>
      </c>
      <c r="C2493" s="51">
        <v>2012</v>
      </c>
      <c r="D2493" s="51" t="s">
        <v>99</v>
      </c>
      <c r="E2493" s="51">
        <v>5</v>
      </c>
      <c r="F2493" s="52" t="s">
        <v>2388</v>
      </c>
      <c r="G2493" s="51"/>
      <c r="H2493" s="53"/>
      <c r="I2493" s="54"/>
    </row>
    <row r="2494" spans="2:9" s="1" customFormat="1" x14ac:dyDescent="0.2">
      <c r="B2494" s="55" t="str">
        <f t="shared" si="49"/>
        <v>2012-071-0</v>
      </c>
      <c r="C2494" s="56">
        <v>2012</v>
      </c>
      <c r="D2494" s="56" t="s">
        <v>100</v>
      </c>
      <c r="E2494" s="56">
        <v>0</v>
      </c>
      <c r="F2494" s="57" t="s">
        <v>409</v>
      </c>
      <c r="G2494" s="56"/>
      <c r="H2494" s="58"/>
      <c r="I2494" s="59"/>
    </row>
    <row r="2495" spans="2:9" s="1" customFormat="1" x14ac:dyDescent="0.2">
      <c r="B2495" s="44" t="str">
        <f t="shared" si="49"/>
        <v>2012-071-1</v>
      </c>
      <c r="C2495" s="45">
        <v>2012</v>
      </c>
      <c r="D2495" s="45" t="s">
        <v>100</v>
      </c>
      <c r="E2495" s="45">
        <v>1</v>
      </c>
      <c r="F2495" s="47" t="s">
        <v>808</v>
      </c>
      <c r="G2495" s="45" t="s">
        <v>3210</v>
      </c>
      <c r="H2495" s="48"/>
      <c r="I2495" s="49"/>
    </row>
    <row r="2496" spans="2:9" s="1" customFormat="1" x14ac:dyDescent="0.2">
      <c r="B2496" s="44" t="str">
        <f t="shared" si="49"/>
        <v>2012-071-2</v>
      </c>
      <c r="C2496" s="45">
        <v>2012</v>
      </c>
      <c r="D2496" s="45" t="s">
        <v>100</v>
      </c>
      <c r="E2496" s="45">
        <v>2</v>
      </c>
      <c r="F2496" s="47" t="s">
        <v>1204</v>
      </c>
      <c r="G2496" s="45"/>
      <c r="H2496" s="48"/>
      <c r="I2496" s="49"/>
    </row>
    <row r="2497" spans="2:9" s="1" customFormat="1" x14ac:dyDescent="0.2">
      <c r="B2497" s="44" t="str">
        <f t="shared" si="49"/>
        <v>2012-071-3</v>
      </c>
      <c r="C2497" s="45">
        <v>2012</v>
      </c>
      <c r="D2497" s="45" t="s">
        <v>100</v>
      </c>
      <c r="E2497" s="45">
        <v>3</v>
      </c>
      <c r="F2497" s="47" t="s">
        <v>1598</v>
      </c>
      <c r="G2497" s="45"/>
      <c r="H2497" s="48"/>
      <c r="I2497" s="49"/>
    </row>
    <row r="2498" spans="2:9" s="1" customFormat="1" x14ac:dyDescent="0.2">
      <c r="B2498" s="44" t="str">
        <f t="shared" si="49"/>
        <v>2012-071-4</v>
      </c>
      <c r="C2498" s="45">
        <v>2012</v>
      </c>
      <c r="D2498" s="45" t="s">
        <v>100</v>
      </c>
      <c r="E2498" s="45">
        <v>4</v>
      </c>
      <c r="F2498" s="47" t="s">
        <v>1994</v>
      </c>
      <c r="G2498" s="45"/>
      <c r="H2498" s="48"/>
      <c r="I2498" s="49"/>
    </row>
    <row r="2499" spans="2:9" s="1" customFormat="1" x14ac:dyDescent="0.2">
      <c r="B2499" s="50" t="str">
        <f t="shared" si="49"/>
        <v>2012-071-5</v>
      </c>
      <c r="C2499" s="51">
        <v>2012</v>
      </c>
      <c r="D2499" s="51" t="s">
        <v>100</v>
      </c>
      <c r="E2499" s="51">
        <v>5</v>
      </c>
      <c r="F2499" s="52" t="s">
        <v>2389</v>
      </c>
      <c r="G2499" s="51"/>
      <c r="H2499" s="53"/>
      <c r="I2499" s="54"/>
    </row>
    <row r="2500" spans="2:9" s="1" customFormat="1" x14ac:dyDescent="0.2">
      <c r="B2500" s="55" t="str">
        <f t="shared" si="49"/>
        <v>2012-072-0</v>
      </c>
      <c r="C2500" s="56">
        <v>2012</v>
      </c>
      <c r="D2500" s="56" t="s">
        <v>101</v>
      </c>
      <c r="E2500" s="56">
        <v>0</v>
      </c>
      <c r="F2500" s="57" t="s">
        <v>410</v>
      </c>
      <c r="G2500" s="56"/>
      <c r="H2500" s="58"/>
      <c r="I2500" s="59"/>
    </row>
    <row r="2501" spans="2:9" s="1" customFormat="1" x14ac:dyDescent="0.2">
      <c r="B2501" s="44" t="str">
        <f t="shared" si="49"/>
        <v>2012-072-1</v>
      </c>
      <c r="C2501" s="45">
        <v>2012</v>
      </c>
      <c r="D2501" s="45" t="s">
        <v>101</v>
      </c>
      <c r="E2501" s="45">
        <v>1</v>
      </c>
      <c r="F2501" s="47" t="s">
        <v>809</v>
      </c>
      <c r="G2501" s="45"/>
      <c r="H2501" s="48"/>
      <c r="I2501" s="49"/>
    </row>
    <row r="2502" spans="2:9" s="1" customFormat="1" x14ac:dyDescent="0.2">
      <c r="B2502" s="44" t="str">
        <f t="shared" si="49"/>
        <v>2012-072-2</v>
      </c>
      <c r="C2502" s="45">
        <v>2012</v>
      </c>
      <c r="D2502" s="45" t="s">
        <v>101</v>
      </c>
      <c r="E2502" s="45">
        <v>2</v>
      </c>
      <c r="F2502" s="47" t="s">
        <v>1205</v>
      </c>
      <c r="G2502" s="45"/>
      <c r="H2502" s="48"/>
      <c r="I2502" s="49"/>
    </row>
    <row r="2503" spans="2:9" s="1" customFormat="1" x14ac:dyDescent="0.2">
      <c r="B2503" s="44" t="str">
        <f t="shared" ref="B2503:B2523" si="50">C2503&amp;"-"&amp;D2503&amp;"-"&amp;E2503</f>
        <v>2012-072-3</v>
      </c>
      <c r="C2503" s="45">
        <v>2012</v>
      </c>
      <c r="D2503" s="45" t="s">
        <v>101</v>
      </c>
      <c r="E2503" s="45">
        <v>3</v>
      </c>
      <c r="F2503" s="47" t="s">
        <v>1599</v>
      </c>
      <c r="G2503" s="45"/>
      <c r="H2503" s="48"/>
      <c r="I2503" s="49"/>
    </row>
    <row r="2504" spans="2:9" s="1" customFormat="1" x14ac:dyDescent="0.2">
      <c r="B2504" s="44" t="str">
        <f t="shared" si="50"/>
        <v>2012-072-4</v>
      </c>
      <c r="C2504" s="45">
        <v>2012</v>
      </c>
      <c r="D2504" s="45" t="s">
        <v>101</v>
      </c>
      <c r="E2504" s="45">
        <v>4</v>
      </c>
      <c r="F2504" s="47" t="s">
        <v>1995</v>
      </c>
      <c r="G2504" s="45"/>
      <c r="H2504" s="48"/>
      <c r="I2504" s="49"/>
    </row>
    <row r="2505" spans="2:9" s="1" customFormat="1" x14ac:dyDescent="0.2">
      <c r="B2505" s="50" t="str">
        <f t="shared" si="50"/>
        <v>2012-072-5</v>
      </c>
      <c r="C2505" s="51">
        <v>2012</v>
      </c>
      <c r="D2505" s="51" t="s">
        <v>101</v>
      </c>
      <c r="E2505" s="51">
        <v>5</v>
      </c>
      <c r="F2505" s="52" t="s">
        <v>2390</v>
      </c>
      <c r="G2505" s="51" t="s">
        <v>3210</v>
      </c>
      <c r="H2505" s="53"/>
      <c r="I2505" s="54"/>
    </row>
    <row r="2506" spans="2:9" s="1" customFormat="1" ht="40.5" x14ac:dyDescent="0.2">
      <c r="B2506" s="55" t="str">
        <f t="shared" si="50"/>
        <v>2012-073-0</v>
      </c>
      <c r="C2506" s="56">
        <v>2012</v>
      </c>
      <c r="D2506" s="56" t="s">
        <v>102</v>
      </c>
      <c r="E2506" s="56">
        <v>0</v>
      </c>
      <c r="F2506" s="57" t="s">
        <v>411</v>
      </c>
      <c r="G2506" s="56"/>
      <c r="H2506" s="58"/>
      <c r="I2506" s="59"/>
    </row>
    <row r="2507" spans="2:9" s="1" customFormat="1" x14ac:dyDescent="0.2">
      <c r="B2507" s="44" t="str">
        <f t="shared" si="50"/>
        <v>2012-073-1</v>
      </c>
      <c r="C2507" s="45">
        <v>2012</v>
      </c>
      <c r="D2507" s="45" t="s">
        <v>102</v>
      </c>
      <c r="E2507" s="45">
        <v>1</v>
      </c>
      <c r="F2507" s="47" t="s">
        <v>810</v>
      </c>
      <c r="G2507" s="45" t="s">
        <v>3210</v>
      </c>
      <c r="H2507" s="48"/>
      <c r="I2507" s="49"/>
    </row>
    <row r="2508" spans="2:9" s="1" customFormat="1" x14ac:dyDescent="0.2">
      <c r="B2508" s="44" t="str">
        <f t="shared" si="50"/>
        <v>2012-073-2</v>
      </c>
      <c r="C2508" s="45">
        <v>2012</v>
      </c>
      <c r="D2508" s="45" t="s">
        <v>102</v>
      </c>
      <c r="E2508" s="45">
        <v>2</v>
      </c>
      <c r="F2508" s="47" t="s">
        <v>1206</v>
      </c>
      <c r="G2508" s="45"/>
      <c r="H2508" s="48"/>
      <c r="I2508" s="49"/>
    </row>
    <row r="2509" spans="2:9" s="1" customFormat="1" x14ac:dyDescent="0.2">
      <c r="B2509" s="44" t="str">
        <f t="shared" si="50"/>
        <v>2012-073-3</v>
      </c>
      <c r="C2509" s="45">
        <v>2012</v>
      </c>
      <c r="D2509" s="45" t="s">
        <v>102</v>
      </c>
      <c r="E2509" s="45">
        <v>3</v>
      </c>
      <c r="F2509" s="47" t="s">
        <v>1600</v>
      </c>
      <c r="G2509" s="45"/>
      <c r="H2509" s="48"/>
      <c r="I2509" s="49"/>
    </row>
    <row r="2510" spans="2:9" s="1" customFormat="1" x14ac:dyDescent="0.2">
      <c r="B2510" s="44" t="str">
        <f t="shared" si="50"/>
        <v>2012-073-4</v>
      </c>
      <c r="C2510" s="45">
        <v>2012</v>
      </c>
      <c r="D2510" s="45" t="s">
        <v>102</v>
      </c>
      <c r="E2510" s="45">
        <v>4</v>
      </c>
      <c r="F2510" s="47" t="s">
        <v>1996</v>
      </c>
      <c r="G2510" s="45"/>
      <c r="H2510" s="48"/>
      <c r="I2510" s="49"/>
    </row>
    <row r="2511" spans="2:9" s="1" customFormat="1" x14ac:dyDescent="0.2">
      <c r="B2511" s="50" t="str">
        <f t="shared" si="50"/>
        <v>2012-073-5</v>
      </c>
      <c r="C2511" s="51">
        <v>2012</v>
      </c>
      <c r="D2511" s="51" t="s">
        <v>102</v>
      </c>
      <c r="E2511" s="51">
        <v>5</v>
      </c>
      <c r="F2511" s="52" t="s">
        <v>2391</v>
      </c>
      <c r="G2511" s="51"/>
      <c r="H2511" s="53"/>
      <c r="I2511" s="54"/>
    </row>
    <row r="2512" spans="2:9" s="1" customFormat="1" x14ac:dyDescent="0.2">
      <c r="B2512" s="55" t="str">
        <f t="shared" si="50"/>
        <v>2012-074-0</v>
      </c>
      <c r="C2512" s="56">
        <v>2012</v>
      </c>
      <c r="D2512" s="56" t="s">
        <v>103</v>
      </c>
      <c r="E2512" s="56">
        <v>0</v>
      </c>
      <c r="F2512" s="57" t="s">
        <v>412</v>
      </c>
      <c r="G2512" s="56"/>
      <c r="H2512" s="58"/>
      <c r="I2512" s="59"/>
    </row>
    <row r="2513" spans="2:9" s="1" customFormat="1" x14ac:dyDescent="0.2">
      <c r="B2513" s="44" t="str">
        <f t="shared" si="50"/>
        <v>2012-074-1</v>
      </c>
      <c r="C2513" s="45">
        <v>2012</v>
      </c>
      <c r="D2513" s="45" t="s">
        <v>103</v>
      </c>
      <c r="E2513" s="45">
        <v>1</v>
      </c>
      <c r="F2513" s="47" t="s">
        <v>811</v>
      </c>
      <c r="G2513" s="45"/>
      <c r="H2513" s="48"/>
      <c r="I2513" s="49"/>
    </row>
    <row r="2514" spans="2:9" s="1" customFormat="1" x14ac:dyDescent="0.2">
      <c r="B2514" s="44" t="str">
        <f t="shared" si="50"/>
        <v>2012-074-2</v>
      </c>
      <c r="C2514" s="45">
        <v>2012</v>
      </c>
      <c r="D2514" s="45" t="s">
        <v>103</v>
      </c>
      <c r="E2514" s="45">
        <v>2</v>
      </c>
      <c r="F2514" s="47" t="s">
        <v>1207</v>
      </c>
      <c r="G2514" s="45" t="s">
        <v>3210</v>
      </c>
      <c r="H2514" s="48"/>
      <c r="I2514" s="49"/>
    </row>
    <row r="2515" spans="2:9" s="1" customFormat="1" ht="27" x14ac:dyDescent="0.2">
      <c r="B2515" s="44" t="str">
        <f t="shared" si="50"/>
        <v>2012-074-3</v>
      </c>
      <c r="C2515" s="45">
        <v>2012</v>
      </c>
      <c r="D2515" s="45" t="s">
        <v>103</v>
      </c>
      <c r="E2515" s="45">
        <v>3</v>
      </c>
      <c r="F2515" s="47" t="s">
        <v>1601</v>
      </c>
      <c r="G2515" s="45"/>
      <c r="H2515" s="48"/>
      <c r="I2515" s="49"/>
    </row>
    <row r="2516" spans="2:9" s="1" customFormat="1" ht="27" x14ac:dyDescent="0.2">
      <c r="B2516" s="44" t="str">
        <f t="shared" si="50"/>
        <v>2012-074-4</v>
      </c>
      <c r="C2516" s="45">
        <v>2012</v>
      </c>
      <c r="D2516" s="45" t="s">
        <v>103</v>
      </c>
      <c r="E2516" s="45">
        <v>4</v>
      </c>
      <c r="F2516" s="47" t="s">
        <v>1997</v>
      </c>
      <c r="G2516" s="45"/>
      <c r="H2516" s="48"/>
      <c r="I2516" s="49"/>
    </row>
    <row r="2517" spans="2:9" s="1" customFormat="1" ht="27" x14ac:dyDescent="0.2">
      <c r="B2517" s="50" t="str">
        <f t="shared" si="50"/>
        <v>2012-074-5</v>
      </c>
      <c r="C2517" s="51">
        <v>2012</v>
      </c>
      <c r="D2517" s="51" t="s">
        <v>103</v>
      </c>
      <c r="E2517" s="51">
        <v>5</v>
      </c>
      <c r="F2517" s="52" t="s">
        <v>2392</v>
      </c>
      <c r="G2517" s="51"/>
      <c r="H2517" s="53"/>
      <c r="I2517" s="54"/>
    </row>
    <row r="2518" spans="2:9" s="1" customFormat="1" x14ac:dyDescent="0.2">
      <c r="B2518" s="55" t="str">
        <f t="shared" si="50"/>
        <v>2012-075-0</v>
      </c>
      <c r="C2518" s="56">
        <v>2012</v>
      </c>
      <c r="D2518" s="56" t="s">
        <v>104</v>
      </c>
      <c r="E2518" s="56">
        <v>0</v>
      </c>
      <c r="F2518" s="57" t="s">
        <v>413</v>
      </c>
      <c r="G2518" s="56"/>
      <c r="H2518" s="58"/>
      <c r="I2518" s="59"/>
    </row>
    <row r="2519" spans="2:9" s="1" customFormat="1" x14ac:dyDescent="0.2">
      <c r="B2519" s="44" t="str">
        <f t="shared" si="50"/>
        <v>2012-075-1</v>
      </c>
      <c r="C2519" s="45">
        <v>2012</v>
      </c>
      <c r="D2519" s="45" t="s">
        <v>104</v>
      </c>
      <c r="E2519" s="45">
        <v>1</v>
      </c>
      <c r="F2519" s="47" t="s">
        <v>812</v>
      </c>
      <c r="G2519" s="45"/>
      <c r="H2519" s="48"/>
      <c r="I2519" s="49"/>
    </row>
    <row r="2520" spans="2:9" s="1" customFormat="1" x14ac:dyDescent="0.2">
      <c r="B2520" s="44" t="str">
        <f t="shared" si="50"/>
        <v>2012-075-2</v>
      </c>
      <c r="C2520" s="45">
        <v>2012</v>
      </c>
      <c r="D2520" s="45" t="s">
        <v>104</v>
      </c>
      <c r="E2520" s="45">
        <v>2</v>
      </c>
      <c r="F2520" s="47" t="s">
        <v>1208</v>
      </c>
      <c r="G2520" s="45"/>
      <c r="H2520" s="48"/>
      <c r="I2520" s="49"/>
    </row>
    <row r="2521" spans="2:9" s="1" customFormat="1" ht="27" x14ac:dyDescent="0.2">
      <c r="B2521" s="44" t="str">
        <f t="shared" si="50"/>
        <v>2012-075-3</v>
      </c>
      <c r="C2521" s="45">
        <v>2012</v>
      </c>
      <c r="D2521" s="45" t="s">
        <v>104</v>
      </c>
      <c r="E2521" s="45">
        <v>3</v>
      </c>
      <c r="F2521" s="47" t="s">
        <v>1602</v>
      </c>
      <c r="G2521" s="45"/>
      <c r="H2521" s="48"/>
      <c r="I2521" s="49"/>
    </row>
    <row r="2522" spans="2:9" s="1" customFormat="1" ht="27" x14ac:dyDescent="0.2">
      <c r="B2522" s="44" t="str">
        <f t="shared" si="50"/>
        <v>2012-075-4</v>
      </c>
      <c r="C2522" s="45">
        <v>2012</v>
      </c>
      <c r="D2522" s="45" t="s">
        <v>104</v>
      </c>
      <c r="E2522" s="45">
        <v>4</v>
      </c>
      <c r="F2522" s="47" t="s">
        <v>1998</v>
      </c>
      <c r="G2522" s="45" t="s">
        <v>3210</v>
      </c>
      <c r="H2522" s="48"/>
      <c r="I2522" s="49"/>
    </row>
    <row r="2523" spans="2:9" s="1" customFormat="1" ht="27.75" thickBot="1" x14ac:dyDescent="0.25">
      <c r="B2523" s="60" t="str">
        <f t="shared" si="50"/>
        <v>2012-075-5</v>
      </c>
      <c r="C2523" s="61">
        <v>2012</v>
      </c>
      <c r="D2523" s="61" t="s">
        <v>104</v>
      </c>
      <c r="E2523" s="61">
        <v>5</v>
      </c>
      <c r="F2523" s="62" t="s">
        <v>2393</v>
      </c>
      <c r="G2523" s="61"/>
      <c r="H2523" s="63"/>
      <c r="I2523" s="64"/>
    </row>
    <row r="2524" spans="2:9" s="1" customFormat="1" x14ac:dyDescent="0.2">
      <c r="B2524" s="38" t="str">
        <f t="shared" ref="B2524:B2540" si="51">C2524&amp;"-"&amp;D2524&amp;"-"&amp;E2524</f>
        <v>2011-051-0</v>
      </c>
      <c r="C2524" s="39">
        <v>2011</v>
      </c>
      <c r="D2524" s="39" t="s">
        <v>80</v>
      </c>
      <c r="E2524" s="39">
        <v>0</v>
      </c>
      <c r="F2524" s="41" t="s">
        <v>414</v>
      </c>
      <c r="G2524" s="39"/>
      <c r="H2524" s="42"/>
      <c r="I2524" s="43"/>
    </row>
    <row r="2525" spans="2:9" s="1" customFormat="1" x14ac:dyDescent="0.2">
      <c r="B2525" s="44" t="str">
        <f t="shared" si="51"/>
        <v>2011-051-1</v>
      </c>
      <c r="C2525" s="45">
        <v>2011</v>
      </c>
      <c r="D2525" s="45" t="s">
        <v>80</v>
      </c>
      <c r="E2525" s="45">
        <v>1</v>
      </c>
      <c r="F2525" s="47" t="s">
        <v>813</v>
      </c>
      <c r="G2525" s="45"/>
      <c r="H2525" s="48"/>
      <c r="I2525" s="49"/>
    </row>
    <row r="2526" spans="2:9" s="1" customFormat="1" x14ac:dyDescent="0.2">
      <c r="B2526" s="44" t="str">
        <f t="shared" si="51"/>
        <v>2011-051-2</v>
      </c>
      <c r="C2526" s="45">
        <v>2011</v>
      </c>
      <c r="D2526" s="45" t="s">
        <v>80</v>
      </c>
      <c r="E2526" s="45">
        <v>2</v>
      </c>
      <c r="F2526" s="47" t="s">
        <v>1209</v>
      </c>
      <c r="G2526" s="45"/>
      <c r="H2526" s="48"/>
      <c r="I2526" s="49"/>
    </row>
    <row r="2527" spans="2:9" s="1" customFormat="1" x14ac:dyDescent="0.2">
      <c r="B2527" s="44" t="str">
        <f t="shared" si="51"/>
        <v>2011-051-3</v>
      </c>
      <c r="C2527" s="45">
        <v>2011</v>
      </c>
      <c r="D2527" s="45" t="s">
        <v>80</v>
      </c>
      <c r="E2527" s="45">
        <v>3</v>
      </c>
      <c r="F2527" s="47" t="s">
        <v>1603</v>
      </c>
      <c r="G2527" s="45" t="s">
        <v>3210</v>
      </c>
      <c r="H2527" s="48"/>
      <c r="I2527" s="49"/>
    </row>
    <row r="2528" spans="2:9" s="1" customFormat="1" x14ac:dyDescent="0.2">
      <c r="B2528" s="44" t="str">
        <f t="shared" si="51"/>
        <v>2011-051-4</v>
      </c>
      <c r="C2528" s="45">
        <v>2011</v>
      </c>
      <c r="D2528" s="45" t="s">
        <v>80</v>
      </c>
      <c r="E2528" s="45">
        <v>4</v>
      </c>
      <c r="F2528" s="47" t="s">
        <v>1999</v>
      </c>
      <c r="G2528" s="45"/>
      <c r="H2528" s="48"/>
      <c r="I2528" s="49"/>
    </row>
    <row r="2529" spans="2:9" s="1" customFormat="1" ht="27" x14ac:dyDescent="0.2">
      <c r="B2529" s="50" t="str">
        <f t="shared" si="51"/>
        <v>2011-051-5</v>
      </c>
      <c r="C2529" s="51">
        <v>2011</v>
      </c>
      <c r="D2529" s="51" t="s">
        <v>80</v>
      </c>
      <c r="E2529" s="51">
        <v>5</v>
      </c>
      <c r="F2529" s="52" t="s">
        <v>2394</v>
      </c>
      <c r="G2529" s="51"/>
      <c r="H2529" s="53"/>
      <c r="I2529" s="54"/>
    </row>
    <row r="2530" spans="2:9" s="1" customFormat="1" ht="27" x14ac:dyDescent="0.2">
      <c r="B2530" s="55" t="str">
        <f t="shared" si="51"/>
        <v>2011-052-0</v>
      </c>
      <c r="C2530" s="56">
        <v>2011</v>
      </c>
      <c r="D2530" s="56" t="s">
        <v>81</v>
      </c>
      <c r="E2530" s="56">
        <v>0</v>
      </c>
      <c r="F2530" s="57" t="s">
        <v>415</v>
      </c>
      <c r="G2530" s="56"/>
      <c r="H2530" s="58"/>
      <c r="I2530" s="59"/>
    </row>
    <row r="2531" spans="2:9" s="1" customFormat="1" x14ac:dyDescent="0.2">
      <c r="B2531" s="44" t="str">
        <f t="shared" si="51"/>
        <v>2011-052-1</v>
      </c>
      <c r="C2531" s="45">
        <v>2011</v>
      </c>
      <c r="D2531" s="45" t="s">
        <v>81</v>
      </c>
      <c r="E2531" s="45">
        <v>1</v>
      </c>
      <c r="F2531" s="47" t="s">
        <v>814</v>
      </c>
      <c r="G2531" s="45"/>
      <c r="H2531" s="48"/>
      <c r="I2531" s="49"/>
    </row>
    <row r="2532" spans="2:9" s="1" customFormat="1" x14ac:dyDescent="0.2">
      <c r="B2532" s="44" t="str">
        <f t="shared" si="51"/>
        <v>2011-052-2</v>
      </c>
      <c r="C2532" s="45">
        <v>2011</v>
      </c>
      <c r="D2532" s="45" t="s">
        <v>81</v>
      </c>
      <c r="E2532" s="45">
        <v>2</v>
      </c>
      <c r="F2532" s="47" t="s">
        <v>1210</v>
      </c>
      <c r="G2532" s="45"/>
      <c r="H2532" s="48"/>
      <c r="I2532" s="49"/>
    </row>
    <row r="2533" spans="2:9" s="1" customFormat="1" x14ac:dyDescent="0.2">
      <c r="B2533" s="44" t="str">
        <f t="shared" si="51"/>
        <v>2011-052-3</v>
      </c>
      <c r="C2533" s="45">
        <v>2011</v>
      </c>
      <c r="D2533" s="45" t="s">
        <v>81</v>
      </c>
      <c r="E2533" s="45">
        <v>3</v>
      </c>
      <c r="F2533" s="47" t="s">
        <v>1604</v>
      </c>
      <c r="G2533" s="45"/>
      <c r="H2533" s="48"/>
      <c r="I2533" s="49"/>
    </row>
    <row r="2534" spans="2:9" s="1" customFormat="1" x14ac:dyDescent="0.2">
      <c r="B2534" s="44" t="str">
        <f t="shared" si="51"/>
        <v>2011-052-4</v>
      </c>
      <c r="C2534" s="45">
        <v>2011</v>
      </c>
      <c r="D2534" s="45" t="s">
        <v>81</v>
      </c>
      <c r="E2534" s="45">
        <v>4</v>
      </c>
      <c r="F2534" s="47" t="s">
        <v>2000</v>
      </c>
      <c r="G2534" s="45"/>
      <c r="H2534" s="48"/>
      <c r="I2534" s="49"/>
    </row>
    <row r="2535" spans="2:9" s="1" customFormat="1" ht="27" x14ac:dyDescent="0.2">
      <c r="B2535" s="50" t="str">
        <f t="shared" si="51"/>
        <v>2011-052-5</v>
      </c>
      <c r="C2535" s="51">
        <v>2011</v>
      </c>
      <c r="D2535" s="51" t="s">
        <v>81</v>
      </c>
      <c r="E2535" s="51">
        <v>5</v>
      </c>
      <c r="F2535" s="52" t="s">
        <v>2395</v>
      </c>
      <c r="G2535" s="51" t="s">
        <v>3210</v>
      </c>
      <c r="H2535" s="53"/>
      <c r="I2535" s="54"/>
    </row>
    <row r="2536" spans="2:9" s="1" customFormat="1" ht="27" x14ac:dyDescent="0.2">
      <c r="B2536" s="55" t="str">
        <f t="shared" si="51"/>
        <v>2011-053-0</v>
      </c>
      <c r="C2536" s="56">
        <v>2011</v>
      </c>
      <c r="D2536" s="56" t="s">
        <v>82</v>
      </c>
      <c r="E2536" s="56">
        <v>0</v>
      </c>
      <c r="F2536" s="57" t="s">
        <v>416</v>
      </c>
      <c r="G2536" s="56"/>
      <c r="H2536" s="58"/>
      <c r="I2536" s="59"/>
    </row>
    <row r="2537" spans="2:9" s="1" customFormat="1" x14ac:dyDescent="0.2">
      <c r="B2537" s="44" t="str">
        <f t="shared" si="51"/>
        <v>2011-053-1</v>
      </c>
      <c r="C2537" s="45">
        <v>2011</v>
      </c>
      <c r="D2537" s="45" t="s">
        <v>82</v>
      </c>
      <c r="E2537" s="45">
        <v>1</v>
      </c>
      <c r="F2537" s="47" t="s">
        <v>815</v>
      </c>
      <c r="G2537" s="45"/>
      <c r="H2537" s="48"/>
      <c r="I2537" s="49"/>
    </row>
    <row r="2538" spans="2:9" s="1" customFormat="1" ht="27" x14ac:dyDescent="0.2">
      <c r="B2538" s="44" t="str">
        <f t="shared" si="51"/>
        <v>2011-053-2</v>
      </c>
      <c r="C2538" s="45">
        <v>2011</v>
      </c>
      <c r="D2538" s="45" t="s">
        <v>82</v>
      </c>
      <c r="E2538" s="45">
        <v>2</v>
      </c>
      <c r="F2538" s="47" t="s">
        <v>1211</v>
      </c>
      <c r="G2538" s="45"/>
      <c r="H2538" s="48"/>
      <c r="I2538" s="49"/>
    </row>
    <row r="2539" spans="2:9" s="1" customFormat="1" x14ac:dyDescent="0.2">
      <c r="B2539" s="44" t="str">
        <f t="shared" si="51"/>
        <v>2011-053-3</v>
      </c>
      <c r="C2539" s="45">
        <v>2011</v>
      </c>
      <c r="D2539" s="45" t="s">
        <v>82</v>
      </c>
      <c r="E2539" s="45">
        <v>3</v>
      </c>
      <c r="F2539" s="47" t="s">
        <v>1605</v>
      </c>
      <c r="G2539" s="45"/>
      <c r="H2539" s="48"/>
      <c r="I2539" s="49"/>
    </row>
    <row r="2540" spans="2:9" s="1" customFormat="1" ht="27" x14ac:dyDescent="0.2">
      <c r="B2540" s="44" t="str">
        <f t="shared" si="51"/>
        <v>2011-053-4</v>
      </c>
      <c r="C2540" s="45">
        <v>2011</v>
      </c>
      <c r="D2540" s="45" t="s">
        <v>82</v>
      </c>
      <c r="E2540" s="45">
        <v>4</v>
      </c>
      <c r="F2540" s="47" t="s">
        <v>2001</v>
      </c>
      <c r="G2540" s="45" t="s">
        <v>3210</v>
      </c>
      <c r="H2540" s="48"/>
      <c r="I2540" s="49"/>
    </row>
    <row r="2541" spans="2:9" s="1" customFormat="1" ht="27" x14ac:dyDescent="0.2">
      <c r="B2541" s="50" t="str">
        <f t="shared" ref="B2541:B2604" si="52">C2541&amp;"-"&amp;D2541&amp;"-"&amp;E2541</f>
        <v>2011-053-5</v>
      </c>
      <c r="C2541" s="51">
        <v>2011</v>
      </c>
      <c r="D2541" s="51" t="s">
        <v>82</v>
      </c>
      <c r="E2541" s="51">
        <v>5</v>
      </c>
      <c r="F2541" s="52" t="s">
        <v>2396</v>
      </c>
      <c r="G2541" s="51"/>
      <c r="H2541" s="53"/>
      <c r="I2541" s="54"/>
    </row>
    <row r="2542" spans="2:9" s="1" customFormat="1" x14ac:dyDescent="0.2">
      <c r="B2542" s="55" t="str">
        <f t="shared" si="52"/>
        <v>2011-054-0</v>
      </c>
      <c r="C2542" s="56">
        <v>2011</v>
      </c>
      <c r="D2542" s="56" t="s">
        <v>83</v>
      </c>
      <c r="E2542" s="56">
        <v>0</v>
      </c>
      <c r="F2542" s="57" t="s">
        <v>417</v>
      </c>
      <c r="G2542" s="56"/>
      <c r="H2542" s="58"/>
      <c r="I2542" s="59"/>
    </row>
    <row r="2543" spans="2:9" s="1" customFormat="1" x14ac:dyDescent="0.2">
      <c r="B2543" s="44" t="str">
        <f t="shared" si="52"/>
        <v>2011-054-1</v>
      </c>
      <c r="C2543" s="45">
        <v>2011</v>
      </c>
      <c r="D2543" s="45" t="s">
        <v>83</v>
      </c>
      <c r="E2543" s="45">
        <v>1</v>
      </c>
      <c r="F2543" s="47" t="s">
        <v>816</v>
      </c>
      <c r="G2543" s="45" t="s">
        <v>3210</v>
      </c>
      <c r="H2543" s="48"/>
      <c r="I2543" s="49"/>
    </row>
    <row r="2544" spans="2:9" s="1" customFormat="1" x14ac:dyDescent="0.2">
      <c r="B2544" s="44" t="str">
        <f t="shared" si="52"/>
        <v>2011-054-2</v>
      </c>
      <c r="C2544" s="45">
        <v>2011</v>
      </c>
      <c r="D2544" s="45" t="s">
        <v>83</v>
      </c>
      <c r="E2544" s="45">
        <v>2</v>
      </c>
      <c r="F2544" s="47" t="s">
        <v>1212</v>
      </c>
      <c r="G2544" s="45"/>
      <c r="H2544" s="48"/>
      <c r="I2544" s="49"/>
    </row>
    <row r="2545" spans="2:9" s="1" customFormat="1" x14ac:dyDescent="0.2">
      <c r="B2545" s="44" t="str">
        <f t="shared" si="52"/>
        <v>2011-054-3</v>
      </c>
      <c r="C2545" s="45">
        <v>2011</v>
      </c>
      <c r="D2545" s="45" t="s">
        <v>83</v>
      </c>
      <c r="E2545" s="45">
        <v>3</v>
      </c>
      <c r="F2545" s="47" t="s">
        <v>1606</v>
      </c>
      <c r="G2545" s="45"/>
      <c r="H2545" s="48"/>
      <c r="I2545" s="49"/>
    </row>
    <row r="2546" spans="2:9" s="1" customFormat="1" x14ac:dyDescent="0.2">
      <c r="B2546" s="44" t="str">
        <f t="shared" si="52"/>
        <v>2011-054-4</v>
      </c>
      <c r="C2546" s="45">
        <v>2011</v>
      </c>
      <c r="D2546" s="45" t="s">
        <v>83</v>
      </c>
      <c r="E2546" s="45">
        <v>4</v>
      </c>
      <c r="F2546" s="47" t="s">
        <v>2002</v>
      </c>
      <c r="G2546" s="45"/>
      <c r="H2546" s="48"/>
      <c r="I2546" s="49"/>
    </row>
    <row r="2547" spans="2:9" s="1" customFormat="1" x14ac:dyDescent="0.2">
      <c r="B2547" s="50" t="str">
        <f t="shared" si="52"/>
        <v>2011-054-5</v>
      </c>
      <c r="C2547" s="51">
        <v>2011</v>
      </c>
      <c r="D2547" s="51" t="s">
        <v>83</v>
      </c>
      <c r="E2547" s="51">
        <v>5</v>
      </c>
      <c r="F2547" s="52" t="s">
        <v>2397</v>
      </c>
      <c r="G2547" s="51"/>
      <c r="H2547" s="53"/>
      <c r="I2547" s="54"/>
    </row>
    <row r="2548" spans="2:9" s="1" customFormat="1" x14ac:dyDescent="0.2">
      <c r="B2548" s="55" t="str">
        <f t="shared" si="52"/>
        <v>2011-055-0</v>
      </c>
      <c r="C2548" s="56">
        <v>2011</v>
      </c>
      <c r="D2548" s="56" t="s">
        <v>84</v>
      </c>
      <c r="E2548" s="56">
        <v>0</v>
      </c>
      <c r="F2548" s="57" t="s">
        <v>409</v>
      </c>
      <c r="G2548" s="56"/>
      <c r="H2548" s="58"/>
      <c r="I2548" s="59"/>
    </row>
    <row r="2549" spans="2:9" s="1" customFormat="1" x14ac:dyDescent="0.2">
      <c r="B2549" s="44" t="str">
        <f t="shared" si="52"/>
        <v>2011-055-1</v>
      </c>
      <c r="C2549" s="45">
        <v>2011</v>
      </c>
      <c r="D2549" s="45" t="s">
        <v>84</v>
      </c>
      <c r="E2549" s="45">
        <v>1</v>
      </c>
      <c r="F2549" s="47" t="s">
        <v>817</v>
      </c>
      <c r="G2549" s="45"/>
      <c r="H2549" s="48"/>
      <c r="I2549" s="49"/>
    </row>
    <row r="2550" spans="2:9" s="1" customFormat="1" x14ac:dyDescent="0.2">
      <c r="B2550" s="44" t="str">
        <f t="shared" si="52"/>
        <v>2011-055-2</v>
      </c>
      <c r="C2550" s="45">
        <v>2011</v>
      </c>
      <c r="D2550" s="45" t="s">
        <v>84</v>
      </c>
      <c r="E2550" s="45">
        <v>2</v>
      </c>
      <c r="F2550" s="47" t="s">
        <v>1213</v>
      </c>
      <c r="G2550" s="45" t="s">
        <v>3210</v>
      </c>
      <c r="H2550" s="48"/>
      <c r="I2550" s="49"/>
    </row>
    <row r="2551" spans="2:9" s="1" customFormat="1" x14ac:dyDescent="0.2">
      <c r="B2551" s="44" t="str">
        <f t="shared" si="52"/>
        <v>2011-055-3</v>
      </c>
      <c r="C2551" s="45">
        <v>2011</v>
      </c>
      <c r="D2551" s="45" t="s">
        <v>84</v>
      </c>
      <c r="E2551" s="45">
        <v>3</v>
      </c>
      <c r="F2551" s="47" t="s">
        <v>1607</v>
      </c>
      <c r="G2551" s="45"/>
      <c r="H2551" s="48"/>
      <c r="I2551" s="49"/>
    </row>
    <row r="2552" spans="2:9" s="1" customFormat="1" x14ac:dyDescent="0.2">
      <c r="B2552" s="44" t="str">
        <f t="shared" si="52"/>
        <v>2011-055-4</v>
      </c>
      <c r="C2552" s="45">
        <v>2011</v>
      </c>
      <c r="D2552" s="45" t="s">
        <v>84</v>
      </c>
      <c r="E2552" s="45">
        <v>4</v>
      </c>
      <c r="F2552" s="47" t="s">
        <v>2003</v>
      </c>
      <c r="G2552" s="45"/>
      <c r="H2552" s="48"/>
      <c r="I2552" s="49"/>
    </row>
    <row r="2553" spans="2:9" s="1" customFormat="1" x14ac:dyDescent="0.2">
      <c r="B2553" s="50" t="str">
        <f t="shared" si="52"/>
        <v>2011-055-5</v>
      </c>
      <c r="C2553" s="51">
        <v>2011</v>
      </c>
      <c r="D2553" s="51" t="s">
        <v>84</v>
      </c>
      <c r="E2553" s="51">
        <v>5</v>
      </c>
      <c r="F2553" s="52" t="s">
        <v>2398</v>
      </c>
      <c r="G2553" s="51"/>
      <c r="H2553" s="53"/>
      <c r="I2553" s="54"/>
    </row>
    <row r="2554" spans="2:9" s="1" customFormat="1" ht="27" x14ac:dyDescent="0.2">
      <c r="B2554" s="55" t="str">
        <f t="shared" si="52"/>
        <v>2011-056-0</v>
      </c>
      <c r="C2554" s="56">
        <v>2011</v>
      </c>
      <c r="D2554" s="56" t="s">
        <v>85</v>
      </c>
      <c r="E2554" s="56">
        <v>0</v>
      </c>
      <c r="F2554" s="57" t="s">
        <v>418</v>
      </c>
      <c r="G2554" s="56"/>
      <c r="H2554" s="58"/>
      <c r="I2554" s="59"/>
    </row>
    <row r="2555" spans="2:9" s="1" customFormat="1" x14ac:dyDescent="0.2">
      <c r="B2555" s="44" t="str">
        <f t="shared" si="52"/>
        <v>2011-056-1</v>
      </c>
      <c r="C2555" s="45">
        <v>2011</v>
      </c>
      <c r="D2555" s="45" t="s">
        <v>85</v>
      </c>
      <c r="E2555" s="45">
        <v>1</v>
      </c>
      <c r="F2555" s="47" t="s">
        <v>818</v>
      </c>
      <c r="G2555" s="45"/>
      <c r="H2555" s="48"/>
      <c r="I2555" s="49"/>
    </row>
    <row r="2556" spans="2:9" s="1" customFormat="1" x14ac:dyDescent="0.2">
      <c r="B2556" s="44" t="str">
        <f t="shared" si="52"/>
        <v>2011-056-2</v>
      </c>
      <c r="C2556" s="45">
        <v>2011</v>
      </c>
      <c r="D2556" s="45" t="s">
        <v>85</v>
      </c>
      <c r="E2556" s="45">
        <v>2</v>
      </c>
      <c r="F2556" s="47" t="s">
        <v>1214</v>
      </c>
      <c r="G2556" s="45"/>
      <c r="H2556" s="48"/>
      <c r="I2556" s="49"/>
    </row>
    <row r="2557" spans="2:9" s="1" customFormat="1" x14ac:dyDescent="0.2">
      <c r="B2557" s="44" t="str">
        <f t="shared" si="52"/>
        <v>2011-056-3</v>
      </c>
      <c r="C2557" s="45">
        <v>2011</v>
      </c>
      <c r="D2557" s="45" t="s">
        <v>85</v>
      </c>
      <c r="E2557" s="45">
        <v>3</v>
      </c>
      <c r="F2557" s="47" t="s">
        <v>1608</v>
      </c>
      <c r="G2557" s="45"/>
      <c r="H2557" s="48"/>
      <c r="I2557" s="49"/>
    </row>
    <row r="2558" spans="2:9" s="1" customFormat="1" x14ac:dyDescent="0.2">
      <c r="B2558" s="44" t="str">
        <f t="shared" si="52"/>
        <v>2011-056-4</v>
      </c>
      <c r="C2558" s="45">
        <v>2011</v>
      </c>
      <c r="D2558" s="45" t="s">
        <v>85</v>
      </c>
      <c r="E2558" s="45">
        <v>4</v>
      </c>
      <c r="F2558" s="47" t="s">
        <v>2004</v>
      </c>
      <c r="G2558" s="45"/>
      <c r="H2558" s="48"/>
      <c r="I2558" s="49"/>
    </row>
    <row r="2559" spans="2:9" s="1" customFormat="1" ht="27" x14ac:dyDescent="0.2">
      <c r="B2559" s="50" t="str">
        <f t="shared" si="52"/>
        <v>2011-056-5</v>
      </c>
      <c r="C2559" s="51">
        <v>2011</v>
      </c>
      <c r="D2559" s="51" t="s">
        <v>85</v>
      </c>
      <c r="E2559" s="51">
        <v>5</v>
      </c>
      <c r="F2559" s="52" t="s">
        <v>2399</v>
      </c>
      <c r="G2559" s="51" t="s">
        <v>3210</v>
      </c>
      <c r="H2559" s="53"/>
      <c r="I2559" s="54"/>
    </row>
    <row r="2560" spans="2:9" s="1" customFormat="1" x14ac:dyDescent="0.2">
      <c r="B2560" s="55" t="str">
        <f t="shared" si="52"/>
        <v>2011-057-0</v>
      </c>
      <c r="C2560" s="56">
        <v>2011</v>
      </c>
      <c r="D2560" s="56" t="s">
        <v>86</v>
      </c>
      <c r="E2560" s="56">
        <v>0</v>
      </c>
      <c r="F2560" s="57" t="s">
        <v>419</v>
      </c>
      <c r="G2560" s="56"/>
      <c r="H2560" s="58"/>
      <c r="I2560" s="59"/>
    </row>
    <row r="2561" spans="2:9" s="1" customFormat="1" ht="27" x14ac:dyDescent="0.2">
      <c r="B2561" s="44" t="str">
        <f t="shared" si="52"/>
        <v>2011-057-1</v>
      </c>
      <c r="C2561" s="45">
        <v>2011</v>
      </c>
      <c r="D2561" s="45" t="s">
        <v>86</v>
      </c>
      <c r="E2561" s="45">
        <v>1</v>
      </c>
      <c r="F2561" s="47" t="s">
        <v>819</v>
      </c>
      <c r="G2561" s="45"/>
      <c r="H2561" s="48"/>
      <c r="I2561" s="49"/>
    </row>
    <row r="2562" spans="2:9" s="1" customFormat="1" x14ac:dyDescent="0.2">
      <c r="B2562" s="44" t="str">
        <f t="shared" si="52"/>
        <v>2011-057-2</v>
      </c>
      <c r="C2562" s="45">
        <v>2011</v>
      </c>
      <c r="D2562" s="45" t="s">
        <v>86</v>
      </c>
      <c r="E2562" s="45">
        <v>2</v>
      </c>
      <c r="F2562" s="47" t="s">
        <v>1215</v>
      </c>
      <c r="G2562" s="45"/>
      <c r="H2562" s="48"/>
      <c r="I2562" s="49"/>
    </row>
    <row r="2563" spans="2:9" s="1" customFormat="1" x14ac:dyDescent="0.2">
      <c r="B2563" s="44" t="str">
        <f t="shared" si="52"/>
        <v>2011-057-3</v>
      </c>
      <c r="C2563" s="45">
        <v>2011</v>
      </c>
      <c r="D2563" s="45" t="s">
        <v>86</v>
      </c>
      <c r="E2563" s="45">
        <v>3</v>
      </c>
      <c r="F2563" s="47" t="s">
        <v>1609</v>
      </c>
      <c r="G2563" s="45" t="s">
        <v>3210</v>
      </c>
      <c r="H2563" s="48"/>
      <c r="I2563" s="49"/>
    </row>
    <row r="2564" spans="2:9" s="1" customFormat="1" x14ac:dyDescent="0.2">
      <c r="B2564" s="44" t="str">
        <f t="shared" si="52"/>
        <v>2011-057-4</v>
      </c>
      <c r="C2564" s="45">
        <v>2011</v>
      </c>
      <c r="D2564" s="45" t="s">
        <v>86</v>
      </c>
      <c r="E2564" s="45">
        <v>4</v>
      </c>
      <c r="F2564" s="47" t="s">
        <v>2005</v>
      </c>
      <c r="G2564" s="45"/>
      <c r="H2564" s="48"/>
      <c r="I2564" s="49"/>
    </row>
    <row r="2565" spans="2:9" s="1" customFormat="1" x14ac:dyDescent="0.2">
      <c r="B2565" s="50" t="str">
        <f t="shared" si="52"/>
        <v>2011-057-5</v>
      </c>
      <c r="C2565" s="51">
        <v>2011</v>
      </c>
      <c r="D2565" s="51" t="s">
        <v>86</v>
      </c>
      <c r="E2565" s="51">
        <v>5</v>
      </c>
      <c r="F2565" s="52" t="s">
        <v>2400</v>
      </c>
      <c r="G2565" s="51"/>
      <c r="H2565" s="53"/>
      <c r="I2565" s="54"/>
    </row>
    <row r="2566" spans="2:9" s="1" customFormat="1" x14ac:dyDescent="0.2">
      <c r="B2566" s="55" t="str">
        <f t="shared" si="52"/>
        <v>2011-058-0</v>
      </c>
      <c r="C2566" s="56">
        <v>2011</v>
      </c>
      <c r="D2566" s="56" t="s">
        <v>87</v>
      </c>
      <c r="E2566" s="56">
        <v>0</v>
      </c>
      <c r="F2566" s="57" t="s">
        <v>406</v>
      </c>
      <c r="G2566" s="56"/>
      <c r="H2566" s="58"/>
      <c r="I2566" s="59"/>
    </row>
    <row r="2567" spans="2:9" s="1" customFormat="1" x14ac:dyDescent="0.2">
      <c r="B2567" s="44" t="str">
        <f t="shared" si="52"/>
        <v>2011-058-1</v>
      </c>
      <c r="C2567" s="45">
        <v>2011</v>
      </c>
      <c r="D2567" s="45" t="s">
        <v>87</v>
      </c>
      <c r="E2567" s="45">
        <v>1</v>
      </c>
      <c r="F2567" s="47" t="s">
        <v>820</v>
      </c>
      <c r="G2567" s="45"/>
      <c r="H2567" s="48"/>
      <c r="I2567" s="49"/>
    </row>
    <row r="2568" spans="2:9" s="1" customFormat="1" x14ac:dyDescent="0.2">
      <c r="B2568" s="44" t="str">
        <f t="shared" si="52"/>
        <v>2011-058-2</v>
      </c>
      <c r="C2568" s="45">
        <v>2011</v>
      </c>
      <c r="D2568" s="45" t="s">
        <v>87</v>
      </c>
      <c r="E2568" s="45">
        <v>2</v>
      </c>
      <c r="F2568" s="47" t="s">
        <v>1216</v>
      </c>
      <c r="G2568" s="45"/>
      <c r="H2568" s="48"/>
      <c r="I2568" s="49"/>
    </row>
    <row r="2569" spans="2:9" s="1" customFormat="1" x14ac:dyDescent="0.2">
      <c r="B2569" s="44" t="str">
        <f t="shared" si="52"/>
        <v>2011-058-3</v>
      </c>
      <c r="C2569" s="45">
        <v>2011</v>
      </c>
      <c r="D2569" s="45" t="s">
        <v>87</v>
      </c>
      <c r="E2569" s="45">
        <v>3</v>
      </c>
      <c r="F2569" s="47" t="s">
        <v>1610</v>
      </c>
      <c r="G2569" s="45" t="s">
        <v>3210</v>
      </c>
      <c r="H2569" s="48"/>
      <c r="I2569" s="49"/>
    </row>
    <row r="2570" spans="2:9" s="1" customFormat="1" ht="27" x14ac:dyDescent="0.2">
      <c r="B2570" s="44" t="str">
        <f t="shared" si="52"/>
        <v>2011-058-4</v>
      </c>
      <c r="C2570" s="45">
        <v>2011</v>
      </c>
      <c r="D2570" s="45" t="s">
        <v>87</v>
      </c>
      <c r="E2570" s="45">
        <v>4</v>
      </c>
      <c r="F2570" s="47" t="s">
        <v>2006</v>
      </c>
      <c r="G2570" s="45"/>
      <c r="H2570" s="48"/>
      <c r="I2570" s="49"/>
    </row>
    <row r="2571" spans="2:9" s="1" customFormat="1" ht="27" x14ac:dyDescent="0.2">
      <c r="B2571" s="50" t="str">
        <f t="shared" si="52"/>
        <v>2011-058-5</v>
      </c>
      <c r="C2571" s="51">
        <v>2011</v>
      </c>
      <c r="D2571" s="51" t="s">
        <v>87</v>
      </c>
      <c r="E2571" s="51">
        <v>5</v>
      </c>
      <c r="F2571" s="52" t="s">
        <v>2401</v>
      </c>
      <c r="G2571" s="51"/>
      <c r="H2571" s="53"/>
      <c r="I2571" s="54"/>
    </row>
    <row r="2572" spans="2:9" s="1" customFormat="1" x14ac:dyDescent="0.2">
      <c r="B2572" s="55" t="str">
        <f t="shared" si="52"/>
        <v>2011-059-0</v>
      </c>
      <c r="C2572" s="56">
        <v>2011</v>
      </c>
      <c r="D2572" s="56" t="s">
        <v>88</v>
      </c>
      <c r="E2572" s="56">
        <v>0</v>
      </c>
      <c r="F2572" s="57" t="s">
        <v>420</v>
      </c>
      <c r="G2572" s="56"/>
      <c r="H2572" s="58"/>
      <c r="I2572" s="59"/>
    </row>
    <row r="2573" spans="2:9" s="1" customFormat="1" x14ac:dyDescent="0.2">
      <c r="B2573" s="44" t="str">
        <f t="shared" si="52"/>
        <v>2011-059-1</v>
      </c>
      <c r="C2573" s="45">
        <v>2011</v>
      </c>
      <c r="D2573" s="45" t="s">
        <v>88</v>
      </c>
      <c r="E2573" s="45">
        <v>1</v>
      </c>
      <c r="F2573" s="47" t="s">
        <v>821</v>
      </c>
      <c r="G2573" s="45"/>
      <c r="H2573" s="48"/>
      <c r="I2573" s="49"/>
    </row>
    <row r="2574" spans="2:9" s="1" customFormat="1" x14ac:dyDescent="0.2">
      <c r="B2574" s="44" t="str">
        <f t="shared" si="52"/>
        <v>2011-059-2</v>
      </c>
      <c r="C2574" s="45">
        <v>2011</v>
      </c>
      <c r="D2574" s="45" t="s">
        <v>88</v>
      </c>
      <c r="E2574" s="45">
        <v>2</v>
      </c>
      <c r="F2574" s="47" t="s">
        <v>1217</v>
      </c>
      <c r="G2574" s="45" t="s">
        <v>3210</v>
      </c>
      <c r="H2574" s="48"/>
      <c r="I2574" s="49"/>
    </row>
    <row r="2575" spans="2:9" s="1" customFormat="1" x14ac:dyDescent="0.2">
      <c r="B2575" s="44" t="str">
        <f t="shared" si="52"/>
        <v>2011-059-3</v>
      </c>
      <c r="C2575" s="45">
        <v>2011</v>
      </c>
      <c r="D2575" s="45" t="s">
        <v>88</v>
      </c>
      <c r="E2575" s="45">
        <v>3</v>
      </c>
      <c r="F2575" s="47" t="s">
        <v>1611</v>
      </c>
      <c r="G2575" s="45"/>
      <c r="H2575" s="48"/>
      <c r="I2575" s="49"/>
    </row>
    <row r="2576" spans="2:9" s="1" customFormat="1" x14ac:dyDescent="0.2">
      <c r="B2576" s="44" t="str">
        <f t="shared" si="52"/>
        <v>2011-059-4</v>
      </c>
      <c r="C2576" s="45">
        <v>2011</v>
      </c>
      <c r="D2576" s="45" t="s">
        <v>88</v>
      </c>
      <c r="E2576" s="45">
        <v>4</v>
      </c>
      <c r="F2576" s="47" t="s">
        <v>2007</v>
      </c>
      <c r="G2576" s="45"/>
      <c r="H2576" s="48"/>
      <c r="I2576" s="49"/>
    </row>
    <row r="2577" spans="2:9" s="1" customFormat="1" x14ac:dyDescent="0.2">
      <c r="B2577" s="50" t="str">
        <f t="shared" si="52"/>
        <v>2011-059-5</v>
      </c>
      <c r="C2577" s="51">
        <v>2011</v>
      </c>
      <c r="D2577" s="51" t="s">
        <v>88</v>
      </c>
      <c r="E2577" s="51">
        <v>5</v>
      </c>
      <c r="F2577" s="52" t="s">
        <v>2402</v>
      </c>
      <c r="G2577" s="51"/>
      <c r="H2577" s="53"/>
      <c r="I2577" s="54"/>
    </row>
    <row r="2578" spans="2:9" s="1" customFormat="1" x14ac:dyDescent="0.2">
      <c r="B2578" s="55" t="str">
        <f t="shared" si="52"/>
        <v>2011-060-0</v>
      </c>
      <c r="C2578" s="56">
        <v>2011</v>
      </c>
      <c r="D2578" s="56" t="s">
        <v>89</v>
      </c>
      <c r="E2578" s="56">
        <v>0</v>
      </c>
      <c r="F2578" s="57" t="s">
        <v>421</v>
      </c>
      <c r="G2578" s="56"/>
      <c r="H2578" s="58"/>
      <c r="I2578" s="59"/>
    </row>
    <row r="2579" spans="2:9" s="1" customFormat="1" x14ac:dyDescent="0.2">
      <c r="B2579" s="44" t="str">
        <f t="shared" si="52"/>
        <v>2011-060-1</v>
      </c>
      <c r="C2579" s="45">
        <v>2011</v>
      </c>
      <c r="D2579" s="45" t="s">
        <v>89</v>
      </c>
      <c r="E2579" s="45">
        <v>1</v>
      </c>
      <c r="F2579" s="47" t="s">
        <v>822</v>
      </c>
      <c r="G2579" s="45" t="s">
        <v>3210</v>
      </c>
      <c r="H2579" s="48"/>
      <c r="I2579" s="49"/>
    </row>
    <row r="2580" spans="2:9" s="1" customFormat="1" x14ac:dyDescent="0.2">
      <c r="B2580" s="44" t="str">
        <f t="shared" si="52"/>
        <v>2011-060-2</v>
      </c>
      <c r="C2580" s="45">
        <v>2011</v>
      </c>
      <c r="D2580" s="45" t="s">
        <v>89</v>
      </c>
      <c r="E2580" s="45">
        <v>2</v>
      </c>
      <c r="F2580" s="47" t="s">
        <v>1218</v>
      </c>
      <c r="G2580" s="45"/>
      <c r="H2580" s="48"/>
      <c r="I2580" s="49"/>
    </row>
    <row r="2581" spans="2:9" s="1" customFormat="1" x14ac:dyDescent="0.2">
      <c r="B2581" s="44" t="str">
        <f t="shared" si="52"/>
        <v>2011-060-3</v>
      </c>
      <c r="C2581" s="45">
        <v>2011</v>
      </c>
      <c r="D2581" s="45" t="s">
        <v>89</v>
      </c>
      <c r="E2581" s="45">
        <v>3</v>
      </c>
      <c r="F2581" s="47" t="s">
        <v>1612</v>
      </c>
      <c r="G2581" s="45"/>
      <c r="H2581" s="48"/>
      <c r="I2581" s="49"/>
    </row>
    <row r="2582" spans="2:9" s="1" customFormat="1" x14ac:dyDescent="0.2">
      <c r="B2582" s="44" t="str">
        <f t="shared" si="52"/>
        <v>2011-060-4</v>
      </c>
      <c r="C2582" s="45">
        <v>2011</v>
      </c>
      <c r="D2582" s="45" t="s">
        <v>89</v>
      </c>
      <c r="E2582" s="45">
        <v>4</v>
      </c>
      <c r="F2582" s="47" t="s">
        <v>2008</v>
      </c>
      <c r="G2582" s="45"/>
      <c r="H2582" s="48"/>
      <c r="I2582" s="49"/>
    </row>
    <row r="2583" spans="2:9" s="1" customFormat="1" x14ac:dyDescent="0.2">
      <c r="B2583" s="50" t="str">
        <f t="shared" si="52"/>
        <v>2011-060-5</v>
      </c>
      <c r="C2583" s="51">
        <v>2011</v>
      </c>
      <c r="D2583" s="51" t="s">
        <v>89</v>
      </c>
      <c r="E2583" s="51">
        <v>5</v>
      </c>
      <c r="F2583" s="52" t="s">
        <v>2403</v>
      </c>
      <c r="G2583" s="51"/>
      <c r="H2583" s="53"/>
      <c r="I2583" s="54"/>
    </row>
    <row r="2584" spans="2:9" s="1" customFormat="1" x14ac:dyDescent="0.2">
      <c r="B2584" s="55" t="str">
        <f t="shared" si="52"/>
        <v>2011-061-0</v>
      </c>
      <c r="C2584" s="56">
        <v>2011</v>
      </c>
      <c r="D2584" s="56" t="s">
        <v>90</v>
      </c>
      <c r="E2584" s="56">
        <v>0</v>
      </c>
      <c r="F2584" s="57" t="s">
        <v>422</v>
      </c>
      <c r="G2584" s="56"/>
      <c r="H2584" s="58"/>
      <c r="I2584" s="59"/>
    </row>
    <row r="2585" spans="2:9" s="1" customFormat="1" x14ac:dyDescent="0.2">
      <c r="B2585" s="44" t="str">
        <f t="shared" si="52"/>
        <v>2011-061-1</v>
      </c>
      <c r="C2585" s="45">
        <v>2011</v>
      </c>
      <c r="D2585" s="45" t="s">
        <v>90</v>
      </c>
      <c r="E2585" s="45">
        <v>1</v>
      </c>
      <c r="F2585" s="47" t="s">
        <v>823</v>
      </c>
      <c r="G2585" s="45"/>
      <c r="H2585" s="48"/>
      <c r="I2585" s="49"/>
    </row>
    <row r="2586" spans="2:9" s="1" customFormat="1" x14ac:dyDescent="0.2">
      <c r="B2586" s="44" t="str">
        <f t="shared" si="52"/>
        <v>2011-061-2</v>
      </c>
      <c r="C2586" s="45">
        <v>2011</v>
      </c>
      <c r="D2586" s="45" t="s">
        <v>90</v>
      </c>
      <c r="E2586" s="45">
        <v>2</v>
      </c>
      <c r="F2586" s="47" t="s">
        <v>1219</v>
      </c>
      <c r="G2586" s="45"/>
      <c r="H2586" s="48"/>
      <c r="I2586" s="49"/>
    </row>
    <row r="2587" spans="2:9" s="1" customFormat="1" x14ac:dyDescent="0.2">
      <c r="B2587" s="44" t="str">
        <f t="shared" si="52"/>
        <v>2011-061-3</v>
      </c>
      <c r="C2587" s="45">
        <v>2011</v>
      </c>
      <c r="D2587" s="45" t="s">
        <v>90</v>
      </c>
      <c r="E2587" s="45">
        <v>3</v>
      </c>
      <c r="F2587" s="47" t="s">
        <v>1613</v>
      </c>
      <c r="G2587" s="45"/>
      <c r="H2587" s="48"/>
      <c r="I2587" s="49"/>
    </row>
    <row r="2588" spans="2:9" s="1" customFormat="1" x14ac:dyDescent="0.2">
      <c r="B2588" s="44" t="str">
        <f t="shared" si="52"/>
        <v>2011-061-4</v>
      </c>
      <c r="C2588" s="45">
        <v>2011</v>
      </c>
      <c r="D2588" s="45" t="s">
        <v>90</v>
      </c>
      <c r="E2588" s="45">
        <v>4</v>
      </c>
      <c r="F2588" s="47" t="s">
        <v>2009</v>
      </c>
      <c r="G2588" s="45"/>
      <c r="H2588" s="48"/>
      <c r="I2588" s="49"/>
    </row>
    <row r="2589" spans="2:9" s="1" customFormat="1" x14ac:dyDescent="0.2">
      <c r="B2589" s="50" t="str">
        <f t="shared" si="52"/>
        <v>2011-061-5</v>
      </c>
      <c r="C2589" s="51">
        <v>2011</v>
      </c>
      <c r="D2589" s="51" t="s">
        <v>90</v>
      </c>
      <c r="E2589" s="51">
        <v>5</v>
      </c>
      <c r="F2589" s="52" t="s">
        <v>2404</v>
      </c>
      <c r="G2589" s="51" t="s">
        <v>3210</v>
      </c>
      <c r="H2589" s="53"/>
      <c r="I2589" s="54"/>
    </row>
    <row r="2590" spans="2:9" s="1" customFormat="1" x14ac:dyDescent="0.2">
      <c r="B2590" s="55" t="str">
        <f t="shared" si="52"/>
        <v>2011-062-0</v>
      </c>
      <c r="C2590" s="56">
        <v>2011</v>
      </c>
      <c r="D2590" s="56" t="s">
        <v>91</v>
      </c>
      <c r="E2590" s="56">
        <v>0</v>
      </c>
      <c r="F2590" s="57" t="s">
        <v>423</v>
      </c>
      <c r="G2590" s="56"/>
      <c r="H2590" s="58"/>
      <c r="I2590" s="59"/>
    </row>
    <row r="2591" spans="2:9" s="1" customFormat="1" x14ac:dyDescent="0.2">
      <c r="B2591" s="44" t="str">
        <f t="shared" si="52"/>
        <v>2011-062-1</v>
      </c>
      <c r="C2591" s="45">
        <v>2011</v>
      </c>
      <c r="D2591" s="45" t="s">
        <v>91</v>
      </c>
      <c r="E2591" s="45">
        <v>1</v>
      </c>
      <c r="F2591" s="47" t="s">
        <v>824</v>
      </c>
      <c r="G2591" s="45"/>
      <c r="H2591" s="48"/>
      <c r="I2591" s="49"/>
    </row>
    <row r="2592" spans="2:9" s="1" customFormat="1" x14ac:dyDescent="0.2">
      <c r="B2592" s="44" t="str">
        <f t="shared" si="52"/>
        <v>2011-062-2</v>
      </c>
      <c r="C2592" s="45">
        <v>2011</v>
      </c>
      <c r="D2592" s="45" t="s">
        <v>91</v>
      </c>
      <c r="E2592" s="45">
        <v>2</v>
      </c>
      <c r="F2592" s="47" t="s">
        <v>1220</v>
      </c>
      <c r="G2592" s="45" t="s">
        <v>3210</v>
      </c>
      <c r="H2592" s="48"/>
      <c r="I2592" s="49"/>
    </row>
    <row r="2593" spans="2:9" s="1" customFormat="1" x14ac:dyDescent="0.2">
      <c r="B2593" s="44" t="str">
        <f t="shared" si="52"/>
        <v>2011-062-3</v>
      </c>
      <c r="C2593" s="45">
        <v>2011</v>
      </c>
      <c r="D2593" s="45" t="s">
        <v>91</v>
      </c>
      <c r="E2593" s="45">
        <v>3</v>
      </c>
      <c r="F2593" s="47" t="s">
        <v>1614</v>
      </c>
      <c r="G2593" s="45"/>
      <c r="H2593" s="48"/>
      <c r="I2593" s="49"/>
    </row>
    <row r="2594" spans="2:9" s="1" customFormat="1" x14ac:dyDescent="0.2">
      <c r="B2594" s="44" t="str">
        <f t="shared" si="52"/>
        <v>2011-062-4</v>
      </c>
      <c r="C2594" s="45">
        <v>2011</v>
      </c>
      <c r="D2594" s="45" t="s">
        <v>91</v>
      </c>
      <c r="E2594" s="45">
        <v>4</v>
      </c>
      <c r="F2594" s="47" t="s">
        <v>2010</v>
      </c>
      <c r="G2594" s="45"/>
      <c r="H2594" s="48"/>
      <c r="I2594" s="49"/>
    </row>
    <row r="2595" spans="2:9" s="1" customFormat="1" x14ac:dyDescent="0.2">
      <c r="B2595" s="50" t="str">
        <f t="shared" si="52"/>
        <v>2011-062-5</v>
      </c>
      <c r="C2595" s="51">
        <v>2011</v>
      </c>
      <c r="D2595" s="51" t="s">
        <v>91</v>
      </c>
      <c r="E2595" s="51">
        <v>5</v>
      </c>
      <c r="F2595" s="52" t="s">
        <v>2405</v>
      </c>
      <c r="G2595" s="51"/>
      <c r="H2595" s="53"/>
      <c r="I2595" s="54"/>
    </row>
    <row r="2596" spans="2:9" s="1" customFormat="1" x14ac:dyDescent="0.2">
      <c r="B2596" s="55" t="str">
        <f t="shared" si="52"/>
        <v>2011-063-0</v>
      </c>
      <c r="C2596" s="56">
        <v>2011</v>
      </c>
      <c r="D2596" s="56" t="s">
        <v>92</v>
      </c>
      <c r="E2596" s="56">
        <v>0</v>
      </c>
      <c r="F2596" s="57" t="s">
        <v>424</v>
      </c>
      <c r="G2596" s="56"/>
      <c r="H2596" s="58"/>
      <c r="I2596" s="59"/>
    </row>
    <row r="2597" spans="2:9" s="1" customFormat="1" x14ac:dyDescent="0.2">
      <c r="B2597" s="44" t="str">
        <f t="shared" si="52"/>
        <v>2011-063-1</v>
      </c>
      <c r="C2597" s="45">
        <v>2011</v>
      </c>
      <c r="D2597" s="45" t="s">
        <v>92</v>
      </c>
      <c r="E2597" s="45">
        <v>1</v>
      </c>
      <c r="F2597" s="47" t="s">
        <v>825</v>
      </c>
      <c r="G2597" s="45"/>
      <c r="H2597" s="48"/>
      <c r="I2597" s="49"/>
    </row>
    <row r="2598" spans="2:9" s="1" customFormat="1" x14ac:dyDescent="0.2">
      <c r="B2598" s="44" t="str">
        <f t="shared" si="52"/>
        <v>2011-063-2</v>
      </c>
      <c r="C2598" s="45">
        <v>2011</v>
      </c>
      <c r="D2598" s="45" t="s">
        <v>92</v>
      </c>
      <c r="E2598" s="45">
        <v>2</v>
      </c>
      <c r="F2598" s="47" t="s">
        <v>1221</v>
      </c>
      <c r="G2598" s="45"/>
      <c r="H2598" s="48"/>
      <c r="I2598" s="49"/>
    </row>
    <row r="2599" spans="2:9" s="1" customFormat="1" x14ac:dyDescent="0.2">
      <c r="B2599" s="44" t="str">
        <f t="shared" si="52"/>
        <v>2011-063-3</v>
      </c>
      <c r="C2599" s="45">
        <v>2011</v>
      </c>
      <c r="D2599" s="45" t="s">
        <v>92</v>
      </c>
      <c r="E2599" s="45">
        <v>3</v>
      </c>
      <c r="F2599" s="47" t="s">
        <v>1615</v>
      </c>
      <c r="G2599" s="45"/>
      <c r="H2599" s="48"/>
      <c r="I2599" s="49"/>
    </row>
    <row r="2600" spans="2:9" s="1" customFormat="1" x14ac:dyDescent="0.2">
      <c r="B2600" s="44" t="str">
        <f t="shared" si="52"/>
        <v>2011-063-4</v>
      </c>
      <c r="C2600" s="45">
        <v>2011</v>
      </c>
      <c r="D2600" s="45" t="s">
        <v>92</v>
      </c>
      <c r="E2600" s="45">
        <v>4</v>
      </c>
      <c r="F2600" s="47" t="s">
        <v>2011</v>
      </c>
      <c r="G2600" s="45" t="s">
        <v>3210</v>
      </c>
      <c r="H2600" s="48"/>
      <c r="I2600" s="49"/>
    </row>
    <row r="2601" spans="2:9" s="1" customFormat="1" x14ac:dyDescent="0.2">
      <c r="B2601" s="50" t="str">
        <f t="shared" si="52"/>
        <v>2011-063-5</v>
      </c>
      <c r="C2601" s="51">
        <v>2011</v>
      </c>
      <c r="D2601" s="51" t="s">
        <v>92</v>
      </c>
      <c r="E2601" s="51">
        <v>5</v>
      </c>
      <c r="F2601" s="52" t="s">
        <v>2406</v>
      </c>
      <c r="G2601" s="51"/>
      <c r="H2601" s="53"/>
      <c r="I2601" s="54"/>
    </row>
    <row r="2602" spans="2:9" s="1" customFormat="1" x14ac:dyDescent="0.2">
      <c r="B2602" s="55" t="str">
        <f t="shared" si="52"/>
        <v>2011-064-0</v>
      </c>
      <c r="C2602" s="56">
        <v>2011</v>
      </c>
      <c r="D2602" s="56" t="s">
        <v>93</v>
      </c>
      <c r="E2602" s="56">
        <v>0</v>
      </c>
      <c r="F2602" s="57" t="s">
        <v>425</v>
      </c>
      <c r="G2602" s="56"/>
      <c r="H2602" s="58"/>
      <c r="I2602" s="59"/>
    </row>
    <row r="2603" spans="2:9" s="1" customFormat="1" x14ac:dyDescent="0.2">
      <c r="B2603" s="44" t="str">
        <f t="shared" si="52"/>
        <v>2011-064-1</v>
      </c>
      <c r="C2603" s="45">
        <v>2011</v>
      </c>
      <c r="D2603" s="45" t="s">
        <v>93</v>
      </c>
      <c r="E2603" s="45">
        <v>1</v>
      </c>
      <c r="F2603" s="47" t="s">
        <v>826</v>
      </c>
      <c r="G2603" s="45"/>
      <c r="H2603" s="48"/>
      <c r="I2603" s="49"/>
    </row>
    <row r="2604" spans="2:9" s="1" customFormat="1" x14ac:dyDescent="0.2">
      <c r="B2604" s="44" t="str">
        <f t="shared" si="52"/>
        <v>2011-064-2</v>
      </c>
      <c r="C2604" s="45">
        <v>2011</v>
      </c>
      <c r="D2604" s="45" t="s">
        <v>93</v>
      </c>
      <c r="E2604" s="45">
        <v>2</v>
      </c>
      <c r="F2604" s="47" t="s">
        <v>1222</v>
      </c>
      <c r="G2604" s="45"/>
      <c r="H2604" s="48"/>
      <c r="I2604" s="49"/>
    </row>
    <row r="2605" spans="2:9" s="1" customFormat="1" x14ac:dyDescent="0.2">
      <c r="B2605" s="44" t="str">
        <f t="shared" ref="B2605:B2668" si="53">C2605&amp;"-"&amp;D2605&amp;"-"&amp;E2605</f>
        <v>2011-064-3</v>
      </c>
      <c r="C2605" s="45">
        <v>2011</v>
      </c>
      <c r="D2605" s="45" t="s">
        <v>93</v>
      </c>
      <c r="E2605" s="45">
        <v>3</v>
      </c>
      <c r="F2605" s="47" t="s">
        <v>1616</v>
      </c>
      <c r="G2605" s="45"/>
      <c r="H2605" s="48"/>
      <c r="I2605" s="49"/>
    </row>
    <row r="2606" spans="2:9" s="1" customFormat="1" x14ac:dyDescent="0.2">
      <c r="B2606" s="44" t="str">
        <f t="shared" si="53"/>
        <v>2011-064-4</v>
      </c>
      <c r="C2606" s="45">
        <v>2011</v>
      </c>
      <c r="D2606" s="45" t="s">
        <v>93</v>
      </c>
      <c r="E2606" s="45">
        <v>4</v>
      </c>
      <c r="F2606" s="47" t="s">
        <v>2012</v>
      </c>
      <c r="G2606" s="45" t="s">
        <v>3210</v>
      </c>
      <c r="H2606" s="48"/>
      <c r="I2606" s="49"/>
    </row>
    <row r="2607" spans="2:9" s="1" customFormat="1" x14ac:dyDescent="0.2">
      <c r="B2607" s="50" t="str">
        <f t="shared" si="53"/>
        <v>2011-064-5</v>
      </c>
      <c r="C2607" s="51">
        <v>2011</v>
      </c>
      <c r="D2607" s="51" t="s">
        <v>93</v>
      </c>
      <c r="E2607" s="51">
        <v>5</v>
      </c>
      <c r="F2607" s="52" t="s">
        <v>2407</v>
      </c>
      <c r="G2607" s="51"/>
      <c r="H2607" s="53"/>
      <c r="I2607" s="54"/>
    </row>
    <row r="2608" spans="2:9" s="1" customFormat="1" x14ac:dyDescent="0.2">
      <c r="B2608" s="55" t="str">
        <f t="shared" si="53"/>
        <v>2011-065-0</v>
      </c>
      <c r="C2608" s="56">
        <v>2011</v>
      </c>
      <c r="D2608" s="56" t="s">
        <v>94</v>
      </c>
      <c r="E2608" s="56">
        <v>0</v>
      </c>
      <c r="F2608" s="57" t="s">
        <v>426</v>
      </c>
      <c r="G2608" s="56"/>
      <c r="H2608" s="58"/>
      <c r="I2608" s="59"/>
    </row>
    <row r="2609" spans="2:9" s="1" customFormat="1" x14ac:dyDescent="0.2">
      <c r="B2609" s="44" t="str">
        <f t="shared" si="53"/>
        <v>2011-065-1</v>
      </c>
      <c r="C2609" s="45">
        <v>2011</v>
      </c>
      <c r="D2609" s="45" t="s">
        <v>94</v>
      </c>
      <c r="E2609" s="45">
        <v>1</v>
      </c>
      <c r="F2609" s="47" t="s">
        <v>827</v>
      </c>
      <c r="G2609" s="45"/>
      <c r="H2609" s="48"/>
      <c r="I2609" s="49"/>
    </row>
    <row r="2610" spans="2:9" s="1" customFormat="1" x14ac:dyDescent="0.2">
      <c r="B2610" s="44" t="str">
        <f t="shared" si="53"/>
        <v>2011-065-2</v>
      </c>
      <c r="C2610" s="45">
        <v>2011</v>
      </c>
      <c r="D2610" s="45" t="s">
        <v>94</v>
      </c>
      <c r="E2610" s="45">
        <v>2</v>
      </c>
      <c r="F2610" s="47" t="s">
        <v>1223</v>
      </c>
      <c r="G2610" s="45" t="s">
        <v>3210</v>
      </c>
      <c r="H2610" s="48"/>
      <c r="I2610" s="49"/>
    </row>
    <row r="2611" spans="2:9" s="1" customFormat="1" x14ac:dyDescent="0.2">
      <c r="B2611" s="44" t="str">
        <f t="shared" si="53"/>
        <v>2011-065-3</v>
      </c>
      <c r="C2611" s="45">
        <v>2011</v>
      </c>
      <c r="D2611" s="45" t="s">
        <v>94</v>
      </c>
      <c r="E2611" s="45">
        <v>3</v>
      </c>
      <c r="F2611" s="47" t="s">
        <v>1617</v>
      </c>
      <c r="G2611" s="45"/>
      <c r="H2611" s="48"/>
      <c r="I2611" s="49"/>
    </row>
    <row r="2612" spans="2:9" s="1" customFormat="1" x14ac:dyDescent="0.2">
      <c r="B2612" s="44" t="str">
        <f t="shared" si="53"/>
        <v>2011-065-4</v>
      </c>
      <c r="C2612" s="45">
        <v>2011</v>
      </c>
      <c r="D2612" s="45" t="s">
        <v>94</v>
      </c>
      <c r="E2612" s="45">
        <v>4</v>
      </c>
      <c r="F2612" s="47" t="s">
        <v>2013</v>
      </c>
      <c r="G2612" s="45"/>
      <c r="H2612" s="48"/>
      <c r="I2612" s="49"/>
    </row>
    <row r="2613" spans="2:9" s="1" customFormat="1" ht="27" x14ac:dyDescent="0.2">
      <c r="B2613" s="50" t="str">
        <f t="shared" si="53"/>
        <v>2011-065-5</v>
      </c>
      <c r="C2613" s="51">
        <v>2011</v>
      </c>
      <c r="D2613" s="51" t="s">
        <v>94</v>
      </c>
      <c r="E2613" s="51">
        <v>5</v>
      </c>
      <c r="F2613" s="52" t="s">
        <v>2408</v>
      </c>
      <c r="G2613" s="51"/>
      <c r="H2613" s="53"/>
      <c r="I2613" s="54"/>
    </row>
    <row r="2614" spans="2:9" s="1" customFormat="1" x14ac:dyDescent="0.2">
      <c r="B2614" s="55" t="str">
        <f t="shared" si="53"/>
        <v>2011-066-0</v>
      </c>
      <c r="C2614" s="56">
        <v>2011</v>
      </c>
      <c r="D2614" s="56" t="s">
        <v>95</v>
      </c>
      <c r="E2614" s="56">
        <v>0</v>
      </c>
      <c r="F2614" s="57" t="s">
        <v>427</v>
      </c>
      <c r="G2614" s="56"/>
      <c r="H2614" s="58"/>
      <c r="I2614" s="59"/>
    </row>
    <row r="2615" spans="2:9" s="1" customFormat="1" x14ac:dyDescent="0.2">
      <c r="B2615" s="44" t="str">
        <f t="shared" si="53"/>
        <v>2011-066-1</v>
      </c>
      <c r="C2615" s="45">
        <v>2011</v>
      </c>
      <c r="D2615" s="45" t="s">
        <v>95</v>
      </c>
      <c r="E2615" s="45">
        <v>1</v>
      </c>
      <c r="F2615" s="47" t="s">
        <v>828</v>
      </c>
      <c r="G2615" s="45" t="s">
        <v>3210</v>
      </c>
      <c r="H2615" s="48"/>
      <c r="I2615" s="49"/>
    </row>
    <row r="2616" spans="2:9" s="1" customFormat="1" x14ac:dyDescent="0.2">
      <c r="B2616" s="44" t="str">
        <f t="shared" si="53"/>
        <v>2011-066-2</v>
      </c>
      <c r="C2616" s="45">
        <v>2011</v>
      </c>
      <c r="D2616" s="45" t="s">
        <v>95</v>
      </c>
      <c r="E2616" s="45">
        <v>2</v>
      </c>
      <c r="F2616" s="47" t="s">
        <v>1224</v>
      </c>
      <c r="G2616" s="45"/>
      <c r="H2616" s="48"/>
      <c r="I2616" s="49"/>
    </row>
    <row r="2617" spans="2:9" s="1" customFormat="1" x14ac:dyDescent="0.2">
      <c r="B2617" s="44" t="str">
        <f t="shared" si="53"/>
        <v>2011-066-3</v>
      </c>
      <c r="C2617" s="45">
        <v>2011</v>
      </c>
      <c r="D2617" s="45" t="s">
        <v>95</v>
      </c>
      <c r="E2617" s="45">
        <v>3</v>
      </c>
      <c r="F2617" s="47" t="s">
        <v>1618</v>
      </c>
      <c r="G2617" s="45"/>
      <c r="H2617" s="48"/>
      <c r="I2617" s="49"/>
    </row>
    <row r="2618" spans="2:9" s="1" customFormat="1" x14ac:dyDescent="0.2">
      <c r="B2618" s="44" t="str">
        <f t="shared" si="53"/>
        <v>2011-066-4</v>
      </c>
      <c r="C2618" s="45">
        <v>2011</v>
      </c>
      <c r="D2618" s="45" t="s">
        <v>95</v>
      </c>
      <c r="E2618" s="45">
        <v>4</v>
      </c>
      <c r="F2618" s="47" t="s">
        <v>2014</v>
      </c>
      <c r="G2618" s="45"/>
      <c r="H2618" s="48"/>
      <c r="I2618" s="49"/>
    </row>
    <row r="2619" spans="2:9" s="1" customFormat="1" x14ac:dyDescent="0.2">
      <c r="B2619" s="50" t="str">
        <f t="shared" si="53"/>
        <v>2011-066-5</v>
      </c>
      <c r="C2619" s="51">
        <v>2011</v>
      </c>
      <c r="D2619" s="51" t="s">
        <v>95</v>
      </c>
      <c r="E2619" s="51">
        <v>5</v>
      </c>
      <c r="F2619" s="52" t="s">
        <v>2409</v>
      </c>
      <c r="G2619" s="51"/>
      <c r="H2619" s="53"/>
      <c r="I2619" s="54"/>
    </row>
    <row r="2620" spans="2:9" s="1" customFormat="1" x14ac:dyDescent="0.2">
      <c r="B2620" s="55" t="str">
        <f t="shared" si="53"/>
        <v>2011-067-0</v>
      </c>
      <c r="C2620" s="56">
        <v>2011</v>
      </c>
      <c r="D2620" s="56" t="s">
        <v>96</v>
      </c>
      <c r="E2620" s="56">
        <v>0</v>
      </c>
      <c r="F2620" s="57" t="s">
        <v>381</v>
      </c>
      <c r="G2620" s="56"/>
      <c r="H2620" s="58"/>
      <c r="I2620" s="59"/>
    </row>
    <row r="2621" spans="2:9" s="1" customFormat="1" x14ac:dyDescent="0.2">
      <c r="B2621" s="44" t="str">
        <f t="shared" si="53"/>
        <v>2011-067-1</v>
      </c>
      <c r="C2621" s="45">
        <v>2011</v>
      </c>
      <c r="D2621" s="45" t="s">
        <v>96</v>
      </c>
      <c r="E2621" s="45">
        <v>1</v>
      </c>
      <c r="F2621" s="47" t="s">
        <v>829</v>
      </c>
      <c r="G2621" s="45"/>
      <c r="H2621" s="48"/>
      <c r="I2621" s="49"/>
    </row>
    <row r="2622" spans="2:9" s="1" customFormat="1" x14ac:dyDescent="0.2">
      <c r="B2622" s="44" t="str">
        <f t="shared" si="53"/>
        <v>2011-067-2</v>
      </c>
      <c r="C2622" s="45">
        <v>2011</v>
      </c>
      <c r="D2622" s="45" t="s">
        <v>96</v>
      </c>
      <c r="E2622" s="45">
        <v>2</v>
      </c>
      <c r="F2622" s="47" t="s">
        <v>1225</v>
      </c>
      <c r="G2622" s="45"/>
      <c r="H2622" s="48"/>
      <c r="I2622" s="49"/>
    </row>
    <row r="2623" spans="2:9" s="1" customFormat="1" x14ac:dyDescent="0.2">
      <c r="B2623" s="44" t="str">
        <f t="shared" si="53"/>
        <v>2011-067-3</v>
      </c>
      <c r="C2623" s="45">
        <v>2011</v>
      </c>
      <c r="D2623" s="45" t="s">
        <v>96</v>
      </c>
      <c r="E2623" s="45">
        <v>3</v>
      </c>
      <c r="F2623" s="47" t="s">
        <v>1619</v>
      </c>
      <c r="G2623" s="45" t="s">
        <v>3210</v>
      </c>
      <c r="H2623" s="48"/>
      <c r="I2623" s="49"/>
    </row>
    <row r="2624" spans="2:9" s="1" customFormat="1" x14ac:dyDescent="0.2">
      <c r="B2624" s="44" t="str">
        <f t="shared" si="53"/>
        <v>2011-067-4</v>
      </c>
      <c r="C2624" s="45">
        <v>2011</v>
      </c>
      <c r="D2624" s="45" t="s">
        <v>96</v>
      </c>
      <c r="E2624" s="45">
        <v>4</v>
      </c>
      <c r="F2624" s="47" t="s">
        <v>2015</v>
      </c>
      <c r="G2624" s="45"/>
      <c r="H2624" s="48"/>
      <c r="I2624" s="49"/>
    </row>
    <row r="2625" spans="2:9" s="1" customFormat="1" x14ac:dyDescent="0.2">
      <c r="B2625" s="50" t="str">
        <f t="shared" si="53"/>
        <v>2011-067-5</v>
      </c>
      <c r="C2625" s="51">
        <v>2011</v>
      </c>
      <c r="D2625" s="51" t="s">
        <v>96</v>
      </c>
      <c r="E2625" s="51">
        <v>5</v>
      </c>
      <c r="F2625" s="52" t="s">
        <v>2410</v>
      </c>
      <c r="G2625" s="51"/>
      <c r="H2625" s="53"/>
      <c r="I2625" s="54"/>
    </row>
    <row r="2626" spans="2:9" s="1" customFormat="1" x14ac:dyDescent="0.2">
      <c r="B2626" s="55" t="str">
        <f t="shared" si="53"/>
        <v>2011-068-0</v>
      </c>
      <c r="C2626" s="56">
        <v>2011</v>
      </c>
      <c r="D2626" s="56" t="s">
        <v>97</v>
      </c>
      <c r="E2626" s="56">
        <v>0</v>
      </c>
      <c r="F2626" s="57" t="s">
        <v>428</v>
      </c>
      <c r="G2626" s="56"/>
      <c r="H2626" s="58"/>
      <c r="I2626" s="59"/>
    </row>
    <row r="2627" spans="2:9" s="1" customFormat="1" x14ac:dyDescent="0.2">
      <c r="B2627" s="44" t="str">
        <f t="shared" si="53"/>
        <v>2011-068-1</v>
      </c>
      <c r="C2627" s="45">
        <v>2011</v>
      </c>
      <c r="D2627" s="45" t="s">
        <v>97</v>
      </c>
      <c r="E2627" s="45">
        <v>1</v>
      </c>
      <c r="F2627" s="47" t="s">
        <v>830</v>
      </c>
      <c r="G2627" s="45"/>
      <c r="H2627" s="48"/>
      <c r="I2627" s="49"/>
    </row>
    <row r="2628" spans="2:9" s="1" customFormat="1" ht="27" x14ac:dyDescent="0.2">
      <c r="B2628" s="44" t="str">
        <f t="shared" si="53"/>
        <v>2011-068-2</v>
      </c>
      <c r="C2628" s="45">
        <v>2011</v>
      </c>
      <c r="D2628" s="45" t="s">
        <v>97</v>
      </c>
      <c r="E2628" s="45">
        <v>2</v>
      </c>
      <c r="F2628" s="47" t="s">
        <v>1226</v>
      </c>
      <c r="G2628" s="45"/>
      <c r="H2628" s="48"/>
      <c r="I2628" s="49"/>
    </row>
    <row r="2629" spans="2:9" s="1" customFormat="1" x14ac:dyDescent="0.2">
      <c r="B2629" s="44" t="str">
        <f t="shared" si="53"/>
        <v>2011-068-3</v>
      </c>
      <c r="C2629" s="45">
        <v>2011</v>
      </c>
      <c r="D2629" s="45" t="s">
        <v>97</v>
      </c>
      <c r="E2629" s="45">
        <v>3</v>
      </c>
      <c r="F2629" s="47" t="s">
        <v>1620</v>
      </c>
      <c r="G2629" s="45"/>
      <c r="H2629" s="48"/>
      <c r="I2629" s="49"/>
    </row>
    <row r="2630" spans="2:9" s="1" customFormat="1" x14ac:dyDescent="0.2">
      <c r="B2630" s="44" t="str">
        <f t="shared" si="53"/>
        <v>2011-068-4</v>
      </c>
      <c r="C2630" s="45">
        <v>2011</v>
      </c>
      <c r="D2630" s="45" t="s">
        <v>97</v>
      </c>
      <c r="E2630" s="45">
        <v>4</v>
      </c>
      <c r="F2630" s="47" t="s">
        <v>2016</v>
      </c>
      <c r="G2630" s="45"/>
      <c r="H2630" s="48"/>
      <c r="I2630" s="49"/>
    </row>
    <row r="2631" spans="2:9" s="1" customFormat="1" x14ac:dyDescent="0.2">
      <c r="B2631" s="50" t="str">
        <f t="shared" si="53"/>
        <v>2011-068-5</v>
      </c>
      <c r="C2631" s="51">
        <v>2011</v>
      </c>
      <c r="D2631" s="51" t="s">
        <v>97</v>
      </c>
      <c r="E2631" s="51">
        <v>5</v>
      </c>
      <c r="F2631" s="52" t="s">
        <v>2411</v>
      </c>
      <c r="G2631" s="51" t="s">
        <v>3210</v>
      </c>
      <c r="H2631" s="53"/>
      <c r="I2631" s="54"/>
    </row>
    <row r="2632" spans="2:9" s="1" customFormat="1" x14ac:dyDescent="0.2">
      <c r="B2632" s="55" t="str">
        <f t="shared" si="53"/>
        <v>2011-069-0</v>
      </c>
      <c r="C2632" s="56">
        <v>2011</v>
      </c>
      <c r="D2632" s="56" t="s">
        <v>98</v>
      </c>
      <c r="E2632" s="56">
        <v>0</v>
      </c>
      <c r="F2632" s="57" t="s">
        <v>429</v>
      </c>
      <c r="G2632" s="56"/>
      <c r="H2632" s="58"/>
      <c r="I2632" s="59"/>
    </row>
    <row r="2633" spans="2:9" s="1" customFormat="1" x14ac:dyDescent="0.2">
      <c r="B2633" s="44" t="str">
        <f t="shared" si="53"/>
        <v>2011-069-1</v>
      </c>
      <c r="C2633" s="45">
        <v>2011</v>
      </c>
      <c r="D2633" s="45" t="s">
        <v>98</v>
      </c>
      <c r="E2633" s="45">
        <v>1</v>
      </c>
      <c r="F2633" s="47" t="s">
        <v>831</v>
      </c>
      <c r="G2633" s="45"/>
      <c r="H2633" s="48"/>
      <c r="I2633" s="49"/>
    </row>
    <row r="2634" spans="2:9" s="1" customFormat="1" x14ac:dyDescent="0.2">
      <c r="B2634" s="44" t="str">
        <f t="shared" si="53"/>
        <v>2011-069-2</v>
      </c>
      <c r="C2634" s="45">
        <v>2011</v>
      </c>
      <c r="D2634" s="45" t="s">
        <v>98</v>
      </c>
      <c r="E2634" s="45">
        <v>2</v>
      </c>
      <c r="F2634" s="47" t="s">
        <v>1227</v>
      </c>
      <c r="G2634" s="45"/>
      <c r="H2634" s="48"/>
      <c r="I2634" s="49"/>
    </row>
    <row r="2635" spans="2:9" s="1" customFormat="1" ht="27" x14ac:dyDescent="0.2">
      <c r="B2635" s="44" t="str">
        <f t="shared" si="53"/>
        <v>2011-069-3</v>
      </c>
      <c r="C2635" s="45">
        <v>2011</v>
      </c>
      <c r="D2635" s="45" t="s">
        <v>98</v>
      </c>
      <c r="E2635" s="45">
        <v>3</v>
      </c>
      <c r="F2635" s="47" t="s">
        <v>1621</v>
      </c>
      <c r="G2635" s="45"/>
      <c r="H2635" s="48"/>
      <c r="I2635" s="49"/>
    </row>
    <row r="2636" spans="2:9" s="1" customFormat="1" ht="27" x14ac:dyDescent="0.2">
      <c r="B2636" s="44" t="str">
        <f t="shared" si="53"/>
        <v>2011-069-4</v>
      </c>
      <c r="C2636" s="45">
        <v>2011</v>
      </c>
      <c r="D2636" s="45" t="s">
        <v>98</v>
      </c>
      <c r="E2636" s="45">
        <v>4</v>
      </c>
      <c r="F2636" s="47" t="s">
        <v>2017</v>
      </c>
      <c r="G2636" s="45"/>
      <c r="H2636" s="48"/>
      <c r="I2636" s="49"/>
    </row>
    <row r="2637" spans="2:9" s="1" customFormat="1" ht="27" x14ac:dyDescent="0.2">
      <c r="B2637" s="50" t="str">
        <f t="shared" si="53"/>
        <v>2011-069-5</v>
      </c>
      <c r="C2637" s="51">
        <v>2011</v>
      </c>
      <c r="D2637" s="51" t="s">
        <v>98</v>
      </c>
      <c r="E2637" s="51">
        <v>5</v>
      </c>
      <c r="F2637" s="52" t="s">
        <v>2412</v>
      </c>
      <c r="G2637" s="51" t="s">
        <v>3210</v>
      </c>
      <c r="H2637" s="53"/>
      <c r="I2637" s="54"/>
    </row>
    <row r="2638" spans="2:9" s="1" customFormat="1" ht="27" x14ac:dyDescent="0.2">
      <c r="B2638" s="55" t="str">
        <f t="shared" si="53"/>
        <v>2011-070-0</v>
      </c>
      <c r="C2638" s="56">
        <v>2011</v>
      </c>
      <c r="D2638" s="56" t="s">
        <v>99</v>
      </c>
      <c r="E2638" s="56">
        <v>0</v>
      </c>
      <c r="F2638" s="57" t="s">
        <v>430</v>
      </c>
      <c r="G2638" s="56"/>
      <c r="H2638" s="58"/>
      <c r="I2638" s="59"/>
    </row>
    <row r="2639" spans="2:9" s="1" customFormat="1" x14ac:dyDescent="0.2">
      <c r="B2639" s="44" t="str">
        <f t="shared" si="53"/>
        <v>2011-070-1</v>
      </c>
      <c r="C2639" s="45">
        <v>2011</v>
      </c>
      <c r="D2639" s="45" t="s">
        <v>99</v>
      </c>
      <c r="E2639" s="45">
        <v>1</v>
      </c>
      <c r="F2639" s="47" t="s">
        <v>832</v>
      </c>
      <c r="G2639" s="45" t="s">
        <v>3210</v>
      </c>
      <c r="H2639" s="48"/>
      <c r="I2639" s="49"/>
    </row>
    <row r="2640" spans="2:9" s="1" customFormat="1" x14ac:dyDescent="0.2">
      <c r="B2640" s="44" t="str">
        <f t="shared" si="53"/>
        <v>2011-070-2</v>
      </c>
      <c r="C2640" s="45">
        <v>2011</v>
      </c>
      <c r="D2640" s="45" t="s">
        <v>99</v>
      </c>
      <c r="E2640" s="45">
        <v>2</v>
      </c>
      <c r="F2640" s="47" t="s">
        <v>1228</v>
      </c>
      <c r="G2640" s="45"/>
      <c r="H2640" s="48"/>
      <c r="I2640" s="49"/>
    </row>
    <row r="2641" spans="2:9" s="1" customFormat="1" x14ac:dyDescent="0.2">
      <c r="B2641" s="44" t="str">
        <f t="shared" si="53"/>
        <v>2011-070-3</v>
      </c>
      <c r="C2641" s="45">
        <v>2011</v>
      </c>
      <c r="D2641" s="45" t="s">
        <v>99</v>
      </c>
      <c r="E2641" s="45">
        <v>3</v>
      </c>
      <c r="F2641" s="47" t="s">
        <v>1622</v>
      </c>
      <c r="G2641" s="45"/>
      <c r="H2641" s="48"/>
      <c r="I2641" s="49"/>
    </row>
    <row r="2642" spans="2:9" s="1" customFormat="1" x14ac:dyDescent="0.2">
      <c r="B2642" s="44" t="str">
        <f t="shared" si="53"/>
        <v>2011-070-4</v>
      </c>
      <c r="C2642" s="45">
        <v>2011</v>
      </c>
      <c r="D2642" s="45" t="s">
        <v>99</v>
      </c>
      <c r="E2642" s="45">
        <v>4</v>
      </c>
      <c r="F2642" s="47" t="s">
        <v>2018</v>
      </c>
      <c r="G2642" s="45"/>
      <c r="H2642" s="48"/>
      <c r="I2642" s="49"/>
    </row>
    <row r="2643" spans="2:9" s="1" customFormat="1" x14ac:dyDescent="0.2">
      <c r="B2643" s="50" t="str">
        <f t="shared" si="53"/>
        <v>2011-070-5</v>
      </c>
      <c r="C2643" s="51">
        <v>2011</v>
      </c>
      <c r="D2643" s="51" t="s">
        <v>99</v>
      </c>
      <c r="E2643" s="51">
        <v>5</v>
      </c>
      <c r="F2643" s="52" t="s">
        <v>2413</v>
      </c>
      <c r="G2643" s="51"/>
      <c r="H2643" s="53"/>
      <c r="I2643" s="54"/>
    </row>
    <row r="2644" spans="2:9" s="1" customFormat="1" x14ac:dyDescent="0.2">
      <c r="B2644" s="55" t="str">
        <f t="shared" si="53"/>
        <v>2011-071-0</v>
      </c>
      <c r="C2644" s="56">
        <v>2011</v>
      </c>
      <c r="D2644" s="56" t="s">
        <v>100</v>
      </c>
      <c r="E2644" s="56">
        <v>0</v>
      </c>
      <c r="F2644" s="57" t="s">
        <v>431</v>
      </c>
      <c r="G2644" s="56"/>
      <c r="H2644" s="58"/>
      <c r="I2644" s="59"/>
    </row>
    <row r="2645" spans="2:9" s="1" customFormat="1" x14ac:dyDescent="0.2">
      <c r="B2645" s="44" t="str">
        <f t="shared" si="53"/>
        <v>2011-071-1</v>
      </c>
      <c r="C2645" s="45">
        <v>2011</v>
      </c>
      <c r="D2645" s="45" t="s">
        <v>100</v>
      </c>
      <c r="E2645" s="45">
        <v>1</v>
      </c>
      <c r="F2645" s="47" t="s">
        <v>833</v>
      </c>
      <c r="G2645" s="45"/>
      <c r="H2645" s="48"/>
      <c r="I2645" s="49"/>
    </row>
    <row r="2646" spans="2:9" s="1" customFormat="1" x14ac:dyDescent="0.2">
      <c r="B2646" s="44" t="str">
        <f t="shared" si="53"/>
        <v>2011-071-2</v>
      </c>
      <c r="C2646" s="45">
        <v>2011</v>
      </c>
      <c r="D2646" s="45" t="s">
        <v>100</v>
      </c>
      <c r="E2646" s="45">
        <v>2</v>
      </c>
      <c r="F2646" s="47" t="s">
        <v>1229</v>
      </c>
      <c r="G2646" s="45"/>
      <c r="H2646" s="48"/>
      <c r="I2646" s="49"/>
    </row>
    <row r="2647" spans="2:9" s="1" customFormat="1" x14ac:dyDescent="0.2">
      <c r="B2647" s="44" t="str">
        <f t="shared" si="53"/>
        <v>2011-071-3</v>
      </c>
      <c r="C2647" s="45">
        <v>2011</v>
      </c>
      <c r="D2647" s="45" t="s">
        <v>100</v>
      </c>
      <c r="E2647" s="45">
        <v>3</v>
      </c>
      <c r="F2647" s="47" t="s">
        <v>1623</v>
      </c>
      <c r="G2647" s="45"/>
      <c r="H2647" s="48"/>
      <c r="I2647" s="49"/>
    </row>
    <row r="2648" spans="2:9" s="1" customFormat="1" x14ac:dyDescent="0.2">
      <c r="B2648" s="44" t="str">
        <f t="shared" si="53"/>
        <v>2011-071-4</v>
      </c>
      <c r="C2648" s="45">
        <v>2011</v>
      </c>
      <c r="D2648" s="45" t="s">
        <v>100</v>
      </c>
      <c r="E2648" s="45">
        <v>4</v>
      </c>
      <c r="F2648" s="47" t="s">
        <v>2019</v>
      </c>
      <c r="G2648" s="45"/>
      <c r="H2648" s="48"/>
      <c r="I2648" s="49"/>
    </row>
    <row r="2649" spans="2:9" s="1" customFormat="1" x14ac:dyDescent="0.2">
      <c r="B2649" s="50" t="str">
        <f t="shared" si="53"/>
        <v>2011-071-5</v>
      </c>
      <c r="C2649" s="51">
        <v>2011</v>
      </c>
      <c r="D2649" s="51" t="s">
        <v>100</v>
      </c>
      <c r="E2649" s="51">
        <v>5</v>
      </c>
      <c r="F2649" s="52" t="s">
        <v>2414</v>
      </c>
      <c r="G2649" s="51" t="s">
        <v>3210</v>
      </c>
      <c r="H2649" s="53"/>
      <c r="I2649" s="54"/>
    </row>
    <row r="2650" spans="2:9" s="1" customFormat="1" ht="40.5" x14ac:dyDescent="0.2">
      <c r="B2650" s="55" t="str">
        <f t="shared" si="53"/>
        <v>2011-072-0</v>
      </c>
      <c r="C2650" s="56">
        <v>2011</v>
      </c>
      <c r="D2650" s="56" t="s">
        <v>101</v>
      </c>
      <c r="E2650" s="56">
        <v>0</v>
      </c>
      <c r="F2650" s="57" t="s">
        <v>432</v>
      </c>
      <c r="G2650" s="56"/>
      <c r="H2650" s="58"/>
      <c r="I2650" s="59"/>
    </row>
    <row r="2651" spans="2:9" s="1" customFormat="1" x14ac:dyDescent="0.2">
      <c r="B2651" s="44" t="str">
        <f t="shared" si="53"/>
        <v>2011-072-1</v>
      </c>
      <c r="C2651" s="45">
        <v>2011</v>
      </c>
      <c r="D2651" s="45" t="s">
        <v>101</v>
      </c>
      <c r="E2651" s="45">
        <v>1</v>
      </c>
      <c r="F2651" s="47" t="s">
        <v>834</v>
      </c>
      <c r="G2651" s="45"/>
      <c r="H2651" s="48"/>
      <c r="I2651" s="49"/>
    </row>
    <row r="2652" spans="2:9" s="1" customFormat="1" x14ac:dyDescent="0.2">
      <c r="B2652" s="44" t="str">
        <f t="shared" si="53"/>
        <v>2011-072-2</v>
      </c>
      <c r="C2652" s="45">
        <v>2011</v>
      </c>
      <c r="D2652" s="45" t="s">
        <v>101</v>
      </c>
      <c r="E2652" s="45">
        <v>2</v>
      </c>
      <c r="F2652" s="47" t="s">
        <v>1230</v>
      </c>
      <c r="G2652" s="45"/>
      <c r="H2652" s="48"/>
      <c r="I2652" s="49"/>
    </row>
    <row r="2653" spans="2:9" s="1" customFormat="1" x14ac:dyDescent="0.2">
      <c r="B2653" s="44" t="str">
        <f t="shared" si="53"/>
        <v>2011-072-3</v>
      </c>
      <c r="C2653" s="45">
        <v>2011</v>
      </c>
      <c r="D2653" s="45" t="s">
        <v>101</v>
      </c>
      <c r="E2653" s="45">
        <v>3</v>
      </c>
      <c r="F2653" s="47" t="s">
        <v>1624</v>
      </c>
      <c r="G2653" s="45"/>
      <c r="H2653" s="48"/>
      <c r="I2653" s="49"/>
    </row>
    <row r="2654" spans="2:9" s="1" customFormat="1" x14ac:dyDescent="0.2">
      <c r="B2654" s="44" t="str">
        <f t="shared" si="53"/>
        <v>2011-072-4</v>
      </c>
      <c r="C2654" s="45">
        <v>2011</v>
      </c>
      <c r="D2654" s="45" t="s">
        <v>101</v>
      </c>
      <c r="E2654" s="45">
        <v>4</v>
      </c>
      <c r="F2654" s="47" t="s">
        <v>2020</v>
      </c>
      <c r="G2654" s="45"/>
      <c r="H2654" s="48"/>
      <c r="I2654" s="49"/>
    </row>
    <row r="2655" spans="2:9" s="1" customFormat="1" ht="27" x14ac:dyDescent="0.2">
      <c r="B2655" s="50" t="str">
        <f t="shared" si="53"/>
        <v>2011-072-5</v>
      </c>
      <c r="C2655" s="51">
        <v>2011</v>
      </c>
      <c r="D2655" s="51" t="s">
        <v>101</v>
      </c>
      <c r="E2655" s="51">
        <v>5</v>
      </c>
      <c r="F2655" s="52" t="s">
        <v>2415</v>
      </c>
      <c r="G2655" s="51" t="s">
        <v>3210</v>
      </c>
      <c r="H2655" s="53"/>
      <c r="I2655" s="54"/>
    </row>
    <row r="2656" spans="2:9" s="1" customFormat="1" x14ac:dyDescent="0.2">
      <c r="B2656" s="55" t="str">
        <f t="shared" si="53"/>
        <v>2011-073-0</v>
      </c>
      <c r="C2656" s="56">
        <v>2011</v>
      </c>
      <c r="D2656" s="56" t="s">
        <v>102</v>
      </c>
      <c r="E2656" s="56">
        <v>0</v>
      </c>
      <c r="F2656" s="57" t="s">
        <v>433</v>
      </c>
      <c r="G2656" s="56"/>
      <c r="H2656" s="58"/>
      <c r="I2656" s="59"/>
    </row>
    <row r="2657" spans="2:9" s="1" customFormat="1" x14ac:dyDescent="0.2">
      <c r="B2657" s="44" t="str">
        <f t="shared" si="53"/>
        <v>2011-073-1</v>
      </c>
      <c r="C2657" s="45">
        <v>2011</v>
      </c>
      <c r="D2657" s="45" t="s">
        <v>102</v>
      </c>
      <c r="E2657" s="45">
        <v>1</v>
      </c>
      <c r="F2657" s="47" t="s">
        <v>835</v>
      </c>
      <c r="G2657" s="45"/>
      <c r="H2657" s="48"/>
      <c r="I2657" s="49"/>
    </row>
    <row r="2658" spans="2:9" s="1" customFormat="1" x14ac:dyDescent="0.2">
      <c r="B2658" s="44" t="str">
        <f t="shared" si="53"/>
        <v>2011-073-2</v>
      </c>
      <c r="C2658" s="45">
        <v>2011</v>
      </c>
      <c r="D2658" s="45" t="s">
        <v>102</v>
      </c>
      <c r="E2658" s="45">
        <v>2</v>
      </c>
      <c r="F2658" s="47" t="s">
        <v>1231</v>
      </c>
      <c r="G2658" s="45"/>
      <c r="H2658" s="48"/>
      <c r="I2658" s="49"/>
    </row>
    <row r="2659" spans="2:9" s="1" customFormat="1" x14ac:dyDescent="0.2">
      <c r="B2659" s="44" t="str">
        <f t="shared" si="53"/>
        <v>2011-073-3</v>
      </c>
      <c r="C2659" s="45">
        <v>2011</v>
      </c>
      <c r="D2659" s="45" t="s">
        <v>102</v>
      </c>
      <c r="E2659" s="45">
        <v>3</v>
      </c>
      <c r="F2659" s="47" t="s">
        <v>1625</v>
      </c>
      <c r="G2659" s="45" t="s">
        <v>3210</v>
      </c>
      <c r="H2659" s="48"/>
      <c r="I2659" s="49"/>
    </row>
    <row r="2660" spans="2:9" s="1" customFormat="1" x14ac:dyDescent="0.2">
      <c r="B2660" s="44" t="str">
        <f t="shared" si="53"/>
        <v>2011-073-4</v>
      </c>
      <c r="C2660" s="45">
        <v>2011</v>
      </c>
      <c r="D2660" s="45" t="s">
        <v>102</v>
      </c>
      <c r="E2660" s="45">
        <v>4</v>
      </c>
      <c r="F2660" s="47" t="s">
        <v>2021</v>
      </c>
      <c r="G2660" s="45"/>
      <c r="H2660" s="48"/>
      <c r="I2660" s="49"/>
    </row>
    <row r="2661" spans="2:9" s="1" customFormat="1" x14ac:dyDescent="0.2">
      <c r="B2661" s="50" t="str">
        <f t="shared" si="53"/>
        <v>2011-073-5</v>
      </c>
      <c r="C2661" s="51">
        <v>2011</v>
      </c>
      <c r="D2661" s="51" t="s">
        <v>102</v>
      </c>
      <c r="E2661" s="51">
        <v>5</v>
      </c>
      <c r="F2661" s="52" t="s">
        <v>2039</v>
      </c>
      <c r="G2661" s="51"/>
      <c r="H2661" s="53"/>
      <c r="I2661" s="54"/>
    </row>
    <row r="2662" spans="2:9" s="1" customFormat="1" x14ac:dyDescent="0.2">
      <c r="B2662" s="55" t="str">
        <f t="shared" si="53"/>
        <v>2011-074-0</v>
      </c>
      <c r="C2662" s="56">
        <v>2011</v>
      </c>
      <c r="D2662" s="56" t="s">
        <v>103</v>
      </c>
      <c r="E2662" s="56">
        <v>0</v>
      </c>
      <c r="F2662" s="57" t="s">
        <v>434</v>
      </c>
      <c r="G2662" s="56"/>
      <c r="H2662" s="58"/>
      <c r="I2662" s="59"/>
    </row>
    <row r="2663" spans="2:9" s="1" customFormat="1" ht="27" x14ac:dyDescent="0.2">
      <c r="B2663" s="44" t="str">
        <f t="shared" si="53"/>
        <v>2011-074-1</v>
      </c>
      <c r="C2663" s="45">
        <v>2011</v>
      </c>
      <c r="D2663" s="45" t="s">
        <v>103</v>
      </c>
      <c r="E2663" s="45">
        <v>1</v>
      </c>
      <c r="F2663" s="47" t="s">
        <v>836</v>
      </c>
      <c r="G2663" s="45"/>
      <c r="H2663" s="48"/>
      <c r="I2663" s="49"/>
    </row>
    <row r="2664" spans="2:9" s="1" customFormat="1" x14ac:dyDescent="0.2">
      <c r="B2664" s="44" t="str">
        <f t="shared" si="53"/>
        <v>2011-074-2</v>
      </c>
      <c r="C2664" s="45">
        <v>2011</v>
      </c>
      <c r="D2664" s="45" t="s">
        <v>103</v>
      </c>
      <c r="E2664" s="45">
        <v>2</v>
      </c>
      <c r="F2664" s="47" t="s">
        <v>1232</v>
      </c>
      <c r="G2664" s="45"/>
      <c r="H2664" s="48"/>
      <c r="I2664" s="49"/>
    </row>
    <row r="2665" spans="2:9" s="1" customFormat="1" x14ac:dyDescent="0.2">
      <c r="B2665" s="44" t="str">
        <f t="shared" si="53"/>
        <v>2011-074-3</v>
      </c>
      <c r="C2665" s="45">
        <v>2011</v>
      </c>
      <c r="D2665" s="45" t="s">
        <v>103</v>
      </c>
      <c r="E2665" s="45">
        <v>3</v>
      </c>
      <c r="F2665" s="47" t="s">
        <v>1626</v>
      </c>
      <c r="G2665" s="45" t="s">
        <v>3210</v>
      </c>
      <c r="H2665" s="48"/>
      <c r="I2665" s="49"/>
    </row>
    <row r="2666" spans="2:9" s="1" customFormat="1" x14ac:dyDescent="0.2">
      <c r="B2666" s="44" t="str">
        <f t="shared" si="53"/>
        <v>2011-074-4</v>
      </c>
      <c r="C2666" s="45">
        <v>2011</v>
      </c>
      <c r="D2666" s="45" t="s">
        <v>103</v>
      </c>
      <c r="E2666" s="45">
        <v>4</v>
      </c>
      <c r="F2666" s="47" t="s">
        <v>2022</v>
      </c>
      <c r="G2666" s="45"/>
      <c r="H2666" s="48"/>
      <c r="I2666" s="49"/>
    </row>
    <row r="2667" spans="2:9" s="1" customFormat="1" x14ac:dyDescent="0.2">
      <c r="B2667" s="50" t="str">
        <f t="shared" si="53"/>
        <v>2011-074-5</v>
      </c>
      <c r="C2667" s="51">
        <v>2011</v>
      </c>
      <c r="D2667" s="51" t="s">
        <v>103</v>
      </c>
      <c r="E2667" s="51">
        <v>5</v>
      </c>
      <c r="F2667" s="52" t="s">
        <v>2416</v>
      </c>
      <c r="G2667" s="51"/>
      <c r="H2667" s="53"/>
      <c r="I2667" s="54"/>
    </row>
    <row r="2668" spans="2:9" s="1" customFormat="1" ht="40.5" x14ac:dyDescent="0.2">
      <c r="B2668" s="55" t="str">
        <f t="shared" si="53"/>
        <v>2011-075-0</v>
      </c>
      <c r="C2668" s="56">
        <v>2011</v>
      </c>
      <c r="D2668" s="56" t="s">
        <v>104</v>
      </c>
      <c r="E2668" s="56">
        <v>0</v>
      </c>
      <c r="F2668" s="57" t="s">
        <v>435</v>
      </c>
      <c r="G2668" s="56"/>
      <c r="H2668" s="58"/>
      <c r="I2668" s="59"/>
    </row>
    <row r="2669" spans="2:9" s="1" customFormat="1" x14ac:dyDescent="0.2">
      <c r="B2669" s="44" t="str">
        <f t="shared" ref="B2669:B2673" si="54">C2669&amp;"-"&amp;D2669&amp;"-"&amp;E2669</f>
        <v>2011-075-1</v>
      </c>
      <c r="C2669" s="45">
        <v>2011</v>
      </c>
      <c r="D2669" s="45" t="s">
        <v>104</v>
      </c>
      <c r="E2669" s="45">
        <v>1</v>
      </c>
      <c r="F2669" s="47" t="s">
        <v>837</v>
      </c>
      <c r="G2669" s="45" t="s">
        <v>3210</v>
      </c>
      <c r="H2669" s="48"/>
      <c r="I2669" s="49"/>
    </row>
    <row r="2670" spans="2:9" s="1" customFormat="1" x14ac:dyDescent="0.2">
      <c r="B2670" s="44" t="str">
        <f t="shared" si="54"/>
        <v>2011-075-2</v>
      </c>
      <c r="C2670" s="45">
        <v>2011</v>
      </c>
      <c r="D2670" s="45" t="s">
        <v>104</v>
      </c>
      <c r="E2670" s="45">
        <v>2</v>
      </c>
      <c r="F2670" s="47" t="s">
        <v>1233</v>
      </c>
      <c r="G2670" s="45"/>
      <c r="H2670" s="48"/>
      <c r="I2670" s="49"/>
    </row>
    <row r="2671" spans="2:9" s="1" customFormat="1" x14ac:dyDescent="0.2">
      <c r="B2671" s="44" t="str">
        <f t="shared" si="54"/>
        <v>2011-075-3</v>
      </c>
      <c r="C2671" s="45">
        <v>2011</v>
      </c>
      <c r="D2671" s="45" t="s">
        <v>104</v>
      </c>
      <c r="E2671" s="45">
        <v>3</v>
      </c>
      <c r="F2671" s="47" t="s">
        <v>1627</v>
      </c>
      <c r="G2671" s="45"/>
      <c r="H2671" s="48"/>
      <c r="I2671" s="49"/>
    </row>
    <row r="2672" spans="2:9" s="1" customFormat="1" x14ac:dyDescent="0.2">
      <c r="B2672" s="44" t="str">
        <f t="shared" si="54"/>
        <v>2011-075-4</v>
      </c>
      <c r="C2672" s="45">
        <v>2011</v>
      </c>
      <c r="D2672" s="45" t="s">
        <v>104</v>
      </c>
      <c r="E2672" s="45">
        <v>4</v>
      </c>
      <c r="F2672" s="47" t="s">
        <v>2023</v>
      </c>
      <c r="G2672" s="45"/>
      <c r="H2672" s="48"/>
      <c r="I2672" s="49"/>
    </row>
    <row r="2673" spans="2:9" s="1" customFormat="1" ht="14.25" thickBot="1" x14ac:dyDescent="0.25">
      <c r="B2673" s="60" t="str">
        <f t="shared" si="54"/>
        <v>2011-075-5</v>
      </c>
      <c r="C2673" s="61">
        <v>2011</v>
      </c>
      <c r="D2673" s="61" t="s">
        <v>104</v>
      </c>
      <c r="E2673" s="61">
        <v>5</v>
      </c>
      <c r="F2673" s="62" t="s">
        <v>2417</v>
      </c>
      <c r="G2673" s="61"/>
      <c r="H2673" s="63"/>
      <c r="I2673" s="64"/>
    </row>
    <row r="2674" spans="2:9" s="1" customFormat="1" x14ac:dyDescent="0.2">
      <c r="B2674" s="38" t="str">
        <f t="shared" ref="B2674:B2706" si="55">C2674&amp;"-"&amp;D2674&amp;"-"&amp;E2674</f>
        <v>2010-051-0</v>
      </c>
      <c r="C2674" s="39">
        <v>2010</v>
      </c>
      <c r="D2674" s="39" t="s">
        <v>80</v>
      </c>
      <c r="E2674" s="39">
        <v>0</v>
      </c>
      <c r="F2674" s="41" t="s">
        <v>436</v>
      </c>
      <c r="G2674" s="39"/>
      <c r="H2674" s="42"/>
      <c r="I2674" s="43"/>
    </row>
    <row r="2675" spans="2:9" s="1" customFormat="1" ht="27" x14ac:dyDescent="0.2">
      <c r="B2675" s="44" t="str">
        <f t="shared" si="55"/>
        <v>2010-051-1</v>
      </c>
      <c r="C2675" s="45">
        <v>2010</v>
      </c>
      <c r="D2675" s="45" t="s">
        <v>80</v>
      </c>
      <c r="E2675" s="45">
        <v>1</v>
      </c>
      <c r="F2675" s="47" t="s">
        <v>838</v>
      </c>
      <c r="G2675" s="45"/>
      <c r="H2675" s="48"/>
      <c r="I2675" s="49"/>
    </row>
    <row r="2676" spans="2:9" s="1" customFormat="1" ht="27" x14ac:dyDescent="0.2">
      <c r="B2676" s="44" t="str">
        <f t="shared" si="55"/>
        <v>2010-051-2</v>
      </c>
      <c r="C2676" s="45">
        <v>2010</v>
      </c>
      <c r="D2676" s="45" t="s">
        <v>80</v>
      </c>
      <c r="E2676" s="45">
        <v>2</v>
      </c>
      <c r="F2676" s="47" t="s">
        <v>1234</v>
      </c>
      <c r="G2676" s="45"/>
      <c r="H2676" s="48"/>
      <c r="I2676" s="49"/>
    </row>
    <row r="2677" spans="2:9" s="1" customFormat="1" x14ac:dyDescent="0.2">
      <c r="B2677" s="44" t="str">
        <f t="shared" si="55"/>
        <v>2010-051-3</v>
      </c>
      <c r="C2677" s="45">
        <v>2010</v>
      </c>
      <c r="D2677" s="45" t="s">
        <v>80</v>
      </c>
      <c r="E2677" s="45">
        <v>3</v>
      </c>
      <c r="F2677" s="47" t="s">
        <v>1628</v>
      </c>
      <c r="G2677" s="45"/>
      <c r="H2677" s="48"/>
      <c r="I2677" s="49"/>
    </row>
    <row r="2678" spans="2:9" s="1" customFormat="1" ht="27" x14ac:dyDescent="0.2">
      <c r="B2678" s="44" t="str">
        <f t="shared" si="55"/>
        <v>2010-051-4</v>
      </c>
      <c r="C2678" s="45">
        <v>2010</v>
      </c>
      <c r="D2678" s="45" t="s">
        <v>80</v>
      </c>
      <c r="E2678" s="45">
        <v>4</v>
      </c>
      <c r="F2678" s="47" t="s">
        <v>2024</v>
      </c>
      <c r="G2678" s="45" t="s">
        <v>3210</v>
      </c>
      <c r="H2678" s="48"/>
      <c r="I2678" s="49"/>
    </row>
    <row r="2679" spans="2:9" s="1" customFormat="1" ht="27" x14ac:dyDescent="0.2">
      <c r="B2679" s="50" t="str">
        <f t="shared" si="55"/>
        <v>2010-051-5</v>
      </c>
      <c r="C2679" s="51">
        <v>2010</v>
      </c>
      <c r="D2679" s="51" t="s">
        <v>80</v>
      </c>
      <c r="E2679" s="51">
        <v>5</v>
      </c>
      <c r="F2679" s="52" t="s">
        <v>2418</v>
      </c>
      <c r="G2679" s="51"/>
      <c r="H2679" s="53"/>
      <c r="I2679" s="54"/>
    </row>
    <row r="2680" spans="2:9" s="1" customFormat="1" x14ac:dyDescent="0.2">
      <c r="B2680" s="55" t="str">
        <f t="shared" si="55"/>
        <v>2010-052-0</v>
      </c>
      <c r="C2680" s="56">
        <v>2010</v>
      </c>
      <c r="D2680" s="56" t="s">
        <v>81</v>
      </c>
      <c r="E2680" s="56">
        <v>0</v>
      </c>
      <c r="F2680" s="57" t="s">
        <v>437</v>
      </c>
      <c r="G2680" s="56"/>
      <c r="H2680" s="58"/>
      <c r="I2680" s="59"/>
    </row>
    <row r="2681" spans="2:9" s="1" customFormat="1" ht="27" x14ac:dyDescent="0.2">
      <c r="B2681" s="44" t="str">
        <f t="shared" si="55"/>
        <v>2010-052-1</v>
      </c>
      <c r="C2681" s="45">
        <v>2010</v>
      </c>
      <c r="D2681" s="45" t="s">
        <v>81</v>
      </c>
      <c r="E2681" s="45">
        <v>1</v>
      </c>
      <c r="F2681" s="47" t="s">
        <v>839</v>
      </c>
      <c r="G2681" s="45"/>
      <c r="H2681" s="48"/>
      <c r="I2681" s="49"/>
    </row>
    <row r="2682" spans="2:9" s="1" customFormat="1" x14ac:dyDescent="0.2">
      <c r="B2682" s="44" t="str">
        <f t="shared" si="55"/>
        <v>2010-052-2</v>
      </c>
      <c r="C2682" s="45">
        <v>2010</v>
      </c>
      <c r="D2682" s="45" t="s">
        <v>81</v>
      </c>
      <c r="E2682" s="45">
        <v>2</v>
      </c>
      <c r="F2682" s="47" t="s">
        <v>1235</v>
      </c>
      <c r="G2682" s="45"/>
      <c r="H2682" s="48"/>
      <c r="I2682" s="49"/>
    </row>
    <row r="2683" spans="2:9" s="1" customFormat="1" x14ac:dyDescent="0.2">
      <c r="B2683" s="44" t="str">
        <f t="shared" si="55"/>
        <v>2010-052-3</v>
      </c>
      <c r="C2683" s="45">
        <v>2010</v>
      </c>
      <c r="D2683" s="45" t="s">
        <v>81</v>
      </c>
      <c r="E2683" s="45">
        <v>3</v>
      </c>
      <c r="F2683" s="47" t="s">
        <v>1629</v>
      </c>
      <c r="G2683" s="45"/>
      <c r="H2683" s="48"/>
      <c r="I2683" s="49"/>
    </row>
    <row r="2684" spans="2:9" s="1" customFormat="1" x14ac:dyDescent="0.2">
      <c r="B2684" s="44" t="str">
        <f t="shared" si="55"/>
        <v>2010-052-4</v>
      </c>
      <c r="C2684" s="45">
        <v>2010</v>
      </c>
      <c r="D2684" s="45" t="s">
        <v>81</v>
      </c>
      <c r="E2684" s="45">
        <v>4</v>
      </c>
      <c r="F2684" s="47" t="s">
        <v>2025</v>
      </c>
      <c r="G2684" s="45" t="s">
        <v>3210</v>
      </c>
      <c r="H2684" s="48"/>
      <c r="I2684" s="49"/>
    </row>
    <row r="2685" spans="2:9" s="1" customFormat="1" x14ac:dyDescent="0.2">
      <c r="B2685" s="50" t="str">
        <f t="shared" si="55"/>
        <v>2010-052-5</v>
      </c>
      <c r="C2685" s="51">
        <v>2010</v>
      </c>
      <c r="D2685" s="51" t="s">
        <v>81</v>
      </c>
      <c r="E2685" s="51">
        <v>5</v>
      </c>
      <c r="F2685" s="52" t="s">
        <v>2419</v>
      </c>
      <c r="G2685" s="51"/>
      <c r="H2685" s="53"/>
      <c r="I2685" s="54"/>
    </row>
    <row r="2686" spans="2:9" s="1" customFormat="1" x14ac:dyDescent="0.2">
      <c r="B2686" s="55" t="str">
        <f t="shared" si="55"/>
        <v>2010-053-0</v>
      </c>
      <c r="C2686" s="56">
        <v>2010</v>
      </c>
      <c r="D2686" s="56" t="s">
        <v>82</v>
      </c>
      <c r="E2686" s="56">
        <v>0</v>
      </c>
      <c r="F2686" s="57" t="s">
        <v>438</v>
      </c>
      <c r="G2686" s="56"/>
      <c r="H2686" s="58"/>
      <c r="I2686" s="59"/>
    </row>
    <row r="2687" spans="2:9" s="1" customFormat="1" x14ac:dyDescent="0.2">
      <c r="B2687" s="44" t="str">
        <f t="shared" si="55"/>
        <v>2010-053-1</v>
      </c>
      <c r="C2687" s="45">
        <v>2010</v>
      </c>
      <c r="D2687" s="45" t="s">
        <v>82</v>
      </c>
      <c r="E2687" s="45">
        <v>1</v>
      </c>
      <c r="F2687" s="47" t="s">
        <v>840</v>
      </c>
      <c r="G2687" s="45" t="s">
        <v>3210</v>
      </c>
      <c r="H2687" s="48"/>
      <c r="I2687" s="49"/>
    </row>
    <row r="2688" spans="2:9" s="1" customFormat="1" x14ac:dyDescent="0.2">
      <c r="B2688" s="44" t="str">
        <f t="shared" si="55"/>
        <v>2010-053-2</v>
      </c>
      <c r="C2688" s="45">
        <v>2010</v>
      </c>
      <c r="D2688" s="45" t="s">
        <v>82</v>
      </c>
      <c r="E2688" s="45">
        <v>2</v>
      </c>
      <c r="F2688" s="47" t="s">
        <v>1236</v>
      </c>
      <c r="G2688" s="45"/>
      <c r="H2688" s="48"/>
      <c r="I2688" s="49"/>
    </row>
    <row r="2689" spans="2:9" s="1" customFormat="1" x14ac:dyDescent="0.2">
      <c r="B2689" s="44" t="str">
        <f t="shared" si="55"/>
        <v>2010-053-3</v>
      </c>
      <c r="C2689" s="45">
        <v>2010</v>
      </c>
      <c r="D2689" s="45" t="s">
        <v>82</v>
      </c>
      <c r="E2689" s="45">
        <v>3</v>
      </c>
      <c r="F2689" s="47" t="s">
        <v>1630</v>
      </c>
      <c r="G2689" s="45"/>
      <c r="H2689" s="48"/>
      <c r="I2689" s="49"/>
    </row>
    <row r="2690" spans="2:9" s="1" customFormat="1" x14ac:dyDescent="0.2">
      <c r="B2690" s="44" t="str">
        <f t="shared" si="55"/>
        <v>2010-053-4</v>
      </c>
      <c r="C2690" s="45">
        <v>2010</v>
      </c>
      <c r="D2690" s="45" t="s">
        <v>82</v>
      </c>
      <c r="E2690" s="45">
        <v>4</v>
      </c>
      <c r="F2690" s="47" t="s">
        <v>2026</v>
      </c>
      <c r="G2690" s="45"/>
      <c r="H2690" s="48"/>
      <c r="I2690" s="49"/>
    </row>
    <row r="2691" spans="2:9" s="1" customFormat="1" x14ac:dyDescent="0.2">
      <c r="B2691" s="50" t="str">
        <f t="shared" si="55"/>
        <v>2010-053-5</v>
      </c>
      <c r="C2691" s="51">
        <v>2010</v>
      </c>
      <c r="D2691" s="51" t="s">
        <v>82</v>
      </c>
      <c r="E2691" s="51">
        <v>5</v>
      </c>
      <c r="F2691" s="67" t="s">
        <v>2420</v>
      </c>
      <c r="G2691" s="51"/>
      <c r="H2691" s="53"/>
      <c r="I2691" s="54"/>
    </row>
    <row r="2692" spans="2:9" s="1" customFormat="1" x14ac:dyDescent="0.2">
      <c r="B2692" s="55" t="str">
        <f t="shared" si="55"/>
        <v>2010-054-0</v>
      </c>
      <c r="C2692" s="56">
        <v>2010</v>
      </c>
      <c r="D2692" s="56" t="s">
        <v>83</v>
      </c>
      <c r="E2692" s="56">
        <v>0</v>
      </c>
      <c r="F2692" s="57" t="s">
        <v>439</v>
      </c>
      <c r="G2692" s="56"/>
      <c r="H2692" s="58"/>
      <c r="I2692" s="59"/>
    </row>
    <row r="2693" spans="2:9" s="1" customFormat="1" x14ac:dyDescent="0.2">
      <c r="B2693" s="44" t="str">
        <f t="shared" si="55"/>
        <v>2010-054-1</v>
      </c>
      <c r="C2693" s="45">
        <v>2010</v>
      </c>
      <c r="D2693" s="45" t="s">
        <v>83</v>
      </c>
      <c r="E2693" s="45">
        <v>1</v>
      </c>
      <c r="F2693" s="47" t="s">
        <v>841</v>
      </c>
      <c r="G2693" s="45"/>
      <c r="H2693" s="48"/>
      <c r="I2693" s="49"/>
    </row>
    <row r="2694" spans="2:9" s="1" customFormat="1" x14ac:dyDescent="0.2">
      <c r="B2694" s="44" t="str">
        <f t="shared" si="55"/>
        <v>2010-054-2</v>
      </c>
      <c r="C2694" s="45">
        <v>2010</v>
      </c>
      <c r="D2694" s="45" t="s">
        <v>83</v>
      </c>
      <c r="E2694" s="45">
        <v>2</v>
      </c>
      <c r="F2694" s="47" t="s">
        <v>1237</v>
      </c>
      <c r="G2694" s="45"/>
      <c r="H2694" s="48"/>
      <c r="I2694" s="49"/>
    </row>
    <row r="2695" spans="2:9" s="1" customFormat="1" ht="27" x14ac:dyDescent="0.2">
      <c r="B2695" s="44" t="str">
        <f t="shared" si="55"/>
        <v>2010-054-3</v>
      </c>
      <c r="C2695" s="45">
        <v>2010</v>
      </c>
      <c r="D2695" s="45" t="s">
        <v>83</v>
      </c>
      <c r="E2695" s="45">
        <v>3</v>
      </c>
      <c r="F2695" s="47" t="s">
        <v>1631</v>
      </c>
      <c r="G2695" s="45"/>
      <c r="H2695" s="48"/>
      <c r="I2695" s="49"/>
    </row>
    <row r="2696" spans="2:9" s="1" customFormat="1" x14ac:dyDescent="0.2">
      <c r="B2696" s="44" t="str">
        <f t="shared" si="55"/>
        <v>2010-054-4</v>
      </c>
      <c r="C2696" s="45">
        <v>2010</v>
      </c>
      <c r="D2696" s="45" t="s">
        <v>83</v>
      </c>
      <c r="E2696" s="45">
        <v>4</v>
      </c>
      <c r="F2696" s="47" t="s">
        <v>2027</v>
      </c>
      <c r="G2696" s="45"/>
      <c r="H2696" s="48"/>
      <c r="I2696" s="49"/>
    </row>
    <row r="2697" spans="2:9" s="1" customFormat="1" x14ac:dyDescent="0.2">
      <c r="B2697" s="50" t="str">
        <f t="shared" si="55"/>
        <v>2010-054-5</v>
      </c>
      <c r="C2697" s="51">
        <v>2010</v>
      </c>
      <c r="D2697" s="51" t="s">
        <v>83</v>
      </c>
      <c r="E2697" s="51">
        <v>5</v>
      </c>
      <c r="F2697" s="52" t="s">
        <v>2421</v>
      </c>
      <c r="G2697" s="51" t="s">
        <v>3210</v>
      </c>
      <c r="H2697" s="53"/>
      <c r="I2697" s="54"/>
    </row>
    <row r="2698" spans="2:9" s="1" customFormat="1" ht="27" x14ac:dyDescent="0.2">
      <c r="B2698" s="55" t="str">
        <f t="shared" si="55"/>
        <v>2010-055-0</v>
      </c>
      <c r="C2698" s="56">
        <v>2010</v>
      </c>
      <c r="D2698" s="56" t="s">
        <v>84</v>
      </c>
      <c r="E2698" s="56">
        <v>0</v>
      </c>
      <c r="F2698" s="57" t="s">
        <v>440</v>
      </c>
      <c r="G2698" s="56"/>
      <c r="H2698" s="58"/>
      <c r="I2698" s="59"/>
    </row>
    <row r="2699" spans="2:9" s="1" customFormat="1" x14ac:dyDescent="0.2">
      <c r="B2699" s="44" t="str">
        <f t="shared" si="55"/>
        <v>2010-055-1</v>
      </c>
      <c r="C2699" s="45">
        <v>2010</v>
      </c>
      <c r="D2699" s="45" t="s">
        <v>84</v>
      </c>
      <c r="E2699" s="45">
        <v>1</v>
      </c>
      <c r="F2699" s="47" t="s">
        <v>842</v>
      </c>
      <c r="G2699" s="45"/>
      <c r="H2699" s="48"/>
      <c r="I2699" s="49"/>
    </row>
    <row r="2700" spans="2:9" s="1" customFormat="1" x14ac:dyDescent="0.2">
      <c r="B2700" s="44" t="str">
        <f t="shared" si="55"/>
        <v>2010-055-2</v>
      </c>
      <c r="C2700" s="45">
        <v>2010</v>
      </c>
      <c r="D2700" s="45" t="s">
        <v>84</v>
      </c>
      <c r="E2700" s="45">
        <v>2</v>
      </c>
      <c r="F2700" s="47" t="s">
        <v>1238</v>
      </c>
      <c r="G2700" s="45" t="s">
        <v>3210</v>
      </c>
      <c r="H2700" s="48"/>
      <c r="I2700" s="49"/>
    </row>
    <row r="2701" spans="2:9" s="1" customFormat="1" x14ac:dyDescent="0.2">
      <c r="B2701" s="44" t="str">
        <f t="shared" si="55"/>
        <v>2010-055-3</v>
      </c>
      <c r="C2701" s="45">
        <v>2010</v>
      </c>
      <c r="D2701" s="45" t="s">
        <v>84</v>
      </c>
      <c r="E2701" s="45">
        <v>3</v>
      </c>
      <c r="F2701" s="47" t="s">
        <v>1632</v>
      </c>
      <c r="G2701" s="45"/>
      <c r="H2701" s="48"/>
      <c r="I2701" s="49"/>
    </row>
    <row r="2702" spans="2:9" s="1" customFormat="1" x14ac:dyDescent="0.2">
      <c r="B2702" s="44" t="str">
        <f t="shared" si="55"/>
        <v>2010-055-4</v>
      </c>
      <c r="C2702" s="45">
        <v>2010</v>
      </c>
      <c r="D2702" s="45" t="s">
        <v>84</v>
      </c>
      <c r="E2702" s="45">
        <v>4</v>
      </c>
      <c r="F2702" s="47" t="s">
        <v>2028</v>
      </c>
      <c r="G2702" s="45"/>
      <c r="H2702" s="48"/>
      <c r="I2702" s="49"/>
    </row>
    <row r="2703" spans="2:9" s="1" customFormat="1" x14ac:dyDescent="0.2">
      <c r="B2703" s="50" t="str">
        <f t="shared" si="55"/>
        <v>2010-055-5</v>
      </c>
      <c r="C2703" s="51">
        <v>2010</v>
      </c>
      <c r="D2703" s="51" t="s">
        <v>84</v>
      </c>
      <c r="E2703" s="51">
        <v>5</v>
      </c>
      <c r="F2703" s="52" t="s">
        <v>2422</v>
      </c>
      <c r="G2703" s="51"/>
      <c r="H2703" s="53"/>
      <c r="I2703" s="54"/>
    </row>
    <row r="2704" spans="2:9" s="1" customFormat="1" x14ac:dyDescent="0.2">
      <c r="B2704" s="55" t="str">
        <f t="shared" si="55"/>
        <v>2010-056-0</v>
      </c>
      <c r="C2704" s="56">
        <v>2010</v>
      </c>
      <c r="D2704" s="56" t="s">
        <v>85</v>
      </c>
      <c r="E2704" s="56">
        <v>0</v>
      </c>
      <c r="F2704" s="57" t="s">
        <v>441</v>
      </c>
      <c r="G2704" s="56"/>
      <c r="H2704" s="58"/>
      <c r="I2704" s="59"/>
    </row>
    <row r="2705" spans="2:9" s="1" customFormat="1" x14ac:dyDescent="0.2">
      <c r="B2705" s="44" t="str">
        <f t="shared" si="55"/>
        <v>2010-056-1</v>
      </c>
      <c r="C2705" s="45">
        <v>2010</v>
      </c>
      <c r="D2705" s="45" t="s">
        <v>85</v>
      </c>
      <c r="E2705" s="45">
        <v>1</v>
      </c>
      <c r="F2705" s="47" t="s">
        <v>843</v>
      </c>
      <c r="G2705" s="45" t="s">
        <v>3210</v>
      </c>
      <c r="H2705" s="48"/>
      <c r="I2705" s="49"/>
    </row>
    <row r="2706" spans="2:9" s="1" customFormat="1" ht="27" x14ac:dyDescent="0.2">
      <c r="B2706" s="44" t="str">
        <f t="shared" si="55"/>
        <v>2010-056-2</v>
      </c>
      <c r="C2706" s="45">
        <v>2010</v>
      </c>
      <c r="D2706" s="45" t="s">
        <v>85</v>
      </c>
      <c r="E2706" s="45">
        <v>2</v>
      </c>
      <c r="F2706" s="47" t="s">
        <v>1239</v>
      </c>
      <c r="G2706" s="45"/>
      <c r="H2706" s="48"/>
      <c r="I2706" s="49"/>
    </row>
    <row r="2707" spans="2:9" s="1" customFormat="1" ht="27" x14ac:dyDescent="0.2">
      <c r="B2707" s="44" t="str">
        <f t="shared" ref="B2707:B2770" si="56">C2707&amp;"-"&amp;D2707&amp;"-"&amp;E2707</f>
        <v>2010-056-3</v>
      </c>
      <c r="C2707" s="45">
        <v>2010</v>
      </c>
      <c r="D2707" s="45" t="s">
        <v>85</v>
      </c>
      <c r="E2707" s="45">
        <v>3</v>
      </c>
      <c r="F2707" s="47" t="s">
        <v>1633</v>
      </c>
      <c r="G2707" s="45"/>
      <c r="H2707" s="48"/>
      <c r="I2707" s="49"/>
    </row>
    <row r="2708" spans="2:9" s="1" customFormat="1" ht="27" x14ac:dyDescent="0.2">
      <c r="B2708" s="44" t="str">
        <f t="shared" si="56"/>
        <v>2010-056-4</v>
      </c>
      <c r="C2708" s="45">
        <v>2010</v>
      </c>
      <c r="D2708" s="45" t="s">
        <v>85</v>
      </c>
      <c r="E2708" s="45">
        <v>4</v>
      </c>
      <c r="F2708" s="47" t="s">
        <v>2029</v>
      </c>
      <c r="G2708" s="45"/>
      <c r="H2708" s="48"/>
      <c r="I2708" s="49"/>
    </row>
    <row r="2709" spans="2:9" s="1" customFormat="1" x14ac:dyDescent="0.2">
      <c r="B2709" s="50" t="str">
        <f t="shared" si="56"/>
        <v>2010-056-5</v>
      </c>
      <c r="C2709" s="51">
        <v>2010</v>
      </c>
      <c r="D2709" s="51" t="s">
        <v>85</v>
      </c>
      <c r="E2709" s="51">
        <v>5</v>
      </c>
      <c r="F2709" s="52" t="s">
        <v>2423</v>
      </c>
      <c r="G2709" s="51"/>
      <c r="H2709" s="53"/>
      <c r="I2709" s="54"/>
    </row>
    <row r="2710" spans="2:9" s="1" customFormat="1" x14ac:dyDescent="0.2">
      <c r="B2710" s="55" t="str">
        <f t="shared" si="56"/>
        <v>2010-057-0</v>
      </c>
      <c r="C2710" s="56">
        <v>2010</v>
      </c>
      <c r="D2710" s="56" t="s">
        <v>86</v>
      </c>
      <c r="E2710" s="56">
        <v>0</v>
      </c>
      <c r="F2710" s="57" t="s">
        <v>442</v>
      </c>
      <c r="G2710" s="56"/>
      <c r="H2710" s="58"/>
      <c r="I2710" s="59"/>
    </row>
    <row r="2711" spans="2:9" s="1" customFormat="1" ht="27" x14ac:dyDescent="0.2">
      <c r="B2711" s="44" t="str">
        <f t="shared" si="56"/>
        <v>2010-057-1</v>
      </c>
      <c r="C2711" s="45">
        <v>2010</v>
      </c>
      <c r="D2711" s="45" t="s">
        <v>86</v>
      </c>
      <c r="E2711" s="45">
        <v>1</v>
      </c>
      <c r="F2711" s="47" t="s">
        <v>844</v>
      </c>
      <c r="G2711" s="45"/>
      <c r="H2711" s="48"/>
      <c r="I2711" s="49"/>
    </row>
    <row r="2712" spans="2:9" s="1" customFormat="1" x14ac:dyDescent="0.2">
      <c r="B2712" s="44" t="str">
        <f t="shared" si="56"/>
        <v>2010-057-2</v>
      </c>
      <c r="C2712" s="45">
        <v>2010</v>
      </c>
      <c r="D2712" s="45" t="s">
        <v>86</v>
      </c>
      <c r="E2712" s="45">
        <v>2</v>
      </c>
      <c r="F2712" s="47" t="s">
        <v>1240</v>
      </c>
      <c r="G2712" s="45"/>
      <c r="H2712" s="48"/>
      <c r="I2712" s="49"/>
    </row>
    <row r="2713" spans="2:9" s="1" customFormat="1" x14ac:dyDescent="0.2">
      <c r="B2713" s="44" t="str">
        <f t="shared" si="56"/>
        <v>2010-057-3</v>
      </c>
      <c r="C2713" s="45">
        <v>2010</v>
      </c>
      <c r="D2713" s="45" t="s">
        <v>86</v>
      </c>
      <c r="E2713" s="45">
        <v>3</v>
      </c>
      <c r="F2713" s="47" t="s">
        <v>1634</v>
      </c>
      <c r="G2713" s="45" t="s">
        <v>3210</v>
      </c>
      <c r="H2713" s="48"/>
      <c r="I2713" s="49"/>
    </row>
    <row r="2714" spans="2:9" s="1" customFormat="1" ht="27" x14ac:dyDescent="0.2">
      <c r="B2714" s="44" t="str">
        <f t="shared" si="56"/>
        <v>2010-057-4</v>
      </c>
      <c r="C2714" s="45">
        <v>2010</v>
      </c>
      <c r="D2714" s="45" t="s">
        <v>86</v>
      </c>
      <c r="E2714" s="45">
        <v>4</v>
      </c>
      <c r="F2714" s="47" t="s">
        <v>2030</v>
      </c>
      <c r="G2714" s="45"/>
      <c r="H2714" s="48"/>
      <c r="I2714" s="49"/>
    </row>
    <row r="2715" spans="2:9" s="1" customFormat="1" x14ac:dyDescent="0.2">
      <c r="B2715" s="50" t="str">
        <f t="shared" si="56"/>
        <v>2010-057-5</v>
      </c>
      <c r="C2715" s="51">
        <v>2010</v>
      </c>
      <c r="D2715" s="51" t="s">
        <v>86</v>
      </c>
      <c r="E2715" s="51">
        <v>5</v>
      </c>
      <c r="F2715" s="52" t="s">
        <v>2424</v>
      </c>
      <c r="G2715" s="51"/>
      <c r="H2715" s="53"/>
      <c r="I2715" s="54"/>
    </row>
    <row r="2716" spans="2:9" s="1" customFormat="1" x14ac:dyDescent="0.2">
      <c r="B2716" s="55" t="str">
        <f t="shared" si="56"/>
        <v>2010-058-0</v>
      </c>
      <c r="C2716" s="56">
        <v>2010</v>
      </c>
      <c r="D2716" s="56" t="s">
        <v>87</v>
      </c>
      <c r="E2716" s="56">
        <v>0</v>
      </c>
      <c r="F2716" s="57" t="s">
        <v>443</v>
      </c>
      <c r="G2716" s="56"/>
      <c r="H2716" s="58"/>
      <c r="I2716" s="59"/>
    </row>
    <row r="2717" spans="2:9" s="1" customFormat="1" x14ac:dyDescent="0.2">
      <c r="B2717" s="44" t="str">
        <f t="shared" si="56"/>
        <v>2010-058-1</v>
      </c>
      <c r="C2717" s="45">
        <v>2010</v>
      </c>
      <c r="D2717" s="45" t="s">
        <v>87</v>
      </c>
      <c r="E2717" s="45">
        <v>1</v>
      </c>
      <c r="F2717" s="47" t="s">
        <v>845</v>
      </c>
      <c r="G2717" s="45"/>
      <c r="H2717" s="48"/>
      <c r="I2717" s="49"/>
    </row>
    <row r="2718" spans="2:9" s="1" customFormat="1" ht="27" x14ac:dyDescent="0.2">
      <c r="B2718" s="44" t="str">
        <f t="shared" si="56"/>
        <v>2010-058-2</v>
      </c>
      <c r="C2718" s="45">
        <v>2010</v>
      </c>
      <c r="D2718" s="45" t="s">
        <v>87</v>
      </c>
      <c r="E2718" s="45">
        <v>2</v>
      </c>
      <c r="F2718" s="47" t="s">
        <v>1241</v>
      </c>
      <c r="G2718" s="45"/>
      <c r="H2718" s="48"/>
      <c r="I2718" s="49"/>
    </row>
    <row r="2719" spans="2:9" s="1" customFormat="1" ht="27" x14ac:dyDescent="0.2">
      <c r="B2719" s="44" t="str">
        <f t="shared" si="56"/>
        <v>2010-058-3</v>
      </c>
      <c r="C2719" s="45">
        <v>2010</v>
      </c>
      <c r="D2719" s="45" t="s">
        <v>87</v>
      </c>
      <c r="E2719" s="45">
        <v>3</v>
      </c>
      <c r="F2719" s="47" t="s">
        <v>1635</v>
      </c>
      <c r="G2719" s="45"/>
      <c r="H2719" s="48"/>
      <c r="I2719" s="49"/>
    </row>
    <row r="2720" spans="2:9" s="1" customFormat="1" x14ac:dyDescent="0.2">
      <c r="B2720" s="44" t="str">
        <f t="shared" si="56"/>
        <v>2010-058-4</v>
      </c>
      <c r="C2720" s="45">
        <v>2010</v>
      </c>
      <c r="D2720" s="45" t="s">
        <v>87</v>
      </c>
      <c r="E2720" s="45">
        <v>4</v>
      </c>
      <c r="F2720" s="47" t="s">
        <v>2031</v>
      </c>
      <c r="G2720" s="45"/>
      <c r="H2720" s="48"/>
      <c r="I2720" s="49"/>
    </row>
    <row r="2721" spans="2:9" s="1" customFormat="1" x14ac:dyDescent="0.2">
      <c r="B2721" s="50" t="str">
        <f t="shared" si="56"/>
        <v>2010-058-5</v>
      </c>
      <c r="C2721" s="51">
        <v>2010</v>
      </c>
      <c r="D2721" s="51" t="s">
        <v>87</v>
      </c>
      <c r="E2721" s="51">
        <v>5</v>
      </c>
      <c r="F2721" s="52" t="s">
        <v>2425</v>
      </c>
      <c r="G2721" s="51" t="s">
        <v>3210</v>
      </c>
      <c r="H2721" s="53"/>
      <c r="I2721" s="54"/>
    </row>
    <row r="2722" spans="2:9" s="1" customFormat="1" x14ac:dyDescent="0.2">
      <c r="B2722" s="55" t="str">
        <f t="shared" si="56"/>
        <v>2010-059-0</v>
      </c>
      <c r="C2722" s="56">
        <v>2010</v>
      </c>
      <c r="D2722" s="56" t="s">
        <v>88</v>
      </c>
      <c r="E2722" s="56">
        <v>0</v>
      </c>
      <c r="F2722" s="57" t="s">
        <v>444</v>
      </c>
      <c r="G2722" s="56"/>
      <c r="H2722" s="58"/>
      <c r="I2722" s="59"/>
    </row>
    <row r="2723" spans="2:9" s="1" customFormat="1" x14ac:dyDescent="0.2">
      <c r="B2723" s="44" t="str">
        <f t="shared" si="56"/>
        <v>2010-059-1</v>
      </c>
      <c r="C2723" s="45">
        <v>2010</v>
      </c>
      <c r="D2723" s="45" t="s">
        <v>88</v>
      </c>
      <c r="E2723" s="45">
        <v>1</v>
      </c>
      <c r="F2723" s="47" t="s">
        <v>846</v>
      </c>
      <c r="G2723" s="45"/>
      <c r="H2723" s="48"/>
      <c r="I2723" s="49"/>
    </row>
    <row r="2724" spans="2:9" s="1" customFormat="1" x14ac:dyDescent="0.2">
      <c r="B2724" s="44" t="str">
        <f t="shared" si="56"/>
        <v>2010-059-2</v>
      </c>
      <c r="C2724" s="45">
        <v>2010</v>
      </c>
      <c r="D2724" s="45" t="s">
        <v>88</v>
      </c>
      <c r="E2724" s="45">
        <v>2</v>
      </c>
      <c r="F2724" s="47" t="s">
        <v>1242</v>
      </c>
      <c r="G2724" s="45" t="s">
        <v>3210</v>
      </c>
      <c r="H2724" s="48"/>
      <c r="I2724" s="49"/>
    </row>
    <row r="2725" spans="2:9" s="1" customFormat="1" x14ac:dyDescent="0.2">
      <c r="B2725" s="44" t="str">
        <f t="shared" si="56"/>
        <v>2010-059-3</v>
      </c>
      <c r="C2725" s="45">
        <v>2010</v>
      </c>
      <c r="D2725" s="45" t="s">
        <v>88</v>
      </c>
      <c r="E2725" s="45">
        <v>3</v>
      </c>
      <c r="F2725" s="47" t="s">
        <v>1636</v>
      </c>
      <c r="G2725" s="45"/>
      <c r="H2725" s="48"/>
      <c r="I2725" s="49"/>
    </row>
    <row r="2726" spans="2:9" s="1" customFormat="1" x14ac:dyDescent="0.2">
      <c r="B2726" s="44" t="str">
        <f t="shared" si="56"/>
        <v>2010-059-4</v>
      </c>
      <c r="C2726" s="45">
        <v>2010</v>
      </c>
      <c r="D2726" s="45" t="s">
        <v>88</v>
      </c>
      <c r="E2726" s="45">
        <v>4</v>
      </c>
      <c r="F2726" s="47" t="s">
        <v>2032</v>
      </c>
      <c r="G2726" s="45"/>
      <c r="H2726" s="48"/>
      <c r="I2726" s="49"/>
    </row>
    <row r="2727" spans="2:9" s="1" customFormat="1" x14ac:dyDescent="0.2">
      <c r="B2727" s="50" t="str">
        <f t="shared" si="56"/>
        <v>2010-059-5</v>
      </c>
      <c r="C2727" s="51">
        <v>2010</v>
      </c>
      <c r="D2727" s="51" t="s">
        <v>88</v>
      </c>
      <c r="E2727" s="51">
        <v>5</v>
      </c>
      <c r="F2727" s="52" t="s">
        <v>2426</v>
      </c>
      <c r="G2727" s="51"/>
      <c r="H2727" s="53"/>
      <c r="I2727" s="54"/>
    </row>
    <row r="2728" spans="2:9" s="1" customFormat="1" x14ac:dyDescent="0.2">
      <c r="B2728" s="55" t="str">
        <f t="shared" si="56"/>
        <v>2010-060-0</v>
      </c>
      <c r="C2728" s="56">
        <v>2010</v>
      </c>
      <c r="D2728" s="56" t="s">
        <v>89</v>
      </c>
      <c r="E2728" s="56">
        <v>0</v>
      </c>
      <c r="F2728" s="57" t="s">
        <v>445</v>
      </c>
      <c r="G2728" s="56"/>
      <c r="H2728" s="58"/>
      <c r="I2728" s="59"/>
    </row>
    <row r="2729" spans="2:9" s="1" customFormat="1" x14ac:dyDescent="0.2">
      <c r="B2729" s="44" t="str">
        <f t="shared" si="56"/>
        <v>2010-060-1</v>
      </c>
      <c r="C2729" s="45">
        <v>2010</v>
      </c>
      <c r="D2729" s="45" t="s">
        <v>89</v>
      </c>
      <c r="E2729" s="45">
        <v>1</v>
      </c>
      <c r="F2729" s="47" t="s">
        <v>847</v>
      </c>
      <c r="G2729" s="45"/>
      <c r="H2729" s="48"/>
      <c r="I2729" s="49"/>
    </row>
    <row r="2730" spans="2:9" s="1" customFormat="1" x14ac:dyDescent="0.2">
      <c r="B2730" s="44" t="str">
        <f t="shared" si="56"/>
        <v>2010-060-2</v>
      </c>
      <c r="C2730" s="45">
        <v>2010</v>
      </c>
      <c r="D2730" s="45" t="s">
        <v>89</v>
      </c>
      <c r="E2730" s="45">
        <v>2</v>
      </c>
      <c r="F2730" s="47" t="s">
        <v>1243</v>
      </c>
      <c r="G2730" s="45" t="s">
        <v>3210</v>
      </c>
      <c r="H2730" s="48"/>
      <c r="I2730" s="49"/>
    </row>
    <row r="2731" spans="2:9" s="1" customFormat="1" x14ac:dyDescent="0.2">
      <c r="B2731" s="44" t="str">
        <f t="shared" si="56"/>
        <v>2010-060-3</v>
      </c>
      <c r="C2731" s="45">
        <v>2010</v>
      </c>
      <c r="D2731" s="45" t="s">
        <v>89</v>
      </c>
      <c r="E2731" s="45">
        <v>3</v>
      </c>
      <c r="F2731" s="47" t="s">
        <v>1637</v>
      </c>
      <c r="G2731" s="45"/>
      <c r="H2731" s="48"/>
      <c r="I2731" s="49"/>
    </row>
    <row r="2732" spans="2:9" s="1" customFormat="1" x14ac:dyDescent="0.2">
      <c r="B2732" s="44" t="str">
        <f t="shared" si="56"/>
        <v>2010-060-4</v>
      </c>
      <c r="C2732" s="45">
        <v>2010</v>
      </c>
      <c r="D2732" s="45" t="s">
        <v>89</v>
      </c>
      <c r="E2732" s="45">
        <v>4</v>
      </c>
      <c r="F2732" s="47" t="s">
        <v>2033</v>
      </c>
      <c r="G2732" s="45"/>
      <c r="H2732" s="48"/>
      <c r="I2732" s="49"/>
    </row>
    <row r="2733" spans="2:9" s="1" customFormat="1" x14ac:dyDescent="0.2">
      <c r="B2733" s="50" t="str">
        <f t="shared" si="56"/>
        <v>2010-060-5</v>
      </c>
      <c r="C2733" s="51">
        <v>2010</v>
      </c>
      <c r="D2733" s="51" t="s">
        <v>89</v>
      </c>
      <c r="E2733" s="51">
        <v>5</v>
      </c>
      <c r="F2733" s="52" t="s">
        <v>2427</v>
      </c>
      <c r="G2733" s="51"/>
      <c r="H2733" s="53"/>
      <c r="I2733" s="54"/>
    </row>
    <row r="2734" spans="2:9" s="1" customFormat="1" x14ac:dyDescent="0.2">
      <c r="B2734" s="55" t="str">
        <f t="shared" si="56"/>
        <v>2010-061-0</v>
      </c>
      <c r="C2734" s="56">
        <v>2010</v>
      </c>
      <c r="D2734" s="56" t="s">
        <v>90</v>
      </c>
      <c r="E2734" s="56">
        <v>0</v>
      </c>
      <c r="F2734" s="57" t="s">
        <v>446</v>
      </c>
      <c r="G2734" s="56"/>
      <c r="H2734" s="58"/>
      <c r="I2734" s="59"/>
    </row>
    <row r="2735" spans="2:9" s="1" customFormat="1" x14ac:dyDescent="0.2">
      <c r="B2735" s="44" t="str">
        <f t="shared" si="56"/>
        <v>2010-061-1</v>
      </c>
      <c r="C2735" s="45">
        <v>2010</v>
      </c>
      <c r="D2735" s="45" t="s">
        <v>90</v>
      </c>
      <c r="E2735" s="45">
        <v>1</v>
      </c>
      <c r="F2735" s="47" t="s">
        <v>848</v>
      </c>
      <c r="G2735" s="45"/>
      <c r="H2735" s="48"/>
      <c r="I2735" s="49"/>
    </row>
    <row r="2736" spans="2:9" s="1" customFormat="1" x14ac:dyDescent="0.2">
      <c r="B2736" s="44" t="str">
        <f t="shared" si="56"/>
        <v>2010-061-2</v>
      </c>
      <c r="C2736" s="45">
        <v>2010</v>
      </c>
      <c r="D2736" s="45" t="s">
        <v>90</v>
      </c>
      <c r="E2736" s="45">
        <v>2</v>
      </c>
      <c r="F2736" s="47" t="s">
        <v>1244</v>
      </c>
      <c r="G2736" s="45"/>
      <c r="H2736" s="48"/>
      <c r="I2736" s="49"/>
    </row>
    <row r="2737" spans="2:9" s="1" customFormat="1" x14ac:dyDescent="0.2">
      <c r="B2737" s="44" t="str">
        <f t="shared" si="56"/>
        <v>2010-061-3</v>
      </c>
      <c r="C2737" s="45">
        <v>2010</v>
      </c>
      <c r="D2737" s="45" t="s">
        <v>90</v>
      </c>
      <c r="E2737" s="45">
        <v>3</v>
      </c>
      <c r="F2737" s="47" t="s">
        <v>1638</v>
      </c>
      <c r="G2737" s="45"/>
      <c r="H2737" s="48"/>
      <c r="I2737" s="49"/>
    </row>
    <row r="2738" spans="2:9" s="1" customFormat="1" x14ac:dyDescent="0.2">
      <c r="B2738" s="44" t="str">
        <f t="shared" si="56"/>
        <v>2010-061-4</v>
      </c>
      <c r="C2738" s="45">
        <v>2010</v>
      </c>
      <c r="D2738" s="45" t="s">
        <v>90</v>
      </c>
      <c r="E2738" s="45">
        <v>4</v>
      </c>
      <c r="F2738" s="47" t="s">
        <v>2034</v>
      </c>
      <c r="G2738" s="45" t="s">
        <v>3210</v>
      </c>
      <c r="H2738" s="48"/>
      <c r="I2738" s="49"/>
    </row>
    <row r="2739" spans="2:9" s="1" customFormat="1" x14ac:dyDescent="0.2">
      <c r="B2739" s="50" t="str">
        <f t="shared" si="56"/>
        <v>2010-061-5</v>
      </c>
      <c r="C2739" s="51">
        <v>2010</v>
      </c>
      <c r="D2739" s="51" t="s">
        <v>90</v>
      </c>
      <c r="E2739" s="51">
        <v>5</v>
      </c>
      <c r="F2739" s="52" t="s">
        <v>2428</v>
      </c>
      <c r="G2739" s="51"/>
      <c r="H2739" s="53"/>
      <c r="I2739" s="54"/>
    </row>
    <row r="2740" spans="2:9" s="1" customFormat="1" x14ac:dyDescent="0.2">
      <c r="B2740" s="55" t="str">
        <f t="shared" si="56"/>
        <v>2010-062-0</v>
      </c>
      <c r="C2740" s="56">
        <v>2010</v>
      </c>
      <c r="D2740" s="56" t="s">
        <v>91</v>
      </c>
      <c r="E2740" s="56">
        <v>0</v>
      </c>
      <c r="F2740" s="57" t="s">
        <v>447</v>
      </c>
      <c r="G2740" s="56"/>
      <c r="H2740" s="58"/>
      <c r="I2740" s="59"/>
    </row>
    <row r="2741" spans="2:9" s="1" customFormat="1" x14ac:dyDescent="0.2">
      <c r="B2741" s="44" t="str">
        <f t="shared" si="56"/>
        <v>2010-062-1</v>
      </c>
      <c r="C2741" s="45">
        <v>2010</v>
      </c>
      <c r="D2741" s="45" t="s">
        <v>91</v>
      </c>
      <c r="E2741" s="45">
        <v>1</v>
      </c>
      <c r="F2741" s="47" t="s">
        <v>849</v>
      </c>
      <c r="G2741" s="45"/>
      <c r="H2741" s="48"/>
      <c r="I2741" s="49"/>
    </row>
    <row r="2742" spans="2:9" s="1" customFormat="1" x14ac:dyDescent="0.2">
      <c r="B2742" s="44" t="str">
        <f t="shared" si="56"/>
        <v>2010-062-2</v>
      </c>
      <c r="C2742" s="45">
        <v>2010</v>
      </c>
      <c r="D2742" s="45" t="s">
        <v>91</v>
      </c>
      <c r="E2742" s="45">
        <v>2</v>
      </c>
      <c r="F2742" s="47" t="s">
        <v>1245</v>
      </c>
      <c r="G2742" s="45"/>
      <c r="H2742" s="48"/>
      <c r="I2742" s="49"/>
    </row>
    <row r="2743" spans="2:9" s="1" customFormat="1" x14ac:dyDescent="0.2">
      <c r="B2743" s="44" t="str">
        <f t="shared" si="56"/>
        <v>2010-062-3</v>
      </c>
      <c r="C2743" s="45">
        <v>2010</v>
      </c>
      <c r="D2743" s="45" t="s">
        <v>91</v>
      </c>
      <c r="E2743" s="45">
        <v>3</v>
      </c>
      <c r="F2743" s="47" t="s">
        <v>1639</v>
      </c>
      <c r="G2743" s="45"/>
      <c r="H2743" s="48"/>
      <c r="I2743" s="49"/>
    </row>
    <row r="2744" spans="2:9" s="1" customFormat="1" x14ac:dyDescent="0.2">
      <c r="B2744" s="44" t="str">
        <f t="shared" si="56"/>
        <v>2010-062-4</v>
      </c>
      <c r="C2744" s="45">
        <v>2010</v>
      </c>
      <c r="D2744" s="45" t="s">
        <v>91</v>
      </c>
      <c r="E2744" s="45">
        <v>4</v>
      </c>
      <c r="F2744" s="47" t="s">
        <v>2035</v>
      </c>
      <c r="G2744" s="45" t="s">
        <v>3210</v>
      </c>
      <c r="H2744" s="48"/>
      <c r="I2744" s="49"/>
    </row>
    <row r="2745" spans="2:9" s="1" customFormat="1" x14ac:dyDescent="0.2">
      <c r="B2745" s="50" t="str">
        <f t="shared" si="56"/>
        <v>2010-062-5</v>
      </c>
      <c r="C2745" s="51">
        <v>2010</v>
      </c>
      <c r="D2745" s="51" t="s">
        <v>91</v>
      </c>
      <c r="E2745" s="51">
        <v>5</v>
      </c>
      <c r="F2745" s="52" t="s">
        <v>2429</v>
      </c>
      <c r="G2745" s="51"/>
      <c r="H2745" s="53"/>
      <c r="I2745" s="54"/>
    </row>
    <row r="2746" spans="2:9" s="1" customFormat="1" x14ac:dyDescent="0.2">
      <c r="B2746" s="55" t="str">
        <f t="shared" si="56"/>
        <v>2010-063-0</v>
      </c>
      <c r="C2746" s="56">
        <v>2010</v>
      </c>
      <c r="D2746" s="56" t="s">
        <v>92</v>
      </c>
      <c r="E2746" s="56">
        <v>0</v>
      </c>
      <c r="F2746" s="57" t="s">
        <v>448</v>
      </c>
      <c r="G2746" s="56"/>
      <c r="H2746" s="58"/>
      <c r="I2746" s="59"/>
    </row>
    <row r="2747" spans="2:9" s="1" customFormat="1" x14ac:dyDescent="0.2">
      <c r="B2747" s="44" t="str">
        <f t="shared" si="56"/>
        <v>2010-063-1</v>
      </c>
      <c r="C2747" s="45">
        <v>2010</v>
      </c>
      <c r="D2747" s="45" t="s">
        <v>92</v>
      </c>
      <c r="E2747" s="45">
        <v>1</v>
      </c>
      <c r="F2747" s="47" t="s">
        <v>850</v>
      </c>
      <c r="G2747" s="45" t="s">
        <v>3210</v>
      </c>
      <c r="H2747" s="48"/>
      <c r="I2747" s="49"/>
    </row>
    <row r="2748" spans="2:9" s="1" customFormat="1" ht="27" x14ac:dyDescent="0.2">
      <c r="B2748" s="44" t="str">
        <f t="shared" si="56"/>
        <v>2010-063-2</v>
      </c>
      <c r="C2748" s="45">
        <v>2010</v>
      </c>
      <c r="D2748" s="45" t="s">
        <v>92</v>
      </c>
      <c r="E2748" s="45">
        <v>2</v>
      </c>
      <c r="F2748" s="47" t="s">
        <v>1246</v>
      </c>
      <c r="G2748" s="45"/>
      <c r="H2748" s="48"/>
      <c r="I2748" s="49"/>
    </row>
    <row r="2749" spans="2:9" s="1" customFormat="1" x14ac:dyDescent="0.2">
      <c r="B2749" s="44" t="str">
        <f t="shared" si="56"/>
        <v>2010-063-3</v>
      </c>
      <c r="C2749" s="45">
        <v>2010</v>
      </c>
      <c r="D2749" s="45" t="s">
        <v>92</v>
      </c>
      <c r="E2749" s="45">
        <v>3</v>
      </c>
      <c r="F2749" s="47" t="s">
        <v>1640</v>
      </c>
      <c r="G2749" s="45"/>
      <c r="H2749" s="48"/>
      <c r="I2749" s="49"/>
    </row>
    <row r="2750" spans="2:9" s="1" customFormat="1" ht="27" x14ac:dyDescent="0.2">
      <c r="B2750" s="44" t="str">
        <f t="shared" si="56"/>
        <v>2010-063-4</v>
      </c>
      <c r="C2750" s="45">
        <v>2010</v>
      </c>
      <c r="D2750" s="45" t="s">
        <v>92</v>
      </c>
      <c r="E2750" s="45">
        <v>4</v>
      </c>
      <c r="F2750" s="47" t="s">
        <v>2036</v>
      </c>
      <c r="G2750" s="45"/>
      <c r="H2750" s="48"/>
      <c r="I2750" s="49"/>
    </row>
    <row r="2751" spans="2:9" s="1" customFormat="1" ht="27" x14ac:dyDescent="0.2">
      <c r="B2751" s="50" t="str">
        <f t="shared" si="56"/>
        <v>2010-063-5</v>
      </c>
      <c r="C2751" s="51">
        <v>2010</v>
      </c>
      <c r="D2751" s="51" t="s">
        <v>92</v>
      </c>
      <c r="E2751" s="51">
        <v>5</v>
      </c>
      <c r="F2751" s="52" t="s">
        <v>2430</v>
      </c>
      <c r="G2751" s="51"/>
      <c r="H2751" s="53"/>
      <c r="I2751" s="54"/>
    </row>
    <row r="2752" spans="2:9" s="1" customFormat="1" ht="27" x14ac:dyDescent="0.2">
      <c r="B2752" s="55" t="str">
        <f t="shared" si="56"/>
        <v>2010-064-0</v>
      </c>
      <c r="C2752" s="56">
        <v>2010</v>
      </c>
      <c r="D2752" s="56" t="s">
        <v>93</v>
      </c>
      <c r="E2752" s="56">
        <v>0</v>
      </c>
      <c r="F2752" s="57" t="s">
        <v>449</v>
      </c>
      <c r="G2752" s="56"/>
      <c r="H2752" s="58"/>
      <c r="I2752" s="59"/>
    </row>
    <row r="2753" spans="2:9" s="1" customFormat="1" x14ac:dyDescent="0.2">
      <c r="B2753" s="44" t="str">
        <f t="shared" si="56"/>
        <v>2010-064-1</v>
      </c>
      <c r="C2753" s="45">
        <v>2010</v>
      </c>
      <c r="D2753" s="45" t="s">
        <v>93</v>
      </c>
      <c r="E2753" s="45">
        <v>1</v>
      </c>
      <c r="F2753" s="47" t="s">
        <v>851</v>
      </c>
      <c r="G2753" s="45"/>
      <c r="H2753" s="48"/>
      <c r="I2753" s="49"/>
    </row>
    <row r="2754" spans="2:9" s="1" customFormat="1" x14ac:dyDescent="0.2">
      <c r="B2754" s="44" t="str">
        <f t="shared" si="56"/>
        <v>2010-064-2</v>
      </c>
      <c r="C2754" s="45">
        <v>2010</v>
      </c>
      <c r="D2754" s="45" t="s">
        <v>93</v>
      </c>
      <c r="E2754" s="45">
        <v>2</v>
      </c>
      <c r="F2754" s="47" t="s">
        <v>1247</v>
      </c>
      <c r="G2754" s="45"/>
      <c r="H2754" s="48"/>
      <c r="I2754" s="49"/>
    </row>
    <row r="2755" spans="2:9" s="1" customFormat="1" x14ac:dyDescent="0.2">
      <c r="B2755" s="44" t="str">
        <f t="shared" si="56"/>
        <v>2010-064-3</v>
      </c>
      <c r="C2755" s="45">
        <v>2010</v>
      </c>
      <c r="D2755" s="45" t="s">
        <v>93</v>
      </c>
      <c r="E2755" s="45">
        <v>3</v>
      </c>
      <c r="F2755" s="47" t="s">
        <v>1641</v>
      </c>
      <c r="G2755" s="45" t="s">
        <v>3210</v>
      </c>
      <c r="H2755" s="48"/>
      <c r="I2755" s="49"/>
    </row>
    <row r="2756" spans="2:9" s="1" customFormat="1" x14ac:dyDescent="0.2">
      <c r="B2756" s="44" t="str">
        <f t="shared" si="56"/>
        <v>2010-064-4</v>
      </c>
      <c r="C2756" s="45">
        <v>2010</v>
      </c>
      <c r="D2756" s="45" t="s">
        <v>93</v>
      </c>
      <c r="E2756" s="45">
        <v>4</v>
      </c>
      <c r="F2756" s="47" t="s">
        <v>2037</v>
      </c>
      <c r="G2756" s="45"/>
      <c r="H2756" s="48"/>
      <c r="I2756" s="49"/>
    </row>
    <row r="2757" spans="2:9" s="1" customFormat="1" x14ac:dyDescent="0.2">
      <c r="B2757" s="50" t="str">
        <f t="shared" si="56"/>
        <v>2010-064-5</v>
      </c>
      <c r="C2757" s="51">
        <v>2010</v>
      </c>
      <c r="D2757" s="51" t="s">
        <v>93</v>
      </c>
      <c r="E2757" s="51">
        <v>5</v>
      </c>
      <c r="F2757" s="52" t="s">
        <v>2431</v>
      </c>
      <c r="G2757" s="51"/>
      <c r="H2757" s="53"/>
      <c r="I2757" s="54"/>
    </row>
    <row r="2758" spans="2:9" s="1" customFormat="1" x14ac:dyDescent="0.2">
      <c r="B2758" s="55" t="str">
        <f t="shared" si="56"/>
        <v>2010-065-0</v>
      </c>
      <c r="C2758" s="56">
        <v>2010</v>
      </c>
      <c r="D2758" s="56" t="s">
        <v>94</v>
      </c>
      <c r="E2758" s="56">
        <v>0</v>
      </c>
      <c r="F2758" s="57" t="s">
        <v>450</v>
      </c>
      <c r="G2758" s="56"/>
      <c r="H2758" s="58"/>
      <c r="I2758" s="59"/>
    </row>
    <row r="2759" spans="2:9" s="1" customFormat="1" ht="27" x14ac:dyDescent="0.2">
      <c r="B2759" s="44" t="str">
        <f t="shared" si="56"/>
        <v>2010-065-1</v>
      </c>
      <c r="C2759" s="45">
        <v>2010</v>
      </c>
      <c r="D2759" s="45" t="s">
        <v>94</v>
      </c>
      <c r="E2759" s="45">
        <v>1</v>
      </c>
      <c r="F2759" s="47" t="s">
        <v>852</v>
      </c>
      <c r="G2759" s="45"/>
      <c r="H2759" s="48"/>
      <c r="I2759" s="49"/>
    </row>
    <row r="2760" spans="2:9" s="1" customFormat="1" ht="27" x14ac:dyDescent="0.2">
      <c r="B2760" s="44" t="str">
        <f t="shared" si="56"/>
        <v>2010-065-2</v>
      </c>
      <c r="C2760" s="45">
        <v>2010</v>
      </c>
      <c r="D2760" s="45" t="s">
        <v>94</v>
      </c>
      <c r="E2760" s="45">
        <v>2</v>
      </c>
      <c r="F2760" s="47" t="s">
        <v>1248</v>
      </c>
      <c r="G2760" s="45" t="s">
        <v>3210</v>
      </c>
      <c r="H2760" s="48"/>
      <c r="I2760" s="49"/>
    </row>
    <row r="2761" spans="2:9" s="1" customFormat="1" ht="27" x14ac:dyDescent="0.2">
      <c r="B2761" s="44" t="str">
        <f t="shared" si="56"/>
        <v>2010-065-3</v>
      </c>
      <c r="C2761" s="45">
        <v>2010</v>
      </c>
      <c r="D2761" s="45" t="s">
        <v>94</v>
      </c>
      <c r="E2761" s="45">
        <v>3</v>
      </c>
      <c r="F2761" s="47" t="s">
        <v>1642</v>
      </c>
      <c r="G2761" s="45"/>
      <c r="H2761" s="48"/>
      <c r="I2761" s="49"/>
    </row>
    <row r="2762" spans="2:9" s="1" customFormat="1" ht="27" x14ac:dyDescent="0.2">
      <c r="B2762" s="44" t="str">
        <f t="shared" si="56"/>
        <v>2010-065-4</v>
      </c>
      <c r="C2762" s="45">
        <v>2010</v>
      </c>
      <c r="D2762" s="45" t="s">
        <v>94</v>
      </c>
      <c r="E2762" s="45">
        <v>4</v>
      </c>
      <c r="F2762" s="47" t="s">
        <v>2038</v>
      </c>
      <c r="G2762" s="45"/>
      <c r="H2762" s="48"/>
      <c r="I2762" s="49"/>
    </row>
    <row r="2763" spans="2:9" s="1" customFormat="1" x14ac:dyDescent="0.2">
      <c r="B2763" s="50" t="str">
        <f t="shared" si="56"/>
        <v>2010-065-5</v>
      </c>
      <c r="C2763" s="51">
        <v>2010</v>
      </c>
      <c r="D2763" s="51" t="s">
        <v>94</v>
      </c>
      <c r="E2763" s="51">
        <v>5</v>
      </c>
      <c r="F2763" s="52" t="s">
        <v>2432</v>
      </c>
      <c r="G2763" s="51"/>
      <c r="H2763" s="53"/>
      <c r="I2763" s="54"/>
    </row>
    <row r="2764" spans="2:9" s="1" customFormat="1" x14ac:dyDescent="0.2">
      <c r="B2764" s="55" t="str">
        <f t="shared" si="56"/>
        <v>2010-066-0</v>
      </c>
      <c r="C2764" s="56">
        <v>2010</v>
      </c>
      <c r="D2764" s="56" t="s">
        <v>95</v>
      </c>
      <c r="E2764" s="56">
        <v>0</v>
      </c>
      <c r="F2764" s="57" t="s">
        <v>451</v>
      </c>
      <c r="G2764" s="56"/>
      <c r="H2764" s="58"/>
      <c r="I2764" s="59"/>
    </row>
    <row r="2765" spans="2:9" s="1" customFormat="1" x14ac:dyDescent="0.2">
      <c r="B2765" s="44" t="str">
        <f t="shared" si="56"/>
        <v>2010-066-1</v>
      </c>
      <c r="C2765" s="45">
        <v>2010</v>
      </c>
      <c r="D2765" s="45" t="s">
        <v>95</v>
      </c>
      <c r="E2765" s="45">
        <v>1</v>
      </c>
      <c r="F2765" s="47" t="s">
        <v>853</v>
      </c>
      <c r="G2765" s="45"/>
      <c r="H2765" s="48"/>
      <c r="I2765" s="49"/>
    </row>
    <row r="2766" spans="2:9" s="1" customFormat="1" x14ac:dyDescent="0.2">
      <c r="B2766" s="44" t="str">
        <f t="shared" si="56"/>
        <v>2010-066-2</v>
      </c>
      <c r="C2766" s="45">
        <v>2010</v>
      </c>
      <c r="D2766" s="45" t="s">
        <v>95</v>
      </c>
      <c r="E2766" s="45">
        <v>2</v>
      </c>
      <c r="F2766" s="47" t="s">
        <v>1249</v>
      </c>
      <c r="G2766" s="45" t="s">
        <v>3210</v>
      </c>
      <c r="H2766" s="48"/>
      <c r="I2766" s="49"/>
    </row>
    <row r="2767" spans="2:9" s="1" customFormat="1" x14ac:dyDescent="0.2">
      <c r="B2767" s="44" t="str">
        <f t="shared" si="56"/>
        <v>2010-066-3</v>
      </c>
      <c r="C2767" s="45">
        <v>2010</v>
      </c>
      <c r="D2767" s="45" t="s">
        <v>95</v>
      </c>
      <c r="E2767" s="45">
        <v>3</v>
      </c>
      <c r="F2767" s="47" t="s">
        <v>1643</v>
      </c>
      <c r="G2767" s="45"/>
      <c r="H2767" s="48"/>
      <c r="I2767" s="49"/>
    </row>
    <row r="2768" spans="2:9" s="1" customFormat="1" x14ac:dyDescent="0.2">
      <c r="B2768" s="44" t="str">
        <f t="shared" si="56"/>
        <v>2010-066-4</v>
      </c>
      <c r="C2768" s="45">
        <v>2010</v>
      </c>
      <c r="D2768" s="45" t="s">
        <v>95</v>
      </c>
      <c r="E2768" s="45">
        <v>4</v>
      </c>
      <c r="F2768" s="47" t="s">
        <v>2039</v>
      </c>
      <c r="G2768" s="45"/>
      <c r="H2768" s="48"/>
      <c r="I2768" s="49"/>
    </row>
    <row r="2769" spans="2:9" s="1" customFormat="1" x14ac:dyDescent="0.2">
      <c r="B2769" s="50" t="str">
        <f t="shared" si="56"/>
        <v>2010-066-5</v>
      </c>
      <c r="C2769" s="51">
        <v>2010</v>
      </c>
      <c r="D2769" s="51" t="s">
        <v>95</v>
      </c>
      <c r="E2769" s="51">
        <v>5</v>
      </c>
      <c r="F2769" s="52" t="s">
        <v>2381</v>
      </c>
      <c r="G2769" s="51"/>
      <c r="H2769" s="53"/>
      <c r="I2769" s="54"/>
    </row>
    <row r="2770" spans="2:9" s="1" customFormat="1" x14ac:dyDescent="0.2">
      <c r="B2770" s="55" t="str">
        <f t="shared" si="56"/>
        <v>2010-067-0</v>
      </c>
      <c r="C2770" s="56">
        <v>2010</v>
      </c>
      <c r="D2770" s="56" t="s">
        <v>96</v>
      </c>
      <c r="E2770" s="56">
        <v>0</v>
      </c>
      <c r="F2770" s="57" t="s">
        <v>452</v>
      </c>
      <c r="G2770" s="56"/>
      <c r="H2770" s="58"/>
      <c r="I2770" s="59"/>
    </row>
    <row r="2771" spans="2:9" s="1" customFormat="1" x14ac:dyDescent="0.2">
      <c r="B2771" s="44" t="str">
        <f t="shared" ref="B2771:B2823" si="57">C2771&amp;"-"&amp;D2771&amp;"-"&amp;E2771</f>
        <v>2010-067-1</v>
      </c>
      <c r="C2771" s="45">
        <v>2010</v>
      </c>
      <c r="D2771" s="45" t="s">
        <v>96</v>
      </c>
      <c r="E2771" s="45">
        <v>1</v>
      </c>
      <c r="F2771" s="47" t="s">
        <v>854</v>
      </c>
      <c r="G2771" s="45"/>
      <c r="H2771" s="48"/>
      <c r="I2771" s="49"/>
    </row>
    <row r="2772" spans="2:9" s="1" customFormat="1" x14ac:dyDescent="0.2">
      <c r="B2772" s="44" t="str">
        <f t="shared" si="57"/>
        <v>2010-067-2</v>
      </c>
      <c r="C2772" s="45">
        <v>2010</v>
      </c>
      <c r="D2772" s="45" t="s">
        <v>96</v>
      </c>
      <c r="E2772" s="45">
        <v>2</v>
      </c>
      <c r="F2772" s="47" t="s">
        <v>1250</v>
      </c>
      <c r="G2772" s="45"/>
      <c r="H2772" s="48"/>
      <c r="I2772" s="49"/>
    </row>
    <row r="2773" spans="2:9" s="1" customFormat="1" ht="27" x14ac:dyDescent="0.2">
      <c r="B2773" s="44" t="str">
        <f t="shared" si="57"/>
        <v>2010-067-3</v>
      </c>
      <c r="C2773" s="45">
        <v>2010</v>
      </c>
      <c r="D2773" s="45" t="s">
        <v>96</v>
      </c>
      <c r="E2773" s="45">
        <v>3</v>
      </c>
      <c r="F2773" s="47" t="s">
        <v>1644</v>
      </c>
      <c r="G2773" s="45" t="s">
        <v>3210</v>
      </c>
      <c r="H2773" s="48"/>
      <c r="I2773" s="49"/>
    </row>
    <row r="2774" spans="2:9" s="1" customFormat="1" x14ac:dyDescent="0.2">
      <c r="B2774" s="44" t="str">
        <f t="shared" si="57"/>
        <v>2010-067-4</v>
      </c>
      <c r="C2774" s="45">
        <v>2010</v>
      </c>
      <c r="D2774" s="45" t="s">
        <v>96</v>
      </c>
      <c r="E2774" s="45">
        <v>4</v>
      </c>
      <c r="F2774" s="47" t="s">
        <v>2040</v>
      </c>
      <c r="G2774" s="45"/>
      <c r="H2774" s="48"/>
      <c r="I2774" s="49"/>
    </row>
    <row r="2775" spans="2:9" s="1" customFormat="1" x14ac:dyDescent="0.2">
      <c r="B2775" s="50" t="str">
        <f t="shared" si="57"/>
        <v>2010-067-5</v>
      </c>
      <c r="C2775" s="51">
        <v>2010</v>
      </c>
      <c r="D2775" s="51" t="s">
        <v>96</v>
      </c>
      <c r="E2775" s="51">
        <v>5</v>
      </c>
      <c r="F2775" s="52" t="s">
        <v>2433</v>
      </c>
      <c r="G2775" s="51"/>
      <c r="H2775" s="53"/>
      <c r="I2775" s="54"/>
    </row>
    <row r="2776" spans="2:9" s="1" customFormat="1" ht="54" x14ac:dyDescent="0.2">
      <c r="B2776" s="55" t="str">
        <f t="shared" si="57"/>
        <v>2010-068-0</v>
      </c>
      <c r="C2776" s="56">
        <v>2010</v>
      </c>
      <c r="D2776" s="56" t="s">
        <v>97</v>
      </c>
      <c r="E2776" s="56">
        <v>0</v>
      </c>
      <c r="F2776" s="57" t="s">
        <v>453</v>
      </c>
      <c r="G2776" s="56"/>
      <c r="H2776" s="58"/>
      <c r="I2776" s="59"/>
    </row>
    <row r="2777" spans="2:9" s="1" customFormat="1" x14ac:dyDescent="0.2">
      <c r="B2777" s="44" t="str">
        <f t="shared" si="57"/>
        <v>2010-068-1</v>
      </c>
      <c r="C2777" s="45">
        <v>2010</v>
      </c>
      <c r="D2777" s="45" t="s">
        <v>97</v>
      </c>
      <c r="E2777" s="45">
        <v>1</v>
      </c>
      <c r="F2777" s="47" t="s">
        <v>855</v>
      </c>
      <c r="G2777" s="45" t="s">
        <v>3210</v>
      </c>
      <c r="H2777" s="48"/>
      <c r="I2777" s="49"/>
    </row>
    <row r="2778" spans="2:9" s="1" customFormat="1" x14ac:dyDescent="0.2">
      <c r="B2778" s="44" t="str">
        <f t="shared" si="57"/>
        <v>2010-068-2</v>
      </c>
      <c r="C2778" s="45">
        <v>2010</v>
      </c>
      <c r="D2778" s="45" t="s">
        <v>97</v>
      </c>
      <c r="E2778" s="45">
        <v>2</v>
      </c>
      <c r="F2778" s="47" t="s">
        <v>1251</v>
      </c>
      <c r="G2778" s="45"/>
      <c r="H2778" s="48"/>
      <c r="I2778" s="49"/>
    </row>
    <row r="2779" spans="2:9" s="1" customFormat="1" x14ac:dyDescent="0.2">
      <c r="B2779" s="44" t="str">
        <f t="shared" si="57"/>
        <v>2010-068-3</v>
      </c>
      <c r="C2779" s="45">
        <v>2010</v>
      </c>
      <c r="D2779" s="45" t="s">
        <v>97</v>
      </c>
      <c r="E2779" s="45">
        <v>3</v>
      </c>
      <c r="F2779" s="47" t="s">
        <v>1645</v>
      </c>
      <c r="G2779" s="45"/>
      <c r="H2779" s="48"/>
      <c r="I2779" s="49"/>
    </row>
    <row r="2780" spans="2:9" s="1" customFormat="1" x14ac:dyDescent="0.2">
      <c r="B2780" s="44" t="str">
        <f t="shared" si="57"/>
        <v>2010-068-4</v>
      </c>
      <c r="C2780" s="45">
        <v>2010</v>
      </c>
      <c r="D2780" s="45" t="s">
        <v>97</v>
      </c>
      <c r="E2780" s="45">
        <v>4</v>
      </c>
      <c r="F2780" s="47" t="s">
        <v>2041</v>
      </c>
      <c r="G2780" s="45"/>
      <c r="H2780" s="48"/>
      <c r="I2780" s="49"/>
    </row>
    <row r="2781" spans="2:9" s="1" customFormat="1" x14ac:dyDescent="0.2">
      <c r="B2781" s="50" t="str">
        <f t="shared" si="57"/>
        <v>2010-068-5</v>
      </c>
      <c r="C2781" s="51">
        <v>2010</v>
      </c>
      <c r="D2781" s="51" t="s">
        <v>97</v>
      </c>
      <c r="E2781" s="51">
        <v>5</v>
      </c>
      <c r="F2781" s="52" t="s">
        <v>61</v>
      </c>
      <c r="G2781" s="51"/>
      <c r="H2781" s="53"/>
      <c r="I2781" s="54"/>
    </row>
    <row r="2782" spans="2:9" s="1" customFormat="1" x14ac:dyDescent="0.2">
      <c r="B2782" s="55" t="str">
        <f t="shared" si="57"/>
        <v>2010-069-0</v>
      </c>
      <c r="C2782" s="56">
        <v>2010</v>
      </c>
      <c r="D2782" s="56" t="s">
        <v>98</v>
      </c>
      <c r="E2782" s="56">
        <v>0</v>
      </c>
      <c r="F2782" s="57" t="s">
        <v>420</v>
      </c>
      <c r="G2782" s="56"/>
      <c r="H2782" s="58"/>
      <c r="I2782" s="59"/>
    </row>
    <row r="2783" spans="2:9" s="1" customFormat="1" ht="27" x14ac:dyDescent="0.2">
      <c r="B2783" s="44" t="str">
        <f t="shared" si="57"/>
        <v>2010-069-1</v>
      </c>
      <c r="C2783" s="45">
        <v>2010</v>
      </c>
      <c r="D2783" s="45" t="s">
        <v>98</v>
      </c>
      <c r="E2783" s="45">
        <v>1</v>
      </c>
      <c r="F2783" s="47" t="s">
        <v>856</v>
      </c>
      <c r="G2783" s="45"/>
      <c r="H2783" s="48"/>
      <c r="I2783" s="49"/>
    </row>
    <row r="2784" spans="2:9" s="1" customFormat="1" x14ac:dyDescent="0.2">
      <c r="B2784" s="44" t="str">
        <f t="shared" si="57"/>
        <v>2010-069-2</v>
      </c>
      <c r="C2784" s="45">
        <v>2010</v>
      </c>
      <c r="D2784" s="45" t="s">
        <v>98</v>
      </c>
      <c r="E2784" s="45">
        <v>2</v>
      </c>
      <c r="F2784" s="47" t="s">
        <v>1252</v>
      </c>
      <c r="G2784" s="45"/>
      <c r="H2784" s="48"/>
      <c r="I2784" s="49"/>
    </row>
    <row r="2785" spans="2:9" s="1" customFormat="1" ht="27" x14ac:dyDescent="0.2">
      <c r="B2785" s="44" t="str">
        <f t="shared" si="57"/>
        <v>2010-069-3</v>
      </c>
      <c r="C2785" s="45">
        <v>2010</v>
      </c>
      <c r="D2785" s="45" t="s">
        <v>98</v>
      </c>
      <c r="E2785" s="45">
        <v>3</v>
      </c>
      <c r="F2785" s="47" t="s">
        <v>1646</v>
      </c>
      <c r="G2785" s="45"/>
      <c r="H2785" s="48"/>
      <c r="I2785" s="49"/>
    </row>
    <row r="2786" spans="2:9" s="1" customFormat="1" ht="27" x14ac:dyDescent="0.2">
      <c r="B2786" s="44" t="str">
        <f t="shared" si="57"/>
        <v>2010-069-4</v>
      </c>
      <c r="C2786" s="45">
        <v>2010</v>
      </c>
      <c r="D2786" s="45" t="s">
        <v>98</v>
      </c>
      <c r="E2786" s="45">
        <v>4</v>
      </c>
      <c r="F2786" s="47" t="s">
        <v>2042</v>
      </c>
      <c r="G2786" s="45"/>
      <c r="H2786" s="48"/>
      <c r="I2786" s="49"/>
    </row>
    <row r="2787" spans="2:9" s="1" customFormat="1" ht="27" x14ac:dyDescent="0.2">
      <c r="B2787" s="50" t="str">
        <f t="shared" si="57"/>
        <v>2010-069-5</v>
      </c>
      <c r="C2787" s="51">
        <v>2010</v>
      </c>
      <c r="D2787" s="51" t="s">
        <v>98</v>
      </c>
      <c r="E2787" s="51">
        <v>5</v>
      </c>
      <c r="F2787" s="52" t="s">
        <v>2434</v>
      </c>
      <c r="G2787" s="51" t="s">
        <v>3210</v>
      </c>
      <c r="H2787" s="53"/>
      <c r="I2787" s="54"/>
    </row>
    <row r="2788" spans="2:9" s="1" customFormat="1" x14ac:dyDescent="0.2">
      <c r="B2788" s="55" t="str">
        <f t="shared" si="57"/>
        <v>2010-070-0</v>
      </c>
      <c r="C2788" s="56">
        <v>2010</v>
      </c>
      <c r="D2788" s="56" t="s">
        <v>99</v>
      </c>
      <c r="E2788" s="56">
        <v>0</v>
      </c>
      <c r="F2788" s="57" t="s">
        <v>454</v>
      </c>
      <c r="G2788" s="56"/>
      <c r="H2788" s="58"/>
      <c r="I2788" s="59"/>
    </row>
    <row r="2789" spans="2:9" s="1" customFormat="1" x14ac:dyDescent="0.2">
      <c r="B2789" s="44" t="str">
        <f t="shared" si="57"/>
        <v>2010-070-1</v>
      </c>
      <c r="C2789" s="45">
        <v>2010</v>
      </c>
      <c r="D2789" s="45" t="s">
        <v>99</v>
      </c>
      <c r="E2789" s="45">
        <v>1</v>
      </c>
      <c r="F2789" s="47" t="s">
        <v>2499</v>
      </c>
      <c r="G2789" s="45" t="s">
        <v>3210</v>
      </c>
      <c r="H2789" s="48"/>
      <c r="I2789" s="49"/>
    </row>
    <row r="2790" spans="2:9" s="1" customFormat="1" x14ac:dyDescent="0.2">
      <c r="B2790" s="44" t="str">
        <f t="shared" si="57"/>
        <v>2010-070-2</v>
      </c>
      <c r="C2790" s="45">
        <v>2010</v>
      </c>
      <c r="D2790" s="45" t="s">
        <v>99</v>
      </c>
      <c r="E2790" s="45">
        <v>2</v>
      </c>
      <c r="F2790" s="47" t="s">
        <v>1253</v>
      </c>
      <c r="G2790" s="45"/>
      <c r="H2790" s="48"/>
      <c r="I2790" s="49"/>
    </row>
    <row r="2791" spans="2:9" s="1" customFormat="1" ht="27" x14ac:dyDescent="0.2">
      <c r="B2791" s="44" t="str">
        <f t="shared" si="57"/>
        <v>2010-070-3</v>
      </c>
      <c r="C2791" s="45">
        <v>2010</v>
      </c>
      <c r="D2791" s="45" t="s">
        <v>99</v>
      </c>
      <c r="E2791" s="45">
        <v>3</v>
      </c>
      <c r="F2791" s="47" t="s">
        <v>1647</v>
      </c>
      <c r="G2791" s="45"/>
      <c r="H2791" s="48"/>
      <c r="I2791" s="49"/>
    </row>
    <row r="2792" spans="2:9" s="1" customFormat="1" x14ac:dyDescent="0.2">
      <c r="B2792" s="44" t="str">
        <f t="shared" si="57"/>
        <v>2010-070-4</v>
      </c>
      <c r="C2792" s="45">
        <v>2010</v>
      </c>
      <c r="D2792" s="45" t="s">
        <v>99</v>
      </c>
      <c r="E2792" s="45">
        <v>4</v>
      </c>
      <c r="F2792" s="47" t="s">
        <v>2043</v>
      </c>
      <c r="G2792" s="45"/>
      <c r="H2792" s="48"/>
      <c r="I2792" s="49"/>
    </row>
    <row r="2793" spans="2:9" s="1" customFormat="1" x14ac:dyDescent="0.2">
      <c r="B2793" s="50" t="str">
        <f t="shared" si="57"/>
        <v>2010-070-5</v>
      </c>
      <c r="C2793" s="51">
        <v>2010</v>
      </c>
      <c r="D2793" s="51" t="s">
        <v>99</v>
      </c>
      <c r="E2793" s="51">
        <v>5</v>
      </c>
      <c r="F2793" s="52" t="s">
        <v>2435</v>
      </c>
      <c r="G2793" s="51"/>
      <c r="H2793" s="53"/>
      <c r="I2793" s="54"/>
    </row>
    <row r="2794" spans="2:9" s="1" customFormat="1" ht="27" x14ac:dyDescent="0.2">
      <c r="B2794" s="55" t="str">
        <f t="shared" si="57"/>
        <v>2010-071-0</v>
      </c>
      <c r="C2794" s="56">
        <v>2010</v>
      </c>
      <c r="D2794" s="56" t="s">
        <v>100</v>
      </c>
      <c r="E2794" s="56">
        <v>0</v>
      </c>
      <c r="F2794" s="57" t="s">
        <v>455</v>
      </c>
      <c r="G2794" s="56"/>
      <c r="H2794" s="58"/>
      <c r="I2794" s="59"/>
    </row>
    <row r="2795" spans="2:9" s="1" customFormat="1" x14ac:dyDescent="0.2">
      <c r="B2795" s="44" t="str">
        <f t="shared" si="57"/>
        <v>2010-071-1</v>
      </c>
      <c r="C2795" s="45">
        <v>2010</v>
      </c>
      <c r="D2795" s="45" t="s">
        <v>100</v>
      </c>
      <c r="E2795" s="45">
        <v>1</v>
      </c>
      <c r="F2795" s="47" t="s">
        <v>857</v>
      </c>
      <c r="G2795" s="45"/>
      <c r="H2795" s="48"/>
      <c r="I2795" s="49"/>
    </row>
    <row r="2796" spans="2:9" s="1" customFormat="1" ht="27" x14ac:dyDescent="0.2">
      <c r="B2796" s="44" t="str">
        <f t="shared" si="57"/>
        <v>2010-071-2</v>
      </c>
      <c r="C2796" s="45">
        <v>2010</v>
      </c>
      <c r="D2796" s="45" t="s">
        <v>100</v>
      </c>
      <c r="E2796" s="45">
        <v>2</v>
      </c>
      <c r="F2796" s="47" t="s">
        <v>1254</v>
      </c>
      <c r="G2796" s="45"/>
      <c r="H2796" s="48"/>
      <c r="I2796" s="49"/>
    </row>
    <row r="2797" spans="2:9" s="1" customFormat="1" ht="27" x14ac:dyDescent="0.2">
      <c r="B2797" s="44" t="str">
        <f t="shared" si="57"/>
        <v>2010-071-3</v>
      </c>
      <c r="C2797" s="45">
        <v>2010</v>
      </c>
      <c r="D2797" s="45" t="s">
        <v>100</v>
      </c>
      <c r="E2797" s="45">
        <v>3</v>
      </c>
      <c r="F2797" s="47" t="s">
        <v>1648</v>
      </c>
      <c r="G2797" s="45"/>
      <c r="H2797" s="48"/>
      <c r="I2797" s="49"/>
    </row>
    <row r="2798" spans="2:9" s="1" customFormat="1" x14ac:dyDescent="0.2">
      <c r="B2798" s="44" t="str">
        <f t="shared" si="57"/>
        <v>2010-071-4</v>
      </c>
      <c r="C2798" s="45">
        <v>2010</v>
      </c>
      <c r="D2798" s="45" t="s">
        <v>100</v>
      </c>
      <c r="E2798" s="45">
        <v>4</v>
      </c>
      <c r="F2798" s="47" t="s">
        <v>2044</v>
      </c>
      <c r="G2798" s="45" t="s">
        <v>3210</v>
      </c>
      <c r="H2798" s="48"/>
      <c r="I2798" s="49"/>
    </row>
    <row r="2799" spans="2:9" s="1" customFormat="1" ht="27" x14ac:dyDescent="0.2">
      <c r="B2799" s="50" t="str">
        <f t="shared" si="57"/>
        <v>2010-071-5</v>
      </c>
      <c r="C2799" s="51">
        <v>2010</v>
      </c>
      <c r="D2799" s="51" t="s">
        <v>100</v>
      </c>
      <c r="E2799" s="51">
        <v>5</v>
      </c>
      <c r="F2799" s="52" t="s">
        <v>2436</v>
      </c>
      <c r="G2799" s="51"/>
      <c r="H2799" s="53"/>
      <c r="I2799" s="54"/>
    </row>
    <row r="2800" spans="2:9" s="1" customFormat="1" x14ac:dyDescent="0.2">
      <c r="B2800" s="55" t="str">
        <f t="shared" si="57"/>
        <v>2010-072-0</v>
      </c>
      <c r="C2800" s="56">
        <v>2010</v>
      </c>
      <c r="D2800" s="56" t="s">
        <v>101</v>
      </c>
      <c r="E2800" s="56">
        <v>0</v>
      </c>
      <c r="F2800" s="57" t="s">
        <v>456</v>
      </c>
      <c r="G2800" s="56"/>
      <c r="H2800" s="58"/>
      <c r="I2800" s="59"/>
    </row>
    <row r="2801" spans="2:9" s="1" customFormat="1" ht="27" x14ac:dyDescent="0.2">
      <c r="B2801" s="44" t="str">
        <f t="shared" si="57"/>
        <v>2010-072-1</v>
      </c>
      <c r="C2801" s="45">
        <v>2010</v>
      </c>
      <c r="D2801" s="45" t="s">
        <v>101</v>
      </c>
      <c r="E2801" s="45">
        <v>1</v>
      </c>
      <c r="F2801" s="47" t="s">
        <v>858</v>
      </c>
      <c r="G2801" s="45"/>
      <c r="H2801" s="48"/>
      <c r="I2801" s="49"/>
    </row>
    <row r="2802" spans="2:9" s="1" customFormat="1" ht="27" x14ac:dyDescent="0.2">
      <c r="B2802" s="44" t="str">
        <f t="shared" si="57"/>
        <v>2010-072-2</v>
      </c>
      <c r="C2802" s="45">
        <v>2010</v>
      </c>
      <c r="D2802" s="45" t="s">
        <v>101</v>
      </c>
      <c r="E2802" s="45">
        <v>2</v>
      </c>
      <c r="F2802" s="47" t="s">
        <v>1255</v>
      </c>
      <c r="G2802" s="45" t="s">
        <v>3210</v>
      </c>
      <c r="H2802" s="48"/>
      <c r="I2802" s="49"/>
    </row>
    <row r="2803" spans="2:9" s="1" customFormat="1" x14ac:dyDescent="0.2">
      <c r="B2803" s="44" t="str">
        <f t="shared" si="57"/>
        <v>2010-072-3</v>
      </c>
      <c r="C2803" s="45">
        <v>2010</v>
      </c>
      <c r="D2803" s="45" t="s">
        <v>101</v>
      </c>
      <c r="E2803" s="45">
        <v>3</v>
      </c>
      <c r="F2803" s="47" t="s">
        <v>1649</v>
      </c>
      <c r="G2803" s="45"/>
      <c r="H2803" s="48"/>
      <c r="I2803" s="49"/>
    </row>
    <row r="2804" spans="2:9" s="1" customFormat="1" ht="27" x14ac:dyDescent="0.2">
      <c r="B2804" s="44" t="str">
        <f t="shared" si="57"/>
        <v>2010-072-4</v>
      </c>
      <c r="C2804" s="45">
        <v>2010</v>
      </c>
      <c r="D2804" s="45" t="s">
        <v>101</v>
      </c>
      <c r="E2804" s="45">
        <v>4</v>
      </c>
      <c r="F2804" s="47" t="s">
        <v>2045</v>
      </c>
      <c r="G2804" s="45"/>
      <c r="H2804" s="48"/>
      <c r="I2804" s="49"/>
    </row>
    <row r="2805" spans="2:9" s="1" customFormat="1" ht="27" x14ac:dyDescent="0.2">
      <c r="B2805" s="50" t="str">
        <f t="shared" si="57"/>
        <v>2010-072-5</v>
      </c>
      <c r="C2805" s="51">
        <v>2010</v>
      </c>
      <c r="D2805" s="51" t="s">
        <v>101</v>
      </c>
      <c r="E2805" s="51">
        <v>5</v>
      </c>
      <c r="F2805" s="52" t="s">
        <v>2437</v>
      </c>
      <c r="G2805" s="51"/>
      <c r="H2805" s="53"/>
      <c r="I2805" s="54"/>
    </row>
    <row r="2806" spans="2:9" s="1" customFormat="1" ht="40.5" x14ac:dyDescent="0.2">
      <c r="B2806" s="55" t="str">
        <f t="shared" si="57"/>
        <v>2010-073-0</v>
      </c>
      <c r="C2806" s="56">
        <v>2010</v>
      </c>
      <c r="D2806" s="56" t="s">
        <v>102</v>
      </c>
      <c r="E2806" s="56">
        <v>0</v>
      </c>
      <c r="F2806" s="57" t="s">
        <v>457</v>
      </c>
      <c r="G2806" s="56"/>
      <c r="H2806" s="58"/>
      <c r="I2806" s="59"/>
    </row>
    <row r="2807" spans="2:9" s="1" customFormat="1" x14ac:dyDescent="0.2">
      <c r="B2807" s="44" t="str">
        <f t="shared" si="57"/>
        <v>2010-073-1</v>
      </c>
      <c r="C2807" s="45">
        <v>2010</v>
      </c>
      <c r="D2807" s="45" t="s">
        <v>102</v>
      </c>
      <c r="E2807" s="45">
        <v>1</v>
      </c>
      <c r="F2807" s="47" t="s">
        <v>859</v>
      </c>
      <c r="G2807" s="45"/>
      <c r="H2807" s="48"/>
      <c r="I2807" s="49"/>
    </row>
    <row r="2808" spans="2:9" s="1" customFormat="1" x14ac:dyDescent="0.2">
      <c r="B2808" s="44" t="str">
        <f t="shared" si="57"/>
        <v>2010-073-2</v>
      </c>
      <c r="C2808" s="45">
        <v>2010</v>
      </c>
      <c r="D2808" s="45" t="s">
        <v>102</v>
      </c>
      <c r="E2808" s="45">
        <v>2</v>
      </c>
      <c r="F2808" s="47" t="s">
        <v>1256</v>
      </c>
      <c r="G2808" s="45"/>
      <c r="H2808" s="48"/>
      <c r="I2808" s="49"/>
    </row>
    <row r="2809" spans="2:9" s="1" customFormat="1" ht="27" x14ac:dyDescent="0.2">
      <c r="B2809" s="44" t="str">
        <f t="shared" si="57"/>
        <v>2010-073-3</v>
      </c>
      <c r="C2809" s="45">
        <v>2010</v>
      </c>
      <c r="D2809" s="45" t="s">
        <v>102</v>
      </c>
      <c r="E2809" s="45">
        <v>3</v>
      </c>
      <c r="F2809" s="47" t="s">
        <v>1650</v>
      </c>
      <c r="G2809" s="45" t="s">
        <v>3210</v>
      </c>
      <c r="H2809" s="48"/>
      <c r="I2809" s="49"/>
    </row>
    <row r="2810" spans="2:9" s="1" customFormat="1" ht="27" x14ac:dyDescent="0.2">
      <c r="B2810" s="44" t="str">
        <f t="shared" si="57"/>
        <v>2010-073-4</v>
      </c>
      <c r="C2810" s="45">
        <v>2010</v>
      </c>
      <c r="D2810" s="45" t="s">
        <v>102</v>
      </c>
      <c r="E2810" s="45">
        <v>4</v>
      </c>
      <c r="F2810" s="47" t="s">
        <v>2046</v>
      </c>
      <c r="G2810" s="45"/>
      <c r="H2810" s="48"/>
      <c r="I2810" s="49"/>
    </row>
    <row r="2811" spans="2:9" s="1" customFormat="1" ht="27" x14ac:dyDescent="0.2">
      <c r="B2811" s="50" t="str">
        <f t="shared" si="57"/>
        <v>2010-073-5</v>
      </c>
      <c r="C2811" s="51">
        <v>2010</v>
      </c>
      <c r="D2811" s="51" t="s">
        <v>102</v>
      </c>
      <c r="E2811" s="51">
        <v>5</v>
      </c>
      <c r="F2811" s="52" t="s">
        <v>2438</v>
      </c>
      <c r="G2811" s="51"/>
      <c r="H2811" s="53"/>
      <c r="I2811" s="54"/>
    </row>
    <row r="2812" spans="2:9" s="1" customFormat="1" x14ac:dyDescent="0.2">
      <c r="B2812" s="55" t="str">
        <f t="shared" si="57"/>
        <v>2010-074-0</v>
      </c>
      <c r="C2812" s="56">
        <v>2010</v>
      </c>
      <c r="D2812" s="56" t="s">
        <v>103</v>
      </c>
      <c r="E2812" s="56">
        <v>0</v>
      </c>
      <c r="F2812" s="57" t="s">
        <v>458</v>
      </c>
      <c r="G2812" s="56"/>
      <c r="H2812" s="58"/>
      <c r="I2812" s="59"/>
    </row>
    <row r="2813" spans="2:9" s="1" customFormat="1" x14ac:dyDescent="0.2">
      <c r="B2813" s="44" t="str">
        <f t="shared" si="57"/>
        <v>2010-074-1</v>
      </c>
      <c r="C2813" s="45">
        <v>2010</v>
      </c>
      <c r="D2813" s="45" t="s">
        <v>103</v>
      </c>
      <c r="E2813" s="45">
        <v>1</v>
      </c>
      <c r="F2813" s="47" t="s">
        <v>860</v>
      </c>
      <c r="G2813" s="45"/>
      <c r="H2813" s="48"/>
      <c r="I2813" s="49"/>
    </row>
    <row r="2814" spans="2:9" s="1" customFormat="1" x14ac:dyDescent="0.2">
      <c r="B2814" s="44" t="str">
        <f t="shared" si="57"/>
        <v>2010-074-2</v>
      </c>
      <c r="C2814" s="45">
        <v>2010</v>
      </c>
      <c r="D2814" s="45" t="s">
        <v>103</v>
      </c>
      <c r="E2814" s="45">
        <v>2</v>
      </c>
      <c r="F2814" s="47" t="s">
        <v>1257</v>
      </c>
      <c r="G2814" s="45"/>
      <c r="H2814" s="48"/>
      <c r="I2814" s="49"/>
    </row>
    <row r="2815" spans="2:9" s="1" customFormat="1" x14ac:dyDescent="0.2">
      <c r="B2815" s="44" t="str">
        <f t="shared" si="57"/>
        <v>2010-074-3</v>
      </c>
      <c r="C2815" s="45">
        <v>2010</v>
      </c>
      <c r="D2815" s="45" t="s">
        <v>103</v>
      </c>
      <c r="E2815" s="45">
        <v>3</v>
      </c>
      <c r="F2815" s="47" t="s">
        <v>1651</v>
      </c>
      <c r="G2815" s="45"/>
      <c r="H2815" s="48"/>
      <c r="I2815" s="49"/>
    </row>
    <row r="2816" spans="2:9" s="1" customFormat="1" x14ac:dyDescent="0.2">
      <c r="B2816" s="44" t="str">
        <f t="shared" si="57"/>
        <v>2010-074-4</v>
      </c>
      <c r="C2816" s="45">
        <v>2010</v>
      </c>
      <c r="D2816" s="45" t="s">
        <v>103</v>
      </c>
      <c r="E2816" s="45">
        <v>4</v>
      </c>
      <c r="F2816" s="47" t="s">
        <v>2047</v>
      </c>
      <c r="G2816" s="45"/>
      <c r="H2816" s="48"/>
      <c r="I2816" s="49"/>
    </row>
    <row r="2817" spans="2:9" s="1" customFormat="1" ht="27" x14ac:dyDescent="0.2">
      <c r="B2817" s="50" t="str">
        <f t="shared" si="57"/>
        <v>2010-074-5</v>
      </c>
      <c r="C2817" s="51">
        <v>2010</v>
      </c>
      <c r="D2817" s="51" t="s">
        <v>103</v>
      </c>
      <c r="E2817" s="51">
        <v>5</v>
      </c>
      <c r="F2817" s="52" t="s">
        <v>2439</v>
      </c>
      <c r="G2817" s="51" t="s">
        <v>3210</v>
      </c>
      <c r="H2817" s="53"/>
      <c r="I2817" s="54"/>
    </row>
    <row r="2818" spans="2:9" s="1" customFormat="1" ht="81" x14ac:dyDescent="0.2">
      <c r="B2818" s="55" t="str">
        <f t="shared" si="57"/>
        <v>2010-075-0</v>
      </c>
      <c r="C2818" s="56">
        <v>2010</v>
      </c>
      <c r="D2818" s="56" t="s">
        <v>104</v>
      </c>
      <c r="E2818" s="56">
        <v>0</v>
      </c>
      <c r="F2818" s="57" t="s">
        <v>459</v>
      </c>
      <c r="G2818" s="56"/>
      <c r="H2818" s="58"/>
      <c r="I2818" s="59"/>
    </row>
    <row r="2819" spans="2:9" s="1" customFormat="1" x14ac:dyDescent="0.2">
      <c r="B2819" s="44" t="str">
        <f t="shared" si="57"/>
        <v>2010-075-1</v>
      </c>
      <c r="C2819" s="45">
        <v>2010</v>
      </c>
      <c r="D2819" s="45" t="s">
        <v>104</v>
      </c>
      <c r="E2819" s="45">
        <v>1</v>
      </c>
      <c r="F2819" s="47" t="s">
        <v>44</v>
      </c>
      <c r="G2819" s="45"/>
      <c r="H2819" s="48"/>
      <c r="I2819" s="49"/>
    </row>
    <row r="2820" spans="2:9" s="1" customFormat="1" x14ac:dyDescent="0.2">
      <c r="B2820" s="44" t="str">
        <f t="shared" si="57"/>
        <v>2010-075-2</v>
      </c>
      <c r="C2820" s="45">
        <v>2010</v>
      </c>
      <c r="D2820" s="45" t="s">
        <v>104</v>
      </c>
      <c r="E2820" s="45">
        <v>2</v>
      </c>
      <c r="F2820" s="47" t="s">
        <v>47</v>
      </c>
      <c r="G2820" s="45"/>
      <c r="H2820" s="48"/>
      <c r="I2820" s="49"/>
    </row>
    <row r="2821" spans="2:9" s="1" customFormat="1" x14ac:dyDescent="0.2">
      <c r="B2821" s="44" t="str">
        <f t="shared" si="57"/>
        <v>2010-075-3</v>
      </c>
      <c r="C2821" s="45">
        <v>2010</v>
      </c>
      <c r="D2821" s="45" t="s">
        <v>104</v>
      </c>
      <c r="E2821" s="45">
        <v>3</v>
      </c>
      <c r="F2821" s="47" t="s">
        <v>49</v>
      </c>
      <c r="G2821" s="45"/>
      <c r="H2821" s="48"/>
      <c r="I2821" s="49"/>
    </row>
    <row r="2822" spans="2:9" s="1" customFormat="1" x14ac:dyDescent="0.2">
      <c r="B2822" s="44" t="str">
        <f t="shared" si="57"/>
        <v>2010-075-4</v>
      </c>
      <c r="C2822" s="45">
        <v>2010</v>
      </c>
      <c r="D2822" s="45" t="s">
        <v>104</v>
      </c>
      <c r="E2822" s="45">
        <v>4</v>
      </c>
      <c r="F2822" s="47" t="s">
        <v>46</v>
      </c>
      <c r="G2822" s="45" t="s">
        <v>3210</v>
      </c>
      <c r="H2822" s="48"/>
      <c r="I2822" s="49"/>
    </row>
    <row r="2823" spans="2:9" s="1" customFormat="1" ht="14.25" thickBot="1" x14ac:dyDescent="0.25">
      <c r="B2823" s="60" t="str">
        <f t="shared" si="57"/>
        <v>2010-075-5</v>
      </c>
      <c r="C2823" s="61">
        <v>2010</v>
      </c>
      <c r="D2823" s="61" t="s">
        <v>104</v>
      </c>
      <c r="E2823" s="61">
        <v>5</v>
      </c>
      <c r="F2823" s="62" t="s">
        <v>51</v>
      </c>
      <c r="G2823" s="61"/>
      <c r="H2823" s="63"/>
      <c r="I2823" s="64"/>
    </row>
    <row r="2824" spans="2:9" s="1" customFormat="1" x14ac:dyDescent="0.2">
      <c r="B2824" s="38" t="str">
        <f t="shared" ref="B2824:B2872" si="58">C2824&amp;"-"&amp;D2824&amp;"-"&amp;E2824</f>
        <v>2009-051-0</v>
      </c>
      <c r="C2824" s="39">
        <v>2009</v>
      </c>
      <c r="D2824" s="39" t="s">
        <v>80</v>
      </c>
      <c r="E2824" s="39">
        <v>0</v>
      </c>
      <c r="F2824" s="41" t="s">
        <v>460</v>
      </c>
      <c r="G2824" s="39"/>
      <c r="H2824" s="42"/>
      <c r="I2824" s="43"/>
    </row>
    <row r="2825" spans="2:9" s="1" customFormat="1" x14ac:dyDescent="0.2">
      <c r="B2825" s="44" t="str">
        <f t="shared" si="58"/>
        <v>2009-051-1</v>
      </c>
      <c r="C2825" s="45">
        <v>2009</v>
      </c>
      <c r="D2825" s="45" t="s">
        <v>80</v>
      </c>
      <c r="E2825" s="45">
        <v>1</v>
      </c>
      <c r="F2825" s="47" t="s">
        <v>861</v>
      </c>
      <c r="G2825" s="45"/>
      <c r="H2825" s="48"/>
      <c r="I2825" s="49"/>
    </row>
    <row r="2826" spans="2:9" s="1" customFormat="1" ht="27" x14ac:dyDescent="0.2">
      <c r="B2826" s="44" t="str">
        <f t="shared" si="58"/>
        <v>2009-051-2</v>
      </c>
      <c r="C2826" s="45">
        <v>2009</v>
      </c>
      <c r="D2826" s="45" t="s">
        <v>80</v>
      </c>
      <c r="E2826" s="45">
        <v>2</v>
      </c>
      <c r="F2826" s="47" t="s">
        <v>1258</v>
      </c>
      <c r="G2826" s="45"/>
      <c r="H2826" s="48"/>
      <c r="I2826" s="49"/>
    </row>
    <row r="2827" spans="2:9" s="1" customFormat="1" ht="27" x14ac:dyDescent="0.2">
      <c r="B2827" s="44" t="str">
        <f t="shared" si="58"/>
        <v>2009-051-3</v>
      </c>
      <c r="C2827" s="45">
        <v>2009</v>
      </c>
      <c r="D2827" s="45" t="s">
        <v>80</v>
      </c>
      <c r="E2827" s="45">
        <v>3</v>
      </c>
      <c r="F2827" s="47" t="s">
        <v>1652</v>
      </c>
      <c r="G2827" s="45" t="s">
        <v>3210</v>
      </c>
      <c r="H2827" s="48"/>
      <c r="I2827" s="49"/>
    </row>
    <row r="2828" spans="2:9" s="1" customFormat="1" x14ac:dyDescent="0.2">
      <c r="B2828" s="44" t="str">
        <f t="shared" si="58"/>
        <v>2009-051-4</v>
      </c>
      <c r="C2828" s="45">
        <v>2009</v>
      </c>
      <c r="D2828" s="45" t="s">
        <v>80</v>
      </c>
      <c r="E2828" s="45">
        <v>4</v>
      </c>
      <c r="F2828" s="47" t="s">
        <v>2048</v>
      </c>
      <c r="G2828" s="45"/>
      <c r="H2828" s="48"/>
      <c r="I2828" s="49"/>
    </row>
    <row r="2829" spans="2:9" s="1" customFormat="1" x14ac:dyDescent="0.2">
      <c r="B2829" s="50" t="str">
        <f t="shared" si="58"/>
        <v>2009-051-5</v>
      </c>
      <c r="C2829" s="51">
        <v>2009</v>
      </c>
      <c r="D2829" s="51" t="s">
        <v>80</v>
      </c>
      <c r="E2829" s="51">
        <v>5</v>
      </c>
      <c r="F2829" s="52" t="s">
        <v>2440</v>
      </c>
      <c r="G2829" s="51"/>
      <c r="H2829" s="53"/>
      <c r="I2829" s="54"/>
    </row>
    <row r="2830" spans="2:9" s="1" customFormat="1" x14ac:dyDescent="0.2">
      <c r="B2830" s="55" t="str">
        <f t="shared" si="58"/>
        <v>2009-052-0</v>
      </c>
      <c r="C2830" s="56">
        <v>2009</v>
      </c>
      <c r="D2830" s="56" t="s">
        <v>81</v>
      </c>
      <c r="E2830" s="56">
        <v>0</v>
      </c>
      <c r="F2830" s="57" t="s">
        <v>461</v>
      </c>
      <c r="G2830" s="56"/>
      <c r="H2830" s="58"/>
      <c r="I2830" s="59"/>
    </row>
    <row r="2831" spans="2:9" s="1" customFormat="1" x14ac:dyDescent="0.2">
      <c r="B2831" s="44" t="str">
        <f t="shared" si="58"/>
        <v>2009-052-1</v>
      </c>
      <c r="C2831" s="45">
        <v>2009</v>
      </c>
      <c r="D2831" s="45" t="s">
        <v>81</v>
      </c>
      <c r="E2831" s="45">
        <v>1</v>
      </c>
      <c r="F2831" s="47" t="s">
        <v>862</v>
      </c>
      <c r="G2831" s="45" t="s">
        <v>3210</v>
      </c>
      <c r="H2831" s="48"/>
      <c r="I2831" s="49"/>
    </row>
    <row r="2832" spans="2:9" s="1" customFormat="1" x14ac:dyDescent="0.2">
      <c r="B2832" s="44" t="str">
        <f t="shared" si="58"/>
        <v>2009-052-2</v>
      </c>
      <c r="C2832" s="45">
        <v>2009</v>
      </c>
      <c r="D2832" s="45" t="s">
        <v>81</v>
      </c>
      <c r="E2832" s="45">
        <v>2</v>
      </c>
      <c r="F2832" s="47" t="s">
        <v>1259</v>
      </c>
      <c r="G2832" s="45"/>
      <c r="H2832" s="48"/>
      <c r="I2832" s="49"/>
    </row>
    <row r="2833" spans="2:9" s="1" customFormat="1" ht="27" x14ac:dyDescent="0.2">
      <c r="B2833" s="44" t="str">
        <f t="shared" si="58"/>
        <v>2009-052-3</v>
      </c>
      <c r="C2833" s="45">
        <v>2009</v>
      </c>
      <c r="D2833" s="45" t="s">
        <v>81</v>
      </c>
      <c r="E2833" s="45">
        <v>3</v>
      </c>
      <c r="F2833" s="47" t="s">
        <v>1653</v>
      </c>
      <c r="G2833" s="45"/>
      <c r="H2833" s="48"/>
      <c r="I2833" s="49"/>
    </row>
    <row r="2834" spans="2:9" s="1" customFormat="1" x14ac:dyDescent="0.2">
      <c r="B2834" s="44" t="str">
        <f t="shared" si="58"/>
        <v>2009-052-4</v>
      </c>
      <c r="C2834" s="45">
        <v>2009</v>
      </c>
      <c r="D2834" s="45" t="s">
        <v>81</v>
      </c>
      <c r="E2834" s="45">
        <v>4</v>
      </c>
      <c r="F2834" s="47" t="s">
        <v>2049</v>
      </c>
      <c r="G2834" s="45"/>
      <c r="H2834" s="48"/>
      <c r="I2834" s="49"/>
    </row>
    <row r="2835" spans="2:9" s="1" customFormat="1" x14ac:dyDescent="0.2">
      <c r="B2835" s="50" t="str">
        <f t="shared" si="58"/>
        <v>2009-052-5</v>
      </c>
      <c r="C2835" s="51">
        <v>2009</v>
      </c>
      <c r="D2835" s="51" t="s">
        <v>81</v>
      </c>
      <c r="E2835" s="51">
        <v>5</v>
      </c>
      <c r="F2835" s="52" t="s">
        <v>2441</v>
      </c>
      <c r="G2835" s="51"/>
      <c r="H2835" s="53"/>
      <c r="I2835" s="54"/>
    </row>
    <row r="2836" spans="2:9" s="1" customFormat="1" x14ac:dyDescent="0.2">
      <c r="B2836" s="55" t="str">
        <f t="shared" si="58"/>
        <v>2009-053-0</v>
      </c>
      <c r="C2836" s="56">
        <v>2009</v>
      </c>
      <c r="D2836" s="56" t="s">
        <v>82</v>
      </c>
      <c r="E2836" s="56">
        <v>0</v>
      </c>
      <c r="F2836" s="57" t="s">
        <v>283</v>
      </c>
      <c r="G2836" s="56"/>
      <c r="H2836" s="58"/>
      <c r="I2836" s="59"/>
    </row>
    <row r="2837" spans="2:9" s="1" customFormat="1" x14ac:dyDescent="0.2">
      <c r="B2837" s="44" t="str">
        <f t="shared" si="58"/>
        <v>2009-053-1</v>
      </c>
      <c r="C2837" s="45">
        <v>2009</v>
      </c>
      <c r="D2837" s="45" t="s">
        <v>82</v>
      </c>
      <c r="E2837" s="45">
        <v>1</v>
      </c>
      <c r="F2837" s="47" t="s">
        <v>863</v>
      </c>
      <c r="G2837" s="45"/>
      <c r="H2837" s="48"/>
      <c r="I2837" s="49"/>
    </row>
    <row r="2838" spans="2:9" s="1" customFormat="1" x14ac:dyDescent="0.2">
      <c r="B2838" s="44" t="str">
        <f t="shared" si="58"/>
        <v>2009-053-2</v>
      </c>
      <c r="C2838" s="45">
        <v>2009</v>
      </c>
      <c r="D2838" s="45" t="s">
        <v>82</v>
      </c>
      <c r="E2838" s="45">
        <v>2</v>
      </c>
      <c r="F2838" s="47" t="s">
        <v>1260</v>
      </c>
      <c r="G2838" s="45"/>
      <c r="H2838" s="48"/>
      <c r="I2838" s="49"/>
    </row>
    <row r="2839" spans="2:9" s="1" customFormat="1" x14ac:dyDescent="0.2">
      <c r="B2839" s="44" t="str">
        <f t="shared" si="58"/>
        <v>2009-053-3</v>
      </c>
      <c r="C2839" s="45">
        <v>2009</v>
      </c>
      <c r="D2839" s="45" t="s">
        <v>82</v>
      </c>
      <c r="E2839" s="45">
        <v>3</v>
      </c>
      <c r="F2839" s="47" t="s">
        <v>1654</v>
      </c>
      <c r="G2839" s="45" t="s">
        <v>3210</v>
      </c>
      <c r="H2839" s="48"/>
      <c r="I2839" s="49"/>
    </row>
    <row r="2840" spans="2:9" s="1" customFormat="1" x14ac:dyDescent="0.2">
      <c r="B2840" s="44" t="str">
        <f t="shared" si="58"/>
        <v>2009-053-4</v>
      </c>
      <c r="C2840" s="45">
        <v>2009</v>
      </c>
      <c r="D2840" s="45" t="s">
        <v>82</v>
      </c>
      <c r="E2840" s="45">
        <v>4</v>
      </c>
      <c r="F2840" s="47" t="s">
        <v>2050</v>
      </c>
      <c r="G2840" s="45"/>
      <c r="H2840" s="48"/>
      <c r="I2840" s="49"/>
    </row>
    <row r="2841" spans="2:9" s="1" customFormat="1" x14ac:dyDescent="0.2">
      <c r="B2841" s="50" t="str">
        <f t="shared" si="58"/>
        <v>2009-053-5</v>
      </c>
      <c r="C2841" s="51">
        <v>2009</v>
      </c>
      <c r="D2841" s="51" t="s">
        <v>82</v>
      </c>
      <c r="E2841" s="51">
        <v>5</v>
      </c>
      <c r="F2841" s="52" t="s">
        <v>2442</v>
      </c>
      <c r="G2841" s="51"/>
      <c r="H2841" s="53"/>
      <c r="I2841" s="54"/>
    </row>
    <row r="2842" spans="2:9" s="1" customFormat="1" x14ac:dyDescent="0.2">
      <c r="B2842" s="55" t="str">
        <f t="shared" si="58"/>
        <v>2009-054-0</v>
      </c>
      <c r="C2842" s="56">
        <v>2009</v>
      </c>
      <c r="D2842" s="56" t="s">
        <v>83</v>
      </c>
      <c r="E2842" s="56">
        <v>0</v>
      </c>
      <c r="F2842" s="57" t="s">
        <v>462</v>
      </c>
      <c r="G2842" s="56"/>
      <c r="H2842" s="58"/>
      <c r="I2842" s="59"/>
    </row>
    <row r="2843" spans="2:9" s="1" customFormat="1" x14ac:dyDescent="0.2">
      <c r="B2843" s="44" t="str">
        <f t="shared" si="58"/>
        <v>2009-054-1</v>
      </c>
      <c r="C2843" s="45">
        <v>2009</v>
      </c>
      <c r="D2843" s="45" t="s">
        <v>83</v>
      </c>
      <c r="E2843" s="45">
        <v>1</v>
      </c>
      <c r="F2843" s="47" t="s">
        <v>864</v>
      </c>
      <c r="G2843" s="45"/>
      <c r="H2843" s="48"/>
      <c r="I2843" s="49"/>
    </row>
    <row r="2844" spans="2:9" s="1" customFormat="1" x14ac:dyDescent="0.2">
      <c r="B2844" s="44" t="str">
        <f t="shared" si="58"/>
        <v>2009-054-2</v>
      </c>
      <c r="C2844" s="45">
        <v>2009</v>
      </c>
      <c r="D2844" s="45" t="s">
        <v>83</v>
      </c>
      <c r="E2844" s="45">
        <v>2</v>
      </c>
      <c r="F2844" s="47" t="s">
        <v>1261</v>
      </c>
      <c r="G2844" s="45"/>
      <c r="H2844" s="48"/>
      <c r="I2844" s="49"/>
    </row>
    <row r="2845" spans="2:9" s="1" customFormat="1" x14ac:dyDescent="0.2">
      <c r="B2845" s="44" t="str">
        <f t="shared" si="58"/>
        <v>2009-054-3</v>
      </c>
      <c r="C2845" s="45">
        <v>2009</v>
      </c>
      <c r="D2845" s="45" t="s">
        <v>83</v>
      </c>
      <c r="E2845" s="45">
        <v>3</v>
      </c>
      <c r="F2845" s="47" t="s">
        <v>1655</v>
      </c>
      <c r="G2845" s="45" t="s">
        <v>3210</v>
      </c>
      <c r="H2845" s="48"/>
      <c r="I2845" s="49"/>
    </row>
    <row r="2846" spans="2:9" s="1" customFormat="1" x14ac:dyDescent="0.2">
      <c r="B2846" s="44" t="str">
        <f t="shared" si="58"/>
        <v>2009-054-4</v>
      </c>
      <c r="C2846" s="45">
        <v>2009</v>
      </c>
      <c r="D2846" s="45" t="s">
        <v>83</v>
      </c>
      <c r="E2846" s="45">
        <v>4</v>
      </c>
      <c r="F2846" s="47" t="s">
        <v>2051</v>
      </c>
      <c r="G2846" s="45"/>
      <c r="H2846" s="48"/>
      <c r="I2846" s="49"/>
    </row>
    <row r="2847" spans="2:9" s="1" customFormat="1" x14ac:dyDescent="0.2">
      <c r="B2847" s="50" t="str">
        <f t="shared" si="58"/>
        <v>2009-054-5</v>
      </c>
      <c r="C2847" s="51">
        <v>2009</v>
      </c>
      <c r="D2847" s="51" t="s">
        <v>83</v>
      </c>
      <c r="E2847" s="51">
        <v>5</v>
      </c>
      <c r="F2847" s="52" t="s">
        <v>2443</v>
      </c>
      <c r="G2847" s="51"/>
      <c r="H2847" s="53"/>
      <c r="I2847" s="54"/>
    </row>
    <row r="2848" spans="2:9" s="1" customFormat="1" x14ac:dyDescent="0.2">
      <c r="B2848" s="55" t="str">
        <f t="shared" si="58"/>
        <v>2009-055-0</v>
      </c>
      <c r="C2848" s="56">
        <v>2009</v>
      </c>
      <c r="D2848" s="56" t="s">
        <v>84</v>
      </c>
      <c r="E2848" s="56">
        <v>0</v>
      </c>
      <c r="F2848" s="57" t="s">
        <v>463</v>
      </c>
      <c r="G2848" s="56"/>
      <c r="H2848" s="58"/>
      <c r="I2848" s="59"/>
    </row>
    <row r="2849" spans="2:9" s="1" customFormat="1" x14ac:dyDescent="0.2">
      <c r="B2849" s="44" t="str">
        <f t="shared" si="58"/>
        <v>2009-055-1</v>
      </c>
      <c r="C2849" s="45">
        <v>2009</v>
      </c>
      <c r="D2849" s="45" t="s">
        <v>84</v>
      </c>
      <c r="E2849" s="45">
        <v>1</v>
      </c>
      <c r="F2849" s="47" t="s">
        <v>865</v>
      </c>
      <c r="G2849" s="45" t="s">
        <v>3210</v>
      </c>
      <c r="H2849" s="48"/>
      <c r="I2849" s="49"/>
    </row>
    <row r="2850" spans="2:9" s="1" customFormat="1" x14ac:dyDescent="0.2">
      <c r="B2850" s="44" t="str">
        <f t="shared" si="58"/>
        <v>2009-055-2</v>
      </c>
      <c r="C2850" s="45">
        <v>2009</v>
      </c>
      <c r="D2850" s="45" t="s">
        <v>84</v>
      </c>
      <c r="E2850" s="45">
        <v>2</v>
      </c>
      <c r="F2850" s="47" t="s">
        <v>1262</v>
      </c>
      <c r="G2850" s="45"/>
      <c r="H2850" s="48"/>
      <c r="I2850" s="49"/>
    </row>
    <row r="2851" spans="2:9" s="1" customFormat="1" ht="27" x14ac:dyDescent="0.2">
      <c r="B2851" s="44" t="str">
        <f t="shared" si="58"/>
        <v>2009-055-3</v>
      </c>
      <c r="C2851" s="45">
        <v>2009</v>
      </c>
      <c r="D2851" s="45" t="s">
        <v>84</v>
      </c>
      <c r="E2851" s="45">
        <v>3</v>
      </c>
      <c r="F2851" s="47" t="s">
        <v>1656</v>
      </c>
      <c r="G2851" s="45"/>
      <c r="H2851" s="48"/>
      <c r="I2851" s="49"/>
    </row>
    <row r="2852" spans="2:9" s="1" customFormat="1" ht="27" x14ac:dyDescent="0.2">
      <c r="B2852" s="44" t="str">
        <f t="shared" si="58"/>
        <v>2009-055-4</v>
      </c>
      <c r="C2852" s="45">
        <v>2009</v>
      </c>
      <c r="D2852" s="45" t="s">
        <v>84</v>
      </c>
      <c r="E2852" s="45">
        <v>4</v>
      </c>
      <c r="F2852" s="47" t="s">
        <v>2052</v>
      </c>
      <c r="G2852" s="45"/>
      <c r="H2852" s="48"/>
      <c r="I2852" s="49"/>
    </row>
    <row r="2853" spans="2:9" s="1" customFormat="1" x14ac:dyDescent="0.2">
      <c r="B2853" s="50" t="str">
        <f t="shared" si="58"/>
        <v>2009-055-5</v>
      </c>
      <c r="C2853" s="51">
        <v>2009</v>
      </c>
      <c r="D2853" s="51" t="s">
        <v>84</v>
      </c>
      <c r="E2853" s="51">
        <v>5</v>
      </c>
      <c r="F2853" s="52" t="s">
        <v>2444</v>
      </c>
      <c r="G2853" s="51"/>
      <c r="H2853" s="53"/>
      <c r="I2853" s="54"/>
    </row>
    <row r="2854" spans="2:9" s="1" customFormat="1" ht="67.5" x14ac:dyDescent="0.2">
      <c r="B2854" s="55" t="str">
        <f t="shared" si="58"/>
        <v>2009-056-0</v>
      </c>
      <c r="C2854" s="56">
        <v>2009</v>
      </c>
      <c r="D2854" s="56" t="s">
        <v>85</v>
      </c>
      <c r="E2854" s="56">
        <v>0</v>
      </c>
      <c r="F2854" s="57" t="s">
        <v>464</v>
      </c>
      <c r="G2854" s="56"/>
      <c r="H2854" s="58"/>
      <c r="I2854" s="59"/>
    </row>
    <row r="2855" spans="2:9" s="1" customFormat="1" x14ac:dyDescent="0.2">
      <c r="B2855" s="44" t="str">
        <f t="shared" si="58"/>
        <v>2009-056-1</v>
      </c>
      <c r="C2855" s="45">
        <v>2009</v>
      </c>
      <c r="D2855" s="45" t="s">
        <v>85</v>
      </c>
      <c r="E2855" s="45">
        <v>1</v>
      </c>
      <c r="F2855" s="47" t="s">
        <v>45</v>
      </c>
      <c r="G2855" s="45"/>
      <c r="H2855" s="48"/>
      <c r="I2855" s="49"/>
    </row>
    <row r="2856" spans="2:9" s="1" customFormat="1" x14ac:dyDescent="0.2">
      <c r="B2856" s="44" t="str">
        <f t="shared" si="58"/>
        <v>2009-056-2</v>
      </c>
      <c r="C2856" s="45">
        <v>2009</v>
      </c>
      <c r="D2856" s="45" t="s">
        <v>85</v>
      </c>
      <c r="E2856" s="45">
        <v>2</v>
      </c>
      <c r="F2856" s="47" t="s">
        <v>55</v>
      </c>
      <c r="G2856" s="45"/>
      <c r="H2856" s="48"/>
      <c r="I2856" s="49"/>
    </row>
    <row r="2857" spans="2:9" s="1" customFormat="1" x14ac:dyDescent="0.2">
      <c r="B2857" s="44" t="str">
        <f t="shared" si="58"/>
        <v>2009-056-3</v>
      </c>
      <c r="C2857" s="45">
        <v>2009</v>
      </c>
      <c r="D2857" s="45" t="s">
        <v>85</v>
      </c>
      <c r="E2857" s="45">
        <v>3</v>
      </c>
      <c r="F2857" s="47" t="s">
        <v>53</v>
      </c>
      <c r="G2857" s="45"/>
      <c r="H2857" s="48"/>
      <c r="I2857" s="49"/>
    </row>
    <row r="2858" spans="2:9" s="1" customFormat="1" x14ac:dyDescent="0.2">
      <c r="B2858" s="44" t="str">
        <f t="shared" si="58"/>
        <v>2009-056-4</v>
      </c>
      <c r="C2858" s="45">
        <v>2009</v>
      </c>
      <c r="D2858" s="45" t="s">
        <v>85</v>
      </c>
      <c r="E2858" s="45">
        <v>4</v>
      </c>
      <c r="F2858" s="47" t="s">
        <v>2053</v>
      </c>
      <c r="G2858" s="45" t="s">
        <v>3210</v>
      </c>
      <c r="H2858" s="48"/>
      <c r="I2858" s="49"/>
    </row>
    <row r="2859" spans="2:9" s="1" customFormat="1" x14ac:dyDescent="0.2">
      <c r="B2859" s="50" t="str">
        <f t="shared" si="58"/>
        <v>2009-056-5</v>
      </c>
      <c r="C2859" s="51">
        <v>2009</v>
      </c>
      <c r="D2859" s="51" t="s">
        <v>85</v>
      </c>
      <c r="E2859" s="51">
        <v>5</v>
      </c>
      <c r="F2859" s="52" t="s">
        <v>49</v>
      </c>
      <c r="G2859" s="51"/>
      <c r="H2859" s="53"/>
      <c r="I2859" s="54"/>
    </row>
    <row r="2860" spans="2:9" s="1" customFormat="1" x14ac:dyDescent="0.2">
      <c r="B2860" s="55" t="str">
        <f t="shared" si="58"/>
        <v>2009-057-0</v>
      </c>
      <c r="C2860" s="56">
        <v>2009</v>
      </c>
      <c r="D2860" s="56" t="s">
        <v>86</v>
      </c>
      <c r="E2860" s="56">
        <v>0</v>
      </c>
      <c r="F2860" s="57" t="s">
        <v>465</v>
      </c>
      <c r="G2860" s="56"/>
      <c r="H2860" s="58"/>
      <c r="I2860" s="59"/>
    </row>
    <row r="2861" spans="2:9" s="1" customFormat="1" x14ac:dyDescent="0.2">
      <c r="B2861" s="44" t="str">
        <f t="shared" si="58"/>
        <v>2009-057-1</v>
      </c>
      <c r="C2861" s="45">
        <v>2009</v>
      </c>
      <c r="D2861" s="45" t="s">
        <v>86</v>
      </c>
      <c r="E2861" s="45">
        <v>1</v>
      </c>
      <c r="F2861" s="47" t="s">
        <v>866</v>
      </c>
      <c r="G2861" s="45"/>
      <c r="H2861" s="48"/>
      <c r="I2861" s="49"/>
    </row>
    <row r="2862" spans="2:9" s="1" customFormat="1" ht="27" x14ac:dyDescent="0.2">
      <c r="B2862" s="44" t="str">
        <f t="shared" si="58"/>
        <v>2009-057-2</v>
      </c>
      <c r="C2862" s="45">
        <v>2009</v>
      </c>
      <c r="D2862" s="45" t="s">
        <v>86</v>
      </c>
      <c r="E2862" s="45">
        <v>2</v>
      </c>
      <c r="F2862" s="47" t="s">
        <v>1263</v>
      </c>
      <c r="G2862" s="45"/>
      <c r="H2862" s="48"/>
      <c r="I2862" s="49"/>
    </row>
    <row r="2863" spans="2:9" s="1" customFormat="1" x14ac:dyDescent="0.2">
      <c r="B2863" s="44" t="str">
        <f t="shared" si="58"/>
        <v>2009-057-3</v>
      </c>
      <c r="C2863" s="45">
        <v>2009</v>
      </c>
      <c r="D2863" s="45" t="s">
        <v>86</v>
      </c>
      <c r="E2863" s="45">
        <v>3</v>
      </c>
      <c r="F2863" s="47" t="s">
        <v>1657</v>
      </c>
      <c r="G2863" s="45"/>
      <c r="H2863" s="48"/>
      <c r="I2863" s="49"/>
    </row>
    <row r="2864" spans="2:9" s="1" customFormat="1" x14ac:dyDescent="0.2">
      <c r="B2864" s="44" t="str">
        <f t="shared" si="58"/>
        <v>2009-057-4</v>
      </c>
      <c r="C2864" s="45">
        <v>2009</v>
      </c>
      <c r="D2864" s="45" t="s">
        <v>86</v>
      </c>
      <c r="E2864" s="45">
        <v>4</v>
      </c>
      <c r="F2864" s="47" t="s">
        <v>2054</v>
      </c>
      <c r="G2864" s="45"/>
      <c r="H2864" s="48"/>
      <c r="I2864" s="49"/>
    </row>
    <row r="2865" spans="2:9" s="1" customFormat="1" ht="27" x14ac:dyDescent="0.2">
      <c r="B2865" s="50" t="str">
        <f t="shared" si="58"/>
        <v>2009-057-5</v>
      </c>
      <c r="C2865" s="51">
        <v>2009</v>
      </c>
      <c r="D2865" s="51" t="s">
        <v>86</v>
      </c>
      <c r="E2865" s="51">
        <v>5</v>
      </c>
      <c r="F2865" s="52" t="s">
        <v>2445</v>
      </c>
      <c r="G2865" s="51" t="s">
        <v>3210</v>
      </c>
      <c r="H2865" s="53"/>
      <c r="I2865" s="54"/>
    </row>
    <row r="2866" spans="2:9" s="1" customFormat="1" x14ac:dyDescent="0.2">
      <c r="B2866" s="55" t="str">
        <f t="shared" si="58"/>
        <v>2009-058-0</v>
      </c>
      <c r="C2866" s="56">
        <v>2009</v>
      </c>
      <c r="D2866" s="56" t="s">
        <v>87</v>
      </c>
      <c r="E2866" s="56">
        <v>0</v>
      </c>
      <c r="F2866" s="57" t="s">
        <v>466</v>
      </c>
      <c r="G2866" s="56"/>
      <c r="H2866" s="58"/>
      <c r="I2866" s="59"/>
    </row>
    <row r="2867" spans="2:9" s="1" customFormat="1" x14ac:dyDescent="0.2">
      <c r="B2867" s="44" t="str">
        <f t="shared" si="58"/>
        <v>2009-058-1</v>
      </c>
      <c r="C2867" s="45">
        <v>2009</v>
      </c>
      <c r="D2867" s="45" t="s">
        <v>87</v>
      </c>
      <c r="E2867" s="45">
        <v>1</v>
      </c>
      <c r="F2867" s="47" t="s">
        <v>867</v>
      </c>
      <c r="G2867" s="45"/>
      <c r="H2867" s="48"/>
      <c r="I2867" s="49"/>
    </row>
    <row r="2868" spans="2:9" s="1" customFormat="1" x14ac:dyDescent="0.2">
      <c r="B2868" s="44" t="str">
        <f t="shared" si="58"/>
        <v>2009-058-2</v>
      </c>
      <c r="C2868" s="45">
        <v>2009</v>
      </c>
      <c r="D2868" s="45" t="s">
        <v>87</v>
      </c>
      <c r="E2868" s="45">
        <v>2</v>
      </c>
      <c r="F2868" s="47" t="s">
        <v>1264</v>
      </c>
      <c r="G2868" s="45"/>
      <c r="H2868" s="48"/>
      <c r="I2868" s="49"/>
    </row>
    <row r="2869" spans="2:9" s="1" customFormat="1" x14ac:dyDescent="0.2">
      <c r="B2869" s="44" t="str">
        <f t="shared" si="58"/>
        <v>2009-058-3</v>
      </c>
      <c r="C2869" s="45">
        <v>2009</v>
      </c>
      <c r="D2869" s="45" t="s">
        <v>87</v>
      </c>
      <c r="E2869" s="45">
        <v>3</v>
      </c>
      <c r="F2869" s="47" t="s">
        <v>1658</v>
      </c>
      <c r="G2869" s="45" t="s">
        <v>3210</v>
      </c>
      <c r="H2869" s="48"/>
      <c r="I2869" s="49"/>
    </row>
    <row r="2870" spans="2:9" s="1" customFormat="1" x14ac:dyDescent="0.2">
      <c r="B2870" s="44" t="str">
        <f t="shared" si="58"/>
        <v>2009-058-4</v>
      </c>
      <c r="C2870" s="45">
        <v>2009</v>
      </c>
      <c r="D2870" s="45" t="s">
        <v>87</v>
      </c>
      <c r="E2870" s="45">
        <v>4</v>
      </c>
      <c r="F2870" s="47" t="s">
        <v>2055</v>
      </c>
      <c r="G2870" s="45"/>
      <c r="H2870" s="48"/>
      <c r="I2870" s="49"/>
    </row>
    <row r="2871" spans="2:9" s="1" customFormat="1" ht="27" x14ac:dyDescent="0.2">
      <c r="B2871" s="50" t="str">
        <f t="shared" si="58"/>
        <v>2009-058-5</v>
      </c>
      <c r="C2871" s="51">
        <v>2009</v>
      </c>
      <c r="D2871" s="51" t="s">
        <v>87</v>
      </c>
      <c r="E2871" s="51">
        <v>5</v>
      </c>
      <c r="F2871" s="52" t="s">
        <v>2446</v>
      </c>
      <c r="G2871" s="51"/>
      <c r="H2871" s="53"/>
      <c r="I2871" s="54"/>
    </row>
    <row r="2872" spans="2:9" s="1" customFormat="1" x14ac:dyDescent="0.2">
      <c r="B2872" s="55" t="str">
        <f t="shared" si="58"/>
        <v>2009-059-0</v>
      </c>
      <c r="C2872" s="56">
        <v>2009</v>
      </c>
      <c r="D2872" s="56" t="s">
        <v>88</v>
      </c>
      <c r="E2872" s="56">
        <v>0</v>
      </c>
      <c r="F2872" s="57" t="s">
        <v>467</v>
      </c>
      <c r="G2872" s="56"/>
      <c r="H2872" s="58"/>
      <c r="I2872" s="59"/>
    </row>
    <row r="2873" spans="2:9" s="1" customFormat="1" x14ac:dyDescent="0.2">
      <c r="B2873" s="44" t="str">
        <f t="shared" ref="B2873:B2936" si="59">C2873&amp;"-"&amp;D2873&amp;"-"&amp;E2873</f>
        <v>2009-059-1</v>
      </c>
      <c r="C2873" s="45">
        <v>2009</v>
      </c>
      <c r="D2873" s="45" t="s">
        <v>88</v>
      </c>
      <c r="E2873" s="45">
        <v>1</v>
      </c>
      <c r="F2873" s="47" t="s">
        <v>868</v>
      </c>
      <c r="G2873" s="45"/>
      <c r="H2873" s="48"/>
      <c r="I2873" s="49"/>
    </row>
    <row r="2874" spans="2:9" s="1" customFormat="1" x14ac:dyDescent="0.2">
      <c r="B2874" s="44" t="str">
        <f t="shared" si="59"/>
        <v>2009-059-2</v>
      </c>
      <c r="C2874" s="45">
        <v>2009</v>
      </c>
      <c r="D2874" s="45" t="s">
        <v>88</v>
      </c>
      <c r="E2874" s="45">
        <v>2</v>
      </c>
      <c r="F2874" s="47" t="s">
        <v>1265</v>
      </c>
      <c r="G2874" s="45"/>
      <c r="H2874" s="48"/>
      <c r="I2874" s="49"/>
    </row>
    <row r="2875" spans="2:9" s="1" customFormat="1" x14ac:dyDescent="0.2">
      <c r="B2875" s="44" t="str">
        <f t="shared" si="59"/>
        <v>2009-059-3</v>
      </c>
      <c r="C2875" s="45">
        <v>2009</v>
      </c>
      <c r="D2875" s="45" t="s">
        <v>88</v>
      </c>
      <c r="E2875" s="45">
        <v>3</v>
      </c>
      <c r="F2875" s="47" t="s">
        <v>1659</v>
      </c>
      <c r="G2875" s="45"/>
      <c r="H2875" s="48"/>
      <c r="I2875" s="49"/>
    </row>
    <row r="2876" spans="2:9" s="1" customFormat="1" x14ac:dyDescent="0.2">
      <c r="B2876" s="44" t="str">
        <f t="shared" si="59"/>
        <v>2009-059-4</v>
      </c>
      <c r="C2876" s="45">
        <v>2009</v>
      </c>
      <c r="D2876" s="45" t="s">
        <v>88</v>
      </c>
      <c r="E2876" s="45">
        <v>4</v>
      </c>
      <c r="F2876" s="47" t="s">
        <v>2056</v>
      </c>
      <c r="G2876" s="45" t="s">
        <v>3210</v>
      </c>
      <c r="H2876" s="48"/>
      <c r="I2876" s="49"/>
    </row>
    <row r="2877" spans="2:9" s="1" customFormat="1" ht="27" x14ac:dyDescent="0.2">
      <c r="B2877" s="50" t="str">
        <f t="shared" si="59"/>
        <v>2009-059-5</v>
      </c>
      <c r="C2877" s="51">
        <v>2009</v>
      </c>
      <c r="D2877" s="51" t="s">
        <v>88</v>
      </c>
      <c r="E2877" s="51">
        <v>5</v>
      </c>
      <c r="F2877" s="52" t="s">
        <v>2447</v>
      </c>
      <c r="G2877" s="51"/>
      <c r="H2877" s="53"/>
      <c r="I2877" s="54"/>
    </row>
    <row r="2878" spans="2:9" s="1" customFormat="1" ht="94.5" x14ac:dyDescent="0.2">
      <c r="B2878" s="55" t="str">
        <f t="shared" si="59"/>
        <v>2009-060-0</v>
      </c>
      <c r="C2878" s="56">
        <v>2009</v>
      </c>
      <c r="D2878" s="56" t="s">
        <v>89</v>
      </c>
      <c r="E2878" s="56">
        <v>0</v>
      </c>
      <c r="F2878" s="57" t="s">
        <v>468</v>
      </c>
      <c r="G2878" s="56"/>
      <c r="H2878" s="58"/>
      <c r="I2878" s="59"/>
    </row>
    <row r="2879" spans="2:9" s="1" customFormat="1" x14ac:dyDescent="0.2">
      <c r="B2879" s="44" t="str">
        <f t="shared" si="59"/>
        <v>2009-060-1</v>
      </c>
      <c r="C2879" s="45">
        <v>2009</v>
      </c>
      <c r="D2879" s="45" t="s">
        <v>89</v>
      </c>
      <c r="E2879" s="45">
        <v>1</v>
      </c>
      <c r="F2879" s="47" t="s">
        <v>44</v>
      </c>
      <c r="G2879" s="45"/>
      <c r="H2879" s="48"/>
      <c r="I2879" s="49"/>
    </row>
    <row r="2880" spans="2:9" s="1" customFormat="1" x14ac:dyDescent="0.2">
      <c r="B2880" s="44" t="str">
        <f t="shared" si="59"/>
        <v>2009-060-2</v>
      </c>
      <c r="C2880" s="45">
        <v>2009</v>
      </c>
      <c r="D2880" s="45" t="s">
        <v>89</v>
      </c>
      <c r="E2880" s="45">
        <v>2</v>
      </c>
      <c r="F2880" s="47" t="s">
        <v>54</v>
      </c>
      <c r="G2880" s="45" t="s">
        <v>3210</v>
      </c>
      <c r="H2880" s="48"/>
      <c r="I2880" s="49"/>
    </row>
    <row r="2881" spans="2:9" s="1" customFormat="1" x14ac:dyDescent="0.2">
      <c r="B2881" s="44" t="str">
        <f t="shared" si="59"/>
        <v>2009-060-3</v>
      </c>
      <c r="C2881" s="45">
        <v>2009</v>
      </c>
      <c r="D2881" s="45" t="s">
        <v>89</v>
      </c>
      <c r="E2881" s="45">
        <v>3</v>
      </c>
      <c r="F2881" s="47" t="s">
        <v>55</v>
      </c>
      <c r="G2881" s="45"/>
      <c r="H2881" s="48"/>
      <c r="I2881" s="49"/>
    </row>
    <row r="2882" spans="2:9" s="1" customFormat="1" x14ac:dyDescent="0.2">
      <c r="B2882" s="44" t="str">
        <f t="shared" si="59"/>
        <v>2009-060-4</v>
      </c>
      <c r="C2882" s="45">
        <v>2009</v>
      </c>
      <c r="D2882" s="45" t="s">
        <v>89</v>
      </c>
      <c r="E2882" s="45">
        <v>4</v>
      </c>
      <c r="F2882" s="47" t="s">
        <v>47</v>
      </c>
      <c r="G2882" s="45"/>
      <c r="H2882" s="48"/>
      <c r="I2882" s="49"/>
    </row>
    <row r="2883" spans="2:9" s="1" customFormat="1" x14ac:dyDescent="0.2">
      <c r="B2883" s="50" t="str">
        <f t="shared" si="59"/>
        <v>2009-060-5</v>
      </c>
      <c r="C2883" s="51">
        <v>2009</v>
      </c>
      <c r="D2883" s="51" t="s">
        <v>89</v>
      </c>
      <c r="E2883" s="51">
        <v>5</v>
      </c>
      <c r="F2883" s="52" t="s">
        <v>52</v>
      </c>
      <c r="G2883" s="51"/>
      <c r="H2883" s="53"/>
      <c r="I2883" s="54"/>
    </row>
    <row r="2884" spans="2:9" s="1" customFormat="1" x14ac:dyDescent="0.2">
      <c r="B2884" s="55" t="str">
        <f t="shared" si="59"/>
        <v>2009-061-0</v>
      </c>
      <c r="C2884" s="56">
        <v>2009</v>
      </c>
      <c r="D2884" s="56" t="s">
        <v>90</v>
      </c>
      <c r="E2884" s="56">
        <v>0</v>
      </c>
      <c r="F2884" s="57" t="s">
        <v>469</v>
      </c>
      <c r="G2884" s="56"/>
      <c r="H2884" s="58"/>
      <c r="I2884" s="59"/>
    </row>
    <row r="2885" spans="2:9" s="1" customFormat="1" x14ac:dyDescent="0.2">
      <c r="B2885" s="44" t="str">
        <f t="shared" si="59"/>
        <v>2009-061-1</v>
      </c>
      <c r="C2885" s="45">
        <v>2009</v>
      </c>
      <c r="D2885" s="45" t="s">
        <v>90</v>
      </c>
      <c r="E2885" s="45">
        <v>1</v>
      </c>
      <c r="F2885" s="47" t="s">
        <v>869</v>
      </c>
      <c r="G2885" s="45"/>
      <c r="H2885" s="48"/>
      <c r="I2885" s="49"/>
    </row>
    <row r="2886" spans="2:9" s="1" customFormat="1" ht="27" x14ac:dyDescent="0.2">
      <c r="B2886" s="44" t="str">
        <f t="shared" si="59"/>
        <v>2009-061-2</v>
      </c>
      <c r="C2886" s="45">
        <v>2009</v>
      </c>
      <c r="D2886" s="45" t="s">
        <v>90</v>
      </c>
      <c r="E2886" s="45">
        <v>2</v>
      </c>
      <c r="F2886" s="47" t="s">
        <v>1266</v>
      </c>
      <c r="G2886" s="45"/>
      <c r="H2886" s="48"/>
      <c r="I2886" s="49"/>
    </row>
    <row r="2887" spans="2:9" s="1" customFormat="1" x14ac:dyDescent="0.2">
      <c r="B2887" s="44" t="str">
        <f t="shared" si="59"/>
        <v>2009-061-3</v>
      </c>
      <c r="C2887" s="45">
        <v>2009</v>
      </c>
      <c r="D2887" s="45" t="s">
        <v>90</v>
      </c>
      <c r="E2887" s="45">
        <v>3</v>
      </c>
      <c r="F2887" s="47" t="s">
        <v>1660</v>
      </c>
      <c r="G2887" s="45"/>
      <c r="H2887" s="48"/>
      <c r="I2887" s="49"/>
    </row>
    <row r="2888" spans="2:9" s="1" customFormat="1" x14ac:dyDescent="0.2">
      <c r="B2888" s="44" t="str">
        <f t="shared" si="59"/>
        <v>2009-061-4</v>
      </c>
      <c r="C2888" s="45">
        <v>2009</v>
      </c>
      <c r="D2888" s="45" t="s">
        <v>90</v>
      </c>
      <c r="E2888" s="45">
        <v>4</v>
      </c>
      <c r="F2888" s="47" t="s">
        <v>1638</v>
      </c>
      <c r="G2888" s="45"/>
      <c r="H2888" s="48"/>
      <c r="I2888" s="49"/>
    </row>
    <row r="2889" spans="2:9" s="1" customFormat="1" x14ac:dyDescent="0.2">
      <c r="B2889" s="50" t="str">
        <f t="shared" si="59"/>
        <v>2009-061-5</v>
      </c>
      <c r="C2889" s="51">
        <v>2009</v>
      </c>
      <c r="D2889" s="51" t="s">
        <v>90</v>
      </c>
      <c r="E2889" s="51">
        <v>5</v>
      </c>
      <c r="F2889" s="52" t="s">
        <v>2448</v>
      </c>
      <c r="G2889" s="51" t="s">
        <v>3210</v>
      </c>
      <c r="H2889" s="53"/>
      <c r="I2889" s="54"/>
    </row>
    <row r="2890" spans="2:9" s="1" customFormat="1" x14ac:dyDescent="0.2">
      <c r="B2890" s="55" t="str">
        <f t="shared" si="59"/>
        <v>2009-062-0</v>
      </c>
      <c r="C2890" s="56">
        <v>2009</v>
      </c>
      <c r="D2890" s="56" t="s">
        <v>91</v>
      </c>
      <c r="E2890" s="56">
        <v>0</v>
      </c>
      <c r="F2890" s="57" t="s">
        <v>470</v>
      </c>
      <c r="G2890" s="56"/>
      <c r="H2890" s="58"/>
      <c r="I2890" s="59"/>
    </row>
    <row r="2891" spans="2:9" s="1" customFormat="1" ht="27" x14ac:dyDescent="0.2">
      <c r="B2891" s="44" t="str">
        <f t="shared" si="59"/>
        <v>2009-062-1</v>
      </c>
      <c r="C2891" s="45">
        <v>2009</v>
      </c>
      <c r="D2891" s="45" t="s">
        <v>91</v>
      </c>
      <c r="E2891" s="45">
        <v>1</v>
      </c>
      <c r="F2891" s="47" t="s">
        <v>870</v>
      </c>
      <c r="G2891" s="45"/>
      <c r="H2891" s="48"/>
      <c r="I2891" s="49"/>
    </row>
    <row r="2892" spans="2:9" s="1" customFormat="1" x14ac:dyDescent="0.2">
      <c r="B2892" s="44" t="str">
        <f t="shared" si="59"/>
        <v>2009-062-2</v>
      </c>
      <c r="C2892" s="45">
        <v>2009</v>
      </c>
      <c r="D2892" s="45" t="s">
        <v>91</v>
      </c>
      <c r="E2892" s="45">
        <v>2</v>
      </c>
      <c r="F2892" s="47" t="s">
        <v>1267</v>
      </c>
      <c r="G2892" s="45"/>
      <c r="H2892" s="48"/>
      <c r="I2892" s="49"/>
    </row>
    <row r="2893" spans="2:9" s="1" customFormat="1" ht="27" x14ac:dyDescent="0.2">
      <c r="B2893" s="44" t="str">
        <f t="shared" si="59"/>
        <v>2009-062-3</v>
      </c>
      <c r="C2893" s="45">
        <v>2009</v>
      </c>
      <c r="D2893" s="45" t="s">
        <v>91</v>
      </c>
      <c r="E2893" s="45">
        <v>3</v>
      </c>
      <c r="F2893" s="47" t="s">
        <v>1661</v>
      </c>
      <c r="G2893" s="45"/>
      <c r="H2893" s="48"/>
      <c r="I2893" s="49"/>
    </row>
    <row r="2894" spans="2:9" s="1" customFormat="1" ht="27" x14ac:dyDescent="0.2">
      <c r="B2894" s="44" t="str">
        <f t="shared" si="59"/>
        <v>2009-062-4</v>
      </c>
      <c r="C2894" s="45">
        <v>2009</v>
      </c>
      <c r="D2894" s="45" t="s">
        <v>91</v>
      </c>
      <c r="E2894" s="45">
        <v>4</v>
      </c>
      <c r="F2894" s="47" t="s">
        <v>2057</v>
      </c>
      <c r="G2894" s="45" t="s">
        <v>3210</v>
      </c>
      <c r="H2894" s="48"/>
      <c r="I2894" s="49"/>
    </row>
    <row r="2895" spans="2:9" s="1" customFormat="1" ht="27" x14ac:dyDescent="0.2">
      <c r="B2895" s="50" t="str">
        <f t="shared" si="59"/>
        <v>2009-062-5</v>
      </c>
      <c r="C2895" s="51">
        <v>2009</v>
      </c>
      <c r="D2895" s="51" t="s">
        <v>91</v>
      </c>
      <c r="E2895" s="51">
        <v>5</v>
      </c>
      <c r="F2895" s="52" t="s">
        <v>2449</v>
      </c>
      <c r="G2895" s="51"/>
      <c r="H2895" s="53"/>
      <c r="I2895" s="54"/>
    </row>
    <row r="2896" spans="2:9" s="1" customFormat="1" x14ac:dyDescent="0.2">
      <c r="B2896" s="55" t="str">
        <f t="shared" si="59"/>
        <v>2009-063-0</v>
      </c>
      <c r="C2896" s="56">
        <v>2009</v>
      </c>
      <c r="D2896" s="56" t="s">
        <v>92</v>
      </c>
      <c r="E2896" s="56">
        <v>0</v>
      </c>
      <c r="F2896" s="57" t="s">
        <v>471</v>
      </c>
      <c r="G2896" s="56"/>
      <c r="H2896" s="58"/>
      <c r="I2896" s="59"/>
    </row>
    <row r="2897" spans="2:9" s="1" customFormat="1" x14ac:dyDescent="0.2">
      <c r="B2897" s="44" t="str">
        <f t="shared" si="59"/>
        <v>2009-063-1</v>
      </c>
      <c r="C2897" s="45">
        <v>2009</v>
      </c>
      <c r="D2897" s="45" t="s">
        <v>92</v>
      </c>
      <c r="E2897" s="45">
        <v>1</v>
      </c>
      <c r="F2897" s="47" t="s">
        <v>871</v>
      </c>
      <c r="G2897" s="45"/>
      <c r="H2897" s="48"/>
      <c r="I2897" s="49"/>
    </row>
    <row r="2898" spans="2:9" s="1" customFormat="1" x14ac:dyDescent="0.2">
      <c r="B2898" s="44" t="str">
        <f t="shared" si="59"/>
        <v>2009-063-2</v>
      </c>
      <c r="C2898" s="45">
        <v>2009</v>
      </c>
      <c r="D2898" s="45" t="s">
        <v>92</v>
      </c>
      <c r="E2898" s="45">
        <v>2</v>
      </c>
      <c r="F2898" s="47" t="s">
        <v>1268</v>
      </c>
      <c r="G2898" s="45"/>
      <c r="H2898" s="48"/>
      <c r="I2898" s="49"/>
    </row>
    <row r="2899" spans="2:9" s="1" customFormat="1" x14ac:dyDescent="0.2">
      <c r="B2899" s="44" t="str">
        <f t="shared" si="59"/>
        <v>2009-063-3</v>
      </c>
      <c r="C2899" s="45">
        <v>2009</v>
      </c>
      <c r="D2899" s="45" t="s">
        <v>92</v>
      </c>
      <c r="E2899" s="45">
        <v>3</v>
      </c>
      <c r="F2899" s="47" t="s">
        <v>1662</v>
      </c>
      <c r="G2899" s="45"/>
      <c r="H2899" s="48"/>
      <c r="I2899" s="49"/>
    </row>
    <row r="2900" spans="2:9" s="1" customFormat="1" ht="27" x14ac:dyDescent="0.2">
      <c r="B2900" s="44" t="str">
        <f t="shared" si="59"/>
        <v>2009-063-4</v>
      </c>
      <c r="C2900" s="45">
        <v>2009</v>
      </c>
      <c r="D2900" s="45" t="s">
        <v>92</v>
      </c>
      <c r="E2900" s="45">
        <v>4</v>
      </c>
      <c r="F2900" s="47" t="s">
        <v>2058</v>
      </c>
      <c r="G2900" s="45"/>
      <c r="H2900" s="48"/>
      <c r="I2900" s="49"/>
    </row>
    <row r="2901" spans="2:9" s="1" customFormat="1" x14ac:dyDescent="0.2">
      <c r="B2901" s="50" t="str">
        <f t="shared" si="59"/>
        <v>2009-063-5</v>
      </c>
      <c r="C2901" s="51">
        <v>2009</v>
      </c>
      <c r="D2901" s="51" t="s">
        <v>92</v>
      </c>
      <c r="E2901" s="51">
        <v>5</v>
      </c>
      <c r="F2901" s="52" t="s">
        <v>2450</v>
      </c>
      <c r="G2901" s="51" t="s">
        <v>3210</v>
      </c>
      <c r="H2901" s="53"/>
      <c r="I2901" s="54"/>
    </row>
    <row r="2902" spans="2:9" s="1" customFormat="1" x14ac:dyDescent="0.2">
      <c r="B2902" s="55" t="str">
        <f t="shared" si="59"/>
        <v>2009-064-0</v>
      </c>
      <c r="C2902" s="56">
        <v>2009</v>
      </c>
      <c r="D2902" s="56" t="s">
        <v>93</v>
      </c>
      <c r="E2902" s="56">
        <v>0</v>
      </c>
      <c r="F2902" s="57" t="s">
        <v>472</v>
      </c>
      <c r="G2902" s="56"/>
      <c r="H2902" s="58"/>
      <c r="I2902" s="59"/>
    </row>
    <row r="2903" spans="2:9" s="1" customFormat="1" x14ac:dyDescent="0.2">
      <c r="B2903" s="44" t="str">
        <f t="shared" si="59"/>
        <v>2009-064-1</v>
      </c>
      <c r="C2903" s="45">
        <v>2009</v>
      </c>
      <c r="D2903" s="45" t="s">
        <v>93</v>
      </c>
      <c r="E2903" s="45">
        <v>1</v>
      </c>
      <c r="F2903" s="47" t="s">
        <v>872</v>
      </c>
      <c r="G2903" s="45" t="s">
        <v>3210</v>
      </c>
      <c r="H2903" s="48"/>
      <c r="I2903" s="49"/>
    </row>
    <row r="2904" spans="2:9" s="1" customFormat="1" x14ac:dyDescent="0.2">
      <c r="B2904" s="44" t="str">
        <f t="shared" si="59"/>
        <v>2009-064-2</v>
      </c>
      <c r="C2904" s="45">
        <v>2009</v>
      </c>
      <c r="D2904" s="45" t="s">
        <v>93</v>
      </c>
      <c r="E2904" s="45">
        <v>2</v>
      </c>
      <c r="F2904" s="47" t="s">
        <v>1269</v>
      </c>
      <c r="G2904" s="45"/>
      <c r="H2904" s="48"/>
      <c r="I2904" s="49"/>
    </row>
    <row r="2905" spans="2:9" s="1" customFormat="1" x14ac:dyDescent="0.2">
      <c r="B2905" s="44" t="str">
        <f t="shared" si="59"/>
        <v>2009-064-3</v>
      </c>
      <c r="C2905" s="45">
        <v>2009</v>
      </c>
      <c r="D2905" s="45" t="s">
        <v>93</v>
      </c>
      <c r="E2905" s="45">
        <v>3</v>
      </c>
      <c r="F2905" s="47" t="s">
        <v>1663</v>
      </c>
      <c r="G2905" s="45"/>
      <c r="H2905" s="48"/>
      <c r="I2905" s="49"/>
    </row>
    <row r="2906" spans="2:9" s="1" customFormat="1" x14ac:dyDescent="0.2">
      <c r="B2906" s="44" t="str">
        <f t="shared" si="59"/>
        <v>2009-064-4</v>
      </c>
      <c r="C2906" s="45">
        <v>2009</v>
      </c>
      <c r="D2906" s="45" t="s">
        <v>93</v>
      </c>
      <c r="E2906" s="45">
        <v>4</v>
      </c>
      <c r="F2906" s="47" t="s">
        <v>2059</v>
      </c>
      <c r="G2906" s="45"/>
      <c r="H2906" s="48"/>
      <c r="I2906" s="49"/>
    </row>
    <row r="2907" spans="2:9" s="1" customFormat="1" ht="27" x14ac:dyDescent="0.2">
      <c r="B2907" s="50" t="str">
        <f t="shared" si="59"/>
        <v>2009-064-5</v>
      </c>
      <c r="C2907" s="51">
        <v>2009</v>
      </c>
      <c r="D2907" s="51" t="s">
        <v>93</v>
      </c>
      <c r="E2907" s="51">
        <v>5</v>
      </c>
      <c r="F2907" s="52" t="s">
        <v>2451</v>
      </c>
      <c r="G2907" s="51"/>
      <c r="H2907" s="53"/>
      <c r="I2907" s="54"/>
    </row>
    <row r="2908" spans="2:9" s="1" customFormat="1" x14ac:dyDescent="0.2">
      <c r="B2908" s="55" t="str">
        <f t="shared" si="59"/>
        <v>2009-065-0</v>
      </c>
      <c r="C2908" s="56">
        <v>2009</v>
      </c>
      <c r="D2908" s="56" t="s">
        <v>94</v>
      </c>
      <c r="E2908" s="56">
        <v>0</v>
      </c>
      <c r="F2908" s="57" t="s">
        <v>473</v>
      </c>
      <c r="G2908" s="56"/>
      <c r="H2908" s="58"/>
      <c r="I2908" s="59"/>
    </row>
    <row r="2909" spans="2:9" s="1" customFormat="1" ht="27" x14ac:dyDescent="0.2">
      <c r="B2909" s="44" t="str">
        <f t="shared" si="59"/>
        <v>2009-065-1</v>
      </c>
      <c r="C2909" s="45">
        <v>2009</v>
      </c>
      <c r="D2909" s="45" t="s">
        <v>94</v>
      </c>
      <c r="E2909" s="45">
        <v>1</v>
      </c>
      <c r="F2909" s="47" t="s">
        <v>873</v>
      </c>
      <c r="G2909" s="45" t="s">
        <v>3210</v>
      </c>
      <c r="H2909" s="48"/>
      <c r="I2909" s="49"/>
    </row>
    <row r="2910" spans="2:9" s="1" customFormat="1" x14ac:dyDescent="0.2">
      <c r="B2910" s="44" t="str">
        <f t="shared" si="59"/>
        <v>2009-065-2</v>
      </c>
      <c r="C2910" s="45">
        <v>2009</v>
      </c>
      <c r="D2910" s="45" t="s">
        <v>94</v>
      </c>
      <c r="E2910" s="45">
        <v>2</v>
      </c>
      <c r="F2910" s="47" t="s">
        <v>1270</v>
      </c>
      <c r="G2910" s="45"/>
      <c r="H2910" s="48"/>
      <c r="I2910" s="49"/>
    </row>
    <row r="2911" spans="2:9" s="1" customFormat="1" x14ac:dyDescent="0.2">
      <c r="B2911" s="44" t="str">
        <f t="shared" si="59"/>
        <v>2009-065-3</v>
      </c>
      <c r="C2911" s="45">
        <v>2009</v>
      </c>
      <c r="D2911" s="45" t="s">
        <v>94</v>
      </c>
      <c r="E2911" s="45">
        <v>3</v>
      </c>
      <c r="F2911" s="47" t="s">
        <v>1664</v>
      </c>
      <c r="G2911" s="45"/>
      <c r="H2911" s="48"/>
      <c r="I2911" s="49"/>
    </row>
    <row r="2912" spans="2:9" s="1" customFormat="1" x14ac:dyDescent="0.2">
      <c r="B2912" s="44" t="str">
        <f t="shared" si="59"/>
        <v>2009-065-4</v>
      </c>
      <c r="C2912" s="45">
        <v>2009</v>
      </c>
      <c r="D2912" s="45" t="s">
        <v>94</v>
      </c>
      <c r="E2912" s="45">
        <v>4</v>
      </c>
      <c r="F2912" s="47" t="s">
        <v>2060</v>
      </c>
      <c r="G2912" s="45"/>
      <c r="H2912" s="48"/>
      <c r="I2912" s="49"/>
    </row>
    <row r="2913" spans="2:9" s="1" customFormat="1" ht="27" x14ac:dyDescent="0.2">
      <c r="B2913" s="50" t="str">
        <f t="shared" si="59"/>
        <v>2009-065-5</v>
      </c>
      <c r="C2913" s="51">
        <v>2009</v>
      </c>
      <c r="D2913" s="51" t="s">
        <v>94</v>
      </c>
      <c r="E2913" s="51">
        <v>5</v>
      </c>
      <c r="F2913" s="52" t="s">
        <v>2452</v>
      </c>
      <c r="G2913" s="51"/>
      <c r="H2913" s="53"/>
      <c r="I2913" s="54"/>
    </row>
    <row r="2914" spans="2:9" s="1" customFormat="1" ht="27" x14ac:dyDescent="0.2">
      <c r="B2914" s="55" t="str">
        <f t="shared" si="59"/>
        <v>2009-066-0</v>
      </c>
      <c r="C2914" s="56">
        <v>2009</v>
      </c>
      <c r="D2914" s="56" t="s">
        <v>95</v>
      </c>
      <c r="E2914" s="56">
        <v>0</v>
      </c>
      <c r="F2914" s="57" t="s">
        <v>474</v>
      </c>
      <c r="G2914" s="56"/>
      <c r="H2914" s="58"/>
      <c r="I2914" s="59"/>
    </row>
    <row r="2915" spans="2:9" s="1" customFormat="1" x14ac:dyDescent="0.2">
      <c r="B2915" s="44" t="str">
        <f t="shared" si="59"/>
        <v>2009-066-1</v>
      </c>
      <c r="C2915" s="45">
        <v>2009</v>
      </c>
      <c r="D2915" s="45" t="s">
        <v>95</v>
      </c>
      <c r="E2915" s="45">
        <v>1</v>
      </c>
      <c r="F2915" s="47" t="s">
        <v>874</v>
      </c>
      <c r="G2915" s="45"/>
      <c r="H2915" s="48"/>
      <c r="I2915" s="49"/>
    </row>
    <row r="2916" spans="2:9" s="1" customFormat="1" x14ac:dyDescent="0.2">
      <c r="B2916" s="44" t="str">
        <f t="shared" si="59"/>
        <v>2009-066-2</v>
      </c>
      <c r="C2916" s="45">
        <v>2009</v>
      </c>
      <c r="D2916" s="45" t="s">
        <v>95</v>
      </c>
      <c r="E2916" s="45">
        <v>2</v>
      </c>
      <c r="F2916" s="47" t="s">
        <v>1271</v>
      </c>
      <c r="G2916" s="45"/>
      <c r="H2916" s="48"/>
      <c r="I2916" s="49"/>
    </row>
    <row r="2917" spans="2:9" s="1" customFormat="1" x14ac:dyDescent="0.2">
      <c r="B2917" s="44" t="str">
        <f t="shared" si="59"/>
        <v>2009-066-3</v>
      </c>
      <c r="C2917" s="45">
        <v>2009</v>
      </c>
      <c r="D2917" s="45" t="s">
        <v>95</v>
      </c>
      <c r="E2917" s="45">
        <v>3</v>
      </c>
      <c r="F2917" s="47" t="s">
        <v>1665</v>
      </c>
      <c r="G2917" s="45"/>
      <c r="H2917" s="48"/>
      <c r="I2917" s="49"/>
    </row>
    <row r="2918" spans="2:9" s="1" customFormat="1" x14ac:dyDescent="0.2">
      <c r="B2918" s="44" t="str">
        <f t="shared" si="59"/>
        <v>2009-066-4</v>
      </c>
      <c r="C2918" s="45">
        <v>2009</v>
      </c>
      <c r="D2918" s="45" t="s">
        <v>95</v>
      </c>
      <c r="E2918" s="45">
        <v>4</v>
      </c>
      <c r="F2918" s="47" t="s">
        <v>2061</v>
      </c>
      <c r="G2918" s="45"/>
      <c r="H2918" s="48"/>
      <c r="I2918" s="49"/>
    </row>
    <row r="2919" spans="2:9" s="1" customFormat="1" x14ac:dyDescent="0.2">
      <c r="B2919" s="50" t="str">
        <f t="shared" si="59"/>
        <v>2009-066-5</v>
      </c>
      <c r="C2919" s="51">
        <v>2009</v>
      </c>
      <c r="D2919" s="51" t="s">
        <v>95</v>
      </c>
      <c r="E2919" s="51">
        <v>5</v>
      </c>
      <c r="F2919" s="52" t="s">
        <v>2453</v>
      </c>
      <c r="G2919" s="51" t="s">
        <v>3210</v>
      </c>
      <c r="H2919" s="53"/>
      <c r="I2919" s="54"/>
    </row>
    <row r="2920" spans="2:9" s="1" customFormat="1" x14ac:dyDescent="0.2">
      <c r="B2920" s="55" t="str">
        <f t="shared" si="59"/>
        <v>2009-067-0</v>
      </c>
      <c r="C2920" s="56">
        <v>2009</v>
      </c>
      <c r="D2920" s="56" t="s">
        <v>96</v>
      </c>
      <c r="E2920" s="56">
        <v>0</v>
      </c>
      <c r="F2920" s="57" t="s">
        <v>475</v>
      </c>
      <c r="G2920" s="56"/>
      <c r="H2920" s="58"/>
      <c r="I2920" s="59"/>
    </row>
    <row r="2921" spans="2:9" s="1" customFormat="1" x14ac:dyDescent="0.2">
      <c r="B2921" s="44" t="str">
        <f t="shared" si="59"/>
        <v>2009-067-1</v>
      </c>
      <c r="C2921" s="45">
        <v>2009</v>
      </c>
      <c r="D2921" s="45" t="s">
        <v>96</v>
      </c>
      <c r="E2921" s="45">
        <v>1</v>
      </c>
      <c r="F2921" s="47" t="s">
        <v>875</v>
      </c>
      <c r="G2921" s="45"/>
      <c r="H2921" s="48"/>
      <c r="I2921" s="49"/>
    </row>
    <row r="2922" spans="2:9" s="1" customFormat="1" x14ac:dyDescent="0.2">
      <c r="B2922" s="44" t="str">
        <f t="shared" si="59"/>
        <v>2009-067-2</v>
      </c>
      <c r="C2922" s="45">
        <v>2009</v>
      </c>
      <c r="D2922" s="45" t="s">
        <v>96</v>
      </c>
      <c r="E2922" s="45">
        <v>2</v>
      </c>
      <c r="F2922" s="47" t="s">
        <v>1272</v>
      </c>
      <c r="G2922" s="45"/>
      <c r="H2922" s="48"/>
      <c r="I2922" s="49"/>
    </row>
    <row r="2923" spans="2:9" s="1" customFormat="1" x14ac:dyDescent="0.2">
      <c r="B2923" s="44" t="str">
        <f t="shared" si="59"/>
        <v>2009-067-3</v>
      </c>
      <c r="C2923" s="45">
        <v>2009</v>
      </c>
      <c r="D2923" s="45" t="s">
        <v>96</v>
      </c>
      <c r="E2923" s="45">
        <v>3</v>
      </c>
      <c r="F2923" s="47" t="s">
        <v>1666</v>
      </c>
      <c r="G2923" s="45"/>
      <c r="H2923" s="48"/>
      <c r="I2923" s="49"/>
    </row>
    <row r="2924" spans="2:9" s="1" customFormat="1" x14ac:dyDescent="0.2">
      <c r="B2924" s="44" t="str">
        <f t="shared" si="59"/>
        <v>2009-067-4</v>
      </c>
      <c r="C2924" s="45">
        <v>2009</v>
      </c>
      <c r="D2924" s="45" t="s">
        <v>96</v>
      </c>
      <c r="E2924" s="45">
        <v>4</v>
      </c>
      <c r="F2924" s="47" t="s">
        <v>2062</v>
      </c>
      <c r="G2924" s="45" t="s">
        <v>3210</v>
      </c>
      <c r="H2924" s="48"/>
      <c r="I2924" s="49"/>
    </row>
    <row r="2925" spans="2:9" s="1" customFormat="1" x14ac:dyDescent="0.2">
      <c r="B2925" s="50" t="str">
        <f t="shared" si="59"/>
        <v>2009-067-5</v>
      </c>
      <c r="C2925" s="51">
        <v>2009</v>
      </c>
      <c r="D2925" s="51" t="s">
        <v>96</v>
      </c>
      <c r="E2925" s="51">
        <v>5</v>
      </c>
      <c r="F2925" s="52" t="s">
        <v>2454</v>
      </c>
      <c r="G2925" s="51"/>
      <c r="H2925" s="53"/>
      <c r="I2925" s="54"/>
    </row>
    <row r="2926" spans="2:9" s="1" customFormat="1" x14ac:dyDescent="0.2">
      <c r="B2926" s="55" t="str">
        <f t="shared" si="59"/>
        <v>2009-068-0</v>
      </c>
      <c r="C2926" s="56">
        <v>2009</v>
      </c>
      <c r="D2926" s="56" t="s">
        <v>97</v>
      </c>
      <c r="E2926" s="56">
        <v>0</v>
      </c>
      <c r="F2926" s="57" t="s">
        <v>476</v>
      </c>
      <c r="G2926" s="56"/>
      <c r="H2926" s="58"/>
      <c r="I2926" s="59"/>
    </row>
    <row r="2927" spans="2:9" s="1" customFormat="1" ht="27" x14ac:dyDescent="0.2">
      <c r="B2927" s="44" t="str">
        <f t="shared" si="59"/>
        <v>2009-068-1</v>
      </c>
      <c r="C2927" s="45">
        <v>2009</v>
      </c>
      <c r="D2927" s="45" t="s">
        <v>97</v>
      </c>
      <c r="E2927" s="45">
        <v>1</v>
      </c>
      <c r="F2927" s="47" t="s">
        <v>876</v>
      </c>
      <c r="G2927" s="45"/>
      <c r="H2927" s="48"/>
      <c r="I2927" s="49"/>
    </row>
    <row r="2928" spans="2:9" s="1" customFormat="1" x14ac:dyDescent="0.2">
      <c r="B2928" s="44" t="str">
        <f t="shared" si="59"/>
        <v>2009-068-2</v>
      </c>
      <c r="C2928" s="45">
        <v>2009</v>
      </c>
      <c r="D2928" s="45" t="s">
        <v>97</v>
      </c>
      <c r="E2928" s="45">
        <v>2</v>
      </c>
      <c r="F2928" s="47" t="s">
        <v>1273</v>
      </c>
      <c r="G2928" s="45" t="s">
        <v>3210</v>
      </c>
      <c r="H2928" s="48"/>
      <c r="I2928" s="49"/>
    </row>
    <row r="2929" spans="2:9" s="1" customFormat="1" x14ac:dyDescent="0.2">
      <c r="B2929" s="44" t="str">
        <f t="shared" si="59"/>
        <v>2009-068-3</v>
      </c>
      <c r="C2929" s="45">
        <v>2009</v>
      </c>
      <c r="D2929" s="45" t="s">
        <v>97</v>
      </c>
      <c r="E2929" s="45">
        <v>3</v>
      </c>
      <c r="F2929" s="47" t="s">
        <v>1667</v>
      </c>
      <c r="G2929" s="45"/>
      <c r="H2929" s="48"/>
      <c r="I2929" s="49"/>
    </row>
    <row r="2930" spans="2:9" s="1" customFormat="1" ht="27" x14ac:dyDescent="0.2">
      <c r="B2930" s="44" t="str">
        <f t="shared" si="59"/>
        <v>2009-068-4</v>
      </c>
      <c r="C2930" s="45">
        <v>2009</v>
      </c>
      <c r="D2930" s="45" t="s">
        <v>97</v>
      </c>
      <c r="E2930" s="45">
        <v>4</v>
      </c>
      <c r="F2930" s="47" t="s">
        <v>2063</v>
      </c>
      <c r="G2930" s="45"/>
      <c r="H2930" s="48"/>
      <c r="I2930" s="49"/>
    </row>
    <row r="2931" spans="2:9" s="1" customFormat="1" x14ac:dyDescent="0.2">
      <c r="B2931" s="50" t="str">
        <f t="shared" si="59"/>
        <v>2009-068-5</v>
      </c>
      <c r="C2931" s="51">
        <v>2009</v>
      </c>
      <c r="D2931" s="51" t="s">
        <v>97</v>
      </c>
      <c r="E2931" s="51">
        <v>5</v>
      </c>
      <c r="F2931" s="52" t="s">
        <v>2455</v>
      </c>
      <c r="G2931" s="51"/>
      <c r="H2931" s="53"/>
      <c r="I2931" s="54"/>
    </row>
    <row r="2932" spans="2:9" s="1" customFormat="1" x14ac:dyDescent="0.2">
      <c r="B2932" s="55" t="str">
        <f t="shared" si="59"/>
        <v>2009-069-0</v>
      </c>
      <c r="C2932" s="56">
        <v>2009</v>
      </c>
      <c r="D2932" s="56" t="s">
        <v>98</v>
      </c>
      <c r="E2932" s="56">
        <v>0</v>
      </c>
      <c r="F2932" s="57" t="s">
        <v>477</v>
      </c>
      <c r="G2932" s="56"/>
      <c r="H2932" s="58"/>
      <c r="I2932" s="59"/>
    </row>
    <row r="2933" spans="2:9" s="1" customFormat="1" x14ac:dyDescent="0.2">
      <c r="B2933" s="44" t="str">
        <f t="shared" si="59"/>
        <v>2009-069-1</v>
      </c>
      <c r="C2933" s="45">
        <v>2009</v>
      </c>
      <c r="D2933" s="45" t="s">
        <v>98</v>
      </c>
      <c r="E2933" s="45">
        <v>1</v>
      </c>
      <c r="F2933" s="47" t="s">
        <v>877</v>
      </c>
      <c r="G2933" s="45"/>
      <c r="H2933" s="48"/>
      <c r="I2933" s="49"/>
    </row>
    <row r="2934" spans="2:9" s="1" customFormat="1" x14ac:dyDescent="0.2">
      <c r="B2934" s="44" t="str">
        <f t="shared" si="59"/>
        <v>2009-069-2</v>
      </c>
      <c r="C2934" s="45">
        <v>2009</v>
      </c>
      <c r="D2934" s="45" t="s">
        <v>98</v>
      </c>
      <c r="E2934" s="45">
        <v>2</v>
      </c>
      <c r="F2934" s="47" t="s">
        <v>1274</v>
      </c>
      <c r="G2934" s="45" t="s">
        <v>3210</v>
      </c>
      <c r="H2934" s="48"/>
      <c r="I2934" s="49"/>
    </row>
    <row r="2935" spans="2:9" s="1" customFormat="1" x14ac:dyDescent="0.2">
      <c r="B2935" s="44" t="str">
        <f t="shared" si="59"/>
        <v>2009-069-3</v>
      </c>
      <c r="C2935" s="45">
        <v>2009</v>
      </c>
      <c r="D2935" s="45" t="s">
        <v>98</v>
      </c>
      <c r="E2935" s="45">
        <v>3</v>
      </c>
      <c r="F2935" s="47" t="s">
        <v>1668</v>
      </c>
      <c r="G2935" s="45"/>
      <c r="H2935" s="48"/>
      <c r="I2935" s="49"/>
    </row>
    <row r="2936" spans="2:9" s="1" customFormat="1" ht="27" x14ac:dyDescent="0.2">
      <c r="B2936" s="44" t="str">
        <f t="shared" si="59"/>
        <v>2009-069-4</v>
      </c>
      <c r="C2936" s="45">
        <v>2009</v>
      </c>
      <c r="D2936" s="45" t="s">
        <v>98</v>
      </c>
      <c r="E2936" s="45">
        <v>4</v>
      </c>
      <c r="F2936" s="47" t="s">
        <v>2064</v>
      </c>
      <c r="G2936" s="45"/>
      <c r="H2936" s="48"/>
      <c r="I2936" s="49"/>
    </row>
    <row r="2937" spans="2:9" s="1" customFormat="1" x14ac:dyDescent="0.2">
      <c r="B2937" s="50" t="str">
        <f t="shared" ref="B2937:B2973" si="60">C2937&amp;"-"&amp;D2937&amp;"-"&amp;E2937</f>
        <v>2009-069-5</v>
      </c>
      <c r="C2937" s="51">
        <v>2009</v>
      </c>
      <c r="D2937" s="51" t="s">
        <v>98</v>
      </c>
      <c r="E2937" s="51">
        <v>5</v>
      </c>
      <c r="F2937" s="52" t="s">
        <v>2456</v>
      </c>
      <c r="G2937" s="51"/>
      <c r="H2937" s="53"/>
      <c r="I2937" s="54"/>
    </row>
    <row r="2938" spans="2:9" s="1" customFormat="1" ht="94.5" x14ac:dyDescent="0.2">
      <c r="B2938" s="55" t="str">
        <f t="shared" si="60"/>
        <v>2009-070-0</v>
      </c>
      <c r="C2938" s="56">
        <v>2009</v>
      </c>
      <c r="D2938" s="56" t="s">
        <v>99</v>
      </c>
      <c r="E2938" s="56">
        <v>0</v>
      </c>
      <c r="F2938" s="57" t="s">
        <v>478</v>
      </c>
      <c r="G2938" s="56"/>
      <c r="H2938" s="58"/>
      <c r="I2938" s="59"/>
    </row>
    <row r="2939" spans="2:9" s="1" customFormat="1" x14ac:dyDescent="0.2">
      <c r="B2939" s="44" t="str">
        <f t="shared" si="60"/>
        <v>2009-070-1</v>
      </c>
      <c r="C2939" s="45">
        <v>2009</v>
      </c>
      <c r="D2939" s="45" t="s">
        <v>99</v>
      </c>
      <c r="E2939" s="45">
        <v>1</v>
      </c>
      <c r="F2939" s="47" t="s">
        <v>44</v>
      </c>
      <c r="G2939" s="45" t="s">
        <v>3210</v>
      </c>
      <c r="H2939" s="48"/>
      <c r="I2939" s="49"/>
    </row>
    <row r="2940" spans="2:9" s="1" customFormat="1" x14ac:dyDescent="0.2">
      <c r="B2940" s="44" t="str">
        <f t="shared" si="60"/>
        <v>2009-070-2</v>
      </c>
      <c r="C2940" s="45">
        <v>2009</v>
      </c>
      <c r="D2940" s="45" t="s">
        <v>99</v>
      </c>
      <c r="E2940" s="45">
        <v>2</v>
      </c>
      <c r="F2940" s="47" t="s">
        <v>47</v>
      </c>
      <c r="G2940" s="45"/>
      <c r="H2940" s="48"/>
      <c r="I2940" s="49"/>
    </row>
    <row r="2941" spans="2:9" s="1" customFormat="1" x14ac:dyDescent="0.2">
      <c r="B2941" s="44" t="str">
        <f t="shared" si="60"/>
        <v>2009-070-3</v>
      </c>
      <c r="C2941" s="45">
        <v>2009</v>
      </c>
      <c r="D2941" s="45" t="s">
        <v>99</v>
      </c>
      <c r="E2941" s="45">
        <v>3</v>
      </c>
      <c r="F2941" s="47" t="s">
        <v>55</v>
      </c>
      <c r="G2941" s="45"/>
      <c r="H2941" s="48"/>
      <c r="I2941" s="49"/>
    </row>
    <row r="2942" spans="2:9" s="1" customFormat="1" x14ac:dyDescent="0.2">
      <c r="B2942" s="44" t="str">
        <f t="shared" si="60"/>
        <v>2009-070-4</v>
      </c>
      <c r="C2942" s="45">
        <v>2009</v>
      </c>
      <c r="D2942" s="45" t="s">
        <v>99</v>
      </c>
      <c r="E2942" s="45">
        <v>4</v>
      </c>
      <c r="F2942" s="47" t="s">
        <v>52</v>
      </c>
      <c r="G2942" s="45"/>
      <c r="H2942" s="48"/>
      <c r="I2942" s="49"/>
    </row>
    <row r="2943" spans="2:9" s="1" customFormat="1" x14ac:dyDescent="0.2">
      <c r="B2943" s="50" t="str">
        <f t="shared" si="60"/>
        <v>2009-070-5</v>
      </c>
      <c r="C2943" s="51">
        <v>2009</v>
      </c>
      <c r="D2943" s="51" t="s">
        <v>99</v>
      </c>
      <c r="E2943" s="51">
        <v>5</v>
      </c>
      <c r="F2943" s="52" t="s">
        <v>49</v>
      </c>
      <c r="G2943" s="51"/>
      <c r="H2943" s="53"/>
      <c r="I2943" s="54"/>
    </row>
    <row r="2944" spans="2:9" s="1" customFormat="1" x14ac:dyDescent="0.2">
      <c r="B2944" s="55" t="str">
        <f t="shared" si="60"/>
        <v>2009-071-0</v>
      </c>
      <c r="C2944" s="56">
        <v>2009</v>
      </c>
      <c r="D2944" s="56" t="s">
        <v>100</v>
      </c>
      <c r="E2944" s="56">
        <v>0</v>
      </c>
      <c r="F2944" s="57" t="s">
        <v>479</v>
      </c>
      <c r="G2944" s="56"/>
      <c r="H2944" s="58"/>
      <c r="I2944" s="59"/>
    </row>
    <row r="2945" spans="2:9" s="1" customFormat="1" x14ac:dyDescent="0.2">
      <c r="B2945" s="44" t="str">
        <f t="shared" si="60"/>
        <v>2009-071-1</v>
      </c>
      <c r="C2945" s="45">
        <v>2009</v>
      </c>
      <c r="D2945" s="45" t="s">
        <v>100</v>
      </c>
      <c r="E2945" s="45">
        <v>1</v>
      </c>
      <c r="F2945" s="47" t="s">
        <v>878</v>
      </c>
      <c r="G2945" s="45"/>
      <c r="H2945" s="48"/>
      <c r="I2945" s="49"/>
    </row>
    <row r="2946" spans="2:9" s="1" customFormat="1" ht="27" x14ac:dyDescent="0.2">
      <c r="B2946" s="44" t="str">
        <f t="shared" si="60"/>
        <v>2009-071-2</v>
      </c>
      <c r="C2946" s="45">
        <v>2009</v>
      </c>
      <c r="D2946" s="45" t="s">
        <v>100</v>
      </c>
      <c r="E2946" s="45">
        <v>2</v>
      </c>
      <c r="F2946" s="47" t="s">
        <v>1132</v>
      </c>
      <c r="G2946" s="45"/>
      <c r="H2946" s="48"/>
      <c r="I2946" s="49"/>
    </row>
    <row r="2947" spans="2:9" s="1" customFormat="1" x14ac:dyDescent="0.2">
      <c r="B2947" s="44" t="str">
        <f t="shared" si="60"/>
        <v>2009-071-3</v>
      </c>
      <c r="C2947" s="45">
        <v>2009</v>
      </c>
      <c r="D2947" s="45" t="s">
        <v>100</v>
      </c>
      <c r="E2947" s="45">
        <v>3</v>
      </c>
      <c r="F2947" s="47" t="s">
        <v>1669</v>
      </c>
      <c r="G2947" s="45"/>
      <c r="H2947" s="48"/>
      <c r="I2947" s="49"/>
    </row>
    <row r="2948" spans="2:9" s="1" customFormat="1" ht="27" x14ac:dyDescent="0.2">
      <c r="B2948" s="44" t="str">
        <f t="shared" si="60"/>
        <v>2009-071-4</v>
      </c>
      <c r="C2948" s="45">
        <v>2009</v>
      </c>
      <c r="D2948" s="45" t="s">
        <v>100</v>
      </c>
      <c r="E2948" s="45">
        <v>4</v>
      </c>
      <c r="F2948" s="47" t="s">
        <v>2065</v>
      </c>
      <c r="G2948" s="45"/>
      <c r="H2948" s="48"/>
      <c r="I2948" s="49"/>
    </row>
    <row r="2949" spans="2:9" s="1" customFormat="1" x14ac:dyDescent="0.2">
      <c r="B2949" s="50" t="str">
        <f t="shared" si="60"/>
        <v>2009-071-5</v>
      </c>
      <c r="C2949" s="51">
        <v>2009</v>
      </c>
      <c r="D2949" s="51" t="s">
        <v>100</v>
      </c>
      <c r="E2949" s="51">
        <v>5</v>
      </c>
      <c r="F2949" s="52" t="s">
        <v>2457</v>
      </c>
      <c r="G2949" s="51" t="s">
        <v>3210</v>
      </c>
      <c r="H2949" s="53"/>
      <c r="I2949" s="54"/>
    </row>
    <row r="2950" spans="2:9" s="1" customFormat="1" x14ac:dyDescent="0.2">
      <c r="B2950" s="55" t="str">
        <f t="shared" si="60"/>
        <v>2009-072-0</v>
      </c>
      <c r="C2950" s="56">
        <v>2009</v>
      </c>
      <c r="D2950" s="56" t="s">
        <v>101</v>
      </c>
      <c r="E2950" s="56">
        <v>0</v>
      </c>
      <c r="F2950" s="57" t="s">
        <v>480</v>
      </c>
      <c r="G2950" s="56"/>
      <c r="H2950" s="58"/>
      <c r="I2950" s="59"/>
    </row>
    <row r="2951" spans="2:9" s="1" customFormat="1" x14ac:dyDescent="0.2">
      <c r="B2951" s="44" t="str">
        <f t="shared" si="60"/>
        <v>2009-072-1</v>
      </c>
      <c r="C2951" s="45">
        <v>2009</v>
      </c>
      <c r="D2951" s="45" t="s">
        <v>101</v>
      </c>
      <c r="E2951" s="45">
        <v>1</v>
      </c>
      <c r="F2951" s="47" t="s">
        <v>879</v>
      </c>
      <c r="G2951" s="45"/>
      <c r="H2951" s="48"/>
      <c r="I2951" s="49"/>
    </row>
    <row r="2952" spans="2:9" s="1" customFormat="1" ht="27" x14ac:dyDescent="0.2">
      <c r="B2952" s="44" t="str">
        <f t="shared" si="60"/>
        <v>2009-072-2</v>
      </c>
      <c r="C2952" s="45">
        <v>2009</v>
      </c>
      <c r="D2952" s="45" t="s">
        <v>101</v>
      </c>
      <c r="E2952" s="45">
        <v>2</v>
      </c>
      <c r="F2952" s="47" t="s">
        <v>1275</v>
      </c>
      <c r="G2952" s="45" t="s">
        <v>3210</v>
      </c>
      <c r="H2952" s="48"/>
      <c r="I2952" s="49"/>
    </row>
    <row r="2953" spans="2:9" s="1" customFormat="1" x14ac:dyDescent="0.2">
      <c r="B2953" s="44" t="str">
        <f t="shared" si="60"/>
        <v>2009-072-3</v>
      </c>
      <c r="C2953" s="45">
        <v>2009</v>
      </c>
      <c r="D2953" s="45" t="s">
        <v>101</v>
      </c>
      <c r="E2953" s="45">
        <v>3</v>
      </c>
      <c r="F2953" s="47" t="s">
        <v>1670</v>
      </c>
      <c r="G2953" s="45"/>
      <c r="H2953" s="48"/>
      <c r="I2953" s="49"/>
    </row>
    <row r="2954" spans="2:9" s="1" customFormat="1" x14ac:dyDescent="0.2">
      <c r="B2954" s="44" t="str">
        <f t="shared" si="60"/>
        <v>2009-072-4</v>
      </c>
      <c r="C2954" s="45">
        <v>2009</v>
      </c>
      <c r="D2954" s="45" t="s">
        <v>101</v>
      </c>
      <c r="E2954" s="45">
        <v>4</v>
      </c>
      <c r="F2954" s="47" t="s">
        <v>2066</v>
      </c>
      <c r="G2954" s="45"/>
      <c r="H2954" s="48"/>
      <c r="I2954" s="49"/>
    </row>
    <row r="2955" spans="2:9" s="1" customFormat="1" x14ac:dyDescent="0.2">
      <c r="B2955" s="50" t="str">
        <f t="shared" si="60"/>
        <v>2009-072-5</v>
      </c>
      <c r="C2955" s="51">
        <v>2009</v>
      </c>
      <c r="D2955" s="51" t="s">
        <v>101</v>
      </c>
      <c r="E2955" s="51">
        <v>5</v>
      </c>
      <c r="F2955" s="52" t="s">
        <v>2458</v>
      </c>
      <c r="G2955" s="51"/>
      <c r="H2955" s="53"/>
      <c r="I2955" s="54"/>
    </row>
    <row r="2956" spans="2:9" s="1" customFormat="1" x14ac:dyDescent="0.2">
      <c r="B2956" s="55" t="str">
        <f t="shared" si="60"/>
        <v>2009-073-0</v>
      </c>
      <c r="C2956" s="56">
        <v>2009</v>
      </c>
      <c r="D2956" s="56" t="s">
        <v>102</v>
      </c>
      <c r="E2956" s="56">
        <v>0</v>
      </c>
      <c r="F2956" s="57" t="s">
        <v>481</v>
      </c>
      <c r="G2956" s="56"/>
      <c r="H2956" s="58"/>
      <c r="I2956" s="59"/>
    </row>
    <row r="2957" spans="2:9" s="1" customFormat="1" ht="27" x14ac:dyDescent="0.2">
      <c r="B2957" s="44" t="str">
        <f t="shared" si="60"/>
        <v>2009-073-1</v>
      </c>
      <c r="C2957" s="45">
        <v>2009</v>
      </c>
      <c r="D2957" s="45" t="s">
        <v>102</v>
      </c>
      <c r="E2957" s="45">
        <v>1</v>
      </c>
      <c r="F2957" s="47" t="s">
        <v>880</v>
      </c>
      <c r="G2957" s="45"/>
      <c r="H2957" s="48"/>
      <c r="I2957" s="49"/>
    </row>
    <row r="2958" spans="2:9" s="1" customFormat="1" x14ac:dyDescent="0.2">
      <c r="B2958" s="44" t="str">
        <f t="shared" si="60"/>
        <v>2009-073-2</v>
      </c>
      <c r="C2958" s="45">
        <v>2009</v>
      </c>
      <c r="D2958" s="45" t="s">
        <v>102</v>
      </c>
      <c r="E2958" s="45">
        <v>2</v>
      </c>
      <c r="F2958" s="47" t="s">
        <v>1276</v>
      </c>
      <c r="G2958" s="45"/>
      <c r="H2958" s="48"/>
      <c r="I2958" s="49"/>
    </row>
    <row r="2959" spans="2:9" s="1" customFormat="1" x14ac:dyDescent="0.2">
      <c r="B2959" s="44" t="str">
        <f t="shared" si="60"/>
        <v>2009-073-3</v>
      </c>
      <c r="C2959" s="45">
        <v>2009</v>
      </c>
      <c r="D2959" s="45" t="s">
        <v>102</v>
      </c>
      <c r="E2959" s="45">
        <v>3</v>
      </c>
      <c r="F2959" s="47" t="s">
        <v>1671</v>
      </c>
      <c r="G2959" s="45"/>
      <c r="H2959" s="48"/>
      <c r="I2959" s="49"/>
    </row>
    <row r="2960" spans="2:9" s="1" customFormat="1" x14ac:dyDescent="0.2">
      <c r="B2960" s="44" t="str">
        <f t="shared" si="60"/>
        <v>2009-073-4</v>
      </c>
      <c r="C2960" s="45">
        <v>2009</v>
      </c>
      <c r="D2960" s="45" t="s">
        <v>102</v>
      </c>
      <c r="E2960" s="45">
        <v>4</v>
      </c>
      <c r="F2960" s="47" t="s">
        <v>2067</v>
      </c>
      <c r="G2960" s="45" t="s">
        <v>3210</v>
      </c>
      <c r="H2960" s="48"/>
      <c r="I2960" s="49"/>
    </row>
    <row r="2961" spans="2:9" s="1" customFormat="1" ht="27" x14ac:dyDescent="0.2">
      <c r="B2961" s="50" t="str">
        <f t="shared" si="60"/>
        <v>2009-073-5</v>
      </c>
      <c r="C2961" s="51">
        <v>2009</v>
      </c>
      <c r="D2961" s="51" t="s">
        <v>102</v>
      </c>
      <c r="E2961" s="51">
        <v>5</v>
      </c>
      <c r="F2961" s="52" t="s">
        <v>2459</v>
      </c>
      <c r="G2961" s="51"/>
      <c r="H2961" s="53"/>
      <c r="I2961" s="54"/>
    </row>
    <row r="2962" spans="2:9" s="1" customFormat="1" ht="27" x14ac:dyDescent="0.2">
      <c r="B2962" s="55" t="str">
        <f t="shared" si="60"/>
        <v>2009-074-0</v>
      </c>
      <c r="C2962" s="56">
        <v>2009</v>
      </c>
      <c r="D2962" s="56" t="s">
        <v>103</v>
      </c>
      <c r="E2962" s="56">
        <v>0</v>
      </c>
      <c r="F2962" s="57" t="s">
        <v>482</v>
      </c>
      <c r="G2962" s="56"/>
      <c r="H2962" s="58"/>
      <c r="I2962" s="59"/>
    </row>
    <row r="2963" spans="2:9" s="1" customFormat="1" x14ac:dyDescent="0.2">
      <c r="B2963" s="44" t="str">
        <f t="shared" si="60"/>
        <v>2009-074-1</v>
      </c>
      <c r="C2963" s="45">
        <v>2009</v>
      </c>
      <c r="D2963" s="45" t="s">
        <v>103</v>
      </c>
      <c r="E2963" s="45">
        <v>1</v>
      </c>
      <c r="F2963" s="47" t="s">
        <v>881</v>
      </c>
      <c r="G2963" s="45"/>
      <c r="H2963" s="48"/>
      <c r="I2963" s="49"/>
    </row>
    <row r="2964" spans="2:9" s="1" customFormat="1" x14ac:dyDescent="0.2">
      <c r="B2964" s="44" t="str">
        <f t="shared" si="60"/>
        <v>2009-074-2</v>
      </c>
      <c r="C2964" s="45">
        <v>2009</v>
      </c>
      <c r="D2964" s="45" t="s">
        <v>103</v>
      </c>
      <c r="E2964" s="45">
        <v>2</v>
      </c>
      <c r="F2964" s="47" t="s">
        <v>1277</v>
      </c>
      <c r="G2964" s="45"/>
      <c r="H2964" s="48"/>
      <c r="I2964" s="49"/>
    </row>
    <row r="2965" spans="2:9" s="1" customFormat="1" x14ac:dyDescent="0.2">
      <c r="B2965" s="44" t="str">
        <f t="shared" si="60"/>
        <v>2009-074-3</v>
      </c>
      <c r="C2965" s="45">
        <v>2009</v>
      </c>
      <c r="D2965" s="45" t="s">
        <v>103</v>
      </c>
      <c r="E2965" s="45">
        <v>3</v>
      </c>
      <c r="F2965" s="47" t="s">
        <v>1672</v>
      </c>
      <c r="G2965" s="45"/>
      <c r="H2965" s="48"/>
      <c r="I2965" s="49"/>
    </row>
    <row r="2966" spans="2:9" s="1" customFormat="1" x14ac:dyDescent="0.2">
      <c r="B2966" s="44" t="str">
        <f t="shared" si="60"/>
        <v>2009-074-4</v>
      </c>
      <c r="C2966" s="45">
        <v>2009</v>
      </c>
      <c r="D2966" s="45" t="s">
        <v>103</v>
      </c>
      <c r="E2966" s="45">
        <v>4</v>
      </c>
      <c r="F2966" s="47" t="s">
        <v>2068</v>
      </c>
      <c r="G2966" s="45"/>
      <c r="H2966" s="48"/>
      <c r="I2966" s="49"/>
    </row>
    <row r="2967" spans="2:9" s="1" customFormat="1" x14ac:dyDescent="0.2">
      <c r="B2967" s="50" t="str">
        <f t="shared" si="60"/>
        <v>2009-074-5</v>
      </c>
      <c r="C2967" s="51">
        <v>2009</v>
      </c>
      <c r="D2967" s="51" t="s">
        <v>103</v>
      </c>
      <c r="E2967" s="51">
        <v>5</v>
      </c>
      <c r="F2967" s="52" t="s">
        <v>2460</v>
      </c>
      <c r="G2967" s="51" t="s">
        <v>3210</v>
      </c>
      <c r="H2967" s="53"/>
      <c r="I2967" s="54"/>
    </row>
    <row r="2968" spans="2:9" s="1" customFormat="1" x14ac:dyDescent="0.2">
      <c r="B2968" s="55" t="str">
        <f t="shared" si="60"/>
        <v>2009-075-0</v>
      </c>
      <c r="C2968" s="56">
        <v>2009</v>
      </c>
      <c r="D2968" s="56" t="s">
        <v>104</v>
      </c>
      <c r="E2968" s="56">
        <v>0</v>
      </c>
      <c r="F2968" s="57" t="s">
        <v>483</v>
      </c>
      <c r="G2968" s="56"/>
      <c r="H2968" s="58"/>
      <c r="I2968" s="59"/>
    </row>
    <row r="2969" spans="2:9" s="1" customFormat="1" ht="27" x14ac:dyDescent="0.2">
      <c r="B2969" s="44" t="str">
        <f t="shared" si="60"/>
        <v>2009-075-1</v>
      </c>
      <c r="C2969" s="45">
        <v>2009</v>
      </c>
      <c r="D2969" s="45" t="s">
        <v>104</v>
      </c>
      <c r="E2969" s="45">
        <v>1</v>
      </c>
      <c r="F2969" s="47" t="s">
        <v>882</v>
      </c>
      <c r="G2969" s="45"/>
      <c r="H2969" s="48"/>
      <c r="I2969" s="49"/>
    </row>
    <row r="2970" spans="2:9" s="1" customFormat="1" x14ac:dyDescent="0.2">
      <c r="B2970" s="44" t="str">
        <f t="shared" si="60"/>
        <v>2009-075-2</v>
      </c>
      <c r="C2970" s="45">
        <v>2009</v>
      </c>
      <c r="D2970" s="45" t="s">
        <v>104</v>
      </c>
      <c r="E2970" s="45">
        <v>2</v>
      </c>
      <c r="F2970" s="47" t="s">
        <v>1278</v>
      </c>
      <c r="G2970" s="45" t="s">
        <v>3210</v>
      </c>
      <c r="H2970" s="48"/>
      <c r="I2970" s="49"/>
    </row>
    <row r="2971" spans="2:9" s="1" customFormat="1" x14ac:dyDescent="0.2">
      <c r="B2971" s="44" t="str">
        <f t="shared" si="60"/>
        <v>2009-075-3</v>
      </c>
      <c r="C2971" s="45">
        <v>2009</v>
      </c>
      <c r="D2971" s="45" t="s">
        <v>104</v>
      </c>
      <c r="E2971" s="45">
        <v>3</v>
      </c>
      <c r="F2971" s="47" t="s">
        <v>1673</v>
      </c>
      <c r="G2971" s="45"/>
      <c r="H2971" s="48"/>
      <c r="I2971" s="49"/>
    </row>
    <row r="2972" spans="2:9" s="1" customFormat="1" x14ac:dyDescent="0.2">
      <c r="B2972" s="44" t="str">
        <f t="shared" si="60"/>
        <v>2009-075-4</v>
      </c>
      <c r="C2972" s="45">
        <v>2009</v>
      </c>
      <c r="D2972" s="45" t="s">
        <v>104</v>
      </c>
      <c r="E2972" s="45">
        <v>4</v>
      </c>
      <c r="F2972" s="47" t="s">
        <v>2069</v>
      </c>
      <c r="G2972" s="45"/>
      <c r="H2972" s="48"/>
      <c r="I2972" s="49"/>
    </row>
    <row r="2973" spans="2:9" s="1" customFormat="1" ht="14.25" thickBot="1" x14ac:dyDescent="0.25">
      <c r="B2973" s="60" t="str">
        <f t="shared" si="60"/>
        <v>2009-075-5</v>
      </c>
      <c r="C2973" s="61">
        <v>2009</v>
      </c>
      <c r="D2973" s="61" t="s">
        <v>104</v>
      </c>
      <c r="E2973" s="61">
        <v>5</v>
      </c>
      <c r="F2973" s="62" t="s">
        <v>2461</v>
      </c>
      <c r="G2973" s="61"/>
      <c r="H2973" s="63"/>
      <c r="I2973" s="64"/>
    </row>
    <row r="2974" spans="2:9" s="1" customFormat="1" x14ac:dyDescent="0.2">
      <c r="B2974" s="38" t="str">
        <f t="shared" ref="B2974" si="61">C2974&amp;"-"&amp;D2974&amp;"-"&amp;E2974</f>
        <v>2008-051-0</v>
      </c>
      <c r="C2974" s="39">
        <v>2008</v>
      </c>
      <c r="D2974" s="39" t="s">
        <v>80</v>
      </c>
      <c r="E2974" s="39">
        <v>0</v>
      </c>
      <c r="F2974" s="41" t="s">
        <v>484</v>
      </c>
      <c r="G2974" s="39"/>
      <c r="H2974" s="42"/>
      <c r="I2974" s="43"/>
    </row>
    <row r="2975" spans="2:9" s="1" customFormat="1" x14ac:dyDescent="0.2">
      <c r="B2975" s="44" t="str">
        <f t="shared" ref="B2975:B3038" si="62">C2975&amp;"-"&amp;D2975&amp;"-"&amp;E2975</f>
        <v>2008-051-1</v>
      </c>
      <c r="C2975" s="45">
        <v>2008</v>
      </c>
      <c r="D2975" s="45" t="s">
        <v>80</v>
      </c>
      <c r="E2975" s="45">
        <v>1</v>
      </c>
      <c r="F2975" s="47" t="s">
        <v>883</v>
      </c>
      <c r="G2975" s="45"/>
      <c r="H2975" s="48"/>
      <c r="I2975" s="49"/>
    </row>
    <row r="2976" spans="2:9" s="1" customFormat="1" x14ac:dyDescent="0.2">
      <c r="B2976" s="44" t="str">
        <f t="shared" si="62"/>
        <v>2008-051-2</v>
      </c>
      <c r="C2976" s="45">
        <v>2008</v>
      </c>
      <c r="D2976" s="45" t="s">
        <v>80</v>
      </c>
      <c r="E2976" s="45">
        <v>2</v>
      </c>
      <c r="F2976" s="47" t="s">
        <v>1279</v>
      </c>
      <c r="G2976" s="45"/>
      <c r="H2976" s="48"/>
      <c r="I2976" s="49"/>
    </row>
    <row r="2977" spans="2:9" s="1" customFormat="1" x14ac:dyDescent="0.2">
      <c r="B2977" s="44" t="str">
        <f t="shared" si="62"/>
        <v>2008-051-3</v>
      </c>
      <c r="C2977" s="45">
        <v>2008</v>
      </c>
      <c r="D2977" s="45" t="s">
        <v>80</v>
      </c>
      <c r="E2977" s="45">
        <v>3</v>
      </c>
      <c r="F2977" s="47" t="s">
        <v>1674</v>
      </c>
      <c r="G2977" s="45" t="s">
        <v>3210</v>
      </c>
      <c r="H2977" s="48"/>
      <c r="I2977" s="49"/>
    </row>
    <row r="2978" spans="2:9" s="1" customFormat="1" ht="27" x14ac:dyDescent="0.2">
      <c r="B2978" s="44" t="str">
        <f t="shared" si="62"/>
        <v>2008-051-4</v>
      </c>
      <c r="C2978" s="45">
        <v>2008</v>
      </c>
      <c r="D2978" s="45" t="s">
        <v>80</v>
      </c>
      <c r="E2978" s="45">
        <v>4</v>
      </c>
      <c r="F2978" s="47" t="s">
        <v>2070</v>
      </c>
      <c r="G2978" s="45"/>
      <c r="H2978" s="48"/>
      <c r="I2978" s="49"/>
    </row>
    <row r="2979" spans="2:9" s="1" customFormat="1" x14ac:dyDescent="0.2">
      <c r="B2979" s="50" t="str">
        <f t="shared" si="62"/>
        <v>2008-051-5</v>
      </c>
      <c r="C2979" s="51">
        <v>2008</v>
      </c>
      <c r="D2979" s="51" t="s">
        <v>80</v>
      </c>
      <c r="E2979" s="51">
        <v>5</v>
      </c>
      <c r="F2979" s="52" t="s">
        <v>2462</v>
      </c>
      <c r="G2979" s="51"/>
      <c r="H2979" s="53"/>
      <c r="I2979" s="54"/>
    </row>
    <row r="2980" spans="2:9" s="1" customFormat="1" x14ac:dyDescent="0.2">
      <c r="B2980" s="55" t="str">
        <f t="shared" si="62"/>
        <v>2008-052-0</v>
      </c>
      <c r="C2980" s="56">
        <v>2008</v>
      </c>
      <c r="D2980" s="56" t="s">
        <v>81</v>
      </c>
      <c r="E2980" s="56">
        <v>0</v>
      </c>
      <c r="F2980" s="57" t="s">
        <v>485</v>
      </c>
      <c r="G2980" s="56"/>
      <c r="H2980" s="58"/>
      <c r="I2980" s="59"/>
    </row>
    <row r="2981" spans="2:9" s="1" customFormat="1" x14ac:dyDescent="0.2">
      <c r="B2981" s="44" t="str">
        <f t="shared" si="62"/>
        <v>2008-052-1</v>
      </c>
      <c r="C2981" s="45">
        <v>2008</v>
      </c>
      <c r="D2981" s="45" t="s">
        <v>81</v>
      </c>
      <c r="E2981" s="45">
        <v>1</v>
      </c>
      <c r="F2981" s="47" t="s">
        <v>884</v>
      </c>
      <c r="G2981" s="45"/>
      <c r="H2981" s="48"/>
      <c r="I2981" s="49"/>
    </row>
    <row r="2982" spans="2:9" s="1" customFormat="1" x14ac:dyDescent="0.2">
      <c r="B2982" s="44" t="str">
        <f t="shared" si="62"/>
        <v>2008-052-2</v>
      </c>
      <c r="C2982" s="45">
        <v>2008</v>
      </c>
      <c r="D2982" s="45" t="s">
        <v>81</v>
      </c>
      <c r="E2982" s="45">
        <v>2</v>
      </c>
      <c r="F2982" s="47" t="s">
        <v>1280</v>
      </c>
      <c r="G2982" s="45"/>
      <c r="H2982" s="48"/>
      <c r="I2982" s="49"/>
    </row>
    <row r="2983" spans="2:9" s="1" customFormat="1" x14ac:dyDescent="0.2">
      <c r="B2983" s="44" t="str">
        <f t="shared" si="62"/>
        <v>2008-052-3</v>
      </c>
      <c r="C2983" s="45">
        <v>2008</v>
      </c>
      <c r="D2983" s="45" t="s">
        <v>81</v>
      </c>
      <c r="E2983" s="45">
        <v>3</v>
      </c>
      <c r="F2983" s="47" t="s">
        <v>1675</v>
      </c>
      <c r="G2983" s="45" t="s">
        <v>3210</v>
      </c>
      <c r="H2983" s="48"/>
      <c r="I2983" s="49"/>
    </row>
    <row r="2984" spans="2:9" s="1" customFormat="1" x14ac:dyDescent="0.2">
      <c r="B2984" s="44" t="str">
        <f t="shared" si="62"/>
        <v>2008-052-4</v>
      </c>
      <c r="C2984" s="45">
        <v>2008</v>
      </c>
      <c r="D2984" s="45" t="s">
        <v>81</v>
      </c>
      <c r="E2984" s="45">
        <v>4</v>
      </c>
      <c r="F2984" s="47" t="s">
        <v>2071</v>
      </c>
      <c r="G2984" s="45"/>
      <c r="H2984" s="48"/>
      <c r="I2984" s="49"/>
    </row>
    <row r="2985" spans="2:9" s="1" customFormat="1" x14ac:dyDescent="0.2">
      <c r="B2985" s="50" t="str">
        <f t="shared" si="62"/>
        <v>2008-052-5</v>
      </c>
      <c r="C2985" s="51">
        <v>2008</v>
      </c>
      <c r="D2985" s="51" t="s">
        <v>81</v>
      </c>
      <c r="E2985" s="51">
        <v>5</v>
      </c>
      <c r="F2985" s="52" t="s">
        <v>2463</v>
      </c>
      <c r="G2985" s="51"/>
      <c r="H2985" s="53"/>
      <c r="I2985" s="54"/>
    </row>
    <row r="2986" spans="2:9" s="1" customFormat="1" x14ac:dyDescent="0.2">
      <c r="B2986" s="55" t="str">
        <f t="shared" si="62"/>
        <v>2008-053-0</v>
      </c>
      <c r="C2986" s="56">
        <v>2008</v>
      </c>
      <c r="D2986" s="56" t="s">
        <v>82</v>
      </c>
      <c r="E2986" s="56">
        <v>0</v>
      </c>
      <c r="F2986" s="57" t="s">
        <v>486</v>
      </c>
      <c r="G2986" s="56"/>
      <c r="H2986" s="58"/>
      <c r="I2986" s="59"/>
    </row>
    <row r="2987" spans="2:9" s="1" customFormat="1" x14ac:dyDescent="0.2">
      <c r="B2987" s="44" t="str">
        <f t="shared" si="62"/>
        <v>2008-053-1</v>
      </c>
      <c r="C2987" s="45">
        <v>2008</v>
      </c>
      <c r="D2987" s="45" t="s">
        <v>82</v>
      </c>
      <c r="E2987" s="45">
        <v>1</v>
      </c>
      <c r="F2987" s="47" t="s">
        <v>885</v>
      </c>
      <c r="G2987" s="45"/>
      <c r="H2987" s="48"/>
      <c r="I2987" s="49"/>
    </row>
    <row r="2988" spans="2:9" s="1" customFormat="1" ht="27" x14ac:dyDescent="0.2">
      <c r="B2988" s="44" t="str">
        <f t="shared" si="62"/>
        <v>2008-053-2</v>
      </c>
      <c r="C2988" s="45">
        <v>2008</v>
      </c>
      <c r="D2988" s="45" t="s">
        <v>82</v>
      </c>
      <c r="E2988" s="45">
        <v>2</v>
      </c>
      <c r="F2988" s="47" t="s">
        <v>1281</v>
      </c>
      <c r="G2988" s="45"/>
      <c r="H2988" s="48"/>
      <c r="I2988" s="49"/>
    </row>
    <row r="2989" spans="2:9" s="1" customFormat="1" x14ac:dyDescent="0.2">
      <c r="B2989" s="44" t="str">
        <f t="shared" si="62"/>
        <v>2008-053-3</v>
      </c>
      <c r="C2989" s="45">
        <v>2008</v>
      </c>
      <c r="D2989" s="45" t="s">
        <v>82</v>
      </c>
      <c r="E2989" s="45">
        <v>3</v>
      </c>
      <c r="F2989" s="47" t="s">
        <v>1676</v>
      </c>
      <c r="G2989" s="45"/>
      <c r="H2989" s="48"/>
      <c r="I2989" s="49"/>
    </row>
    <row r="2990" spans="2:9" s="1" customFormat="1" x14ac:dyDescent="0.2">
      <c r="B2990" s="44" t="str">
        <f t="shared" si="62"/>
        <v>2008-053-4</v>
      </c>
      <c r="C2990" s="45">
        <v>2008</v>
      </c>
      <c r="D2990" s="45" t="s">
        <v>82</v>
      </c>
      <c r="E2990" s="45">
        <v>4</v>
      </c>
      <c r="F2990" s="47" t="s">
        <v>845</v>
      </c>
      <c r="G2990" s="45"/>
      <c r="H2990" s="48"/>
      <c r="I2990" s="49"/>
    </row>
    <row r="2991" spans="2:9" s="1" customFormat="1" x14ac:dyDescent="0.2">
      <c r="B2991" s="50" t="str">
        <f t="shared" si="62"/>
        <v>2008-053-5</v>
      </c>
      <c r="C2991" s="51">
        <v>2008</v>
      </c>
      <c r="D2991" s="51" t="s">
        <v>82</v>
      </c>
      <c r="E2991" s="51">
        <v>5</v>
      </c>
      <c r="F2991" s="52" t="s">
        <v>2464</v>
      </c>
      <c r="G2991" s="51" t="s">
        <v>3210</v>
      </c>
      <c r="H2991" s="53"/>
      <c r="I2991" s="54"/>
    </row>
    <row r="2992" spans="2:9" s="1" customFormat="1" x14ac:dyDescent="0.2">
      <c r="B2992" s="55" t="str">
        <f t="shared" si="62"/>
        <v>2008-054-0</v>
      </c>
      <c r="C2992" s="56">
        <v>2008</v>
      </c>
      <c r="D2992" s="56" t="s">
        <v>83</v>
      </c>
      <c r="E2992" s="56">
        <v>0</v>
      </c>
      <c r="F2992" s="57" t="s">
        <v>487</v>
      </c>
      <c r="G2992" s="56"/>
      <c r="H2992" s="58"/>
      <c r="I2992" s="59"/>
    </row>
    <row r="2993" spans="2:9" s="1" customFormat="1" x14ac:dyDescent="0.2">
      <c r="B2993" s="44" t="str">
        <f t="shared" si="62"/>
        <v>2008-054-1</v>
      </c>
      <c r="C2993" s="45">
        <v>2008</v>
      </c>
      <c r="D2993" s="45" t="s">
        <v>83</v>
      </c>
      <c r="E2993" s="45">
        <v>1</v>
      </c>
      <c r="F2993" s="47" t="s">
        <v>886</v>
      </c>
      <c r="G2993" s="45"/>
      <c r="H2993" s="48"/>
      <c r="I2993" s="49"/>
    </row>
    <row r="2994" spans="2:9" s="1" customFormat="1" ht="27" x14ac:dyDescent="0.2">
      <c r="B2994" s="44" t="str">
        <f t="shared" si="62"/>
        <v>2008-054-2</v>
      </c>
      <c r="C2994" s="45">
        <v>2008</v>
      </c>
      <c r="D2994" s="45" t="s">
        <v>83</v>
      </c>
      <c r="E2994" s="45">
        <v>2</v>
      </c>
      <c r="F2994" s="47" t="s">
        <v>1282</v>
      </c>
      <c r="G2994" s="45"/>
      <c r="H2994" s="48"/>
      <c r="I2994" s="49"/>
    </row>
    <row r="2995" spans="2:9" s="1" customFormat="1" x14ac:dyDescent="0.2">
      <c r="B2995" s="44" t="str">
        <f t="shared" si="62"/>
        <v>2008-054-3</v>
      </c>
      <c r="C2995" s="45">
        <v>2008</v>
      </c>
      <c r="D2995" s="45" t="s">
        <v>83</v>
      </c>
      <c r="E2995" s="45">
        <v>3</v>
      </c>
      <c r="F2995" s="47" t="s">
        <v>1677</v>
      </c>
      <c r="G2995" s="45"/>
      <c r="H2995" s="48"/>
      <c r="I2995" s="49"/>
    </row>
    <row r="2996" spans="2:9" s="1" customFormat="1" ht="27" x14ac:dyDescent="0.2">
      <c r="B2996" s="44" t="str">
        <f t="shared" si="62"/>
        <v>2008-054-4</v>
      </c>
      <c r="C2996" s="45">
        <v>2008</v>
      </c>
      <c r="D2996" s="45" t="s">
        <v>83</v>
      </c>
      <c r="E2996" s="45">
        <v>4</v>
      </c>
      <c r="F2996" s="47" t="s">
        <v>2072</v>
      </c>
      <c r="G2996" s="45" t="s">
        <v>3210</v>
      </c>
      <c r="H2996" s="48"/>
      <c r="I2996" s="49"/>
    </row>
    <row r="2997" spans="2:9" s="1" customFormat="1" x14ac:dyDescent="0.2">
      <c r="B2997" s="50" t="str">
        <f t="shared" si="62"/>
        <v>2008-054-5</v>
      </c>
      <c r="C2997" s="51">
        <v>2008</v>
      </c>
      <c r="D2997" s="51" t="s">
        <v>83</v>
      </c>
      <c r="E2997" s="51">
        <v>5</v>
      </c>
      <c r="F2997" s="52" t="s">
        <v>2465</v>
      </c>
      <c r="G2997" s="51"/>
      <c r="H2997" s="53"/>
      <c r="I2997" s="54"/>
    </row>
    <row r="2998" spans="2:9" s="1" customFormat="1" x14ac:dyDescent="0.2">
      <c r="B2998" s="55" t="str">
        <f t="shared" si="62"/>
        <v>2008-055-0</v>
      </c>
      <c r="C2998" s="56">
        <v>2008</v>
      </c>
      <c r="D2998" s="56" t="s">
        <v>84</v>
      </c>
      <c r="E2998" s="56">
        <v>0</v>
      </c>
      <c r="F2998" s="57" t="s">
        <v>488</v>
      </c>
      <c r="G2998" s="56"/>
      <c r="H2998" s="58"/>
      <c r="I2998" s="59"/>
    </row>
    <row r="2999" spans="2:9" s="1" customFormat="1" x14ac:dyDescent="0.2">
      <c r="B2999" s="44" t="str">
        <f t="shared" si="62"/>
        <v>2008-055-1</v>
      </c>
      <c r="C2999" s="45">
        <v>2008</v>
      </c>
      <c r="D2999" s="45" t="s">
        <v>84</v>
      </c>
      <c r="E2999" s="45">
        <v>1</v>
      </c>
      <c r="F2999" s="47" t="s">
        <v>887</v>
      </c>
      <c r="G2999" s="45"/>
      <c r="H2999" s="48"/>
      <c r="I2999" s="49"/>
    </row>
    <row r="3000" spans="2:9" s="1" customFormat="1" ht="27" x14ac:dyDescent="0.2">
      <c r="B3000" s="44" t="str">
        <f t="shared" si="62"/>
        <v>2008-055-2</v>
      </c>
      <c r="C3000" s="45">
        <v>2008</v>
      </c>
      <c r="D3000" s="45" t="s">
        <v>84</v>
      </c>
      <c r="E3000" s="45">
        <v>2</v>
      </c>
      <c r="F3000" s="47" t="s">
        <v>1283</v>
      </c>
      <c r="G3000" s="45"/>
      <c r="H3000" s="48"/>
      <c r="I3000" s="49"/>
    </row>
    <row r="3001" spans="2:9" s="1" customFormat="1" ht="27" x14ac:dyDescent="0.2">
      <c r="B3001" s="44" t="str">
        <f t="shared" si="62"/>
        <v>2008-055-3</v>
      </c>
      <c r="C3001" s="45">
        <v>2008</v>
      </c>
      <c r="D3001" s="45" t="s">
        <v>84</v>
      </c>
      <c r="E3001" s="45">
        <v>3</v>
      </c>
      <c r="F3001" s="47" t="s">
        <v>1678</v>
      </c>
      <c r="G3001" s="45"/>
      <c r="H3001" s="48"/>
      <c r="I3001" s="49"/>
    </row>
    <row r="3002" spans="2:9" s="1" customFormat="1" ht="27" x14ac:dyDescent="0.2">
      <c r="B3002" s="44" t="str">
        <f t="shared" si="62"/>
        <v>2008-055-4</v>
      </c>
      <c r="C3002" s="45">
        <v>2008</v>
      </c>
      <c r="D3002" s="45" t="s">
        <v>84</v>
      </c>
      <c r="E3002" s="45">
        <v>4</v>
      </c>
      <c r="F3002" s="47" t="s">
        <v>2073</v>
      </c>
      <c r="G3002" s="45" t="s">
        <v>3210</v>
      </c>
      <c r="H3002" s="48"/>
      <c r="I3002" s="49"/>
    </row>
    <row r="3003" spans="2:9" s="1" customFormat="1" ht="40.5" x14ac:dyDescent="0.2">
      <c r="B3003" s="50" t="str">
        <f t="shared" si="62"/>
        <v>2008-055-5</v>
      </c>
      <c r="C3003" s="51">
        <v>2008</v>
      </c>
      <c r="D3003" s="51" t="s">
        <v>84</v>
      </c>
      <c r="E3003" s="51">
        <v>5</v>
      </c>
      <c r="F3003" s="52" t="s">
        <v>2466</v>
      </c>
      <c r="G3003" s="51"/>
      <c r="H3003" s="53"/>
      <c r="I3003" s="54"/>
    </row>
    <row r="3004" spans="2:9" s="1" customFormat="1" x14ac:dyDescent="0.2">
      <c r="B3004" s="55" t="str">
        <f t="shared" si="62"/>
        <v>2008-056-0</v>
      </c>
      <c r="C3004" s="56">
        <v>2008</v>
      </c>
      <c r="D3004" s="56" t="s">
        <v>85</v>
      </c>
      <c r="E3004" s="56">
        <v>0</v>
      </c>
      <c r="F3004" s="57" t="s">
        <v>434</v>
      </c>
      <c r="G3004" s="56"/>
      <c r="H3004" s="58"/>
      <c r="I3004" s="59"/>
    </row>
    <row r="3005" spans="2:9" s="1" customFormat="1" x14ac:dyDescent="0.2">
      <c r="B3005" s="44" t="str">
        <f t="shared" si="62"/>
        <v>2008-056-1</v>
      </c>
      <c r="C3005" s="45">
        <v>2008</v>
      </c>
      <c r="D3005" s="45" t="s">
        <v>85</v>
      </c>
      <c r="E3005" s="45">
        <v>1</v>
      </c>
      <c r="F3005" s="47" t="s">
        <v>888</v>
      </c>
      <c r="G3005" s="45"/>
      <c r="H3005" s="48"/>
      <c r="I3005" s="49"/>
    </row>
    <row r="3006" spans="2:9" s="1" customFormat="1" x14ac:dyDescent="0.2">
      <c r="B3006" s="44" t="str">
        <f t="shared" si="62"/>
        <v>2008-056-2</v>
      </c>
      <c r="C3006" s="45">
        <v>2008</v>
      </c>
      <c r="D3006" s="45" t="s">
        <v>85</v>
      </c>
      <c r="E3006" s="45">
        <v>2</v>
      </c>
      <c r="F3006" s="47" t="s">
        <v>1284</v>
      </c>
      <c r="G3006" s="45"/>
      <c r="H3006" s="48"/>
      <c r="I3006" s="49"/>
    </row>
    <row r="3007" spans="2:9" s="1" customFormat="1" ht="27" x14ac:dyDescent="0.2">
      <c r="B3007" s="44" t="str">
        <f t="shared" si="62"/>
        <v>2008-056-3</v>
      </c>
      <c r="C3007" s="45">
        <v>2008</v>
      </c>
      <c r="D3007" s="45" t="s">
        <v>85</v>
      </c>
      <c r="E3007" s="45">
        <v>3</v>
      </c>
      <c r="F3007" s="47" t="s">
        <v>1679</v>
      </c>
      <c r="G3007" s="45" t="s">
        <v>3210</v>
      </c>
      <c r="H3007" s="48"/>
      <c r="I3007" s="49"/>
    </row>
    <row r="3008" spans="2:9" s="1" customFormat="1" x14ac:dyDescent="0.2">
      <c r="B3008" s="44" t="str">
        <f t="shared" si="62"/>
        <v>2008-056-4</v>
      </c>
      <c r="C3008" s="45">
        <v>2008</v>
      </c>
      <c r="D3008" s="45" t="s">
        <v>85</v>
      </c>
      <c r="E3008" s="45">
        <v>4</v>
      </c>
      <c r="F3008" s="47" t="s">
        <v>2074</v>
      </c>
      <c r="G3008" s="45"/>
      <c r="H3008" s="48"/>
      <c r="I3008" s="49"/>
    </row>
    <row r="3009" spans="2:9" s="1" customFormat="1" x14ac:dyDescent="0.2">
      <c r="B3009" s="50" t="str">
        <f t="shared" si="62"/>
        <v>2008-056-5</v>
      </c>
      <c r="C3009" s="51">
        <v>2008</v>
      </c>
      <c r="D3009" s="51" t="s">
        <v>85</v>
      </c>
      <c r="E3009" s="51">
        <v>5</v>
      </c>
      <c r="F3009" s="52" t="s">
        <v>2467</v>
      </c>
      <c r="G3009" s="51"/>
      <c r="H3009" s="53"/>
      <c r="I3009" s="54"/>
    </row>
    <row r="3010" spans="2:9" s="1" customFormat="1" x14ac:dyDescent="0.2">
      <c r="B3010" s="55" t="str">
        <f t="shared" si="62"/>
        <v>2008-057-0</v>
      </c>
      <c r="C3010" s="56">
        <v>2008</v>
      </c>
      <c r="D3010" s="56" t="s">
        <v>86</v>
      </c>
      <c r="E3010" s="56">
        <v>0</v>
      </c>
      <c r="F3010" s="57" t="s">
        <v>489</v>
      </c>
      <c r="G3010" s="56"/>
      <c r="H3010" s="58"/>
      <c r="I3010" s="59"/>
    </row>
    <row r="3011" spans="2:9" s="1" customFormat="1" ht="27" x14ac:dyDescent="0.2">
      <c r="B3011" s="44" t="str">
        <f t="shared" si="62"/>
        <v>2008-057-1</v>
      </c>
      <c r="C3011" s="45">
        <v>2008</v>
      </c>
      <c r="D3011" s="45" t="s">
        <v>86</v>
      </c>
      <c r="E3011" s="45">
        <v>1</v>
      </c>
      <c r="F3011" s="47" t="s">
        <v>889</v>
      </c>
      <c r="G3011" s="45"/>
      <c r="H3011" s="48"/>
      <c r="I3011" s="49"/>
    </row>
    <row r="3012" spans="2:9" s="1" customFormat="1" ht="27" x14ac:dyDescent="0.2">
      <c r="B3012" s="44" t="str">
        <f t="shared" si="62"/>
        <v>2008-057-2</v>
      </c>
      <c r="C3012" s="45">
        <v>2008</v>
      </c>
      <c r="D3012" s="45" t="s">
        <v>86</v>
      </c>
      <c r="E3012" s="45">
        <v>2</v>
      </c>
      <c r="F3012" s="47" t="s">
        <v>1285</v>
      </c>
      <c r="G3012" s="45"/>
      <c r="H3012" s="48"/>
      <c r="I3012" s="49"/>
    </row>
    <row r="3013" spans="2:9" s="1" customFormat="1" x14ac:dyDescent="0.2">
      <c r="B3013" s="44" t="str">
        <f t="shared" si="62"/>
        <v>2008-057-3</v>
      </c>
      <c r="C3013" s="45">
        <v>2008</v>
      </c>
      <c r="D3013" s="45" t="s">
        <v>86</v>
      </c>
      <c r="E3013" s="45">
        <v>3</v>
      </c>
      <c r="F3013" s="47" t="s">
        <v>1680</v>
      </c>
      <c r="G3013" s="45"/>
      <c r="H3013" s="48"/>
      <c r="I3013" s="49"/>
    </row>
    <row r="3014" spans="2:9" s="1" customFormat="1" x14ac:dyDescent="0.2">
      <c r="B3014" s="44" t="str">
        <f t="shared" si="62"/>
        <v>2008-057-4</v>
      </c>
      <c r="C3014" s="45">
        <v>2008</v>
      </c>
      <c r="D3014" s="45" t="s">
        <v>86</v>
      </c>
      <c r="E3014" s="45">
        <v>4</v>
      </c>
      <c r="F3014" s="47" t="s">
        <v>2075</v>
      </c>
      <c r="G3014" s="45"/>
      <c r="H3014" s="48"/>
      <c r="I3014" s="49"/>
    </row>
    <row r="3015" spans="2:9" s="1" customFormat="1" x14ac:dyDescent="0.2">
      <c r="B3015" s="50" t="str">
        <f t="shared" si="62"/>
        <v>2008-057-5</v>
      </c>
      <c r="C3015" s="51">
        <v>2008</v>
      </c>
      <c r="D3015" s="51" t="s">
        <v>86</v>
      </c>
      <c r="E3015" s="51">
        <v>5</v>
      </c>
      <c r="F3015" s="52" t="s">
        <v>2468</v>
      </c>
      <c r="G3015" s="51" t="s">
        <v>3210</v>
      </c>
      <c r="H3015" s="53"/>
      <c r="I3015" s="54"/>
    </row>
    <row r="3016" spans="2:9" s="1" customFormat="1" x14ac:dyDescent="0.2">
      <c r="B3016" s="55" t="str">
        <f t="shared" si="62"/>
        <v>2008-058-0</v>
      </c>
      <c r="C3016" s="56">
        <v>2008</v>
      </c>
      <c r="D3016" s="56" t="s">
        <v>87</v>
      </c>
      <c r="E3016" s="56">
        <v>0</v>
      </c>
      <c r="F3016" s="57" t="s">
        <v>490</v>
      </c>
      <c r="G3016" s="56"/>
      <c r="H3016" s="58"/>
      <c r="I3016" s="59"/>
    </row>
    <row r="3017" spans="2:9" s="1" customFormat="1" ht="27" x14ac:dyDescent="0.2">
      <c r="B3017" s="44" t="str">
        <f t="shared" si="62"/>
        <v>2008-058-1</v>
      </c>
      <c r="C3017" s="45">
        <v>2008</v>
      </c>
      <c r="D3017" s="45" t="s">
        <v>87</v>
      </c>
      <c r="E3017" s="45">
        <v>1</v>
      </c>
      <c r="F3017" s="47" t="s">
        <v>890</v>
      </c>
      <c r="G3017" s="45"/>
      <c r="H3017" s="48"/>
      <c r="I3017" s="49"/>
    </row>
    <row r="3018" spans="2:9" s="1" customFormat="1" x14ac:dyDescent="0.2">
      <c r="B3018" s="44" t="str">
        <f t="shared" si="62"/>
        <v>2008-058-2</v>
      </c>
      <c r="C3018" s="45">
        <v>2008</v>
      </c>
      <c r="D3018" s="45" t="s">
        <v>87</v>
      </c>
      <c r="E3018" s="45">
        <v>2</v>
      </c>
      <c r="F3018" s="47" t="s">
        <v>1286</v>
      </c>
      <c r="G3018" s="45"/>
      <c r="H3018" s="48"/>
      <c r="I3018" s="49"/>
    </row>
    <row r="3019" spans="2:9" s="1" customFormat="1" ht="27" x14ac:dyDescent="0.2">
      <c r="B3019" s="44" t="str">
        <f t="shared" si="62"/>
        <v>2008-058-3</v>
      </c>
      <c r="C3019" s="45">
        <v>2008</v>
      </c>
      <c r="D3019" s="45" t="s">
        <v>87</v>
      </c>
      <c r="E3019" s="45">
        <v>3</v>
      </c>
      <c r="F3019" s="47" t="s">
        <v>1681</v>
      </c>
      <c r="G3019" s="45"/>
      <c r="H3019" s="48"/>
      <c r="I3019" s="49"/>
    </row>
    <row r="3020" spans="2:9" s="1" customFormat="1" ht="27" x14ac:dyDescent="0.2">
      <c r="B3020" s="44" t="str">
        <f t="shared" si="62"/>
        <v>2008-058-4</v>
      </c>
      <c r="C3020" s="45">
        <v>2008</v>
      </c>
      <c r="D3020" s="45" t="s">
        <v>87</v>
      </c>
      <c r="E3020" s="45">
        <v>4</v>
      </c>
      <c r="F3020" s="47" t="s">
        <v>2076</v>
      </c>
      <c r="G3020" s="45" t="s">
        <v>3210</v>
      </c>
      <c r="H3020" s="48"/>
      <c r="I3020" s="49"/>
    </row>
    <row r="3021" spans="2:9" s="1" customFormat="1" x14ac:dyDescent="0.2">
      <c r="B3021" s="50" t="str">
        <f t="shared" si="62"/>
        <v>2008-058-5</v>
      </c>
      <c r="C3021" s="51">
        <v>2008</v>
      </c>
      <c r="D3021" s="51" t="s">
        <v>87</v>
      </c>
      <c r="E3021" s="51">
        <v>5</v>
      </c>
      <c r="F3021" s="52" t="s">
        <v>2469</v>
      </c>
      <c r="G3021" s="51"/>
      <c r="H3021" s="53"/>
      <c r="I3021" s="54"/>
    </row>
    <row r="3022" spans="2:9" s="1" customFormat="1" x14ac:dyDescent="0.2">
      <c r="B3022" s="55" t="str">
        <f t="shared" si="62"/>
        <v>2008-059-0</v>
      </c>
      <c r="C3022" s="56">
        <v>2008</v>
      </c>
      <c r="D3022" s="56" t="s">
        <v>88</v>
      </c>
      <c r="E3022" s="56">
        <v>0</v>
      </c>
      <c r="F3022" s="57" t="s">
        <v>491</v>
      </c>
      <c r="G3022" s="56"/>
      <c r="H3022" s="58"/>
      <c r="I3022" s="59"/>
    </row>
    <row r="3023" spans="2:9" s="1" customFormat="1" ht="27" x14ac:dyDescent="0.2">
      <c r="B3023" s="44" t="str">
        <f t="shared" si="62"/>
        <v>2008-059-1</v>
      </c>
      <c r="C3023" s="45">
        <v>2008</v>
      </c>
      <c r="D3023" s="45" t="s">
        <v>88</v>
      </c>
      <c r="E3023" s="45">
        <v>1</v>
      </c>
      <c r="F3023" s="47" t="s">
        <v>891</v>
      </c>
      <c r="G3023" s="45"/>
      <c r="H3023" s="48"/>
      <c r="I3023" s="49"/>
    </row>
    <row r="3024" spans="2:9" s="1" customFormat="1" x14ac:dyDescent="0.2">
      <c r="B3024" s="44" t="str">
        <f t="shared" si="62"/>
        <v>2008-059-2</v>
      </c>
      <c r="C3024" s="45">
        <v>2008</v>
      </c>
      <c r="D3024" s="45" t="s">
        <v>88</v>
      </c>
      <c r="E3024" s="45">
        <v>2</v>
      </c>
      <c r="F3024" s="47" t="s">
        <v>1287</v>
      </c>
      <c r="G3024" s="45"/>
      <c r="H3024" s="48"/>
      <c r="I3024" s="49"/>
    </row>
    <row r="3025" spans="2:9" s="1" customFormat="1" x14ac:dyDescent="0.2">
      <c r="B3025" s="44" t="str">
        <f t="shared" si="62"/>
        <v>2008-059-3</v>
      </c>
      <c r="C3025" s="45">
        <v>2008</v>
      </c>
      <c r="D3025" s="45" t="s">
        <v>88</v>
      </c>
      <c r="E3025" s="45">
        <v>3</v>
      </c>
      <c r="F3025" s="47" t="s">
        <v>1682</v>
      </c>
      <c r="G3025" s="45" t="s">
        <v>3210</v>
      </c>
      <c r="H3025" s="48"/>
      <c r="I3025" s="49"/>
    </row>
    <row r="3026" spans="2:9" s="1" customFormat="1" ht="27" x14ac:dyDescent="0.2">
      <c r="B3026" s="44" t="str">
        <f t="shared" si="62"/>
        <v>2008-059-4</v>
      </c>
      <c r="C3026" s="45">
        <v>2008</v>
      </c>
      <c r="D3026" s="45" t="s">
        <v>88</v>
      </c>
      <c r="E3026" s="45">
        <v>4</v>
      </c>
      <c r="F3026" s="47" t="s">
        <v>2077</v>
      </c>
      <c r="G3026" s="45"/>
      <c r="H3026" s="48"/>
      <c r="I3026" s="49"/>
    </row>
    <row r="3027" spans="2:9" s="1" customFormat="1" x14ac:dyDescent="0.2">
      <c r="B3027" s="50" t="str">
        <f t="shared" si="62"/>
        <v>2008-059-5</v>
      </c>
      <c r="C3027" s="51">
        <v>2008</v>
      </c>
      <c r="D3027" s="51" t="s">
        <v>88</v>
      </c>
      <c r="E3027" s="51">
        <v>5</v>
      </c>
      <c r="F3027" s="52" t="s">
        <v>2470</v>
      </c>
      <c r="G3027" s="51"/>
      <c r="H3027" s="53"/>
      <c r="I3027" s="54"/>
    </row>
    <row r="3028" spans="2:9" s="1" customFormat="1" x14ac:dyDescent="0.2">
      <c r="B3028" s="55" t="str">
        <f t="shared" si="62"/>
        <v>2008-060-0</v>
      </c>
      <c r="C3028" s="56">
        <v>2008</v>
      </c>
      <c r="D3028" s="56" t="s">
        <v>89</v>
      </c>
      <c r="E3028" s="56">
        <v>0</v>
      </c>
      <c r="F3028" s="57" t="s">
        <v>492</v>
      </c>
      <c r="G3028" s="56"/>
      <c r="H3028" s="58"/>
      <c r="I3028" s="59"/>
    </row>
    <row r="3029" spans="2:9" s="1" customFormat="1" x14ac:dyDescent="0.2">
      <c r="B3029" s="44" t="str">
        <f t="shared" si="62"/>
        <v>2008-060-1</v>
      </c>
      <c r="C3029" s="45">
        <v>2008</v>
      </c>
      <c r="D3029" s="45" t="s">
        <v>89</v>
      </c>
      <c r="E3029" s="45">
        <v>1</v>
      </c>
      <c r="F3029" s="47" t="s">
        <v>892</v>
      </c>
      <c r="G3029" s="45"/>
      <c r="H3029" s="48"/>
      <c r="I3029" s="49"/>
    </row>
    <row r="3030" spans="2:9" s="1" customFormat="1" x14ac:dyDescent="0.2">
      <c r="B3030" s="44" t="str">
        <f t="shared" si="62"/>
        <v>2008-060-2</v>
      </c>
      <c r="C3030" s="45">
        <v>2008</v>
      </c>
      <c r="D3030" s="45" t="s">
        <v>89</v>
      </c>
      <c r="E3030" s="45">
        <v>2</v>
      </c>
      <c r="F3030" s="47" t="s">
        <v>1288</v>
      </c>
      <c r="G3030" s="45"/>
      <c r="H3030" s="48"/>
      <c r="I3030" s="49"/>
    </row>
    <row r="3031" spans="2:9" s="1" customFormat="1" x14ac:dyDescent="0.2">
      <c r="B3031" s="44" t="str">
        <f t="shared" si="62"/>
        <v>2008-060-3</v>
      </c>
      <c r="C3031" s="45">
        <v>2008</v>
      </c>
      <c r="D3031" s="45" t="s">
        <v>89</v>
      </c>
      <c r="E3031" s="45">
        <v>3</v>
      </c>
      <c r="F3031" s="47" t="s">
        <v>1683</v>
      </c>
      <c r="G3031" s="45"/>
      <c r="H3031" s="48"/>
      <c r="I3031" s="49"/>
    </row>
    <row r="3032" spans="2:9" s="1" customFormat="1" x14ac:dyDescent="0.2">
      <c r="B3032" s="44" t="str">
        <f t="shared" si="62"/>
        <v>2008-060-4</v>
      </c>
      <c r="C3032" s="45">
        <v>2008</v>
      </c>
      <c r="D3032" s="45" t="s">
        <v>89</v>
      </c>
      <c r="E3032" s="45">
        <v>4</v>
      </c>
      <c r="F3032" s="47" t="s">
        <v>2078</v>
      </c>
      <c r="G3032" s="45"/>
      <c r="H3032" s="48"/>
      <c r="I3032" s="49"/>
    </row>
    <row r="3033" spans="2:9" s="1" customFormat="1" x14ac:dyDescent="0.2">
      <c r="B3033" s="50" t="str">
        <f t="shared" si="62"/>
        <v>2008-060-5</v>
      </c>
      <c r="C3033" s="51">
        <v>2008</v>
      </c>
      <c r="D3033" s="51" t="s">
        <v>89</v>
      </c>
      <c r="E3033" s="51">
        <v>5</v>
      </c>
      <c r="F3033" s="52" t="s">
        <v>2471</v>
      </c>
      <c r="G3033" s="51" t="s">
        <v>3210</v>
      </c>
      <c r="H3033" s="53"/>
      <c r="I3033" s="54"/>
    </row>
    <row r="3034" spans="2:9" s="1" customFormat="1" x14ac:dyDescent="0.2">
      <c r="B3034" s="55" t="str">
        <f t="shared" si="62"/>
        <v>2008-061-0</v>
      </c>
      <c r="C3034" s="56">
        <v>2008</v>
      </c>
      <c r="D3034" s="56" t="s">
        <v>90</v>
      </c>
      <c r="E3034" s="56">
        <v>0</v>
      </c>
      <c r="F3034" s="57" t="s">
        <v>493</v>
      </c>
      <c r="G3034" s="56"/>
      <c r="H3034" s="58"/>
      <c r="I3034" s="59"/>
    </row>
    <row r="3035" spans="2:9" s="1" customFormat="1" x14ac:dyDescent="0.2">
      <c r="B3035" s="44" t="str">
        <f t="shared" si="62"/>
        <v>2008-061-1</v>
      </c>
      <c r="C3035" s="45">
        <v>2008</v>
      </c>
      <c r="D3035" s="45" t="s">
        <v>90</v>
      </c>
      <c r="E3035" s="45">
        <v>1</v>
      </c>
      <c r="F3035" s="47" t="s">
        <v>893</v>
      </c>
      <c r="G3035" s="45" t="s">
        <v>3210</v>
      </c>
      <c r="H3035" s="48"/>
      <c r="I3035" s="49"/>
    </row>
    <row r="3036" spans="2:9" s="1" customFormat="1" x14ac:dyDescent="0.2">
      <c r="B3036" s="44" t="str">
        <f t="shared" si="62"/>
        <v>2008-061-2</v>
      </c>
      <c r="C3036" s="45">
        <v>2008</v>
      </c>
      <c r="D3036" s="45" t="s">
        <v>90</v>
      </c>
      <c r="E3036" s="45">
        <v>2</v>
      </c>
      <c r="F3036" s="47" t="s">
        <v>1289</v>
      </c>
      <c r="G3036" s="45"/>
      <c r="H3036" s="48"/>
      <c r="I3036" s="49"/>
    </row>
    <row r="3037" spans="2:9" s="1" customFormat="1" x14ac:dyDescent="0.2">
      <c r="B3037" s="44" t="str">
        <f t="shared" si="62"/>
        <v>2008-061-3</v>
      </c>
      <c r="C3037" s="45">
        <v>2008</v>
      </c>
      <c r="D3037" s="45" t="s">
        <v>90</v>
      </c>
      <c r="E3037" s="45">
        <v>3</v>
      </c>
      <c r="F3037" s="47" t="s">
        <v>1684</v>
      </c>
      <c r="G3037" s="45"/>
      <c r="H3037" s="48"/>
      <c r="I3037" s="49"/>
    </row>
    <row r="3038" spans="2:9" s="1" customFormat="1" x14ac:dyDescent="0.2">
      <c r="B3038" s="44" t="str">
        <f t="shared" si="62"/>
        <v>2008-061-4</v>
      </c>
      <c r="C3038" s="45">
        <v>2008</v>
      </c>
      <c r="D3038" s="45" t="s">
        <v>90</v>
      </c>
      <c r="E3038" s="45">
        <v>4</v>
      </c>
      <c r="F3038" s="47" t="s">
        <v>2079</v>
      </c>
      <c r="G3038" s="45"/>
      <c r="H3038" s="48"/>
      <c r="I3038" s="49"/>
    </row>
    <row r="3039" spans="2:9" s="1" customFormat="1" x14ac:dyDescent="0.2">
      <c r="B3039" s="50" t="str">
        <f t="shared" ref="B3039:B3102" si="63">C3039&amp;"-"&amp;D3039&amp;"-"&amp;E3039</f>
        <v>2008-061-5</v>
      </c>
      <c r="C3039" s="51">
        <v>2008</v>
      </c>
      <c r="D3039" s="51" t="s">
        <v>90</v>
      </c>
      <c r="E3039" s="51">
        <v>5</v>
      </c>
      <c r="F3039" s="52" t="s">
        <v>2472</v>
      </c>
      <c r="G3039" s="51"/>
      <c r="H3039" s="53"/>
      <c r="I3039" s="54"/>
    </row>
    <row r="3040" spans="2:9" s="1" customFormat="1" x14ac:dyDescent="0.2">
      <c r="B3040" s="55" t="str">
        <f t="shared" si="63"/>
        <v>2008-062-0</v>
      </c>
      <c r="C3040" s="56">
        <v>2008</v>
      </c>
      <c r="D3040" s="56" t="s">
        <v>91</v>
      </c>
      <c r="E3040" s="56">
        <v>0</v>
      </c>
      <c r="F3040" s="57" t="s">
        <v>494</v>
      </c>
      <c r="G3040" s="56"/>
      <c r="H3040" s="58"/>
      <c r="I3040" s="59"/>
    </row>
    <row r="3041" spans="2:9" s="1" customFormat="1" ht="27" x14ac:dyDescent="0.2">
      <c r="B3041" s="44" t="str">
        <f t="shared" si="63"/>
        <v>2008-062-1</v>
      </c>
      <c r="C3041" s="45">
        <v>2008</v>
      </c>
      <c r="D3041" s="45" t="s">
        <v>91</v>
      </c>
      <c r="E3041" s="45">
        <v>1</v>
      </c>
      <c r="F3041" s="47" t="s">
        <v>894</v>
      </c>
      <c r="G3041" s="45"/>
      <c r="H3041" s="48"/>
      <c r="I3041" s="49"/>
    </row>
    <row r="3042" spans="2:9" s="1" customFormat="1" ht="27" x14ac:dyDescent="0.2">
      <c r="B3042" s="44" t="str">
        <f t="shared" si="63"/>
        <v>2008-062-2</v>
      </c>
      <c r="C3042" s="45">
        <v>2008</v>
      </c>
      <c r="D3042" s="45" t="s">
        <v>91</v>
      </c>
      <c r="E3042" s="45">
        <v>2</v>
      </c>
      <c r="F3042" s="47" t="s">
        <v>1290</v>
      </c>
      <c r="G3042" s="45" t="s">
        <v>3210</v>
      </c>
      <c r="H3042" s="48"/>
      <c r="I3042" s="49"/>
    </row>
    <row r="3043" spans="2:9" s="1" customFormat="1" ht="27" x14ac:dyDescent="0.2">
      <c r="B3043" s="44" t="str">
        <f t="shared" si="63"/>
        <v>2008-062-3</v>
      </c>
      <c r="C3043" s="45">
        <v>2008</v>
      </c>
      <c r="D3043" s="45" t="s">
        <v>91</v>
      </c>
      <c r="E3043" s="45">
        <v>3</v>
      </c>
      <c r="F3043" s="47" t="s">
        <v>1685</v>
      </c>
      <c r="G3043" s="45"/>
      <c r="H3043" s="48"/>
      <c r="I3043" s="49"/>
    </row>
    <row r="3044" spans="2:9" s="1" customFormat="1" x14ac:dyDescent="0.2">
      <c r="B3044" s="44" t="str">
        <f t="shared" si="63"/>
        <v>2008-062-4</v>
      </c>
      <c r="C3044" s="45">
        <v>2008</v>
      </c>
      <c r="D3044" s="45" t="s">
        <v>91</v>
      </c>
      <c r="E3044" s="45">
        <v>4</v>
      </c>
      <c r="F3044" s="47" t="s">
        <v>2080</v>
      </c>
      <c r="G3044" s="45"/>
      <c r="H3044" s="48"/>
      <c r="I3044" s="49"/>
    </row>
    <row r="3045" spans="2:9" s="1" customFormat="1" x14ac:dyDescent="0.2">
      <c r="B3045" s="50" t="str">
        <f t="shared" si="63"/>
        <v>2008-062-5</v>
      </c>
      <c r="C3045" s="51">
        <v>2008</v>
      </c>
      <c r="D3045" s="51" t="s">
        <v>91</v>
      </c>
      <c r="E3045" s="51">
        <v>5</v>
      </c>
      <c r="F3045" s="52" t="s">
        <v>2473</v>
      </c>
      <c r="G3045" s="51"/>
      <c r="H3045" s="53"/>
      <c r="I3045" s="54"/>
    </row>
    <row r="3046" spans="2:9" s="1" customFormat="1" x14ac:dyDescent="0.2">
      <c r="B3046" s="55" t="str">
        <f t="shared" si="63"/>
        <v>2008-063-0</v>
      </c>
      <c r="C3046" s="56">
        <v>2008</v>
      </c>
      <c r="D3046" s="56" t="s">
        <v>92</v>
      </c>
      <c r="E3046" s="56">
        <v>0</v>
      </c>
      <c r="F3046" s="57" t="s">
        <v>495</v>
      </c>
      <c r="G3046" s="56"/>
      <c r="H3046" s="58"/>
      <c r="I3046" s="59"/>
    </row>
    <row r="3047" spans="2:9" s="1" customFormat="1" x14ac:dyDescent="0.2">
      <c r="B3047" s="44" t="str">
        <f t="shared" si="63"/>
        <v>2008-063-1</v>
      </c>
      <c r="C3047" s="45">
        <v>2008</v>
      </c>
      <c r="D3047" s="45" t="s">
        <v>92</v>
      </c>
      <c r="E3047" s="45">
        <v>1</v>
      </c>
      <c r="F3047" s="47" t="s">
        <v>895</v>
      </c>
      <c r="G3047" s="45"/>
      <c r="H3047" s="48"/>
      <c r="I3047" s="49"/>
    </row>
    <row r="3048" spans="2:9" s="1" customFormat="1" x14ac:dyDescent="0.2">
      <c r="B3048" s="44" t="str">
        <f t="shared" si="63"/>
        <v>2008-063-2</v>
      </c>
      <c r="C3048" s="45">
        <v>2008</v>
      </c>
      <c r="D3048" s="45" t="s">
        <v>92</v>
      </c>
      <c r="E3048" s="45">
        <v>2</v>
      </c>
      <c r="F3048" s="47" t="s">
        <v>1291</v>
      </c>
      <c r="G3048" s="45"/>
      <c r="H3048" s="48"/>
      <c r="I3048" s="49"/>
    </row>
    <row r="3049" spans="2:9" s="1" customFormat="1" ht="27" x14ac:dyDescent="0.2">
      <c r="B3049" s="44" t="str">
        <f t="shared" si="63"/>
        <v>2008-063-3</v>
      </c>
      <c r="C3049" s="45">
        <v>2008</v>
      </c>
      <c r="D3049" s="45" t="s">
        <v>92</v>
      </c>
      <c r="E3049" s="45">
        <v>3</v>
      </c>
      <c r="F3049" s="47" t="s">
        <v>1686</v>
      </c>
      <c r="G3049" s="45" t="s">
        <v>3210</v>
      </c>
      <c r="H3049" s="48"/>
      <c r="I3049" s="49"/>
    </row>
    <row r="3050" spans="2:9" s="1" customFormat="1" x14ac:dyDescent="0.2">
      <c r="B3050" s="44" t="str">
        <f t="shared" si="63"/>
        <v>2008-063-4</v>
      </c>
      <c r="C3050" s="45">
        <v>2008</v>
      </c>
      <c r="D3050" s="45" t="s">
        <v>92</v>
      </c>
      <c r="E3050" s="45">
        <v>4</v>
      </c>
      <c r="F3050" s="47" t="s">
        <v>2081</v>
      </c>
      <c r="G3050" s="45"/>
      <c r="H3050" s="48"/>
      <c r="I3050" s="49"/>
    </row>
    <row r="3051" spans="2:9" s="1" customFormat="1" ht="27" x14ac:dyDescent="0.2">
      <c r="B3051" s="50" t="str">
        <f t="shared" si="63"/>
        <v>2008-063-5</v>
      </c>
      <c r="C3051" s="51">
        <v>2008</v>
      </c>
      <c r="D3051" s="51" t="s">
        <v>92</v>
      </c>
      <c r="E3051" s="51">
        <v>5</v>
      </c>
      <c r="F3051" s="52" t="s">
        <v>2474</v>
      </c>
      <c r="G3051" s="51"/>
      <c r="H3051" s="53"/>
      <c r="I3051" s="54"/>
    </row>
    <row r="3052" spans="2:9" s="1" customFormat="1" x14ac:dyDescent="0.2">
      <c r="B3052" s="55" t="str">
        <f t="shared" si="63"/>
        <v>2008-064-0</v>
      </c>
      <c r="C3052" s="56">
        <v>2008</v>
      </c>
      <c r="D3052" s="56" t="s">
        <v>93</v>
      </c>
      <c r="E3052" s="56">
        <v>0</v>
      </c>
      <c r="F3052" s="57" t="s">
        <v>496</v>
      </c>
      <c r="G3052" s="56"/>
      <c r="H3052" s="58"/>
      <c r="I3052" s="59"/>
    </row>
    <row r="3053" spans="2:9" s="1" customFormat="1" x14ac:dyDescent="0.2">
      <c r="B3053" s="44" t="str">
        <f t="shared" si="63"/>
        <v>2008-064-1</v>
      </c>
      <c r="C3053" s="45">
        <v>2008</v>
      </c>
      <c r="D3053" s="45" t="s">
        <v>93</v>
      </c>
      <c r="E3053" s="45">
        <v>1</v>
      </c>
      <c r="F3053" s="47" t="s">
        <v>896</v>
      </c>
      <c r="G3053" s="45"/>
      <c r="H3053" s="48"/>
      <c r="I3053" s="49"/>
    </row>
    <row r="3054" spans="2:9" s="1" customFormat="1" ht="27" x14ac:dyDescent="0.2">
      <c r="B3054" s="44" t="str">
        <f t="shared" si="63"/>
        <v>2008-064-2</v>
      </c>
      <c r="C3054" s="45">
        <v>2008</v>
      </c>
      <c r="D3054" s="45" t="s">
        <v>93</v>
      </c>
      <c r="E3054" s="45">
        <v>2</v>
      </c>
      <c r="F3054" s="47" t="s">
        <v>1292</v>
      </c>
      <c r="G3054" s="45" t="s">
        <v>3210</v>
      </c>
      <c r="H3054" s="48"/>
      <c r="I3054" s="49"/>
    </row>
    <row r="3055" spans="2:9" s="1" customFormat="1" ht="27" x14ac:dyDescent="0.2">
      <c r="B3055" s="44" t="str">
        <f t="shared" si="63"/>
        <v>2008-064-3</v>
      </c>
      <c r="C3055" s="45">
        <v>2008</v>
      </c>
      <c r="D3055" s="45" t="s">
        <v>93</v>
      </c>
      <c r="E3055" s="45">
        <v>3</v>
      </c>
      <c r="F3055" s="47" t="s">
        <v>1687</v>
      </c>
      <c r="G3055" s="45"/>
      <c r="H3055" s="48"/>
      <c r="I3055" s="49"/>
    </row>
    <row r="3056" spans="2:9" s="1" customFormat="1" ht="27" x14ac:dyDescent="0.2">
      <c r="B3056" s="44" t="str">
        <f t="shared" si="63"/>
        <v>2008-064-4</v>
      </c>
      <c r="C3056" s="45">
        <v>2008</v>
      </c>
      <c r="D3056" s="45" t="s">
        <v>93</v>
      </c>
      <c r="E3056" s="45">
        <v>4</v>
      </c>
      <c r="F3056" s="47" t="s">
        <v>2082</v>
      </c>
      <c r="G3056" s="45"/>
      <c r="H3056" s="48"/>
      <c r="I3056" s="49"/>
    </row>
    <row r="3057" spans="2:9" s="1" customFormat="1" x14ac:dyDescent="0.2">
      <c r="B3057" s="50" t="str">
        <f t="shared" si="63"/>
        <v>2008-064-5</v>
      </c>
      <c r="C3057" s="51">
        <v>2008</v>
      </c>
      <c r="D3057" s="51" t="s">
        <v>93</v>
      </c>
      <c r="E3057" s="51">
        <v>5</v>
      </c>
      <c r="F3057" s="52" t="s">
        <v>2475</v>
      </c>
      <c r="G3057" s="51"/>
      <c r="H3057" s="53"/>
      <c r="I3057" s="54"/>
    </row>
    <row r="3058" spans="2:9" s="1" customFormat="1" x14ac:dyDescent="0.2">
      <c r="B3058" s="55" t="str">
        <f t="shared" si="63"/>
        <v>2008-065-0</v>
      </c>
      <c r="C3058" s="56">
        <v>2008</v>
      </c>
      <c r="D3058" s="56" t="s">
        <v>94</v>
      </c>
      <c r="E3058" s="56">
        <v>0</v>
      </c>
      <c r="F3058" s="57" t="s">
        <v>497</v>
      </c>
      <c r="G3058" s="56"/>
      <c r="H3058" s="58"/>
      <c r="I3058" s="59"/>
    </row>
    <row r="3059" spans="2:9" s="1" customFormat="1" x14ac:dyDescent="0.2">
      <c r="B3059" s="44" t="str">
        <f t="shared" si="63"/>
        <v>2008-065-1</v>
      </c>
      <c r="C3059" s="45">
        <v>2008</v>
      </c>
      <c r="D3059" s="45" t="s">
        <v>94</v>
      </c>
      <c r="E3059" s="45">
        <v>1</v>
      </c>
      <c r="F3059" s="47" t="s">
        <v>897</v>
      </c>
      <c r="G3059" s="45"/>
      <c r="H3059" s="48"/>
      <c r="I3059" s="49"/>
    </row>
    <row r="3060" spans="2:9" s="1" customFormat="1" x14ac:dyDescent="0.2">
      <c r="B3060" s="44" t="str">
        <f t="shared" si="63"/>
        <v>2008-065-2</v>
      </c>
      <c r="C3060" s="45">
        <v>2008</v>
      </c>
      <c r="D3060" s="45" t="s">
        <v>94</v>
      </c>
      <c r="E3060" s="45">
        <v>2</v>
      </c>
      <c r="F3060" s="47" t="s">
        <v>1293</v>
      </c>
      <c r="G3060" s="45" t="s">
        <v>3210</v>
      </c>
      <c r="H3060" s="48"/>
      <c r="I3060" s="49"/>
    </row>
    <row r="3061" spans="2:9" s="1" customFormat="1" x14ac:dyDescent="0.2">
      <c r="B3061" s="44" t="str">
        <f t="shared" si="63"/>
        <v>2008-065-3</v>
      </c>
      <c r="C3061" s="45">
        <v>2008</v>
      </c>
      <c r="D3061" s="45" t="s">
        <v>94</v>
      </c>
      <c r="E3061" s="45">
        <v>3</v>
      </c>
      <c r="F3061" s="47" t="s">
        <v>1688</v>
      </c>
      <c r="G3061" s="45"/>
      <c r="H3061" s="48"/>
      <c r="I3061" s="49"/>
    </row>
    <row r="3062" spans="2:9" s="1" customFormat="1" x14ac:dyDescent="0.2">
      <c r="B3062" s="44" t="str">
        <f t="shared" si="63"/>
        <v>2008-065-4</v>
      </c>
      <c r="C3062" s="45">
        <v>2008</v>
      </c>
      <c r="D3062" s="45" t="s">
        <v>94</v>
      </c>
      <c r="E3062" s="45">
        <v>4</v>
      </c>
      <c r="F3062" s="47" t="s">
        <v>2083</v>
      </c>
      <c r="G3062" s="45"/>
      <c r="H3062" s="48"/>
      <c r="I3062" s="49"/>
    </row>
    <row r="3063" spans="2:9" s="1" customFormat="1" x14ac:dyDescent="0.2">
      <c r="B3063" s="50" t="str">
        <f t="shared" si="63"/>
        <v>2008-065-5</v>
      </c>
      <c r="C3063" s="51">
        <v>2008</v>
      </c>
      <c r="D3063" s="51" t="s">
        <v>94</v>
      </c>
      <c r="E3063" s="51">
        <v>5</v>
      </c>
      <c r="F3063" s="52" t="s">
        <v>2476</v>
      </c>
      <c r="G3063" s="51"/>
      <c r="H3063" s="53"/>
      <c r="I3063" s="54"/>
    </row>
    <row r="3064" spans="2:9" s="1" customFormat="1" x14ac:dyDescent="0.2">
      <c r="B3064" s="55" t="str">
        <f t="shared" si="63"/>
        <v>2008-066-0</v>
      </c>
      <c r="C3064" s="56">
        <v>2008</v>
      </c>
      <c r="D3064" s="56" t="s">
        <v>95</v>
      </c>
      <c r="E3064" s="56">
        <v>0</v>
      </c>
      <c r="F3064" s="57" t="s">
        <v>498</v>
      </c>
      <c r="G3064" s="56"/>
      <c r="H3064" s="58"/>
      <c r="I3064" s="59"/>
    </row>
    <row r="3065" spans="2:9" s="1" customFormat="1" x14ac:dyDescent="0.2">
      <c r="B3065" s="44" t="str">
        <f t="shared" si="63"/>
        <v>2008-066-1</v>
      </c>
      <c r="C3065" s="45">
        <v>2008</v>
      </c>
      <c r="D3065" s="45" t="s">
        <v>95</v>
      </c>
      <c r="E3065" s="45">
        <v>1</v>
      </c>
      <c r="F3065" s="47" t="s">
        <v>898</v>
      </c>
      <c r="G3065" s="45" t="s">
        <v>3210</v>
      </c>
      <c r="H3065" s="48"/>
      <c r="I3065" s="49"/>
    </row>
    <row r="3066" spans="2:9" s="1" customFormat="1" ht="27" x14ac:dyDescent="0.2">
      <c r="B3066" s="44" t="str">
        <f t="shared" si="63"/>
        <v>2008-066-2</v>
      </c>
      <c r="C3066" s="45">
        <v>2008</v>
      </c>
      <c r="D3066" s="45" t="s">
        <v>95</v>
      </c>
      <c r="E3066" s="45">
        <v>2</v>
      </c>
      <c r="F3066" s="47" t="s">
        <v>1294</v>
      </c>
      <c r="G3066" s="45"/>
      <c r="H3066" s="48"/>
      <c r="I3066" s="49"/>
    </row>
    <row r="3067" spans="2:9" s="1" customFormat="1" x14ac:dyDescent="0.2">
      <c r="B3067" s="44" t="str">
        <f t="shared" si="63"/>
        <v>2008-066-3</v>
      </c>
      <c r="C3067" s="45">
        <v>2008</v>
      </c>
      <c r="D3067" s="45" t="s">
        <v>95</v>
      </c>
      <c r="E3067" s="45">
        <v>3</v>
      </c>
      <c r="F3067" s="47" t="s">
        <v>1689</v>
      </c>
      <c r="G3067" s="45"/>
      <c r="H3067" s="48"/>
      <c r="I3067" s="49"/>
    </row>
    <row r="3068" spans="2:9" s="1" customFormat="1" x14ac:dyDescent="0.2">
      <c r="B3068" s="44" t="str">
        <f t="shared" si="63"/>
        <v>2008-066-4</v>
      </c>
      <c r="C3068" s="45">
        <v>2008</v>
      </c>
      <c r="D3068" s="45" t="s">
        <v>95</v>
      </c>
      <c r="E3068" s="45">
        <v>4</v>
      </c>
      <c r="F3068" s="47" t="s">
        <v>2084</v>
      </c>
      <c r="G3068" s="45"/>
      <c r="H3068" s="48"/>
      <c r="I3068" s="49"/>
    </row>
    <row r="3069" spans="2:9" s="1" customFormat="1" x14ac:dyDescent="0.2">
      <c r="B3069" s="50" t="str">
        <f t="shared" si="63"/>
        <v>2008-066-5</v>
      </c>
      <c r="C3069" s="51">
        <v>2008</v>
      </c>
      <c r="D3069" s="51" t="s">
        <v>95</v>
      </c>
      <c r="E3069" s="51">
        <v>5</v>
      </c>
      <c r="F3069" s="52" t="s">
        <v>2477</v>
      </c>
      <c r="G3069" s="51"/>
      <c r="H3069" s="53"/>
      <c r="I3069" s="54"/>
    </row>
    <row r="3070" spans="2:9" s="1" customFormat="1" x14ac:dyDescent="0.2">
      <c r="B3070" s="55" t="str">
        <f t="shared" si="63"/>
        <v>2008-067-0</v>
      </c>
      <c r="C3070" s="56">
        <v>2008</v>
      </c>
      <c r="D3070" s="56" t="s">
        <v>96</v>
      </c>
      <c r="E3070" s="56">
        <v>0</v>
      </c>
      <c r="F3070" s="57" t="s">
        <v>499</v>
      </c>
      <c r="G3070" s="56"/>
      <c r="H3070" s="58"/>
      <c r="I3070" s="59"/>
    </row>
    <row r="3071" spans="2:9" s="1" customFormat="1" ht="27" x14ac:dyDescent="0.2">
      <c r="B3071" s="44" t="str">
        <f t="shared" si="63"/>
        <v>2008-067-1</v>
      </c>
      <c r="C3071" s="45">
        <v>2008</v>
      </c>
      <c r="D3071" s="45" t="s">
        <v>96</v>
      </c>
      <c r="E3071" s="45">
        <v>1</v>
      </c>
      <c r="F3071" s="47" t="s">
        <v>899</v>
      </c>
      <c r="G3071" s="45"/>
      <c r="H3071" s="48"/>
      <c r="I3071" s="49"/>
    </row>
    <row r="3072" spans="2:9" s="1" customFormat="1" x14ac:dyDescent="0.2">
      <c r="B3072" s="44" t="str">
        <f t="shared" si="63"/>
        <v>2008-067-2</v>
      </c>
      <c r="C3072" s="45">
        <v>2008</v>
      </c>
      <c r="D3072" s="45" t="s">
        <v>96</v>
      </c>
      <c r="E3072" s="45">
        <v>2</v>
      </c>
      <c r="F3072" s="47" t="s">
        <v>1295</v>
      </c>
      <c r="G3072" s="45"/>
      <c r="H3072" s="48"/>
      <c r="I3072" s="49"/>
    </row>
    <row r="3073" spans="2:9" s="1" customFormat="1" ht="27" x14ac:dyDescent="0.2">
      <c r="B3073" s="44" t="str">
        <f t="shared" si="63"/>
        <v>2008-067-3</v>
      </c>
      <c r="C3073" s="45">
        <v>2008</v>
      </c>
      <c r="D3073" s="45" t="s">
        <v>96</v>
      </c>
      <c r="E3073" s="45">
        <v>3</v>
      </c>
      <c r="F3073" s="47" t="s">
        <v>1690</v>
      </c>
      <c r="G3073" s="45"/>
      <c r="H3073" s="48"/>
      <c r="I3073" s="49"/>
    </row>
    <row r="3074" spans="2:9" s="1" customFormat="1" x14ac:dyDescent="0.2">
      <c r="B3074" s="44" t="str">
        <f t="shared" si="63"/>
        <v>2008-067-4</v>
      </c>
      <c r="C3074" s="45">
        <v>2008</v>
      </c>
      <c r="D3074" s="45" t="s">
        <v>96</v>
      </c>
      <c r="E3074" s="45">
        <v>4</v>
      </c>
      <c r="F3074" s="47" t="s">
        <v>2085</v>
      </c>
      <c r="G3074" s="45" t="s">
        <v>3210</v>
      </c>
      <c r="H3074" s="48"/>
      <c r="I3074" s="49"/>
    </row>
    <row r="3075" spans="2:9" s="1" customFormat="1" ht="27" x14ac:dyDescent="0.2">
      <c r="B3075" s="50" t="str">
        <f t="shared" si="63"/>
        <v>2008-067-5</v>
      </c>
      <c r="C3075" s="51">
        <v>2008</v>
      </c>
      <c r="D3075" s="51" t="s">
        <v>96</v>
      </c>
      <c r="E3075" s="51">
        <v>5</v>
      </c>
      <c r="F3075" s="52" t="s">
        <v>2478</v>
      </c>
      <c r="G3075" s="51"/>
      <c r="H3075" s="53"/>
      <c r="I3075" s="54"/>
    </row>
    <row r="3076" spans="2:9" s="1" customFormat="1" x14ac:dyDescent="0.2">
      <c r="B3076" s="55" t="str">
        <f t="shared" si="63"/>
        <v>2008-068-0</v>
      </c>
      <c r="C3076" s="56">
        <v>2008</v>
      </c>
      <c r="D3076" s="56" t="s">
        <v>97</v>
      </c>
      <c r="E3076" s="56">
        <v>0</v>
      </c>
      <c r="F3076" s="57" t="s">
        <v>500</v>
      </c>
      <c r="G3076" s="56"/>
      <c r="H3076" s="58"/>
      <c r="I3076" s="59"/>
    </row>
    <row r="3077" spans="2:9" s="1" customFormat="1" x14ac:dyDescent="0.2">
      <c r="B3077" s="44" t="str">
        <f t="shared" si="63"/>
        <v>2008-068-1</v>
      </c>
      <c r="C3077" s="45">
        <v>2008</v>
      </c>
      <c r="D3077" s="45" t="s">
        <v>97</v>
      </c>
      <c r="E3077" s="45">
        <v>1</v>
      </c>
      <c r="F3077" s="47" t="s">
        <v>900</v>
      </c>
      <c r="G3077" s="45"/>
      <c r="H3077" s="48"/>
      <c r="I3077" s="49"/>
    </row>
    <row r="3078" spans="2:9" s="1" customFormat="1" x14ac:dyDescent="0.2">
      <c r="B3078" s="44" t="str">
        <f t="shared" si="63"/>
        <v>2008-068-2</v>
      </c>
      <c r="C3078" s="45">
        <v>2008</v>
      </c>
      <c r="D3078" s="45" t="s">
        <v>97</v>
      </c>
      <c r="E3078" s="45">
        <v>2</v>
      </c>
      <c r="F3078" s="47" t="s">
        <v>1296</v>
      </c>
      <c r="G3078" s="45"/>
      <c r="H3078" s="48"/>
      <c r="I3078" s="49"/>
    </row>
    <row r="3079" spans="2:9" s="1" customFormat="1" ht="27" x14ac:dyDescent="0.2">
      <c r="B3079" s="44" t="str">
        <f t="shared" si="63"/>
        <v>2008-068-3</v>
      </c>
      <c r="C3079" s="45">
        <v>2008</v>
      </c>
      <c r="D3079" s="45" t="s">
        <v>97</v>
      </c>
      <c r="E3079" s="45">
        <v>3</v>
      </c>
      <c r="F3079" s="47" t="s">
        <v>1691</v>
      </c>
      <c r="G3079" s="45"/>
      <c r="H3079" s="48"/>
      <c r="I3079" s="49"/>
    </row>
    <row r="3080" spans="2:9" s="1" customFormat="1" ht="27" x14ac:dyDescent="0.2">
      <c r="B3080" s="44" t="str">
        <f t="shared" si="63"/>
        <v>2008-068-4</v>
      </c>
      <c r="C3080" s="45">
        <v>2008</v>
      </c>
      <c r="D3080" s="45" t="s">
        <v>97</v>
      </c>
      <c r="E3080" s="45">
        <v>4</v>
      </c>
      <c r="F3080" s="47" t="s">
        <v>2086</v>
      </c>
      <c r="G3080" s="45"/>
      <c r="H3080" s="48"/>
      <c r="I3080" s="49"/>
    </row>
    <row r="3081" spans="2:9" s="1" customFormat="1" x14ac:dyDescent="0.2">
      <c r="B3081" s="50" t="str">
        <f t="shared" si="63"/>
        <v>2008-068-5</v>
      </c>
      <c r="C3081" s="51">
        <v>2008</v>
      </c>
      <c r="D3081" s="51" t="s">
        <v>97</v>
      </c>
      <c r="E3081" s="51">
        <v>5</v>
      </c>
      <c r="F3081" s="52" t="s">
        <v>2479</v>
      </c>
      <c r="G3081" s="51" t="s">
        <v>3210</v>
      </c>
      <c r="H3081" s="53"/>
      <c r="I3081" s="54"/>
    </row>
    <row r="3082" spans="2:9" s="1" customFormat="1" x14ac:dyDescent="0.2">
      <c r="B3082" s="55" t="str">
        <f t="shared" si="63"/>
        <v>2008-069-0</v>
      </c>
      <c r="C3082" s="56">
        <v>2008</v>
      </c>
      <c r="D3082" s="56" t="s">
        <v>98</v>
      </c>
      <c r="E3082" s="56">
        <v>0</v>
      </c>
      <c r="F3082" s="57" t="s">
        <v>412</v>
      </c>
      <c r="G3082" s="56"/>
      <c r="H3082" s="58"/>
      <c r="I3082" s="59"/>
    </row>
    <row r="3083" spans="2:9" s="1" customFormat="1" x14ac:dyDescent="0.2">
      <c r="B3083" s="44" t="str">
        <f t="shared" si="63"/>
        <v>2008-069-1</v>
      </c>
      <c r="C3083" s="45">
        <v>2008</v>
      </c>
      <c r="D3083" s="45" t="s">
        <v>98</v>
      </c>
      <c r="E3083" s="45">
        <v>1</v>
      </c>
      <c r="F3083" s="47" t="s">
        <v>901</v>
      </c>
      <c r="G3083" s="45"/>
      <c r="H3083" s="48"/>
      <c r="I3083" s="49"/>
    </row>
    <row r="3084" spans="2:9" s="1" customFormat="1" x14ac:dyDescent="0.2">
      <c r="B3084" s="44" t="str">
        <f t="shared" si="63"/>
        <v>2008-069-2</v>
      </c>
      <c r="C3084" s="45">
        <v>2008</v>
      </c>
      <c r="D3084" s="45" t="s">
        <v>98</v>
      </c>
      <c r="E3084" s="45">
        <v>2</v>
      </c>
      <c r="F3084" s="47" t="s">
        <v>1297</v>
      </c>
      <c r="G3084" s="45" t="s">
        <v>3210</v>
      </c>
      <c r="H3084" s="48"/>
      <c r="I3084" s="49"/>
    </row>
    <row r="3085" spans="2:9" s="1" customFormat="1" x14ac:dyDescent="0.2">
      <c r="B3085" s="44" t="str">
        <f t="shared" si="63"/>
        <v>2008-069-3</v>
      </c>
      <c r="C3085" s="45">
        <v>2008</v>
      </c>
      <c r="D3085" s="45" t="s">
        <v>98</v>
      </c>
      <c r="E3085" s="45">
        <v>3</v>
      </c>
      <c r="F3085" s="47" t="s">
        <v>1692</v>
      </c>
      <c r="G3085" s="45"/>
      <c r="H3085" s="48"/>
      <c r="I3085" s="49"/>
    </row>
    <row r="3086" spans="2:9" s="1" customFormat="1" ht="27" x14ac:dyDescent="0.2">
      <c r="B3086" s="44" t="str">
        <f t="shared" si="63"/>
        <v>2008-069-4</v>
      </c>
      <c r="C3086" s="45">
        <v>2008</v>
      </c>
      <c r="D3086" s="45" t="s">
        <v>98</v>
      </c>
      <c r="E3086" s="45">
        <v>4</v>
      </c>
      <c r="F3086" s="47" t="s">
        <v>2087</v>
      </c>
      <c r="G3086" s="45"/>
      <c r="H3086" s="48"/>
      <c r="I3086" s="49"/>
    </row>
    <row r="3087" spans="2:9" s="1" customFormat="1" x14ac:dyDescent="0.2">
      <c r="B3087" s="50" t="str">
        <f t="shared" si="63"/>
        <v>2008-069-5</v>
      </c>
      <c r="C3087" s="51">
        <v>2008</v>
      </c>
      <c r="D3087" s="51" t="s">
        <v>98</v>
      </c>
      <c r="E3087" s="51">
        <v>5</v>
      </c>
      <c r="F3087" s="52" t="s">
        <v>2480</v>
      </c>
      <c r="G3087" s="51"/>
      <c r="H3087" s="53"/>
      <c r="I3087" s="54"/>
    </row>
    <row r="3088" spans="2:9" s="1" customFormat="1" x14ac:dyDescent="0.2">
      <c r="B3088" s="55" t="str">
        <f t="shared" si="63"/>
        <v>2008-070-0</v>
      </c>
      <c r="C3088" s="56">
        <v>2008</v>
      </c>
      <c r="D3088" s="56" t="s">
        <v>99</v>
      </c>
      <c r="E3088" s="56">
        <v>0</v>
      </c>
      <c r="F3088" s="57" t="s">
        <v>501</v>
      </c>
      <c r="G3088" s="56"/>
      <c r="H3088" s="58"/>
      <c r="I3088" s="59"/>
    </row>
    <row r="3089" spans="2:9" s="1" customFormat="1" x14ac:dyDescent="0.2">
      <c r="B3089" s="44" t="str">
        <f t="shared" si="63"/>
        <v>2008-070-1</v>
      </c>
      <c r="C3089" s="45">
        <v>2008</v>
      </c>
      <c r="D3089" s="45" t="s">
        <v>99</v>
      </c>
      <c r="E3089" s="45">
        <v>1</v>
      </c>
      <c r="F3089" s="47" t="s">
        <v>902</v>
      </c>
      <c r="G3089" s="45"/>
      <c r="H3089" s="48"/>
      <c r="I3089" s="49"/>
    </row>
    <row r="3090" spans="2:9" s="1" customFormat="1" x14ac:dyDescent="0.2">
      <c r="B3090" s="44" t="str">
        <f t="shared" si="63"/>
        <v>2008-070-2</v>
      </c>
      <c r="C3090" s="45">
        <v>2008</v>
      </c>
      <c r="D3090" s="45" t="s">
        <v>99</v>
      </c>
      <c r="E3090" s="45">
        <v>2</v>
      </c>
      <c r="F3090" s="47" t="s">
        <v>1298</v>
      </c>
      <c r="G3090" s="45"/>
      <c r="H3090" s="48"/>
      <c r="I3090" s="49"/>
    </row>
    <row r="3091" spans="2:9" s="1" customFormat="1" x14ac:dyDescent="0.2">
      <c r="B3091" s="44" t="str">
        <f t="shared" si="63"/>
        <v>2008-070-3</v>
      </c>
      <c r="C3091" s="45">
        <v>2008</v>
      </c>
      <c r="D3091" s="45" t="s">
        <v>99</v>
      </c>
      <c r="E3091" s="45">
        <v>3</v>
      </c>
      <c r="F3091" s="47" t="s">
        <v>1693</v>
      </c>
      <c r="G3091" s="45" t="s">
        <v>3210</v>
      </c>
      <c r="H3091" s="48"/>
      <c r="I3091" s="49"/>
    </row>
    <row r="3092" spans="2:9" s="1" customFormat="1" ht="27" x14ac:dyDescent="0.2">
      <c r="B3092" s="44" t="str">
        <f t="shared" si="63"/>
        <v>2008-070-4</v>
      </c>
      <c r="C3092" s="45">
        <v>2008</v>
      </c>
      <c r="D3092" s="45" t="s">
        <v>99</v>
      </c>
      <c r="E3092" s="45">
        <v>4</v>
      </c>
      <c r="F3092" s="47" t="s">
        <v>2088</v>
      </c>
      <c r="G3092" s="45"/>
      <c r="H3092" s="48"/>
      <c r="I3092" s="49"/>
    </row>
    <row r="3093" spans="2:9" s="1" customFormat="1" x14ac:dyDescent="0.2">
      <c r="B3093" s="50" t="str">
        <f t="shared" si="63"/>
        <v>2008-070-5</v>
      </c>
      <c r="C3093" s="51">
        <v>2008</v>
      </c>
      <c r="D3093" s="51" t="s">
        <v>99</v>
      </c>
      <c r="E3093" s="51">
        <v>5</v>
      </c>
      <c r="F3093" s="52" t="s">
        <v>2481</v>
      </c>
      <c r="G3093" s="51"/>
      <c r="H3093" s="53"/>
      <c r="I3093" s="54"/>
    </row>
    <row r="3094" spans="2:9" s="1" customFormat="1" x14ac:dyDescent="0.2">
      <c r="B3094" s="55" t="str">
        <f t="shared" si="63"/>
        <v>2008-071-0</v>
      </c>
      <c r="C3094" s="56">
        <v>2008</v>
      </c>
      <c r="D3094" s="56" t="s">
        <v>100</v>
      </c>
      <c r="E3094" s="56">
        <v>0</v>
      </c>
      <c r="F3094" s="57" t="s">
        <v>502</v>
      </c>
      <c r="G3094" s="56"/>
      <c r="H3094" s="58"/>
      <c r="I3094" s="59"/>
    </row>
    <row r="3095" spans="2:9" s="1" customFormat="1" ht="27" x14ac:dyDescent="0.2">
      <c r="B3095" s="44" t="str">
        <f t="shared" si="63"/>
        <v>2008-071-1</v>
      </c>
      <c r="C3095" s="45">
        <v>2008</v>
      </c>
      <c r="D3095" s="45" t="s">
        <v>100</v>
      </c>
      <c r="E3095" s="45">
        <v>1</v>
      </c>
      <c r="F3095" s="47" t="s">
        <v>903</v>
      </c>
      <c r="G3095" s="45"/>
      <c r="H3095" s="48"/>
      <c r="I3095" s="49"/>
    </row>
    <row r="3096" spans="2:9" s="1" customFormat="1" x14ac:dyDescent="0.2">
      <c r="B3096" s="44" t="str">
        <f t="shared" si="63"/>
        <v>2008-071-2</v>
      </c>
      <c r="C3096" s="45">
        <v>2008</v>
      </c>
      <c r="D3096" s="45" t="s">
        <v>100</v>
      </c>
      <c r="E3096" s="45">
        <v>2</v>
      </c>
      <c r="F3096" s="47" t="s">
        <v>2500</v>
      </c>
      <c r="G3096" s="45"/>
      <c r="H3096" s="48"/>
      <c r="I3096" s="49"/>
    </row>
    <row r="3097" spans="2:9" s="1" customFormat="1" ht="27" x14ac:dyDescent="0.2">
      <c r="B3097" s="44" t="str">
        <f t="shared" si="63"/>
        <v>2008-071-3</v>
      </c>
      <c r="C3097" s="45">
        <v>2008</v>
      </c>
      <c r="D3097" s="45" t="s">
        <v>100</v>
      </c>
      <c r="E3097" s="45">
        <v>3</v>
      </c>
      <c r="F3097" s="47" t="s">
        <v>1694</v>
      </c>
      <c r="G3097" s="45"/>
      <c r="H3097" s="48"/>
      <c r="I3097" s="49"/>
    </row>
    <row r="3098" spans="2:9" s="1" customFormat="1" x14ac:dyDescent="0.2">
      <c r="B3098" s="44" t="str">
        <f t="shared" si="63"/>
        <v>2008-071-4</v>
      </c>
      <c r="C3098" s="45">
        <v>2008</v>
      </c>
      <c r="D3098" s="45" t="s">
        <v>100</v>
      </c>
      <c r="E3098" s="45">
        <v>4</v>
      </c>
      <c r="F3098" s="47" t="s">
        <v>2089</v>
      </c>
      <c r="G3098" s="45"/>
      <c r="H3098" s="48"/>
      <c r="I3098" s="49"/>
    </row>
    <row r="3099" spans="2:9" s="1" customFormat="1" ht="27" x14ac:dyDescent="0.2">
      <c r="B3099" s="50" t="str">
        <f t="shared" si="63"/>
        <v>2008-071-5</v>
      </c>
      <c r="C3099" s="51">
        <v>2008</v>
      </c>
      <c r="D3099" s="51" t="s">
        <v>100</v>
      </c>
      <c r="E3099" s="51">
        <v>5</v>
      </c>
      <c r="F3099" s="52" t="s">
        <v>2482</v>
      </c>
      <c r="G3099" s="51" t="s">
        <v>3210</v>
      </c>
      <c r="H3099" s="53"/>
      <c r="I3099" s="54"/>
    </row>
    <row r="3100" spans="2:9" s="1" customFormat="1" x14ac:dyDescent="0.2">
      <c r="B3100" s="55" t="str">
        <f t="shared" si="63"/>
        <v>2008-072-0</v>
      </c>
      <c r="C3100" s="56">
        <v>2008</v>
      </c>
      <c r="D3100" s="56" t="s">
        <v>101</v>
      </c>
      <c r="E3100" s="56">
        <v>0</v>
      </c>
      <c r="F3100" s="57" t="s">
        <v>391</v>
      </c>
      <c r="G3100" s="56"/>
      <c r="H3100" s="58"/>
      <c r="I3100" s="59"/>
    </row>
    <row r="3101" spans="2:9" s="1" customFormat="1" ht="27" x14ac:dyDescent="0.2">
      <c r="B3101" s="44" t="str">
        <f t="shared" si="63"/>
        <v>2008-072-1</v>
      </c>
      <c r="C3101" s="45">
        <v>2008</v>
      </c>
      <c r="D3101" s="45" t="s">
        <v>101</v>
      </c>
      <c r="E3101" s="45">
        <v>1</v>
      </c>
      <c r="F3101" s="47" t="s">
        <v>904</v>
      </c>
      <c r="G3101" s="45" t="s">
        <v>3210</v>
      </c>
      <c r="H3101" s="48"/>
      <c r="I3101" s="49"/>
    </row>
    <row r="3102" spans="2:9" s="1" customFormat="1" x14ac:dyDescent="0.2">
      <c r="B3102" s="44" t="str">
        <f t="shared" si="63"/>
        <v>2008-072-2</v>
      </c>
      <c r="C3102" s="45">
        <v>2008</v>
      </c>
      <c r="D3102" s="45" t="s">
        <v>101</v>
      </c>
      <c r="E3102" s="45">
        <v>2</v>
      </c>
      <c r="F3102" s="47" t="s">
        <v>1299</v>
      </c>
      <c r="G3102" s="45"/>
      <c r="H3102" s="48"/>
      <c r="I3102" s="49"/>
    </row>
    <row r="3103" spans="2:9" s="1" customFormat="1" ht="27" x14ac:dyDescent="0.2">
      <c r="B3103" s="44" t="str">
        <f t="shared" ref="B3103:B3123" si="64">C3103&amp;"-"&amp;D3103&amp;"-"&amp;E3103</f>
        <v>2008-072-3</v>
      </c>
      <c r="C3103" s="45">
        <v>2008</v>
      </c>
      <c r="D3103" s="45" t="s">
        <v>101</v>
      </c>
      <c r="E3103" s="45">
        <v>3</v>
      </c>
      <c r="F3103" s="47" t="s">
        <v>1695</v>
      </c>
      <c r="G3103" s="45"/>
      <c r="H3103" s="48"/>
      <c r="I3103" s="49"/>
    </row>
    <row r="3104" spans="2:9" s="1" customFormat="1" x14ac:dyDescent="0.2">
      <c r="B3104" s="44" t="str">
        <f t="shared" si="64"/>
        <v>2008-072-4</v>
      </c>
      <c r="C3104" s="45">
        <v>2008</v>
      </c>
      <c r="D3104" s="45" t="s">
        <v>101</v>
      </c>
      <c r="E3104" s="45">
        <v>4</v>
      </c>
      <c r="F3104" s="47" t="s">
        <v>2090</v>
      </c>
      <c r="G3104" s="45"/>
      <c r="H3104" s="48"/>
      <c r="I3104" s="49"/>
    </row>
    <row r="3105" spans="2:9" s="1" customFormat="1" ht="27" x14ac:dyDescent="0.2">
      <c r="B3105" s="50" t="str">
        <f t="shared" si="64"/>
        <v>2008-072-5</v>
      </c>
      <c r="C3105" s="51">
        <v>2008</v>
      </c>
      <c r="D3105" s="51" t="s">
        <v>101</v>
      </c>
      <c r="E3105" s="51">
        <v>5</v>
      </c>
      <c r="F3105" s="52" t="s">
        <v>2483</v>
      </c>
      <c r="G3105" s="51"/>
      <c r="H3105" s="53"/>
      <c r="I3105" s="54"/>
    </row>
    <row r="3106" spans="2:9" s="1" customFormat="1" x14ac:dyDescent="0.2">
      <c r="B3106" s="55" t="str">
        <f t="shared" si="64"/>
        <v>2008-073-0</v>
      </c>
      <c r="C3106" s="56">
        <v>2008</v>
      </c>
      <c r="D3106" s="56" t="s">
        <v>102</v>
      </c>
      <c r="E3106" s="56">
        <v>0</v>
      </c>
      <c r="F3106" s="57" t="s">
        <v>503</v>
      </c>
      <c r="G3106" s="56"/>
      <c r="H3106" s="58"/>
      <c r="I3106" s="59"/>
    </row>
    <row r="3107" spans="2:9" s="1" customFormat="1" ht="27" x14ac:dyDescent="0.2">
      <c r="B3107" s="44" t="str">
        <f t="shared" si="64"/>
        <v>2008-073-1</v>
      </c>
      <c r="C3107" s="45">
        <v>2008</v>
      </c>
      <c r="D3107" s="45" t="s">
        <v>102</v>
      </c>
      <c r="E3107" s="45">
        <v>1</v>
      </c>
      <c r="F3107" s="47" t="s">
        <v>905</v>
      </c>
      <c r="G3107" s="45" t="s">
        <v>3210</v>
      </c>
      <c r="H3107" s="48"/>
      <c r="I3107" s="49"/>
    </row>
    <row r="3108" spans="2:9" s="1" customFormat="1" x14ac:dyDescent="0.2">
      <c r="B3108" s="44" t="str">
        <f t="shared" si="64"/>
        <v>2008-073-2</v>
      </c>
      <c r="C3108" s="45">
        <v>2008</v>
      </c>
      <c r="D3108" s="45" t="s">
        <v>102</v>
      </c>
      <c r="E3108" s="45">
        <v>2</v>
      </c>
      <c r="F3108" s="47" t="s">
        <v>1300</v>
      </c>
      <c r="G3108" s="45"/>
      <c r="H3108" s="48"/>
      <c r="I3108" s="49"/>
    </row>
    <row r="3109" spans="2:9" s="1" customFormat="1" x14ac:dyDescent="0.2">
      <c r="B3109" s="44" t="str">
        <f t="shared" si="64"/>
        <v>2008-073-3</v>
      </c>
      <c r="C3109" s="45">
        <v>2008</v>
      </c>
      <c r="D3109" s="45" t="s">
        <v>102</v>
      </c>
      <c r="E3109" s="45">
        <v>3</v>
      </c>
      <c r="F3109" s="47" t="s">
        <v>1696</v>
      </c>
      <c r="G3109" s="45"/>
      <c r="H3109" s="48"/>
      <c r="I3109" s="49"/>
    </row>
    <row r="3110" spans="2:9" s="1" customFormat="1" ht="27" x14ac:dyDescent="0.2">
      <c r="B3110" s="44" t="str">
        <f t="shared" si="64"/>
        <v>2008-073-4</v>
      </c>
      <c r="C3110" s="45">
        <v>2008</v>
      </c>
      <c r="D3110" s="45" t="s">
        <v>102</v>
      </c>
      <c r="E3110" s="45">
        <v>4</v>
      </c>
      <c r="F3110" s="47" t="s">
        <v>2091</v>
      </c>
      <c r="G3110" s="45"/>
      <c r="H3110" s="48"/>
      <c r="I3110" s="49"/>
    </row>
    <row r="3111" spans="2:9" s="1" customFormat="1" x14ac:dyDescent="0.2">
      <c r="B3111" s="50" t="str">
        <f t="shared" si="64"/>
        <v>2008-073-5</v>
      </c>
      <c r="C3111" s="51">
        <v>2008</v>
      </c>
      <c r="D3111" s="51" t="s">
        <v>102</v>
      </c>
      <c r="E3111" s="51">
        <v>5</v>
      </c>
      <c r="F3111" s="52" t="s">
        <v>2484</v>
      </c>
      <c r="G3111" s="51"/>
      <c r="H3111" s="53"/>
      <c r="I3111" s="54"/>
    </row>
    <row r="3112" spans="2:9" s="1" customFormat="1" x14ac:dyDescent="0.2">
      <c r="B3112" s="55" t="str">
        <f t="shared" si="64"/>
        <v>2008-074-0</v>
      </c>
      <c r="C3112" s="56">
        <v>2008</v>
      </c>
      <c r="D3112" s="56" t="s">
        <v>103</v>
      </c>
      <c r="E3112" s="56">
        <v>0</v>
      </c>
      <c r="F3112" s="57" t="s">
        <v>504</v>
      </c>
      <c r="G3112" s="56"/>
      <c r="H3112" s="58"/>
      <c r="I3112" s="59"/>
    </row>
    <row r="3113" spans="2:9" s="1" customFormat="1" x14ac:dyDescent="0.2">
      <c r="B3113" s="44" t="str">
        <f t="shared" si="64"/>
        <v>2008-074-1</v>
      </c>
      <c r="C3113" s="45">
        <v>2008</v>
      </c>
      <c r="D3113" s="45" t="s">
        <v>103</v>
      </c>
      <c r="E3113" s="45">
        <v>1</v>
      </c>
      <c r="F3113" s="47" t="s">
        <v>906</v>
      </c>
      <c r="G3113" s="45"/>
      <c r="H3113" s="48"/>
      <c r="I3113" s="49"/>
    </row>
    <row r="3114" spans="2:9" s="1" customFormat="1" ht="27" x14ac:dyDescent="0.2">
      <c r="B3114" s="44" t="str">
        <f t="shared" si="64"/>
        <v>2008-074-2</v>
      </c>
      <c r="C3114" s="45">
        <v>2008</v>
      </c>
      <c r="D3114" s="45" t="s">
        <v>103</v>
      </c>
      <c r="E3114" s="45">
        <v>2</v>
      </c>
      <c r="F3114" s="47" t="s">
        <v>1301</v>
      </c>
      <c r="G3114" s="45" t="s">
        <v>3210</v>
      </c>
      <c r="H3114" s="48"/>
      <c r="I3114" s="49"/>
    </row>
    <row r="3115" spans="2:9" s="1" customFormat="1" x14ac:dyDescent="0.2">
      <c r="B3115" s="44" t="str">
        <f t="shared" si="64"/>
        <v>2008-074-3</v>
      </c>
      <c r="C3115" s="45">
        <v>2008</v>
      </c>
      <c r="D3115" s="45" t="s">
        <v>103</v>
      </c>
      <c r="E3115" s="45">
        <v>3</v>
      </c>
      <c r="F3115" s="47" t="s">
        <v>1697</v>
      </c>
      <c r="G3115" s="45"/>
      <c r="H3115" s="48"/>
      <c r="I3115" s="49"/>
    </row>
    <row r="3116" spans="2:9" s="1" customFormat="1" x14ac:dyDescent="0.2">
      <c r="B3116" s="44" t="str">
        <f t="shared" si="64"/>
        <v>2008-074-4</v>
      </c>
      <c r="C3116" s="45">
        <v>2008</v>
      </c>
      <c r="D3116" s="45" t="s">
        <v>103</v>
      </c>
      <c r="E3116" s="45">
        <v>4</v>
      </c>
      <c r="F3116" s="47" t="s">
        <v>2092</v>
      </c>
      <c r="G3116" s="45"/>
      <c r="H3116" s="48"/>
      <c r="I3116" s="49"/>
    </row>
    <row r="3117" spans="2:9" s="1" customFormat="1" ht="27" x14ac:dyDescent="0.2">
      <c r="B3117" s="50" t="str">
        <f t="shared" si="64"/>
        <v>2008-074-5</v>
      </c>
      <c r="C3117" s="51">
        <v>2008</v>
      </c>
      <c r="D3117" s="51" t="s">
        <v>103</v>
      </c>
      <c r="E3117" s="51">
        <v>5</v>
      </c>
      <c r="F3117" s="52" t="s">
        <v>2485</v>
      </c>
      <c r="G3117" s="51"/>
      <c r="H3117" s="53"/>
      <c r="I3117" s="54"/>
    </row>
    <row r="3118" spans="2:9" s="1" customFormat="1" x14ac:dyDescent="0.2">
      <c r="B3118" s="55" t="str">
        <f t="shared" si="64"/>
        <v>2008-075-0</v>
      </c>
      <c r="C3118" s="56">
        <v>2008</v>
      </c>
      <c r="D3118" s="56" t="s">
        <v>104</v>
      </c>
      <c r="E3118" s="56">
        <v>0</v>
      </c>
      <c r="F3118" s="57" t="s">
        <v>505</v>
      </c>
      <c r="G3118" s="56"/>
      <c r="H3118" s="58"/>
      <c r="I3118" s="59"/>
    </row>
    <row r="3119" spans="2:9" s="1" customFormat="1" x14ac:dyDescent="0.2">
      <c r="B3119" s="44" t="str">
        <f t="shared" si="64"/>
        <v>2008-075-1</v>
      </c>
      <c r="C3119" s="45">
        <v>2008</v>
      </c>
      <c r="D3119" s="45" t="s">
        <v>104</v>
      </c>
      <c r="E3119" s="45">
        <v>1</v>
      </c>
      <c r="F3119" s="47" t="s">
        <v>907</v>
      </c>
      <c r="G3119" s="45"/>
      <c r="H3119" s="48"/>
      <c r="I3119" s="49"/>
    </row>
    <row r="3120" spans="2:9" s="1" customFormat="1" ht="27" x14ac:dyDescent="0.2">
      <c r="B3120" s="44" t="str">
        <f t="shared" si="64"/>
        <v>2008-075-2</v>
      </c>
      <c r="C3120" s="45">
        <v>2008</v>
      </c>
      <c r="D3120" s="45" t="s">
        <v>104</v>
      </c>
      <c r="E3120" s="45">
        <v>2</v>
      </c>
      <c r="F3120" s="47" t="s">
        <v>1302</v>
      </c>
      <c r="G3120" s="45"/>
      <c r="H3120" s="48"/>
      <c r="I3120" s="49"/>
    </row>
    <row r="3121" spans="2:9" s="1" customFormat="1" x14ac:dyDescent="0.2">
      <c r="B3121" s="44" t="str">
        <f t="shared" si="64"/>
        <v>2008-075-3</v>
      </c>
      <c r="C3121" s="45">
        <v>2008</v>
      </c>
      <c r="D3121" s="45" t="s">
        <v>104</v>
      </c>
      <c r="E3121" s="45">
        <v>3</v>
      </c>
      <c r="F3121" s="47" t="s">
        <v>1698</v>
      </c>
      <c r="G3121" s="45"/>
      <c r="H3121" s="48"/>
      <c r="I3121" s="49"/>
    </row>
    <row r="3122" spans="2:9" s="1" customFormat="1" x14ac:dyDescent="0.2">
      <c r="B3122" s="44" t="str">
        <f t="shared" si="64"/>
        <v>2008-075-4</v>
      </c>
      <c r="C3122" s="45">
        <v>2008</v>
      </c>
      <c r="D3122" s="45" t="s">
        <v>104</v>
      </c>
      <c r="E3122" s="45">
        <v>4</v>
      </c>
      <c r="F3122" s="47" t="s">
        <v>2093</v>
      </c>
      <c r="G3122" s="45"/>
      <c r="H3122" s="48"/>
      <c r="I3122" s="49"/>
    </row>
    <row r="3123" spans="2:9" s="1" customFormat="1" ht="14.25" thickBot="1" x14ac:dyDescent="0.25">
      <c r="B3123" s="60" t="str">
        <f t="shared" si="64"/>
        <v>2008-075-5</v>
      </c>
      <c r="C3123" s="61">
        <v>2008</v>
      </c>
      <c r="D3123" s="61" t="s">
        <v>104</v>
      </c>
      <c r="E3123" s="61">
        <v>5</v>
      </c>
      <c r="F3123" s="62" t="s">
        <v>2486</v>
      </c>
      <c r="G3123" s="61" t="s">
        <v>3210</v>
      </c>
      <c r="H3123" s="63"/>
      <c r="I3123" s="64"/>
    </row>
  </sheetData>
  <autoFilter ref="B3:I3123" xr:uid="{771C08EA-A7F4-4083-AAAA-5DF540F2F338}"/>
  <mergeCells count="1">
    <mergeCell ref="D2:E2"/>
  </mergeCells>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11" activePane="bottomLeft" state="frozen"/>
      <selection pane="bottomLeft" activeCell="D26" sqref="D26"/>
    </sheetView>
  </sheetViews>
  <sheetFormatPr defaultRowHeight="13.5" x14ac:dyDescent="0.2"/>
  <cols>
    <col min="1" max="1" width="9.140625" style="1"/>
    <col min="2" max="2" width="11.7109375" style="4" customWidth="1"/>
    <col min="3" max="3" width="5.7109375" style="4" customWidth="1"/>
    <col min="4" max="4" width="98.7109375" style="70" customWidth="1"/>
    <col min="5" max="7" width="5.7109375" style="4" customWidth="1"/>
    <col min="8" max="16384" width="9.140625" style="1"/>
  </cols>
  <sheetData>
    <row r="2" spans="2:10" x14ac:dyDescent="0.2">
      <c r="B2" s="68" t="s">
        <v>62</v>
      </c>
      <c r="C2" s="69">
        <v>40</v>
      </c>
    </row>
    <row r="3" spans="2:10" x14ac:dyDescent="0.2">
      <c r="B3" s="68" t="s">
        <v>76</v>
      </c>
      <c r="C3" s="69" t="s">
        <v>69</v>
      </c>
    </row>
    <row r="4" spans="2:10" x14ac:dyDescent="0.2">
      <c r="B4" s="68" t="s">
        <v>77</v>
      </c>
      <c r="C4" s="69" t="s">
        <v>69</v>
      </c>
    </row>
    <row r="5" spans="2:10" x14ac:dyDescent="0.2">
      <c r="B5" s="68" t="s">
        <v>63</v>
      </c>
      <c r="C5" s="69">
        <v>2024</v>
      </c>
    </row>
    <row r="6" spans="2:10" x14ac:dyDescent="0.2">
      <c r="B6" s="68" t="s">
        <v>64</v>
      </c>
      <c r="C6" s="69">
        <v>2024</v>
      </c>
    </row>
    <row r="10" spans="2:10" x14ac:dyDescent="0.2">
      <c r="B10" s="71" t="s">
        <v>65</v>
      </c>
      <c r="C10" s="71" t="s">
        <v>1</v>
      </c>
      <c r="D10" s="71" t="s">
        <v>66</v>
      </c>
      <c r="E10" s="71" t="s">
        <v>67</v>
      </c>
      <c r="F10" s="71" t="s">
        <v>75</v>
      </c>
      <c r="G10" s="71" t="s">
        <v>68</v>
      </c>
    </row>
    <row r="11" spans="2:10" x14ac:dyDescent="0.2">
      <c r="B11" s="72" t="s">
        <v>3211</v>
      </c>
      <c r="C11" s="72">
        <v>1</v>
      </c>
      <c r="D11" s="73" t="s">
        <v>105</v>
      </c>
      <c r="E11" s="74">
        <v>4</v>
      </c>
      <c r="F11" s="72"/>
      <c r="G11" s="72" t="str">
        <f>IF(F11&lt;&gt;"", IF(E11=F11, "O", "X"), "")</f>
        <v/>
      </c>
      <c r="H11" s="3"/>
      <c r="I11" s="3"/>
      <c r="J11" s="3"/>
    </row>
    <row r="12" spans="2:10" x14ac:dyDescent="0.2">
      <c r="B12" s="175" t="s">
        <v>3212</v>
      </c>
      <c r="C12" s="175" t="s">
        <v>70</v>
      </c>
      <c r="D12" s="176" t="s">
        <v>506</v>
      </c>
      <c r="E12" s="175"/>
      <c r="F12" s="175"/>
      <c r="G12" s="175"/>
      <c r="H12" s="3"/>
      <c r="I12" s="3"/>
      <c r="J12" s="3"/>
    </row>
    <row r="13" spans="2:10" x14ac:dyDescent="0.2">
      <c r="B13" s="175" t="s">
        <v>3213</v>
      </c>
      <c r="C13" s="175" t="s">
        <v>71</v>
      </c>
      <c r="D13" s="176" t="s">
        <v>908</v>
      </c>
      <c r="E13" s="175"/>
      <c r="F13" s="175"/>
      <c r="G13" s="175"/>
      <c r="H13" s="3"/>
      <c r="I13" s="3"/>
      <c r="J13" s="3"/>
    </row>
    <row r="14" spans="2:10" x14ac:dyDescent="0.2">
      <c r="B14" s="175" t="s">
        <v>3214</v>
      </c>
      <c r="C14" s="175" t="s">
        <v>72</v>
      </c>
      <c r="D14" s="176" t="s">
        <v>1303</v>
      </c>
      <c r="E14" s="175"/>
      <c r="F14" s="175"/>
      <c r="G14" s="175"/>
      <c r="H14" s="3"/>
      <c r="I14" s="3"/>
      <c r="J14" s="3"/>
    </row>
    <row r="15" spans="2:10" ht="27" x14ac:dyDescent="0.2">
      <c r="B15" s="175" t="s">
        <v>3215</v>
      </c>
      <c r="C15" s="175" t="s">
        <v>73</v>
      </c>
      <c r="D15" s="176" t="s">
        <v>1699</v>
      </c>
      <c r="E15" s="175"/>
      <c r="F15" s="175"/>
      <c r="G15" s="175"/>
      <c r="H15" s="3"/>
      <c r="I15" s="3"/>
      <c r="J15" s="3"/>
    </row>
    <row r="16" spans="2:10" ht="27" x14ac:dyDescent="0.2">
      <c r="B16" s="175" t="s">
        <v>3216</v>
      </c>
      <c r="C16" s="175" t="s">
        <v>74</v>
      </c>
      <c r="D16" s="176" t="s">
        <v>2094</v>
      </c>
      <c r="E16" s="175"/>
      <c r="F16" s="175"/>
      <c r="G16" s="175"/>
      <c r="H16" s="3"/>
      <c r="I16" s="3"/>
      <c r="J16" s="3"/>
    </row>
    <row r="17" spans="2:10" x14ac:dyDescent="0.2">
      <c r="B17" s="72" t="s">
        <v>3217</v>
      </c>
      <c r="C17" s="72">
        <v>2</v>
      </c>
      <c r="D17" s="73" t="s">
        <v>106</v>
      </c>
      <c r="E17" s="74">
        <v>2</v>
      </c>
      <c r="F17" s="72"/>
      <c r="G17" s="72" t="str">
        <f>IF(F17&lt;&gt;"", IF(E17=F17, "O", "X"), "")</f>
        <v/>
      </c>
      <c r="H17" s="3"/>
      <c r="I17" s="3"/>
      <c r="J17" s="3"/>
    </row>
    <row r="18" spans="2:10" x14ac:dyDescent="0.2">
      <c r="B18" s="175" t="s">
        <v>3218</v>
      </c>
      <c r="C18" s="175" t="s">
        <v>70</v>
      </c>
      <c r="D18" s="176" t="s">
        <v>507</v>
      </c>
      <c r="E18" s="175"/>
      <c r="F18" s="175"/>
      <c r="G18" s="175"/>
      <c r="H18" s="3"/>
      <c r="I18" s="3"/>
      <c r="J18" s="3"/>
    </row>
    <row r="19" spans="2:10" x14ac:dyDescent="0.2">
      <c r="B19" s="175" t="s">
        <v>3219</v>
      </c>
      <c r="C19" s="175" t="s">
        <v>71</v>
      </c>
      <c r="D19" s="176" t="s">
        <v>909</v>
      </c>
      <c r="E19" s="175"/>
      <c r="F19" s="175"/>
      <c r="G19" s="175"/>
      <c r="H19" s="3"/>
      <c r="I19" s="3"/>
      <c r="J19" s="3"/>
    </row>
    <row r="20" spans="2:10" x14ac:dyDescent="0.2">
      <c r="B20" s="175" t="s">
        <v>3220</v>
      </c>
      <c r="C20" s="175" t="s">
        <v>72</v>
      </c>
      <c r="D20" s="176" t="s">
        <v>1304</v>
      </c>
      <c r="E20" s="175"/>
      <c r="F20" s="175"/>
      <c r="G20" s="175"/>
      <c r="H20" s="3"/>
      <c r="I20" s="3"/>
      <c r="J20" s="3"/>
    </row>
    <row r="21" spans="2:10" x14ac:dyDescent="0.2">
      <c r="B21" s="175" t="s">
        <v>3221</v>
      </c>
      <c r="C21" s="175" t="s">
        <v>73</v>
      </c>
      <c r="D21" s="176" t="s">
        <v>1700</v>
      </c>
      <c r="E21" s="175"/>
      <c r="F21" s="175"/>
      <c r="G21" s="175"/>
      <c r="H21" s="3"/>
      <c r="I21" s="3"/>
      <c r="J21" s="3"/>
    </row>
    <row r="22" spans="2:10" x14ac:dyDescent="0.2">
      <c r="B22" s="175" t="s">
        <v>3222</v>
      </c>
      <c r="C22" s="175" t="s">
        <v>74</v>
      </c>
      <c r="D22" s="176" t="s">
        <v>2095</v>
      </c>
      <c r="E22" s="175"/>
      <c r="F22" s="175"/>
      <c r="G22" s="175"/>
      <c r="H22" s="3"/>
      <c r="I22" s="3"/>
      <c r="J22" s="3"/>
    </row>
    <row r="23" spans="2:10" x14ac:dyDescent="0.2">
      <c r="B23" s="72" t="s">
        <v>3223</v>
      </c>
      <c r="C23" s="72">
        <v>3</v>
      </c>
      <c r="D23" s="73" t="s">
        <v>107</v>
      </c>
      <c r="E23" s="74">
        <v>1</v>
      </c>
      <c r="F23" s="72"/>
      <c r="G23" s="72" t="str">
        <f>IF(F23&lt;&gt;"", IF(E23=F23, "O", "X"), "")</f>
        <v/>
      </c>
      <c r="H23" s="3"/>
      <c r="I23" s="3"/>
      <c r="J23" s="3"/>
    </row>
    <row r="24" spans="2:10" ht="27" x14ac:dyDescent="0.2">
      <c r="B24" s="175" t="s">
        <v>3224</v>
      </c>
      <c r="C24" s="175" t="s">
        <v>70</v>
      </c>
      <c r="D24" s="176" t="s">
        <v>508</v>
      </c>
      <c r="E24" s="175"/>
      <c r="F24" s="175"/>
      <c r="G24" s="175"/>
      <c r="H24" s="3"/>
      <c r="I24" s="3"/>
      <c r="J24" s="3"/>
    </row>
    <row r="25" spans="2:10" ht="27" x14ac:dyDescent="0.2">
      <c r="B25" s="175" t="s">
        <v>3225</v>
      </c>
      <c r="C25" s="175" t="s">
        <v>71</v>
      </c>
      <c r="D25" s="176" t="s">
        <v>910</v>
      </c>
      <c r="E25" s="175"/>
      <c r="F25" s="175"/>
      <c r="G25" s="175"/>
      <c r="H25" s="3"/>
      <c r="I25" s="3"/>
      <c r="J25" s="3"/>
    </row>
    <row r="26" spans="2:10" ht="27" x14ac:dyDescent="0.2">
      <c r="B26" s="175" t="s">
        <v>3226</v>
      </c>
      <c r="C26" s="175" t="s">
        <v>72</v>
      </c>
      <c r="D26" s="176" t="s">
        <v>1305</v>
      </c>
      <c r="E26" s="175"/>
      <c r="F26" s="175"/>
      <c r="G26" s="175"/>
      <c r="H26" s="3"/>
      <c r="I26" s="3"/>
      <c r="J26" s="3"/>
    </row>
    <row r="27" spans="2:10" x14ac:dyDescent="0.2">
      <c r="B27" s="175" t="s">
        <v>3227</v>
      </c>
      <c r="C27" s="175" t="s">
        <v>73</v>
      </c>
      <c r="D27" s="176" t="s">
        <v>1701</v>
      </c>
      <c r="E27" s="175"/>
      <c r="F27" s="175"/>
      <c r="G27" s="175"/>
      <c r="H27" s="3"/>
      <c r="I27" s="3"/>
      <c r="J27" s="3"/>
    </row>
    <row r="28" spans="2:10" x14ac:dyDescent="0.2">
      <c r="B28" s="175" t="s">
        <v>3228</v>
      </c>
      <c r="C28" s="175" t="s">
        <v>74</v>
      </c>
      <c r="D28" s="176" t="s">
        <v>2096</v>
      </c>
      <c r="E28" s="175"/>
      <c r="F28" s="175"/>
      <c r="G28" s="175"/>
      <c r="H28" s="3"/>
      <c r="I28" s="3"/>
      <c r="J28" s="3"/>
    </row>
    <row r="29" spans="2:10" x14ac:dyDescent="0.2">
      <c r="B29" s="72" t="s">
        <v>3229</v>
      </c>
      <c r="C29" s="72">
        <v>4</v>
      </c>
      <c r="D29" s="73" t="s">
        <v>108</v>
      </c>
      <c r="E29" s="74">
        <v>1</v>
      </c>
      <c r="F29" s="72"/>
      <c r="G29" s="72" t="str">
        <f>IF(F29&lt;&gt;"", IF(E29=F29, "O", "X"), "")</f>
        <v/>
      </c>
      <c r="H29" s="3"/>
      <c r="I29" s="3"/>
      <c r="J29" s="3"/>
    </row>
    <row r="30" spans="2:10" x14ac:dyDescent="0.2">
      <c r="B30" s="175" t="s">
        <v>3230</v>
      </c>
      <c r="C30" s="175" t="s">
        <v>70</v>
      </c>
      <c r="D30" s="176" t="s">
        <v>509</v>
      </c>
      <c r="E30" s="175"/>
      <c r="F30" s="175"/>
      <c r="G30" s="175"/>
      <c r="H30" s="3"/>
      <c r="I30" s="3"/>
      <c r="J30" s="3"/>
    </row>
    <row r="31" spans="2:10" x14ac:dyDescent="0.2">
      <c r="B31" s="175" t="s">
        <v>3231</v>
      </c>
      <c r="C31" s="175" t="s">
        <v>71</v>
      </c>
      <c r="D31" s="176" t="s">
        <v>911</v>
      </c>
      <c r="E31" s="175"/>
      <c r="F31" s="175"/>
      <c r="G31" s="175"/>
      <c r="H31" s="3"/>
      <c r="I31" s="3"/>
      <c r="J31" s="3"/>
    </row>
    <row r="32" spans="2:10" ht="27" x14ac:dyDescent="0.2">
      <c r="B32" s="175" t="s">
        <v>3232</v>
      </c>
      <c r="C32" s="175" t="s">
        <v>72</v>
      </c>
      <c r="D32" s="176" t="s">
        <v>1306</v>
      </c>
      <c r="E32" s="175"/>
      <c r="F32" s="175"/>
      <c r="G32" s="175"/>
      <c r="H32" s="3"/>
      <c r="I32" s="3"/>
      <c r="J32" s="3"/>
    </row>
    <row r="33" spans="2:10" ht="27" x14ac:dyDescent="0.2">
      <c r="B33" s="175" t="s">
        <v>3233</v>
      </c>
      <c r="C33" s="175" t="s">
        <v>73</v>
      </c>
      <c r="D33" s="176" t="s">
        <v>1702</v>
      </c>
      <c r="E33" s="175"/>
      <c r="F33" s="175"/>
      <c r="G33" s="175"/>
      <c r="H33" s="3"/>
      <c r="I33" s="3"/>
      <c r="J33" s="3"/>
    </row>
    <row r="34" spans="2:10" x14ac:dyDescent="0.2">
      <c r="B34" s="175" t="s">
        <v>3234</v>
      </c>
      <c r="C34" s="175" t="s">
        <v>74</v>
      </c>
      <c r="D34" s="176" t="s">
        <v>2097</v>
      </c>
      <c r="E34" s="175"/>
      <c r="F34" s="175"/>
      <c r="G34" s="175"/>
      <c r="H34" s="3"/>
      <c r="I34" s="3"/>
      <c r="J34" s="3"/>
    </row>
    <row r="35" spans="2:10" x14ac:dyDescent="0.2">
      <c r="B35" s="72" t="s">
        <v>3235</v>
      </c>
      <c r="C35" s="72">
        <v>5</v>
      </c>
      <c r="D35" s="73" t="s">
        <v>109</v>
      </c>
      <c r="E35" s="74">
        <v>2</v>
      </c>
      <c r="F35" s="72"/>
      <c r="G35" s="72" t="str">
        <f>IF(F35&lt;&gt;"", IF(E35=F35, "O", "X"), "")</f>
        <v/>
      </c>
      <c r="H35" s="3"/>
      <c r="I35" s="3"/>
      <c r="J35" s="3"/>
    </row>
    <row r="36" spans="2:10" ht="27" x14ac:dyDescent="0.2">
      <c r="B36" s="175" t="s">
        <v>3236</v>
      </c>
      <c r="C36" s="175" t="s">
        <v>70</v>
      </c>
      <c r="D36" s="176" t="s">
        <v>510</v>
      </c>
      <c r="E36" s="175"/>
      <c r="F36" s="175"/>
      <c r="G36" s="175"/>
      <c r="H36" s="3"/>
      <c r="I36" s="3"/>
      <c r="J36" s="3"/>
    </row>
    <row r="37" spans="2:10" x14ac:dyDescent="0.2">
      <c r="B37" s="175" t="s">
        <v>3237</v>
      </c>
      <c r="C37" s="175" t="s">
        <v>71</v>
      </c>
      <c r="D37" s="176" t="s">
        <v>912</v>
      </c>
      <c r="E37" s="175"/>
      <c r="F37" s="175"/>
      <c r="G37" s="175"/>
      <c r="H37" s="3"/>
      <c r="I37" s="3"/>
      <c r="J37" s="3"/>
    </row>
    <row r="38" spans="2:10" ht="27" x14ac:dyDescent="0.2">
      <c r="B38" s="175" t="s">
        <v>3238</v>
      </c>
      <c r="C38" s="175" t="s">
        <v>72</v>
      </c>
      <c r="D38" s="176" t="s">
        <v>1307</v>
      </c>
      <c r="E38" s="175"/>
      <c r="F38" s="175"/>
      <c r="G38" s="175"/>
      <c r="H38" s="3"/>
      <c r="I38" s="3"/>
      <c r="J38" s="3"/>
    </row>
    <row r="39" spans="2:10" x14ac:dyDescent="0.2">
      <c r="B39" s="175" t="s">
        <v>3239</v>
      </c>
      <c r="C39" s="175" t="s">
        <v>73</v>
      </c>
      <c r="D39" s="176" t="s">
        <v>1703</v>
      </c>
      <c r="E39" s="175"/>
      <c r="F39" s="175"/>
      <c r="G39" s="175"/>
      <c r="H39" s="3"/>
      <c r="I39" s="3"/>
      <c r="J39" s="3"/>
    </row>
    <row r="40" spans="2:10" x14ac:dyDescent="0.2">
      <c r="B40" s="175" t="s">
        <v>3240</v>
      </c>
      <c r="C40" s="175" t="s">
        <v>74</v>
      </c>
      <c r="D40" s="176" t="s">
        <v>2098</v>
      </c>
      <c r="E40" s="175"/>
      <c r="F40" s="175"/>
      <c r="G40" s="175"/>
      <c r="H40" s="3"/>
      <c r="I40" s="3"/>
      <c r="J40" s="3"/>
    </row>
    <row r="41" spans="2:10" x14ac:dyDescent="0.2">
      <c r="B41" s="72" t="s">
        <v>3241</v>
      </c>
      <c r="C41" s="72">
        <v>6</v>
      </c>
      <c r="D41" s="73" t="s">
        <v>110</v>
      </c>
      <c r="E41" s="74">
        <v>2</v>
      </c>
      <c r="F41" s="72"/>
      <c r="G41" s="72" t="str">
        <f>IF(F41&lt;&gt;"", IF(E41=F41, "O", "X"), "")</f>
        <v/>
      </c>
      <c r="H41" s="3"/>
      <c r="I41" s="3"/>
      <c r="J41" s="3"/>
    </row>
    <row r="42" spans="2:10" x14ac:dyDescent="0.2">
      <c r="B42" s="175" t="s">
        <v>3242</v>
      </c>
      <c r="C42" s="175" t="s">
        <v>70</v>
      </c>
      <c r="D42" s="176" t="s">
        <v>511</v>
      </c>
      <c r="E42" s="175"/>
      <c r="F42" s="175"/>
      <c r="G42" s="175"/>
      <c r="H42" s="3"/>
      <c r="I42" s="3"/>
      <c r="J42" s="3"/>
    </row>
    <row r="43" spans="2:10" x14ac:dyDescent="0.2">
      <c r="B43" s="175" t="s">
        <v>3243</v>
      </c>
      <c r="C43" s="175" t="s">
        <v>71</v>
      </c>
      <c r="D43" s="176" t="s">
        <v>913</v>
      </c>
      <c r="E43" s="175"/>
      <c r="F43" s="175"/>
      <c r="G43" s="175"/>
      <c r="H43" s="3"/>
      <c r="I43" s="3"/>
      <c r="J43" s="3"/>
    </row>
    <row r="44" spans="2:10" ht="27" x14ac:dyDescent="0.2">
      <c r="B44" s="175" t="s">
        <v>3244</v>
      </c>
      <c r="C44" s="175" t="s">
        <v>72</v>
      </c>
      <c r="D44" s="176" t="s">
        <v>1308</v>
      </c>
      <c r="E44" s="175"/>
      <c r="F44" s="175"/>
      <c r="G44" s="175"/>
      <c r="H44" s="3"/>
      <c r="I44" s="3"/>
      <c r="J44" s="3"/>
    </row>
    <row r="45" spans="2:10" ht="27" x14ac:dyDescent="0.2">
      <c r="B45" s="175" t="s">
        <v>3245</v>
      </c>
      <c r="C45" s="175" t="s">
        <v>73</v>
      </c>
      <c r="D45" s="176" t="s">
        <v>1704</v>
      </c>
      <c r="E45" s="175"/>
      <c r="F45" s="175"/>
      <c r="G45" s="175"/>
      <c r="H45" s="3"/>
      <c r="I45" s="3"/>
      <c r="J45" s="3"/>
    </row>
    <row r="46" spans="2:10" ht="27" x14ac:dyDescent="0.2">
      <c r="B46" s="175" t="s">
        <v>3246</v>
      </c>
      <c r="C46" s="175" t="s">
        <v>74</v>
      </c>
      <c r="D46" s="176" t="s">
        <v>2099</v>
      </c>
      <c r="E46" s="175"/>
      <c r="F46" s="175"/>
      <c r="G46" s="175"/>
      <c r="H46" s="3"/>
      <c r="I46" s="3"/>
      <c r="J46" s="3"/>
    </row>
    <row r="47" spans="2:10" ht="108" x14ac:dyDescent="0.2">
      <c r="B47" s="72" t="s">
        <v>3247</v>
      </c>
      <c r="C47" s="72">
        <v>7</v>
      </c>
      <c r="D47" s="73" t="s">
        <v>111</v>
      </c>
      <c r="E47" s="74">
        <v>1</v>
      </c>
      <c r="F47" s="72"/>
      <c r="G47" s="72" t="str">
        <f>IF(F47&lt;&gt;"", IF(E47=F47, "O", "X"), "")</f>
        <v/>
      </c>
      <c r="H47" s="3"/>
      <c r="I47" s="3"/>
      <c r="J47" s="3"/>
    </row>
    <row r="48" spans="2:10" x14ac:dyDescent="0.2">
      <c r="B48" s="175" t="s">
        <v>3248</v>
      </c>
      <c r="C48" s="175" t="s">
        <v>70</v>
      </c>
      <c r="D48" s="176" t="s">
        <v>45</v>
      </c>
      <c r="E48" s="175"/>
      <c r="F48" s="175"/>
      <c r="G48" s="175"/>
      <c r="H48" s="3"/>
      <c r="I48" s="3"/>
      <c r="J48" s="3"/>
    </row>
    <row r="49" spans="2:10" x14ac:dyDescent="0.2">
      <c r="B49" s="175" t="s">
        <v>3249</v>
      </c>
      <c r="C49" s="175" t="s">
        <v>71</v>
      </c>
      <c r="D49" s="176" t="s">
        <v>50</v>
      </c>
      <c r="E49" s="175"/>
      <c r="F49" s="175"/>
      <c r="G49" s="175"/>
      <c r="H49" s="3"/>
      <c r="I49" s="3"/>
      <c r="J49" s="3"/>
    </row>
    <row r="50" spans="2:10" x14ac:dyDescent="0.2">
      <c r="B50" s="175" t="s">
        <v>3250</v>
      </c>
      <c r="C50" s="175" t="s">
        <v>72</v>
      </c>
      <c r="D50" s="176" t="s">
        <v>47</v>
      </c>
      <c r="E50" s="175"/>
      <c r="F50" s="175"/>
      <c r="G50" s="175"/>
      <c r="H50" s="3"/>
      <c r="I50" s="3"/>
      <c r="J50" s="3"/>
    </row>
    <row r="51" spans="2:10" x14ac:dyDescent="0.2">
      <c r="B51" s="175" t="s">
        <v>3251</v>
      </c>
      <c r="C51" s="175" t="s">
        <v>73</v>
      </c>
      <c r="D51" s="176" t="s">
        <v>55</v>
      </c>
      <c r="E51" s="175"/>
      <c r="F51" s="175"/>
      <c r="G51" s="175"/>
      <c r="H51" s="3"/>
      <c r="I51" s="3"/>
      <c r="J51" s="3"/>
    </row>
    <row r="52" spans="2:10" x14ac:dyDescent="0.2">
      <c r="B52" s="175" t="s">
        <v>3252</v>
      </c>
      <c r="C52" s="175" t="s">
        <v>74</v>
      </c>
      <c r="D52" s="176" t="s">
        <v>46</v>
      </c>
      <c r="E52" s="175"/>
      <c r="F52" s="175"/>
      <c r="G52" s="175"/>
      <c r="H52" s="3"/>
      <c r="I52" s="3"/>
      <c r="J52" s="3"/>
    </row>
    <row r="53" spans="2:10" x14ac:dyDescent="0.2">
      <c r="B53" s="72" t="s">
        <v>3253</v>
      </c>
      <c r="C53" s="72">
        <v>8</v>
      </c>
      <c r="D53" s="73" t="s">
        <v>112</v>
      </c>
      <c r="E53" s="74">
        <v>1</v>
      </c>
      <c r="F53" s="72"/>
      <c r="G53" s="72" t="str">
        <f>IF(F53&lt;&gt;"", IF(E53=F53, "O", "X"), "")</f>
        <v/>
      </c>
      <c r="H53" s="3"/>
      <c r="I53" s="3"/>
      <c r="J53" s="3"/>
    </row>
    <row r="54" spans="2:10" ht="27" x14ac:dyDescent="0.2">
      <c r="B54" s="175" t="s">
        <v>3254</v>
      </c>
      <c r="C54" s="175" t="s">
        <v>70</v>
      </c>
      <c r="D54" s="176" t="s">
        <v>512</v>
      </c>
      <c r="E54" s="175"/>
      <c r="F54" s="175"/>
      <c r="G54" s="175"/>
      <c r="H54" s="3"/>
      <c r="I54" s="3"/>
      <c r="J54" s="3"/>
    </row>
    <row r="55" spans="2:10" x14ac:dyDescent="0.2">
      <c r="B55" s="175" t="s">
        <v>3255</v>
      </c>
      <c r="C55" s="175" t="s">
        <v>71</v>
      </c>
      <c r="D55" s="176" t="s">
        <v>914</v>
      </c>
      <c r="E55" s="175"/>
      <c r="F55" s="175"/>
      <c r="G55" s="175"/>
      <c r="H55" s="3"/>
      <c r="I55" s="3"/>
      <c r="J55" s="3"/>
    </row>
    <row r="56" spans="2:10" x14ac:dyDescent="0.2">
      <c r="B56" s="175" t="s">
        <v>3256</v>
      </c>
      <c r="C56" s="175" t="s">
        <v>72</v>
      </c>
      <c r="D56" s="176" t="s">
        <v>1309</v>
      </c>
      <c r="E56" s="175"/>
      <c r="F56" s="175"/>
      <c r="G56" s="175"/>
      <c r="H56" s="3"/>
      <c r="I56" s="3"/>
      <c r="J56" s="3"/>
    </row>
    <row r="57" spans="2:10" ht="27" x14ac:dyDescent="0.2">
      <c r="B57" s="175" t="s">
        <v>3257</v>
      </c>
      <c r="C57" s="175" t="s">
        <v>73</v>
      </c>
      <c r="D57" s="176" t="s">
        <v>1705</v>
      </c>
      <c r="E57" s="175"/>
      <c r="F57" s="175"/>
      <c r="G57" s="175"/>
      <c r="H57" s="3"/>
      <c r="I57" s="3"/>
      <c r="J57" s="3"/>
    </row>
    <row r="58" spans="2:10" ht="27" x14ac:dyDescent="0.2">
      <c r="B58" s="175" t="s">
        <v>3258</v>
      </c>
      <c r="C58" s="175" t="s">
        <v>74</v>
      </c>
      <c r="D58" s="176" t="s">
        <v>2100</v>
      </c>
      <c r="E58" s="175"/>
      <c r="F58" s="175"/>
      <c r="G58" s="175"/>
      <c r="H58" s="3"/>
      <c r="I58" s="3"/>
      <c r="J58" s="3"/>
    </row>
    <row r="59" spans="2:10" x14ac:dyDescent="0.2">
      <c r="B59" s="72" t="s">
        <v>3259</v>
      </c>
      <c r="C59" s="72">
        <v>9</v>
      </c>
      <c r="D59" s="73" t="s">
        <v>113</v>
      </c>
      <c r="E59" s="74">
        <v>4</v>
      </c>
      <c r="F59" s="72"/>
      <c r="G59" s="72" t="str">
        <f>IF(F59&lt;&gt;"", IF(E59=F59, "O", "X"), "")</f>
        <v/>
      </c>
      <c r="H59" s="3"/>
      <c r="I59" s="3"/>
      <c r="J59" s="3"/>
    </row>
    <row r="60" spans="2:10" x14ac:dyDescent="0.2">
      <c r="B60" s="175" t="s">
        <v>3260</v>
      </c>
      <c r="C60" s="175" t="s">
        <v>70</v>
      </c>
      <c r="D60" s="176" t="s">
        <v>513</v>
      </c>
      <c r="E60" s="175"/>
      <c r="F60" s="175"/>
      <c r="G60" s="175"/>
      <c r="H60" s="3"/>
      <c r="I60" s="3"/>
      <c r="J60" s="3"/>
    </row>
    <row r="61" spans="2:10" x14ac:dyDescent="0.2">
      <c r="B61" s="175" t="s">
        <v>3261</v>
      </c>
      <c r="C61" s="175" t="s">
        <v>71</v>
      </c>
      <c r="D61" s="176" t="s">
        <v>915</v>
      </c>
      <c r="E61" s="175"/>
      <c r="F61" s="175"/>
      <c r="G61" s="175"/>
      <c r="H61" s="3"/>
      <c r="I61" s="3"/>
      <c r="J61" s="3"/>
    </row>
    <row r="62" spans="2:10" x14ac:dyDescent="0.2">
      <c r="B62" s="175" t="s">
        <v>3262</v>
      </c>
      <c r="C62" s="175" t="s">
        <v>72</v>
      </c>
      <c r="D62" s="176" t="s">
        <v>1310</v>
      </c>
      <c r="E62" s="175"/>
      <c r="F62" s="175"/>
      <c r="G62" s="175"/>
      <c r="H62" s="3"/>
      <c r="I62" s="3"/>
      <c r="J62" s="3"/>
    </row>
    <row r="63" spans="2:10" x14ac:dyDescent="0.2">
      <c r="B63" s="175" t="s">
        <v>3263</v>
      </c>
      <c r="C63" s="175" t="s">
        <v>73</v>
      </c>
      <c r="D63" s="176" t="s">
        <v>1706</v>
      </c>
      <c r="E63" s="175"/>
      <c r="F63" s="175"/>
      <c r="G63" s="175"/>
      <c r="H63" s="3"/>
      <c r="I63" s="3"/>
      <c r="J63" s="3"/>
    </row>
    <row r="64" spans="2:10" ht="27" x14ac:dyDescent="0.2">
      <c r="B64" s="175" t="s">
        <v>3264</v>
      </c>
      <c r="C64" s="175" t="s">
        <v>74</v>
      </c>
      <c r="D64" s="176" t="s">
        <v>2101</v>
      </c>
      <c r="E64" s="175"/>
      <c r="F64" s="175"/>
      <c r="G64" s="175"/>
      <c r="H64" s="3"/>
      <c r="I64" s="3"/>
      <c r="J64" s="3"/>
    </row>
    <row r="65" spans="2:10" x14ac:dyDescent="0.2">
      <c r="B65" s="72" t="s">
        <v>3265</v>
      </c>
      <c r="C65" s="72">
        <v>10</v>
      </c>
      <c r="D65" s="73" t="s">
        <v>114</v>
      </c>
      <c r="E65" s="74">
        <v>4</v>
      </c>
      <c r="F65" s="72"/>
      <c r="G65" s="72" t="str">
        <f>IF(F65&lt;&gt;"", IF(E65=F65, "O", "X"), "")</f>
        <v/>
      </c>
      <c r="H65" s="3"/>
      <c r="I65" s="3"/>
      <c r="J65" s="3"/>
    </row>
    <row r="66" spans="2:10" ht="27" x14ac:dyDescent="0.2">
      <c r="B66" s="175" t="s">
        <v>3266</v>
      </c>
      <c r="C66" s="175" t="s">
        <v>70</v>
      </c>
      <c r="D66" s="176" t="s">
        <v>514</v>
      </c>
      <c r="E66" s="175"/>
      <c r="F66" s="175"/>
      <c r="G66" s="175"/>
      <c r="H66" s="3"/>
      <c r="I66" s="3"/>
      <c r="J66" s="3"/>
    </row>
    <row r="67" spans="2:10" x14ac:dyDescent="0.2">
      <c r="B67" s="175" t="s">
        <v>3267</v>
      </c>
      <c r="C67" s="175" t="s">
        <v>71</v>
      </c>
      <c r="D67" s="176" t="s">
        <v>916</v>
      </c>
      <c r="E67" s="175"/>
      <c r="F67" s="175"/>
      <c r="G67" s="175"/>
      <c r="H67" s="3"/>
      <c r="I67" s="3"/>
      <c r="J67" s="3"/>
    </row>
    <row r="68" spans="2:10" x14ac:dyDescent="0.2">
      <c r="B68" s="175" t="s">
        <v>3268</v>
      </c>
      <c r="C68" s="175" t="s">
        <v>72</v>
      </c>
      <c r="D68" s="176" t="s">
        <v>1311</v>
      </c>
      <c r="E68" s="175"/>
      <c r="F68" s="175"/>
      <c r="G68" s="175"/>
      <c r="H68" s="3"/>
      <c r="I68" s="3"/>
      <c r="J68" s="3"/>
    </row>
    <row r="69" spans="2:10" ht="27" x14ac:dyDescent="0.2">
      <c r="B69" s="175" t="s">
        <v>3269</v>
      </c>
      <c r="C69" s="175" t="s">
        <v>73</v>
      </c>
      <c r="D69" s="176" t="s">
        <v>1707</v>
      </c>
      <c r="E69" s="175"/>
      <c r="F69" s="175"/>
      <c r="G69" s="175"/>
      <c r="H69" s="3"/>
      <c r="I69" s="3"/>
      <c r="J69" s="3"/>
    </row>
    <row r="70" spans="2:10" ht="27" x14ac:dyDescent="0.2">
      <c r="B70" s="175" t="s">
        <v>3270</v>
      </c>
      <c r="C70" s="175" t="s">
        <v>74</v>
      </c>
      <c r="D70" s="176" t="s">
        <v>2102</v>
      </c>
      <c r="E70" s="175"/>
      <c r="F70" s="175"/>
      <c r="G70" s="175"/>
      <c r="H70" s="3"/>
      <c r="I70" s="3"/>
      <c r="J70" s="3"/>
    </row>
    <row r="71" spans="2:10" x14ac:dyDescent="0.2">
      <c r="B71" s="72" t="s">
        <v>3271</v>
      </c>
      <c r="C71" s="72">
        <v>11</v>
      </c>
      <c r="D71" s="73" t="s">
        <v>115</v>
      </c>
      <c r="E71" s="74">
        <v>2</v>
      </c>
      <c r="F71" s="72"/>
      <c r="G71" s="72" t="str">
        <f>IF(F71&lt;&gt;"", IF(E71=F71, "O", "X"), "")</f>
        <v/>
      </c>
      <c r="H71" s="3"/>
      <c r="I71" s="3"/>
      <c r="J71" s="3"/>
    </row>
    <row r="72" spans="2:10" x14ac:dyDescent="0.2">
      <c r="B72" s="175" t="s">
        <v>3272</v>
      </c>
      <c r="C72" s="175" t="s">
        <v>70</v>
      </c>
      <c r="D72" s="176" t="s">
        <v>515</v>
      </c>
      <c r="E72" s="175"/>
      <c r="F72" s="175"/>
      <c r="G72" s="175"/>
      <c r="H72" s="3"/>
      <c r="I72" s="3"/>
      <c r="J72" s="3"/>
    </row>
    <row r="73" spans="2:10" x14ac:dyDescent="0.2">
      <c r="B73" s="175" t="s">
        <v>3273</v>
      </c>
      <c r="C73" s="175" t="s">
        <v>71</v>
      </c>
      <c r="D73" s="176" t="s">
        <v>917</v>
      </c>
      <c r="E73" s="175"/>
      <c r="F73" s="175"/>
      <c r="G73" s="175"/>
      <c r="H73" s="3"/>
      <c r="I73" s="3"/>
      <c r="J73" s="3"/>
    </row>
    <row r="74" spans="2:10" ht="27" x14ac:dyDescent="0.2">
      <c r="B74" s="175" t="s">
        <v>3274</v>
      </c>
      <c r="C74" s="175" t="s">
        <v>72</v>
      </c>
      <c r="D74" s="176" t="s">
        <v>1312</v>
      </c>
      <c r="E74" s="175"/>
      <c r="F74" s="175"/>
      <c r="G74" s="175"/>
      <c r="H74" s="3"/>
      <c r="I74" s="3"/>
      <c r="J74" s="3"/>
    </row>
    <row r="75" spans="2:10" x14ac:dyDescent="0.2">
      <c r="B75" s="175" t="s">
        <v>3275</v>
      </c>
      <c r="C75" s="175" t="s">
        <v>73</v>
      </c>
      <c r="D75" s="176" t="s">
        <v>1708</v>
      </c>
      <c r="E75" s="175"/>
      <c r="F75" s="175"/>
      <c r="G75" s="175"/>
      <c r="H75" s="3"/>
      <c r="I75" s="3"/>
      <c r="J75" s="3"/>
    </row>
    <row r="76" spans="2:10" x14ac:dyDescent="0.2">
      <c r="B76" s="175" t="s">
        <v>3276</v>
      </c>
      <c r="C76" s="175" t="s">
        <v>74</v>
      </c>
      <c r="D76" s="176" t="s">
        <v>2103</v>
      </c>
      <c r="E76" s="175"/>
      <c r="F76" s="175"/>
      <c r="G76" s="175"/>
      <c r="H76" s="3"/>
      <c r="I76" s="3"/>
      <c r="J76" s="3"/>
    </row>
    <row r="77" spans="2:10" x14ac:dyDescent="0.2">
      <c r="B77" s="72" t="s">
        <v>3277</v>
      </c>
      <c r="C77" s="72">
        <v>12</v>
      </c>
      <c r="D77" s="73" t="s">
        <v>116</v>
      </c>
      <c r="E77" s="74">
        <v>4</v>
      </c>
      <c r="F77" s="72"/>
      <c r="G77" s="72" t="str">
        <f>IF(F77&lt;&gt;"", IF(E77=F77, "O", "X"), "")</f>
        <v/>
      </c>
      <c r="H77" s="3"/>
      <c r="I77" s="3"/>
      <c r="J77" s="3"/>
    </row>
    <row r="78" spans="2:10" x14ac:dyDescent="0.2">
      <c r="B78" s="175" t="s">
        <v>3278</v>
      </c>
      <c r="C78" s="175" t="s">
        <v>70</v>
      </c>
      <c r="D78" s="176" t="s">
        <v>516</v>
      </c>
      <c r="E78" s="175"/>
      <c r="F78" s="175"/>
      <c r="G78" s="175"/>
      <c r="H78" s="3"/>
      <c r="I78" s="3"/>
      <c r="J78" s="3"/>
    </row>
    <row r="79" spans="2:10" x14ac:dyDescent="0.2">
      <c r="B79" s="175" t="s">
        <v>3279</v>
      </c>
      <c r="C79" s="175" t="s">
        <v>71</v>
      </c>
      <c r="D79" s="176" t="s">
        <v>918</v>
      </c>
      <c r="E79" s="175"/>
      <c r="F79" s="175"/>
      <c r="G79" s="175"/>
      <c r="H79" s="3"/>
      <c r="I79" s="3"/>
      <c r="J79" s="3"/>
    </row>
    <row r="80" spans="2:10" x14ac:dyDescent="0.2">
      <c r="B80" s="175" t="s">
        <v>3280</v>
      </c>
      <c r="C80" s="175" t="s">
        <v>72</v>
      </c>
      <c r="D80" s="176" t="s">
        <v>1313</v>
      </c>
      <c r="E80" s="175"/>
      <c r="F80" s="175"/>
      <c r="G80" s="175"/>
      <c r="H80" s="3"/>
      <c r="I80" s="3"/>
      <c r="J80" s="3"/>
    </row>
    <row r="81" spans="2:10" x14ac:dyDescent="0.2">
      <c r="B81" s="175" t="s">
        <v>3281</v>
      </c>
      <c r="C81" s="175" t="s">
        <v>73</v>
      </c>
      <c r="D81" s="176" t="s">
        <v>1709</v>
      </c>
      <c r="E81" s="175"/>
      <c r="F81" s="175"/>
      <c r="G81" s="175"/>
      <c r="H81" s="3"/>
      <c r="I81" s="3"/>
      <c r="J81" s="3"/>
    </row>
    <row r="82" spans="2:10" x14ac:dyDescent="0.2">
      <c r="B82" s="175" t="s">
        <v>3282</v>
      </c>
      <c r="C82" s="175" t="s">
        <v>74</v>
      </c>
      <c r="D82" s="176" t="s">
        <v>2104</v>
      </c>
      <c r="E82" s="175"/>
      <c r="F82" s="175"/>
      <c r="G82" s="175"/>
      <c r="H82" s="3"/>
      <c r="I82" s="3"/>
      <c r="J82" s="3"/>
    </row>
    <row r="83" spans="2:10" ht="94.5" x14ac:dyDescent="0.2">
      <c r="B83" s="72" t="s">
        <v>3283</v>
      </c>
      <c r="C83" s="72">
        <v>13</v>
      </c>
      <c r="D83" s="73" t="s">
        <v>117</v>
      </c>
      <c r="E83" s="74">
        <v>5</v>
      </c>
      <c r="F83" s="72"/>
      <c r="G83" s="72" t="str">
        <f>IF(F83&lt;&gt;"", IF(E83=F83, "O", "X"), "")</f>
        <v/>
      </c>
      <c r="H83" s="3"/>
      <c r="I83" s="3"/>
      <c r="J83" s="3"/>
    </row>
    <row r="84" spans="2:10" x14ac:dyDescent="0.2">
      <c r="B84" s="175" t="s">
        <v>3284</v>
      </c>
      <c r="C84" s="175" t="s">
        <v>70</v>
      </c>
      <c r="D84" s="176" t="s">
        <v>44</v>
      </c>
      <c r="E84" s="175"/>
      <c r="F84" s="175"/>
      <c r="G84" s="175"/>
      <c r="H84" s="3"/>
      <c r="I84" s="3"/>
      <c r="J84" s="3"/>
    </row>
    <row r="85" spans="2:10" x14ac:dyDescent="0.2">
      <c r="B85" s="175" t="s">
        <v>3285</v>
      </c>
      <c r="C85" s="175" t="s">
        <v>71</v>
      </c>
      <c r="D85" s="176" t="s">
        <v>55</v>
      </c>
      <c r="E85" s="175"/>
      <c r="F85" s="175"/>
      <c r="G85" s="175"/>
      <c r="H85" s="3"/>
      <c r="I85" s="3"/>
      <c r="J85" s="3"/>
    </row>
    <row r="86" spans="2:10" x14ac:dyDescent="0.2">
      <c r="B86" s="175" t="s">
        <v>3286</v>
      </c>
      <c r="C86" s="175" t="s">
        <v>72</v>
      </c>
      <c r="D86" s="176" t="s">
        <v>49</v>
      </c>
      <c r="E86" s="175"/>
      <c r="F86" s="175"/>
      <c r="G86" s="175"/>
      <c r="H86" s="3"/>
      <c r="I86" s="3"/>
      <c r="J86" s="3"/>
    </row>
    <row r="87" spans="2:10" x14ac:dyDescent="0.2">
      <c r="B87" s="175" t="s">
        <v>3287</v>
      </c>
      <c r="C87" s="175" t="s">
        <v>73</v>
      </c>
      <c r="D87" s="176" t="s">
        <v>51</v>
      </c>
      <c r="E87" s="175"/>
      <c r="F87" s="175"/>
      <c r="G87" s="175"/>
      <c r="H87" s="3"/>
      <c r="I87" s="3"/>
      <c r="J87" s="3"/>
    </row>
    <row r="88" spans="2:10" x14ac:dyDescent="0.2">
      <c r="B88" s="175" t="s">
        <v>3288</v>
      </c>
      <c r="C88" s="175" t="s">
        <v>74</v>
      </c>
      <c r="D88" s="176" t="s">
        <v>57</v>
      </c>
      <c r="E88" s="175"/>
      <c r="F88" s="175"/>
      <c r="G88" s="175"/>
      <c r="H88" s="3"/>
      <c r="I88" s="3"/>
      <c r="J88" s="3"/>
    </row>
    <row r="89" spans="2:10" ht="54" x14ac:dyDescent="0.2">
      <c r="B89" s="72" t="s">
        <v>3289</v>
      </c>
      <c r="C89" s="72">
        <v>14</v>
      </c>
      <c r="D89" s="73" t="s">
        <v>118</v>
      </c>
      <c r="E89" s="74">
        <v>5</v>
      </c>
      <c r="F89" s="72"/>
      <c r="G89" s="72" t="str">
        <f>IF(F89&lt;&gt;"", IF(E89=F89, "O", "X"), "")</f>
        <v/>
      </c>
      <c r="H89" s="3"/>
      <c r="I89" s="3"/>
      <c r="J89" s="3"/>
    </row>
    <row r="90" spans="2:10" x14ac:dyDescent="0.2">
      <c r="B90" s="175" t="s">
        <v>3290</v>
      </c>
      <c r="C90" s="175" t="s">
        <v>70</v>
      </c>
      <c r="D90" s="176" t="s">
        <v>517</v>
      </c>
      <c r="E90" s="175"/>
      <c r="F90" s="175"/>
      <c r="G90" s="175"/>
      <c r="H90" s="3"/>
      <c r="I90" s="3"/>
      <c r="J90" s="3"/>
    </row>
    <row r="91" spans="2:10" x14ac:dyDescent="0.2">
      <c r="B91" s="175" t="s">
        <v>3291</v>
      </c>
      <c r="C91" s="175" t="s">
        <v>71</v>
      </c>
      <c r="D91" s="176" t="s">
        <v>919</v>
      </c>
      <c r="E91" s="175"/>
      <c r="F91" s="175"/>
      <c r="G91" s="175"/>
      <c r="H91" s="3"/>
      <c r="I91" s="3"/>
      <c r="J91" s="3"/>
    </row>
    <row r="92" spans="2:10" x14ac:dyDescent="0.2">
      <c r="B92" s="175" t="s">
        <v>3292</v>
      </c>
      <c r="C92" s="175" t="s">
        <v>72</v>
      </c>
      <c r="D92" s="176" t="s">
        <v>1314</v>
      </c>
      <c r="E92" s="175"/>
      <c r="F92" s="175"/>
      <c r="G92" s="175"/>
      <c r="H92" s="3"/>
      <c r="I92" s="3"/>
      <c r="J92" s="3"/>
    </row>
    <row r="93" spans="2:10" x14ac:dyDescent="0.2">
      <c r="B93" s="175" t="s">
        <v>3293</v>
      </c>
      <c r="C93" s="175" t="s">
        <v>73</v>
      </c>
      <c r="D93" s="176" t="s">
        <v>1710</v>
      </c>
      <c r="E93" s="175"/>
      <c r="F93" s="175"/>
      <c r="G93" s="175"/>
      <c r="H93" s="3"/>
      <c r="I93" s="3"/>
      <c r="J93" s="3"/>
    </row>
    <row r="94" spans="2:10" x14ac:dyDescent="0.2">
      <c r="B94" s="175" t="s">
        <v>3294</v>
      </c>
      <c r="C94" s="175" t="s">
        <v>74</v>
      </c>
      <c r="D94" s="176" t="s">
        <v>2105</v>
      </c>
      <c r="E94" s="175"/>
      <c r="F94" s="175"/>
      <c r="G94" s="175"/>
      <c r="H94" s="3"/>
      <c r="I94" s="3"/>
      <c r="J94" s="3"/>
    </row>
    <row r="95" spans="2:10" ht="94.5" x14ac:dyDescent="0.2">
      <c r="B95" s="72" t="s">
        <v>3295</v>
      </c>
      <c r="C95" s="72">
        <v>15</v>
      </c>
      <c r="D95" s="73" t="s">
        <v>119</v>
      </c>
      <c r="E95" s="74">
        <v>2</v>
      </c>
      <c r="F95" s="72"/>
      <c r="G95" s="72" t="str">
        <f>IF(F95&lt;&gt;"", IF(E95=F95, "O", "X"), "")</f>
        <v/>
      </c>
      <c r="H95" s="3"/>
      <c r="I95" s="3"/>
      <c r="J95" s="3"/>
    </row>
    <row r="96" spans="2:10" x14ac:dyDescent="0.2">
      <c r="B96" s="175" t="s">
        <v>3296</v>
      </c>
      <c r="C96" s="175" t="s">
        <v>70</v>
      </c>
      <c r="D96" s="176" t="s">
        <v>44</v>
      </c>
      <c r="E96" s="175"/>
      <c r="F96" s="175"/>
      <c r="G96" s="175"/>
      <c r="H96" s="3"/>
      <c r="I96" s="3"/>
      <c r="J96" s="3"/>
    </row>
    <row r="97" spans="2:10" x14ac:dyDescent="0.2">
      <c r="B97" s="175" t="s">
        <v>3297</v>
      </c>
      <c r="C97" s="175" t="s">
        <v>71</v>
      </c>
      <c r="D97" s="176" t="s">
        <v>55</v>
      </c>
      <c r="E97" s="175"/>
      <c r="F97" s="175"/>
      <c r="G97" s="175"/>
      <c r="H97" s="3"/>
      <c r="I97" s="3"/>
      <c r="J97" s="3"/>
    </row>
    <row r="98" spans="2:10" x14ac:dyDescent="0.2">
      <c r="B98" s="175" t="s">
        <v>3298</v>
      </c>
      <c r="C98" s="175" t="s">
        <v>72</v>
      </c>
      <c r="D98" s="176" t="s">
        <v>49</v>
      </c>
      <c r="E98" s="175"/>
      <c r="F98" s="175"/>
      <c r="G98" s="175"/>
      <c r="H98" s="3"/>
      <c r="I98" s="3"/>
      <c r="J98" s="3"/>
    </row>
    <row r="99" spans="2:10" x14ac:dyDescent="0.2">
      <c r="B99" s="175" t="s">
        <v>3299</v>
      </c>
      <c r="C99" s="175" t="s">
        <v>73</v>
      </c>
      <c r="D99" s="176" t="s">
        <v>46</v>
      </c>
      <c r="E99" s="175"/>
      <c r="F99" s="175"/>
      <c r="G99" s="175"/>
      <c r="H99" s="3"/>
      <c r="I99" s="3"/>
      <c r="J99" s="3"/>
    </row>
    <row r="100" spans="2:10" x14ac:dyDescent="0.2">
      <c r="B100" s="175" t="s">
        <v>3300</v>
      </c>
      <c r="C100" s="175" t="s">
        <v>74</v>
      </c>
      <c r="D100" s="176" t="s">
        <v>57</v>
      </c>
      <c r="E100" s="175"/>
      <c r="F100" s="175"/>
      <c r="G100" s="175"/>
      <c r="H100" s="3"/>
      <c r="I100" s="3"/>
      <c r="J100" s="3"/>
    </row>
    <row r="101" spans="2:10" x14ac:dyDescent="0.2">
      <c r="B101" s="72" t="s">
        <v>3301</v>
      </c>
      <c r="C101" s="72">
        <v>16</v>
      </c>
      <c r="D101" s="73" t="s">
        <v>120</v>
      </c>
      <c r="E101" s="74">
        <v>4</v>
      </c>
      <c r="F101" s="72"/>
      <c r="G101" s="72" t="str">
        <f>IF(F101&lt;&gt;"", IF(E101=F101, "O", "X"), "")</f>
        <v/>
      </c>
      <c r="H101" s="3"/>
      <c r="I101" s="3"/>
      <c r="J101" s="3"/>
    </row>
    <row r="102" spans="2:10" ht="27" x14ac:dyDescent="0.2">
      <c r="B102" s="175" t="s">
        <v>3302</v>
      </c>
      <c r="C102" s="175" t="s">
        <v>70</v>
      </c>
      <c r="D102" s="176" t="s">
        <v>518</v>
      </c>
      <c r="E102" s="175"/>
      <c r="F102" s="175"/>
      <c r="G102" s="175"/>
      <c r="H102" s="3"/>
      <c r="I102" s="3"/>
      <c r="J102" s="3"/>
    </row>
    <row r="103" spans="2:10" ht="27" x14ac:dyDescent="0.2">
      <c r="B103" s="175" t="s">
        <v>3303</v>
      </c>
      <c r="C103" s="175" t="s">
        <v>71</v>
      </c>
      <c r="D103" s="176" t="s">
        <v>920</v>
      </c>
      <c r="E103" s="175"/>
      <c r="F103" s="175"/>
      <c r="G103" s="175"/>
      <c r="H103" s="3"/>
      <c r="I103" s="3"/>
      <c r="J103" s="3"/>
    </row>
    <row r="104" spans="2:10" ht="27" x14ac:dyDescent="0.2">
      <c r="B104" s="175" t="s">
        <v>3304</v>
      </c>
      <c r="C104" s="175" t="s">
        <v>72</v>
      </c>
      <c r="D104" s="176" t="s">
        <v>1315</v>
      </c>
      <c r="E104" s="175"/>
      <c r="F104" s="175"/>
      <c r="G104" s="175"/>
      <c r="H104" s="3"/>
      <c r="I104" s="3"/>
      <c r="J104" s="3"/>
    </row>
    <row r="105" spans="2:10" ht="27" x14ac:dyDescent="0.2">
      <c r="B105" s="175" t="s">
        <v>3305</v>
      </c>
      <c r="C105" s="175" t="s">
        <v>73</v>
      </c>
      <c r="D105" s="176" t="s">
        <v>1711</v>
      </c>
      <c r="E105" s="175"/>
      <c r="F105" s="175"/>
      <c r="G105" s="175"/>
      <c r="H105" s="3"/>
      <c r="I105" s="3"/>
      <c r="J105" s="3"/>
    </row>
    <row r="106" spans="2:10" x14ac:dyDescent="0.2">
      <c r="B106" s="175" t="s">
        <v>3306</v>
      </c>
      <c r="C106" s="175" t="s">
        <v>74</v>
      </c>
      <c r="D106" s="176" t="s">
        <v>2106</v>
      </c>
      <c r="E106" s="175"/>
      <c r="F106" s="175"/>
      <c r="G106" s="175"/>
      <c r="H106" s="3"/>
      <c r="I106" s="3"/>
      <c r="J106" s="3"/>
    </row>
    <row r="107" spans="2:10" ht="27" x14ac:dyDescent="0.2">
      <c r="B107" s="72" t="s">
        <v>3307</v>
      </c>
      <c r="C107" s="72">
        <v>17</v>
      </c>
      <c r="D107" s="73" t="s">
        <v>121</v>
      </c>
      <c r="E107" s="74">
        <v>5</v>
      </c>
      <c r="F107" s="72"/>
      <c r="G107" s="72" t="str">
        <f>IF(F107&lt;&gt;"", IF(E107=F107, "O", "X"), "")</f>
        <v/>
      </c>
      <c r="H107" s="3"/>
      <c r="I107" s="3"/>
      <c r="J107" s="3"/>
    </row>
    <row r="108" spans="2:10" x14ac:dyDescent="0.2">
      <c r="B108" s="175" t="s">
        <v>3308</v>
      </c>
      <c r="C108" s="175" t="s">
        <v>70</v>
      </c>
      <c r="D108" s="176" t="s">
        <v>519</v>
      </c>
      <c r="E108" s="175"/>
      <c r="F108" s="175"/>
      <c r="G108" s="175"/>
      <c r="H108" s="3"/>
      <c r="I108" s="3"/>
      <c r="J108" s="3"/>
    </row>
    <row r="109" spans="2:10" ht="27" x14ac:dyDescent="0.2">
      <c r="B109" s="175" t="s">
        <v>3309</v>
      </c>
      <c r="C109" s="175" t="s">
        <v>71</v>
      </c>
      <c r="D109" s="176" t="s">
        <v>921</v>
      </c>
      <c r="E109" s="175"/>
      <c r="F109" s="175"/>
      <c r="G109" s="175"/>
      <c r="H109" s="3"/>
      <c r="I109" s="3"/>
      <c r="J109" s="3"/>
    </row>
    <row r="110" spans="2:10" x14ac:dyDescent="0.2">
      <c r="B110" s="175" t="s">
        <v>3310</v>
      </c>
      <c r="C110" s="175" t="s">
        <v>72</v>
      </c>
      <c r="D110" s="176" t="s">
        <v>1316</v>
      </c>
      <c r="E110" s="175"/>
      <c r="F110" s="175"/>
      <c r="G110" s="175"/>
      <c r="H110" s="3"/>
      <c r="I110" s="3"/>
      <c r="J110" s="3"/>
    </row>
    <row r="111" spans="2:10" x14ac:dyDescent="0.2">
      <c r="B111" s="175" t="s">
        <v>3311</v>
      </c>
      <c r="C111" s="175" t="s">
        <v>73</v>
      </c>
      <c r="D111" s="176" t="s">
        <v>1712</v>
      </c>
      <c r="E111" s="175"/>
      <c r="F111" s="175"/>
      <c r="G111" s="175"/>
      <c r="H111" s="3"/>
      <c r="I111" s="3"/>
      <c r="J111" s="3"/>
    </row>
    <row r="112" spans="2:10" ht="27" x14ac:dyDescent="0.2">
      <c r="B112" s="175" t="s">
        <v>3312</v>
      </c>
      <c r="C112" s="175" t="s">
        <v>74</v>
      </c>
      <c r="D112" s="176" t="s">
        <v>2107</v>
      </c>
      <c r="E112" s="175"/>
      <c r="F112" s="175"/>
      <c r="G112" s="175"/>
      <c r="H112" s="3"/>
      <c r="I112" s="3"/>
      <c r="J112" s="3"/>
    </row>
    <row r="113" spans="2:10" x14ac:dyDescent="0.2">
      <c r="B113" s="72" t="s">
        <v>3313</v>
      </c>
      <c r="C113" s="72">
        <v>18</v>
      </c>
      <c r="D113" s="73" t="s">
        <v>122</v>
      </c>
      <c r="E113" s="74">
        <v>1</v>
      </c>
      <c r="F113" s="72"/>
      <c r="G113" s="72" t="str">
        <f>IF(F113&lt;&gt;"", IF(E113=F113, "O", "X"), "")</f>
        <v/>
      </c>
      <c r="H113" s="3"/>
      <c r="I113" s="3"/>
      <c r="J113" s="3"/>
    </row>
    <row r="114" spans="2:10" ht="27" x14ac:dyDescent="0.2">
      <c r="B114" s="175" t="s">
        <v>3314</v>
      </c>
      <c r="C114" s="175" t="s">
        <v>70</v>
      </c>
      <c r="D114" s="176" t="s">
        <v>520</v>
      </c>
      <c r="E114" s="175"/>
      <c r="F114" s="175"/>
      <c r="G114" s="175"/>
      <c r="H114" s="3"/>
      <c r="I114" s="3"/>
      <c r="J114" s="3"/>
    </row>
    <row r="115" spans="2:10" ht="27" x14ac:dyDescent="0.2">
      <c r="B115" s="175" t="s">
        <v>3315</v>
      </c>
      <c r="C115" s="175" t="s">
        <v>71</v>
      </c>
      <c r="D115" s="176" t="s">
        <v>922</v>
      </c>
      <c r="E115" s="175"/>
      <c r="F115" s="175"/>
      <c r="G115" s="175"/>
      <c r="H115" s="3"/>
      <c r="I115" s="3"/>
      <c r="J115" s="3"/>
    </row>
    <row r="116" spans="2:10" x14ac:dyDescent="0.2">
      <c r="B116" s="175" t="s">
        <v>3316</v>
      </c>
      <c r="C116" s="175" t="s">
        <v>72</v>
      </c>
      <c r="D116" s="176" t="s">
        <v>1317</v>
      </c>
      <c r="E116" s="175"/>
      <c r="F116" s="175"/>
      <c r="G116" s="175"/>
      <c r="H116" s="3"/>
      <c r="I116" s="3"/>
      <c r="J116" s="3"/>
    </row>
    <row r="117" spans="2:10" x14ac:dyDescent="0.2">
      <c r="B117" s="175" t="s">
        <v>3317</v>
      </c>
      <c r="C117" s="175" t="s">
        <v>73</v>
      </c>
      <c r="D117" s="176" t="s">
        <v>1713</v>
      </c>
      <c r="E117" s="175"/>
      <c r="F117" s="175"/>
      <c r="G117" s="175"/>
      <c r="H117" s="3"/>
      <c r="I117" s="3"/>
      <c r="J117" s="3"/>
    </row>
    <row r="118" spans="2:10" ht="27" x14ac:dyDescent="0.2">
      <c r="B118" s="175" t="s">
        <v>3318</v>
      </c>
      <c r="C118" s="175" t="s">
        <v>74</v>
      </c>
      <c r="D118" s="176" t="s">
        <v>2108</v>
      </c>
      <c r="E118" s="175"/>
      <c r="F118" s="175"/>
      <c r="G118" s="175"/>
      <c r="H118" s="3"/>
      <c r="I118" s="3"/>
      <c r="J118" s="3"/>
    </row>
    <row r="119" spans="2:10" ht="67.5" x14ac:dyDescent="0.2">
      <c r="B119" s="72" t="s">
        <v>3319</v>
      </c>
      <c r="C119" s="72">
        <v>19</v>
      </c>
      <c r="D119" s="73" t="s">
        <v>123</v>
      </c>
      <c r="E119" s="74">
        <v>5</v>
      </c>
      <c r="F119" s="72"/>
      <c r="G119" s="72" t="str">
        <f>IF(F119&lt;&gt;"", IF(E119=F119, "O", "X"), "")</f>
        <v/>
      </c>
      <c r="H119" s="3"/>
      <c r="I119" s="3"/>
      <c r="J119" s="3"/>
    </row>
    <row r="120" spans="2:10" x14ac:dyDescent="0.2">
      <c r="B120" s="175" t="s">
        <v>3320</v>
      </c>
      <c r="C120" s="175" t="s">
        <v>70</v>
      </c>
      <c r="D120" s="176" t="s">
        <v>45</v>
      </c>
      <c r="E120" s="175"/>
      <c r="F120" s="175"/>
      <c r="G120" s="175"/>
      <c r="H120" s="3"/>
      <c r="I120" s="3"/>
      <c r="J120" s="3"/>
    </row>
    <row r="121" spans="2:10" x14ac:dyDescent="0.2">
      <c r="B121" s="175" t="s">
        <v>3321</v>
      </c>
      <c r="C121" s="175" t="s">
        <v>71</v>
      </c>
      <c r="D121" s="176" t="s">
        <v>53</v>
      </c>
      <c r="E121" s="175"/>
      <c r="F121" s="175"/>
      <c r="G121" s="175"/>
      <c r="H121" s="3"/>
      <c r="I121" s="3"/>
      <c r="J121" s="3"/>
    </row>
    <row r="122" spans="2:10" x14ac:dyDescent="0.2">
      <c r="B122" s="175" t="s">
        <v>3322</v>
      </c>
      <c r="C122" s="175" t="s">
        <v>72</v>
      </c>
      <c r="D122" s="176" t="s">
        <v>44</v>
      </c>
      <c r="E122" s="175"/>
      <c r="F122" s="175"/>
      <c r="G122" s="175"/>
      <c r="H122" s="3"/>
      <c r="I122" s="3"/>
      <c r="J122" s="3"/>
    </row>
    <row r="123" spans="2:10" x14ac:dyDescent="0.2">
      <c r="B123" s="175" t="s">
        <v>3323</v>
      </c>
      <c r="C123" s="175" t="s">
        <v>73</v>
      </c>
      <c r="D123" s="176" t="s">
        <v>55</v>
      </c>
      <c r="E123" s="175"/>
      <c r="F123" s="175"/>
      <c r="G123" s="175"/>
      <c r="H123" s="3"/>
      <c r="I123" s="3"/>
      <c r="J123" s="3"/>
    </row>
    <row r="124" spans="2:10" x14ac:dyDescent="0.2">
      <c r="B124" s="175" t="s">
        <v>3324</v>
      </c>
      <c r="C124" s="175" t="s">
        <v>74</v>
      </c>
      <c r="D124" s="176" t="s">
        <v>46</v>
      </c>
      <c r="E124" s="175"/>
      <c r="F124" s="175"/>
      <c r="G124" s="175"/>
      <c r="H124" s="3"/>
      <c r="I124" s="3"/>
      <c r="J124" s="3"/>
    </row>
    <row r="125" spans="2:10" ht="108" x14ac:dyDescent="0.2">
      <c r="B125" s="72" t="s">
        <v>3325</v>
      </c>
      <c r="C125" s="72">
        <v>20</v>
      </c>
      <c r="D125" s="73" t="s">
        <v>124</v>
      </c>
      <c r="E125" s="74">
        <v>3</v>
      </c>
      <c r="F125" s="72"/>
      <c r="G125" s="72" t="str">
        <f>IF(F125&lt;&gt;"", IF(E125=F125, "O", "X"), "")</f>
        <v/>
      </c>
      <c r="H125" s="3"/>
      <c r="I125" s="3"/>
      <c r="J125" s="3"/>
    </row>
    <row r="126" spans="2:10" x14ac:dyDescent="0.2">
      <c r="B126" s="175" t="s">
        <v>3326</v>
      </c>
      <c r="C126" s="175" t="s">
        <v>70</v>
      </c>
      <c r="D126" s="176" t="s">
        <v>45</v>
      </c>
      <c r="E126" s="175"/>
      <c r="F126" s="175"/>
      <c r="G126" s="175"/>
      <c r="H126" s="3"/>
      <c r="I126" s="3"/>
      <c r="J126" s="3"/>
    </row>
    <row r="127" spans="2:10" x14ac:dyDescent="0.2">
      <c r="B127" s="175" t="s">
        <v>3327</v>
      </c>
      <c r="C127" s="175" t="s">
        <v>71</v>
      </c>
      <c r="D127" s="176" t="s">
        <v>53</v>
      </c>
      <c r="E127" s="175"/>
      <c r="F127" s="175"/>
      <c r="G127" s="175"/>
      <c r="H127" s="3"/>
      <c r="I127" s="3"/>
      <c r="J127" s="3"/>
    </row>
    <row r="128" spans="2:10" x14ac:dyDescent="0.2">
      <c r="B128" s="175" t="s">
        <v>3328</v>
      </c>
      <c r="C128" s="175" t="s">
        <v>72</v>
      </c>
      <c r="D128" s="176" t="s">
        <v>44</v>
      </c>
      <c r="E128" s="175"/>
      <c r="F128" s="175"/>
      <c r="G128" s="175"/>
      <c r="H128" s="3"/>
      <c r="I128" s="3"/>
      <c r="J128" s="3"/>
    </row>
    <row r="129" spans="2:10" x14ac:dyDescent="0.2">
      <c r="B129" s="175" t="s">
        <v>3329</v>
      </c>
      <c r="C129" s="175" t="s">
        <v>73</v>
      </c>
      <c r="D129" s="176" t="s">
        <v>55</v>
      </c>
      <c r="E129" s="175"/>
      <c r="F129" s="175"/>
      <c r="G129" s="175"/>
      <c r="H129" s="3"/>
      <c r="I129" s="3"/>
      <c r="J129" s="3"/>
    </row>
    <row r="130" spans="2:10" x14ac:dyDescent="0.2">
      <c r="B130" s="175" t="s">
        <v>3330</v>
      </c>
      <c r="C130" s="175" t="s">
        <v>74</v>
      </c>
      <c r="D130" s="176" t="s">
        <v>46</v>
      </c>
      <c r="E130" s="175"/>
      <c r="F130" s="175"/>
      <c r="G130" s="175"/>
      <c r="H130" s="3"/>
      <c r="I130" s="3"/>
      <c r="J130" s="3"/>
    </row>
    <row r="131" spans="2:10" ht="94.5" x14ac:dyDescent="0.2">
      <c r="B131" s="72" t="s">
        <v>3331</v>
      </c>
      <c r="C131" s="72">
        <v>21</v>
      </c>
      <c r="D131" s="73" t="s">
        <v>125</v>
      </c>
      <c r="E131" s="74">
        <v>5</v>
      </c>
      <c r="F131" s="72"/>
      <c r="G131" s="72" t="str">
        <f>IF(F131&lt;&gt;"", IF(E131=F131, "O", "X"), "")</f>
        <v/>
      </c>
      <c r="H131" s="3"/>
      <c r="I131" s="3"/>
      <c r="J131" s="3"/>
    </row>
    <row r="132" spans="2:10" x14ac:dyDescent="0.2">
      <c r="B132" s="175" t="s">
        <v>3332</v>
      </c>
      <c r="C132" s="175" t="s">
        <v>70</v>
      </c>
      <c r="D132" s="176" t="s">
        <v>45</v>
      </c>
      <c r="E132" s="175"/>
      <c r="F132" s="175"/>
      <c r="G132" s="175"/>
      <c r="H132" s="3"/>
      <c r="I132" s="3"/>
      <c r="J132" s="3"/>
    </row>
    <row r="133" spans="2:10" x14ac:dyDescent="0.2">
      <c r="B133" s="175" t="s">
        <v>3333</v>
      </c>
      <c r="C133" s="175" t="s">
        <v>71</v>
      </c>
      <c r="D133" s="176" t="s">
        <v>53</v>
      </c>
      <c r="E133" s="175"/>
      <c r="F133" s="175"/>
      <c r="G133" s="175"/>
      <c r="H133" s="3"/>
      <c r="I133" s="3"/>
      <c r="J133" s="3"/>
    </row>
    <row r="134" spans="2:10" x14ac:dyDescent="0.2">
      <c r="B134" s="175" t="s">
        <v>3334</v>
      </c>
      <c r="C134" s="175" t="s">
        <v>72</v>
      </c>
      <c r="D134" s="176" t="s">
        <v>44</v>
      </c>
      <c r="E134" s="175"/>
      <c r="F134" s="175"/>
      <c r="G134" s="175"/>
      <c r="H134" s="3"/>
      <c r="I134" s="3"/>
      <c r="J134" s="3"/>
    </row>
    <row r="135" spans="2:10" x14ac:dyDescent="0.2">
      <c r="B135" s="175" t="s">
        <v>3335</v>
      </c>
      <c r="C135" s="175" t="s">
        <v>73</v>
      </c>
      <c r="D135" s="176" t="s">
        <v>55</v>
      </c>
      <c r="E135" s="175"/>
      <c r="F135" s="175"/>
      <c r="G135" s="175"/>
      <c r="H135" s="3"/>
      <c r="I135" s="3"/>
      <c r="J135" s="3"/>
    </row>
    <row r="136" spans="2:10" x14ac:dyDescent="0.2">
      <c r="B136" s="175" t="s">
        <v>3336</v>
      </c>
      <c r="C136" s="175" t="s">
        <v>74</v>
      </c>
      <c r="D136" s="176" t="s">
        <v>46</v>
      </c>
      <c r="E136" s="175"/>
      <c r="F136" s="175"/>
      <c r="G136" s="175"/>
      <c r="H136" s="3"/>
      <c r="I136" s="3"/>
      <c r="J136" s="3"/>
    </row>
    <row r="137" spans="2:10" ht="67.5" x14ac:dyDescent="0.2">
      <c r="B137" s="72" t="s">
        <v>3337</v>
      </c>
      <c r="C137" s="72">
        <v>22</v>
      </c>
      <c r="D137" s="73" t="s">
        <v>126</v>
      </c>
      <c r="E137" s="74">
        <v>3</v>
      </c>
      <c r="F137" s="72"/>
      <c r="G137" s="72" t="str">
        <f>IF(F137&lt;&gt;"", IF(E137=F137, "O", "X"), "")</f>
        <v/>
      </c>
      <c r="H137" s="3"/>
      <c r="I137" s="3"/>
      <c r="J137" s="3"/>
    </row>
    <row r="138" spans="2:10" x14ac:dyDescent="0.2">
      <c r="B138" s="175" t="s">
        <v>3338</v>
      </c>
      <c r="C138" s="175" t="s">
        <v>70</v>
      </c>
      <c r="D138" s="176" t="s">
        <v>45</v>
      </c>
      <c r="E138" s="175"/>
      <c r="F138" s="175"/>
      <c r="G138" s="175"/>
      <c r="H138" s="3"/>
      <c r="I138" s="3"/>
      <c r="J138" s="3"/>
    </row>
    <row r="139" spans="2:10" x14ac:dyDescent="0.2">
      <c r="B139" s="175" t="s">
        <v>3339</v>
      </c>
      <c r="C139" s="175" t="s">
        <v>71</v>
      </c>
      <c r="D139" s="176" t="s">
        <v>50</v>
      </c>
      <c r="E139" s="175"/>
      <c r="F139" s="175"/>
      <c r="G139" s="175"/>
      <c r="H139" s="3"/>
      <c r="I139" s="3"/>
      <c r="J139" s="3"/>
    </row>
    <row r="140" spans="2:10" x14ac:dyDescent="0.2">
      <c r="B140" s="175" t="s">
        <v>3340</v>
      </c>
      <c r="C140" s="175" t="s">
        <v>72</v>
      </c>
      <c r="D140" s="176" t="s">
        <v>47</v>
      </c>
      <c r="E140" s="175"/>
      <c r="F140" s="175"/>
      <c r="G140" s="175"/>
      <c r="H140" s="3"/>
      <c r="I140" s="3"/>
      <c r="J140" s="3"/>
    </row>
    <row r="141" spans="2:10" x14ac:dyDescent="0.2">
      <c r="B141" s="175" t="s">
        <v>3341</v>
      </c>
      <c r="C141" s="175" t="s">
        <v>73</v>
      </c>
      <c r="D141" s="176" t="s">
        <v>55</v>
      </c>
      <c r="E141" s="175"/>
      <c r="F141" s="175"/>
      <c r="G141" s="175"/>
      <c r="H141" s="3"/>
      <c r="I141" s="3"/>
      <c r="J141" s="3"/>
    </row>
    <row r="142" spans="2:10" x14ac:dyDescent="0.2">
      <c r="B142" s="175" t="s">
        <v>3342</v>
      </c>
      <c r="C142" s="175" t="s">
        <v>74</v>
      </c>
      <c r="D142" s="176" t="s">
        <v>46</v>
      </c>
      <c r="E142" s="175"/>
      <c r="F142" s="175"/>
      <c r="G142" s="175"/>
      <c r="H142" s="3"/>
      <c r="I142" s="3"/>
      <c r="J142" s="3"/>
    </row>
    <row r="143" spans="2:10" x14ac:dyDescent="0.2">
      <c r="B143" s="72" t="s">
        <v>3343</v>
      </c>
      <c r="C143" s="72">
        <v>23</v>
      </c>
      <c r="D143" s="73" t="s">
        <v>127</v>
      </c>
      <c r="E143" s="74">
        <v>3</v>
      </c>
      <c r="F143" s="72"/>
      <c r="G143" s="72" t="str">
        <f>IF(F143&lt;&gt;"", IF(E143=F143, "O", "X"), "")</f>
        <v/>
      </c>
      <c r="H143" s="3"/>
      <c r="I143" s="3"/>
      <c r="J143" s="3"/>
    </row>
    <row r="144" spans="2:10" ht="27" x14ac:dyDescent="0.2">
      <c r="B144" s="175" t="s">
        <v>3344</v>
      </c>
      <c r="C144" s="175" t="s">
        <v>70</v>
      </c>
      <c r="D144" s="176" t="s">
        <v>521</v>
      </c>
      <c r="E144" s="175"/>
      <c r="F144" s="175"/>
      <c r="G144" s="175"/>
      <c r="H144" s="3"/>
      <c r="I144" s="3"/>
      <c r="J144" s="3"/>
    </row>
    <row r="145" spans="2:10" x14ac:dyDescent="0.2">
      <c r="B145" s="175" t="s">
        <v>3345</v>
      </c>
      <c r="C145" s="175" t="s">
        <v>71</v>
      </c>
      <c r="D145" s="176" t="s">
        <v>923</v>
      </c>
      <c r="E145" s="175"/>
      <c r="F145" s="175"/>
      <c r="G145" s="175"/>
      <c r="H145" s="3"/>
      <c r="I145" s="3"/>
      <c r="J145" s="3"/>
    </row>
    <row r="146" spans="2:10" ht="27" x14ac:dyDescent="0.2">
      <c r="B146" s="175" t="s">
        <v>3346</v>
      </c>
      <c r="C146" s="175" t="s">
        <v>72</v>
      </c>
      <c r="D146" s="176" t="s">
        <v>1318</v>
      </c>
      <c r="E146" s="175"/>
      <c r="F146" s="175"/>
      <c r="G146" s="175"/>
      <c r="H146" s="3"/>
      <c r="I146" s="3"/>
      <c r="J146" s="3"/>
    </row>
    <row r="147" spans="2:10" x14ac:dyDescent="0.2">
      <c r="B147" s="175" t="s">
        <v>3347</v>
      </c>
      <c r="C147" s="175" t="s">
        <v>73</v>
      </c>
      <c r="D147" s="176" t="s">
        <v>1714</v>
      </c>
      <c r="E147" s="175"/>
      <c r="F147" s="175"/>
      <c r="G147" s="175"/>
      <c r="H147" s="3"/>
      <c r="I147" s="3"/>
      <c r="J147" s="3"/>
    </row>
    <row r="148" spans="2:10" x14ac:dyDescent="0.2">
      <c r="B148" s="175" t="s">
        <v>3348</v>
      </c>
      <c r="C148" s="175" t="s">
        <v>74</v>
      </c>
      <c r="D148" s="176" t="s">
        <v>2109</v>
      </c>
      <c r="E148" s="175"/>
      <c r="F148" s="175"/>
      <c r="G148" s="175"/>
      <c r="H148" s="3"/>
      <c r="I148" s="3"/>
      <c r="J148" s="3"/>
    </row>
    <row r="149" spans="2:10" x14ac:dyDescent="0.2">
      <c r="B149" s="72" t="s">
        <v>3349</v>
      </c>
      <c r="C149" s="72">
        <v>24</v>
      </c>
      <c r="D149" s="73" t="s">
        <v>128</v>
      </c>
      <c r="E149" s="74">
        <v>2</v>
      </c>
      <c r="F149" s="72"/>
      <c r="G149" s="72" t="str">
        <f>IF(F149&lt;&gt;"", IF(E149=F149, "O", "X"), "")</f>
        <v/>
      </c>
      <c r="H149" s="3"/>
      <c r="I149" s="3"/>
      <c r="J149" s="3"/>
    </row>
    <row r="150" spans="2:10" ht="27" x14ac:dyDescent="0.2">
      <c r="B150" s="175" t="s">
        <v>3350</v>
      </c>
      <c r="C150" s="175" t="s">
        <v>70</v>
      </c>
      <c r="D150" s="176" t="s">
        <v>522</v>
      </c>
      <c r="E150" s="175"/>
      <c r="F150" s="175"/>
      <c r="G150" s="175"/>
      <c r="H150" s="3"/>
      <c r="I150" s="3"/>
      <c r="J150" s="3"/>
    </row>
    <row r="151" spans="2:10" ht="27" x14ac:dyDescent="0.2">
      <c r="B151" s="175" t="s">
        <v>3351</v>
      </c>
      <c r="C151" s="175" t="s">
        <v>71</v>
      </c>
      <c r="D151" s="176" t="s">
        <v>924</v>
      </c>
      <c r="E151" s="175"/>
      <c r="F151" s="175"/>
      <c r="G151" s="175"/>
      <c r="H151" s="3"/>
      <c r="I151" s="3"/>
      <c r="J151" s="3"/>
    </row>
    <row r="152" spans="2:10" x14ac:dyDescent="0.2">
      <c r="B152" s="175" t="s">
        <v>3352</v>
      </c>
      <c r="C152" s="175" t="s">
        <v>72</v>
      </c>
      <c r="D152" s="176" t="s">
        <v>1319</v>
      </c>
      <c r="E152" s="175"/>
      <c r="F152" s="175"/>
      <c r="G152" s="175"/>
      <c r="H152" s="3"/>
      <c r="I152" s="3"/>
      <c r="J152" s="3"/>
    </row>
    <row r="153" spans="2:10" x14ac:dyDescent="0.2">
      <c r="B153" s="175" t="s">
        <v>3353</v>
      </c>
      <c r="C153" s="175" t="s">
        <v>73</v>
      </c>
      <c r="D153" s="176" t="s">
        <v>1715</v>
      </c>
      <c r="E153" s="175"/>
      <c r="F153" s="175"/>
      <c r="G153" s="175"/>
      <c r="H153" s="3"/>
      <c r="I153" s="3"/>
      <c r="J153" s="3"/>
    </row>
    <row r="154" spans="2:10" x14ac:dyDescent="0.2">
      <c r="B154" s="175" t="s">
        <v>3354</v>
      </c>
      <c r="C154" s="175" t="s">
        <v>74</v>
      </c>
      <c r="D154" s="176" t="s">
        <v>2110</v>
      </c>
      <c r="E154" s="175"/>
      <c r="F154" s="175"/>
      <c r="G154" s="175"/>
      <c r="H154" s="3"/>
      <c r="I154" s="3"/>
      <c r="J154" s="3"/>
    </row>
    <row r="155" spans="2:10" x14ac:dyDescent="0.2">
      <c r="B155" s="72" t="s">
        <v>3355</v>
      </c>
      <c r="C155" s="72">
        <v>25</v>
      </c>
      <c r="D155" s="73" t="s">
        <v>129</v>
      </c>
      <c r="E155" s="74">
        <v>5</v>
      </c>
      <c r="F155" s="72"/>
      <c r="G155" s="72" t="str">
        <f>IF(F155&lt;&gt;"", IF(E155=F155, "O", "X"), "")</f>
        <v/>
      </c>
      <c r="H155" s="3"/>
      <c r="I155" s="3"/>
      <c r="J155" s="3"/>
    </row>
    <row r="156" spans="2:10" ht="27" x14ac:dyDescent="0.2">
      <c r="B156" s="175" t="s">
        <v>3356</v>
      </c>
      <c r="C156" s="175" t="s">
        <v>70</v>
      </c>
      <c r="D156" s="176" t="s">
        <v>523</v>
      </c>
      <c r="E156" s="175"/>
      <c r="F156" s="175"/>
      <c r="G156" s="175"/>
      <c r="H156" s="3"/>
      <c r="I156" s="3"/>
      <c r="J156" s="3"/>
    </row>
    <row r="157" spans="2:10" ht="27" x14ac:dyDescent="0.2">
      <c r="B157" s="175" t="s">
        <v>3357</v>
      </c>
      <c r="C157" s="175" t="s">
        <v>71</v>
      </c>
      <c r="D157" s="176" t="s">
        <v>925</v>
      </c>
      <c r="E157" s="175"/>
      <c r="F157" s="175"/>
      <c r="G157" s="175"/>
      <c r="H157" s="3"/>
      <c r="I157" s="3"/>
      <c r="J157" s="3"/>
    </row>
    <row r="158" spans="2:10" ht="27" x14ac:dyDescent="0.2">
      <c r="B158" s="175" t="s">
        <v>3358</v>
      </c>
      <c r="C158" s="175" t="s">
        <v>72</v>
      </c>
      <c r="D158" s="176" t="s">
        <v>1320</v>
      </c>
      <c r="E158" s="175"/>
      <c r="F158" s="175"/>
      <c r="G158" s="175"/>
      <c r="H158" s="3"/>
      <c r="I158" s="3"/>
      <c r="J158" s="3"/>
    </row>
    <row r="159" spans="2:10" ht="27" x14ac:dyDescent="0.2">
      <c r="B159" s="175" t="s">
        <v>3359</v>
      </c>
      <c r="C159" s="175" t="s">
        <v>73</v>
      </c>
      <c r="D159" s="176" t="s">
        <v>1716</v>
      </c>
      <c r="E159" s="175"/>
      <c r="F159" s="175"/>
      <c r="G159" s="175"/>
      <c r="H159" s="3"/>
      <c r="I159" s="3"/>
      <c r="J159" s="3"/>
    </row>
    <row r="160" spans="2:10" ht="27" x14ac:dyDescent="0.2">
      <c r="B160" s="175" t="s">
        <v>3360</v>
      </c>
      <c r="C160" s="175" t="s">
        <v>74</v>
      </c>
      <c r="D160" s="176" t="s">
        <v>2111</v>
      </c>
      <c r="E160" s="175"/>
      <c r="F160" s="175"/>
      <c r="G160" s="175"/>
      <c r="H160" s="3"/>
      <c r="I160" s="3"/>
      <c r="J160" s="3"/>
    </row>
    <row r="161" spans="2:10" x14ac:dyDescent="0.2">
      <c r="B161" s="72" t="s">
        <v>3361</v>
      </c>
      <c r="C161" s="72">
        <v>26</v>
      </c>
      <c r="D161" s="73" t="s">
        <v>130</v>
      </c>
      <c r="E161" s="74">
        <v>2</v>
      </c>
      <c r="F161" s="72"/>
      <c r="G161" s="72" t="str">
        <f>IF(F161&lt;&gt;"", IF(E161=F161, "O", "X"), "")</f>
        <v/>
      </c>
      <c r="H161" s="3"/>
      <c r="I161" s="3"/>
      <c r="J161" s="3"/>
    </row>
    <row r="162" spans="2:10" x14ac:dyDescent="0.2">
      <c r="B162" s="175" t="s">
        <v>3362</v>
      </c>
      <c r="C162" s="175" t="s">
        <v>70</v>
      </c>
      <c r="D162" s="176" t="s">
        <v>524</v>
      </c>
      <c r="E162" s="175"/>
      <c r="F162" s="175"/>
      <c r="G162" s="175"/>
      <c r="H162" s="3"/>
      <c r="I162" s="3"/>
      <c r="J162" s="3"/>
    </row>
    <row r="163" spans="2:10" x14ac:dyDescent="0.2">
      <c r="B163" s="175" t="s">
        <v>3363</v>
      </c>
      <c r="C163" s="175" t="s">
        <v>71</v>
      </c>
      <c r="D163" s="176" t="s">
        <v>926</v>
      </c>
      <c r="E163" s="175"/>
      <c r="F163" s="175"/>
      <c r="G163" s="175"/>
      <c r="H163" s="3"/>
      <c r="I163" s="3"/>
      <c r="J163" s="3"/>
    </row>
    <row r="164" spans="2:10" x14ac:dyDescent="0.2">
      <c r="B164" s="175" t="s">
        <v>3364</v>
      </c>
      <c r="C164" s="175" t="s">
        <v>72</v>
      </c>
      <c r="D164" s="176" t="s">
        <v>1321</v>
      </c>
      <c r="E164" s="175"/>
      <c r="F164" s="175"/>
      <c r="G164" s="175"/>
      <c r="H164" s="3"/>
      <c r="I164" s="3"/>
      <c r="J164" s="3"/>
    </row>
    <row r="165" spans="2:10" x14ac:dyDescent="0.2">
      <c r="B165" s="175" t="s">
        <v>3365</v>
      </c>
      <c r="C165" s="175" t="s">
        <v>73</v>
      </c>
      <c r="D165" s="176" t="s">
        <v>1717</v>
      </c>
      <c r="E165" s="175"/>
      <c r="F165" s="175"/>
      <c r="G165" s="175"/>
      <c r="H165" s="3"/>
      <c r="I165" s="3"/>
      <c r="J165" s="3"/>
    </row>
    <row r="166" spans="2:10" x14ac:dyDescent="0.2">
      <c r="B166" s="175" t="s">
        <v>3366</v>
      </c>
      <c r="C166" s="175" t="s">
        <v>74</v>
      </c>
      <c r="D166" s="176" t="s">
        <v>2112</v>
      </c>
      <c r="E166" s="175"/>
      <c r="F166" s="175"/>
      <c r="G166" s="175"/>
      <c r="H166" s="3"/>
      <c r="I166" s="3"/>
      <c r="J166" s="3"/>
    </row>
    <row r="167" spans="2:10" x14ac:dyDescent="0.2">
      <c r="B167" s="72" t="s">
        <v>3367</v>
      </c>
      <c r="C167" s="72">
        <v>27</v>
      </c>
      <c r="D167" s="73" t="s">
        <v>131</v>
      </c>
      <c r="E167" s="74">
        <v>2</v>
      </c>
      <c r="F167" s="72"/>
      <c r="G167" s="72" t="str">
        <f>IF(F167&lt;&gt;"", IF(E167=F167, "O", "X"), "")</f>
        <v/>
      </c>
      <c r="H167" s="3"/>
      <c r="I167" s="3"/>
      <c r="J167" s="3"/>
    </row>
    <row r="168" spans="2:10" ht="27" x14ac:dyDescent="0.2">
      <c r="B168" s="175" t="s">
        <v>3368</v>
      </c>
      <c r="C168" s="175" t="s">
        <v>70</v>
      </c>
      <c r="D168" s="176" t="s">
        <v>525</v>
      </c>
      <c r="E168" s="175"/>
      <c r="F168" s="175"/>
      <c r="G168" s="175"/>
      <c r="H168" s="3"/>
      <c r="I168" s="3"/>
      <c r="J168" s="3"/>
    </row>
    <row r="169" spans="2:10" x14ac:dyDescent="0.2">
      <c r="B169" s="175" t="s">
        <v>3369</v>
      </c>
      <c r="C169" s="175" t="s">
        <v>71</v>
      </c>
      <c r="D169" s="176" t="s">
        <v>927</v>
      </c>
      <c r="E169" s="175"/>
      <c r="F169" s="175"/>
      <c r="G169" s="175"/>
      <c r="H169" s="3"/>
      <c r="I169" s="3"/>
      <c r="J169" s="3"/>
    </row>
    <row r="170" spans="2:10" ht="27" x14ac:dyDescent="0.2">
      <c r="B170" s="175" t="s">
        <v>3370</v>
      </c>
      <c r="C170" s="175" t="s">
        <v>72</v>
      </c>
      <c r="D170" s="176" t="s">
        <v>1322</v>
      </c>
      <c r="E170" s="175"/>
      <c r="F170" s="175"/>
      <c r="G170" s="175"/>
      <c r="H170" s="3"/>
      <c r="I170" s="3"/>
      <c r="J170" s="3"/>
    </row>
    <row r="171" spans="2:10" ht="27" x14ac:dyDescent="0.2">
      <c r="B171" s="175" t="s">
        <v>3371</v>
      </c>
      <c r="C171" s="175" t="s">
        <v>73</v>
      </c>
      <c r="D171" s="176" t="s">
        <v>1718</v>
      </c>
      <c r="E171" s="175"/>
      <c r="F171" s="175"/>
      <c r="G171" s="175"/>
      <c r="H171" s="3"/>
      <c r="I171" s="3"/>
      <c r="J171" s="3"/>
    </row>
    <row r="172" spans="2:10" x14ac:dyDescent="0.2">
      <c r="B172" s="175" t="s">
        <v>3372</v>
      </c>
      <c r="C172" s="175" t="s">
        <v>74</v>
      </c>
      <c r="D172" s="176" t="s">
        <v>2113</v>
      </c>
      <c r="E172" s="175"/>
      <c r="F172" s="175"/>
      <c r="G172" s="175"/>
      <c r="H172" s="3"/>
      <c r="I172" s="3"/>
      <c r="J172" s="3"/>
    </row>
    <row r="173" spans="2:10" x14ac:dyDescent="0.2">
      <c r="B173" s="72" t="s">
        <v>3373</v>
      </c>
      <c r="C173" s="72">
        <v>28</v>
      </c>
      <c r="D173" s="73" t="s">
        <v>132</v>
      </c>
      <c r="E173" s="74">
        <v>5</v>
      </c>
      <c r="F173" s="72"/>
      <c r="G173" s="72" t="str">
        <f>IF(F173&lt;&gt;"", IF(E173=F173, "O", "X"), "")</f>
        <v/>
      </c>
      <c r="H173" s="3"/>
      <c r="I173" s="3"/>
      <c r="J173" s="3"/>
    </row>
    <row r="174" spans="2:10" ht="27" x14ac:dyDescent="0.2">
      <c r="B174" s="175" t="s">
        <v>3374</v>
      </c>
      <c r="C174" s="175" t="s">
        <v>70</v>
      </c>
      <c r="D174" s="176" t="s">
        <v>526</v>
      </c>
      <c r="E174" s="175"/>
      <c r="F174" s="175"/>
      <c r="G174" s="175"/>
      <c r="H174" s="3"/>
      <c r="I174" s="3"/>
      <c r="J174" s="3"/>
    </row>
    <row r="175" spans="2:10" ht="40.5" x14ac:dyDescent="0.2">
      <c r="B175" s="175" t="s">
        <v>3375</v>
      </c>
      <c r="C175" s="175" t="s">
        <v>71</v>
      </c>
      <c r="D175" s="176" t="s">
        <v>928</v>
      </c>
      <c r="E175" s="175"/>
      <c r="F175" s="175"/>
      <c r="G175" s="175"/>
      <c r="H175" s="3"/>
      <c r="I175" s="3"/>
      <c r="J175" s="3"/>
    </row>
    <row r="176" spans="2:10" ht="27" x14ac:dyDescent="0.2">
      <c r="B176" s="175" t="s">
        <v>3376</v>
      </c>
      <c r="C176" s="175" t="s">
        <v>72</v>
      </c>
      <c r="D176" s="176" t="s">
        <v>1323</v>
      </c>
      <c r="E176" s="175"/>
      <c r="F176" s="175"/>
      <c r="G176" s="175"/>
      <c r="H176" s="3"/>
      <c r="I176" s="3"/>
      <c r="J176" s="3"/>
    </row>
    <row r="177" spans="2:10" ht="27" x14ac:dyDescent="0.2">
      <c r="B177" s="175" t="s">
        <v>3377</v>
      </c>
      <c r="C177" s="175" t="s">
        <v>73</v>
      </c>
      <c r="D177" s="176" t="s">
        <v>1719</v>
      </c>
      <c r="E177" s="175"/>
      <c r="F177" s="175"/>
      <c r="G177" s="175"/>
      <c r="H177" s="3"/>
      <c r="I177" s="3"/>
      <c r="J177" s="3"/>
    </row>
    <row r="178" spans="2:10" x14ac:dyDescent="0.2">
      <c r="B178" s="175" t="s">
        <v>3378</v>
      </c>
      <c r="C178" s="175" t="s">
        <v>74</v>
      </c>
      <c r="D178" s="176" t="s">
        <v>2114</v>
      </c>
      <c r="E178" s="175"/>
      <c r="F178" s="175"/>
      <c r="G178" s="175"/>
      <c r="H178" s="3"/>
      <c r="I178" s="3"/>
      <c r="J178" s="3"/>
    </row>
    <row r="179" spans="2:10" x14ac:dyDescent="0.2">
      <c r="B179" s="72" t="s">
        <v>3379</v>
      </c>
      <c r="C179" s="72">
        <v>29</v>
      </c>
      <c r="D179" s="73" t="s">
        <v>133</v>
      </c>
      <c r="E179" s="74">
        <v>4</v>
      </c>
      <c r="F179" s="72"/>
      <c r="G179" s="72" t="str">
        <f>IF(F179&lt;&gt;"", IF(E179=F179, "O", "X"), "")</f>
        <v/>
      </c>
      <c r="H179" s="3"/>
      <c r="I179" s="3"/>
      <c r="J179" s="3"/>
    </row>
    <row r="180" spans="2:10" x14ac:dyDescent="0.2">
      <c r="B180" s="175" t="s">
        <v>3380</v>
      </c>
      <c r="C180" s="175" t="s">
        <v>70</v>
      </c>
      <c r="D180" s="176" t="s">
        <v>527</v>
      </c>
      <c r="E180" s="175"/>
      <c r="F180" s="175"/>
      <c r="G180" s="175"/>
      <c r="H180" s="3"/>
      <c r="I180" s="3"/>
      <c r="J180" s="3"/>
    </row>
    <row r="181" spans="2:10" x14ac:dyDescent="0.2">
      <c r="B181" s="175" t="s">
        <v>3381</v>
      </c>
      <c r="C181" s="175" t="s">
        <v>71</v>
      </c>
      <c r="D181" s="176" t="s">
        <v>929</v>
      </c>
      <c r="E181" s="175"/>
      <c r="F181" s="175"/>
      <c r="G181" s="175"/>
      <c r="H181" s="3"/>
      <c r="I181" s="3"/>
      <c r="J181" s="3"/>
    </row>
    <row r="182" spans="2:10" x14ac:dyDescent="0.2">
      <c r="B182" s="175" t="s">
        <v>3382</v>
      </c>
      <c r="C182" s="175" t="s">
        <v>72</v>
      </c>
      <c r="D182" s="176" t="s">
        <v>1324</v>
      </c>
      <c r="E182" s="175"/>
      <c r="F182" s="175"/>
      <c r="G182" s="175"/>
      <c r="H182" s="3"/>
      <c r="I182" s="3"/>
      <c r="J182" s="3"/>
    </row>
    <row r="183" spans="2:10" x14ac:dyDescent="0.2">
      <c r="B183" s="175" t="s">
        <v>3383</v>
      </c>
      <c r="C183" s="175" t="s">
        <v>73</v>
      </c>
      <c r="D183" s="176" t="s">
        <v>1720</v>
      </c>
      <c r="E183" s="175"/>
      <c r="F183" s="175"/>
      <c r="G183" s="175"/>
      <c r="H183" s="3"/>
      <c r="I183" s="3"/>
      <c r="J183" s="3"/>
    </row>
    <row r="184" spans="2:10" x14ac:dyDescent="0.2">
      <c r="B184" s="175" t="s">
        <v>3384</v>
      </c>
      <c r="C184" s="175" t="s">
        <v>74</v>
      </c>
      <c r="D184" s="176" t="s">
        <v>2115</v>
      </c>
      <c r="E184" s="175"/>
      <c r="F184" s="175"/>
      <c r="G184" s="175"/>
      <c r="H184" s="3"/>
      <c r="I184" s="3"/>
      <c r="J184" s="3"/>
    </row>
    <row r="185" spans="2:10" ht="81" x14ac:dyDescent="0.2">
      <c r="B185" s="72" t="s">
        <v>3385</v>
      </c>
      <c r="C185" s="72">
        <v>30</v>
      </c>
      <c r="D185" s="73" t="s">
        <v>134</v>
      </c>
      <c r="E185" s="74">
        <v>3</v>
      </c>
      <c r="F185" s="72"/>
      <c r="G185" s="72" t="str">
        <f>IF(F185&lt;&gt;"", IF(E185=F185, "O", "X"), "")</f>
        <v/>
      </c>
      <c r="H185" s="3"/>
      <c r="I185" s="3"/>
      <c r="J185" s="3"/>
    </row>
    <row r="186" spans="2:10" x14ac:dyDescent="0.2">
      <c r="B186" s="175" t="s">
        <v>3386</v>
      </c>
      <c r="C186" s="175" t="s">
        <v>70</v>
      </c>
      <c r="D186" s="176" t="s">
        <v>45</v>
      </c>
      <c r="E186" s="175"/>
      <c r="F186" s="175"/>
      <c r="G186" s="175"/>
      <c r="H186" s="3"/>
      <c r="I186" s="3"/>
      <c r="J186" s="3"/>
    </row>
    <row r="187" spans="2:10" x14ac:dyDescent="0.2">
      <c r="B187" s="175" t="s">
        <v>3387</v>
      </c>
      <c r="C187" s="175" t="s">
        <v>71</v>
      </c>
      <c r="D187" s="176" t="s">
        <v>53</v>
      </c>
      <c r="E187" s="175"/>
      <c r="F187" s="175"/>
      <c r="G187" s="175"/>
      <c r="H187" s="3"/>
      <c r="I187" s="3"/>
      <c r="J187" s="3"/>
    </row>
    <row r="188" spans="2:10" x14ac:dyDescent="0.2">
      <c r="B188" s="175" t="s">
        <v>3388</v>
      </c>
      <c r="C188" s="175" t="s">
        <v>72</v>
      </c>
      <c r="D188" s="176" t="s">
        <v>44</v>
      </c>
      <c r="E188" s="175"/>
      <c r="F188" s="175"/>
      <c r="G188" s="175"/>
      <c r="H188" s="3"/>
      <c r="I188" s="3"/>
      <c r="J188" s="3"/>
    </row>
    <row r="189" spans="2:10" x14ac:dyDescent="0.2">
      <c r="B189" s="175" t="s">
        <v>3389</v>
      </c>
      <c r="C189" s="175" t="s">
        <v>73</v>
      </c>
      <c r="D189" s="176" t="s">
        <v>55</v>
      </c>
      <c r="E189" s="175"/>
      <c r="F189" s="175"/>
      <c r="G189" s="175"/>
      <c r="H189" s="3"/>
      <c r="I189" s="3"/>
      <c r="J189" s="3"/>
    </row>
    <row r="190" spans="2:10" x14ac:dyDescent="0.2">
      <c r="B190" s="175" t="s">
        <v>3390</v>
      </c>
      <c r="C190" s="175" t="s">
        <v>74</v>
      </c>
      <c r="D190" s="176" t="s">
        <v>46</v>
      </c>
      <c r="E190" s="175"/>
      <c r="F190" s="175"/>
      <c r="G190" s="175"/>
      <c r="H190" s="3"/>
      <c r="I190" s="3"/>
      <c r="J190" s="3"/>
    </row>
    <row r="191" spans="2:10" x14ac:dyDescent="0.2">
      <c r="B191" s="72" t="s">
        <v>3391</v>
      </c>
      <c r="C191" s="72">
        <v>31</v>
      </c>
      <c r="D191" s="73" t="s">
        <v>135</v>
      </c>
      <c r="E191" s="74">
        <v>5</v>
      </c>
      <c r="F191" s="72"/>
      <c r="G191" s="72" t="str">
        <f>IF(F191&lt;&gt;"", IF(E191=F191, "O", "X"), "")</f>
        <v/>
      </c>
      <c r="H191" s="3"/>
      <c r="I191" s="3"/>
      <c r="J191" s="3"/>
    </row>
    <row r="192" spans="2:10" x14ac:dyDescent="0.2">
      <c r="B192" s="175" t="s">
        <v>3392</v>
      </c>
      <c r="C192" s="175" t="s">
        <v>70</v>
      </c>
      <c r="D192" s="176" t="s">
        <v>528</v>
      </c>
      <c r="E192" s="175"/>
      <c r="F192" s="175"/>
      <c r="G192" s="175"/>
      <c r="H192" s="3"/>
      <c r="I192" s="3"/>
      <c r="J192" s="3"/>
    </row>
    <row r="193" spans="2:10" x14ac:dyDescent="0.2">
      <c r="B193" s="175" t="s">
        <v>3393</v>
      </c>
      <c r="C193" s="175" t="s">
        <v>71</v>
      </c>
      <c r="D193" s="176" t="s">
        <v>930</v>
      </c>
      <c r="E193" s="175"/>
      <c r="F193" s="175"/>
      <c r="G193" s="175"/>
      <c r="H193" s="3"/>
      <c r="I193" s="3"/>
      <c r="J193" s="3"/>
    </row>
    <row r="194" spans="2:10" x14ac:dyDescent="0.2">
      <c r="B194" s="175" t="s">
        <v>3394</v>
      </c>
      <c r="C194" s="175" t="s">
        <v>72</v>
      </c>
      <c r="D194" s="176" t="s">
        <v>1325</v>
      </c>
      <c r="E194" s="175"/>
      <c r="F194" s="175"/>
      <c r="G194" s="175"/>
      <c r="H194" s="3"/>
      <c r="I194" s="3"/>
      <c r="J194" s="3"/>
    </row>
    <row r="195" spans="2:10" x14ac:dyDescent="0.2">
      <c r="B195" s="175" t="s">
        <v>3395</v>
      </c>
      <c r="C195" s="175" t="s">
        <v>73</v>
      </c>
      <c r="D195" s="176" t="s">
        <v>1721</v>
      </c>
      <c r="E195" s="175"/>
      <c r="F195" s="175"/>
      <c r="G195" s="175"/>
      <c r="H195" s="3"/>
      <c r="I195" s="3"/>
      <c r="J195" s="3"/>
    </row>
    <row r="196" spans="2:10" x14ac:dyDescent="0.2">
      <c r="B196" s="175" t="s">
        <v>3396</v>
      </c>
      <c r="C196" s="175" t="s">
        <v>74</v>
      </c>
      <c r="D196" s="176" t="s">
        <v>2116</v>
      </c>
      <c r="E196" s="175"/>
      <c r="F196" s="175"/>
      <c r="G196" s="175"/>
      <c r="H196" s="3"/>
      <c r="I196" s="3"/>
      <c r="J196" s="3"/>
    </row>
    <row r="197" spans="2:10" x14ac:dyDescent="0.2">
      <c r="B197" s="72" t="s">
        <v>3397</v>
      </c>
      <c r="C197" s="72">
        <v>32</v>
      </c>
      <c r="D197" s="73" t="s">
        <v>136</v>
      </c>
      <c r="E197" s="74">
        <v>1</v>
      </c>
      <c r="F197" s="72"/>
      <c r="G197" s="72" t="str">
        <f>IF(F197&lt;&gt;"", IF(E197=F197, "O", "X"), "")</f>
        <v/>
      </c>
      <c r="H197" s="3"/>
      <c r="I197" s="3"/>
      <c r="J197" s="3"/>
    </row>
    <row r="198" spans="2:10" x14ac:dyDescent="0.2">
      <c r="B198" s="175" t="s">
        <v>3398</v>
      </c>
      <c r="C198" s="175" t="s">
        <v>70</v>
      </c>
      <c r="D198" s="176" t="s">
        <v>529</v>
      </c>
      <c r="E198" s="175"/>
      <c r="F198" s="175"/>
      <c r="G198" s="175"/>
      <c r="H198" s="3"/>
      <c r="I198" s="3"/>
      <c r="J198" s="3"/>
    </row>
    <row r="199" spans="2:10" x14ac:dyDescent="0.2">
      <c r="B199" s="175" t="s">
        <v>3399</v>
      </c>
      <c r="C199" s="175" t="s">
        <v>71</v>
      </c>
      <c r="D199" s="176" t="s">
        <v>931</v>
      </c>
      <c r="E199" s="175"/>
      <c r="F199" s="175"/>
      <c r="G199" s="175"/>
      <c r="H199" s="3"/>
      <c r="I199" s="3"/>
      <c r="J199" s="3"/>
    </row>
    <row r="200" spans="2:10" x14ac:dyDescent="0.2">
      <c r="B200" s="175" t="s">
        <v>3400</v>
      </c>
      <c r="C200" s="175" t="s">
        <v>72</v>
      </c>
      <c r="D200" s="176" t="s">
        <v>1326</v>
      </c>
      <c r="E200" s="175"/>
      <c r="F200" s="175"/>
      <c r="G200" s="175"/>
      <c r="H200" s="3"/>
      <c r="I200" s="3"/>
      <c r="J200" s="3"/>
    </row>
    <row r="201" spans="2:10" x14ac:dyDescent="0.2">
      <c r="B201" s="175" t="s">
        <v>3401</v>
      </c>
      <c r="C201" s="175" t="s">
        <v>73</v>
      </c>
      <c r="D201" s="176" t="s">
        <v>1722</v>
      </c>
      <c r="E201" s="175"/>
      <c r="F201" s="175"/>
      <c r="G201" s="175"/>
      <c r="H201" s="3"/>
      <c r="I201" s="3"/>
      <c r="J201" s="3"/>
    </row>
    <row r="202" spans="2:10" x14ac:dyDescent="0.2">
      <c r="B202" s="175" t="s">
        <v>3402</v>
      </c>
      <c r="C202" s="175" t="s">
        <v>74</v>
      </c>
      <c r="D202" s="176" t="s">
        <v>2117</v>
      </c>
      <c r="E202" s="175"/>
      <c r="F202" s="175"/>
      <c r="G202" s="175"/>
      <c r="H202" s="3"/>
      <c r="I202" s="3"/>
      <c r="J202" s="3"/>
    </row>
    <row r="203" spans="2:10" ht="67.5" x14ac:dyDescent="0.2">
      <c r="B203" s="72" t="s">
        <v>3403</v>
      </c>
      <c r="C203" s="72">
        <v>33</v>
      </c>
      <c r="D203" s="73" t="s">
        <v>137</v>
      </c>
      <c r="E203" s="74">
        <v>2</v>
      </c>
      <c r="F203" s="72"/>
      <c r="G203" s="72" t="str">
        <f>IF(F203&lt;&gt;"", IF(E203=F203, "O", "X"), "")</f>
        <v/>
      </c>
      <c r="H203" s="3"/>
      <c r="I203" s="3"/>
      <c r="J203" s="3"/>
    </row>
    <row r="204" spans="2:10" x14ac:dyDescent="0.2">
      <c r="B204" s="175" t="s">
        <v>3404</v>
      </c>
      <c r="C204" s="175" t="s">
        <v>70</v>
      </c>
      <c r="D204" s="176" t="s">
        <v>45</v>
      </c>
      <c r="E204" s="175"/>
      <c r="F204" s="175"/>
      <c r="G204" s="175"/>
      <c r="H204" s="3"/>
      <c r="I204" s="3"/>
      <c r="J204" s="3"/>
    </row>
    <row r="205" spans="2:10" x14ac:dyDescent="0.2">
      <c r="B205" s="175" t="s">
        <v>3405</v>
      </c>
      <c r="C205" s="175" t="s">
        <v>71</v>
      </c>
      <c r="D205" s="176" t="s">
        <v>53</v>
      </c>
      <c r="E205" s="175"/>
      <c r="F205" s="175"/>
      <c r="G205" s="175"/>
      <c r="H205" s="3"/>
      <c r="I205" s="3"/>
      <c r="J205" s="3"/>
    </row>
    <row r="206" spans="2:10" x14ac:dyDescent="0.2">
      <c r="B206" s="175" t="s">
        <v>3406</v>
      </c>
      <c r="C206" s="175" t="s">
        <v>72</v>
      </c>
      <c r="D206" s="176" t="s">
        <v>44</v>
      </c>
      <c r="E206" s="175"/>
      <c r="F206" s="175"/>
      <c r="G206" s="175"/>
      <c r="H206" s="3"/>
      <c r="I206" s="3"/>
      <c r="J206" s="3"/>
    </row>
    <row r="207" spans="2:10" x14ac:dyDescent="0.2">
      <c r="B207" s="175" t="s">
        <v>3407</v>
      </c>
      <c r="C207" s="175" t="s">
        <v>73</v>
      </c>
      <c r="D207" s="176" t="s">
        <v>55</v>
      </c>
      <c r="E207" s="175"/>
      <c r="F207" s="175"/>
      <c r="G207" s="175"/>
      <c r="H207" s="3"/>
      <c r="I207" s="3"/>
      <c r="J207" s="3"/>
    </row>
    <row r="208" spans="2:10" x14ac:dyDescent="0.2">
      <c r="B208" s="175" t="s">
        <v>3408</v>
      </c>
      <c r="C208" s="175" t="s">
        <v>74</v>
      </c>
      <c r="D208" s="176" t="s">
        <v>46</v>
      </c>
      <c r="E208" s="175"/>
      <c r="F208" s="175"/>
      <c r="G208" s="175"/>
      <c r="H208" s="3"/>
      <c r="I208" s="3"/>
      <c r="J208" s="3"/>
    </row>
    <row r="209" spans="2:10" ht="94.5" x14ac:dyDescent="0.2">
      <c r="B209" s="72" t="s">
        <v>3409</v>
      </c>
      <c r="C209" s="72">
        <v>34</v>
      </c>
      <c r="D209" s="73" t="s">
        <v>138</v>
      </c>
      <c r="E209" s="74">
        <v>5</v>
      </c>
      <c r="F209" s="72"/>
      <c r="G209" s="72" t="str">
        <f>IF(F209&lt;&gt;"", IF(E209=F209, "O", "X"), "")</f>
        <v/>
      </c>
      <c r="H209" s="3"/>
      <c r="I209" s="3"/>
      <c r="J209" s="3"/>
    </row>
    <row r="210" spans="2:10" x14ac:dyDescent="0.2">
      <c r="B210" s="175" t="s">
        <v>3410</v>
      </c>
      <c r="C210" s="175" t="s">
        <v>70</v>
      </c>
      <c r="D210" s="176" t="s">
        <v>45</v>
      </c>
      <c r="E210" s="175"/>
      <c r="F210" s="175"/>
      <c r="G210" s="175"/>
      <c r="H210" s="3"/>
      <c r="I210" s="3"/>
      <c r="J210" s="3"/>
    </row>
    <row r="211" spans="2:10" x14ac:dyDescent="0.2">
      <c r="B211" s="175" t="s">
        <v>3411</v>
      </c>
      <c r="C211" s="175" t="s">
        <v>71</v>
      </c>
      <c r="D211" s="176" t="s">
        <v>53</v>
      </c>
      <c r="E211" s="175"/>
      <c r="F211" s="175"/>
      <c r="G211" s="175"/>
      <c r="H211" s="3"/>
      <c r="I211" s="3"/>
      <c r="J211" s="3"/>
    </row>
    <row r="212" spans="2:10" x14ac:dyDescent="0.2">
      <c r="B212" s="175" t="s">
        <v>3412</v>
      </c>
      <c r="C212" s="175" t="s">
        <v>72</v>
      </c>
      <c r="D212" s="176" t="s">
        <v>44</v>
      </c>
      <c r="E212" s="175"/>
      <c r="F212" s="175"/>
      <c r="G212" s="175"/>
      <c r="H212" s="3"/>
      <c r="I212" s="3"/>
      <c r="J212" s="3"/>
    </row>
    <row r="213" spans="2:10" x14ac:dyDescent="0.2">
      <c r="B213" s="175" t="s">
        <v>3413</v>
      </c>
      <c r="C213" s="175" t="s">
        <v>73</v>
      </c>
      <c r="D213" s="176" t="s">
        <v>55</v>
      </c>
      <c r="E213" s="175"/>
      <c r="F213" s="175"/>
      <c r="G213" s="175"/>
      <c r="H213" s="3"/>
      <c r="I213" s="3"/>
      <c r="J213" s="3"/>
    </row>
    <row r="214" spans="2:10" x14ac:dyDescent="0.2">
      <c r="B214" s="175" t="s">
        <v>3414</v>
      </c>
      <c r="C214" s="175" t="s">
        <v>74</v>
      </c>
      <c r="D214" s="176" t="s">
        <v>46</v>
      </c>
      <c r="E214" s="175"/>
      <c r="F214" s="175"/>
      <c r="G214" s="175"/>
      <c r="H214" s="3"/>
      <c r="I214" s="3"/>
      <c r="J214" s="3"/>
    </row>
    <row r="215" spans="2:10" x14ac:dyDescent="0.2">
      <c r="B215" s="72" t="s">
        <v>3415</v>
      </c>
      <c r="C215" s="72">
        <v>35</v>
      </c>
      <c r="D215" s="73" t="s">
        <v>139</v>
      </c>
      <c r="E215" s="74">
        <v>3</v>
      </c>
      <c r="F215" s="72"/>
      <c r="G215" s="72" t="str">
        <f>IF(F215&lt;&gt;"", IF(E215=F215, "O", "X"), "")</f>
        <v/>
      </c>
      <c r="H215" s="3"/>
      <c r="I215" s="3"/>
      <c r="J215" s="3"/>
    </row>
    <row r="216" spans="2:10" x14ac:dyDescent="0.2">
      <c r="B216" s="175" t="s">
        <v>3416</v>
      </c>
      <c r="C216" s="175" t="s">
        <v>70</v>
      </c>
      <c r="D216" s="176" t="s">
        <v>530</v>
      </c>
      <c r="E216" s="175"/>
      <c r="F216" s="175"/>
      <c r="G216" s="175"/>
      <c r="H216" s="3"/>
      <c r="I216" s="3"/>
      <c r="J216" s="3"/>
    </row>
    <row r="217" spans="2:10" x14ac:dyDescent="0.2">
      <c r="B217" s="175" t="s">
        <v>3417</v>
      </c>
      <c r="C217" s="175" t="s">
        <v>71</v>
      </c>
      <c r="D217" s="176" t="s">
        <v>932</v>
      </c>
      <c r="E217" s="175"/>
      <c r="F217" s="175"/>
      <c r="G217" s="175"/>
      <c r="H217" s="3"/>
      <c r="I217" s="3"/>
      <c r="J217" s="3"/>
    </row>
    <row r="218" spans="2:10" ht="27" x14ac:dyDescent="0.2">
      <c r="B218" s="175" t="s">
        <v>3418</v>
      </c>
      <c r="C218" s="175" t="s">
        <v>72</v>
      </c>
      <c r="D218" s="176" t="s">
        <v>1327</v>
      </c>
      <c r="E218" s="175"/>
      <c r="F218" s="175"/>
      <c r="G218" s="175"/>
      <c r="H218" s="3"/>
      <c r="I218" s="3"/>
      <c r="J218" s="3"/>
    </row>
    <row r="219" spans="2:10" x14ac:dyDescent="0.2">
      <c r="B219" s="175" t="s">
        <v>3419</v>
      </c>
      <c r="C219" s="175" t="s">
        <v>73</v>
      </c>
      <c r="D219" s="176" t="s">
        <v>1723</v>
      </c>
      <c r="E219" s="175"/>
      <c r="F219" s="175"/>
      <c r="G219" s="175"/>
      <c r="H219" s="3"/>
      <c r="I219" s="3"/>
      <c r="J219" s="3"/>
    </row>
    <row r="220" spans="2:10" ht="27" x14ac:dyDescent="0.2">
      <c r="B220" s="175" t="s">
        <v>3420</v>
      </c>
      <c r="C220" s="175" t="s">
        <v>74</v>
      </c>
      <c r="D220" s="176" t="s">
        <v>2118</v>
      </c>
      <c r="E220" s="175"/>
      <c r="F220" s="175"/>
      <c r="G220" s="175"/>
      <c r="H220" s="3"/>
      <c r="I220" s="3"/>
      <c r="J220" s="3"/>
    </row>
    <row r="221" spans="2:10" x14ac:dyDescent="0.2">
      <c r="B221" s="72" t="s">
        <v>3421</v>
      </c>
      <c r="C221" s="72">
        <v>36</v>
      </c>
      <c r="D221" s="73" t="s">
        <v>140</v>
      </c>
      <c r="E221" s="74">
        <v>4</v>
      </c>
      <c r="F221" s="72"/>
      <c r="G221" s="72" t="str">
        <f>IF(F221&lt;&gt;"", IF(E221=F221, "O", "X"), "")</f>
        <v/>
      </c>
      <c r="H221" s="3"/>
      <c r="I221" s="3"/>
      <c r="J221" s="3"/>
    </row>
    <row r="222" spans="2:10" x14ac:dyDescent="0.2">
      <c r="B222" s="175" t="s">
        <v>3422</v>
      </c>
      <c r="C222" s="175" t="s">
        <v>70</v>
      </c>
      <c r="D222" s="176" t="s">
        <v>531</v>
      </c>
      <c r="E222" s="175"/>
      <c r="F222" s="175"/>
      <c r="G222" s="175"/>
      <c r="H222" s="3"/>
      <c r="I222" s="3"/>
      <c r="J222" s="3"/>
    </row>
    <row r="223" spans="2:10" ht="27" x14ac:dyDescent="0.2">
      <c r="B223" s="175" t="s">
        <v>3423</v>
      </c>
      <c r="C223" s="175" t="s">
        <v>71</v>
      </c>
      <c r="D223" s="176" t="s">
        <v>933</v>
      </c>
      <c r="E223" s="175"/>
      <c r="F223" s="175"/>
      <c r="G223" s="175"/>
      <c r="H223" s="3"/>
      <c r="I223" s="3"/>
      <c r="J223" s="3"/>
    </row>
    <row r="224" spans="2:10" x14ac:dyDescent="0.2">
      <c r="B224" s="175" t="s">
        <v>3424</v>
      </c>
      <c r="C224" s="175" t="s">
        <v>72</v>
      </c>
      <c r="D224" s="176" t="s">
        <v>1328</v>
      </c>
      <c r="E224" s="175"/>
      <c r="F224" s="175"/>
      <c r="G224" s="175"/>
      <c r="H224" s="3"/>
      <c r="I224" s="3"/>
      <c r="J224" s="3"/>
    </row>
    <row r="225" spans="2:10" ht="27" x14ac:dyDescent="0.2">
      <c r="B225" s="175" t="s">
        <v>3425</v>
      </c>
      <c r="C225" s="175" t="s">
        <v>73</v>
      </c>
      <c r="D225" s="176" t="s">
        <v>1724</v>
      </c>
      <c r="E225" s="175"/>
      <c r="F225" s="175"/>
      <c r="G225" s="175"/>
      <c r="H225" s="3"/>
      <c r="I225" s="3"/>
      <c r="J225" s="3"/>
    </row>
    <row r="226" spans="2:10" x14ac:dyDescent="0.2">
      <c r="B226" s="175" t="s">
        <v>3426</v>
      </c>
      <c r="C226" s="175" t="s">
        <v>74</v>
      </c>
      <c r="D226" s="176" t="s">
        <v>2119</v>
      </c>
      <c r="E226" s="175"/>
      <c r="F226" s="175"/>
      <c r="G226" s="175"/>
      <c r="H226" s="3"/>
      <c r="I226" s="3"/>
      <c r="J226" s="3"/>
    </row>
    <row r="227" spans="2:10" x14ac:dyDescent="0.2">
      <c r="B227" s="72" t="s">
        <v>3427</v>
      </c>
      <c r="C227" s="72">
        <v>37</v>
      </c>
      <c r="D227" s="73" t="s">
        <v>141</v>
      </c>
      <c r="E227" s="74">
        <v>4</v>
      </c>
      <c r="F227" s="72"/>
      <c r="G227" s="72" t="str">
        <f>IF(F227&lt;&gt;"", IF(E227=F227, "O", "X"), "")</f>
        <v/>
      </c>
      <c r="H227" s="3"/>
      <c r="I227" s="3"/>
      <c r="J227" s="3"/>
    </row>
    <row r="228" spans="2:10" x14ac:dyDescent="0.2">
      <c r="B228" s="175" t="s">
        <v>3428</v>
      </c>
      <c r="C228" s="175" t="s">
        <v>70</v>
      </c>
      <c r="D228" s="176" t="s">
        <v>532</v>
      </c>
      <c r="E228" s="175"/>
      <c r="F228" s="175"/>
      <c r="G228" s="175"/>
      <c r="H228" s="3"/>
      <c r="I228" s="3"/>
      <c r="J228" s="3"/>
    </row>
    <row r="229" spans="2:10" x14ac:dyDescent="0.2">
      <c r="B229" s="175" t="s">
        <v>3429</v>
      </c>
      <c r="C229" s="175" t="s">
        <v>71</v>
      </c>
      <c r="D229" s="176" t="s">
        <v>934</v>
      </c>
      <c r="E229" s="175"/>
      <c r="F229" s="175"/>
      <c r="G229" s="175"/>
      <c r="H229" s="3"/>
      <c r="I229" s="3"/>
      <c r="J229" s="3"/>
    </row>
    <row r="230" spans="2:10" ht="27" x14ac:dyDescent="0.2">
      <c r="B230" s="175" t="s">
        <v>3430</v>
      </c>
      <c r="C230" s="175" t="s">
        <v>72</v>
      </c>
      <c r="D230" s="176" t="s">
        <v>1329</v>
      </c>
      <c r="E230" s="175"/>
      <c r="F230" s="175"/>
      <c r="G230" s="175"/>
      <c r="H230" s="3"/>
      <c r="I230" s="3"/>
      <c r="J230" s="3"/>
    </row>
    <row r="231" spans="2:10" ht="27" x14ac:dyDescent="0.2">
      <c r="B231" s="175" t="s">
        <v>3431</v>
      </c>
      <c r="C231" s="175" t="s">
        <v>73</v>
      </c>
      <c r="D231" s="176" t="s">
        <v>1725</v>
      </c>
      <c r="E231" s="175"/>
      <c r="F231" s="175"/>
      <c r="G231" s="175"/>
      <c r="H231" s="3"/>
      <c r="I231" s="3"/>
      <c r="J231" s="3"/>
    </row>
    <row r="232" spans="2:10" x14ac:dyDescent="0.2">
      <c r="B232" s="175" t="s">
        <v>3432</v>
      </c>
      <c r="C232" s="175" t="s">
        <v>74</v>
      </c>
      <c r="D232" s="176" t="s">
        <v>2120</v>
      </c>
      <c r="E232" s="175"/>
      <c r="F232" s="175"/>
      <c r="G232" s="175"/>
      <c r="H232" s="3"/>
      <c r="I232" s="3"/>
      <c r="J232" s="3"/>
    </row>
    <row r="233" spans="2:10" x14ac:dyDescent="0.2">
      <c r="B233" s="72" t="s">
        <v>3433</v>
      </c>
      <c r="C233" s="72">
        <v>38</v>
      </c>
      <c r="D233" s="73" t="s">
        <v>142</v>
      </c>
      <c r="E233" s="74">
        <v>3</v>
      </c>
      <c r="F233" s="72"/>
      <c r="G233" s="72" t="str">
        <f>IF(F233&lt;&gt;"", IF(E233=F233, "O", "X"), "")</f>
        <v/>
      </c>
      <c r="H233" s="3"/>
      <c r="I233" s="3"/>
      <c r="J233" s="3"/>
    </row>
    <row r="234" spans="2:10" ht="27" x14ac:dyDescent="0.2">
      <c r="B234" s="175" t="s">
        <v>3434</v>
      </c>
      <c r="C234" s="175" t="s">
        <v>70</v>
      </c>
      <c r="D234" s="176" t="s">
        <v>533</v>
      </c>
      <c r="E234" s="175"/>
      <c r="F234" s="175"/>
      <c r="G234" s="175"/>
      <c r="H234" s="3"/>
      <c r="I234" s="3"/>
      <c r="J234" s="3"/>
    </row>
    <row r="235" spans="2:10" x14ac:dyDescent="0.2">
      <c r="B235" s="175" t="s">
        <v>3435</v>
      </c>
      <c r="C235" s="175" t="s">
        <v>71</v>
      </c>
      <c r="D235" s="176" t="s">
        <v>935</v>
      </c>
      <c r="E235" s="175"/>
      <c r="F235" s="175"/>
      <c r="G235" s="175"/>
      <c r="H235" s="3"/>
      <c r="I235" s="3"/>
      <c r="J235" s="3"/>
    </row>
    <row r="236" spans="2:10" x14ac:dyDescent="0.2">
      <c r="B236" s="175" t="s">
        <v>3436</v>
      </c>
      <c r="C236" s="175" t="s">
        <v>72</v>
      </c>
      <c r="D236" s="176" t="s">
        <v>1330</v>
      </c>
      <c r="E236" s="175"/>
      <c r="F236" s="175"/>
      <c r="G236" s="175"/>
      <c r="H236" s="3"/>
      <c r="I236" s="3"/>
      <c r="J236" s="3"/>
    </row>
    <row r="237" spans="2:10" ht="27" x14ac:dyDescent="0.2">
      <c r="B237" s="175" t="s">
        <v>3437</v>
      </c>
      <c r="C237" s="175" t="s">
        <v>73</v>
      </c>
      <c r="D237" s="176" t="s">
        <v>1726</v>
      </c>
      <c r="E237" s="175"/>
      <c r="F237" s="175"/>
      <c r="G237" s="175"/>
      <c r="H237" s="3"/>
      <c r="I237" s="3"/>
      <c r="J237" s="3"/>
    </row>
    <row r="238" spans="2:10" x14ac:dyDescent="0.2">
      <c r="B238" s="175" t="s">
        <v>3438</v>
      </c>
      <c r="C238" s="175" t="s">
        <v>74</v>
      </c>
      <c r="D238" s="176" t="s">
        <v>2121</v>
      </c>
      <c r="E238" s="175"/>
      <c r="F238" s="175"/>
      <c r="G238" s="175"/>
      <c r="H238" s="3"/>
      <c r="I238" s="3"/>
      <c r="J238" s="3"/>
    </row>
    <row r="239" spans="2:10" ht="94.5" x14ac:dyDescent="0.2">
      <c r="B239" s="72" t="s">
        <v>3439</v>
      </c>
      <c r="C239" s="72">
        <v>39</v>
      </c>
      <c r="D239" s="73" t="s">
        <v>143</v>
      </c>
      <c r="E239" s="74">
        <v>3</v>
      </c>
      <c r="F239" s="72"/>
      <c r="G239" s="72" t="str">
        <f>IF(F239&lt;&gt;"", IF(E239=F239, "O", "X"), "")</f>
        <v/>
      </c>
      <c r="H239" s="3"/>
      <c r="I239" s="3"/>
      <c r="J239" s="3"/>
    </row>
    <row r="240" spans="2:10" x14ac:dyDescent="0.2">
      <c r="B240" s="175" t="s">
        <v>3440</v>
      </c>
      <c r="C240" s="175" t="s">
        <v>70</v>
      </c>
      <c r="D240" s="176" t="s">
        <v>45</v>
      </c>
      <c r="E240" s="175"/>
      <c r="F240" s="175"/>
      <c r="G240" s="175"/>
      <c r="H240" s="3"/>
      <c r="I240" s="3"/>
      <c r="J240" s="3"/>
    </row>
    <row r="241" spans="2:10" x14ac:dyDescent="0.2">
      <c r="B241" s="175" t="s">
        <v>3441</v>
      </c>
      <c r="C241" s="175" t="s">
        <v>71</v>
      </c>
      <c r="D241" s="176" t="s">
        <v>53</v>
      </c>
      <c r="E241" s="175"/>
      <c r="F241" s="175"/>
      <c r="G241" s="175"/>
      <c r="H241" s="3"/>
      <c r="I241" s="3"/>
      <c r="J241" s="3"/>
    </row>
    <row r="242" spans="2:10" x14ac:dyDescent="0.2">
      <c r="B242" s="175" t="s">
        <v>3442</v>
      </c>
      <c r="C242" s="175" t="s">
        <v>72</v>
      </c>
      <c r="D242" s="176" t="s">
        <v>44</v>
      </c>
      <c r="E242" s="175"/>
      <c r="F242" s="175"/>
      <c r="G242" s="175"/>
      <c r="H242" s="3"/>
      <c r="I242" s="3"/>
      <c r="J242" s="3"/>
    </row>
    <row r="243" spans="2:10" x14ac:dyDescent="0.2">
      <c r="B243" s="175" t="s">
        <v>3443</v>
      </c>
      <c r="C243" s="175" t="s">
        <v>73</v>
      </c>
      <c r="D243" s="176" t="s">
        <v>55</v>
      </c>
      <c r="E243" s="175"/>
      <c r="F243" s="175"/>
      <c r="G243" s="175"/>
      <c r="H243" s="3"/>
      <c r="I243" s="3"/>
      <c r="J243" s="3"/>
    </row>
    <row r="244" spans="2:10" x14ac:dyDescent="0.2">
      <c r="B244" s="175" t="s">
        <v>3444</v>
      </c>
      <c r="C244" s="175" t="s">
        <v>74</v>
      </c>
      <c r="D244" s="176" t="s">
        <v>46</v>
      </c>
      <c r="E244" s="175"/>
      <c r="F244" s="175"/>
      <c r="G244" s="175"/>
      <c r="H244" s="3"/>
      <c r="I244" s="3"/>
      <c r="J244" s="3"/>
    </row>
    <row r="245" spans="2:10" ht="81" x14ac:dyDescent="0.2">
      <c r="B245" s="72" t="s">
        <v>3445</v>
      </c>
      <c r="C245" s="72">
        <v>40</v>
      </c>
      <c r="D245" s="73" t="s">
        <v>144</v>
      </c>
      <c r="E245" s="74">
        <v>5</v>
      </c>
      <c r="F245" s="72"/>
      <c r="G245" s="72" t="str">
        <f>IF(F245&lt;&gt;"", IF(E245=F245, "O", "X"), "")</f>
        <v/>
      </c>
      <c r="H245" s="3"/>
      <c r="I245" s="3"/>
      <c r="J245" s="3"/>
    </row>
    <row r="246" spans="2:10" x14ac:dyDescent="0.2">
      <c r="B246" s="175" t="s">
        <v>3446</v>
      </c>
      <c r="C246" s="175" t="s">
        <v>70</v>
      </c>
      <c r="D246" s="176" t="s">
        <v>45</v>
      </c>
      <c r="E246" s="175"/>
      <c r="F246" s="175"/>
      <c r="G246" s="175"/>
      <c r="H246" s="3"/>
      <c r="I246" s="3"/>
      <c r="J246" s="3"/>
    </row>
    <row r="247" spans="2:10" x14ac:dyDescent="0.2">
      <c r="B247" s="175" t="s">
        <v>3447</v>
      </c>
      <c r="C247" s="175" t="s">
        <v>71</v>
      </c>
      <c r="D247" s="176" t="s">
        <v>53</v>
      </c>
      <c r="E247" s="175"/>
      <c r="F247" s="175"/>
      <c r="G247" s="175"/>
      <c r="H247" s="3"/>
      <c r="I247" s="3"/>
      <c r="J247" s="3"/>
    </row>
    <row r="248" spans="2:10" x14ac:dyDescent="0.2">
      <c r="B248" s="175" t="s">
        <v>3448</v>
      </c>
      <c r="C248" s="175" t="s">
        <v>72</v>
      </c>
      <c r="D248" s="176" t="s">
        <v>44</v>
      </c>
      <c r="E248" s="175"/>
      <c r="F248" s="175"/>
      <c r="G248" s="175"/>
      <c r="H248" s="3"/>
      <c r="I248" s="3"/>
      <c r="J248" s="3"/>
    </row>
    <row r="249" spans="2:10" x14ac:dyDescent="0.2">
      <c r="B249" s="175" t="s">
        <v>3449</v>
      </c>
      <c r="C249" s="175" t="s">
        <v>73</v>
      </c>
      <c r="D249" s="176" t="s">
        <v>55</v>
      </c>
      <c r="E249" s="175"/>
      <c r="F249" s="175"/>
      <c r="G249" s="175"/>
      <c r="H249" s="3"/>
      <c r="I249" s="3"/>
      <c r="J249" s="3"/>
    </row>
    <row r="250" spans="2:10" x14ac:dyDescent="0.2">
      <c r="B250" s="177" t="s">
        <v>3450</v>
      </c>
      <c r="C250" s="177" t="s">
        <v>74</v>
      </c>
      <c r="D250" s="178" t="s">
        <v>46</v>
      </c>
      <c r="E250" s="177"/>
      <c r="F250" s="177"/>
      <c r="G250" s="177"/>
      <c r="H250" s="3"/>
      <c r="I250" s="3"/>
      <c r="J250" s="3"/>
    </row>
    <row r="251" spans="2:10" x14ac:dyDescent="0.2">
      <c r="B251" s="75"/>
      <c r="C251" s="75"/>
      <c r="D251" s="76"/>
      <c r="E251" s="75"/>
      <c r="F251" s="75"/>
      <c r="G251" s="75"/>
    </row>
    <row r="252" spans="2:10" x14ac:dyDescent="0.2">
      <c r="B252" s="75"/>
      <c r="C252" s="75"/>
      <c r="D252" s="76"/>
      <c r="E252" s="75"/>
      <c r="F252" s="75"/>
      <c r="G252" s="75"/>
    </row>
    <row r="253" spans="2:10" x14ac:dyDescent="0.2">
      <c r="B253" s="75"/>
      <c r="C253" s="75"/>
      <c r="D253" s="76"/>
      <c r="E253" s="75"/>
      <c r="F253" s="75"/>
      <c r="G253" s="75"/>
    </row>
    <row r="254" spans="2:10" x14ac:dyDescent="0.2">
      <c r="B254" s="75"/>
      <c r="C254" s="75"/>
      <c r="D254" s="76"/>
      <c r="E254" s="75"/>
      <c r="F254" s="75"/>
      <c r="G254" s="75"/>
    </row>
    <row r="255" spans="2:10" x14ac:dyDescent="0.2">
      <c r="B255" s="75"/>
      <c r="C255" s="75"/>
      <c r="D255" s="76"/>
      <c r="E255" s="75"/>
      <c r="F255" s="75"/>
      <c r="G255" s="75"/>
    </row>
    <row r="256" spans="2:10" x14ac:dyDescent="0.2">
      <c r="B256" s="75"/>
      <c r="C256" s="75"/>
      <c r="D256" s="76"/>
      <c r="E256" s="75"/>
      <c r="F256" s="75"/>
      <c r="G256" s="75"/>
    </row>
    <row r="257" spans="2:7" x14ac:dyDescent="0.2">
      <c r="B257" s="75"/>
      <c r="C257" s="75"/>
      <c r="D257" s="76"/>
      <c r="E257" s="75"/>
      <c r="F257" s="75"/>
      <c r="G257" s="75"/>
    </row>
    <row r="258" spans="2:7" x14ac:dyDescent="0.2">
      <c r="B258" s="75"/>
      <c r="C258" s="75"/>
      <c r="D258" s="76"/>
      <c r="E258" s="75"/>
      <c r="F258" s="75"/>
      <c r="G258" s="75"/>
    </row>
    <row r="259" spans="2:7" x14ac:dyDescent="0.2">
      <c r="B259" s="75"/>
      <c r="C259" s="75"/>
      <c r="D259" s="76"/>
      <c r="E259" s="75"/>
      <c r="F259" s="75"/>
      <c r="G259" s="75"/>
    </row>
    <row r="260" spans="2:7" x14ac:dyDescent="0.2">
      <c r="B260" s="75"/>
      <c r="C260" s="75"/>
      <c r="D260" s="76"/>
      <c r="E260" s="75"/>
      <c r="F260" s="75"/>
      <c r="G260" s="75"/>
    </row>
    <row r="261" spans="2:7" x14ac:dyDescent="0.2">
      <c r="B261" s="75"/>
      <c r="C261" s="75"/>
      <c r="D261" s="76"/>
      <c r="E261" s="75"/>
      <c r="F261" s="75"/>
      <c r="G261" s="75"/>
    </row>
    <row r="262" spans="2:7" x14ac:dyDescent="0.2">
      <c r="B262" s="75"/>
      <c r="C262" s="75"/>
      <c r="D262" s="76"/>
      <c r="E262" s="75"/>
      <c r="F262" s="75"/>
      <c r="G262" s="75"/>
    </row>
    <row r="263" spans="2:7" x14ac:dyDescent="0.2">
      <c r="B263" s="75"/>
      <c r="C263" s="75"/>
      <c r="D263" s="76"/>
      <c r="E263" s="75"/>
      <c r="F263" s="75"/>
      <c r="G263" s="75"/>
    </row>
    <row r="264" spans="2:7" x14ac:dyDescent="0.2">
      <c r="B264" s="75"/>
      <c r="C264" s="75"/>
      <c r="D264" s="76"/>
      <c r="E264" s="75"/>
      <c r="F264" s="75"/>
      <c r="G264" s="75"/>
    </row>
    <row r="265" spans="2:7" x14ac:dyDescent="0.2">
      <c r="B265" s="75"/>
      <c r="C265" s="75"/>
      <c r="D265" s="76"/>
      <c r="E265" s="75"/>
      <c r="F265" s="75"/>
      <c r="G265" s="75"/>
    </row>
    <row r="266" spans="2:7" x14ac:dyDescent="0.2">
      <c r="B266" s="75"/>
      <c r="C266" s="75"/>
      <c r="D266" s="76"/>
      <c r="E266" s="75"/>
      <c r="F266" s="75"/>
      <c r="G266" s="75"/>
    </row>
    <row r="267" spans="2:7" x14ac:dyDescent="0.2">
      <c r="B267" s="75"/>
      <c r="C267" s="75"/>
      <c r="D267" s="76"/>
      <c r="E267" s="75"/>
      <c r="F267" s="75"/>
      <c r="G267" s="75"/>
    </row>
    <row r="268" spans="2:7" x14ac:dyDescent="0.2">
      <c r="B268" s="75"/>
      <c r="C268" s="75"/>
      <c r="D268" s="76"/>
      <c r="E268" s="75"/>
      <c r="F268" s="75"/>
      <c r="G268" s="75"/>
    </row>
    <row r="269" spans="2:7" x14ac:dyDescent="0.2">
      <c r="B269" s="75"/>
      <c r="C269" s="75"/>
      <c r="D269" s="76"/>
      <c r="E269" s="75"/>
      <c r="F269" s="75"/>
      <c r="G269" s="75"/>
    </row>
    <row r="270" spans="2:7" x14ac:dyDescent="0.2">
      <c r="B270" s="75"/>
      <c r="C270" s="75"/>
      <c r="D270" s="76"/>
      <c r="E270" s="75"/>
      <c r="F270" s="75"/>
      <c r="G270" s="75"/>
    </row>
    <row r="271" spans="2:7" x14ac:dyDescent="0.2">
      <c r="B271" s="75"/>
      <c r="C271" s="75"/>
      <c r="D271" s="76"/>
      <c r="E271" s="75"/>
      <c r="F271" s="75"/>
      <c r="G271" s="75"/>
    </row>
    <row r="272" spans="2:7" x14ac:dyDescent="0.2">
      <c r="B272" s="75"/>
      <c r="C272" s="75"/>
      <c r="D272" s="76"/>
      <c r="E272" s="75"/>
      <c r="F272" s="75"/>
      <c r="G272" s="75"/>
    </row>
    <row r="273" spans="2:7" x14ac:dyDescent="0.2">
      <c r="B273" s="75"/>
      <c r="C273" s="75"/>
      <c r="D273" s="76"/>
      <c r="E273" s="75"/>
      <c r="F273" s="75"/>
      <c r="G273" s="75"/>
    </row>
    <row r="274" spans="2:7" x14ac:dyDescent="0.2">
      <c r="B274" s="75"/>
      <c r="C274" s="75"/>
      <c r="D274" s="76"/>
      <c r="E274" s="75"/>
      <c r="F274" s="75"/>
      <c r="G274" s="75"/>
    </row>
    <row r="275" spans="2:7" x14ac:dyDescent="0.2">
      <c r="B275" s="75"/>
      <c r="C275" s="75"/>
      <c r="D275" s="76"/>
      <c r="E275" s="75"/>
      <c r="F275" s="75"/>
      <c r="G275" s="75"/>
    </row>
    <row r="276" spans="2:7" x14ac:dyDescent="0.2">
      <c r="B276" s="75"/>
      <c r="C276" s="75"/>
      <c r="D276" s="76"/>
      <c r="E276" s="75"/>
      <c r="F276" s="75"/>
      <c r="G276" s="75"/>
    </row>
    <row r="277" spans="2:7" x14ac:dyDescent="0.2">
      <c r="B277" s="75"/>
      <c r="C277" s="75"/>
      <c r="D277" s="76"/>
      <c r="E277" s="75"/>
      <c r="F277" s="75"/>
      <c r="G277" s="75"/>
    </row>
    <row r="278" spans="2:7" x14ac:dyDescent="0.2">
      <c r="B278" s="75"/>
      <c r="C278" s="75"/>
      <c r="D278" s="76"/>
      <c r="E278" s="75"/>
      <c r="F278" s="75"/>
      <c r="G278" s="75"/>
    </row>
    <row r="279" spans="2:7" x14ac:dyDescent="0.2">
      <c r="B279" s="75"/>
      <c r="C279" s="75"/>
      <c r="D279" s="76"/>
      <c r="E279" s="75"/>
      <c r="F279" s="75"/>
      <c r="G279" s="75"/>
    </row>
    <row r="280" spans="2:7" x14ac:dyDescent="0.2">
      <c r="B280" s="75"/>
      <c r="C280" s="75"/>
      <c r="D280" s="76"/>
      <c r="E280" s="75"/>
      <c r="F280" s="75"/>
      <c r="G280" s="75"/>
    </row>
    <row r="281" spans="2:7" x14ac:dyDescent="0.2">
      <c r="B281" s="75"/>
      <c r="C281" s="75"/>
      <c r="D281" s="76"/>
      <c r="E281" s="75"/>
      <c r="F281" s="75"/>
      <c r="G281" s="75"/>
    </row>
    <row r="282" spans="2:7" x14ac:dyDescent="0.2">
      <c r="B282" s="75"/>
      <c r="C282" s="75"/>
      <c r="D282" s="76"/>
      <c r="E282" s="75"/>
      <c r="F282" s="75"/>
      <c r="G282" s="75"/>
    </row>
    <row r="283" spans="2:7" x14ac:dyDescent="0.2">
      <c r="B283" s="75"/>
      <c r="C283" s="75"/>
      <c r="D283" s="76"/>
      <c r="E283" s="75"/>
      <c r="F283" s="75"/>
      <c r="G283" s="75"/>
    </row>
    <row r="284" spans="2:7" x14ac:dyDescent="0.2">
      <c r="B284" s="75"/>
      <c r="C284" s="75"/>
      <c r="D284" s="76"/>
      <c r="E284" s="75"/>
      <c r="F284" s="75"/>
      <c r="G284" s="75"/>
    </row>
    <row r="285" spans="2:7" x14ac:dyDescent="0.2">
      <c r="B285" s="75"/>
      <c r="C285" s="75"/>
      <c r="D285" s="76"/>
      <c r="E285" s="75"/>
      <c r="F285" s="75"/>
      <c r="G285" s="75"/>
    </row>
    <row r="286" spans="2:7" x14ac:dyDescent="0.2">
      <c r="B286" s="75"/>
      <c r="C286" s="75"/>
      <c r="D286" s="76"/>
      <c r="E286" s="75"/>
      <c r="F286" s="75"/>
      <c r="G286" s="75"/>
    </row>
    <row r="287" spans="2:7" x14ac:dyDescent="0.2">
      <c r="B287" s="75"/>
      <c r="C287" s="75"/>
      <c r="D287" s="76"/>
      <c r="E287" s="75"/>
      <c r="F287" s="75"/>
      <c r="G287" s="75"/>
    </row>
    <row r="288" spans="2:7" x14ac:dyDescent="0.2">
      <c r="B288" s="75"/>
      <c r="C288" s="75"/>
      <c r="D288" s="76"/>
      <c r="E288" s="75"/>
      <c r="F288" s="75"/>
      <c r="G288" s="75"/>
    </row>
    <row r="289" spans="2:7" x14ac:dyDescent="0.2">
      <c r="B289" s="75"/>
      <c r="C289" s="75"/>
      <c r="D289" s="76"/>
      <c r="E289" s="75"/>
      <c r="F289" s="75"/>
      <c r="G289" s="75"/>
    </row>
    <row r="290" spans="2:7" x14ac:dyDescent="0.2">
      <c r="B290" s="75"/>
      <c r="C290" s="75"/>
      <c r="D290" s="76"/>
      <c r="E290" s="75"/>
      <c r="F290" s="75"/>
      <c r="G290" s="75"/>
    </row>
    <row r="291" spans="2:7" x14ac:dyDescent="0.2">
      <c r="B291" s="75"/>
      <c r="C291" s="75"/>
      <c r="D291" s="76"/>
      <c r="E291" s="75"/>
      <c r="F291" s="75"/>
      <c r="G291" s="75"/>
    </row>
    <row r="292" spans="2:7" x14ac:dyDescent="0.2">
      <c r="B292" s="75"/>
      <c r="C292" s="75"/>
      <c r="D292" s="76"/>
      <c r="E292" s="75"/>
      <c r="F292" s="75"/>
      <c r="G292" s="75"/>
    </row>
    <row r="293" spans="2:7" x14ac:dyDescent="0.2">
      <c r="B293" s="75"/>
      <c r="C293" s="75"/>
      <c r="D293" s="76"/>
      <c r="E293" s="75"/>
      <c r="F293" s="75"/>
      <c r="G293" s="75"/>
    </row>
    <row r="294" spans="2:7" x14ac:dyDescent="0.2">
      <c r="B294" s="75"/>
      <c r="C294" s="75"/>
      <c r="D294" s="76"/>
      <c r="E294" s="75"/>
      <c r="F294" s="75"/>
      <c r="G294" s="75"/>
    </row>
    <row r="295" spans="2:7" x14ac:dyDescent="0.2">
      <c r="B295" s="75"/>
      <c r="C295" s="75"/>
      <c r="D295" s="76"/>
      <c r="E295" s="75"/>
      <c r="F295" s="75"/>
      <c r="G295" s="75"/>
    </row>
    <row r="296" spans="2:7" x14ac:dyDescent="0.2">
      <c r="B296" s="75"/>
      <c r="C296" s="75"/>
      <c r="D296" s="76"/>
      <c r="E296" s="75"/>
      <c r="F296" s="75"/>
      <c r="G296" s="75"/>
    </row>
    <row r="297" spans="2:7" x14ac:dyDescent="0.2">
      <c r="B297" s="75"/>
      <c r="C297" s="75"/>
      <c r="D297" s="76"/>
      <c r="E297" s="75"/>
      <c r="F297" s="75"/>
      <c r="G297" s="75"/>
    </row>
    <row r="298" spans="2:7" x14ac:dyDescent="0.2">
      <c r="B298" s="75"/>
      <c r="C298" s="75"/>
      <c r="D298" s="76"/>
      <c r="E298" s="75"/>
      <c r="F298" s="75"/>
      <c r="G298" s="75"/>
    </row>
    <row r="299" spans="2:7" x14ac:dyDescent="0.2">
      <c r="B299" s="75"/>
      <c r="C299" s="75"/>
      <c r="D299" s="76"/>
      <c r="E299" s="75"/>
      <c r="F299" s="75"/>
      <c r="G299" s="75"/>
    </row>
    <row r="300" spans="2:7" x14ac:dyDescent="0.2">
      <c r="B300" s="75"/>
      <c r="C300" s="75"/>
      <c r="D300" s="76"/>
      <c r="E300" s="75"/>
      <c r="F300" s="75"/>
      <c r="G300" s="75"/>
    </row>
    <row r="301" spans="2:7" x14ac:dyDescent="0.2">
      <c r="B301" s="75"/>
      <c r="C301" s="75"/>
      <c r="D301" s="76"/>
      <c r="E301" s="75"/>
      <c r="F301" s="75"/>
      <c r="G301" s="75"/>
    </row>
    <row r="302" spans="2:7" x14ac:dyDescent="0.2">
      <c r="B302" s="75"/>
      <c r="C302" s="75"/>
      <c r="D302" s="76"/>
      <c r="E302" s="75"/>
      <c r="F302" s="75"/>
      <c r="G302" s="75"/>
    </row>
    <row r="303" spans="2:7" x14ac:dyDescent="0.2">
      <c r="B303" s="75"/>
      <c r="C303" s="75"/>
      <c r="D303" s="76"/>
      <c r="E303" s="75"/>
      <c r="F303" s="75"/>
      <c r="G303" s="75"/>
    </row>
    <row r="304" spans="2:7" x14ac:dyDescent="0.2">
      <c r="B304" s="75"/>
      <c r="C304" s="75"/>
      <c r="D304" s="76"/>
      <c r="E304" s="75"/>
      <c r="F304" s="75"/>
      <c r="G304" s="75"/>
    </row>
    <row r="305" spans="2:7" x14ac:dyDescent="0.2">
      <c r="B305" s="75"/>
      <c r="C305" s="75"/>
      <c r="D305" s="76"/>
      <c r="E305" s="75"/>
      <c r="F305" s="75"/>
      <c r="G305" s="75"/>
    </row>
    <row r="306" spans="2:7" x14ac:dyDescent="0.2">
      <c r="B306" s="75"/>
      <c r="C306" s="75"/>
      <c r="D306" s="76"/>
      <c r="E306" s="75"/>
      <c r="F306" s="75"/>
      <c r="G306" s="75"/>
    </row>
    <row r="307" spans="2:7" x14ac:dyDescent="0.2">
      <c r="B307" s="75"/>
      <c r="C307" s="75"/>
      <c r="D307" s="76"/>
      <c r="E307" s="75"/>
      <c r="F307" s="75"/>
      <c r="G307" s="75"/>
    </row>
    <row r="308" spans="2:7" x14ac:dyDescent="0.2">
      <c r="B308" s="75"/>
      <c r="C308" s="75"/>
      <c r="D308" s="76"/>
      <c r="E308" s="75"/>
      <c r="F308" s="75"/>
      <c r="G308" s="75"/>
    </row>
    <row r="309" spans="2:7" x14ac:dyDescent="0.2">
      <c r="B309" s="75"/>
      <c r="C309" s="75"/>
      <c r="D309" s="76"/>
      <c r="E309" s="75"/>
      <c r="F309" s="75"/>
      <c r="G309" s="75"/>
    </row>
    <row r="310" spans="2:7" x14ac:dyDescent="0.2">
      <c r="B310" s="75"/>
      <c r="C310" s="75"/>
      <c r="D310" s="76"/>
      <c r="E310" s="75"/>
      <c r="F310" s="75"/>
      <c r="G310" s="75"/>
    </row>
    <row r="311" spans="2:7" x14ac:dyDescent="0.2">
      <c r="B311" s="75"/>
      <c r="C311" s="75"/>
      <c r="D311" s="76"/>
      <c r="E311" s="75"/>
      <c r="F311" s="75"/>
      <c r="G311" s="75"/>
    </row>
    <row r="312" spans="2:7" x14ac:dyDescent="0.2">
      <c r="B312" s="75"/>
      <c r="C312" s="75"/>
      <c r="D312" s="76"/>
      <c r="E312" s="75"/>
      <c r="F312" s="75"/>
      <c r="G312" s="75"/>
    </row>
    <row r="313" spans="2:7" x14ac:dyDescent="0.2">
      <c r="B313" s="75"/>
      <c r="C313" s="75"/>
      <c r="D313" s="76"/>
      <c r="E313" s="75"/>
      <c r="F313" s="75"/>
      <c r="G313" s="75"/>
    </row>
    <row r="314" spans="2:7" x14ac:dyDescent="0.2">
      <c r="B314" s="75"/>
      <c r="C314" s="75"/>
      <c r="D314" s="76"/>
      <c r="E314" s="75"/>
      <c r="F314" s="75"/>
      <c r="G314" s="75"/>
    </row>
    <row r="315" spans="2:7" x14ac:dyDescent="0.2">
      <c r="B315" s="75"/>
      <c r="C315" s="75"/>
      <c r="D315" s="76"/>
      <c r="E315" s="75"/>
      <c r="F315" s="75"/>
      <c r="G315" s="75"/>
    </row>
    <row r="316" spans="2:7" x14ac:dyDescent="0.2">
      <c r="B316" s="75"/>
      <c r="C316" s="75"/>
      <c r="D316" s="76"/>
      <c r="E316" s="75"/>
      <c r="F316" s="75"/>
      <c r="G316" s="75"/>
    </row>
    <row r="317" spans="2:7" x14ac:dyDescent="0.2">
      <c r="B317" s="75"/>
      <c r="C317" s="75"/>
      <c r="D317" s="76"/>
      <c r="E317" s="75"/>
      <c r="F317" s="75"/>
      <c r="G317" s="75"/>
    </row>
    <row r="318" spans="2:7" x14ac:dyDescent="0.2">
      <c r="B318" s="75"/>
      <c r="C318" s="75"/>
      <c r="D318" s="76"/>
      <c r="E318" s="75"/>
      <c r="F318" s="75"/>
      <c r="G318" s="75"/>
    </row>
    <row r="319" spans="2:7" x14ac:dyDescent="0.2">
      <c r="B319" s="75"/>
      <c r="C319" s="75"/>
      <c r="D319" s="76"/>
      <c r="E319" s="75"/>
      <c r="F319" s="75"/>
      <c r="G319" s="75"/>
    </row>
    <row r="320" spans="2:7" x14ac:dyDescent="0.2">
      <c r="B320" s="75"/>
      <c r="C320" s="75"/>
      <c r="D320" s="76"/>
      <c r="E320" s="75"/>
      <c r="F320" s="75"/>
      <c r="G320" s="75"/>
    </row>
    <row r="321" spans="2:7" x14ac:dyDescent="0.2">
      <c r="B321" s="75"/>
      <c r="C321" s="75"/>
      <c r="D321" s="76"/>
      <c r="E321" s="75"/>
      <c r="F321" s="75"/>
      <c r="G321" s="75"/>
    </row>
    <row r="322" spans="2:7" x14ac:dyDescent="0.2">
      <c r="B322" s="75"/>
      <c r="C322" s="75"/>
      <c r="D322" s="76"/>
      <c r="E322" s="75"/>
      <c r="F322" s="75"/>
      <c r="G322" s="75"/>
    </row>
    <row r="323" spans="2:7" x14ac:dyDescent="0.2">
      <c r="B323" s="75"/>
      <c r="C323" s="75"/>
      <c r="D323" s="76"/>
      <c r="E323" s="75"/>
      <c r="F323" s="75"/>
      <c r="G323" s="75"/>
    </row>
    <row r="324" spans="2:7" x14ac:dyDescent="0.2">
      <c r="B324" s="75"/>
      <c r="C324" s="75"/>
      <c r="D324" s="76"/>
      <c r="E324" s="75"/>
      <c r="F324" s="75"/>
      <c r="G324" s="75"/>
    </row>
    <row r="325" spans="2:7" x14ac:dyDescent="0.2">
      <c r="B325" s="75"/>
      <c r="C325" s="75"/>
      <c r="D325" s="76"/>
      <c r="E325" s="75"/>
      <c r="F325" s="75"/>
      <c r="G325" s="75"/>
    </row>
    <row r="326" spans="2:7" x14ac:dyDescent="0.2">
      <c r="B326" s="75"/>
      <c r="C326" s="75"/>
      <c r="D326" s="76"/>
      <c r="E326" s="75"/>
      <c r="F326" s="75"/>
      <c r="G326" s="75"/>
    </row>
    <row r="327" spans="2:7" x14ac:dyDescent="0.2">
      <c r="B327" s="75"/>
      <c r="C327" s="75"/>
      <c r="D327" s="76"/>
      <c r="E327" s="75"/>
      <c r="F327" s="75"/>
      <c r="G327" s="75"/>
    </row>
    <row r="328" spans="2:7" x14ac:dyDescent="0.2">
      <c r="B328" s="75"/>
      <c r="C328" s="75"/>
      <c r="D328" s="76"/>
      <c r="E328" s="75"/>
      <c r="F328" s="75"/>
      <c r="G328" s="75"/>
    </row>
    <row r="329" spans="2:7" x14ac:dyDescent="0.2">
      <c r="B329" s="75"/>
      <c r="C329" s="75"/>
      <c r="D329" s="76"/>
      <c r="E329" s="75"/>
      <c r="F329" s="75"/>
      <c r="G329" s="75"/>
    </row>
    <row r="330" spans="2:7" x14ac:dyDescent="0.2">
      <c r="B330" s="75"/>
      <c r="C330" s="75"/>
      <c r="D330" s="76"/>
      <c r="E330" s="75"/>
      <c r="F330" s="75"/>
      <c r="G330" s="75"/>
    </row>
    <row r="331" spans="2:7" x14ac:dyDescent="0.2">
      <c r="B331" s="75"/>
      <c r="C331" s="75"/>
      <c r="D331" s="76"/>
      <c r="E331" s="75"/>
      <c r="F331" s="75"/>
      <c r="G331" s="75"/>
    </row>
    <row r="332" spans="2:7" x14ac:dyDescent="0.2">
      <c r="B332" s="75"/>
      <c r="C332" s="75"/>
      <c r="D332" s="76"/>
      <c r="E332" s="75"/>
      <c r="F332" s="75"/>
      <c r="G332" s="75"/>
    </row>
    <row r="333" spans="2:7" x14ac:dyDescent="0.2">
      <c r="B333" s="75"/>
      <c r="C333" s="75"/>
      <c r="D333" s="76"/>
      <c r="E333" s="75"/>
      <c r="F333" s="75"/>
      <c r="G333" s="75"/>
    </row>
    <row r="334" spans="2:7" x14ac:dyDescent="0.2">
      <c r="B334" s="75"/>
      <c r="C334" s="75"/>
      <c r="D334" s="76"/>
      <c r="E334" s="75"/>
      <c r="F334" s="75"/>
      <c r="G334" s="75"/>
    </row>
    <row r="335" spans="2:7" x14ac:dyDescent="0.2">
      <c r="B335" s="75"/>
      <c r="C335" s="75"/>
      <c r="D335" s="76"/>
      <c r="E335" s="75"/>
      <c r="F335" s="75"/>
      <c r="G335" s="75"/>
    </row>
    <row r="336" spans="2:7" x14ac:dyDescent="0.2">
      <c r="B336" s="75"/>
      <c r="C336" s="75"/>
      <c r="D336" s="76"/>
      <c r="E336" s="75"/>
      <c r="F336" s="75"/>
      <c r="G336" s="75"/>
    </row>
    <row r="337" spans="2:7" x14ac:dyDescent="0.2">
      <c r="B337" s="75"/>
      <c r="C337" s="75"/>
      <c r="D337" s="76"/>
      <c r="E337" s="75"/>
      <c r="F337" s="75"/>
      <c r="G337" s="75"/>
    </row>
    <row r="338" spans="2:7" x14ac:dyDescent="0.2">
      <c r="B338" s="75"/>
      <c r="C338" s="75"/>
      <c r="D338" s="76"/>
      <c r="E338" s="75"/>
      <c r="F338" s="75"/>
      <c r="G338" s="75"/>
    </row>
    <row r="339" spans="2:7" x14ac:dyDescent="0.2">
      <c r="B339" s="75"/>
      <c r="C339" s="75"/>
      <c r="D339" s="76"/>
      <c r="E339" s="75"/>
      <c r="F339" s="75"/>
      <c r="G339" s="75"/>
    </row>
    <row r="340" spans="2:7" x14ac:dyDescent="0.2">
      <c r="B340" s="75"/>
      <c r="C340" s="75"/>
      <c r="D340" s="76"/>
      <c r="E340" s="75"/>
      <c r="F340" s="75"/>
      <c r="G340" s="75"/>
    </row>
    <row r="341" spans="2:7" x14ac:dyDescent="0.2">
      <c r="B341" s="75"/>
      <c r="C341" s="75"/>
      <c r="D341" s="76"/>
      <c r="E341" s="75"/>
      <c r="F341" s="75"/>
      <c r="G341" s="75"/>
    </row>
    <row r="342" spans="2:7" x14ac:dyDescent="0.2">
      <c r="B342" s="75"/>
      <c r="C342" s="75"/>
      <c r="D342" s="76"/>
      <c r="E342" s="75"/>
      <c r="F342" s="75"/>
      <c r="G342" s="75"/>
    </row>
    <row r="343" spans="2:7" x14ac:dyDescent="0.2">
      <c r="B343" s="75"/>
      <c r="C343" s="75"/>
      <c r="D343" s="76"/>
      <c r="E343" s="75"/>
      <c r="F343" s="75"/>
      <c r="G343" s="75"/>
    </row>
    <row r="344" spans="2:7" x14ac:dyDescent="0.2">
      <c r="B344" s="75"/>
      <c r="C344" s="75"/>
      <c r="D344" s="76"/>
      <c r="E344" s="75"/>
      <c r="F344" s="75"/>
      <c r="G344" s="75"/>
    </row>
    <row r="345" spans="2:7" x14ac:dyDescent="0.2">
      <c r="B345" s="75"/>
      <c r="C345" s="75"/>
      <c r="D345" s="76"/>
      <c r="E345" s="75"/>
      <c r="F345" s="75"/>
      <c r="G345" s="75"/>
    </row>
    <row r="346" spans="2:7" x14ac:dyDescent="0.2">
      <c r="B346" s="75"/>
      <c r="C346" s="75"/>
      <c r="D346" s="76"/>
      <c r="E346" s="75"/>
      <c r="F346" s="75"/>
      <c r="G346" s="75"/>
    </row>
    <row r="347" spans="2:7" x14ac:dyDescent="0.2">
      <c r="B347" s="75"/>
      <c r="C347" s="75"/>
      <c r="D347" s="76"/>
      <c r="E347" s="75"/>
      <c r="F347" s="75"/>
      <c r="G347" s="75"/>
    </row>
    <row r="348" spans="2:7" x14ac:dyDescent="0.2">
      <c r="B348" s="75"/>
      <c r="C348" s="75"/>
      <c r="D348" s="76"/>
      <c r="E348" s="75"/>
      <c r="F348" s="75"/>
      <c r="G348" s="75"/>
    </row>
    <row r="349" spans="2:7" x14ac:dyDescent="0.2">
      <c r="B349" s="75"/>
      <c r="C349" s="75"/>
      <c r="D349" s="76"/>
      <c r="E349" s="75"/>
      <c r="F349" s="75"/>
      <c r="G349" s="75"/>
    </row>
    <row r="350" spans="2:7" x14ac:dyDescent="0.2">
      <c r="B350" s="75"/>
      <c r="C350" s="75"/>
      <c r="D350" s="76"/>
      <c r="E350" s="75"/>
      <c r="F350" s="75"/>
      <c r="G350" s="75"/>
    </row>
    <row r="351" spans="2:7" x14ac:dyDescent="0.2">
      <c r="B351" s="75"/>
      <c r="C351" s="75"/>
      <c r="D351" s="76"/>
      <c r="E351" s="75"/>
      <c r="F351" s="75"/>
      <c r="G351" s="75"/>
    </row>
    <row r="352" spans="2:7" x14ac:dyDescent="0.2">
      <c r="B352" s="75"/>
      <c r="C352" s="75"/>
      <c r="D352" s="76"/>
      <c r="E352" s="75"/>
      <c r="F352" s="75"/>
      <c r="G352" s="75"/>
    </row>
    <row r="353" spans="2:7" x14ac:dyDescent="0.2">
      <c r="B353" s="75"/>
      <c r="C353" s="75"/>
      <c r="D353" s="76"/>
      <c r="E353" s="75"/>
      <c r="F353" s="75"/>
      <c r="G353" s="75"/>
    </row>
    <row r="354" spans="2:7" x14ac:dyDescent="0.2">
      <c r="B354" s="75"/>
      <c r="C354" s="75"/>
      <c r="D354" s="76"/>
      <c r="E354" s="75"/>
      <c r="F354" s="75"/>
      <c r="G354" s="75"/>
    </row>
    <row r="355" spans="2:7" x14ac:dyDescent="0.2">
      <c r="B355" s="75"/>
      <c r="C355" s="75"/>
      <c r="D355" s="76"/>
      <c r="E355" s="75"/>
      <c r="F355" s="75"/>
      <c r="G355" s="75"/>
    </row>
    <row r="356" spans="2:7" x14ac:dyDescent="0.2">
      <c r="B356" s="75"/>
      <c r="C356" s="75"/>
      <c r="D356" s="76"/>
      <c r="E356" s="75"/>
      <c r="F356" s="75"/>
      <c r="G356" s="75"/>
    </row>
    <row r="357" spans="2:7" x14ac:dyDescent="0.2">
      <c r="B357" s="75"/>
      <c r="C357" s="75"/>
      <c r="D357" s="76"/>
      <c r="E357" s="75"/>
      <c r="F357" s="75"/>
      <c r="G357" s="75"/>
    </row>
    <row r="358" spans="2:7" x14ac:dyDescent="0.2">
      <c r="B358" s="75"/>
      <c r="C358" s="75"/>
      <c r="D358" s="76"/>
      <c r="E358" s="75"/>
      <c r="F358" s="75"/>
      <c r="G358" s="75"/>
    </row>
    <row r="359" spans="2:7" x14ac:dyDescent="0.2">
      <c r="B359" s="75"/>
      <c r="C359" s="75"/>
      <c r="D359" s="76"/>
      <c r="E359" s="75"/>
      <c r="F359" s="75"/>
      <c r="G359" s="75"/>
    </row>
    <row r="360" spans="2:7" x14ac:dyDescent="0.2">
      <c r="B360" s="75"/>
      <c r="C360" s="75"/>
      <c r="D360" s="76"/>
      <c r="E360" s="75"/>
      <c r="F360" s="75"/>
      <c r="G360" s="75"/>
    </row>
    <row r="361" spans="2:7" x14ac:dyDescent="0.2">
      <c r="B361" s="75"/>
      <c r="C361" s="75"/>
      <c r="D361" s="76"/>
      <c r="E361" s="75"/>
      <c r="F361" s="75"/>
      <c r="G361" s="75"/>
    </row>
    <row r="362" spans="2:7" x14ac:dyDescent="0.2">
      <c r="B362" s="75"/>
      <c r="C362" s="75"/>
      <c r="D362" s="76"/>
      <c r="E362" s="75"/>
      <c r="F362" s="75"/>
      <c r="G362" s="75"/>
    </row>
    <row r="363" spans="2:7" x14ac:dyDescent="0.2">
      <c r="B363" s="75"/>
      <c r="C363" s="75"/>
      <c r="D363" s="76"/>
      <c r="E363" s="75"/>
      <c r="F363" s="75"/>
      <c r="G363" s="75"/>
    </row>
    <row r="364" spans="2:7" x14ac:dyDescent="0.2">
      <c r="B364" s="75"/>
      <c r="C364" s="75"/>
      <c r="D364" s="76"/>
      <c r="E364" s="75"/>
      <c r="F364" s="75"/>
      <c r="G364" s="75"/>
    </row>
    <row r="365" spans="2:7" x14ac:dyDescent="0.2">
      <c r="B365" s="75"/>
      <c r="C365" s="75"/>
      <c r="D365" s="76"/>
      <c r="E365" s="75"/>
      <c r="F365" s="75"/>
      <c r="G365" s="75"/>
    </row>
    <row r="366" spans="2:7" x14ac:dyDescent="0.2">
      <c r="B366" s="75"/>
      <c r="C366" s="75"/>
      <c r="D366" s="76"/>
      <c r="E366" s="75"/>
      <c r="F366" s="75"/>
      <c r="G366" s="75"/>
    </row>
    <row r="367" spans="2:7" x14ac:dyDescent="0.2">
      <c r="B367" s="75"/>
      <c r="C367" s="75"/>
      <c r="D367" s="76"/>
      <c r="E367" s="75"/>
      <c r="F367" s="75"/>
      <c r="G367" s="75"/>
    </row>
    <row r="368" spans="2:7" x14ac:dyDescent="0.2">
      <c r="B368" s="75"/>
      <c r="C368" s="75"/>
      <c r="D368" s="76"/>
      <c r="E368" s="75"/>
      <c r="F368" s="75"/>
      <c r="G368" s="75"/>
    </row>
    <row r="369" spans="2:7" x14ac:dyDescent="0.2">
      <c r="B369" s="75"/>
      <c r="C369" s="75"/>
      <c r="D369" s="76"/>
      <c r="E369" s="75"/>
      <c r="F369" s="75"/>
      <c r="G369" s="75"/>
    </row>
    <row r="370" spans="2:7" x14ac:dyDescent="0.2">
      <c r="B370" s="75"/>
      <c r="C370" s="75"/>
      <c r="D370" s="76"/>
      <c r="E370" s="75"/>
      <c r="F370" s="75"/>
      <c r="G370" s="75"/>
    </row>
    <row r="371" spans="2:7" x14ac:dyDescent="0.2">
      <c r="B371" s="75"/>
      <c r="C371" s="75"/>
      <c r="D371" s="76"/>
      <c r="E371" s="75"/>
      <c r="F371" s="75"/>
      <c r="G371" s="75"/>
    </row>
    <row r="372" spans="2:7" x14ac:dyDescent="0.2">
      <c r="B372" s="75"/>
      <c r="C372" s="75"/>
      <c r="D372" s="76"/>
      <c r="E372" s="75"/>
      <c r="F372" s="75"/>
      <c r="G372" s="75"/>
    </row>
    <row r="373" spans="2:7" x14ac:dyDescent="0.2">
      <c r="B373" s="75"/>
      <c r="C373" s="75"/>
      <c r="D373" s="76"/>
      <c r="E373" s="75"/>
      <c r="F373" s="75"/>
      <c r="G373" s="75"/>
    </row>
    <row r="374" spans="2:7" x14ac:dyDescent="0.2">
      <c r="B374" s="75"/>
      <c r="C374" s="75"/>
      <c r="D374" s="76"/>
      <c r="E374" s="75"/>
      <c r="F374" s="75"/>
      <c r="G374" s="75"/>
    </row>
    <row r="375" spans="2:7" x14ac:dyDescent="0.2">
      <c r="B375" s="75"/>
      <c r="C375" s="75"/>
      <c r="D375" s="76"/>
      <c r="E375" s="75"/>
      <c r="F375" s="75"/>
      <c r="G375" s="75"/>
    </row>
    <row r="376" spans="2:7" x14ac:dyDescent="0.2">
      <c r="B376" s="75"/>
      <c r="C376" s="75"/>
      <c r="D376" s="76"/>
      <c r="E376" s="75"/>
      <c r="F376" s="75"/>
      <c r="G376" s="75"/>
    </row>
    <row r="377" spans="2:7" x14ac:dyDescent="0.2">
      <c r="B377" s="75"/>
      <c r="C377" s="75"/>
      <c r="D377" s="76"/>
      <c r="E377" s="75"/>
      <c r="F377" s="75"/>
      <c r="G377" s="75"/>
    </row>
    <row r="378" spans="2:7" x14ac:dyDescent="0.2">
      <c r="B378" s="75"/>
      <c r="C378" s="75"/>
      <c r="D378" s="76"/>
      <c r="E378" s="75"/>
      <c r="F378" s="75"/>
      <c r="G378" s="75"/>
    </row>
    <row r="379" spans="2:7" x14ac:dyDescent="0.2">
      <c r="B379" s="75"/>
      <c r="C379" s="75"/>
      <c r="D379" s="76"/>
      <c r="E379" s="75"/>
      <c r="F379" s="75"/>
      <c r="G379" s="75"/>
    </row>
    <row r="380" spans="2:7" x14ac:dyDescent="0.2">
      <c r="B380" s="75"/>
      <c r="C380" s="75"/>
      <c r="D380" s="76"/>
      <c r="E380" s="75"/>
      <c r="F380" s="75"/>
      <c r="G380" s="75"/>
    </row>
    <row r="381" spans="2:7" x14ac:dyDescent="0.2">
      <c r="B381" s="75"/>
      <c r="C381" s="75"/>
      <c r="D381" s="76"/>
      <c r="E381" s="75"/>
      <c r="F381" s="75"/>
      <c r="G381" s="75"/>
    </row>
    <row r="382" spans="2:7" x14ac:dyDescent="0.2">
      <c r="B382" s="75"/>
      <c r="C382" s="75"/>
      <c r="D382" s="76"/>
      <c r="E382" s="75"/>
      <c r="F382" s="75"/>
      <c r="G382" s="75"/>
    </row>
    <row r="383" spans="2:7" x14ac:dyDescent="0.2">
      <c r="B383" s="75"/>
      <c r="C383" s="75"/>
      <c r="D383" s="76"/>
      <c r="E383" s="75"/>
      <c r="F383" s="75"/>
      <c r="G383" s="75"/>
    </row>
    <row r="384" spans="2:7" x14ac:dyDescent="0.2">
      <c r="B384" s="75"/>
      <c r="C384" s="75"/>
      <c r="D384" s="76"/>
      <c r="E384" s="75"/>
      <c r="F384" s="75"/>
      <c r="G384" s="75"/>
    </row>
    <row r="385" spans="2:7" x14ac:dyDescent="0.2">
      <c r="B385" s="75"/>
      <c r="C385" s="75"/>
      <c r="D385" s="76"/>
      <c r="E385" s="75"/>
      <c r="F385" s="75"/>
      <c r="G385" s="75"/>
    </row>
    <row r="386" spans="2:7" x14ac:dyDescent="0.2">
      <c r="B386" s="75"/>
      <c r="C386" s="75"/>
      <c r="D386" s="76"/>
      <c r="E386" s="75"/>
      <c r="F386" s="75"/>
      <c r="G386" s="75"/>
    </row>
    <row r="387" spans="2:7" x14ac:dyDescent="0.2">
      <c r="B387" s="75"/>
      <c r="C387" s="75"/>
      <c r="D387" s="76"/>
      <c r="E387" s="75"/>
      <c r="F387" s="75"/>
      <c r="G387" s="75"/>
    </row>
    <row r="388" spans="2:7" x14ac:dyDescent="0.2">
      <c r="B388" s="75"/>
      <c r="C388" s="75"/>
      <c r="D388" s="76"/>
      <c r="E388" s="75"/>
      <c r="F388" s="75"/>
      <c r="G388" s="75"/>
    </row>
    <row r="389" spans="2:7" x14ac:dyDescent="0.2">
      <c r="B389" s="75"/>
      <c r="C389" s="75"/>
      <c r="D389" s="76"/>
      <c r="E389" s="75"/>
      <c r="F389" s="75"/>
      <c r="G389" s="75"/>
    </row>
    <row r="390" spans="2:7" x14ac:dyDescent="0.2">
      <c r="B390" s="75"/>
      <c r="C390" s="75"/>
      <c r="D390" s="76"/>
      <c r="E390" s="75"/>
      <c r="F390" s="75"/>
      <c r="G390" s="75"/>
    </row>
    <row r="391" spans="2:7" x14ac:dyDescent="0.2">
      <c r="B391" s="75"/>
      <c r="C391" s="75"/>
      <c r="D391" s="76"/>
      <c r="E391" s="75"/>
      <c r="F391" s="75"/>
      <c r="G391" s="75"/>
    </row>
    <row r="392" spans="2:7" x14ac:dyDescent="0.2">
      <c r="B392" s="75"/>
      <c r="C392" s="75"/>
      <c r="D392" s="76"/>
      <c r="E392" s="75"/>
      <c r="F392" s="75"/>
      <c r="G392" s="75"/>
    </row>
    <row r="393" spans="2:7" x14ac:dyDescent="0.2">
      <c r="B393" s="75"/>
      <c r="C393" s="75"/>
      <c r="D393" s="76"/>
      <c r="E393" s="75"/>
      <c r="F393" s="75"/>
      <c r="G393" s="75"/>
    </row>
    <row r="394" spans="2:7" x14ac:dyDescent="0.2">
      <c r="B394" s="75"/>
      <c r="C394" s="75"/>
      <c r="D394" s="76"/>
      <c r="E394" s="75"/>
      <c r="F394" s="75"/>
      <c r="G394" s="75"/>
    </row>
    <row r="395" spans="2:7" x14ac:dyDescent="0.2">
      <c r="B395" s="75"/>
      <c r="C395" s="75"/>
      <c r="D395" s="76"/>
      <c r="E395" s="75"/>
      <c r="F395" s="75"/>
      <c r="G395" s="75"/>
    </row>
    <row r="396" spans="2:7" x14ac:dyDescent="0.2">
      <c r="B396" s="75"/>
      <c r="C396" s="75"/>
      <c r="D396" s="76"/>
      <c r="E396" s="75"/>
      <c r="F396" s="75"/>
      <c r="G396" s="75"/>
    </row>
    <row r="397" spans="2:7" x14ac:dyDescent="0.2">
      <c r="B397" s="75"/>
      <c r="C397" s="75"/>
      <c r="D397" s="76"/>
      <c r="E397" s="75"/>
      <c r="F397" s="75"/>
      <c r="G397" s="75"/>
    </row>
    <row r="398" spans="2:7" x14ac:dyDescent="0.2">
      <c r="B398" s="75"/>
      <c r="C398" s="75"/>
      <c r="D398" s="76"/>
      <c r="E398" s="75"/>
      <c r="F398" s="75"/>
      <c r="G398" s="75"/>
    </row>
    <row r="399" spans="2:7" x14ac:dyDescent="0.2">
      <c r="B399" s="75"/>
      <c r="C399" s="75"/>
      <c r="D399" s="76"/>
      <c r="E399" s="75"/>
      <c r="F399" s="75"/>
      <c r="G399" s="75"/>
    </row>
    <row r="400" spans="2:7" x14ac:dyDescent="0.2">
      <c r="B400" s="75"/>
      <c r="C400" s="75"/>
      <c r="D400" s="76"/>
      <c r="E400" s="75"/>
      <c r="F400" s="75"/>
      <c r="G400" s="75"/>
    </row>
    <row r="401" spans="2:7" x14ac:dyDescent="0.2">
      <c r="B401" s="75"/>
      <c r="C401" s="75"/>
      <c r="D401" s="76"/>
      <c r="E401" s="75"/>
      <c r="F401" s="75"/>
      <c r="G401" s="75"/>
    </row>
    <row r="402" spans="2:7" x14ac:dyDescent="0.2">
      <c r="B402" s="75"/>
      <c r="C402" s="75"/>
      <c r="D402" s="76"/>
      <c r="E402" s="75"/>
      <c r="F402" s="75"/>
      <c r="G402" s="75"/>
    </row>
    <row r="403" spans="2:7" x14ac:dyDescent="0.2">
      <c r="B403" s="75"/>
      <c r="C403" s="75"/>
      <c r="D403" s="76"/>
      <c r="E403" s="75"/>
      <c r="F403" s="75"/>
      <c r="G403" s="75"/>
    </row>
    <row r="404" spans="2:7" x14ac:dyDescent="0.2">
      <c r="B404" s="75"/>
      <c r="C404" s="75"/>
      <c r="D404" s="76"/>
      <c r="E404" s="75"/>
      <c r="F404" s="75"/>
      <c r="G404" s="75"/>
    </row>
    <row r="405" spans="2:7" x14ac:dyDescent="0.2">
      <c r="B405" s="75"/>
      <c r="C405" s="75"/>
      <c r="D405" s="76"/>
      <c r="E405" s="75"/>
      <c r="F405" s="75"/>
      <c r="G405" s="75"/>
    </row>
    <row r="406" spans="2:7" x14ac:dyDescent="0.2">
      <c r="B406" s="75"/>
      <c r="C406" s="75"/>
      <c r="D406" s="76"/>
      <c r="E406" s="75"/>
      <c r="F406" s="75"/>
      <c r="G406" s="75"/>
    </row>
    <row r="407" spans="2:7" x14ac:dyDescent="0.2">
      <c r="B407" s="75"/>
      <c r="C407" s="75"/>
      <c r="D407" s="76"/>
      <c r="E407" s="75"/>
      <c r="F407" s="75"/>
      <c r="G407" s="75"/>
    </row>
    <row r="408" spans="2:7" x14ac:dyDescent="0.2">
      <c r="B408" s="75"/>
      <c r="C408" s="75"/>
      <c r="D408" s="76"/>
      <c r="E408" s="75"/>
      <c r="F408" s="75"/>
      <c r="G408" s="75"/>
    </row>
    <row r="409" spans="2:7" x14ac:dyDescent="0.2">
      <c r="B409" s="75"/>
      <c r="C409" s="75"/>
      <c r="D409" s="76"/>
      <c r="E409" s="75"/>
      <c r="F409" s="75"/>
      <c r="G409" s="75"/>
    </row>
    <row r="410" spans="2:7" x14ac:dyDescent="0.2">
      <c r="B410" s="75"/>
      <c r="C410" s="75"/>
      <c r="D410" s="76"/>
      <c r="E410" s="75"/>
      <c r="F410" s="75"/>
      <c r="G410" s="75"/>
    </row>
    <row r="411" spans="2:7" x14ac:dyDescent="0.2">
      <c r="B411" s="75"/>
      <c r="C411" s="75"/>
      <c r="D411" s="76"/>
      <c r="E411" s="75"/>
      <c r="F411" s="75"/>
      <c r="G411" s="75"/>
    </row>
    <row r="412" spans="2:7" x14ac:dyDescent="0.2">
      <c r="B412" s="75"/>
      <c r="C412" s="75"/>
      <c r="D412" s="76"/>
      <c r="E412" s="75"/>
      <c r="F412" s="75"/>
      <c r="G412" s="75"/>
    </row>
    <row r="413" spans="2:7" x14ac:dyDescent="0.2">
      <c r="B413" s="75"/>
      <c r="C413" s="75"/>
      <c r="D413" s="76"/>
      <c r="E413" s="75"/>
      <c r="F413" s="75"/>
      <c r="G413" s="75"/>
    </row>
    <row r="414" spans="2:7" x14ac:dyDescent="0.2">
      <c r="B414" s="75"/>
      <c r="C414" s="75"/>
      <c r="D414" s="76"/>
      <c r="E414" s="75"/>
      <c r="F414" s="75"/>
      <c r="G414" s="75"/>
    </row>
    <row r="415" spans="2:7" x14ac:dyDescent="0.2">
      <c r="B415" s="75"/>
      <c r="C415" s="75"/>
      <c r="D415" s="76"/>
      <c r="E415" s="75"/>
      <c r="F415" s="75"/>
      <c r="G415" s="75"/>
    </row>
    <row r="416" spans="2:7" x14ac:dyDescent="0.2">
      <c r="B416" s="75"/>
      <c r="C416" s="75"/>
      <c r="D416" s="76"/>
      <c r="E416" s="75"/>
      <c r="F416" s="75"/>
      <c r="G416" s="75"/>
    </row>
    <row r="417" spans="2:7" x14ac:dyDescent="0.2">
      <c r="B417" s="75"/>
      <c r="C417" s="75"/>
      <c r="D417" s="76"/>
      <c r="E417" s="75"/>
      <c r="F417" s="75"/>
      <c r="G417" s="75"/>
    </row>
    <row r="418" spans="2:7" x14ac:dyDescent="0.2">
      <c r="B418" s="75"/>
      <c r="C418" s="75"/>
      <c r="D418" s="76"/>
      <c r="E418" s="75"/>
      <c r="F418" s="75"/>
      <c r="G418" s="75"/>
    </row>
    <row r="419" spans="2:7" x14ac:dyDescent="0.2">
      <c r="B419" s="75"/>
      <c r="C419" s="75"/>
      <c r="D419" s="76"/>
      <c r="E419" s="75"/>
      <c r="F419" s="75"/>
      <c r="G419" s="75"/>
    </row>
    <row r="420" spans="2:7" x14ac:dyDescent="0.2">
      <c r="B420" s="75"/>
      <c r="C420" s="75"/>
      <c r="D420" s="76"/>
      <c r="E420" s="75"/>
      <c r="F420" s="75"/>
      <c r="G420" s="75"/>
    </row>
    <row r="421" spans="2:7" x14ac:dyDescent="0.2">
      <c r="B421" s="75"/>
      <c r="C421" s="75"/>
      <c r="D421" s="76"/>
      <c r="E421" s="75"/>
      <c r="F421" s="75"/>
      <c r="G421" s="75"/>
    </row>
    <row r="422" spans="2:7" x14ac:dyDescent="0.2">
      <c r="B422" s="75"/>
      <c r="C422" s="75"/>
      <c r="D422" s="76"/>
      <c r="E422" s="75"/>
      <c r="F422" s="75"/>
      <c r="G422" s="75"/>
    </row>
    <row r="423" spans="2:7" x14ac:dyDescent="0.2">
      <c r="B423" s="75"/>
      <c r="C423" s="75"/>
      <c r="D423" s="76"/>
      <c r="E423" s="75"/>
      <c r="F423" s="75"/>
      <c r="G423" s="75"/>
    </row>
    <row r="424" spans="2:7" x14ac:dyDescent="0.2">
      <c r="B424" s="75"/>
      <c r="C424" s="75"/>
      <c r="D424" s="76"/>
      <c r="E424" s="75"/>
      <c r="F424" s="75"/>
      <c r="G424" s="75"/>
    </row>
    <row r="425" spans="2:7" x14ac:dyDescent="0.2">
      <c r="B425" s="75"/>
      <c r="C425" s="75"/>
      <c r="D425" s="76"/>
      <c r="E425" s="75"/>
      <c r="F425" s="75"/>
      <c r="G425" s="75"/>
    </row>
    <row r="426" spans="2:7" x14ac:dyDescent="0.2">
      <c r="B426" s="75"/>
      <c r="C426" s="75"/>
      <c r="D426" s="76"/>
      <c r="E426" s="75"/>
      <c r="F426" s="75"/>
      <c r="G426" s="75"/>
    </row>
    <row r="427" spans="2:7" x14ac:dyDescent="0.2">
      <c r="B427" s="75"/>
      <c r="C427" s="75"/>
      <c r="D427" s="76"/>
      <c r="E427" s="75"/>
      <c r="F427" s="75"/>
      <c r="G427" s="75"/>
    </row>
    <row r="428" spans="2:7" x14ac:dyDescent="0.2">
      <c r="B428" s="75"/>
      <c r="C428" s="75"/>
      <c r="D428" s="76"/>
      <c r="E428" s="75"/>
      <c r="F428" s="75"/>
      <c r="G428" s="75"/>
    </row>
    <row r="429" spans="2:7" x14ac:dyDescent="0.2">
      <c r="B429" s="75"/>
      <c r="C429" s="75"/>
      <c r="D429" s="76"/>
      <c r="E429" s="75"/>
      <c r="F429" s="75"/>
      <c r="G429" s="75"/>
    </row>
    <row r="430" spans="2:7" x14ac:dyDescent="0.2">
      <c r="B430" s="75"/>
      <c r="C430" s="75"/>
      <c r="D430" s="76"/>
      <c r="E430" s="75"/>
      <c r="F430" s="75"/>
      <c r="G430" s="75"/>
    </row>
    <row r="431" spans="2:7" x14ac:dyDescent="0.2">
      <c r="B431" s="75"/>
      <c r="C431" s="75"/>
      <c r="D431" s="76"/>
      <c r="E431" s="75"/>
      <c r="F431" s="75"/>
      <c r="G431" s="75"/>
    </row>
    <row r="432" spans="2:7" x14ac:dyDescent="0.2">
      <c r="B432" s="75"/>
      <c r="C432" s="75"/>
      <c r="D432" s="76"/>
      <c r="E432" s="75"/>
      <c r="F432" s="75"/>
      <c r="G432" s="75"/>
    </row>
    <row r="433" spans="2:7" x14ac:dyDescent="0.2">
      <c r="B433" s="75"/>
      <c r="C433" s="75"/>
      <c r="D433" s="76"/>
      <c r="E433" s="75"/>
      <c r="F433" s="75"/>
      <c r="G433" s="75"/>
    </row>
    <row r="434" spans="2:7" x14ac:dyDescent="0.2">
      <c r="B434" s="75"/>
      <c r="C434" s="75"/>
      <c r="D434" s="76"/>
      <c r="E434" s="75"/>
      <c r="F434" s="75"/>
      <c r="G434" s="75"/>
    </row>
    <row r="435" spans="2:7" x14ac:dyDescent="0.2">
      <c r="B435" s="75"/>
      <c r="C435" s="75"/>
      <c r="D435" s="76"/>
      <c r="E435" s="75"/>
      <c r="F435" s="75"/>
      <c r="G435" s="75"/>
    </row>
    <row r="436" spans="2:7" x14ac:dyDescent="0.2">
      <c r="B436" s="75"/>
      <c r="C436" s="75"/>
      <c r="D436" s="76"/>
      <c r="E436" s="75"/>
      <c r="F436" s="75"/>
      <c r="G436" s="75"/>
    </row>
    <row r="437" spans="2:7" x14ac:dyDescent="0.2">
      <c r="B437" s="75"/>
      <c r="C437" s="75"/>
      <c r="D437" s="76"/>
      <c r="E437" s="75"/>
      <c r="F437" s="75"/>
      <c r="G437" s="75"/>
    </row>
    <row r="438" spans="2:7" x14ac:dyDescent="0.2">
      <c r="B438" s="75"/>
      <c r="C438" s="75"/>
      <c r="D438" s="76"/>
      <c r="E438" s="75"/>
      <c r="F438" s="75"/>
      <c r="G438" s="75"/>
    </row>
    <row r="439" spans="2:7" x14ac:dyDescent="0.2">
      <c r="B439" s="75"/>
      <c r="C439" s="75"/>
      <c r="D439" s="76"/>
      <c r="E439" s="75"/>
      <c r="F439" s="75"/>
      <c r="G439" s="75"/>
    </row>
    <row r="440" spans="2:7" x14ac:dyDescent="0.2">
      <c r="B440" s="75"/>
      <c r="C440" s="75"/>
      <c r="D440" s="76"/>
      <c r="E440" s="75"/>
      <c r="F440" s="75"/>
      <c r="G440" s="75"/>
    </row>
    <row r="441" spans="2:7" x14ac:dyDescent="0.2">
      <c r="B441" s="75"/>
      <c r="C441" s="75"/>
      <c r="D441" s="76"/>
      <c r="E441" s="75"/>
      <c r="F441" s="75"/>
      <c r="G441" s="75"/>
    </row>
    <row r="442" spans="2:7" x14ac:dyDescent="0.2">
      <c r="B442" s="75"/>
      <c r="C442" s="75"/>
      <c r="D442" s="76"/>
      <c r="E442" s="75"/>
      <c r="F442" s="75"/>
      <c r="G442" s="75"/>
    </row>
    <row r="443" spans="2:7" x14ac:dyDescent="0.2">
      <c r="B443" s="75"/>
      <c r="C443" s="75"/>
      <c r="D443" s="76"/>
      <c r="E443" s="75"/>
      <c r="F443" s="75"/>
      <c r="G443" s="75"/>
    </row>
    <row r="444" spans="2:7" x14ac:dyDescent="0.2">
      <c r="B444" s="75"/>
      <c r="C444" s="75"/>
      <c r="D444" s="76"/>
      <c r="E444" s="75"/>
      <c r="F444" s="75"/>
      <c r="G444" s="75"/>
    </row>
    <row r="445" spans="2:7" x14ac:dyDescent="0.2">
      <c r="B445" s="75"/>
      <c r="C445" s="75"/>
      <c r="D445" s="76"/>
      <c r="E445" s="75"/>
      <c r="F445" s="75"/>
      <c r="G445" s="75"/>
    </row>
    <row r="446" spans="2:7" x14ac:dyDescent="0.2">
      <c r="B446" s="75"/>
      <c r="C446" s="75"/>
      <c r="D446" s="76"/>
      <c r="E446" s="75"/>
      <c r="F446" s="75"/>
      <c r="G446" s="75"/>
    </row>
    <row r="447" spans="2:7" x14ac:dyDescent="0.2">
      <c r="B447" s="75"/>
      <c r="C447" s="75"/>
      <c r="D447" s="76"/>
      <c r="E447" s="75"/>
      <c r="F447" s="75"/>
      <c r="G447" s="75"/>
    </row>
    <row r="448" spans="2:7" x14ac:dyDescent="0.2">
      <c r="B448" s="75"/>
      <c r="C448" s="75"/>
      <c r="D448" s="76"/>
      <c r="E448" s="75"/>
      <c r="F448" s="75"/>
      <c r="G448" s="75"/>
    </row>
    <row r="449" spans="2:7" x14ac:dyDescent="0.2">
      <c r="B449" s="75"/>
      <c r="C449" s="75"/>
      <c r="D449" s="76"/>
      <c r="E449" s="75"/>
      <c r="F449" s="75"/>
      <c r="G449" s="75"/>
    </row>
    <row r="450" spans="2:7" x14ac:dyDescent="0.2">
      <c r="B450" s="75"/>
      <c r="C450" s="75"/>
      <c r="D450" s="76"/>
      <c r="E450" s="75"/>
      <c r="F450" s="75"/>
      <c r="G450" s="75"/>
    </row>
    <row r="451" spans="2:7" x14ac:dyDescent="0.2">
      <c r="B451" s="75"/>
      <c r="C451" s="75"/>
      <c r="D451" s="76"/>
      <c r="E451" s="75"/>
      <c r="F451" s="75"/>
      <c r="G451" s="75"/>
    </row>
    <row r="452" spans="2:7" x14ac:dyDescent="0.2">
      <c r="B452" s="75"/>
      <c r="C452" s="75"/>
      <c r="D452" s="76"/>
      <c r="E452" s="75"/>
      <c r="F452" s="75"/>
      <c r="G452" s="75"/>
    </row>
    <row r="453" spans="2:7" x14ac:dyDescent="0.2">
      <c r="B453" s="75"/>
      <c r="C453" s="75"/>
      <c r="D453" s="76"/>
      <c r="E453" s="75"/>
      <c r="F453" s="75"/>
      <c r="G453" s="75"/>
    </row>
    <row r="454" spans="2:7" x14ac:dyDescent="0.2">
      <c r="B454" s="75"/>
      <c r="C454" s="75"/>
      <c r="D454" s="76"/>
      <c r="E454" s="75"/>
      <c r="F454" s="75"/>
      <c r="G454" s="75"/>
    </row>
    <row r="455" spans="2:7" x14ac:dyDescent="0.2">
      <c r="B455" s="75"/>
      <c r="C455" s="75"/>
      <c r="D455" s="76"/>
      <c r="E455" s="75"/>
      <c r="F455" s="75"/>
      <c r="G455" s="75"/>
    </row>
    <row r="456" spans="2:7" x14ac:dyDescent="0.2">
      <c r="B456" s="75"/>
      <c r="C456" s="75"/>
      <c r="D456" s="76"/>
      <c r="E456" s="75"/>
      <c r="F456" s="75"/>
      <c r="G456" s="75"/>
    </row>
    <row r="457" spans="2:7" x14ac:dyDescent="0.2">
      <c r="B457" s="75"/>
      <c r="C457" s="75"/>
      <c r="D457" s="76"/>
      <c r="E457" s="75"/>
      <c r="F457" s="75"/>
      <c r="G457" s="75"/>
    </row>
    <row r="458" spans="2:7" x14ac:dyDescent="0.2">
      <c r="B458" s="75"/>
      <c r="C458" s="75"/>
      <c r="D458" s="76"/>
      <c r="E458" s="75"/>
      <c r="F458" s="75"/>
      <c r="G458" s="75"/>
    </row>
    <row r="459" spans="2:7" x14ac:dyDescent="0.2">
      <c r="B459" s="75"/>
      <c r="C459" s="75"/>
      <c r="D459" s="76"/>
      <c r="E459" s="75"/>
      <c r="F459" s="75"/>
      <c r="G459" s="75"/>
    </row>
    <row r="460" spans="2:7" x14ac:dyDescent="0.2">
      <c r="B460" s="75"/>
      <c r="C460" s="75"/>
      <c r="D460" s="76"/>
      <c r="E460" s="75"/>
      <c r="F460" s="75"/>
      <c r="G460" s="75"/>
    </row>
    <row r="461" spans="2:7" x14ac:dyDescent="0.2">
      <c r="B461" s="75"/>
      <c r="C461" s="75"/>
      <c r="D461" s="76"/>
      <c r="E461" s="75"/>
      <c r="F461" s="75"/>
      <c r="G461" s="75"/>
    </row>
    <row r="462" spans="2:7" x14ac:dyDescent="0.2">
      <c r="B462" s="75"/>
      <c r="C462" s="75"/>
      <c r="D462" s="76"/>
      <c r="E462" s="75"/>
      <c r="F462" s="75"/>
      <c r="G462" s="75"/>
    </row>
    <row r="463" spans="2:7" x14ac:dyDescent="0.2">
      <c r="B463" s="75"/>
      <c r="C463" s="75"/>
      <c r="D463" s="76"/>
      <c r="E463" s="75"/>
      <c r="F463" s="75"/>
      <c r="G463" s="75"/>
    </row>
    <row r="464" spans="2:7" x14ac:dyDescent="0.2">
      <c r="B464" s="75"/>
      <c r="C464" s="75"/>
      <c r="D464" s="76"/>
      <c r="E464" s="75"/>
      <c r="F464" s="75"/>
      <c r="G464" s="75"/>
    </row>
    <row r="465" spans="2:7" x14ac:dyDescent="0.2">
      <c r="B465" s="75"/>
      <c r="C465" s="75"/>
      <c r="D465" s="76"/>
      <c r="E465" s="75"/>
      <c r="F465" s="75"/>
      <c r="G465" s="75"/>
    </row>
    <row r="466" spans="2:7" x14ac:dyDescent="0.2">
      <c r="B466" s="75"/>
      <c r="C466" s="75"/>
      <c r="D466" s="76"/>
      <c r="E466" s="75"/>
      <c r="F466" s="75"/>
      <c r="G466" s="75"/>
    </row>
    <row r="467" spans="2:7" x14ac:dyDescent="0.2">
      <c r="B467" s="75"/>
      <c r="C467" s="75"/>
      <c r="D467" s="76"/>
      <c r="E467" s="75"/>
      <c r="F467" s="75"/>
      <c r="G467" s="75"/>
    </row>
    <row r="468" spans="2:7" x14ac:dyDescent="0.2">
      <c r="B468" s="75"/>
      <c r="C468" s="75"/>
      <c r="D468" s="76"/>
      <c r="E468" s="75"/>
      <c r="F468" s="75"/>
      <c r="G468" s="75"/>
    </row>
    <row r="469" spans="2:7" x14ac:dyDescent="0.2">
      <c r="B469" s="75"/>
      <c r="C469" s="75"/>
      <c r="D469" s="76"/>
      <c r="E469" s="75"/>
      <c r="F469" s="75"/>
      <c r="G469" s="75"/>
    </row>
    <row r="470" spans="2:7" x14ac:dyDescent="0.2">
      <c r="B470" s="75"/>
      <c r="C470" s="75"/>
      <c r="D470" s="76"/>
      <c r="E470" s="75"/>
      <c r="F470" s="75"/>
      <c r="G470" s="75"/>
    </row>
    <row r="471" spans="2:7" x14ac:dyDescent="0.2">
      <c r="B471" s="75"/>
      <c r="C471" s="75"/>
      <c r="D471" s="76"/>
      <c r="E471" s="75"/>
      <c r="F471" s="75"/>
      <c r="G471" s="75"/>
    </row>
    <row r="472" spans="2:7" x14ac:dyDescent="0.2">
      <c r="B472" s="75"/>
      <c r="C472" s="75"/>
      <c r="D472" s="76"/>
      <c r="E472" s="75"/>
      <c r="F472" s="75"/>
      <c r="G472" s="75"/>
    </row>
    <row r="473" spans="2:7" x14ac:dyDescent="0.2">
      <c r="B473" s="75"/>
      <c r="C473" s="75"/>
      <c r="D473" s="76"/>
      <c r="E473" s="75"/>
      <c r="F473" s="75"/>
      <c r="G473" s="75"/>
    </row>
    <row r="474" spans="2:7" x14ac:dyDescent="0.2">
      <c r="B474" s="75"/>
      <c r="C474" s="75"/>
      <c r="D474" s="76"/>
      <c r="E474" s="75"/>
      <c r="F474" s="75"/>
      <c r="G474" s="75"/>
    </row>
    <row r="475" spans="2:7" x14ac:dyDescent="0.2">
      <c r="B475" s="75"/>
      <c r="C475" s="75"/>
      <c r="D475" s="76"/>
      <c r="E475" s="75"/>
      <c r="F475" s="75"/>
      <c r="G475" s="75"/>
    </row>
    <row r="476" spans="2:7" x14ac:dyDescent="0.2">
      <c r="B476" s="75"/>
      <c r="C476" s="75"/>
      <c r="D476" s="76"/>
      <c r="E476" s="75"/>
      <c r="F476" s="75"/>
      <c r="G476" s="75"/>
    </row>
    <row r="477" spans="2:7" x14ac:dyDescent="0.2">
      <c r="B477" s="75"/>
      <c r="C477" s="75"/>
      <c r="D477" s="76"/>
      <c r="E477" s="75"/>
      <c r="F477" s="75"/>
      <c r="G477" s="75"/>
    </row>
    <row r="478" spans="2:7" x14ac:dyDescent="0.2">
      <c r="B478" s="75"/>
      <c r="C478" s="75"/>
      <c r="D478" s="76"/>
      <c r="E478" s="75"/>
      <c r="F478" s="75"/>
      <c r="G478" s="75"/>
    </row>
    <row r="479" spans="2:7" x14ac:dyDescent="0.2">
      <c r="B479" s="75"/>
      <c r="C479" s="75"/>
      <c r="D479" s="76"/>
      <c r="E479" s="75"/>
      <c r="F479" s="75"/>
      <c r="G479" s="75"/>
    </row>
    <row r="480" spans="2:7" x14ac:dyDescent="0.2">
      <c r="B480" s="75"/>
      <c r="C480" s="75"/>
      <c r="D480" s="76"/>
      <c r="E480" s="75"/>
      <c r="F480" s="75"/>
      <c r="G480" s="75"/>
    </row>
    <row r="481" spans="2:7" x14ac:dyDescent="0.2">
      <c r="B481" s="75"/>
      <c r="C481" s="75"/>
      <c r="D481" s="76"/>
      <c r="E481" s="75"/>
      <c r="F481" s="75"/>
      <c r="G481" s="75"/>
    </row>
    <row r="482" spans="2:7" x14ac:dyDescent="0.2">
      <c r="B482" s="75"/>
      <c r="C482" s="75"/>
      <c r="D482" s="76"/>
      <c r="E482" s="75"/>
      <c r="F482" s="75"/>
      <c r="G482" s="75"/>
    </row>
    <row r="483" spans="2:7" x14ac:dyDescent="0.2">
      <c r="B483" s="75"/>
      <c r="C483" s="75"/>
      <c r="D483" s="76"/>
      <c r="E483" s="75"/>
      <c r="F483" s="75"/>
      <c r="G483" s="75"/>
    </row>
    <row r="484" spans="2:7" x14ac:dyDescent="0.2">
      <c r="B484" s="75"/>
      <c r="C484" s="75"/>
      <c r="D484" s="76"/>
      <c r="E484" s="75"/>
      <c r="F484" s="75"/>
      <c r="G484" s="75"/>
    </row>
    <row r="485" spans="2:7" x14ac:dyDescent="0.2">
      <c r="B485" s="75"/>
      <c r="C485" s="75"/>
      <c r="D485" s="76"/>
      <c r="E485" s="75"/>
      <c r="F485" s="75"/>
      <c r="G485" s="75"/>
    </row>
    <row r="486" spans="2:7" x14ac:dyDescent="0.2">
      <c r="B486" s="75"/>
      <c r="C486" s="75"/>
      <c r="D486" s="76"/>
      <c r="E486" s="75"/>
      <c r="F486" s="75"/>
      <c r="G486" s="75"/>
    </row>
    <row r="487" spans="2:7" x14ac:dyDescent="0.2">
      <c r="B487" s="75"/>
      <c r="C487" s="75"/>
      <c r="D487" s="76"/>
      <c r="E487" s="75"/>
      <c r="F487" s="75"/>
      <c r="G487" s="75"/>
    </row>
    <row r="488" spans="2:7" x14ac:dyDescent="0.2">
      <c r="B488" s="75"/>
      <c r="C488" s="75"/>
      <c r="D488" s="76"/>
      <c r="E488" s="75"/>
      <c r="F488" s="75"/>
      <c r="G488" s="75"/>
    </row>
    <row r="489" spans="2:7" x14ac:dyDescent="0.2">
      <c r="B489" s="75"/>
      <c r="C489" s="75"/>
      <c r="D489" s="76"/>
      <c r="E489" s="75"/>
      <c r="F489" s="75"/>
      <c r="G489" s="75"/>
    </row>
    <row r="490" spans="2:7" x14ac:dyDescent="0.2">
      <c r="B490" s="75"/>
      <c r="C490" s="75"/>
      <c r="D490" s="76"/>
      <c r="E490" s="75"/>
      <c r="F490" s="75"/>
      <c r="G490" s="75"/>
    </row>
    <row r="491" spans="2:7" x14ac:dyDescent="0.2">
      <c r="B491" s="75"/>
      <c r="C491" s="75"/>
      <c r="D491" s="76"/>
      <c r="E491" s="75"/>
      <c r="F491" s="75"/>
      <c r="G491" s="75"/>
    </row>
    <row r="492" spans="2:7" x14ac:dyDescent="0.2">
      <c r="B492" s="75"/>
      <c r="C492" s="75"/>
      <c r="D492" s="76"/>
      <c r="E492" s="75"/>
      <c r="F492" s="75"/>
      <c r="G492" s="75"/>
    </row>
    <row r="493" spans="2:7" x14ac:dyDescent="0.2">
      <c r="B493" s="75"/>
      <c r="C493" s="75"/>
      <c r="D493" s="76"/>
      <c r="E493" s="75"/>
      <c r="F493" s="75"/>
      <c r="G493" s="75"/>
    </row>
    <row r="494" spans="2:7" x14ac:dyDescent="0.2">
      <c r="B494" s="75"/>
      <c r="C494" s="75"/>
      <c r="D494" s="76"/>
      <c r="E494" s="75"/>
      <c r="F494" s="75"/>
      <c r="G494" s="75"/>
    </row>
    <row r="495" spans="2:7" x14ac:dyDescent="0.2">
      <c r="B495" s="75"/>
      <c r="C495" s="75"/>
      <c r="D495" s="76"/>
      <c r="E495" s="75"/>
      <c r="F495" s="75"/>
      <c r="G495" s="75"/>
    </row>
    <row r="496" spans="2:7" x14ac:dyDescent="0.2">
      <c r="B496" s="75"/>
      <c r="C496" s="75"/>
      <c r="D496" s="76"/>
      <c r="E496" s="75"/>
      <c r="F496" s="75"/>
      <c r="G496" s="75"/>
    </row>
    <row r="497" spans="2:7" x14ac:dyDescent="0.2">
      <c r="B497" s="75"/>
      <c r="C497" s="75"/>
      <c r="D497" s="76"/>
      <c r="E497" s="75"/>
      <c r="F497" s="75"/>
      <c r="G497" s="75"/>
    </row>
    <row r="498" spans="2:7" x14ac:dyDescent="0.2">
      <c r="B498" s="75"/>
      <c r="C498" s="75"/>
      <c r="D498" s="76"/>
      <c r="E498" s="75"/>
      <c r="F498" s="75"/>
      <c r="G498" s="75"/>
    </row>
    <row r="499" spans="2:7" x14ac:dyDescent="0.2">
      <c r="B499" s="75"/>
      <c r="C499" s="75"/>
      <c r="D499" s="76"/>
      <c r="E499" s="75"/>
      <c r="F499" s="75"/>
      <c r="G499" s="75"/>
    </row>
    <row r="500" spans="2:7" x14ac:dyDescent="0.2">
      <c r="B500" s="75"/>
      <c r="C500" s="75"/>
      <c r="D500" s="76"/>
      <c r="E500" s="75"/>
      <c r="F500" s="75"/>
      <c r="G500" s="75"/>
    </row>
    <row r="501" spans="2:7" x14ac:dyDescent="0.2">
      <c r="B501" s="75"/>
      <c r="C501" s="75"/>
      <c r="D501" s="76"/>
      <c r="E501" s="75"/>
      <c r="F501" s="75"/>
      <c r="G501" s="75"/>
    </row>
    <row r="502" spans="2:7" x14ac:dyDescent="0.2">
      <c r="B502" s="75"/>
      <c r="C502" s="75"/>
      <c r="D502" s="76"/>
      <c r="E502" s="75"/>
      <c r="F502" s="75"/>
      <c r="G502" s="75"/>
    </row>
    <row r="503" spans="2:7" x14ac:dyDescent="0.2">
      <c r="B503" s="75"/>
      <c r="C503" s="75"/>
      <c r="D503" s="76"/>
      <c r="E503" s="75"/>
      <c r="F503" s="75"/>
      <c r="G503" s="75"/>
    </row>
    <row r="504" spans="2:7" x14ac:dyDescent="0.2">
      <c r="B504" s="75"/>
      <c r="C504" s="75"/>
      <c r="D504" s="76"/>
      <c r="E504" s="75"/>
      <c r="F504" s="75"/>
      <c r="G504" s="75"/>
    </row>
    <row r="505" spans="2:7" x14ac:dyDescent="0.2">
      <c r="B505" s="75"/>
      <c r="C505" s="75"/>
      <c r="D505" s="76"/>
      <c r="E505" s="75"/>
      <c r="F505" s="75"/>
      <c r="G505" s="75"/>
    </row>
    <row r="506" spans="2:7" x14ac:dyDescent="0.2">
      <c r="B506" s="75"/>
      <c r="C506" s="75"/>
      <c r="D506" s="76"/>
      <c r="E506" s="75"/>
      <c r="F506" s="75"/>
      <c r="G506" s="75"/>
    </row>
    <row r="507" spans="2:7" x14ac:dyDescent="0.2">
      <c r="B507" s="75"/>
      <c r="C507" s="75"/>
      <c r="D507" s="76"/>
      <c r="E507" s="75"/>
      <c r="F507" s="75"/>
      <c r="G507" s="75"/>
    </row>
    <row r="508" spans="2:7" x14ac:dyDescent="0.2">
      <c r="B508" s="75"/>
      <c r="C508" s="75"/>
      <c r="D508" s="76"/>
      <c r="E508" s="75"/>
      <c r="F508" s="75"/>
      <c r="G508" s="75"/>
    </row>
    <row r="509" spans="2:7" x14ac:dyDescent="0.2">
      <c r="B509" s="75"/>
      <c r="C509" s="75"/>
      <c r="D509" s="76"/>
      <c r="E509" s="75"/>
      <c r="F509" s="75"/>
      <c r="G509" s="75"/>
    </row>
    <row r="510" spans="2:7" x14ac:dyDescent="0.2">
      <c r="B510" s="75"/>
      <c r="C510" s="75"/>
      <c r="D510" s="76"/>
      <c r="E510" s="75"/>
      <c r="F510" s="75"/>
      <c r="G510" s="75"/>
    </row>
    <row r="511" spans="2:7" x14ac:dyDescent="0.2">
      <c r="B511" s="75"/>
      <c r="C511" s="75"/>
      <c r="D511" s="76"/>
      <c r="E511" s="75"/>
      <c r="F511" s="75"/>
      <c r="G511" s="75"/>
    </row>
    <row r="512" spans="2:7" x14ac:dyDescent="0.2">
      <c r="B512" s="75"/>
      <c r="C512" s="75"/>
      <c r="D512" s="76"/>
      <c r="E512" s="75"/>
      <c r="F512" s="75"/>
      <c r="G512" s="75"/>
    </row>
    <row r="513" spans="2:7" x14ac:dyDescent="0.2">
      <c r="B513" s="75"/>
      <c r="C513" s="75"/>
      <c r="D513" s="76"/>
      <c r="E513" s="75"/>
      <c r="F513" s="75"/>
      <c r="G513" s="75"/>
    </row>
    <row r="514" spans="2:7" x14ac:dyDescent="0.2">
      <c r="B514" s="75"/>
      <c r="C514" s="75"/>
      <c r="D514" s="76"/>
      <c r="E514" s="75"/>
      <c r="F514" s="75"/>
      <c r="G514" s="75"/>
    </row>
    <row r="515" spans="2:7" x14ac:dyDescent="0.2">
      <c r="B515" s="75"/>
      <c r="C515" s="75"/>
      <c r="D515" s="76"/>
      <c r="E515" s="75"/>
      <c r="F515" s="75"/>
      <c r="G515" s="75"/>
    </row>
    <row r="516" spans="2:7" x14ac:dyDescent="0.2">
      <c r="B516" s="75"/>
      <c r="C516" s="75"/>
      <c r="D516" s="76"/>
      <c r="E516" s="75"/>
      <c r="F516" s="75"/>
      <c r="G516" s="75"/>
    </row>
    <row r="517" spans="2:7" x14ac:dyDescent="0.2">
      <c r="B517" s="75"/>
      <c r="C517" s="75"/>
      <c r="D517" s="76"/>
      <c r="E517" s="75"/>
      <c r="F517" s="75"/>
      <c r="G517" s="75"/>
    </row>
    <row r="518" spans="2:7" x14ac:dyDescent="0.2">
      <c r="B518" s="75"/>
      <c r="C518" s="75"/>
      <c r="D518" s="76"/>
      <c r="E518" s="75"/>
      <c r="F518" s="75"/>
      <c r="G518" s="75"/>
    </row>
    <row r="519" spans="2:7" x14ac:dyDescent="0.2">
      <c r="B519" s="75"/>
      <c r="C519" s="75"/>
      <c r="D519" s="76"/>
      <c r="E519" s="75"/>
      <c r="F519" s="75"/>
      <c r="G519" s="75"/>
    </row>
    <row r="520" spans="2:7" x14ac:dyDescent="0.2">
      <c r="B520" s="75"/>
      <c r="C520" s="75"/>
      <c r="D520" s="76"/>
      <c r="E520" s="75"/>
      <c r="F520" s="75"/>
      <c r="G520" s="75"/>
    </row>
    <row r="521" spans="2:7" x14ac:dyDescent="0.2">
      <c r="B521" s="75"/>
      <c r="C521" s="75"/>
      <c r="D521" s="76"/>
      <c r="E521" s="75"/>
      <c r="F521" s="75"/>
      <c r="G521" s="75"/>
    </row>
    <row r="522" spans="2:7" x14ac:dyDescent="0.2">
      <c r="B522" s="75"/>
      <c r="C522" s="75"/>
      <c r="D522" s="76"/>
      <c r="E522" s="75"/>
      <c r="F522" s="75"/>
      <c r="G522" s="75"/>
    </row>
    <row r="523" spans="2:7" x14ac:dyDescent="0.2">
      <c r="B523" s="75"/>
      <c r="C523" s="75"/>
      <c r="D523" s="76"/>
      <c r="E523" s="75"/>
      <c r="F523" s="75"/>
      <c r="G523" s="75"/>
    </row>
    <row r="524" spans="2:7" x14ac:dyDescent="0.2">
      <c r="B524" s="75"/>
      <c r="C524" s="75"/>
      <c r="D524" s="76"/>
      <c r="E524" s="75"/>
      <c r="F524" s="75"/>
      <c r="G524" s="75"/>
    </row>
    <row r="525" spans="2:7" x14ac:dyDescent="0.2">
      <c r="B525" s="75"/>
      <c r="C525" s="75"/>
      <c r="D525" s="76"/>
      <c r="E525" s="75"/>
      <c r="F525" s="75"/>
      <c r="G525" s="75"/>
    </row>
    <row r="526" spans="2:7" x14ac:dyDescent="0.2">
      <c r="B526" s="75"/>
      <c r="C526" s="75"/>
      <c r="D526" s="76"/>
      <c r="E526" s="75"/>
      <c r="F526" s="75"/>
      <c r="G526" s="75"/>
    </row>
    <row r="527" spans="2:7" x14ac:dyDescent="0.2">
      <c r="B527" s="75"/>
      <c r="C527" s="75"/>
      <c r="D527" s="76"/>
      <c r="E527" s="75"/>
      <c r="F527" s="75"/>
      <c r="G527" s="75"/>
    </row>
    <row r="528" spans="2:7" x14ac:dyDescent="0.2">
      <c r="B528" s="75"/>
      <c r="C528" s="75"/>
      <c r="D528" s="76"/>
      <c r="E528" s="75"/>
      <c r="F528" s="75"/>
      <c r="G528" s="75"/>
    </row>
    <row r="529" spans="2:7" x14ac:dyDescent="0.2">
      <c r="B529" s="75"/>
      <c r="C529" s="75"/>
      <c r="D529" s="76"/>
      <c r="E529" s="75"/>
      <c r="F529" s="75"/>
      <c r="G529" s="75"/>
    </row>
    <row r="530" spans="2:7" x14ac:dyDescent="0.2">
      <c r="B530" s="75"/>
      <c r="C530" s="75"/>
      <c r="D530" s="76"/>
      <c r="E530" s="75"/>
      <c r="F530" s="75"/>
      <c r="G530" s="75"/>
    </row>
    <row r="531" spans="2:7" x14ac:dyDescent="0.2">
      <c r="B531" s="75"/>
      <c r="C531" s="75"/>
      <c r="D531" s="76"/>
      <c r="E531" s="75"/>
      <c r="F531" s="75"/>
      <c r="G531" s="75"/>
    </row>
    <row r="532" spans="2:7" x14ac:dyDescent="0.2">
      <c r="B532" s="75"/>
      <c r="C532" s="75"/>
      <c r="D532" s="76"/>
      <c r="E532" s="75"/>
      <c r="F532" s="75"/>
      <c r="G532" s="75"/>
    </row>
    <row r="533" spans="2:7" x14ac:dyDescent="0.2">
      <c r="B533" s="75"/>
      <c r="C533" s="75"/>
      <c r="D533" s="76"/>
      <c r="E533" s="75"/>
      <c r="F533" s="75"/>
      <c r="G533" s="75"/>
    </row>
    <row r="534" spans="2:7" x14ac:dyDescent="0.2">
      <c r="B534" s="75"/>
      <c r="C534" s="75"/>
      <c r="D534" s="76"/>
      <c r="E534" s="75"/>
      <c r="F534" s="75"/>
      <c r="G534" s="75"/>
    </row>
    <row r="535" spans="2:7" x14ac:dyDescent="0.2">
      <c r="B535" s="75"/>
      <c r="C535" s="75"/>
      <c r="D535" s="76"/>
      <c r="E535" s="75"/>
      <c r="F535" s="75"/>
      <c r="G535" s="75"/>
    </row>
    <row r="536" spans="2:7" x14ac:dyDescent="0.2">
      <c r="B536" s="75"/>
      <c r="C536" s="75"/>
      <c r="D536" s="76"/>
      <c r="E536" s="75"/>
      <c r="F536" s="75"/>
      <c r="G536" s="75"/>
    </row>
    <row r="537" spans="2:7" x14ac:dyDescent="0.2">
      <c r="B537" s="75"/>
      <c r="C537" s="75"/>
      <c r="D537" s="76"/>
      <c r="E537" s="75"/>
      <c r="F537" s="75"/>
      <c r="G537" s="75"/>
    </row>
    <row r="538" spans="2:7" x14ac:dyDescent="0.2">
      <c r="B538" s="75"/>
      <c r="C538" s="75"/>
      <c r="D538" s="76"/>
      <c r="E538" s="75"/>
      <c r="F538" s="75"/>
      <c r="G538" s="75"/>
    </row>
    <row r="539" spans="2:7" x14ac:dyDescent="0.2">
      <c r="B539" s="75"/>
      <c r="C539" s="75"/>
      <c r="D539" s="76"/>
      <c r="E539" s="75"/>
      <c r="F539" s="75"/>
      <c r="G539" s="75"/>
    </row>
    <row r="540" spans="2:7" x14ac:dyDescent="0.2">
      <c r="B540" s="75"/>
      <c r="C540" s="75"/>
      <c r="D540" s="76"/>
      <c r="E540" s="75"/>
      <c r="F540" s="75"/>
      <c r="G540" s="75"/>
    </row>
    <row r="541" spans="2:7" x14ac:dyDescent="0.2">
      <c r="B541" s="75"/>
      <c r="C541" s="75"/>
      <c r="D541" s="76"/>
      <c r="E541" s="75"/>
      <c r="F541" s="75"/>
      <c r="G541" s="75"/>
    </row>
    <row r="542" spans="2:7" x14ac:dyDescent="0.2">
      <c r="B542" s="75"/>
      <c r="C542" s="75"/>
      <c r="D542" s="76"/>
      <c r="E542" s="75"/>
      <c r="F542" s="75"/>
      <c r="G542" s="75"/>
    </row>
    <row r="543" spans="2:7" x14ac:dyDescent="0.2">
      <c r="B543" s="75"/>
      <c r="C543" s="75"/>
      <c r="D543" s="76"/>
      <c r="E543" s="75"/>
      <c r="F543" s="75"/>
      <c r="G543" s="75"/>
    </row>
    <row r="544" spans="2:7" x14ac:dyDescent="0.2">
      <c r="B544" s="75"/>
      <c r="C544" s="75"/>
      <c r="D544" s="76"/>
      <c r="E544" s="75"/>
      <c r="F544" s="75"/>
      <c r="G544" s="75"/>
    </row>
    <row r="545" spans="2:7" x14ac:dyDescent="0.2">
      <c r="B545" s="75"/>
      <c r="C545" s="75"/>
      <c r="D545" s="76"/>
      <c r="E545" s="75"/>
      <c r="F545" s="75"/>
      <c r="G545" s="75"/>
    </row>
    <row r="546" spans="2:7" x14ac:dyDescent="0.2">
      <c r="B546" s="75"/>
      <c r="C546" s="75"/>
      <c r="D546" s="76"/>
      <c r="E546" s="75"/>
      <c r="F546" s="75"/>
      <c r="G546" s="75"/>
    </row>
    <row r="547" spans="2:7" x14ac:dyDescent="0.2">
      <c r="B547" s="75"/>
      <c r="C547" s="75"/>
      <c r="D547" s="76"/>
      <c r="E547" s="75"/>
      <c r="F547" s="75"/>
      <c r="G547" s="75"/>
    </row>
    <row r="548" spans="2:7" x14ac:dyDescent="0.2">
      <c r="B548" s="75"/>
      <c r="C548" s="75"/>
      <c r="D548" s="76"/>
      <c r="E548" s="75"/>
      <c r="F548" s="75"/>
      <c r="G548" s="75"/>
    </row>
    <row r="549" spans="2:7" x14ac:dyDescent="0.2">
      <c r="B549" s="75"/>
      <c r="C549" s="75"/>
      <c r="D549" s="76"/>
      <c r="E549" s="75"/>
      <c r="F549" s="75"/>
      <c r="G549" s="75"/>
    </row>
    <row r="550" spans="2:7" x14ac:dyDescent="0.2">
      <c r="B550" s="75"/>
      <c r="C550" s="75"/>
      <c r="D550" s="76"/>
      <c r="E550" s="75"/>
      <c r="F550" s="75"/>
      <c r="G550" s="75"/>
    </row>
    <row r="551" spans="2:7" x14ac:dyDescent="0.2">
      <c r="B551" s="75"/>
      <c r="C551" s="75"/>
      <c r="D551" s="76"/>
      <c r="E551" s="75"/>
      <c r="F551" s="75"/>
      <c r="G551" s="75"/>
    </row>
    <row r="552" spans="2:7" x14ac:dyDescent="0.2">
      <c r="B552" s="75"/>
      <c r="C552" s="75"/>
      <c r="D552" s="76"/>
      <c r="E552" s="75"/>
      <c r="F552" s="75"/>
      <c r="G552" s="75"/>
    </row>
    <row r="553" spans="2:7" x14ac:dyDescent="0.2">
      <c r="B553" s="75"/>
      <c r="C553" s="75"/>
      <c r="D553" s="76"/>
      <c r="E553" s="75"/>
      <c r="F553" s="75"/>
      <c r="G553" s="75"/>
    </row>
    <row r="554" spans="2:7" x14ac:dyDescent="0.2">
      <c r="B554" s="75"/>
      <c r="C554" s="75"/>
      <c r="D554" s="76"/>
      <c r="E554" s="75"/>
      <c r="F554" s="75"/>
      <c r="G554" s="75"/>
    </row>
    <row r="555" spans="2:7" x14ac:dyDescent="0.2">
      <c r="B555" s="75"/>
      <c r="C555" s="75"/>
      <c r="D555" s="76"/>
      <c r="E555" s="75"/>
      <c r="F555" s="75"/>
      <c r="G555" s="75"/>
    </row>
    <row r="556" spans="2:7" x14ac:dyDescent="0.2">
      <c r="B556" s="75"/>
      <c r="C556" s="75"/>
      <c r="D556" s="76"/>
      <c r="E556" s="75"/>
      <c r="F556" s="75"/>
      <c r="G556" s="75"/>
    </row>
    <row r="557" spans="2:7" x14ac:dyDescent="0.2">
      <c r="B557" s="75"/>
      <c r="C557" s="75"/>
      <c r="D557" s="76"/>
      <c r="E557" s="75"/>
      <c r="F557" s="75"/>
      <c r="G557" s="75"/>
    </row>
    <row r="558" spans="2:7" x14ac:dyDescent="0.2">
      <c r="B558" s="75"/>
      <c r="C558" s="75"/>
      <c r="D558" s="76"/>
      <c r="E558" s="75"/>
      <c r="F558" s="75"/>
      <c r="G558" s="75"/>
    </row>
    <row r="559" spans="2:7" x14ac:dyDescent="0.2">
      <c r="B559" s="75"/>
      <c r="C559" s="75"/>
      <c r="D559" s="76"/>
      <c r="E559" s="75"/>
      <c r="F559" s="75"/>
      <c r="G559" s="75"/>
    </row>
    <row r="560" spans="2:7" x14ac:dyDescent="0.2">
      <c r="B560" s="75"/>
      <c r="C560" s="75"/>
      <c r="D560" s="76"/>
      <c r="E560" s="75"/>
      <c r="F560" s="75"/>
      <c r="G560" s="75"/>
    </row>
    <row r="561" spans="2:7" x14ac:dyDescent="0.2">
      <c r="B561" s="75"/>
      <c r="C561" s="75"/>
      <c r="D561" s="76"/>
      <c r="E561" s="75"/>
      <c r="F561" s="75"/>
      <c r="G561" s="75"/>
    </row>
    <row r="562" spans="2:7" x14ac:dyDescent="0.2">
      <c r="B562" s="75"/>
      <c r="C562" s="75"/>
      <c r="D562" s="76"/>
      <c r="E562" s="75"/>
      <c r="F562" s="75"/>
      <c r="G562" s="75"/>
    </row>
    <row r="563" spans="2:7" x14ac:dyDescent="0.2">
      <c r="B563" s="75"/>
      <c r="C563" s="75"/>
      <c r="D563" s="76"/>
      <c r="E563" s="75"/>
      <c r="F563" s="75"/>
      <c r="G563" s="75"/>
    </row>
    <row r="564" spans="2:7" x14ac:dyDescent="0.2">
      <c r="B564" s="75"/>
      <c r="C564" s="75"/>
      <c r="D564" s="76"/>
      <c r="E564" s="75"/>
      <c r="F564" s="75"/>
      <c r="G564" s="75"/>
    </row>
    <row r="565" spans="2:7" x14ac:dyDescent="0.2">
      <c r="B565" s="75"/>
      <c r="C565" s="75"/>
      <c r="D565" s="76"/>
      <c r="E565" s="75"/>
      <c r="F565" s="75"/>
      <c r="G565" s="75"/>
    </row>
    <row r="566" spans="2:7" x14ac:dyDescent="0.2">
      <c r="B566" s="75"/>
      <c r="C566" s="75"/>
      <c r="D566" s="76"/>
      <c r="E566" s="75"/>
      <c r="F566" s="75"/>
      <c r="G566" s="75"/>
    </row>
    <row r="567" spans="2:7" x14ac:dyDescent="0.2">
      <c r="B567" s="75"/>
      <c r="C567" s="75"/>
      <c r="D567" s="76"/>
      <c r="E567" s="75"/>
      <c r="F567" s="75"/>
      <c r="G567" s="75"/>
    </row>
    <row r="568" spans="2:7" x14ac:dyDescent="0.2">
      <c r="B568" s="75"/>
      <c r="C568" s="75"/>
      <c r="D568" s="76"/>
      <c r="E568" s="75"/>
      <c r="F568" s="75"/>
      <c r="G568" s="75"/>
    </row>
    <row r="569" spans="2:7" x14ac:dyDescent="0.2">
      <c r="B569" s="75"/>
      <c r="C569" s="75"/>
      <c r="D569" s="76"/>
      <c r="E569" s="75"/>
      <c r="F569" s="75"/>
      <c r="G569" s="75"/>
    </row>
    <row r="570" spans="2:7" x14ac:dyDescent="0.2">
      <c r="B570" s="75"/>
      <c r="C570" s="75"/>
      <c r="D570" s="76"/>
      <c r="E570" s="75"/>
      <c r="F570" s="75"/>
      <c r="G570" s="75"/>
    </row>
    <row r="571" spans="2:7" x14ac:dyDescent="0.2">
      <c r="B571" s="75"/>
      <c r="C571" s="75"/>
      <c r="D571" s="76"/>
      <c r="E571" s="75"/>
      <c r="F571" s="75"/>
      <c r="G571" s="75"/>
    </row>
    <row r="572" spans="2:7" x14ac:dyDescent="0.2">
      <c r="B572" s="75"/>
      <c r="C572" s="75"/>
      <c r="D572" s="76"/>
      <c r="E572" s="75"/>
      <c r="F572" s="75"/>
      <c r="G572" s="75"/>
    </row>
    <row r="573" spans="2:7" x14ac:dyDescent="0.2">
      <c r="B573" s="75"/>
      <c r="C573" s="75"/>
      <c r="D573" s="76"/>
      <c r="E573" s="75"/>
      <c r="F573" s="75"/>
      <c r="G573" s="75"/>
    </row>
    <row r="574" spans="2:7" x14ac:dyDescent="0.2">
      <c r="B574" s="75"/>
      <c r="C574" s="75"/>
      <c r="D574" s="76"/>
      <c r="E574" s="75"/>
      <c r="F574" s="75"/>
      <c r="G574" s="75"/>
    </row>
    <row r="575" spans="2:7" x14ac:dyDescent="0.2">
      <c r="B575" s="75"/>
      <c r="C575" s="75"/>
      <c r="D575" s="76"/>
      <c r="E575" s="75"/>
      <c r="F575" s="75"/>
      <c r="G575" s="75"/>
    </row>
    <row r="576" spans="2:7" x14ac:dyDescent="0.2">
      <c r="B576" s="75"/>
      <c r="C576" s="75"/>
      <c r="D576" s="76"/>
      <c r="E576" s="75"/>
      <c r="F576" s="75"/>
      <c r="G576" s="75"/>
    </row>
    <row r="577" spans="2:7" x14ac:dyDescent="0.2">
      <c r="B577" s="75"/>
      <c r="C577" s="75"/>
      <c r="D577" s="76"/>
      <c r="E577" s="75"/>
      <c r="F577" s="75"/>
      <c r="G577" s="75"/>
    </row>
    <row r="578" spans="2:7" x14ac:dyDescent="0.2">
      <c r="B578" s="75"/>
      <c r="C578" s="75"/>
      <c r="D578" s="76"/>
      <c r="E578" s="75"/>
      <c r="F578" s="75"/>
      <c r="G578" s="75"/>
    </row>
    <row r="579" spans="2:7" x14ac:dyDescent="0.2">
      <c r="B579" s="75"/>
      <c r="C579" s="75"/>
      <c r="D579" s="76"/>
      <c r="E579" s="75"/>
      <c r="F579" s="75"/>
      <c r="G579" s="75"/>
    </row>
    <row r="580" spans="2:7" x14ac:dyDescent="0.2">
      <c r="B580" s="75"/>
      <c r="C580" s="75"/>
      <c r="D580" s="76"/>
      <c r="E580" s="75"/>
      <c r="F580" s="75"/>
      <c r="G580" s="75"/>
    </row>
    <row r="581" spans="2:7" x14ac:dyDescent="0.2">
      <c r="B581" s="75"/>
      <c r="C581" s="75"/>
      <c r="D581" s="76"/>
      <c r="E581" s="75"/>
      <c r="F581" s="75"/>
      <c r="G581" s="75"/>
    </row>
    <row r="582" spans="2:7" x14ac:dyDescent="0.2">
      <c r="B582" s="75"/>
      <c r="C582" s="75"/>
      <c r="D582" s="76"/>
      <c r="E582" s="75"/>
      <c r="F582" s="75"/>
      <c r="G582" s="75"/>
    </row>
    <row r="583" spans="2:7" x14ac:dyDescent="0.2">
      <c r="B583" s="75"/>
      <c r="C583" s="75"/>
      <c r="D583" s="76"/>
      <c r="E583" s="75"/>
      <c r="F583" s="75"/>
      <c r="G583" s="75"/>
    </row>
    <row r="584" spans="2:7" x14ac:dyDescent="0.2">
      <c r="B584" s="75"/>
      <c r="C584" s="75"/>
      <c r="D584" s="76"/>
      <c r="E584" s="75"/>
      <c r="F584" s="75"/>
      <c r="G584" s="75"/>
    </row>
    <row r="585" spans="2:7" x14ac:dyDescent="0.2">
      <c r="B585" s="75"/>
      <c r="C585" s="75"/>
      <c r="D585" s="76"/>
      <c r="E585" s="75"/>
      <c r="F585" s="75"/>
      <c r="G585" s="75"/>
    </row>
    <row r="586" spans="2:7" x14ac:dyDescent="0.2">
      <c r="B586" s="75"/>
      <c r="C586" s="75"/>
      <c r="D586" s="76"/>
      <c r="E586" s="75"/>
      <c r="F586" s="75"/>
      <c r="G586" s="75"/>
    </row>
    <row r="587" spans="2:7" x14ac:dyDescent="0.2">
      <c r="B587" s="75"/>
      <c r="C587" s="75"/>
      <c r="D587" s="76"/>
      <c r="E587" s="75"/>
      <c r="F587" s="75"/>
      <c r="G587" s="75"/>
    </row>
    <row r="588" spans="2:7" x14ac:dyDescent="0.2">
      <c r="B588" s="75"/>
      <c r="C588" s="75"/>
      <c r="D588" s="76"/>
      <c r="E588" s="75"/>
      <c r="F588" s="75"/>
      <c r="G588" s="75"/>
    </row>
    <row r="589" spans="2:7" x14ac:dyDescent="0.2">
      <c r="B589" s="75"/>
      <c r="C589" s="75"/>
      <c r="D589" s="76"/>
      <c r="E589" s="75"/>
      <c r="F589" s="75"/>
      <c r="G589" s="75"/>
    </row>
    <row r="590" spans="2:7" x14ac:dyDescent="0.2">
      <c r="B590" s="75"/>
      <c r="C590" s="75"/>
      <c r="D590" s="76"/>
      <c r="E590" s="75"/>
      <c r="F590" s="75"/>
      <c r="G590" s="75"/>
    </row>
    <row r="591" spans="2:7" x14ac:dyDescent="0.2">
      <c r="B591" s="75"/>
      <c r="C591" s="75"/>
      <c r="D591" s="76"/>
      <c r="E591" s="75"/>
      <c r="F591" s="75"/>
      <c r="G591" s="75"/>
    </row>
    <row r="592" spans="2:7" x14ac:dyDescent="0.2">
      <c r="B592" s="75"/>
      <c r="C592" s="75"/>
      <c r="D592" s="76"/>
      <c r="E592" s="75"/>
      <c r="F592" s="75"/>
      <c r="G592" s="75"/>
    </row>
    <row r="593" spans="2:7" x14ac:dyDescent="0.2">
      <c r="B593" s="75"/>
      <c r="C593" s="75"/>
      <c r="D593" s="76"/>
      <c r="E593" s="75"/>
      <c r="F593" s="75"/>
      <c r="G593" s="75"/>
    </row>
    <row r="594" spans="2:7" x14ac:dyDescent="0.2">
      <c r="B594" s="75"/>
      <c r="C594" s="75"/>
      <c r="D594" s="76"/>
      <c r="E594" s="75"/>
      <c r="F594" s="75"/>
      <c r="G594" s="75"/>
    </row>
    <row r="595" spans="2:7" x14ac:dyDescent="0.2">
      <c r="B595" s="75"/>
      <c r="C595" s="75"/>
      <c r="D595" s="76"/>
      <c r="E595" s="75"/>
      <c r="F595" s="75"/>
      <c r="G595" s="75"/>
    </row>
    <row r="596" spans="2:7" x14ac:dyDescent="0.2">
      <c r="B596" s="75"/>
      <c r="C596" s="75"/>
      <c r="D596" s="76"/>
      <c r="E596" s="75"/>
      <c r="F596" s="75"/>
      <c r="G596" s="75"/>
    </row>
    <row r="597" spans="2:7" x14ac:dyDescent="0.2">
      <c r="B597" s="75"/>
      <c r="C597" s="75"/>
      <c r="D597" s="76"/>
      <c r="E597" s="75"/>
      <c r="F597" s="75"/>
      <c r="G597" s="75"/>
    </row>
    <row r="598" spans="2:7" x14ac:dyDescent="0.2">
      <c r="B598" s="75"/>
      <c r="C598" s="75"/>
      <c r="D598" s="76"/>
      <c r="E598" s="75"/>
      <c r="F598" s="75"/>
      <c r="G598" s="75"/>
    </row>
    <row r="599" spans="2:7" x14ac:dyDescent="0.2">
      <c r="B599" s="75"/>
      <c r="C599" s="75"/>
      <c r="D599" s="76"/>
      <c r="E599" s="75"/>
      <c r="F599" s="75"/>
      <c r="G599" s="75"/>
    </row>
    <row r="600" spans="2:7" x14ac:dyDescent="0.2">
      <c r="B600" s="75"/>
      <c r="C600" s="75"/>
      <c r="D600" s="76"/>
      <c r="E600" s="75"/>
      <c r="F600" s="75"/>
      <c r="G600" s="75"/>
    </row>
    <row r="601" spans="2:7" x14ac:dyDescent="0.2">
      <c r="B601" s="75"/>
      <c r="C601" s="75"/>
      <c r="D601" s="76"/>
      <c r="E601" s="75"/>
      <c r="F601" s="75"/>
      <c r="G601" s="75"/>
    </row>
    <row r="602" spans="2:7" x14ac:dyDescent="0.2">
      <c r="B602" s="75"/>
      <c r="C602" s="75"/>
      <c r="D602" s="76"/>
      <c r="E602" s="75"/>
      <c r="F602" s="75"/>
      <c r="G602" s="75"/>
    </row>
    <row r="603" spans="2:7" x14ac:dyDescent="0.2">
      <c r="B603" s="75"/>
      <c r="C603" s="75"/>
      <c r="D603" s="76"/>
      <c r="E603" s="75"/>
      <c r="F603" s="75"/>
      <c r="G603" s="75"/>
    </row>
    <row r="604" spans="2:7" x14ac:dyDescent="0.2">
      <c r="B604" s="75"/>
      <c r="C604" s="75"/>
      <c r="D604" s="76"/>
      <c r="E604" s="75"/>
      <c r="F604" s="75"/>
      <c r="G604" s="75"/>
    </row>
    <row r="605" spans="2:7" x14ac:dyDescent="0.2">
      <c r="B605" s="75"/>
      <c r="C605" s="75"/>
      <c r="D605" s="76"/>
      <c r="E605" s="75"/>
      <c r="F605" s="75"/>
      <c r="G605" s="75"/>
    </row>
    <row r="606" spans="2:7" x14ac:dyDescent="0.2">
      <c r="B606" s="75"/>
      <c r="C606" s="75"/>
      <c r="D606" s="76"/>
      <c r="E606" s="75"/>
      <c r="F606" s="75"/>
      <c r="G606" s="75"/>
    </row>
    <row r="607" spans="2:7" x14ac:dyDescent="0.2">
      <c r="B607" s="75"/>
      <c r="C607" s="75"/>
      <c r="D607" s="76"/>
      <c r="E607" s="75"/>
      <c r="F607" s="75"/>
      <c r="G607" s="75"/>
    </row>
    <row r="608" spans="2:7" x14ac:dyDescent="0.2">
      <c r="B608" s="75"/>
      <c r="C608" s="75"/>
      <c r="D608" s="76"/>
      <c r="E608" s="75"/>
      <c r="F608" s="75"/>
      <c r="G608" s="75"/>
    </row>
    <row r="609" spans="2:7" x14ac:dyDescent="0.2">
      <c r="B609" s="75"/>
      <c r="C609" s="75"/>
      <c r="D609" s="76"/>
      <c r="E609" s="75"/>
      <c r="F609" s="75"/>
      <c r="G609" s="75"/>
    </row>
    <row r="610" spans="2:7" x14ac:dyDescent="0.2">
      <c r="B610" s="75"/>
      <c r="C610" s="75"/>
      <c r="D610" s="76"/>
      <c r="E610" s="75"/>
      <c r="F610" s="75"/>
      <c r="G610" s="75"/>
    </row>
    <row r="611" spans="2:7" x14ac:dyDescent="0.2">
      <c r="B611" s="75"/>
      <c r="C611" s="75"/>
      <c r="D611" s="76"/>
      <c r="E611" s="75"/>
      <c r="F611" s="75"/>
      <c r="G611" s="75"/>
    </row>
    <row r="612" spans="2:7" x14ac:dyDescent="0.2">
      <c r="B612" s="75"/>
      <c r="C612" s="75"/>
      <c r="D612" s="76"/>
      <c r="E612" s="75"/>
      <c r="F612" s="75"/>
      <c r="G612" s="75"/>
    </row>
    <row r="613" spans="2:7" x14ac:dyDescent="0.2">
      <c r="B613" s="75"/>
      <c r="C613" s="75"/>
      <c r="D613" s="76"/>
      <c r="E613" s="75"/>
      <c r="F613" s="75"/>
      <c r="G613" s="75"/>
    </row>
    <row r="614" spans="2:7" x14ac:dyDescent="0.2">
      <c r="B614" s="75"/>
      <c r="C614" s="75"/>
      <c r="D614" s="76"/>
      <c r="E614" s="75"/>
      <c r="F614" s="75"/>
      <c r="G614" s="75"/>
    </row>
    <row r="615" spans="2:7" x14ac:dyDescent="0.2">
      <c r="B615" s="75"/>
      <c r="C615" s="75"/>
      <c r="D615" s="76"/>
      <c r="E615" s="75"/>
      <c r="F615" s="75"/>
      <c r="G615" s="75"/>
    </row>
    <row r="616" spans="2:7" x14ac:dyDescent="0.2">
      <c r="B616" s="75"/>
      <c r="C616" s="75"/>
      <c r="D616" s="76"/>
      <c r="E616" s="75"/>
      <c r="F616" s="75"/>
      <c r="G616" s="75"/>
    </row>
    <row r="617" spans="2:7" x14ac:dyDescent="0.2">
      <c r="B617" s="75"/>
      <c r="C617" s="75"/>
      <c r="D617" s="76"/>
      <c r="E617" s="75"/>
      <c r="F617" s="75"/>
      <c r="G617" s="75"/>
    </row>
    <row r="618" spans="2:7" x14ac:dyDescent="0.2">
      <c r="B618" s="75"/>
      <c r="C618" s="75"/>
      <c r="D618" s="76"/>
      <c r="E618" s="75"/>
      <c r="F618" s="75"/>
      <c r="G618" s="75"/>
    </row>
    <row r="619" spans="2:7" x14ac:dyDescent="0.2">
      <c r="B619" s="75"/>
      <c r="C619" s="75"/>
      <c r="D619" s="76"/>
      <c r="E619" s="75"/>
      <c r="F619" s="75"/>
      <c r="G619" s="75"/>
    </row>
    <row r="620" spans="2:7" x14ac:dyDescent="0.2">
      <c r="B620" s="75"/>
      <c r="C620" s="75"/>
      <c r="D620" s="76"/>
      <c r="E620" s="75"/>
      <c r="F620" s="75"/>
      <c r="G620" s="75"/>
    </row>
    <row r="621" spans="2:7" x14ac:dyDescent="0.2">
      <c r="B621" s="75"/>
      <c r="C621" s="75"/>
      <c r="D621" s="76"/>
      <c r="E621" s="75"/>
      <c r="F621" s="75"/>
      <c r="G621" s="75"/>
    </row>
    <row r="622" spans="2:7" x14ac:dyDescent="0.2">
      <c r="B622" s="75"/>
      <c r="C622" s="75"/>
      <c r="D622" s="76"/>
      <c r="E622" s="75"/>
      <c r="F622" s="75"/>
      <c r="G622" s="75"/>
    </row>
    <row r="623" spans="2:7" x14ac:dyDescent="0.2">
      <c r="B623" s="75"/>
      <c r="C623" s="75"/>
      <c r="D623" s="76"/>
      <c r="E623" s="75"/>
      <c r="F623" s="75"/>
      <c r="G623" s="75"/>
    </row>
    <row r="624" spans="2:7" x14ac:dyDescent="0.2">
      <c r="B624" s="75"/>
      <c r="C624" s="75"/>
      <c r="D624" s="76"/>
      <c r="E624" s="75"/>
      <c r="F624" s="75"/>
      <c r="G624" s="75"/>
    </row>
    <row r="625" spans="2:7" x14ac:dyDescent="0.2">
      <c r="B625" s="75"/>
      <c r="C625" s="75"/>
      <c r="D625" s="76"/>
      <c r="E625" s="75"/>
      <c r="F625" s="75"/>
      <c r="G625" s="75"/>
    </row>
    <row r="626" spans="2:7" x14ac:dyDescent="0.2">
      <c r="B626" s="75"/>
      <c r="C626" s="75"/>
      <c r="D626" s="76"/>
      <c r="E626" s="75"/>
      <c r="F626" s="75"/>
      <c r="G626" s="75"/>
    </row>
    <row r="627" spans="2:7" x14ac:dyDescent="0.2">
      <c r="B627" s="75"/>
      <c r="C627" s="75"/>
      <c r="D627" s="76"/>
      <c r="E627" s="75"/>
      <c r="F627" s="75"/>
      <c r="G627" s="75"/>
    </row>
    <row r="628" spans="2:7" x14ac:dyDescent="0.2">
      <c r="B628" s="75"/>
      <c r="C628" s="75"/>
      <c r="D628" s="76"/>
      <c r="E628" s="75"/>
      <c r="F628" s="75"/>
      <c r="G628" s="75"/>
    </row>
    <row r="629" spans="2:7" x14ac:dyDescent="0.2">
      <c r="B629" s="75"/>
      <c r="C629" s="75"/>
      <c r="D629" s="76"/>
      <c r="E629" s="75"/>
      <c r="F629" s="75"/>
      <c r="G629" s="75"/>
    </row>
    <row r="630" spans="2:7" x14ac:dyDescent="0.2">
      <c r="B630" s="75"/>
      <c r="C630" s="75"/>
      <c r="D630" s="76"/>
      <c r="E630" s="75"/>
      <c r="F630" s="75"/>
      <c r="G630" s="75"/>
    </row>
    <row r="631" spans="2:7" x14ac:dyDescent="0.2">
      <c r="B631" s="75"/>
      <c r="C631" s="75"/>
      <c r="D631" s="76"/>
      <c r="E631" s="75"/>
      <c r="F631" s="75"/>
      <c r="G631" s="75"/>
    </row>
    <row r="632" spans="2:7" x14ac:dyDescent="0.2">
      <c r="B632" s="75"/>
      <c r="C632" s="75"/>
      <c r="D632" s="76"/>
      <c r="E632" s="75"/>
      <c r="F632" s="75"/>
      <c r="G632" s="75"/>
    </row>
    <row r="633" spans="2:7" x14ac:dyDescent="0.2">
      <c r="B633" s="75"/>
      <c r="C633" s="75"/>
      <c r="D633" s="76"/>
      <c r="E633" s="75"/>
      <c r="F633" s="75"/>
      <c r="G633" s="75"/>
    </row>
    <row r="634" spans="2:7" x14ac:dyDescent="0.2">
      <c r="B634" s="75"/>
      <c r="C634" s="75"/>
      <c r="D634" s="76"/>
      <c r="E634" s="75"/>
      <c r="F634" s="75"/>
      <c r="G634" s="75"/>
    </row>
    <row r="635" spans="2:7" x14ac:dyDescent="0.2">
      <c r="B635" s="75"/>
      <c r="C635" s="75"/>
      <c r="D635" s="76"/>
      <c r="E635" s="75"/>
      <c r="F635" s="75"/>
      <c r="G635" s="75"/>
    </row>
    <row r="636" spans="2:7" x14ac:dyDescent="0.2">
      <c r="B636" s="75"/>
      <c r="C636" s="75"/>
      <c r="D636" s="76"/>
      <c r="E636" s="75"/>
      <c r="F636" s="75"/>
      <c r="G636" s="75"/>
    </row>
    <row r="637" spans="2:7" x14ac:dyDescent="0.2">
      <c r="B637" s="75"/>
      <c r="C637" s="75"/>
      <c r="D637" s="76"/>
      <c r="E637" s="75"/>
      <c r="F637" s="75"/>
      <c r="G637" s="75"/>
    </row>
    <row r="638" spans="2:7" x14ac:dyDescent="0.2">
      <c r="B638" s="75"/>
      <c r="C638" s="75"/>
      <c r="D638" s="76"/>
      <c r="E638" s="75"/>
      <c r="F638" s="75"/>
      <c r="G638" s="75"/>
    </row>
    <row r="639" spans="2:7" x14ac:dyDescent="0.2">
      <c r="B639" s="75"/>
      <c r="C639" s="75"/>
      <c r="D639" s="76"/>
      <c r="E639" s="75"/>
      <c r="F639" s="75"/>
      <c r="G639" s="75"/>
    </row>
    <row r="640" spans="2:7" x14ac:dyDescent="0.2">
      <c r="B640" s="75"/>
      <c r="C640" s="75"/>
      <c r="D640" s="76"/>
      <c r="E640" s="75"/>
      <c r="F640" s="75"/>
      <c r="G640" s="75"/>
    </row>
    <row r="641" spans="2:7" x14ac:dyDescent="0.2">
      <c r="B641" s="75"/>
      <c r="C641" s="75"/>
      <c r="D641" s="76"/>
      <c r="E641" s="75"/>
      <c r="F641" s="75"/>
      <c r="G641" s="75"/>
    </row>
    <row r="642" spans="2:7" x14ac:dyDescent="0.2">
      <c r="B642" s="75"/>
      <c r="C642" s="75"/>
      <c r="D642" s="76"/>
      <c r="E642" s="75"/>
      <c r="F642" s="75"/>
      <c r="G642" s="75"/>
    </row>
    <row r="643" spans="2:7" x14ac:dyDescent="0.2">
      <c r="B643" s="75"/>
      <c r="C643" s="75"/>
      <c r="D643" s="76"/>
      <c r="E643" s="75"/>
      <c r="F643" s="75"/>
      <c r="G643" s="75"/>
    </row>
    <row r="644" spans="2:7" x14ac:dyDescent="0.2">
      <c r="B644" s="75"/>
      <c r="C644" s="75"/>
      <c r="D644" s="76"/>
      <c r="E644" s="75"/>
      <c r="F644" s="75"/>
      <c r="G644" s="75"/>
    </row>
    <row r="645" spans="2:7" x14ac:dyDescent="0.2">
      <c r="B645" s="75"/>
      <c r="C645" s="75"/>
      <c r="D645" s="76"/>
      <c r="E645" s="75"/>
      <c r="F645" s="75"/>
      <c r="G645" s="75"/>
    </row>
    <row r="646" spans="2:7" x14ac:dyDescent="0.2">
      <c r="B646" s="75"/>
      <c r="C646" s="75"/>
      <c r="D646" s="76"/>
      <c r="E646" s="75"/>
      <c r="F646" s="75"/>
      <c r="G646" s="75"/>
    </row>
    <row r="647" spans="2:7" x14ac:dyDescent="0.2">
      <c r="B647" s="75"/>
      <c r="C647" s="75"/>
      <c r="D647" s="76"/>
      <c r="E647" s="75"/>
      <c r="F647" s="75"/>
      <c r="G647" s="75"/>
    </row>
    <row r="648" spans="2:7" x14ac:dyDescent="0.2">
      <c r="B648" s="75"/>
      <c r="C648" s="75"/>
      <c r="D648" s="76"/>
      <c r="E648" s="75"/>
      <c r="F648" s="75"/>
      <c r="G648" s="75"/>
    </row>
    <row r="649" spans="2:7" x14ac:dyDescent="0.2">
      <c r="B649" s="75"/>
      <c r="C649" s="75"/>
      <c r="D649" s="76"/>
      <c r="E649" s="75"/>
      <c r="F649" s="75"/>
      <c r="G649" s="75"/>
    </row>
    <row r="650" spans="2:7" x14ac:dyDescent="0.2">
      <c r="B650" s="75"/>
      <c r="C650" s="75"/>
      <c r="D650" s="76"/>
      <c r="E650" s="75"/>
      <c r="F650" s="75"/>
      <c r="G650" s="75"/>
    </row>
    <row r="651" spans="2:7" x14ac:dyDescent="0.2">
      <c r="B651" s="75"/>
      <c r="C651" s="75"/>
      <c r="D651" s="76"/>
      <c r="E651" s="75"/>
      <c r="F651" s="75"/>
      <c r="G651" s="75"/>
    </row>
    <row r="652" spans="2:7" x14ac:dyDescent="0.2">
      <c r="B652" s="75"/>
      <c r="C652" s="75"/>
      <c r="D652" s="76"/>
      <c r="E652" s="75"/>
      <c r="F652" s="75"/>
      <c r="G652" s="75"/>
    </row>
    <row r="653" spans="2:7" x14ac:dyDescent="0.2">
      <c r="B653" s="75"/>
      <c r="C653" s="75"/>
      <c r="D653" s="76"/>
      <c r="E653" s="75"/>
      <c r="F653" s="75"/>
      <c r="G653" s="75"/>
    </row>
    <row r="654" spans="2:7" x14ac:dyDescent="0.2">
      <c r="B654" s="75"/>
      <c r="C654" s="75"/>
      <c r="D654" s="76"/>
      <c r="E654" s="75"/>
      <c r="F654" s="75"/>
      <c r="G654" s="75"/>
    </row>
    <row r="655" spans="2:7" x14ac:dyDescent="0.2">
      <c r="B655" s="75"/>
      <c r="C655" s="75"/>
      <c r="D655" s="76"/>
      <c r="E655" s="75"/>
      <c r="F655" s="75"/>
      <c r="G655" s="75"/>
    </row>
    <row r="656" spans="2:7" x14ac:dyDescent="0.2">
      <c r="B656" s="75"/>
      <c r="C656" s="75"/>
      <c r="D656" s="76"/>
      <c r="E656" s="75"/>
      <c r="F656" s="75"/>
      <c r="G656" s="75"/>
    </row>
    <row r="657" spans="2:7" x14ac:dyDescent="0.2">
      <c r="B657" s="75"/>
      <c r="C657" s="75"/>
      <c r="D657" s="76"/>
      <c r="E657" s="75"/>
      <c r="F657" s="75"/>
      <c r="G657" s="75"/>
    </row>
    <row r="658" spans="2:7" x14ac:dyDescent="0.2">
      <c r="B658" s="75"/>
      <c r="C658" s="75"/>
      <c r="D658" s="76"/>
      <c r="E658" s="75"/>
      <c r="F658" s="75"/>
      <c r="G658" s="75"/>
    </row>
    <row r="659" spans="2:7" x14ac:dyDescent="0.2">
      <c r="B659" s="75"/>
      <c r="C659" s="75"/>
      <c r="D659" s="76"/>
      <c r="E659" s="75"/>
      <c r="F659" s="75"/>
      <c r="G659" s="75"/>
    </row>
    <row r="660" spans="2:7" x14ac:dyDescent="0.2">
      <c r="B660" s="75"/>
      <c r="C660" s="75"/>
      <c r="D660" s="76"/>
      <c r="E660" s="75"/>
      <c r="F660" s="75"/>
      <c r="G660" s="75"/>
    </row>
    <row r="661" spans="2:7" x14ac:dyDescent="0.2">
      <c r="B661" s="75"/>
      <c r="C661" s="75"/>
      <c r="D661" s="76"/>
      <c r="E661" s="75"/>
      <c r="F661" s="75"/>
      <c r="G661" s="75"/>
    </row>
    <row r="662" spans="2:7" x14ac:dyDescent="0.2">
      <c r="B662" s="75"/>
      <c r="C662" s="75"/>
      <c r="D662" s="76"/>
      <c r="E662" s="75"/>
      <c r="F662" s="75"/>
      <c r="G662" s="75"/>
    </row>
    <row r="663" spans="2:7" x14ac:dyDescent="0.2">
      <c r="B663" s="75"/>
      <c r="C663" s="75"/>
      <c r="D663" s="76"/>
      <c r="E663" s="75"/>
      <c r="F663" s="75"/>
      <c r="G663" s="75"/>
    </row>
    <row r="664" spans="2:7" x14ac:dyDescent="0.2">
      <c r="B664" s="75"/>
      <c r="C664" s="75"/>
      <c r="D664" s="76"/>
      <c r="E664" s="75"/>
      <c r="F664" s="75"/>
      <c r="G664" s="75"/>
    </row>
    <row r="665" spans="2:7" x14ac:dyDescent="0.2">
      <c r="B665" s="75"/>
      <c r="C665" s="75"/>
      <c r="D665" s="76"/>
      <c r="E665" s="75"/>
      <c r="F665" s="75"/>
      <c r="G665" s="75"/>
    </row>
    <row r="666" spans="2:7" x14ac:dyDescent="0.2">
      <c r="B666" s="75"/>
      <c r="C666" s="75"/>
      <c r="D666" s="76"/>
      <c r="E666" s="75"/>
      <c r="F666" s="75"/>
      <c r="G666" s="75"/>
    </row>
    <row r="667" spans="2:7" x14ac:dyDescent="0.2">
      <c r="B667" s="75"/>
      <c r="C667" s="75"/>
      <c r="D667" s="76"/>
      <c r="E667" s="75"/>
      <c r="F667" s="75"/>
      <c r="G667" s="75"/>
    </row>
    <row r="668" spans="2:7" x14ac:dyDescent="0.2">
      <c r="B668" s="75"/>
      <c r="C668" s="75"/>
      <c r="D668" s="76"/>
      <c r="E668" s="75"/>
      <c r="F668" s="75"/>
      <c r="G668" s="75"/>
    </row>
    <row r="669" spans="2:7" x14ac:dyDescent="0.2">
      <c r="B669" s="75"/>
      <c r="C669" s="75"/>
      <c r="D669" s="76"/>
      <c r="E669" s="75"/>
      <c r="F669" s="75"/>
      <c r="G669" s="75"/>
    </row>
    <row r="670" spans="2:7" x14ac:dyDescent="0.2">
      <c r="B670" s="75"/>
      <c r="C670" s="75"/>
      <c r="D670" s="76"/>
      <c r="E670" s="75"/>
      <c r="F670" s="75"/>
      <c r="G670" s="75"/>
    </row>
    <row r="671" spans="2:7" x14ac:dyDescent="0.2">
      <c r="B671" s="75"/>
      <c r="C671" s="75"/>
      <c r="D671" s="76"/>
      <c r="E671" s="75"/>
      <c r="F671" s="75"/>
      <c r="G671" s="75"/>
    </row>
    <row r="672" spans="2:7" x14ac:dyDescent="0.2">
      <c r="B672" s="75"/>
      <c r="C672" s="75"/>
      <c r="D672" s="76"/>
      <c r="E672" s="75"/>
      <c r="F672" s="75"/>
      <c r="G672" s="75"/>
    </row>
    <row r="673" spans="2:7" x14ac:dyDescent="0.2">
      <c r="B673" s="75"/>
      <c r="C673" s="75"/>
      <c r="D673" s="76"/>
      <c r="E673" s="75"/>
      <c r="F673" s="75"/>
      <c r="G673" s="75"/>
    </row>
    <row r="674" spans="2:7" x14ac:dyDescent="0.2">
      <c r="B674" s="75"/>
      <c r="C674" s="75"/>
      <c r="D674" s="76"/>
      <c r="E674" s="75"/>
      <c r="F674" s="75"/>
      <c r="G674" s="75"/>
    </row>
    <row r="675" spans="2:7" x14ac:dyDescent="0.2">
      <c r="B675" s="75"/>
      <c r="C675" s="75"/>
      <c r="D675" s="76"/>
      <c r="E675" s="75"/>
      <c r="F675" s="75"/>
      <c r="G675" s="75"/>
    </row>
    <row r="676" spans="2:7" x14ac:dyDescent="0.2">
      <c r="B676" s="75"/>
      <c r="C676" s="75"/>
      <c r="D676" s="76"/>
      <c r="E676" s="75"/>
      <c r="F676" s="75"/>
      <c r="G676" s="75"/>
    </row>
    <row r="677" spans="2:7" x14ac:dyDescent="0.2">
      <c r="B677" s="75"/>
      <c r="C677" s="75"/>
      <c r="D677" s="76"/>
      <c r="E677" s="75"/>
      <c r="F677" s="75"/>
      <c r="G677" s="75"/>
    </row>
    <row r="678" spans="2:7" x14ac:dyDescent="0.2">
      <c r="B678" s="75"/>
      <c r="C678" s="75"/>
      <c r="D678" s="76"/>
      <c r="E678" s="75"/>
      <c r="F678" s="75"/>
      <c r="G678" s="75"/>
    </row>
    <row r="679" spans="2:7" x14ac:dyDescent="0.2">
      <c r="B679" s="75"/>
      <c r="C679" s="75"/>
      <c r="D679" s="76"/>
      <c r="E679" s="75"/>
      <c r="F679" s="75"/>
      <c r="G679" s="75"/>
    </row>
    <row r="680" spans="2:7" x14ac:dyDescent="0.2">
      <c r="B680" s="75"/>
      <c r="C680" s="75"/>
      <c r="D680" s="76"/>
      <c r="E680" s="75"/>
      <c r="F680" s="75"/>
      <c r="G680" s="75"/>
    </row>
    <row r="681" spans="2:7" x14ac:dyDescent="0.2">
      <c r="B681" s="75"/>
      <c r="C681" s="75"/>
      <c r="D681" s="76"/>
      <c r="E681" s="75"/>
      <c r="F681" s="75"/>
      <c r="G681" s="75"/>
    </row>
    <row r="682" spans="2:7" x14ac:dyDescent="0.2">
      <c r="B682" s="75"/>
      <c r="C682" s="75"/>
      <c r="D682" s="76"/>
      <c r="E682" s="75"/>
      <c r="F682" s="75"/>
      <c r="G682" s="75"/>
    </row>
    <row r="683" spans="2:7" x14ac:dyDescent="0.2">
      <c r="B683" s="75"/>
      <c r="C683" s="75"/>
      <c r="D683" s="76"/>
      <c r="E683" s="75"/>
      <c r="F683" s="75"/>
      <c r="G683" s="75"/>
    </row>
    <row r="684" spans="2:7" x14ac:dyDescent="0.2">
      <c r="B684" s="75"/>
      <c r="C684" s="75"/>
      <c r="D684" s="76"/>
      <c r="E684" s="75"/>
      <c r="F684" s="75"/>
      <c r="G684" s="75"/>
    </row>
    <row r="685" spans="2:7" x14ac:dyDescent="0.2">
      <c r="B685" s="75"/>
      <c r="C685" s="75"/>
      <c r="D685" s="76"/>
      <c r="E685" s="75"/>
      <c r="F685" s="75"/>
      <c r="G685" s="75"/>
    </row>
    <row r="686" spans="2:7" x14ac:dyDescent="0.2">
      <c r="B686" s="75"/>
      <c r="C686" s="75"/>
      <c r="D686" s="76"/>
      <c r="E686" s="75"/>
      <c r="F686" s="75"/>
      <c r="G686" s="75"/>
    </row>
    <row r="687" spans="2:7" x14ac:dyDescent="0.2">
      <c r="B687" s="75"/>
      <c r="C687" s="75"/>
      <c r="D687" s="76"/>
      <c r="E687" s="75"/>
      <c r="F687" s="75"/>
      <c r="G687" s="75"/>
    </row>
    <row r="688" spans="2:7" x14ac:dyDescent="0.2">
      <c r="B688" s="75"/>
      <c r="C688" s="75"/>
      <c r="D688" s="76"/>
      <c r="E688" s="75"/>
      <c r="F688" s="75"/>
      <c r="G688" s="75"/>
    </row>
    <row r="689" spans="2:7" x14ac:dyDescent="0.2">
      <c r="B689" s="75"/>
      <c r="C689" s="75"/>
      <c r="D689" s="76"/>
      <c r="E689" s="75"/>
      <c r="F689" s="75"/>
      <c r="G689" s="75"/>
    </row>
    <row r="690" spans="2:7" x14ac:dyDescent="0.2">
      <c r="B690" s="75"/>
      <c r="C690" s="75"/>
      <c r="D690" s="76"/>
      <c r="E690" s="75"/>
      <c r="F690" s="75"/>
      <c r="G690" s="75"/>
    </row>
    <row r="691" spans="2:7" x14ac:dyDescent="0.2">
      <c r="B691" s="75"/>
      <c r="C691" s="75"/>
      <c r="D691" s="76"/>
      <c r="E691" s="75"/>
      <c r="F691" s="75"/>
      <c r="G691" s="75"/>
    </row>
    <row r="692" spans="2:7" x14ac:dyDescent="0.2">
      <c r="B692" s="75"/>
      <c r="C692" s="75"/>
      <c r="D692" s="76"/>
      <c r="E692" s="75"/>
      <c r="F692" s="75"/>
      <c r="G692" s="75"/>
    </row>
    <row r="693" spans="2:7" x14ac:dyDescent="0.2">
      <c r="B693" s="75"/>
      <c r="C693" s="75"/>
      <c r="D693" s="76"/>
      <c r="E693" s="75"/>
      <c r="F693" s="75"/>
      <c r="G693" s="75"/>
    </row>
    <row r="694" spans="2:7" x14ac:dyDescent="0.2">
      <c r="B694" s="75"/>
      <c r="C694" s="75"/>
      <c r="D694" s="76"/>
      <c r="E694" s="75"/>
      <c r="F694" s="75"/>
      <c r="G694" s="75"/>
    </row>
    <row r="695" spans="2:7" x14ac:dyDescent="0.2">
      <c r="B695" s="75"/>
      <c r="C695" s="75"/>
      <c r="D695" s="76"/>
      <c r="E695" s="75"/>
      <c r="F695" s="75"/>
      <c r="G695" s="75"/>
    </row>
    <row r="696" spans="2:7" x14ac:dyDescent="0.2">
      <c r="B696" s="75"/>
      <c r="C696" s="75"/>
      <c r="D696" s="76"/>
      <c r="E696" s="75"/>
      <c r="F696" s="75"/>
      <c r="G696" s="75"/>
    </row>
    <row r="697" spans="2:7" x14ac:dyDescent="0.2">
      <c r="B697" s="75"/>
      <c r="C697" s="75"/>
      <c r="D697" s="76"/>
      <c r="E697" s="75"/>
      <c r="F697" s="75"/>
      <c r="G697" s="75"/>
    </row>
    <row r="698" spans="2:7" x14ac:dyDescent="0.2">
      <c r="B698" s="75"/>
      <c r="C698" s="75"/>
      <c r="D698" s="76"/>
      <c r="E698" s="75"/>
      <c r="F698" s="75"/>
      <c r="G698" s="75"/>
    </row>
    <row r="699" spans="2:7" x14ac:dyDescent="0.2">
      <c r="B699" s="75"/>
      <c r="C699" s="75"/>
      <c r="D699" s="76"/>
      <c r="E699" s="75"/>
      <c r="F699" s="75"/>
      <c r="G699" s="75"/>
    </row>
    <row r="700" spans="2:7" x14ac:dyDescent="0.2">
      <c r="B700" s="75"/>
      <c r="C700" s="75"/>
      <c r="D700" s="76"/>
      <c r="E700" s="75"/>
      <c r="F700" s="75"/>
      <c r="G700" s="75"/>
    </row>
    <row r="701" spans="2:7" x14ac:dyDescent="0.2">
      <c r="B701" s="75"/>
      <c r="C701" s="75"/>
      <c r="D701" s="76"/>
      <c r="E701" s="75"/>
      <c r="F701" s="75"/>
      <c r="G701" s="75"/>
    </row>
    <row r="702" spans="2:7" x14ac:dyDescent="0.2">
      <c r="B702" s="75"/>
      <c r="C702" s="75"/>
      <c r="D702" s="76"/>
      <c r="E702" s="75"/>
      <c r="F702" s="75"/>
      <c r="G702" s="75"/>
    </row>
    <row r="703" spans="2:7" x14ac:dyDescent="0.2">
      <c r="B703" s="75"/>
      <c r="C703" s="75"/>
      <c r="D703" s="76"/>
      <c r="E703" s="75"/>
      <c r="F703" s="75"/>
      <c r="G703" s="75"/>
    </row>
    <row r="704" spans="2:7" x14ac:dyDescent="0.2">
      <c r="B704" s="75"/>
      <c r="C704" s="75"/>
      <c r="D704" s="76"/>
      <c r="E704" s="75"/>
      <c r="F704" s="75"/>
      <c r="G704" s="75"/>
    </row>
    <row r="705" spans="2:7" x14ac:dyDescent="0.2">
      <c r="B705" s="75"/>
      <c r="C705" s="75"/>
      <c r="D705" s="76"/>
      <c r="E705" s="75"/>
      <c r="F705" s="75"/>
      <c r="G705" s="75"/>
    </row>
    <row r="706" spans="2:7" x14ac:dyDescent="0.2">
      <c r="B706" s="75"/>
      <c r="C706" s="75"/>
      <c r="D706" s="76"/>
      <c r="E706" s="75"/>
      <c r="F706" s="75"/>
      <c r="G706" s="75"/>
    </row>
    <row r="707" spans="2:7" x14ac:dyDescent="0.2">
      <c r="B707" s="75"/>
      <c r="C707" s="75"/>
      <c r="D707" s="76"/>
      <c r="E707" s="75"/>
      <c r="F707" s="75"/>
      <c r="G707" s="75"/>
    </row>
    <row r="708" spans="2:7" x14ac:dyDescent="0.2">
      <c r="B708" s="75"/>
      <c r="C708" s="75"/>
      <c r="D708" s="76"/>
      <c r="E708" s="75"/>
      <c r="F708" s="75"/>
      <c r="G708" s="75"/>
    </row>
    <row r="709" spans="2:7" x14ac:dyDescent="0.2">
      <c r="B709" s="75"/>
      <c r="C709" s="75"/>
      <c r="D709" s="76"/>
      <c r="E709" s="75"/>
      <c r="F709" s="75"/>
      <c r="G709" s="75"/>
    </row>
    <row r="710" spans="2:7" x14ac:dyDescent="0.2">
      <c r="B710" s="75"/>
      <c r="C710" s="75"/>
      <c r="D710" s="76"/>
      <c r="E710" s="75"/>
      <c r="F710" s="75"/>
      <c r="G710" s="75"/>
    </row>
    <row r="711" spans="2:7" x14ac:dyDescent="0.2">
      <c r="B711" s="75"/>
      <c r="C711" s="75"/>
      <c r="D711" s="76"/>
      <c r="E711" s="75"/>
      <c r="F711" s="75"/>
      <c r="G711" s="75"/>
    </row>
    <row r="712" spans="2:7" x14ac:dyDescent="0.2">
      <c r="B712" s="75"/>
      <c r="C712" s="75"/>
      <c r="D712" s="76"/>
      <c r="E712" s="75"/>
      <c r="F712" s="75"/>
      <c r="G712" s="75"/>
    </row>
    <row r="713" spans="2:7" x14ac:dyDescent="0.2">
      <c r="B713" s="75"/>
      <c r="C713" s="75"/>
      <c r="D713" s="76"/>
      <c r="E713" s="75"/>
      <c r="F713" s="75"/>
      <c r="G713" s="75"/>
    </row>
    <row r="714" spans="2:7" x14ac:dyDescent="0.2">
      <c r="B714" s="75"/>
      <c r="C714" s="75"/>
      <c r="D714" s="76"/>
      <c r="E714" s="75"/>
      <c r="F714" s="75"/>
      <c r="G714" s="75"/>
    </row>
    <row r="715" spans="2:7" x14ac:dyDescent="0.2">
      <c r="B715" s="75"/>
      <c r="C715" s="75"/>
      <c r="D715" s="76"/>
      <c r="E715" s="75"/>
      <c r="F715" s="75"/>
      <c r="G715" s="75"/>
    </row>
    <row r="716" spans="2:7" x14ac:dyDescent="0.2">
      <c r="B716" s="75"/>
      <c r="C716" s="75"/>
      <c r="D716" s="76"/>
      <c r="E716" s="75"/>
      <c r="F716" s="75"/>
      <c r="G716" s="75"/>
    </row>
    <row r="717" spans="2:7" x14ac:dyDescent="0.2">
      <c r="B717" s="75"/>
      <c r="C717" s="75"/>
      <c r="D717" s="76"/>
      <c r="E717" s="75"/>
      <c r="F717" s="75"/>
      <c r="G717" s="75"/>
    </row>
    <row r="718" spans="2:7" x14ac:dyDescent="0.2">
      <c r="B718" s="75"/>
      <c r="C718" s="75"/>
      <c r="D718" s="76"/>
      <c r="E718" s="75"/>
      <c r="F718" s="75"/>
      <c r="G718" s="75"/>
    </row>
    <row r="719" spans="2:7" x14ac:dyDescent="0.2">
      <c r="B719" s="75"/>
      <c r="C719" s="75"/>
      <c r="D719" s="76"/>
      <c r="E719" s="75"/>
      <c r="F719" s="75"/>
      <c r="G719" s="75"/>
    </row>
    <row r="720" spans="2:7" x14ac:dyDescent="0.2">
      <c r="B720" s="75"/>
      <c r="C720" s="75"/>
      <c r="D720" s="76"/>
      <c r="E720" s="75"/>
      <c r="F720" s="75"/>
      <c r="G720" s="75"/>
    </row>
    <row r="721" spans="2:7" x14ac:dyDescent="0.2">
      <c r="B721" s="75"/>
      <c r="C721" s="75"/>
      <c r="D721" s="76"/>
      <c r="E721" s="75"/>
      <c r="F721" s="75"/>
      <c r="G721" s="75"/>
    </row>
    <row r="722" spans="2:7" x14ac:dyDescent="0.2">
      <c r="B722" s="75"/>
      <c r="C722" s="75"/>
      <c r="D722" s="76"/>
      <c r="E722" s="75"/>
      <c r="F722" s="75"/>
      <c r="G722" s="75"/>
    </row>
    <row r="723" spans="2:7" x14ac:dyDescent="0.2">
      <c r="B723" s="75"/>
      <c r="C723" s="75"/>
      <c r="D723" s="76"/>
      <c r="E723" s="75"/>
      <c r="F723" s="75"/>
      <c r="G723" s="75"/>
    </row>
    <row r="724" spans="2:7" x14ac:dyDescent="0.2">
      <c r="B724" s="75"/>
      <c r="C724" s="75"/>
      <c r="D724" s="76"/>
      <c r="E724" s="75"/>
      <c r="F724" s="75"/>
      <c r="G724" s="75"/>
    </row>
    <row r="725" spans="2:7" x14ac:dyDescent="0.2">
      <c r="B725" s="75"/>
      <c r="C725" s="75"/>
      <c r="D725" s="76"/>
      <c r="E725" s="75"/>
      <c r="F725" s="75"/>
      <c r="G725" s="75"/>
    </row>
    <row r="726" spans="2:7" x14ac:dyDescent="0.2">
      <c r="B726" s="75"/>
      <c r="C726" s="75"/>
      <c r="D726" s="76"/>
      <c r="E726" s="75"/>
      <c r="F726" s="75"/>
      <c r="G726" s="75"/>
    </row>
    <row r="727" spans="2:7" x14ac:dyDescent="0.2">
      <c r="B727" s="75"/>
      <c r="C727" s="75"/>
      <c r="D727" s="76"/>
      <c r="E727" s="75"/>
      <c r="F727" s="75"/>
      <c r="G727" s="75"/>
    </row>
    <row r="728" spans="2:7" x14ac:dyDescent="0.2">
      <c r="B728" s="75"/>
      <c r="C728" s="75"/>
      <c r="D728" s="76"/>
      <c r="E728" s="75"/>
      <c r="F728" s="75"/>
      <c r="G728" s="75"/>
    </row>
    <row r="729" spans="2:7" x14ac:dyDescent="0.2">
      <c r="B729" s="75"/>
      <c r="C729" s="75"/>
      <c r="D729" s="76"/>
      <c r="E729" s="75"/>
      <c r="F729" s="75"/>
      <c r="G729" s="75"/>
    </row>
    <row r="730" spans="2:7" x14ac:dyDescent="0.2">
      <c r="B730" s="75"/>
      <c r="C730" s="75"/>
      <c r="D730" s="76"/>
      <c r="E730" s="75"/>
      <c r="F730" s="75"/>
      <c r="G730" s="75"/>
    </row>
    <row r="731" spans="2:7" x14ac:dyDescent="0.2">
      <c r="B731" s="75"/>
      <c r="C731" s="75"/>
      <c r="D731" s="76"/>
      <c r="E731" s="75"/>
      <c r="F731" s="75"/>
      <c r="G731" s="75"/>
    </row>
    <row r="732" spans="2:7" x14ac:dyDescent="0.2">
      <c r="B732" s="75"/>
      <c r="C732" s="75"/>
      <c r="D732" s="76"/>
      <c r="E732" s="75"/>
      <c r="F732" s="75"/>
      <c r="G732" s="75"/>
    </row>
    <row r="733" spans="2:7" x14ac:dyDescent="0.2">
      <c r="B733" s="75"/>
      <c r="C733" s="75"/>
      <c r="D733" s="76"/>
      <c r="E733" s="75"/>
      <c r="F733" s="75"/>
      <c r="G733" s="75"/>
    </row>
    <row r="734" spans="2:7" x14ac:dyDescent="0.2">
      <c r="B734" s="75"/>
      <c r="C734" s="75"/>
      <c r="D734" s="76"/>
      <c r="E734" s="75"/>
      <c r="F734" s="75"/>
      <c r="G734" s="75"/>
    </row>
    <row r="735" spans="2:7" x14ac:dyDescent="0.2">
      <c r="B735" s="75"/>
      <c r="C735" s="75"/>
      <c r="D735" s="76"/>
      <c r="E735" s="75"/>
      <c r="F735" s="75"/>
      <c r="G735" s="75"/>
    </row>
    <row r="736" spans="2:7" x14ac:dyDescent="0.2">
      <c r="B736" s="75"/>
      <c r="C736" s="75"/>
      <c r="D736" s="76"/>
      <c r="E736" s="75"/>
      <c r="F736" s="75"/>
      <c r="G736" s="75"/>
    </row>
    <row r="737" spans="2:7" x14ac:dyDescent="0.2">
      <c r="B737" s="75"/>
      <c r="C737" s="75"/>
      <c r="D737" s="76"/>
      <c r="E737" s="75"/>
      <c r="F737" s="75"/>
      <c r="G737" s="75"/>
    </row>
    <row r="738" spans="2:7" x14ac:dyDescent="0.2">
      <c r="B738" s="75"/>
      <c r="C738" s="75"/>
      <c r="D738" s="76"/>
      <c r="E738" s="75"/>
      <c r="F738" s="75"/>
      <c r="G738" s="75"/>
    </row>
    <row r="739" spans="2:7" x14ac:dyDescent="0.2">
      <c r="B739" s="75"/>
      <c r="C739" s="75"/>
      <c r="D739" s="76"/>
      <c r="E739" s="75"/>
      <c r="F739" s="75"/>
      <c r="G739" s="75"/>
    </row>
    <row r="740" spans="2:7" x14ac:dyDescent="0.2">
      <c r="B740" s="75"/>
      <c r="C740" s="75"/>
      <c r="D740" s="76"/>
      <c r="E740" s="75"/>
      <c r="F740" s="75"/>
      <c r="G740" s="75"/>
    </row>
    <row r="741" spans="2:7" x14ac:dyDescent="0.2">
      <c r="B741" s="75"/>
      <c r="C741" s="75"/>
      <c r="D741" s="76"/>
      <c r="E741" s="75"/>
      <c r="F741" s="75"/>
      <c r="G741" s="75"/>
    </row>
    <row r="742" spans="2:7" x14ac:dyDescent="0.2">
      <c r="B742" s="75"/>
      <c r="C742" s="75"/>
      <c r="D742" s="76"/>
      <c r="E742" s="75"/>
      <c r="F742" s="75"/>
      <c r="G742" s="75"/>
    </row>
    <row r="743" spans="2:7" x14ac:dyDescent="0.2">
      <c r="B743" s="75"/>
      <c r="C743" s="75"/>
      <c r="D743" s="76"/>
      <c r="E743" s="75"/>
      <c r="F743" s="75"/>
      <c r="G743" s="75"/>
    </row>
    <row r="744" spans="2:7" x14ac:dyDescent="0.2">
      <c r="B744" s="75"/>
      <c r="C744" s="75"/>
      <c r="D744" s="76"/>
      <c r="E744" s="75"/>
      <c r="F744" s="75"/>
      <c r="G744" s="75"/>
    </row>
    <row r="745" spans="2:7" x14ac:dyDescent="0.2">
      <c r="B745" s="75"/>
      <c r="C745" s="75"/>
      <c r="D745" s="76"/>
      <c r="E745" s="75"/>
      <c r="F745" s="75"/>
      <c r="G745" s="75"/>
    </row>
    <row r="746" spans="2:7" x14ac:dyDescent="0.2">
      <c r="B746" s="75"/>
      <c r="C746" s="75"/>
      <c r="D746" s="76"/>
      <c r="E746" s="75"/>
      <c r="F746" s="75"/>
      <c r="G746" s="75"/>
    </row>
    <row r="747" spans="2:7" x14ac:dyDescent="0.2">
      <c r="B747" s="75"/>
      <c r="C747" s="75"/>
      <c r="D747" s="76"/>
      <c r="E747" s="75"/>
      <c r="F747" s="75"/>
      <c r="G747" s="75"/>
    </row>
    <row r="748" spans="2:7" x14ac:dyDescent="0.2">
      <c r="B748" s="75"/>
      <c r="C748" s="75"/>
      <c r="D748" s="76"/>
      <c r="E748" s="75"/>
      <c r="F748" s="75"/>
      <c r="G748" s="75"/>
    </row>
    <row r="749" spans="2:7" x14ac:dyDescent="0.2">
      <c r="B749" s="75"/>
      <c r="C749" s="75"/>
      <c r="D749" s="76"/>
      <c r="E749" s="75"/>
      <c r="F749" s="75"/>
      <c r="G749" s="75"/>
    </row>
    <row r="750" spans="2:7" x14ac:dyDescent="0.2">
      <c r="B750" s="75"/>
      <c r="C750" s="75"/>
      <c r="D750" s="76"/>
      <c r="E750" s="75"/>
      <c r="F750" s="75"/>
      <c r="G750" s="75"/>
    </row>
    <row r="751" spans="2:7" x14ac:dyDescent="0.2">
      <c r="B751" s="75"/>
      <c r="C751" s="75"/>
      <c r="D751" s="76"/>
      <c r="E751" s="75"/>
      <c r="F751" s="75"/>
      <c r="G751" s="75"/>
    </row>
    <row r="752" spans="2:7" x14ac:dyDescent="0.2">
      <c r="B752" s="75"/>
      <c r="C752" s="75"/>
      <c r="D752" s="76"/>
      <c r="E752" s="75"/>
      <c r="F752" s="75"/>
      <c r="G752" s="75"/>
    </row>
    <row r="753" spans="2:7" x14ac:dyDescent="0.2">
      <c r="B753" s="75"/>
      <c r="C753" s="75"/>
      <c r="D753" s="76"/>
      <c r="E753" s="75"/>
      <c r="F753" s="75"/>
      <c r="G753" s="75"/>
    </row>
    <row r="754" spans="2:7" x14ac:dyDescent="0.2">
      <c r="B754" s="75"/>
      <c r="C754" s="75"/>
      <c r="D754" s="76"/>
      <c r="E754" s="75"/>
      <c r="F754" s="75"/>
      <c r="G754" s="75"/>
    </row>
    <row r="755" spans="2:7" x14ac:dyDescent="0.2">
      <c r="B755" s="75"/>
      <c r="C755" s="75"/>
      <c r="D755" s="76"/>
      <c r="E755" s="75"/>
      <c r="F755" s="75"/>
      <c r="G755" s="75"/>
    </row>
    <row r="756" spans="2:7" x14ac:dyDescent="0.2">
      <c r="B756" s="75"/>
      <c r="C756" s="75"/>
      <c r="D756" s="76"/>
      <c r="E756" s="75"/>
      <c r="F756" s="75"/>
      <c r="G756" s="75"/>
    </row>
    <row r="757" spans="2:7" x14ac:dyDescent="0.2">
      <c r="B757" s="75"/>
      <c r="C757" s="75"/>
      <c r="D757" s="76"/>
      <c r="E757" s="75"/>
      <c r="F757" s="75"/>
      <c r="G757" s="75"/>
    </row>
    <row r="758" spans="2:7" x14ac:dyDescent="0.2">
      <c r="B758" s="75"/>
      <c r="C758" s="75"/>
      <c r="D758" s="76"/>
      <c r="E758" s="75"/>
      <c r="F758" s="75"/>
      <c r="G758" s="75"/>
    </row>
    <row r="759" spans="2:7" x14ac:dyDescent="0.2">
      <c r="B759" s="75"/>
      <c r="C759" s="75"/>
      <c r="D759" s="76"/>
      <c r="E759" s="75"/>
      <c r="F759" s="75"/>
      <c r="G759" s="75"/>
    </row>
    <row r="760" spans="2:7" x14ac:dyDescent="0.2">
      <c r="B760" s="75"/>
      <c r="C760" s="75"/>
      <c r="D760" s="76"/>
      <c r="E760" s="75"/>
      <c r="F760" s="75"/>
      <c r="G760" s="75"/>
    </row>
    <row r="761" spans="2:7" x14ac:dyDescent="0.2">
      <c r="B761" s="75"/>
      <c r="C761" s="75"/>
      <c r="D761" s="76"/>
      <c r="E761" s="75"/>
      <c r="F761" s="75"/>
      <c r="G761" s="75"/>
    </row>
    <row r="762" spans="2:7" x14ac:dyDescent="0.2">
      <c r="B762" s="75"/>
      <c r="C762" s="75"/>
      <c r="D762" s="76"/>
      <c r="E762" s="75"/>
      <c r="F762" s="75"/>
      <c r="G762" s="75"/>
    </row>
    <row r="763" spans="2:7" x14ac:dyDescent="0.2">
      <c r="B763" s="75"/>
      <c r="C763" s="75"/>
      <c r="D763" s="76"/>
      <c r="E763" s="75"/>
      <c r="F763" s="75"/>
      <c r="G763" s="75"/>
    </row>
    <row r="764" spans="2:7" x14ac:dyDescent="0.2">
      <c r="B764" s="75"/>
      <c r="C764" s="75"/>
      <c r="D764" s="76"/>
      <c r="E764" s="75"/>
      <c r="F764" s="75"/>
      <c r="G764" s="75"/>
    </row>
    <row r="765" spans="2:7" x14ac:dyDescent="0.2">
      <c r="B765" s="75"/>
      <c r="C765" s="75"/>
      <c r="D765" s="76"/>
      <c r="E765" s="75"/>
      <c r="F765" s="75"/>
      <c r="G765" s="75"/>
    </row>
    <row r="766" spans="2:7" x14ac:dyDescent="0.2">
      <c r="B766" s="75"/>
      <c r="C766" s="75"/>
      <c r="D766" s="76"/>
      <c r="E766" s="75"/>
      <c r="F766" s="75"/>
      <c r="G766" s="75"/>
    </row>
    <row r="767" spans="2:7" x14ac:dyDescent="0.2">
      <c r="B767" s="75"/>
      <c r="C767" s="75"/>
      <c r="D767" s="76"/>
      <c r="E767" s="75"/>
      <c r="F767" s="75"/>
      <c r="G767" s="75"/>
    </row>
    <row r="768" spans="2:7" x14ac:dyDescent="0.2">
      <c r="B768" s="75"/>
      <c r="C768" s="75"/>
      <c r="D768" s="76"/>
      <c r="E768" s="75"/>
      <c r="F768" s="75"/>
      <c r="G768" s="75"/>
    </row>
    <row r="769" spans="2:7" x14ac:dyDescent="0.2">
      <c r="B769" s="75"/>
      <c r="C769" s="75"/>
      <c r="D769" s="76"/>
      <c r="E769" s="75"/>
      <c r="F769" s="75"/>
      <c r="G769" s="75"/>
    </row>
    <row r="770" spans="2:7" x14ac:dyDescent="0.2">
      <c r="B770" s="75"/>
      <c r="C770" s="75"/>
      <c r="D770" s="76"/>
      <c r="E770" s="75"/>
      <c r="F770" s="75"/>
      <c r="G770" s="75"/>
    </row>
    <row r="771" spans="2:7" x14ac:dyDescent="0.2">
      <c r="B771" s="75"/>
      <c r="C771" s="75"/>
      <c r="D771" s="76"/>
      <c r="E771" s="75"/>
      <c r="F771" s="75"/>
      <c r="G771" s="75"/>
    </row>
    <row r="772" spans="2:7" x14ac:dyDescent="0.2">
      <c r="B772" s="75"/>
      <c r="C772" s="75"/>
      <c r="D772" s="76"/>
      <c r="E772" s="75"/>
      <c r="F772" s="75"/>
      <c r="G772" s="75"/>
    </row>
    <row r="773" spans="2:7" x14ac:dyDescent="0.2">
      <c r="B773" s="75"/>
      <c r="C773" s="75"/>
      <c r="D773" s="76"/>
      <c r="E773" s="75"/>
      <c r="F773" s="75"/>
      <c r="G773" s="75"/>
    </row>
    <row r="774" spans="2:7" x14ac:dyDescent="0.2">
      <c r="B774" s="75"/>
      <c r="C774" s="75"/>
      <c r="D774" s="76"/>
      <c r="E774" s="75"/>
      <c r="F774" s="75"/>
      <c r="G774" s="75"/>
    </row>
    <row r="775" spans="2:7" x14ac:dyDescent="0.2">
      <c r="B775" s="75"/>
      <c r="C775" s="75"/>
      <c r="D775" s="76"/>
      <c r="E775" s="75"/>
      <c r="F775" s="75"/>
      <c r="G775" s="75"/>
    </row>
    <row r="776" spans="2:7" x14ac:dyDescent="0.2">
      <c r="B776" s="75"/>
      <c r="C776" s="75"/>
      <c r="D776" s="76"/>
      <c r="E776" s="75"/>
      <c r="F776" s="75"/>
      <c r="G776" s="75"/>
    </row>
    <row r="777" spans="2:7" x14ac:dyDescent="0.2">
      <c r="B777" s="75"/>
      <c r="C777" s="75"/>
      <c r="D777" s="76"/>
      <c r="E777" s="75"/>
      <c r="F777" s="75"/>
      <c r="G777" s="75"/>
    </row>
    <row r="778" spans="2:7" x14ac:dyDescent="0.2">
      <c r="B778" s="75"/>
      <c r="C778" s="75"/>
      <c r="D778" s="76"/>
      <c r="E778" s="75"/>
      <c r="F778" s="75"/>
      <c r="G778" s="75"/>
    </row>
    <row r="779" spans="2:7" x14ac:dyDescent="0.2">
      <c r="B779" s="75"/>
      <c r="C779" s="75"/>
      <c r="D779" s="76"/>
      <c r="E779" s="75"/>
      <c r="F779" s="75"/>
      <c r="G779" s="75"/>
    </row>
    <row r="780" spans="2:7" x14ac:dyDescent="0.2">
      <c r="B780" s="75"/>
      <c r="C780" s="75"/>
      <c r="D780" s="76"/>
      <c r="E780" s="75"/>
      <c r="F780" s="75"/>
      <c r="G780" s="75"/>
    </row>
    <row r="781" spans="2:7" x14ac:dyDescent="0.2">
      <c r="B781" s="75"/>
      <c r="C781" s="75"/>
      <c r="D781" s="76"/>
      <c r="E781" s="75"/>
      <c r="F781" s="75"/>
      <c r="G781" s="75"/>
    </row>
    <row r="782" spans="2:7" x14ac:dyDescent="0.2">
      <c r="B782" s="75"/>
      <c r="C782" s="75"/>
      <c r="D782" s="76"/>
      <c r="E782" s="75"/>
      <c r="F782" s="75"/>
      <c r="G782" s="75"/>
    </row>
    <row r="783" spans="2:7" x14ac:dyDescent="0.2">
      <c r="B783" s="75"/>
      <c r="C783" s="75"/>
      <c r="D783" s="76"/>
      <c r="E783" s="75"/>
      <c r="F783" s="75"/>
      <c r="G783" s="75"/>
    </row>
    <row r="784" spans="2:7" x14ac:dyDescent="0.2">
      <c r="B784" s="75"/>
      <c r="C784" s="75"/>
      <c r="D784" s="76"/>
      <c r="E784" s="75"/>
      <c r="F784" s="75"/>
      <c r="G784" s="75"/>
    </row>
    <row r="785" spans="2:7" x14ac:dyDescent="0.2">
      <c r="B785" s="75"/>
      <c r="C785" s="75"/>
      <c r="D785" s="76"/>
      <c r="E785" s="75"/>
      <c r="F785" s="75"/>
      <c r="G785" s="75"/>
    </row>
    <row r="786" spans="2:7" x14ac:dyDescent="0.2">
      <c r="B786" s="75"/>
      <c r="C786" s="75"/>
      <c r="D786" s="76"/>
      <c r="E786" s="75"/>
      <c r="F786" s="75"/>
      <c r="G786" s="75"/>
    </row>
    <row r="787" spans="2:7" x14ac:dyDescent="0.2">
      <c r="B787" s="75"/>
      <c r="C787" s="75"/>
      <c r="D787" s="76"/>
      <c r="E787" s="75"/>
      <c r="F787" s="75"/>
      <c r="G787" s="75"/>
    </row>
    <row r="788" spans="2:7" x14ac:dyDescent="0.2">
      <c r="B788" s="75"/>
      <c r="C788" s="75"/>
      <c r="D788" s="76"/>
      <c r="E788" s="75"/>
      <c r="F788" s="75"/>
      <c r="G788" s="75"/>
    </row>
    <row r="789" spans="2:7" x14ac:dyDescent="0.2">
      <c r="B789" s="75"/>
      <c r="C789" s="75"/>
      <c r="D789" s="76"/>
      <c r="E789" s="75"/>
      <c r="F789" s="75"/>
      <c r="G789" s="75"/>
    </row>
    <row r="790" spans="2:7" x14ac:dyDescent="0.2">
      <c r="B790" s="75"/>
      <c r="C790" s="75"/>
      <c r="D790" s="76"/>
      <c r="E790" s="75"/>
      <c r="F790" s="75"/>
      <c r="G790" s="75"/>
    </row>
    <row r="791" spans="2:7" x14ac:dyDescent="0.2">
      <c r="B791" s="75"/>
      <c r="C791" s="75"/>
      <c r="D791" s="76"/>
      <c r="E791" s="75"/>
      <c r="F791" s="75"/>
      <c r="G791" s="75"/>
    </row>
    <row r="792" spans="2:7" x14ac:dyDescent="0.2">
      <c r="B792" s="75"/>
      <c r="C792" s="75"/>
      <c r="D792" s="76"/>
      <c r="E792" s="75"/>
      <c r="F792" s="75"/>
      <c r="G792" s="75"/>
    </row>
    <row r="793" spans="2:7" x14ac:dyDescent="0.2">
      <c r="B793" s="75"/>
      <c r="C793" s="75"/>
      <c r="D793" s="76"/>
      <c r="E793" s="75"/>
      <c r="F793" s="75"/>
      <c r="G793" s="75"/>
    </row>
    <row r="794" spans="2:7" x14ac:dyDescent="0.2">
      <c r="B794" s="75"/>
      <c r="C794" s="75"/>
      <c r="D794" s="76"/>
      <c r="E794" s="75"/>
      <c r="F794" s="75"/>
      <c r="G794" s="75"/>
    </row>
    <row r="795" spans="2:7" x14ac:dyDescent="0.2">
      <c r="B795" s="75"/>
      <c r="C795" s="75"/>
      <c r="D795" s="76"/>
      <c r="E795" s="75"/>
      <c r="F795" s="75"/>
      <c r="G795" s="75"/>
    </row>
    <row r="796" spans="2:7" x14ac:dyDescent="0.2">
      <c r="B796" s="75"/>
      <c r="C796" s="75"/>
      <c r="D796" s="76"/>
      <c r="E796" s="75"/>
      <c r="F796" s="75"/>
      <c r="G796" s="75"/>
    </row>
    <row r="797" spans="2:7" x14ac:dyDescent="0.2">
      <c r="B797" s="75"/>
      <c r="C797" s="75"/>
      <c r="D797" s="76"/>
      <c r="E797" s="75"/>
      <c r="F797" s="75"/>
      <c r="G797" s="75"/>
    </row>
    <row r="798" spans="2:7" x14ac:dyDescent="0.2">
      <c r="B798" s="75"/>
      <c r="C798" s="75"/>
      <c r="D798" s="76"/>
      <c r="E798" s="75"/>
      <c r="F798" s="75"/>
      <c r="G798" s="75"/>
    </row>
    <row r="799" spans="2:7" x14ac:dyDescent="0.2">
      <c r="B799" s="75"/>
      <c r="C799" s="75"/>
      <c r="D799" s="76"/>
      <c r="E799" s="75"/>
      <c r="F799" s="75"/>
      <c r="G799" s="75"/>
    </row>
    <row r="800" spans="2:7" x14ac:dyDescent="0.2">
      <c r="B800" s="75"/>
      <c r="C800" s="75"/>
      <c r="D800" s="76"/>
      <c r="E800" s="75"/>
      <c r="F800" s="75"/>
      <c r="G800" s="75"/>
    </row>
    <row r="801" spans="2:7" x14ac:dyDescent="0.2">
      <c r="B801" s="75"/>
      <c r="C801" s="75"/>
      <c r="D801" s="76"/>
      <c r="E801" s="75"/>
      <c r="F801" s="75"/>
      <c r="G801" s="75"/>
    </row>
    <row r="802" spans="2:7" x14ac:dyDescent="0.2">
      <c r="B802" s="75"/>
      <c r="C802" s="75"/>
      <c r="D802" s="76"/>
      <c r="E802" s="75"/>
      <c r="F802" s="75"/>
      <c r="G802" s="75"/>
    </row>
    <row r="803" spans="2:7" x14ac:dyDescent="0.2">
      <c r="B803" s="75"/>
      <c r="C803" s="75"/>
      <c r="D803" s="76"/>
      <c r="E803" s="75"/>
      <c r="F803" s="75"/>
      <c r="G803" s="75"/>
    </row>
    <row r="804" spans="2:7" x14ac:dyDescent="0.2">
      <c r="B804" s="75"/>
      <c r="C804" s="75"/>
      <c r="D804" s="76"/>
      <c r="E804" s="75"/>
      <c r="F804" s="75"/>
      <c r="G804" s="75"/>
    </row>
    <row r="805" spans="2:7" x14ac:dyDescent="0.2">
      <c r="B805" s="75"/>
      <c r="C805" s="75"/>
      <c r="D805" s="76"/>
      <c r="E805" s="75"/>
      <c r="F805" s="75"/>
      <c r="G805" s="75"/>
    </row>
    <row r="806" spans="2:7" x14ac:dyDescent="0.2">
      <c r="B806" s="75"/>
      <c r="C806" s="75"/>
      <c r="D806" s="76"/>
      <c r="E806" s="75"/>
      <c r="F806" s="75"/>
      <c r="G806" s="75"/>
    </row>
    <row r="807" spans="2:7" x14ac:dyDescent="0.2">
      <c r="B807" s="75"/>
      <c r="C807" s="75"/>
      <c r="D807" s="76"/>
      <c r="E807" s="75"/>
      <c r="F807" s="75"/>
      <c r="G807" s="75"/>
    </row>
    <row r="808" spans="2:7" x14ac:dyDescent="0.2">
      <c r="B808" s="75"/>
      <c r="C808" s="75"/>
      <c r="D808" s="76"/>
      <c r="E808" s="75"/>
      <c r="F808" s="75"/>
      <c r="G808" s="75"/>
    </row>
    <row r="809" spans="2:7" x14ac:dyDescent="0.2">
      <c r="B809" s="75"/>
      <c r="C809" s="75"/>
      <c r="D809" s="76"/>
      <c r="E809" s="75"/>
      <c r="F809" s="75"/>
      <c r="G809" s="75"/>
    </row>
    <row r="810" spans="2:7" x14ac:dyDescent="0.2">
      <c r="B810" s="75"/>
      <c r="C810" s="75"/>
      <c r="D810" s="76"/>
      <c r="E810" s="75"/>
      <c r="F810" s="75"/>
      <c r="G810" s="75"/>
    </row>
    <row r="811" spans="2:7" x14ac:dyDescent="0.2">
      <c r="B811" s="75"/>
      <c r="C811" s="75"/>
      <c r="D811" s="76"/>
      <c r="E811" s="75"/>
      <c r="F811" s="75"/>
      <c r="G811" s="75"/>
    </row>
    <row r="812" spans="2:7" x14ac:dyDescent="0.2">
      <c r="B812" s="75"/>
      <c r="C812" s="75"/>
      <c r="D812" s="76"/>
      <c r="E812" s="75"/>
      <c r="F812" s="75"/>
      <c r="G812" s="75"/>
    </row>
    <row r="813" spans="2:7" x14ac:dyDescent="0.2">
      <c r="B813" s="75"/>
      <c r="C813" s="75"/>
      <c r="D813" s="76"/>
      <c r="E813" s="75"/>
      <c r="F813" s="75"/>
      <c r="G813" s="75"/>
    </row>
    <row r="814" spans="2:7" x14ac:dyDescent="0.2">
      <c r="B814" s="75"/>
      <c r="C814" s="75"/>
      <c r="D814" s="76"/>
      <c r="E814" s="75"/>
      <c r="F814" s="75"/>
      <c r="G814" s="75"/>
    </row>
    <row r="815" spans="2:7" x14ac:dyDescent="0.2">
      <c r="B815" s="75"/>
      <c r="C815" s="75"/>
      <c r="D815" s="76"/>
      <c r="E815" s="75"/>
      <c r="F815" s="75"/>
      <c r="G815" s="75"/>
    </row>
    <row r="816" spans="2:7" x14ac:dyDescent="0.2">
      <c r="B816" s="75"/>
      <c r="C816" s="75"/>
      <c r="D816" s="76"/>
      <c r="E816" s="75"/>
      <c r="F816" s="75"/>
      <c r="G816" s="75"/>
    </row>
    <row r="817" spans="2:7" x14ac:dyDescent="0.2">
      <c r="B817" s="75"/>
      <c r="C817" s="75"/>
      <c r="D817" s="76"/>
      <c r="E817" s="75"/>
      <c r="F817" s="75"/>
      <c r="G817" s="75"/>
    </row>
    <row r="818" spans="2:7" x14ac:dyDescent="0.2">
      <c r="B818" s="75"/>
      <c r="C818" s="75"/>
      <c r="D818" s="76"/>
      <c r="E818" s="75"/>
      <c r="F818" s="75"/>
      <c r="G818" s="75"/>
    </row>
    <row r="819" spans="2:7" x14ac:dyDescent="0.2">
      <c r="B819" s="75"/>
      <c r="C819" s="75"/>
      <c r="D819" s="76"/>
      <c r="E819" s="75"/>
      <c r="F819" s="75"/>
      <c r="G819" s="75"/>
    </row>
    <row r="820" spans="2:7" x14ac:dyDescent="0.2">
      <c r="B820" s="75"/>
      <c r="C820" s="75"/>
      <c r="D820" s="76"/>
      <c r="E820" s="75"/>
      <c r="F820" s="75"/>
      <c r="G820" s="75"/>
    </row>
    <row r="821" spans="2:7" x14ac:dyDescent="0.2">
      <c r="B821" s="75"/>
      <c r="C821" s="75"/>
      <c r="D821" s="76"/>
      <c r="E821" s="75"/>
      <c r="F821" s="75"/>
      <c r="G821" s="75"/>
    </row>
    <row r="822" spans="2:7" x14ac:dyDescent="0.2">
      <c r="B822" s="75"/>
      <c r="C822" s="75"/>
      <c r="D822" s="76"/>
      <c r="E822" s="75"/>
      <c r="F822" s="75"/>
      <c r="G822" s="75"/>
    </row>
    <row r="823" spans="2:7" x14ac:dyDescent="0.2">
      <c r="B823" s="75"/>
      <c r="C823" s="75"/>
      <c r="D823" s="76"/>
      <c r="E823" s="75"/>
      <c r="F823" s="75"/>
      <c r="G823" s="75"/>
    </row>
    <row r="824" spans="2:7" x14ac:dyDescent="0.2">
      <c r="B824" s="75"/>
      <c r="C824" s="75"/>
      <c r="D824" s="76"/>
      <c r="E824" s="75"/>
      <c r="F824" s="75"/>
      <c r="G824" s="75"/>
    </row>
    <row r="825" spans="2:7" x14ac:dyDescent="0.2">
      <c r="B825" s="75"/>
      <c r="C825" s="75"/>
      <c r="D825" s="76"/>
      <c r="E825" s="75"/>
      <c r="F825" s="75"/>
      <c r="G825" s="75"/>
    </row>
    <row r="826" spans="2:7" x14ac:dyDescent="0.2">
      <c r="B826" s="75"/>
      <c r="C826" s="75"/>
      <c r="D826" s="76"/>
      <c r="E826" s="75"/>
      <c r="F826" s="75"/>
      <c r="G826" s="75"/>
    </row>
    <row r="827" spans="2:7" x14ac:dyDescent="0.2">
      <c r="B827" s="75"/>
      <c r="C827" s="75"/>
      <c r="D827" s="76"/>
      <c r="E827" s="75"/>
      <c r="F827" s="75"/>
      <c r="G827" s="75"/>
    </row>
    <row r="828" spans="2:7" x14ac:dyDescent="0.2">
      <c r="B828" s="75"/>
      <c r="C828" s="75"/>
      <c r="D828" s="76"/>
      <c r="E828" s="75"/>
      <c r="F828" s="75"/>
      <c r="G828" s="75"/>
    </row>
    <row r="829" spans="2:7" x14ac:dyDescent="0.2">
      <c r="B829" s="75"/>
      <c r="C829" s="75"/>
      <c r="D829" s="76"/>
      <c r="E829" s="75"/>
      <c r="F829" s="75"/>
      <c r="G829" s="75"/>
    </row>
    <row r="830" spans="2:7" x14ac:dyDescent="0.2">
      <c r="B830" s="75"/>
      <c r="C830" s="75"/>
      <c r="D830" s="76"/>
      <c r="E830" s="75"/>
      <c r="F830" s="75"/>
      <c r="G830" s="75"/>
    </row>
    <row r="831" spans="2:7" x14ac:dyDescent="0.2">
      <c r="B831" s="75"/>
      <c r="C831" s="75"/>
      <c r="D831" s="76"/>
      <c r="E831" s="75"/>
      <c r="F831" s="75"/>
      <c r="G831" s="75"/>
    </row>
    <row r="832" spans="2:7" x14ac:dyDescent="0.2">
      <c r="B832" s="75"/>
      <c r="C832" s="75"/>
      <c r="D832" s="76"/>
      <c r="E832" s="75"/>
      <c r="F832" s="75"/>
      <c r="G832" s="75"/>
    </row>
    <row r="833" spans="2:7" x14ac:dyDescent="0.2">
      <c r="B833" s="75"/>
      <c r="C833" s="75"/>
      <c r="D833" s="76"/>
      <c r="E833" s="75"/>
      <c r="F833" s="75"/>
      <c r="G833" s="75"/>
    </row>
    <row r="834" spans="2:7" x14ac:dyDescent="0.2">
      <c r="B834" s="75"/>
      <c r="C834" s="75"/>
      <c r="D834" s="76"/>
      <c r="E834" s="75"/>
      <c r="F834" s="75"/>
      <c r="G834" s="75"/>
    </row>
    <row r="835" spans="2:7" x14ac:dyDescent="0.2">
      <c r="B835" s="75"/>
      <c r="C835" s="75"/>
      <c r="D835" s="76"/>
      <c r="E835" s="75"/>
      <c r="F835" s="75"/>
      <c r="G835" s="75"/>
    </row>
    <row r="836" spans="2:7" x14ac:dyDescent="0.2">
      <c r="B836" s="75"/>
      <c r="C836" s="75"/>
      <c r="D836" s="76"/>
      <c r="E836" s="75"/>
      <c r="F836" s="75"/>
      <c r="G836" s="75"/>
    </row>
    <row r="837" spans="2:7" x14ac:dyDescent="0.2">
      <c r="B837" s="75"/>
      <c r="C837" s="75"/>
      <c r="D837" s="76"/>
      <c r="E837" s="75"/>
      <c r="F837" s="75"/>
      <c r="G837" s="75"/>
    </row>
    <row r="838" spans="2:7" x14ac:dyDescent="0.2">
      <c r="B838" s="75"/>
      <c r="C838" s="75"/>
      <c r="D838" s="76"/>
      <c r="E838" s="75"/>
      <c r="F838" s="75"/>
      <c r="G838" s="75"/>
    </row>
    <row r="839" spans="2:7" x14ac:dyDescent="0.2">
      <c r="B839" s="75"/>
      <c r="C839" s="75"/>
      <c r="D839" s="76"/>
      <c r="E839" s="75"/>
      <c r="F839" s="75"/>
      <c r="G839" s="75"/>
    </row>
    <row r="840" spans="2:7" x14ac:dyDescent="0.2">
      <c r="B840" s="75"/>
      <c r="C840" s="75"/>
      <c r="D840" s="76"/>
      <c r="E840" s="75"/>
      <c r="F840" s="75"/>
      <c r="G840" s="75"/>
    </row>
    <row r="841" spans="2:7" x14ac:dyDescent="0.2">
      <c r="B841" s="75"/>
      <c r="C841" s="75"/>
      <c r="D841" s="76"/>
      <c r="E841" s="75"/>
      <c r="F841" s="75"/>
      <c r="G841" s="75"/>
    </row>
    <row r="842" spans="2:7" x14ac:dyDescent="0.2">
      <c r="B842" s="75"/>
      <c r="C842" s="75"/>
      <c r="D842" s="76"/>
      <c r="E842" s="75"/>
      <c r="F842" s="75"/>
      <c r="G842" s="75"/>
    </row>
    <row r="843" spans="2:7" x14ac:dyDescent="0.2">
      <c r="B843" s="75"/>
      <c r="C843" s="75"/>
      <c r="D843" s="76"/>
      <c r="E843" s="75"/>
      <c r="F843" s="75"/>
      <c r="G843" s="75"/>
    </row>
    <row r="844" spans="2:7" x14ac:dyDescent="0.2">
      <c r="B844" s="75"/>
      <c r="C844" s="75"/>
      <c r="D844" s="76"/>
      <c r="E844" s="75"/>
      <c r="F844" s="75"/>
      <c r="G844" s="75"/>
    </row>
    <row r="845" spans="2:7" x14ac:dyDescent="0.2">
      <c r="B845" s="75"/>
      <c r="C845" s="75"/>
      <c r="D845" s="76"/>
      <c r="E845" s="75"/>
      <c r="F845" s="75"/>
      <c r="G845" s="75"/>
    </row>
    <row r="846" spans="2:7" x14ac:dyDescent="0.2">
      <c r="B846" s="75"/>
      <c r="C846" s="75"/>
      <c r="D846" s="76"/>
      <c r="E846" s="75"/>
      <c r="F846" s="75"/>
      <c r="G846" s="75"/>
    </row>
    <row r="847" spans="2:7" x14ac:dyDescent="0.2">
      <c r="B847" s="75"/>
      <c r="C847" s="75"/>
      <c r="D847" s="76"/>
      <c r="E847" s="75"/>
      <c r="F847" s="75"/>
      <c r="G847" s="75"/>
    </row>
    <row r="848" spans="2:7" x14ac:dyDescent="0.2">
      <c r="B848" s="75"/>
      <c r="C848" s="75"/>
      <c r="D848" s="76"/>
      <c r="E848" s="75"/>
      <c r="F848" s="75"/>
      <c r="G848" s="75"/>
    </row>
    <row r="849" spans="2:7" x14ac:dyDescent="0.2">
      <c r="B849" s="75"/>
      <c r="C849" s="75"/>
      <c r="D849" s="76"/>
      <c r="E849" s="75"/>
      <c r="F849" s="75"/>
      <c r="G849" s="75"/>
    </row>
    <row r="850" spans="2:7" x14ac:dyDescent="0.2">
      <c r="B850" s="75"/>
      <c r="C850" s="75"/>
      <c r="D850" s="76"/>
      <c r="E850" s="75"/>
      <c r="F850" s="75"/>
      <c r="G850" s="75"/>
    </row>
    <row r="851" spans="2:7" x14ac:dyDescent="0.2">
      <c r="B851" s="75"/>
      <c r="C851" s="75"/>
      <c r="D851" s="76"/>
      <c r="E851" s="75"/>
      <c r="F851" s="75"/>
      <c r="G851" s="75"/>
    </row>
    <row r="852" spans="2:7" x14ac:dyDescent="0.2">
      <c r="B852" s="75"/>
      <c r="C852" s="75"/>
      <c r="D852" s="76"/>
      <c r="E852" s="75"/>
      <c r="F852" s="75"/>
      <c r="G852" s="75"/>
    </row>
    <row r="853" spans="2:7" x14ac:dyDescent="0.2">
      <c r="B853" s="75"/>
      <c r="C853" s="75"/>
      <c r="D853" s="76"/>
      <c r="E853" s="75"/>
      <c r="F853" s="75"/>
      <c r="G853" s="75"/>
    </row>
    <row r="854" spans="2:7" x14ac:dyDescent="0.2">
      <c r="B854" s="75"/>
      <c r="C854" s="75"/>
      <c r="D854" s="76"/>
      <c r="E854" s="75"/>
      <c r="F854" s="75"/>
      <c r="G854" s="75"/>
    </row>
    <row r="855" spans="2:7" x14ac:dyDescent="0.2">
      <c r="B855" s="75"/>
      <c r="C855" s="75"/>
      <c r="D855" s="76"/>
      <c r="E855" s="75"/>
      <c r="F855" s="75"/>
      <c r="G855" s="75"/>
    </row>
    <row r="856" spans="2:7" x14ac:dyDescent="0.2">
      <c r="B856" s="75"/>
      <c r="C856" s="75"/>
      <c r="D856" s="76"/>
      <c r="E856" s="75"/>
      <c r="F856" s="75"/>
      <c r="G856" s="75"/>
    </row>
    <row r="857" spans="2:7" x14ac:dyDescent="0.2">
      <c r="B857" s="75"/>
      <c r="C857" s="75"/>
      <c r="D857" s="76"/>
      <c r="E857" s="75"/>
      <c r="F857" s="75"/>
      <c r="G857" s="75"/>
    </row>
    <row r="858" spans="2:7" x14ac:dyDescent="0.2">
      <c r="B858" s="75"/>
      <c r="C858" s="75"/>
      <c r="D858" s="76"/>
      <c r="E858" s="75"/>
      <c r="F858" s="75"/>
      <c r="G858" s="75"/>
    </row>
    <row r="859" spans="2:7" x14ac:dyDescent="0.2">
      <c r="B859" s="75"/>
      <c r="C859" s="75"/>
      <c r="D859" s="76"/>
      <c r="E859" s="75"/>
      <c r="F859" s="75"/>
      <c r="G859" s="75"/>
    </row>
    <row r="860" spans="2:7" x14ac:dyDescent="0.2">
      <c r="B860" s="75"/>
      <c r="C860" s="75"/>
      <c r="D860" s="76"/>
      <c r="E860" s="75"/>
      <c r="F860" s="75"/>
      <c r="G860" s="75"/>
    </row>
    <row r="861" spans="2:7" x14ac:dyDescent="0.2">
      <c r="B861" s="75"/>
      <c r="C861" s="75"/>
      <c r="D861" s="76"/>
      <c r="E861" s="75"/>
      <c r="F861" s="75"/>
      <c r="G861" s="75"/>
    </row>
    <row r="862" spans="2:7" x14ac:dyDescent="0.2">
      <c r="B862" s="75"/>
      <c r="C862" s="75"/>
      <c r="D862" s="76"/>
      <c r="E862" s="75"/>
      <c r="F862" s="75"/>
      <c r="G862" s="75"/>
    </row>
    <row r="863" spans="2:7" x14ac:dyDescent="0.2">
      <c r="B863" s="75"/>
      <c r="C863" s="75"/>
      <c r="D863" s="76"/>
      <c r="E863" s="75"/>
      <c r="F863" s="75"/>
      <c r="G863" s="75"/>
    </row>
    <row r="864" spans="2:7" x14ac:dyDescent="0.2">
      <c r="B864" s="75"/>
      <c r="C864" s="75"/>
      <c r="D864" s="76"/>
      <c r="E864" s="75"/>
      <c r="F864" s="75"/>
      <c r="G864" s="75"/>
    </row>
    <row r="865" spans="2:7" x14ac:dyDescent="0.2">
      <c r="B865" s="75"/>
      <c r="C865" s="75"/>
      <c r="D865" s="76"/>
      <c r="E865" s="75"/>
      <c r="F865" s="75"/>
      <c r="G865" s="75"/>
    </row>
    <row r="866" spans="2:7" x14ac:dyDescent="0.2">
      <c r="B866" s="75"/>
      <c r="C866" s="75"/>
      <c r="D866" s="76"/>
      <c r="E866" s="75"/>
      <c r="F866" s="75"/>
      <c r="G866" s="75"/>
    </row>
    <row r="867" spans="2:7" x14ac:dyDescent="0.2">
      <c r="B867" s="75"/>
      <c r="C867" s="75"/>
      <c r="D867" s="76"/>
      <c r="E867" s="75"/>
      <c r="F867" s="75"/>
      <c r="G867" s="75"/>
    </row>
    <row r="868" spans="2:7" x14ac:dyDescent="0.2">
      <c r="B868" s="75"/>
      <c r="C868" s="75"/>
      <c r="D868" s="76"/>
      <c r="E868" s="75"/>
      <c r="F868" s="75"/>
      <c r="G868" s="75"/>
    </row>
    <row r="869" spans="2:7" x14ac:dyDescent="0.2">
      <c r="B869" s="75"/>
      <c r="C869" s="75"/>
      <c r="D869" s="76"/>
      <c r="E869" s="75"/>
      <c r="F869" s="75"/>
      <c r="G869" s="75"/>
    </row>
    <row r="870" spans="2:7" x14ac:dyDescent="0.2">
      <c r="B870" s="75"/>
      <c r="C870" s="75"/>
      <c r="D870" s="76"/>
      <c r="E870" s="75"/>
      <c r="F870" s="75"/>
      <c r="G870" s="75"/>
    </row>
    <row r="871" spans="2:7" x14ac:dyDescent="0.2">
      <c r="B871" s="75"/>
      <c r="C871" s="75"/>
      <c r="D871" s="76"/>
      <c r="E871" s="75"/>
      <c r="F871" s="75"/>
      <c r="G871" s="75"/>
    </row>
    <row r="872" spans="2:7" x14ac:dyDescent="0.2">
      <c r="B872" s="75"/>
      <c r="C872" s="75"/>
      <c r="D872" s="76"/>
      <c r="E872" s="75"/>
      <c r="F872" s="75"/>
      <c r="G872" s="75"/>
    </row>
    <row r="873" spans="2:7" x14ac:dyDescent="0.2">
      <c r="B873" s="75"/>
      <c r="C873" s="75"/>
      <c r="D873" s="76"/>
      <c r="E873" s="75"/>
      <c r="F873" s="75"/>
      <c r="G873" s="75"/>
    </row>
    <row r="874" spans="2:7" x14ac:dyDescent="0.2">
      <c r="B874" s="75"/>
      <c r="C874" s="75"/>
      <c r="D874" s="76"/>
      <c r="E874" s="75"/>
      <c r="F874" s="75"/>
      <c r="G874" s="75"/>
    </row>
    <row r="875" spans="2:7" x14ac:dyDescent="0.2">
      <c r="B875" s="75"/>
      <c r="C875" s="75"/>
      <c r="D875" s="76"/>
      <c r="E875" s="75"/>
      <c r="F875" s="75"/>
      <c r="G875" s="75"/>
    </row>
    <row r="876" spans="2:7" x14ac:dyDescent="0.2">
      <c r="B876" s="75"/>
      <c r="C876" s="75"/>
      <c r="D876" s="76"/>
      <c r="E876" s="75"/>
      <c r="F876" s="75"/>
      <c r="G876" s="75"/>
    </row>
    <row r="877" spans="2:7" x14ac:dyDescent="0.2">
      <c r="B877" s="75"/>
      <c r="C877" s="75"/>
      <c r="D877" s="76"/>
      <c r="E877" s="75"/>
      <c r="F877" s="75"/>
      <c r="G877" s="75"/>
    </row>
    <row r="878" spans="2:7" x14ac:dyDescent="0.2">
      <c r="B878" s="75"/>
      <c r="C878" s="75"/>
      <c r="D878" s="76"/>
      <c r="E878" s="75"/>
      <c r="F878" s="75"/>
      <c r="G878" s="75"/>
    </row>
    <row r="879" spans="2:7" x14ac:dyDescent="0.2">
      <c r="B879" s="75"/>
      <c r="C879" s="75"/>
      <c r="D879" s="76"/>
      <c r="E879" s="75"/>
      <c r="F879" s="75"/>
      <c r="G879" s="75"/>
    </row>
    <row r="880" spans="2:7" x14ac:dyDescent="0.2">
      <c r="B880" s="75"/>
      <c r="C880" s="75"/>
      <c r="D880" s="76"/>
      <c r="E880" s="75"/>
      <c r="F880" s="75"/>
      <c r="G880" s="75"/>
    </row>
    <row r="881" spans="2:7" x14ac:dyDescent="0.2">
      <c r="B881" s="75"/>
      <c r="C881" s="75"/>
      <c r="D881" s="76"/>
      <c r="E881" s="75"/>
      <c r="F881" s="75"/>
      <c r="G881" s="75"/>
    </row>
    <row r="882" spans="2:7" x14ac:dyDescent="0.2">
      <c r="B882" s="75"/>
      <c r="C882" s="75"/>
      <c r="D882" s="76"/>
      <c r="E882" s="75"/>
      <c r="F882" s="75"/>
      <c r="G882" s="75"/>
    </row>
    <row r="883" spans="2:7" x14ac:dyDescent="0.2">
      <c r="B883" s="75"/>
      <c r="C883" s="75"/>
      <c r="D883" s="76"/>
      <c r="E883" s="75"/>
      <c r="F883" s="75"/>
      <c r="G883" s="75"/>
    </row>
    <row r="884" spans="2:7" x14ac:dyDescent="0.2">
      <c r="B884" s="75"/>
      <c r="C884" s="75"/>
      <c r="D884" s="76"/>
      <c r="E884" s="75"/>
      <c r="F884" s="75"/>
      <c r="G884" s="75"/>
    </row>
    <row r="885" spans="2:7" x14ac:dyDescent="0.2">
      <c r="B885" s="75"/>
      <c r="C885" s="75"/>
      <c r="D885" s="76"/>
      <c r="E885" s="75"/>
      <c r="F885" s="75"/>
      <c r="G885" s="75"/>
    </row>
    <row r="886" spans="2:7" x14ac:dyDescent="0.2">
      <c r="B886" s="75"/>
      <c r="C886" s="75"/>
      <c r="D886" s="76"/>
      <c r="E886" s="75"/>
      <c r="F886" s="75"/>
      <c r="G886" s="75"/>
    </row>
    <row r="887" spans="2:7" x14ac:dyDescent="0.2">
      <c r="B887" s="75"/>
      <c r="C887" s="75"/>
      <c r="D887" s="76"/>
      <c r="E887" s="75"/>
      <c r="F887" s="75"/>
      <c r="G887" s="75"/>
    </row>
    <row r="888" spans="2:7" x14ac:dyDescent="0.2">
      <c r="B888" s="75"/>
      <c r="C888" s="75"/>
      <c r="D888" s="76"/>
      <c r="E888" s="75"/>
      <c r="F888" s="75"/>
      <c r="G888" s="75"/>
    </row>
    <row r="889" spans="2:7" x14ac:dyDescent="0.2">
      <c r="B889" s="75"/>
      <c r="C889" s="75"/>
      <c r="D889" s="76"/>
      <c r="E889" s="75"/>
      <c r="F889" s="75"/>
      <c r="G889" s="75"/>
    </row>
    <row r="890" spans="2:7" x14ac:dyDescent="0.2">
      <c r="B890" s="75"/>
      <c r="C890" s="75"/>
      <c r="D890" s="76"/>
      <c r="E890" s="75"/>
      <c r="F890" s="75"/>
      <c r="G890" s="75"/>
    </row>
    <row r="891" spans="2:7" x14ac:dyDescent="0.2">
      <c r="B891" s="75"/>
      <c r="C891" s="75"/>
      <c r="D891" s="76"/>
      <c r="E891" s="75"/>
      <c r="F891" s="75"/>
      <c r="G891" s="75"/>
    </row>
    <row r="892" spans="2:7" x14ac:dyDescent="0.2">
      <c r="B892" s="75"/>
      <c r="C892" s="75"/>
      <c r="D892" s="76"/>
      <c r="E892" s="75"/>
      <c r="F892" s="75"/>
      <c r="G892" s="75"/>
    </row>
    <row r="893" spans="2:7" x14ac:dyDescent="0.2">
      <c r="B893" s="75"/>
      <c r="C893" s="75"/>
      <c r="D893" s="76"/>
      <c r="E893" s="75"/>
      <c r="F893" s="75"/>
      <c r="G893" s="75"/>
    </row>
    <row r="894" spans="2:7" x14ac:dyDescent="0.2">
      <c r="B894" s="75"/>
      <c r="C894" s="75"/>
      <c r="D894" s="76"/>
      <c r="E894" s="75"/>
      <c r="F894" s="75"/>
      <c r="G894" s="75"/>
    </row>
    <row r="895" spans="2:7" x14ac:dyDescent="0.2">
      <c r="B895" s="75"/>
      <c r="C895" s="75"/>
      <c r="D895" s="76"/>
      <c r="E895" s="75"/>
      <c r="F895" s="75"/>
      <c r="G895" s="75"/>
    </row>
    <row r="896" spans="2:7" x14ac:dyDescent="0.2">
      <c r="B896" s="75"/>
      <c r="C896" s="75"/>
      <c r="D896" s="76"/>
      <c r="E896" s="75"/>
      <c r="F896" s="75"/>
      <c r="G896" s="75"/>
    </row>
    <row r="897" spans="2:7" x14ac:dyDescent="0.2">
      <c r="B897" s="75"/>
      <c r="C897" s="75"/>
      <c r="D897" s="76"/>
      <c r="E897" s="75"/>
      <c r="F897" s="75"/>
      <c r="G897" s="75"/>
    </row>
    <row r="898" spans="2:7" x14ac:dyDescent="0.2">
      <c r="B898" s="75"/>
      <c r="C898" s="75"/>
      <c r="D898" s="76"/>
      <c r="E898" s="75"/>
      <c r="F898" s="75"/>
      <c r="G898" s="75"/>
    </row>
    <row r="899" spans="2:7" x14ac:dyDescent="0.2">
      <c r="B899" s="75"/>
      <c r="C899" s="75"/>
      <c r="D899" s="76"/>
      <c r="E899" s="75"/>
      <c r="F899" s="75"/>
      <c r="G899" s="75"/>
    </row>
    <row r="900" spans="2:7" x14ac:dyDescent="0.2">
      <c r="B900" s="75"/>
      <c r="C900" s="75"/>
      <c r="D900" s="76"/>
      <c r="E900" s="75"/>
      <c r="F900" s="75"/>
      <c r="G900" s="75"/>
    </row>
    <row r="901" spans="2:7" x14ac:dyDescent="0.2">
      <c r="B901" s="75"/>
      <c r="C901" s="75"/>
      <c r="D901" s="76"/>
      <c r="E901" s="75"/>
      <c r="F901" s="75"/>
      <c r="G901" s="75"/>
    </row>
    <row r="902" spans="2:7" x14ac:dyDescent="0.2">
      <c r="B902" s="75"/>
      <c r="C902" s="75"/>
      <c r="D902" s="76"/>
      <c r="E902" s="75"/>
      <c r="F902" s="75"/>
      <c r="G902" s="75"/>
    </row>
    <row r="903" spans="2:7" x14ac:dyDescent="0.2">
      <c r="B903" s="75"/>
      <c r="C903" s="75"/>
      <c r="D903" s="76"/>
      <c r="E903" s="75"/>
      <c r="F903" s="75"/>
      <c r="G903" s="75"/>
    </row>
    <row r="904" spans="2:7" x14ac:dyDescent="0.2">
      <c r="B904" s="75"/>
      <c r="C904" s="75"/>
      <c r="D904" s="76"/>
      <c r="E904" s="75"/>
      <c r="F904" s="75"/>
      <c r="G904" s="75"/>
    </row>
    <row r="905" spans="2:7" x14ac:dyDescent="0.2">
      <c r="B905" s="75"/>
      <c r="C905" s="75"/>
      <c r="D905" s="76"/>
      <c r="E905" s="75"/>
      <c r="F905" s="75"/>
      <c r="G905" s="75"/>
    </row>
    <row r="906" spans="2:7" x14ac:dyDescent="0.2">
      <c r="B906" s="75"/>
      <c r="C906" s="75"/>
      <c r="D906" s="76"/>
      <c r="E906" s="75"/>
      <c r="F906" s="75"/>
      <c r="G906" s="75"/>
    </row>
    <row r="907" spans="2:7" x14ac:dyDescent="0.2">
      <c r="B907" s="75"/>
      <c r="C907" s="75"/>
      <c r="D907" s="76"/>
      <c r="E907" s="75"/>
      <c r="F907" s="75"/>
      <c r="G907" s="75"/>
    </row>
    <row r="908" spans="2:7" x14ac:dyDescent="0.2">
      <c r="B908" s="75"/>
      <c r="C908" s="75"/>
      <c r="D908" s="76"/>
      <c r="E908" s="75"/>
      <c r="F908" s="75"/>
      <c r="G908" s="75"/>
    </row>
    <row r="909" spans="2:7" x14ac:dyDescent="0.2">
      <c r="B909" s="75"/>
      <c r="C909" s="75"/>
      <c r="D909" s="76"/>
      <c r="E909" s="75"/>
      <c r="F909" s="75"/>
      <c r="G909" s="75"/>
    </row>
    <row r="910" spans="2:7" x14ac:dyDescent="0.2">
      <c r="B910" s="75"/>
      <c r="C910" s="75"/>
      <c r="D910" s="76"/>
      <c r="E910" s="75"/>
      <c r="F910" s="75"/>
      <c r="G910" s="75"/>
    </row>
    <row r="911" spans="2:7" x14ac:dyDescent="0.2">
      <c r="B911" s="75"/>
      <c r="C911" s="75"/>
      <c r="D911" s="76"/>
      <c r="E911" s="75"/>
      <c r="F911" s="75"/>
      <c r="G911" s="75"/>
    </row>
    <row r="912" spans="2:7" x14ac:dyDescent="0.2">
      <c r="B912" s="75"/>
      <c r="C912" s="75"/>
      <c r="D912" s="76"/>
      <c r="E912" s="75"/>
      <c r="F912" s="75"/>
      <c r="G912" s="75"/>
    </row>
    <row r="913" spans="2:7" x14ac:dyDescent="0.2">
      <c r="B913" s="75"/>
      <c r="C913" s="75"/>
      <c r="D913" s="76"/>
      <c r="E913" s="75"/>
      <c r="F913" s="75"/>
      <c r="G913" s="75"/>
    </row>
    <row r="914" spans="2:7" x14ac:dyDescent="0.2">
      <c r="B914" s="75"/>
      <c r="C914" s="75"/>
      <c r="D914" s="76"/>
      <c r="E914" s="75"/>
      <c r="F914" s="75"/>
      <c r="G914" s="75"/>
    </row>
    <row r="915" spans="2:7" x14ac:dyDescent="0.2">
      <c r="B915" s="75"/>
      <c r="C915" s="75"/>
      <c r="D915" s="76"/>
      <c r="E915" s="75"/>
      <c r="F915" s="75"/>
      <c r="G915" s="75"/>
    </row>
    <row r="916" spans="2:7" x14ac:dyDescent="0.2">
      <c r="B916" s="75"/>
      <c r="C916" s="75"/>
      <c r="D916" s="76"/>
      <c r="E916" s="75"/>
      <c r="F916" s="75"/>
      <c r="G916" s="75"/>
    </row>
    <row r="917" spans="2:7" x14ac:dyDescent="0.2">
      <c r="B917" s="75"/>
      <c r="C917" s="75"/>
      <c r="D917" s="76"/>
      <c r="E917" s="75"/>
      <c r="F917" s="75"/>
      <c r="G917" s="75"/>
    </row>
    <row r="918" spans="2:7" x14ac:dyDescent="0.2">
      <c r="B918" s="75"/>
      <c r="C918" s="75"/>
      <c r="D918" s="76"/>
      <c r="E918" s="75"/>
      <c r="F918" s="75"/>
      <c r="G918" s="75"/>
    </row>
    <row r="919" spans="2:7" x14ac:dyDescent="0.2">
      <c r="B919" s="75"/>
      <c r="C919" s="75"/>
      <c r="D919" s="76"/>
      <c r="E919" s="75"/>
      <c r="F919" s="75"/>
      <c r="G919" s="75"/>
    </row>
    <row r="920" spans="2:7" x14ac:dyDescent="0.2">
      <c r="B920" s="75"/>
      <c r="C920" s="75"/>
      <c r="D920" s="76"/>
      <c r="E920" s="75"/>
      <c r="F920" s="75"/>
      <c r="G920" s="75"/>
    </row>
    <row r="921" spans="2:7" x14ac:dyDescent="0.2">
      <c r="B921" s="75"/>
      <c r="C921" s="75"/>
      <c r="D921" s="76"/>
      <c r="E921" s="75"/>
      <c r="F921" s="75"/>
      <c r="G921" s="75"/>
    </row>
    <row r="922" spans="2:7" x14ac:dyDescent="0.2">
      <c r="B922" s="75"/>
      <c r="C922" s="75"/>
      <c r="D922" s="76"/>
      <c r="E922" s="75"/>
      <c r="F922" s="75"/>
      <c r="G922" s="75"/>
    </row>
    <row r="923" spans="2:7" x14ac:dyDescent="0.2">
      <c r="B923" s="75"/>
      <c r="C923" s="75"/>
      <c r="D923" s="76"/>
      <c r="E923" s="75"/>
      <c r="F923" s="75"/>
      <c r="G923" s="75"/>
    </row>
    <row r="924" spans="2:7" x14ac:dyDescent="0.2">
      <c r="B924" s="75"/>
      <c r="C924" s="75"/>
      <c r="D924" s="76"/>
      <c r="E924" s="75"/>
      <c r="F924" s="75"/>
      <c r="G924" s="75"/>
    </row>
    <row r="925" spans="2:7" x14ac:dyDescent="0.2">
      <c r="B925" s="75"/>
      <c r="C925" s="75"/>
      <c r="D925" s="76"/>
      <c r="E925" s="75"/>
      <c r="F925" s="75"/>
      <c r="G925" s="75"/>
    </row>
    <row r="926" spans="2:7" x14ac:dyDescent="0.2">
      <c r="B926" s="75"/>
      <c r="C926" s="75"/>
      <c r="D926" s="76"/>
      <c r="E926" s="75"/>
      <c r="F926" s="75"/>
      <c r="G926" s="75"/>
    </row>
    <row r="927" spans="2:7" x14ac:dyDescent="0.2">
      <c r="B927" s="75"/>
      <c r="C927" s="75"/>
      <c r="D927" s="76"/>
      <c r="E927" s="75"/>
      <c r="F927" s="75"/>
      <c r="G927" s="75"/>
    </row>
    <row r="928" spans="2:7" x14ac:dyDescent="0.2">
      <c r="B928" s="75"/>
      <c r="C928" s="75"/>
      <c r="D928" s="76"/>
      <c r="E928" s="75"/>
      <c r="F928" s="75"/>
      <c r="G928" s="75"/>
    </row>
    <row r="929" spans="2:7" x14ac:dyDescent="0.2">
      <c r="B929" s="75"/>
      <c r="C929" s="75"/>
      <c r="D929" s="76"/>
      <c r="E929" s="75"/>
      <c r="F929" s="75"/>
      <c r="G929" s="75"/>
    </row>
    <row r="930" spans="2:7" x14ac:dyDescent="0.2">
      <c r="B930" s="75"/>
      <c r="C930" s="75"/>
      <c r="D930" s="76"/>
      <c r="E930" s="75"/>
      <c r="F930" s="75"/>
      <c r="G930" s="75"/>
    </row>
    <row r="931" spans="2:7" x14ac:dyDescent="0.2">
      <c r="B931" s="75"/>
      <c r="C931" s="75"/>
      <c r="D931" s="76"/>
      <c r="E931" s="75"/>
      <c r="F931" s="75"/>
      <c r="G931" s="75"/>
    </row>
    <row r="932" spans="2:7" x14ac:dyDescent="0.2">
      <c r="B932" s="75"/>
      <c r="C932" s="75"/>
      <c r="D932" s="76"/>
      <c r="E932" s="75"/>
      <c r="F932" s="75"/>
      <c r="G932" s="75"/>
    </row>
    <row r="933" spans="2:7" x14ac:dyDescent="0.2">
      <c r="B933" s="75"/>
      <c r="C933" s="75"/>
      <c r="D933" s="76"/>
      <c r="E933" s="75"/>
      <c r="F933" s="75"/>
      <c r="G933" s="75"/>
    </row>
    <row r="934" spans="2:7" x14ac:dyDescent="0.2">
      <c r="B934" s="75"/>
      <c r="C934" s="75"/>
      <c r="D934" s="76"/>
      <c r="E934" s="75"/>
      <c r="F934" s="75"/>
      <c r="G934" s="75"/>
    </row>
    <row r="935" spans="2:7" x14ac:dyDescent="0.2">
      <c r="B935" s="75"/>
      <c r="C935" s="75"/>
      <c r="D935" s="76"/>
      <c r="E935" s="75"/>
      <c r="F935" s="75"/>
      <c r="G935" s="75"/>
    </row>
    <row r="936" spans="2:7" x14ac:dyDescent="0.2">
      <c r="B936" s="75"/>
      <c r="C936" s="75"/>
      <c r="D936" s="76"/>
      <c r="E936" s="75"/>
      <c r="F936" s="75"/>
      <c r="G936" s="75"/>
    </row>
    <row r="937" spans="2:7" x14ac:dyDescent="0.2">
      <c r="B937" s="75"/>
      <c r="C937" s="75"/>
      <c r="D937" s="76"/>
      <c r="E937" s="75"/>
      <c r="F937" s="75"/>
      <c r="G937" s="75"/>
    </row>
    <row r="938" spans="2:7" x14ac:dyDescent="0.2">
      <c r="B938" s="75"/>
      <c r="C938" s="75"/>
      <c r="D938" s="76"/>
      <c r="E938" s="75"/>
      <c r="F938" s="75"/>
      <c r="G938" s="75"/>
    </row>
    <row r="939" spans="2:7" x14ac:dyDescent="0.2">
      <c r="B939" s="75"/>
      <c r="C939" s="75"/>
      <c r="D939" s="76"/>
      <c r="E939" s="75"/>
      <c r="F939" s="75"/>
      <c r="G939" s="75"/>
    </row>
    <row r="940" spans="2:7" x14ac:dyDescent="0.2">
      <c r="B940" s="75"/>
      <c r="C940" s="75"/>
      <c r="D940" s="76"/>
      <c r="E940" s="75"/>
      <c r="F940" s="75"/>
      <c r="G940" s="75"/>
    </row>
    <row r="941" spans="2:7" x14ac:dyDescent="0.2">
      <c r="B941" s="75"/>
      <c r="C941" s="75"/>
      <c r="D941" s="76"/>
      <c r="E941" s="75"/>
      <c r="F941" s="75"/>
      <c r="G941" s="75"/>
    </row>
    <row r="942" spans="2:7" x14ac:dyDescent="0.2">
      <c r="B942" s="75"/>
      <c r="C942" s="75"/>
      <c r="D942" s="76"/>
      <c r="E942" s="75"/>
      <c r="F942" s="75"/>
      <c r="G942" s="75"/>
    </row>
    <row r="943" spans="2:7" x14ac:dyDescent="0.2">
      <c r="B943" s="75"/>
      <c r="C943" s="75"/>
      <c r="D943" s="76"/>
      <c r="E943" s="75"/>
      <c r="F943" s="75"/>
      <c r="G943" s="75"/>
    </row>
    <row r="944" spans="2:7" x14ac:dyDescent="0.2">
      <c r="B944" s="75"/>
      <c r="C944" s="75"/>
      <c r="D944" s="76"/>
      <c r="E944" s="75"/>
      <c r="F944" s="75"/>
      <c r="G944" s="75"/>
    </row>
    <row r="945" spans="2:7" x14ac:dyDescent="0.2">
      <c r="B945" s="75"/>
      <c r="C945" s="75"/>
      <c r="D945" s="76"/>
      <c r="E945" s="75"/>
      <c r="F945" s="75"/>
      <c r="G945" s="75"/>
    </row>
    <row r="946" spans="2:7" x14ac:dyDescent="0.2">
      <c r="B946" s="75"/>
      <c r="C946" s="75"/>
      <c r="D946" s="76"/>
      <c r="E946" s="75"/>
      <c r="F946" s="75"/>
      <c r="G946" s="75"/>
    </row>
    <row r="947" spans="2:7" x14ac:dyDescent="0.2">
      <c r="B947" s="75"/>
      <c r="C947" s="75"/>
      <c r="D947" s="76"/>
      <c r="E947" s="75"/>
      <c r="F947" s="75"/>
      <c r="G947" s="75"/>
    </row>
    <row r="948" spans="2:7" x14ac:dyDescent="0.2">
      <c r="B948" s="75"/>
      <c r="C948" s="75"/>
      <c r="D948" s="76"/>
      <c r="E948" s="75"/>
      <c r="F948" s="75"/>
      <c r="G948" s="75"/>
    </row>
    <row r="949" spans="2:7" x14ac:dyDescent="0.2">
      <c r="B949" s="75"/>
      <c r="C949" s="75"/>
      <c r="D949" s="76"/>
      <c r="E949" s="75"/>
      <c r="F949" s="75"/>
      <c r="G949" s="75"/>
    </row>
    <row r="950" spans="2:7" x14ac:dyDescent="0.2">
      <c r="B950" s="75"/>
      <c r="C950" s="75"/>
      <c r="D950" s="76"/>
      <c r="E950" s="75"/>
      <c r="F950" s="75"/>
      <c r="G950" s="75"/>
    </row>
    <row r="951" spans="2:7" x14ac:dyDescent="0.2">
      <c r="B951" s="75"/>
      <c r="C951" s="75"/>
      <c r="D951" s="76"/>
      <c r="E951" s="75"/>
      <c r="F951" s="75"/>
      <c r="G951" s="75"/>
    </row>
    <row r="952" spans="2:7" x14ac:dyDescent="0.2">
      <c r="B952" s="75"/>
      <c r="C952" s="75"/>
      <c r="D952" s="76"/>
      <c r="E952" s="75"/>
      <c r="F952" s="75"/>
      <c r="G952" s="75"/>
    </row>
    <row r="953" spans="2:7" x14ac:dyDescent="0.2">
      <c r="B953" s="75"/>
      <c r="C953" s="75"/>
      <c r="D953" s="76"/>
      <c r="E953" s="75"/>
      <c r="F953" s="75"/>
      <c r="G953" s="75"/>
    </row>
    <row r="954" spans="2:7" x14ac:dyDescent="0.2">
      <c r="B954" s="75"/>
      <c r="C954" s="75"/>
      <c r="D954" s="76"/>
      <c r="E954" s="75"/>
      <c r="F954" s="75"/>
      <c r="G954" s="75"/>
    </row>
    <row r="955" spans="2:7" x14ac:dyDescent="0.2">
      <c r="B955" s="75"/>
      <c r="C955" s="75"/>
      <c r="D955" s="76"/>
      <c r="E955" s="75"/>
      <c r="F955" s="75"/>
      <c r="G955" s="75"/>
    </row>
    <row r="956" spans="2:7" x14ac:dyDescent="0.2">
      <c r="B956" s="75"/>
      <c r="C956" s="75"/>
      <c r="D956" s="76"/>
      <c r="E956" s="75"/>
      <c r="F956" s="75"/>
      <c r="G956" s="75"/>
    </row>
    <row r="957" spans="2:7" x14ac:dyDescent="0.2">
      <c r="B957" s="75"/>
      <c r="C957" s="75"/>
      <c r="D957" s="76"/>
      <c r="E957" s="75"/>
      <c r="F957" s="75"/>
      <c r="G957" s="75"/>
    </row>
    <row r="958" spans="2:7" x14ac:dyDescent="0.2">
      <c r="B958" s="75"/>
      <c r="C958" s="75"/>
      <c r="D958" s="76"/>
      <c r="E958" s="75"/>
      <c r="F958" s="75"/>
      <c r="G958" s="75"/>
    </row>
    <row r="959" spans="2:7" x14ac:dyDescent="0.2">
      <c r="B959" s="75"/>
      <c r="C959" s="75"/>
      <c r="D959" s="76"/>
      <c r="E959" s="75"/>
      <c r="F959" s="75"/>
      <c r="G959" s="75"/>
    </row>
    <row r="960" spans="2:7" x14ac:dyDescent="0.2">
      <c r="B960" s="75"/>
      <c r="C960" s="75"/>
      <c r="D960" s="76"/>
      <c r="E960" s="75"/>
      <c r="F960" s="75"/>
      <c r="G960" s="75"/>
    </row>
    <row r="961" spans="2:7" x14ac:dyDescent="0.2">
      <c r="B961" s="75"/>
      <c r="C961" s="75"/>
      <c r="D961" s="76"/>
      <c r="E961" s="75"/>
      <c r="F961" s="75"/>
      <c r="G961" s="75"/>
    </row>
    <row r="962" spans="2:7" x14ac:dyDescent="0.2">
      <c r="B962" s="75"/>
      <c r="C962" s="75"/>
      <c r="D962" s="76"/>
      <c r="E962" s="75"/>
      <c r="F962" s="75"/>
      <c r="G962" s="75"/>
    </row>
    <row r="963" spans="2:7" x14ac:dyDescent="0.2">
      <c r="B963" s="75"/>
      <c r="C963" s="75"/>
      <c r="D963" s="76"/>
      <c r="E963" s="75"/>
      <c r="F963" s="75"/>
      <c r="G963" s="75"/>
    </row>
    <row r="964" spans="2:7" x14ac:dyDescent="0.2">
      <c r="B964" s="75"/>
      <c r="C964" s="75"/>
      <c r="D964" s="76"/>
      <c r="E964" s="75"/>
      <c r="F964" s="75"/>
      <c r="G964" s="75"/>
    </row>
    <row r="965" spans="2:7" x14ac:dyDescent="0.2">
      <c r="B965" s="75"/>
      <c r="C965" s="75"/>
      <c r="D965" s="76"/>
      <c r="E965" s="75"/>
      <c r="F965" s="75"/>
      <c r="G965" s="75"/>
    </row>
    <row r="966" spans="2:7" x14ac:dyDescent="0.2">
      <c r="B966" s="75"/>
      <c r="C966" s="75"/>
      <c r="D966" s="76"/>
      <c r="E966" s="75"/>
      <c r="F966" s="75"/>
      <c r="G966" s="75"/>
    </row>
    <row r="967" spans="2:7" x14ac:dyDescent="0.2">
      <c r="B967" s="75"/>
      <c r="C967" s="75"/>
      <c r="D967" s="76"/>
      <c r="E967" s="75"/>
      <c r="F967" s="75"/>
      <c r="G967" s="75"/>
    </row>
    <row r="968" spans="2:7" x14ac:dyDescent="0.2">
      <c r="B968" s="75"/>
      <c r="C968" s="75"/>
      <c r="D968" s="76"/>
      <c r="E968" s="75"/>
      <c r="F968" s="75"/>
      <c r="G968" s="75"/>
    </row>
    <row r="969" spans="2:7" x14ac:dyDescent="0.2">
      <c r="B969" s="75"/>
      <c r="C969" s="75"/>
      <c r="D969" s="76"/>
      <c r="E969" s="75"/>
      <c r="F969" s="75"/>
      <c r="G969" s="75"/>
    </row>
    <row r="970" spans="2:7" x14ac:dyDescent="0.2">
      <c r="B970" s="75"/>
      <c r="C970" s="75"/>
      <c r="D970" s="76"/>
      <c r="E970" s="75"/>
      <c r="F970" s="75"/>
      <c r="G970" s="75"/>
    </row>
    <row r="971" spans="2:7" x14ac:dyDescent="0.2">
      <c r="B971" s="75"/>
      <c r="C971" s="75"/>
      <c r="D971" s="76"/>
      <c r="E971" s="75"/>
      <c r="F971" s="75"/>
      <c r="G971" s="75"/>
    </row>
    <row r="972" spans="2:7" x14ac:dyDescent="0.2">
      <c r="B972" s="75"/>
      <c r="C972" s="75"/>
      <c r="D972" s="76"/>
      <c r="E972" s="75"/>
      <c r="F972" s="75"/>
      <c r="G972" s="75"/>
    </row>
    <row r="973" spans="2:7" x14ac:dyDescent="0.2">
      <c r="B973" s="75"/>
      <c r="C973" s="75"/>
      <c r="D973" s="76"/>
      <c r="E973" s="75"/>
      <c r="F973" s="75"/>
      <c r="G973" s="75"/>
    </row>
    <row r="974" spans="2:7" x14ac:dyDescent="0.2">
      <c r="B974" s="75"/>
      <c r="C974" s="75"/>
      <c r="D974" s="76"/>
      <c r="E974" s="75"/>
      <c r="F974" s="75"/>
      <c r="G974" s="75"/>
    </row>
    <row r="975" spans="2:7" x14ac:dyDescent="0.2">
      <c r="B975" s="75"/>
      <c r="C975" s="75"/>
      <c r="D975" s="76"/>
      <c r="E975" s="75"/>
      <c r="F975" s="75"/>
      <c r="G975" s="75"/>
    </row>
    <row r="976" spans="2:7" x14ac:dyDescent="0.2">
      <c r="B976" s="75"/>
      <c r="C976" s="75"/>
      <c r="D976" s="76"/>
      <c r="E976" s="75"/>
      <c r="F976" s="75"/>
      <c r="G976" s="75"/>
    </row>
    <row r="977" spans="2:7" x14ac:dyDescent="0.2">
      <c r="B977" s="75"/>
      <c r="C977" s="75"/>
      <c r="D977" s="76"/>
      <c r="E977" s="75"/>
      <c r="F977" s="75"/>
      <c r="G977" s="75"/>
    </row>
    <row r="978" spans="2:7" x14ac:dyDescent="0.2">
      <c r="B978" s="75"/>
      <c r="C978" s="75"/>
      <c r="D978" s="76"/>
      <c r="E978" s="75"/>
      <c r="F978" s="75"/>
      <c r="G978" s="75"/>
    </row>
    <row r="979" spans="2:7" x14ac:dyDescent="0.2">
      <c r="B979" s="75"/>
      <c r="C979" s="75"/>
      <c r="D979" s="76"/>
      <c r="E979" s="75"/>
      <c r="F979" s="75"/>
      <c r="G979" s="75"/>
    </row>
    <row r="980" spans="2:7" x14ac:dyDescent="0.2">
      <c r="B980" s="75"/>
      <c r="C980" s="75"/>
      <c r="D980" s="76"/>
      <c r="E980" s="75"/>
      <c r="F980" s="75"/>
      <c r="G980" s="75"/>
    </row>
    <row r="981" spans="2:7" x14ac:dyDescent="0.2">
      <c r="B981" s="75"/>
      <c r="C981" s="75"/>
      <c r="D981" s="76"/>
      <c r="E981" s="75"/>
      <c r="F981" s="75"/>
      <c r="G981" s="75"/>
    </row>
    <row r="982" spans="2:7" x14ac:dyDescent="0.2">
      <c r="B982" s="75"/>
      <c r="C982" s="75"/>
      <c r="D982" s="76"/>
      <c r="E982" s="75"/>
      <c r="F982" s="75"/>
      <c r="G982" s="75"/>
    </row>
    <row r="983" spans="2:7" x14ac:dyDescent="0.2">
      <c r="B983" s="75"/>
      <c r="C983" s="75"/>
      <c r="D983" s="76"/>
      <c r="E983" s="75"/>
      <c r="F983" s="75"/>
      <c r="G983" s="75"/>
    </row>
    <row r="984" spans="2:7" x14ac:dyDescent="0.2">
      <c r="B984" s="75"/>
      <c r="C984" s="75"/>
      <c r="D984" s="76"/>
      <c r="E984" s="75"/>
      <c r="F984" s="75"/>
      <c r="G984" s="75"/>
    </row>
    <row r="985" spans="2:7" x14ac:dyDescent="0.2">
      <c r="B985" s="75"/>
      <c r="C985" s="75"/>
      <c r="D985" s="76"/>
      <c r="E985" s="75"/>
      <c r="F985" s="75"/>
      <c r="G985" s="75"/>
    </row>
    <row r="986" spans="2:7" x14ac:dyDescent="0.2">
      <c r="B986" s="75"/>
      <c r="C986" s="75"/>
      <c r="D986" s="76"/>
      <c r="E986" s="75"/>
      <c r="F986" s="75"/>
      <c r="G986" s="75"/>
    </row>
    <row r="987" spans="2:7" x14ac:dyDescent="0.2">
      <c r="B987" s="75"/>
      <c r="C987" s="75"/>
      <c r="D987" s="76"/>
      <c r="E987" s="75"/>
      <c r="F987" s="75"/>
      <c r="G987" s="75"/>
    </row>
    <row r="988" spans="2:7" x14ac:dyDescent="0.2">
      <c r="B988" s="75"/>
      <c r="C988" s="75"/>
      <c r="D988" s="76"/>
      <c r="E988" s="75"/>
      <c r="F988" s="75"/>
      <c r="G988" s="75"/>
    </row>
    <row r="989" spans="2:7" x14ac:dyDescent="0.2">
      <c r="B989" s="75"/>
      <c r="C989" s="75"/>
      <c r="D989" s="76"/>
      <c r="E989" s="75"/>
      <c r="F989" s="75"/>
      <c r="G989" s="75"/>
    </row>
    <row r="990" spans="2:7" x14ac:dyDescent="0.2">
      <c r="B990" s="75"/>
      <c r="C990" s="75"/>
      <c r="D990" s="76"/>
      <c r="E990" s="75"/>
      <c r="F990" s="75"/>
      <c r="G990" s="75"/>
    </row>
    <row r="991" spans="2:7" x14ac:dyDescent="0.2">
      <c r="B991" s="75"/>
      <c r="C991" s="75"/>
      <c r="D991" s="76"/>
      <c r="E991" s="75"/>
      <c r="F991" s="75"/>
      <c r="G991" s="75"/>
    </row>
    <row r="992" spans="2:7" x14ac:dyDescent="0.2">
      <c r="B992" s="75"/>
      <c r="C992" s="75"/>
      <c r="D992" s="76"/>
      <c r="E992" s="75"/>
      <c r="F992" s="75"/>
      <c r="G992" s="75"/>
    </row>
    <row r="993" spans="2:7" x14ac:dyDescent="0.2">
      <c r="B993" s="75"/>
      <c r="C993" s="75"/>
      <c r="D993" s="76"/>
      <c r="E993" s="75"/>
      <c r="F993" s="75"/>
      <c r="G993" s="75"/>
    </row>
    <row r="994" spans="2:7" x14ac:dyDescent="0.2">
      <c r="B994" s="75"/>
      <c r="C994" s="75"/>
      <c r="D994" s="76"/>
      <c r="E994" s="75"/>
      <c r="F994" s="75"/>
      <c r="G994" s="75"/>
    </row>
    <row r="995" spans="2:7" x14ac:dyDescent="0.2">
      <c r="B995" s="75"/>
      <c r="C995" s="75"/>
      <c r="D995" s="76"/>
      <c r="E995" s="75"/>
      <c r="F995" s="75"/>
      <c r="G995" s="75"/>
    </row>
    <row r="996" spans="2:7" x14ac:dyDescent="0.2">
      <c r="B996" s="75"/>
      <c r="C996" s="75"/>
      <c r="D996" s="76"/>
      <c r="E996" s="75"/>
      <c r="F996" s="75"/>
      <c r="G996" s="75"/>
    </row>
    <row r="997" spans="2:7" x14ac:dyDescent="0.2">
      <c r="B997" s="75"/>
      <c r="C997" s="75"/>
      <c r="D997" s="76"/>
      <c r="E997" s="75"/>
      <c r="F997" s="75"/>
      <c r="G997" s="75"/>
    </row>
    <row r="998" spans="2:7" x14ac:dyDescent="0.2">
      <c r="B998" s="75"/>
      <c r="C998" s="75"/>
      <c r="D998" s="76"/>
      <c r="E998" s="75"/>
      <c r="F998" s="75"/>
      <c r="G998" s="75"/>
    </row>
    <row r="999" spans="2:7" x14ac:dyDescent="0.2">
      <c r="B999" s="75"/>
      <c r="C999" s="75"/>
      <c r="D999" s="76"/>
      <c r="E999" s="75"/>
      <c r="F999" s="75"/>
      <c r="G999" s="75"/>
    </row>
    <row r="1000" spans="2:7" x14ac:dyDescent="0.2">
      <c r="B1000" s="75"/>
      <c r="C1000" s="75"/>
      <c r="D1000" s="76"/>
      <c r="E1000" s="75"/>
      <c r="F1000" s="75"/>
      <c r="G1000" s="75"/>
    </row>
    <row r="1001" spans="2:7" x14ac:dyDescent="0.2">
      <c r="B1001" s="75"/>
      <c r="C1001" s="75"/>
      <c r="D1001" s="76"/>
      <c r="E1001" s="75"/>
      <c r="F1001" s="75"/>
      <c r="G1001" s="75"/>
    </row>
    <row r="1002" spans="2:7" x14ac:dyDescent="0.2">
      <c r="B1002" s="75"/>
      <c r="C1002" s="75"/>
      <c r="D1002" s="76"/>
      <c r="E1002" s="75"/>
      <c r="F1002" s="75"/>
      <c r="G1002" s="75"/>
    </row>
    <row r="1003" spans="2:7" x14ac:dyDescent="0.2">
      <c r="B1003" s="75"/>
      <c r="C1003" s="75"/>
      <c r="D1003" s="76"/>
      <c r="E1003" s="75"/>
      <c r="F1003" s="75"/>
      <c r="G1003" s="75"/>
    </row>
    <row r="1004" spans="2:7" x14ac:dyDescent="0.2">
      <c r="B1004" s="75"/>
      <c r="C1004" s="75"/>
      <c r="D1004" s="76"/>
      <c r="E1004" s="75"/>
      <c r="F1004" s="75"/>
      <c r="G1004" s="75"/>
    </row>
    <row r="1005" spans="2:7" x14ac:dyDescent="0.2">
      <c r="B1005" s="75"/>
      <c r="C1005" s="75"/>
      <c r="D1005" s="76"/>
      <c r="E1005" s="75"/>
      <c r="F1005" s="75"/>
      <c r="G1005" s="75"/>
    </row>
    <row r="1006" spans="2:7" x14ac:dyDescent="0.2">
      <c r="B1006" s="75"/>
      <c r="C1006" s="75"/>
      <c r="D1006" s="76"/>
      <c r="E1006" s="75"/>
      <c r="F1006" s="75"/>
      <c r="G1006" s="75"/>
    </row>
    <row r="1007" spans="2:7" x14ac:dyDescent="0.2">
      <c r="B1007" s="75"/>
      <c r="C1007" s="75"/>
      <c r="D1007" s="76"/>
      <c r="E1007" s="75"/>
      <c r="F1007" s="75"/>
      <c r="G1007" s="75"/>
    </row>
    <row r="1008" spans="2:7" x14ac:dyDescent="0.2">
      <c r="B1008" s="75"/>
      <c r="C1008" s="75"/>
      <c r="D1008" s="76"/>
      <c r="E1008" s="75"/>
      <c r="F1008" s="75"/>
      <c r="G1008" s="75"/>
    </row>
    <row r="1009" spans="2:7" x14ac:dyDescent="0.2">
      <c r="B1009" s="75"/>
      <c r="C1009" s="75"/>
      <c r="D1009" s="76"/>
      <c r="E1009" s="75"/>
      <c r="F1009" s="75"/>
      <c r="G1009" s="75"/>
    </row>
    <row r="1010" spans="2:7" x14ac:dyDescent="0.2">
      <c r="B1010" s="75"/>
      <c r="C1010" s="75"/>
      <c r="D1010" s="76"/>
      <c r="E1010" s="75"/>
      <c r="F1010" s="75"/>
      <c r="G1010" s="75"/>
    </row>
    <row r="1011" spans="2:7" x14ac:dyDescent="0.2">
      <c r="B1011" s="75"/>
      <c r="C1011" s="75"/>
      <c r="D1011" s="76"/>
      <c r="E1011" s="75"/>
      <c r="F1011" s="75"/>
      <c r="G1011" s="75"/>
    </row>
    <row r="1012" spans="2:7" x14ac:dyDescent="0.2">
      <c r="B1012" s="75"/>
      <c r="C1012" s="75"/>
      <c r="D1012" s="76"/>
      <c r="E1012" s="75"/>
      <c r="F1012" s="75"/>
      <c r="G1012" s="75"/>
    </row>
    <row r="1013" spans="2:7" x14ac:dyDescent="0.2">
      <c r="B1013" s="75"/>
      <c r="C1013" s="75"/>
      <c r="D1013" s="76"/>
      <c r="E1013" s="75"/>
      <c r="F1013" s="75"/>
      <c r="G1013" s="75"/>
    </row>
    <row r="1014" spans="2:7" x14ac:dyDescent="0.2">
      <c r="B1014" s="75"/>
      <c r="C1014" s="75"/>
      <c r="D1014" s="76"/>
      <c r="E1014" s="75"/>
      <c r="F1014" s="75"/>
      <c r="G1014" s="75"/>
    </row>
    <row r="1015" spans="2:7" x14ac:dyDescent="0.2">
      <c r="B1015" s="75"/>
      <c r="C1015" s="75"/>
      <c r="D1015" s="76"/>
      <c r="E1015" s="75"/>
      <c r="F1015" s="75"/>
      <c r="G1015" s="75"/>
    </row>
    <row r="1016" spans="2:7" x14ac:dyDescent="0.2">
      <c r="B1016" s="75"/>
      <c r="C1016" s="75"/>
      <c r="D1016" s="76"/>
      <c r="E1016" s="75"/>
      <c r="F1016" s="75"/>
      <c r="G1016" s="75"/>
    </row>
    <row r="1017" spans="2:7" x14ac:dyDescent="0.2">
      <c r="B1017" s="75"/>
      <c r="C1017" s="75"/>
      <c r="D1017" s="76"/>
      <c r="E1017" s="75"/>
      <c r="F1017" s="75"/>
      <c r="G1017" s="75"/>
    </row>
    <row r="1018" spans="2:7" x14ac:dyDescent="0.2">
      <c r="B1018" s="75"/>
      <c r="C1018" s="75"/>
      <c r="D1018" s="76"/>
      <c r="E1018" s="75"/>
      <c r="F1018" s="75"/>
      <c r="G1018" s="75"/>
    </row>
    <row r="1019" spans="2:7" x14ac:dyDescent="0.2">
      <c r="B1019" s="75"/>
      <c r="C1019" s="75"/>
      <c r="D1019" s="76"/>
      <c r="E1019" s="75"/>
      <c r="F1019" s="75"/>
      <c r="G1019" s="75"/>
    </row>
    <row r="1020" spans="2:7" x14ac:dyDescent="0.2">
      <c r="B1020" s="75"/>
      <c r="C1020" s="75"/>
      <c r="D1020" s="76"/>
      <c r="E1020" s="75"/>
      <c r="F1020" s="75"/>
      <c r="G1020" s="75"/>
    </row>
    <row r="1021" spans="2:7" x14ac:dyDescent="0.2">
      <c r="B1021" s="75"/>
      <c r="C1021" s="75"/>
      <c r="D1021" s="76"/>
      <c r="E1021" s="75"/>
      <c r="F1021" s="75"/>
      <c r="G1021" s="75"/>
    </row>
    <row r="1022" spans="2:7" x14ac:dyDescent="0.2">
      <c r="B1022" s="75"/>
      <c r="C1022" s="75"/>
      <c r="D1022" s="76"/>
      <c r="E1022" s="75"/>
      <c r="F1022" s="75"/>
      <c r="G1022" s="75"/>
    </row>
    <row r="1023" spans="2:7" x14ac:dyDescent="0.2">
      <c r="B1023" s="75"/>
      <c r="C1023" s="75"/>
      <c r="D1023" s="76"/>
      <c r="E1023" s="75"/>
      <c r="F1023" s="75"/>
      <c r="G1023" s="75"/>
    </row>
    <row r="1024" spans="2:7" x14ac:dyDescent="0.2">
      <c r="B1024" s="75"/>
      <c r="C1024" s="75"/>
      <c r="D1024" s="76"/>
      <c r="E1024" s="75"/>
      <c r="F1024" s="75"/>
      <c r="G1024" s="75"/>
    </row>
    <row r="1025" spans="2:7" x14ac:dyDescent="0.2">
      <c r="B1025" s="75"/>
      <c r="C1025" s="75"/>
      <c r="D1025" s="76"/>
      <c r="E1025" s="75"/>
      <c r="F1025" s="75"/>
      <c r="G1025" s="75"/>
    </row>
    <row r="1026" spans="2:7" x14ac:dyDescent="0.2">
      <c r="B1026" s="75"/>
      <c r="C1026" s="75"/>
      <c r="D1026" s="76"/>
      <c r="E1026" s="75"/>
      <c r="F1026" s="75"/>
      <c r="G1026" s="75"/>
    </row>
    <row r="1027" spans="2:7" x14ac:dyDescent="0.2">
      <c r="B1027" s="75"/>
      <c r="C1027" s="75"/>
      <c r="D1027" s="76"/>
      <c r="E1027" s="75"/>
      <c r="F1027" s="75"/>
      <c r="G1027" s="75"/>
    </row>
    <row r="1028" spans="2:7" x14ac:dyDescent="0.2">
      <c r="B1028" s="75"/>
      <c r="C1028" s="75"/>
      <c r="D1028" s="76"/>
      <c r="E1028" s="75"/>
      <c r="F1028" s="75"/>
      <c r="G1028" s="75"/>
    </row>
    <row r="1029" spans="2:7" x14ac:dyDescent="0.2">
      <c r="B1029" s="75"/>
      <c r="C1029" s="75"/>
      <c r="D1029" s="76"/>
      <c r="E1029" s="75"/>
      <c r="F1029" s="75"/>
      <c r="G1029" s="75"/>
    </row>
    <row r="1030" spans="2:7" x14ac:dyDescent="0.2">
      <c r="B1030" s="75"/>
      <c r="C1030" s="75"/>
      <c r="D1030" s="76"/>
      <c r="E1030" s="75"/>
      <c r="F1030" s="75"/>
      <c r="G1030" s="75"/>
    </row>
    <row r="1031" spans="2:7" x14ac:dyDescent="0.2">
      <c r="B1031" s="75"/>
      <c r="C1031" s="75"/>
      <c r="D1031" s="76"/>
      <c r="E1031" s="75"/>
      <c r="F1031" s="75"/>
      <c r="G1031" s="75"/>
    </row>
    <row r="1032" spans="2:7" x14ac:dyDescent="0.2">
      <c r="B1032" s="75"/>
      <c r="C1032" s="75"/>
      <c r="D1032" s="76"/>
      <c r="E1032" s="75"/>
      <c r="F1032" s="75"/>
      <c r="G1032" s="75"/>
    </row>
    <row r="1033" spans="2:7" x14ac:dyDescent="0.2">
      <c r="B1033" s="75"/>
      <c r="C1033" s="75"/>
      <c r="D1033" s="76"/>
      <c r="E1033" s="75"/>
      <c r="F1033" s="75"/>
      <c r="G1033" s="75"/>
    </row>
    <row r="1034" spans="2:7" x14ac:dyDescent="0.2">
      <c r="B1034" s="75"/>
      <c r="C1034" s="75"/>
      <c r="D1034" s="76"/>
      <c r="E1034" s="75"/>
      <c r="F1034" s="75"/>
      <c r="G1034" s="75"/>
    </row>
    <row r="1035" spans="2:7" x14ac:dyDescent="0.2">
      <c r="B1035" s="75"/>
      <c r="C1035" s="75"/>
      <c r="D1035" s="76"/>
      <c r="E1035" s="75"/>
      <c r="F1035" s="75"/>
      <c r="G1035" s="75"/>
    </row>
    <row r="1036" spans="2:7" x14ac:dyDescent="0.2">
      <c r="B1036" s="75"/>
      <c r="C1036" s="75"/>
      <c r="D1036" s="76"/>
      <c r="E1036" s="75"/>
      <c r="F1036" s="75"/>
      <c r="G1036" s="75"/>
    </row>
    <row r="1037" spans="2:7" x14ac:dyDescent="0.2">
      <c r="B1037" s="75"/>
      <c r="C1037" s="75"/>
      <c r="D1037" s="76"/>
      <c r="E1037" s="75"/>
      <c r="F1037" s="75"/>
      <c r="G1037" s="75"/>
    </row>
    <row r="1038" spans="2:7" x14ac:dyDescent="0.2">
      <c r="B1038" s="75"/>
      <c r="C1038" s="75"/>
      <c r="D1038" s="76"/>
      <c r="E1038" s="75"/>
      <c r="F1038" s="75"/>
      <c r="G1038" s="75"/>
    </row>
    <row r="1039" spans="2:7" x14ac:dyDescent="0.2">
      <c r="B1039" s="75"/>
      <c r="C1039" s="75"/>
      <c r="D1039" s="76"/>
      <c r="E1039" s="75"/>
      <c r="F1039" s="75"/>
      <c r="G1039" s="75"/>
    </row>
    <row r="1040" spans="2:7" x14ac:dyDescent="0.2">
      <c r="B1040" s="75"/>
      <c r="C1040" s="75"/>
      <c r="D1040" s="76"/>
      <c r="E1040" s="75"/>
      <c r="F1040" s="75"/>
      <c r="G1040" s="75"/>
    </row>
    <row r="1041" spans="2:7" x14ac:dyDescent="0.2">
      <c r="B1041" s="75"/>
      <c r="C1041" s="75"/>
      <c r="D1041" s="76"/>
      <c r="E1041" s="75"/>
      <c r="F1041" s="75"/>
      <c r="G1041" s="75"/>
    </row>
    <row r="1042" spans="2:7" x14ac:dyDescent="0.2">
      <c r="B1042" s="75"/>
      <c r="C1042" s="75"/>
      <c r="D1042" s="76"/>
      <c r="E1042" s="75"/>
      <c r="F1042" s="75"/>
      <c r="G1042" s="75"/>
    </row>
    <row r="1043" spans="2:7" x14ac:dyDescent="0.2">
      <c r="B1043" s="75"/>
      <c r="C1043" s="75"/>
      <c r="D1043" s="76"/>
      <c r="E1043" s="75"/>
      <c r="F1043" s="75"/>
      <c r="G1043" s="75"/>
    </row>
    <row r="1044" spans="2:7" x14ac:dyDescent="0.2">
      <c r="B1044" s="75"/>
      <c r="C1044" s="75"/>
      <c r="D1044" s="76"/>
      <c r="E1044" s="75"/>
      <c r="F1044" s="75"/>
      <c r="G1044" s="75"/>
    </row>
    <row r="1045" spans="2:7" x14ac:dyDescent="0.2">
      <c r="B1045" s="75"/>
      <c r="C1045" s="75"/>
      <c r="D1045" s="76"/>
      <c r="E1045" s="75"/>
      <c r="F1045" s="75"/>
      <c r="G1045" s="75"/>
    </row>
    <row r="1046" spans="2:7" x14ac:dyDescent="0.2">
      <c r="B1046" s="75"/>
      <c r="C1046" s="75"/>
      <c r="D1046" s="76"/>
      <c r="E1046" s="75"/>
      <c r="F1046" s="75"/>
      <c r="G1046" s="75"/>
    </row>
    <row r="1047" spans="2:7" x14ac:dyDescent="0.2">
      <c r="B1047" s="75"/>
      <c r="C1047" s="75"/>
      <c r="D1047" s="76"/>
      <c r="E1047" s="75"/>
      <c r="F1047" s="75"/>
      <c r="G1047" s="75"/>
    </row>
    <row r="1048" spans="2:7" x14ac:dyDescent="0.2">
      <c r="B1048" s="75"/>
      <c r="C1048" s="75"/>
      <c r="D1048" s="76"/>
      <c r="E1048" s="75"/>
      <c r="F1048" s="75"/>
      <c r="G1048" s="75"/>
    </row>
    <row r="1049" spans="2:7" x14ac:dyDescent="0.2">
      <c r="B1049" s="75"/>
      <c r="C1049" s="75"/>
      <c r="D1049" s="76"/>
      <c r="E1049" s="75"/>
      <c r="F1049" s="75"/>
      <c r="G1049" s="75"/>
    </row>
    <row r="1050" spans="2:7" x14ac:dyDescent="0.2">
      <c r="B1050" s="75"/>
      <c r="C1050" s="75"/>
      <c r="D1050" s="76"/>
      <c r="E1050" s="75"/>
      <c r="F1050" s="75"/>
      <c r="G1050" s="75"/>
    </row>
    <row r="1051" spans="2:7" x14ac:dyDescent="0.2">
      <c r="B1051" s="75"/>
      <c r="C1051" s="75"/>
      <c r="D1051" s="76"/>
      <c r="E1051" s="75"/>
      <c r="F1051" s="75"/>
      <c r="G1051" s="75"/>
    </row>
    <row r="1052" spans="2:7" x14ac:dyDescent="0.2">
      <c r="B1052" s="75"/>
      <c r="C1052" s="75"/>
      <c r="D1052" s="76"/>
      <c r="E1052" s="75"/>
      <c r="F1052" s="75"/>
      <c r="G1052" s="75"/>
    </row>
    <row r="1053" spans="2:7" x14ac:dyDescent="0.2">
      <c r="B1053" s="75"/>
      <c r="C1053" s="75"/>
      <c r="D1053" s="76"/>
      <c r="E1053" s="75"/>
      <c r="F1053" s="75"/>
      <c r="G1053" s="75"/>
    </row>
    <row r="1054" spans="2:7" x14ac:dyDescent="0.2">
      <c r="B1054" s="75"/>
      <c r="C1054" s="75"/>
      <c r="D1054" s="76"/>
      <c r="E1054" s="75"/>
      <c r="F1054" s="75"/>
      <c r="G1054" s="75"/>
    </row>
    <row r="1055" spans="2:7" x14ac:dyDescent="0.2">
      <c r="B1055" s="75"/>
      <c r="C1055" s="75"/>
      <c r="D1055" s="76"/>
      <c r="E1055" s="75"/>
      <c r="F1055" s="75"/>
      <c r="G1055" s="75"/>
    </row>
    <row r="1056" spans="2:7" x14ac:dyDescent="0.2">
      <c r="B1056" s="75"/>
      <c r="C1056" s="75"/>
      <c r="D1056" s="76"/>
      <c r="E1056" s="75"/>
      <c r="F1056" s="75"/>
      <c r="G1056" s="75"/>
    </row>
    <row r="1057" spans="2:7" x14ac:dyDescent="0.2">
      <c r="B1057" s="75"/>
      <c r="C1057" s="75"/>
      <c r="D1057" s="76"/>
      <c r="E1057" s="75"/>
      <c r="F1057" s="75"/>
      <c r="G1057" s="75"/>
    </row>
    <row r="1058" spans="2:7" x14ac:dyDescent="0.2">
      <c r="B1058" s="75"/>
      <c r="C1058" s="75"/>
      <c r="D1058" s="76"/>
      <c r="E1058" s="75"/>
      <c r="F1058" s="75"/>
      <c r="G1058" s="75"/>
    </row>
    <row r="1059" spans="2:7" x14ac:dyDescent="0.2">
      <c r="B1059" s="75"/>
      <c r="C1059" s="75"/>
      <c r="D1059" s="76"/>
      <c r="E1059" s="75"/>
      <c r="F1059" s="75"/>
      <c r="G1059" s="75"/>
    </row>
    <row r="1060" spans="2:7" x14ac:dyDescent="0.2">
      <c r="B1060" s="75"/>
      <c r="C1060" s="75"/>
      <c r="D1060" s="76"/>
      <c r="E1060" s="75"/>
      <c r="F1060" s="75"/>
      <c r="G1060" s="75"/>
    </row>
    <row r="1061" spans="2:7" x14ac:dyDescent="0.2">
      <c r="B1061" s="75"/>
      <c r="C1061" s="75"/>
      <c r="D1061" s="76"/>
      <c r="E1061" s="75"/>
      <c r="F1061" s="75"/>
      <c r="G1061" s="75"/>
    </row>
    <row r="1062" spans="2:7" x14ac:dyDescent="0.2">
      <c r="B1062" s="75"/>
      <c r="C1062" s="75"/>
      <c r="D1062" s="76"/>
      <c r="E1062" s="75"/>
      <c r="F1062" s="75"/>
      <c r="G1062" s="75"/>
    </row>
    <row r="1063" spans="2:7" x14ac:dyDescent="0.2">
      <c r="B1063" s="75"/>
      <c r="C1063" s="75"/>
      <c r="D1063" s="76"/>
      <c r="E1063" s="75"/>
      <c r="F1063" s="75"/>
      <c r="G1063" s="75"/>
    </row>
    <row r="1064" spans="2:7" x14ac:dyDescent="0.2">
      <c r="B1064" s="75"/>
      <c r="C1064" s="75"/>
      <c r="D1064" s="76"/>
      <c r="E1064" s="75"/>
      <c r="F1064" s="75"/>
      <c r="G1064" s="75"/>
    </row>
    <row r="1065" spans="2:7" x14ac:dyDescent="0.2">
      <c r="B1065" s="75"/>
      <c r="C1065" s="75"/>
      <c r="D1065" s="76"/>
      <c r="E1065" s="75"/>
      <c r="F1065" s="75"/>
      <c r="G1065" s="75"/>
    </row>
    <row r="1066" spans="2:7" x14ac:dyDescent="0.2">
      <c r="B1066" s="75"/>
      <c r="C1066" s="75"/>
      <c r="D1066" s="76"/>
      <c r="E1066" s="75"/>
      <c r="F1066" s="75"/>
      <c r="G1066" s="75"/>
    </row>
    <row r="1067" spans="2:7" x14ac:dyDescent="0.2">
      <c r="B1067" s="75"/>
      <c r="C1067" s="75"/>
      <c r="D1067" s="76"/>
      <c r="E1067" s="75"/>
      <c r="F1067" s="75"/>
      <c r="G1067" s="75"/>
    </row>
    <row r="1068" spans="2:7" x14ac:dyDescent="0.2">
      <c r="B1068" s="75"/>
      <c r="C1068" s="75"/>
      <c r="D1068" s="76"/>
      <c r="E1068" s="75"/>
      <c r="F1068" s="75"/>
      <c r="G1068" s="75"/>
    </row>
    <row r="1069" spans="2:7" x14ac:dyDescent="0.2">
      <c r="B1069" s="75"/>
      <c r="C1069" s="75"/>
      <c r="D1069" s="76"/>
      <c r="E1069" s="75"/>
      <c r="F1069" s="75"/>
      <c r="G1069" s="75"/>
    </row>
    <row r="1070" spans="2:7" x14ac:dyDescent="0.2">
      <c r="B1070" s="75"/>
      <c r="C1070" s="75"/>
      <c r="D1070" s="76"/>
      <c r="E1070" s="75"/>
      <c r="F1070" s="75"/>
      <c r="G1070" s="75"/>
    </row>
    <row r="1071" spans="2:7" x14ac:dyDescent="0.2">
      <c r="B1071" s="75"/>
      <c r="C1071" s="75"/>
      <c r="D1071" s="76"/>
      <c r="E1071" s="75"/>
      <c r="F1071" s="75"/>
      <c r="G1071" s="75"/>
    </row>
    <row r="1072" spans="2:7" x14ac:dyDescent="0.2">
      <c r="B1072" s="75"/>
      <c r="C1072" s="75"/>
      <c r="D1072" s="76"/>
      <c r="E1072" s="75"/>
      <c r="F1072" s="75"/>
      <c r="G1072" s="75"/>
    </row>
    <row r="1073" spans="2:7" x14ac:dyDescent="0.2">
      <c r="B1073" s="75"/>
      <c r="C1073" s="75"/>
      <c r="D1073" s="76"/>
      <c r="E1073" s="75"/>
      <c r="F1073" s="75"/>
      <c r="G1073" s="75"/>
    </row>
    <row r="1074" spans="2:7" x14ac:dyDescent="0.2">
      <c r="B1074" s="75"/>
      <c r="C1074" s="75"/>
      <c r="D1074" s="76"/>
      <c r="E1074" s="75"/>
      <c r="F1074" s="75"/>
      <c r="G1074" s="75"/>
    </row>
    <row r="1075" spans="2:7" x14ac:dyDescent="0.2">
      <c r="B1075" s="75"/>
      <c r="C1075" s="75"/>
      <c r="D1075" s="76"/>
      <c r="E1075" s="75"/>
      <c r="F1075" s="75"/>
      <c r="G1075" s="75"/>
    </row>
    <row r="1076" spans="2:7" x14ac:dyDescent="0.2">
      <c r="B1076" s="75"/>
      <c r="C1076" s="75"/>
      <c r="D1076" s="76"/>
      <c r="E1076" s="75"/>
      <c r="F1076" s="75"/>
      <c r="G1076" s="75"/>
    </row>
    <row r="1077" spans="2:7" x14ac:dyDescent="0.2">
      <c r="B1077" s="75"/>
      <c r="C1077" s="75"/>
      <c r="D1077" s="76"/>
      <c r="E1077" s="75"/>
      <c r="F1077" s="75"/>
      <c r="G1077" s="75"/>
    </row>
    <row r="1078" spans="2:7" x14ac:dyDescent="0.2">
      <c r="B1078" s="75"/>
      <c r="C1078" s="75"/>
      <c r="D1078" s="76"/>
      <c r="E1078" s="75"/>
      <c r="F1078" s="75"/>
      <c r="G1078" s="75"/>
    </row>
    <row r="1079" spans="2:7" x14ac:dyDescent="0.2">
      <c r="B1079" s="75"/>
      <c r="C1079" s="75"/>
      <c r="D1079" s="76"/>
      <c r="E1079" s="75"/>
      <c r="F1079" s="75"/>
      <c r="G1079" s="75"/>
    </row>
    <row r="1080" spans="2:7" x14ac:dyDescent="0.2">
      <c r="B1080" s="75"/>
      <c r="C1080" s="75"/>
      <c r="D1080" s="76"/>
      <c r="E1080" s="75"/>
      <c r="F1080" s="75"/>
      <c r="G1080" s="75"/>
    </row>
    <row r="1081" spans="2:7" x14ac:dyDescent="0.2">
      <c r="B1081" s="75"/>
      <c r="C1081" s="75"/>
      <c r="D1081" s="76"/>
      <c r="E1081" s="75"/>
      <c r="F1081" s="75"/>
      <c r="G1081" s="75"/>
    </row>
    <row r="1082" spans="2:7" x14ac:dyDescent="0.2">
      <c r="B1082" s="75"/>
      <c r="C1082" s="75"/>
      <c r="D1082" s="76"/>
      <c r="E1082" s="75"/>
      <c r="F1082" s="75"/>
      <c r="G1082" s="75"/>
    </row>
    <row r="1083" spans="2:7" x14ac:dyDescent="0.2">
      <c r="B1083" s="75"/>
      <c r="C1083" s="75"/>
      <c r="D1083" s="76"/>
      <c r="E1083" s="75"/>
      <c r="F1083" s="75"/>
      <c r="G1083" s="75"/>
    </row>
    <row r="1084" spans="2:7" x14ac:dyDescent="0.2">
      <c r="B1084" s="75"/>
      <c r="C1084" s="75"/>
      <c r="D1084" s="76"/>
      <c r="E1084" s="75"/>
      <c r="F1084" s="75"/>
      <c r="G1084" s="75"/>
    </row>
    <row r="1085" spans="2:7" x14ac:dyDescent="0.2">
      <c r="B1085" s="75"/>
      <c r="C1085" s="75"/>
      <c r="D1085" s="76"/>
      <c r="E1085" s="75"/>
      <c r="F1085" s="75"/>
      <c r="G1085" s="75"/>
    </row>
    <row r="1086" spans="2:7" x14ac:dyDescent="0.2">
      <c r="D1086" s="5"/>
    </row>
    <row r="1087" spans="2:7" x14ac:dyDescent="0.2">
      <c r="D1087" s="5"/>
    </row>
    <row r="1088" spans="2:7" x14ac:dyDescent="0.2">
      <c r="D1088" s="5"/>
    </row>
    <row r="1089" spans="4:4" x14ac:dyDescent="0.2">
      <c r="D1089" s="5"/>
    </row>
    <row r="1090" spans="4:4" x14ac:dyDescent="0.2">
      <c r="D1090" s="5"/>
    </row>
    <row r="1091" spans="4:4" x14ac:dyDescent="0.2">
      <c r="D1091" s="5"/>
    </row>
    <row r="1092" spans="4:4" x14ac:dyDescent="0.2">
      <c r="D1092" s="5"/>
    </row>
    <row r="1093" spans="4:4" x14ac:dyDescent="0.2">
      <c r="D1093" s="5"/>
    </row>
    <row r="1094" spans="4:4" x14ac:dyDescent="0.2">
      <c r="D1094" s="5"/>
    </row>
    <row r="1095" spans="4:4" x14ac:dyDescent="0.2">
      <c r="D1095" s="5"/>
    </row>
    <row r="1096" spans="4:4" x14ac:dyDescent="0.2">
      <c r="D1096" s="5"/>
    </row>
    <row r="1097" spans="4:4" x14ac:dyDescent="0.2">
      <c r="D1097" s="5"/>
    </row>
    <row r="1098" spans="4:4" x14ac:dyDescent="0.2">
      <c r="D1098" s="5"/>
    </row>
    <row r="1099" spans="4:4" x14ac:dyDescent="0.2">
      <c r="D1099" s="5"/>
    </row>
    <row r="1100" spans="4:4" x14ac:dyDescent="0.2">
      <c r="D1100" s="5"/>
    </row>
    <row r="1101" spans="4:4" x14ac:dyDescent="0.2">
      <c r="D1101" s="5"/>
    </row>
    <row r="1102" spans="4:4" x14ac:dyDescent="0.2">
      <c r="D1102" s="5"/>
    </row>
    <row r="1103" spans="4:4" x14ac:dyDescent="0.2">
      <c r="D1103" s="5"/>
    </row>
    <row r="1104" spans="4:4" x14ac:dyDescent="0.2">
      <c r="D1104" s="5"/>
    </row>
    <row r="1105" spans="4:4" x14ac:dyDescent="0.2">
      <c r="D1105" s="5"/>
    </row>
    <row r="1106" spans="4:4" x14ac:dyDescent="0.2">
      <c r="D1106" s="5"/>
    </row>
    <row r="1107" spans="4:4" x14ac:dyDescent="0.2">
      <c r="D1107" s="5"/>
    </row>
    <row r="1108" spans="4:4" x14ac:dyDescent="0.2">
      <c r="D1108" s="5"/>
    </row>
    <row r="1109" spans="4:4" x14ac:dyDescent="0.2">
      <c r="D1109" s="5"/>
    </row>
    <row r="1110" spans="4:4" x14ac:dyDescent="0.2">
      <c r="D1110" s="5"/>
    </row>
    <row r="1111" spans="4:4" x14ac:dyDescent="0.2">
      <c r="D1111" s="5"/>
    </row>
    <row r="1112" spans="4:4" x14ac:dyDescent="0.2">
      <c r="D1112" s="5"/>
    </row>
    <row r="1113" spans="4:4" x14ac:dyDescent="0.2">
      <c r="D1113" s="5"/>
    </row>
    <row r="1114" spans="4:4" x14ac:dyDescent="0.2">
      <c r="D1114" s="5"/>
    </row>
    <row r="1115" spans="4:4" x14ac:dyDescent="0.2">
      <c r="D1115" s="5"/>
    </row>
    <row r="1116" spans="4:4" x14ac:dyDescent="0.2">
      <c r="D1116" s="5"/>
    </row>
    <row r="1117" spans="4:4" x14ac:dyDescent="0.2">
      <c r="D1117" s="5"/>
    </row>
    <row r="1118" spans="4:4" x14ac:dyDescent="0.2">
      <c r="D1118" s="5"/>
    </row>
    <row r="1119" spans="4:4" x14ac:dyDescent="0.2">
      <c r="D1119" s="5"/>
    </row>
    <row r="1120" spans="4:4" x14ac:dyDescent="0.2">
      <c r="D1120" s="5"/>
    </row>
    <row r="1121" spans="4:4" x14ac:dyDescent="0.2">
      <c r="D1121" s="5"/>
    </row>
    <row r="1122" spans="4:4" x14ac:dyDescent="0.2">
      <c r="D1122" s="5"/>
    </row>
    <row r="1123" spans="4:4" x14ac:dyDescent="0.2">
      <c r="D1123" s="5"/>
    </row>
    <row r="1124" spans="4:4" x14ac:dyDescent="0.2">
      <c r="D1124" s="5"/>
    </row>
    <row r="1125" spans="4:4" x14ac:dyDescent="0.2">
      <c r="D1125" s="5"/>
    </row>
    <row r="1126" spans="4:4" x14ac:dyDescent="0.2">
      <c r="D1126" s="5"/>
    </row>
    <row r="1127" spans="4:4" x14ac:dyDescent="0.2">
      <c r="D1127" s="5"/>
    </row>
    <row r="1128" spans="4:4" x14ac:dyDescent="0.2">
      <c r="D1128" s="5"/>
    </row>
    <row r="1129" spans="4:4" x14ac:dyDescent="0.2">
      <c r="D1129" s="5"/>
    </row>
    <row r="1130" spans="4:4" x14ac:dyDescent="0.2">
      <c r="D1130" s="5"/>
    </row>
    <row r="1131" spans="4:4" x14ac:dyDescent="0.2">
      <c r="D1131" s="5"/>
    </row>
    <row r="1132" spans="4:4" x14ac:dyDescent="0.2">
      <c r="D1132" s="5"/>
    </row>
    <row r="1133" spans="4:4" x14ac:dyDescent="0.2">
      <c r="D1133" s="5"/>
    </row>
    <row r="1134" spans="4:4" x14ac:dyDescent="0.2">
      <c r="D1134" s="5"/>
    </row>
    <row r="1135" spans="4:4" x14ac:dyDescent="0.2">
      <c r="D1135" s="5"/>
    </row>
    <row r="1136" spans="4:4" x14ac:dyDescent="0.2">
      <c r="D1136" s="5"/>
    </row>
    <row r="1137" spans="4:4" x14ac:dyDescent="0.2">
      <c r="D1137" s="5"/>
    </row>
    <row r="1138" spans="4:4" x14ac:dyDescent="0.2">
      <c r="D1138" s="5"/>
    </row>
    <row r="1139" spans="4:4" x14ac:dyDescent="0.2">
      <c r="D1139" s="5"/>
    </row>
    <row r="1140" spans="4:4" x14ac:dyDescent="0.2">
      <c r="D1140" s="5"/>
    </row>
    <row r="1141" spans="4:4" x14ac:dyDescent="0.2">
      <c r="D1141" s="5"/>
    </row>
    <row r="1142" spans="4:4" x14ac:dyDescent="0.2">
      <c r="D1142" s="5"/>
    </row>
    <row r="1143" spans="4:4" x14ac:dyDescent="0.2">
      <c r="D1143" s="5"/>
    </row>
    <row r="1144" spans="4:4" x14ac:dyDescent="0.2">
      <c r="D1144" s="5"/>
    </row>
    <row r="1145" spans="4:4" x14ac:dyDescent="0.2">
      <c r="D1145" s="5"/>
    </row>
    <row r="1146" spans="4:4" x14ac:dyDescent="0.2">
      <c r="D1146" s="5"/>
    </row>
    <row r="1147" spans="4:4" x14ac:dyDescent="0.2">
      <c r="D1147" s="5"/>
    </row>
    <row r="1148" spans="4:4" x14ac:dyDescent="0.2">
      <c r="D1148" s="5"/>
    </row>
    <row r="1149" spans="4:4" x14ac:dyDescent="0.2">
      <c r="D1149" s="5"/>
    </row>
    <row r="1150" spans="4:4" x14ac:dyDescent="0.2">
      <c r="D1150" s="5"/>
    </row>
    <row r="1151" spans="4:4" x14ac:dyDescent="0.2">
      <c r="D1151" s="5"/>
    </row>
    <row r="1152" spans="4:4" x14ac:dyDescent="0.2">
      <c r="D1152" s="5"/>
    </row>
    <row r="1153" spans="4:4" x14ac:dyDescent="0.2">
      <c r="D1153" s="5"/>
    </row>
    <row r="1154" spans="4:4" x14ac:dyDescent="0.2">
      <c r="D1154" s="5"/>
    </row>
    <row r="1155" spans="4:4" x14ac:dyDescent="0.2">
      <c r="D1155" s="5"/>
    </row>
    <row r="1156" spans="4:4" x14ac:dyDescent="0.2">
      <c r="D1156" s="5"/>
    </row>
    <row r="1157" spans="4:4" x14ac:dyDescent="0.2">
      <c r="D1157" s="5"/>
    </row>
    <row r="1158" spans="4:4" x14ac:dyDescent="0.2">
      <c r="D1158" s="5"/>
    </row>
    <row r="1159" spans="4:4" x14ac:dyDescent="0.2">
      <c r="D1159" s="5"/>
    </row>
    <row r="1160" spans="4:4" x14ac:dyDescent="0.2">
      <c r="D1160" s="5"/>
    </row>
    <row r="1161" spans="4:4" x14ac:dyDescent="0.2">
      <c r="D1161" s="5"/>
    </row>
    <row r="1162" spans="4:4" x14ac:dyDescent="0.2">
      <c r="D1162" s="5"/>
    </row>
    <row r="1163" spans="4:4" x14ac:dyDescent="0.2">
      <c r="D1163" s="5"/>
    </row>
    <row r="1164" spans="4:4" x14ac:dyDescent="0.2">
      <c r="D1164" s="5"/>
    </row>
    <row r="1165" spans="4:4" x14ac:dyDescent="0.2">
      <c r="D1165" s="5"/>
    </row>
    <row r="1166" spans="4:4" x14ac:dyDescent="0.2">
      <c r="D1166" s="5"/>
    </row>
    <row r="1167" spans="4:4" x14ac:dyDescent="0.2">
      <c r="D1167" s="5"/>
    </row>
    <row r="1168" spans="4:4" x14ac:dyDescent="0.2">
      <c r="D1168" s="5"/>
    </row>
    <row r="1169" spans="4:4" x14ac:dyDescent="0.2">
      <c r="D1169" s="5"/>
    </row>
    <row r="1170" spans="4:4" x14ac:dyDescent="0.2">
      <c r="D1170" s="5"/>
    </row>
    <row r="1171" spans="4:4" x14ac:dyDescent="0.2">
      <c r="D1171" s="5"/>
    </row>
    <row r="1172" spans="4:4" x14ac:dyDescent="0.2">
      <c r="D1172" s="5"/>
    </row>
    <row r="1173" spans="4:4" x14ac:dyDescent="0.2">
      <c r="D1173" s="5"/>
    </row>
    <row r="1174" spans="4:4" x14ac:dyDescent="0.2">
      <c r="D1174" s="5"/>
    </row>
    <row r="1175" spans="4:4" x14ac:dyDescent="0.2">
      <c r="D1175" s="5"/>
    </row>
    <row r="1176" spans="4:4" x14ac:dyDescent="0.2">
      <c r="D1176" s="5"/>
    </row>
    <row r="1177" spans="4:4" x14ac:dyDescent="0.2">
      <c r="D1177" s="5"/>
    </row>
    <row r="1178" spans="4:4" x14ac:dyDescent="0.2">
      <c r="D1178" s="5"/>
    </row>
    <row r="1179" spans="4:4" x14ac:dyDescent="0.2">
      <c r="D1179" s="5"/>
    </row>
    <row r="1180" spans="4:4" x14ac:dyDescent="0.2">
      <c r="D1180" s="5"/>
    </row>
    <row r="1181" spans="4:4" x14ac:dyDescent="0.2">
      <c r="D1181" s="5"/>
    </row>
    <row r="1182" spans="4:4" x14ac:dyDescent="0.2">
      <c r="D1182" s="5"/>
    </row>
    <row r="1183" spans="4:4" x14ac:dyDescent="0.2">
      <c r="D1183" s="5"/>
    </row>
    <row r="1184" spans="4:4" x14ac:dyDescent="0.2">
      <c r="D1184" s="5"/>
    </row>
    <row r="1185" spans="4:4" x14ac:dyDescent="0.2">
      <c r="D1185" s="5"/>
    </row>
    <row r="1186" spans="4:4" x14ac:dyDescent="0.2">
      <c r="D1186" s="5"/>
    </row>
    <row r="1187" spans="4:4" x14ac:dyDescent="0.2">
      <c r="D1187" s="5"/>
    </row>
    <row r="1188" spans="4:4" x14ac:dyDescent="0.2">
      <c r="D1188" s="5"/>
    </row>
    <row r="1189" spans="4:4" x14ac:dyDescent="0.2">
      <c r="D1189" s="5"/>
    </row>
    <row r="1190" spans="4:4" x14ac:dyDescent="0.2">
      <c r="D1190" s="5"/>
    </row>
    <row r="1191" spans="4:4" x14ac:dyDescent="0.2">
      <c r="D1191" s="5"/>
    </row>
    <row r="1192" spans="4:4" x14ac:dyDescent="0.2">
      <c r="D1192" s="5"/>
    </row>
    <row r="1193" spans="4:4" x14ac:dyDescent="0.2">
      <c r="D1193" s="5"/>
    </row>
    <row r="1194" spans="4:4" x14ac:dyDescent="0.2">
      <c r="D1194" s="5"/>
    </row>
    <row r="1195" spans="4:4" x14ac:dyDescent="0.2">
      <c r="D1195" s="5"/>
    </row>
    <row r="1196" spans="4:4" x14ac:dyDescent="0.2">
      <c r="D1196" s="5"/>
    </row>
    <row r="1197" spans="4:4" x14ac:dyDescent="0.2">
      <c r="D1197" s="5"/>
    </row>
    <row r="1198" spans="4:4" x14ac:dyDescent="0.2">
      <c r="D1198" s="5"/>
    </row>
    <row r="1199" spans="4:4" x14ac:dyDescent="0.2">
      <c r="D1199" s="5"/>
    </row>
    <row r="1200" spans="4:4" x14ac:dyDescent="0.2">
      <c r="D1200" s="5"/>
    </row>
    <row r="1201" spans="4:4" x14ac:dyDescent="0.2">
      <c r="D1201" s="5"/>
    </row>
    <row r="1202" spans="4:4" x14ac:dyDescent="0.2">
      <c r="D1202" s="5"/>
    </row>
    <row r="1203" spans="4:4" x14ac:dyDescent="0.2">
      <c r="D1203" s="5"/>
    </row>
    <row r="1204" spans="4:4" x14ac:dyDescent="0.2">
      <c r="D1204" s="5"/>
    </row>
    <row r="1205" spans="4:4" x14ac:dyDescent="0.2">
      <c r="D1205" s="5"/>
    </row>
    <row r="1206" spans="4:4" x14ac:dyDescent="0.2">
      <c r="D1206" s="5"/>
    </row>
    <row r="1207" spans="4:4" x14ac:dyDescent="0.2">
      <c r="D1207" s="5"/>
    </row>
    <row r="1208" spans="4:4" x14ac:dyDescent="0.2">
      <c r="D1208" s="5"/>
    </row>
    <row r="1209" spans="4:4" x14ac:dyDescent="0.2">
      <c r="D1209" s="5"/>
    </row>
    <row r="1210" spans="4:4" x14ac:dyDescent="0.2">
      <c r="D1210" s="5"/>
    </row>
    <row r="1211" spans="4:4" x14ac:dyDescent="0.2">
      <c r="D1211" s="5"/>
    </row>
    <row r="1212" spans="4:4" x14ac:dyDescent="0.2">
      <c r="D1212" s="5"/>
    </row>
    <row r="1213" spans="4:4" x14ac:dyDescent="0.2">
      <c r="D1213" s="5"/>
    </row>
    <row r="1214" spans="4:4" x14ac:dyDescent="0.2">
      <c r="D1214" s="5"/>
    </row>
    <row r="1215" spans="4:4" x14ac:dyDescent="0.2">
      <c r="D1215" s="5"/>
    </row>
    <row r="1216" spans="4:4" x14ac:dyDescent="0.2">
      <c r="D1216" s="5"/>
    </row>
    <row r="1217" spans="4:4" x14ac:dyDescent="0.2">
      <c r="D1217" s="5"/>
    </row>
    <row r="1218" spans="4:4" x14ac:dyDescent="0.2">
      <c r="D1218" s="5"/>
    </row>
    <row r="1219" spans="4:4" x14ac:dyDescent="0.2">
      <c r="D1219" s="5"/>
    </row>
    <row r="1220" spans="4:4" x14ac:dyDescent="0.2">
      <c r="D1220" s="5"/>
    </row>
    <row r="1221" spans="4:4" x14ac:dyDescent="0.2">
      <c r="D1221" s="5"/>
    </row>
    <row r="1222" spans="4:4" x14ac:dyDescent="0.2">
      <c r="D1222" s="5"/>
    </row>
    <row r="1223" spans="4:4" x14ac:dyDescent="0.2">
      <c r="D1223" s="5"/>
    </row>
    <row r="1224" spans="4:4" x14ac:dyDescent="0.2">
      <c r="D1224" s="5"/>
    </row>
    <row r="1225" spans="4:4" x14ac:dyDescent="0.2">
      <c r="D1225" s="5"/>
    </row>
    <row r="1226" spans="4:4" x14ac:dyDescent="0.2">
      <c r="D1226" s="5"/>
    </row>
    <row r="1227" spans="4:4" x14ac:dyDescent="0.2">
      <c r="D1227" s="5"/>
    </row>
    <row r="1228" spans="4:4" x14ac:dyDescent="0.2">
      <c r="D1228" s="5"/>
    </row>
    <row r="1229" spans="4:4" x14ac:dyDescent="0.2">
      <c r="D1229" s="5"/>
    </row>
    <row r="1230" spans="4:4" x14ac:dyDescent="0.2">
      <c r="D1230" s="5"/>
    </row>
    <row r="1231" spans="4:4" x14ac:dyDescent="0.2">
      <c r="D1231" s="5"/>
    </row>
    <row r="1232" spans="4:4" x14ac:dyDescent="0.2">
      <c r="D1232" s="5"/>
    </row>
    <row r="1233" spans="4:4" x14ac:dyDescent="0.2">
      <c r="D1233" s="5"/>
    </row>
    <row r="1234" spans="4:4" x14ac:dyDescent="0.2">
      <c r="D1234" s="5"/>
    </row>
    <row r="1235" spans="4:4" x14ac:dyDescent="0.2">
      <c r="D1235" s="5"/>
    </row>
    <row r="1236" spans="4:4" x14ac:dyDescent="0.2">
      <c r="D1236" s="5"/>
    </row>
    <row r="1237" spans="4:4" x14ac:dyDescent="0.2">
      <c r="D1237" s="5"/>
    </row>
    <row r="1238" spans="4:4" x14ac:dyDescent="0.2">
      <c r="D1238" s="5"/>
    </row>
    <row r="1239" spans="4:4" x14ac:dyDescent="0.2">
      <c r="D1239" s="5"/>
    </row>
    <row r="1240" spans="4:4" x14ac:dyDescent="0.2">
      <c r="D1240" s="5"/>
    </row>
    <row r="1241" spans="4:4" x14ac:dyDescent="0.2">
      <c r="D1241" s="5"/>
    </row>
    <row r="1242" spans="4:4" x14ac:dyDescent="0.2">
      <c r="D1242" s="5"/>
    </row>
    <row r="1243" spans="4:4" x14ac:dyDescent="0.2">
      <c r="D1243" s="5"/>
    </row>
    <row r="1244" spans="4:4" x14ac:dyDescent="0.2">
      <c r="D1244" s="5"/>
    </row>
    <row r="1245" spans="4:4" x14ac:dyDescent="0.2">
      <c r="D1245" s="5"/>
    </row>
    <row r="1246" spans="4:4" x14ac:dyDescent="0.2">
      <c r="D1246" s="5"/>
    </row>
    <row r="1247" spans="4:4" x14ac:dyDescent="0.2">
      <c r="D1247" s="5"/>
    </row>
    <row r="1248" spans="4:4" x14ac:dyDescent="0.2">
      <c r="D1248" s="5"/>
    </row>
    <row r="1249" spans="4:4" x14ac:dyDescent="0.2">
      <c r="D1249" s="5"/>
    </row>
    <row r="1250" spans="4:4" x14ac:dyDescent="0.2">
      <c r="D1250" s="5"/>
    </row>
    <row r="1251" spans="4:4" x14ac:dyDescent="0.2">
      <c r="D1251" s="5"/>
    </row>
    <row r="1252" spans="4:4" x14ac:dyDescent="0.2">
      <c r="D1252" s="5"/>
    </row>
    <row r="1253" spans="4:4" x14ac:dyDescent="0.2">
      <c r="D1253" s="5"/>
    </row>
    <row r="1254" spans="4:4" x14ac:dyDescent="0.2">
      <c r="D1254" s="5"/>
    </row>
    <row r="1255" spans="4:4" x14ac:dyDescent="0.2">
      <c r="D1255" s="5"/>
    </row>
    <row r="1256" spans="4:4" x14ac:dyDescent="0.2">
      <c r="D1256" s="5"/>
    </row>
    <row r="1257" spans="4:4" x14ac:dyDescent="0.2">
      <c r="D1257" s="5"/>
    </row>
    <row r="1258" spans="4:4" x14ac:dyDescent="0.2">
      <c r="D1258" s="5"/>
    </row>
    <row r="1259" spans="4:4" x14ac:dyDescent="0.2">
      <c r="D1259" s="5"/>
    </row>
    <row r="1260" spans="4:4" x14ac:dyDescent="0.2">
      <c r="D1260" s="5"/>
    </row>
    <row r="1261" spans="4:4" x14ac:dyDescent="0.2">
      <c r="D1261" s="5"/>
    </row>
    <row r="1262" spans="4:4" x14ac:dyDescent="0.2">
      <c r="D1262" s="5"/>
    </row>
    <row r="1263" spans="4:4" x14ac:dyDescent="0.2">
      <c r="D1263" s="5"/>
    </row>
    <row r="1264" spans="4:4" x14ac:dyDescent="0.2">
      <c r="D1264" s="5"/>
    </row>
    <row r="1265" spans="4:4" x14ac:dyDescent="0.2">
      <c r="D1265" s="5"/>
    </row>
    <row r="1266" spans="4:4" x14ac:dyDescent="0.2">
      <c r="D1266" s="5"/>
    </row>
    <row r="1267" spans="4:4" x14ac:dyDescent="0.2">
      <c r="D1267" s="5"/>
    </row>
    <row r="1268" spans="4:4" x14ac:dyDescent="0.2">
      <c r="D1268" s="5"/>
    </row>
    <row r="1269" spans="4:4" x14ac:dyDescent="0.2">
      <c r="D1269" s="5"/>
    </row>
    <row r="1270" spans="4:4" x14ac:dyDescent="0.2">
      <c r="D1270" s="5"/>
    </row>
    <row r="1271" spans="4:4" x14ac:dyDescent="0.2">
      <c r="D1271" s="5"/>
    </row>
    <row r="1272" spans="4:4" x14ac:dyDescent="0.2">
      <c r="D1272" s="5"/>
    </row>
    <row r="1273" spans="4:4" x14ac:dyDescent="0.2">
      <c r="D1273" s="5"/>
    </row>
    <row r="1274" spans="4:4" x14ac:dyDescent="0.2">
      <c r="D1274" s="5"/>
    </row>
    <row r="1275" spans="4:4" x14ac:dyDescent="0.2">
      <c r="D1275" s="5"/>
    </row>
    <row r="1276" spans="4:4" x14ac:dyDescent="0.2">
      <c r="D1276" s="5"/>
    </row>
    <row r="1277" spans="4:4" x14ac:dyDescent="0.2">
      <c r="D1277" s="5"/>
    </row>
    <row r="1278" spans="4:4" x14ac:dyDescent="0.2">
      <c r="D1278" s="5"/>
    </row>
    <row r="1279" spans="4:4" x14ac:dyDescent="0.2">
      <c r="D1279" s="5"/>
    </row>
    <row r="1280" spans="4:4" x14ac:dyDescent="0.2">
      <c r="D1280" s="5"/>
    </row>
    <row r="1281" spans="4:4" x14ac:dyDescent="0.2">
      <c r="D1281" s="5"/>
    </row>
    <row r="1282" spans="4:4" x14ac:dyDescent="0.2">
      <c r="D1282" s="5"/>
    </row>
    <row r="1283" spans="4:4" x14ac:dyDescent="0.2">
      <c r="D1283" s="5"/>
    </row>
    <row r="1284" spans="4:4" x14ac:dyDescent="0.2">
      <c r="D1284" s="5"/>
    </row>
    <row r="1285" spans="4:4" x14ac:dyDescent="0.2">
      <c r="D1285" s="5"/>
    </row>
    <row r="1286" spans="4:4" x14ac:dyDescent="0.2">
      <c r="D1286" s="5"/>
    </row>
    <row r="1287" spans="4:4" x14ac:dyDescent="0.2">
      <c r="D1287" s="5"/>
    </row>
    <row r="1288" spans="4:4" x14ac:dyDescent="0.2">
      <c r="D1288" s="5"/>
    </row>
    <row r="1289" spans="4:4" x14ac:dyDescent="0.2">
      <c r="D1289" s="5"/>
    </row>
    <row r="1290" spans="4:4" x14ac:dyDescent="0.2">
      <c r="D1290" s="5"/>
    </row>
    <row r="1291" spans="4:4" x14ac:dyDescent="0.2">
      <c r="D1291" s="5"/>
    </row>
    <row r="1292" spans="4:4" x14ac:dyDescent="0.2">
      <c r="D1292" s="5"/>
    </row>
    <row r="1293" spans="4:4" x14ac:dyDescent="0.2">
      <c r="D1293" s="5"/>
    </row>
    <row r="1294" spans="4:4" x14ac:dyDescent="0.2">
      <c r="D1294" s="5"/>
    </row>
    <row r="1295" spans="4:4" x14ac:dyDescent="0.2">
      <c r="D1295" s="5"/>
    </row>
    <row r="1296" spans="4:4" x14ac:dyDescent="0.2">
      <c r="D1296" s="5"/>
    </row>
    <row r="1297" spans="4:4" x14ac:dyDescent="0.2">
      <c r="D1297" s="5"/>
    </row>
    <row r="1298" spans="4:4" x14ac:dyDescent="0.2">
      <c r="D1298" s="5"/>
    </row>
    <row r="1299" spans="4:4" x14ac:dyDescent="0.2">
      <c r="D1299" s="5"/>
    </row>
    <row r="1300" spans="4:4" x14ac:dyDescent="0.2">
      <c r="D1300" s="5"/>
    </row>
    <row r="1301" spans="4:4" x14ac:dyDescent="0.2">
      <c r="D1301" s="5"/>
    </row>
    <row r="1302" spans="4:4" x14ac:dyDescent="0.2">
      <c r="D1302" s="5"/>
    </row>
    <row r="1303" spans="4:4" x14ac:dyDescent="0.2">
      <c r="D1303" s="5"/>
    </row>
    <row r="1304" spans="4:4" x14ac:dyDescent="0.2">
      <c r="D1304" s="5"/>
    </row>
    <row r="1305" spans="4:4" x14ac:dyDescent="0.2">
      <c r="D1305" s="5"/>
    </row>
    <row r="1306" spans="4:4" x14ac:dyDescent="0.2">
      <c r="D1306" s="5"/>
    </row>
    <row r="1307" spans="4:4" x14ac:dyDescent="0.2">
      <c r="D1307" s="5"/>
    </row>
    <row r="1308" spans="4:4" x14ac:dyDescent="0.2">
      <c r="D1308" s="5"/>
    </row>
    <row r="1309" spans="4:4" x14ac:dyDescent="0.2">
      <c r="D1309" s="5"/>
    </row>
    <row r="1310" spans="4:4" x14ac:dyDescent="0.2">
      <c r="D1310" s="5"/>
    </row>
    <row r="1311" spans="4:4" x14ac:dyDescent="0.2">
      <c r="D1311" s="5"/>
    </row>
    <row r="1312" spans="4:4" x14ac:dyDescent="0.2">
      <c r="D1312" s="5"/>
    </row>
    <row r="1313" spans="4:4" x14ac:dyDescent="0.2">
      <c r="D1313" s="5"/>
    </row>
    <row r="1314" spans="4:4" x14ac:dyDescent="0.2">
      <c r="D1314" s="5"/>
    </row>
    <row r="1315" spans="4:4" x14ac:dyDescent="0.2">
      <c r="D1315" s="5"/>
    </row>
    <row r="1316" spans="4:4" x14ac:dyDescent="0.2">
      <c r="D1316" s="5"/>
    </row>
    <row r="1317" spans="4:4" x14ac:dyDescent="0.2">
      <c r="D1317" s="5"/>
    </row>
    <row r="1318" spans="4:4" x14ac:dyDescent="0.2">
      <c r="D1318" s="5"/>
    </row>
    <row r="1319" spans="4:4" x14ac:dyDescent="0.2">
      <c r="D1319" s="5"/>
    </row>
    <row r="1320" spans="4:4" x14ac:dyDescent="0.2">
      <c r="D1320" s="5"/>
    </row>
    <row r="1321" spans="4:4" x14ac:dyDescent="0.2">
      <c r="D1321" s="5"/>
    </row>
    <row r="1322" spans="4:4" x14ac:dyDescent="0.2">
      <c r="D1322" s="5"/>
    </row>
    <row r="1323" spans="4:4" x14ac:dyDescent="0.2">
      <c r="D1323" s="5"/>
    </row>
    <row r="1324" spans="4:4" x14ac:dyDescent="0.2">
      <c r="D1324" s="5"/>
    </row>
    <row r="1325" spans="4:4" x14ac:dyDescent="0.2">
      <c r="D1325" s="5"/>
    </row>
    <row r="1326" spans="4:4" x14ac:dyDescent="0.2">
      <c r="D1326" s="5"/>
    </row>
    <row r="1327" spans="4:4" x14ac:dyDescent="0.2">
      <c r="D1327" s="5"/>
    </row>
    <row r="1328" spans="4:4" x14ac:dyDescent="0.2">
      <c r="D1328" s="5"/>
    </row>
    <row r="1329" spans="4:4" x14ac:dyDescent="0.2">
      <c r="D1329" s="5"/>
    </row>
    <row r="1330" spans="4:4" x14ac:dyDescent="0.2">
      <c r="D1330" s="5"/>
    </row>
    <row r="1331" spans="4:4" x14ac:dyDescent="0.2">
      <c r="D1331" s="5"/>
    </row>
    <row r="1332" spans="4:4" x14ac:dyDescent="0.2">
      <c r="D1332" s="5"/>
    </row>
    <row r="1333" spans="4:4" x14ac:dyDescent="0.2">
      <c r="D1333" s="5"/>
    </row>
    <row r="1334" spans="4:4" x14ac:dyDescent="0.2">
      <c r="D1334" s="5"/>
    </row>
    <row r="1335" spans="4:4" x14ac:dyDescent="0.2">
      <c r="D1335" s="5"/>
    </row>
    <row r="1336" spans="4:4" x14ac:dyDescent="0.2">
      <c r="D1336" s="5"/>
    </row>
    <row r="1337" spans="4:4" x14ac:dyDescent="0.2">
      <c r="D1337" s="5"/>
    </row>
    <row r="1338" spans="4:4" x14ac:dyDescent="0.2">
      <c r="D1338" s="5"/>
    </row>
    <row r="1339" spans="4:4" x14ac:dyDescent="0.2">
      <c r="D1339" s="5"/>
    </row>
    <row r="1340" spans="4:4" x14ac:dyDescent="0.2">
      <c r="D1340" s="5"/>
    </row>
    <row r="1341" spans="4:4" x14ac:dyDescent="0.2">
      <c r="D1341" s="5"/>
    </row>
    <row r="1342" spans="4:4" x14ac:dyDescent="0.2">
      <c r="D1342" s="5"/>
    </row>
    <row r="1343" spans="4:4" x14ac:dyDescent="0.2">
      <c r="D1343" s="5"/>
    </row>
    <row r="1344" spans="4:4" x14ac:dyDescent="0.2">
      <c r="D1344" s="5"/>
    </row>
    <row r="1345" spans="4:4" x14ac:dyDescent="0.2">
      <c r="D1345" s="5"/>
    </row>
    <row r="1346" spans="4:4" x14ac:dyDescent="0.2">
      <c r="D1346" s="5"/>
    </row>
    <row r="1347" spans="4:4" x14ac:dyDescent="0.2">
      <c r="D1347" s="5"/>
    </row>
    <row r="1348" spans="4:4" x14ac:dyDescent="0.2">
      <c r="D1348" s="5"/>
    </row>
    <row r="1349" spans="4:4" x14ac:dyDescent="0.2">
      <c r="D1349" s="5"/>
    </row>
    <row r="1350" spans="4:4" x14ac:dyDescent="0.2">
      <c r="D1350" s="5"/>
    </row>
    <row r="1351" spans="4:4" x14ac:dyDescent="0.2">
      <c r="D1351" s="5"/>
    </row>
    <row r="1352" spans="4:4" x14ac:dyDescent="0.2">
      <c r="D1352" s="5"/>
    </row>
    <row r="1353" spans="4:4" x14ac:dyDescent="0.2">
      <c r="D1353" s="5"/>
    </row>
    <row r="1354" spans="4:4" x14ac:dyDescent="0.2">
      <c r="D1354" s="5"/>
    </row>
    <row r="1355" spans="4:4" x14ac:dyDescent="0.2">
      <c r="D1355" s="5"/>
    </row>
    <row r="1356" spans="4:4" x14ac:dyDescent="0.2">
      <c r="D1356" s="5"/>
    </row>
    <row r="1357" spans="4:4" x14ac:dyDescent="0.2">
      <c r="D1357" s="5"/>
    </row>
    <row r="1358" spans="4:4" x14ac:dyDescent="0.2">
      <c r="D1358" s="5"/>
    </row>
    <row r="1359" spans="4:4" x14ac:dyDescent="0.2">
      <c r="D1359" s="5"/>
    </row>
    <row r="1360" spans="4:4" x14ac:dyDescent="0.2">
      <c r="D1360" s="5"/>
    </row>
    <row r="1361" spans="4:4" x14ac:dyDescent="0.2">
      <c r="D1361" s="5"/>
    </row>
    <row r="1362" spans="4:4" x14ac:dyDescent="0.2">
      <c r="D1362" s="5"/>
    </row>
    <row r="1363" spans="4:4" x14ac:dyDescent="0.2">
      <c r="D1363" s="5"/>
    </row>
    <row r="1364" spans="4:4" x14ac:dyDescent="0.2">
      <c r="D1364" s="5"/>
    </row>
    <row r="1365" spans="4:4" x14ac:dyDescent="0.2">
      <c r="D1365" s="5"/>
    </row>
    <row r="1366" spans="4:4" x14ac:dyDescent="0.2">
      <c r="D1366" s="5"/>
    </row>
    <row r="1367" spans="4:4" x14ac:dyDescent="0.2">
      <c r="D1367" s="5"/>
    </row>
    <row r="1368" spans="4:4" x14ac:dyDescent="0.2">
      <c r="D1368" s="5"/>
    </row>
    <row r="1369" spans="4:4" x14ac:dyDescent="0.2">
      <c r="D1369" s="5"/>
    </row>
    <row r="1370" spans="4:4" x14ac:dyDescent="0.2">
      <c r="D1370" s="5"/>
    </row>
    <row r="1371" spans="4:4" x14ac:dyDescent="0.2">
      <c r="D1371" s="5"/>
    </row>
    <row r="1372" spans="4:4" x14ac:dyDescent="0.2">
      <c r="D1372" s="5"/>
    </row>
    <row r="1373" spans="4:4" x14ac:dyDescent="0.2">
      <c r="D1373" s="5"/>
    </row>
    <row r="1374" spans="4:4" x14ac:dyDescent="0.2">
      <c r="D1374" s="5"/>
    </row>
    <row r="1375" spans="4:4" x14ac:dyDescent="0.2">
      <c r="D1375" s="5"/>
    </row>
    <row r="1376" spans="4:4" x14ac:dyDescent="0.2">
      <c r="D1376" s="5"/>
    </row>
    <row r="1377" spans="4:4" x14ac:dyDescent="0.2">
      <c r="D1377" s="5"/>
    </row>
    <row r="1378" spans="4:4" x14ac:dyDescent="0.2">
      <c r="D1378" s="5"/>
    </row>
    <row r="1379" spans="4:4" x14ac:dyDescent="0.2">
      <c r="D1379" s="5"/>
    </row>
    <row r="1380" spans="4:4" x14ac:dyDescent="0.2">
      <c r="D1380" s="5"/>
    </row>
    <row r="1381" spans="4:4" x14ac:dyDescent="0.2">
      <c r="D1381" s="5"/>
    </row>
    <row r="1382" spans="4:4" x14ac:dyDescent="0.2">
      <c r="D1382" s="5"/>
    </row>
    <row r="1383" spans="4:4" x14ac:dyDescent="0.2">
      <c r="D1383" s="5"/>
    </row>
    <row r="1384" spans="4:4" x14ac:dyDescent="0.2">
      <c r="D1384" s="5"/>
    </row>
    <row r="1385" spans="4:4" x14ac:dyDescent="0.2">
      <c r="D1385" s="5"/>
    </row>
    <row r="1386" spans="4:4" x14ac:dyDescent="0.2">
      <c r="D1386" s="5"/>
    </row>
    <row r="1387" spans="4:4" x14ac:dyDescent="0.2">
      <c r="D1387" s="5"/>
    </row>
    <row r="1388" spans="4:4" x14ac:dyDescent="0.2">
      <c r="D1388" s="5"/>
    </row>
    <row r="1389" spans="4:4" x14ac:dyDescent="0.2">
      <c r="D1389" s="5"/>
    </row>
    <row r="1390" spans="4:4" x14ac:dyDescent="0.2">
      <c r="D1390" s="5"/>
    </row>
    <row r="1391" spans="4:4" x14ac:dyDescent="0.2">
      <c r="D1391" s="5"/>
    </row>
    <row r="1392" spans="4:4" x14ac:dyDescent="0.2">
      <c r="D1392" s="5"/>
    </row>
    <row r="1393" spans="4:4" x14ac:dyDescent="0.2">
      <c r="D1393" s="5"/>
    </row>
    <row r="1394" spans="4:4" x14ac:dyDescent="0.2">
      <c r="D1394" s="5"/>
    </row>
    <row r="1395" spans="4:4" x14ac:dyDescent="0.2">
      <c r="D1395" s="5"/>
    </row>
    <row r="1396" spans="4:4" x14ac:dyDescent="0.2">
      <c r="D1396" s="5"/>
    </row>
    <row r="1397" spans="4:4" x14ac:dyDescent="0.2">
      <c r="D1397" s="5"/>
    </row>
    <row r="1398" spans="4:4" x14ac:dyDescent="0.2">
      <c r="D1398" s="5"/>
    </row>
    <row r="1399" spans="4:4" x14ac:dyDescent="0.2">
      <c r="D1399" s="5"/>
    </row>
    <row r="1400" spans="4:4" x14ac:dyDescent="0.2">
      <c r="D1400" s="5"/>
    </row>
    <row r="1401" spans="4:4" x14ac:dyDescent="0.2">
      <c r="D1401" s="5"/>
    </row>
    <row r="1402" spans="4:4" x14ac:dyDescent="0.2">
      <c r="D1402" s="5"/>
    </row>
    <row r="1403" spans="4:4" x14ac:dyDescent="0.2">
      <c r="D1403" s="5"/>
    </row>
    <row r="1404" spans="4:4" x14ac:dyDescent="0.2">
      <c r="D1404" s="5"/>
    </row>
    <row r="1405" spans="4:4" x14ac:dyDescent="0.2">
      <c r="D1405" s="5"/>
    </row>
    <row r="1406" spans="4:4" x14ac:dyDescent="0.2">
      <c r="D1406" s="5"/>
    </row>
    <row r="1407" spans="4:4" x14ac:dyDescent="0.2">
      <c r="D1407" s="5"/>
    </row>
    <row r="1408" spans="4:4" x14ac:dyDescent="0.2">
      <c r="D1408" s="5"/>
    </row>
    <row r="1409" spans="4:4" x14ac:dyDescent="0.2">
      <c r="D1409" s="5"/>
    </row>
    <row r="1410" spans="4:4" x14ac:dyDescent="0.2">
      <c r="D1410" s="5"/>
    </row>
    <row r="1411" spans="4:4" x14ac:dyDescent="0.2">
      <c r="D1411" s="5"/>
    </row>
    <row r="1412" spans="4:4" x14ac:dyDescent="0.2">
      <c r="D1412" s="5"/>
    </row>
    <row r="1413" spans="4:4" x14ac:dyDescent="0.2">
      <c r="D1413" s="5"/>
    </row>
    <row r="1414" spans="4:4" x14ac:dyDescent="0.2">
      <c r="D1414" s="5"/>
    </row>
    <row r="1415" spans="4:4" x14ac:dyDescent="0.2">
      <c r="D1415" s="5"/>
    </row>
    <row r="1416" spans="4:4" x14ac:dyDescent="0.2">
      <c r="D1416" s="5"/>
    </row>
    <row r="1417" spans="4:4" x14ac:dyDescent="0.2">
      <c r="D1417" s="5"/>
    </row>
    <row r="1418" spans="4:4" x14ac:dyDescent="0.2">
      <c r="D1418" s="5"/>
    </row>
    <row r="1419" spans="4:4" x14ac:dyDescent="0.2">
      <c r="D1419" s="5"/>
    </row>
    <row r="1420" spans="4:4" x14ac:dyDescent="0.2">
      <c r="D1420" s="5"/>
    </row>
    <row r="1421" spans="4:4" x14ac:dyDescent="0.2">
      <c r="D1421" s="5"/>
    </row>
    <row r="1422" spans="4:4" x14ac:dyDescent="0.2">
      <c r="D1422" s="5"/>
    </row>
    <row r="1423" spans="4:4" x14ac:dyDescent="0.2">
      <c r="D1423" s="5"/>
    </row>
    <row r="1424" spans="4:4" x14ac:dyDescent="0.2">
      <c r="D1424" s="5"/>
    </row>
    <row r="1425" spans="4:4" x14ac:dyDescent="0.2">
      <c r="D1425" s="5"/>
    </row>
    <row r="1426" spans="4:4" x14ac:dyDescent="0.2">
      <c r="D1426" s="5"/>
    </row>
    <row r="1427" spans="4:4" x14ac:dyDescent="0.2">
      <c r="D1427" s="5"/>
    </row>
    <row r="1428" spans="4:4" x14ac:dyDescent="0.2">
      <c r="D1428" s="5"/>
    </row>
    <row r="1429" spans="4:4" x14ac:dyDescent="0.2">
      <c r="D1429" s="5"/>
    </row>
    <row r="1430" spans="4:4" x14ac:dyDescent="0.2">
      <c r="D1430" s="5"/>
    </row>
    <row r="1431" spans="4:4" x14ac:dyDescent="0.2">
      <c r="D1431" s="5"/>
    </row>
    <row r="1432" spans="4:4" x14ac:dyDescent="0.2">
      <c r="D1432" s="5"/>
    </row>
    <row r="1433" spans="4:4" x14ac:dyDescent="0.2">
      <c r="D1433" s="5"/>
    </row>
    <row r="1434" spans="4:4" x14ac:dyDescent="0.2">
      <c r="D1434" s="5"/>
    </row>
    <row r="1435" spans="4:4" x14ac:dyDescent="0.2">
      <c r="D1435" s="5"/>
    </row>
    <row r="1436" spans="4:4" x14ac:dyDescent="0.2">
      <c r="D1436" s="5"/>
    </row>
    <row r="1437" spans="4:4" x14ac:dyDescent="0.2">
      <c r="D1437" s="5"/>
    </row>
    <row r="1438" spans="4:4" x14ac:dyDescent="0.2">
      <c r="D1438" s="5"/>
    </row>
    <row r="1439" spans="4:4" x14ac:dyDescent="0.2">
      <c r="D1439" s="5"/>
    </row>
    <row r="1440" spans="4:4" x14ac:dyDescent="0.2">
      <c r="D1440" s="5"/>
    </row>
    <row r="1441" spans="4:4" x14ac:dyDescent="0.2">
      <c r="D1441" s="5"/>
    </row>
    <row r="1442" spans="4:4" x14ac:dyDescent="0.2">
      <c r="D1442" s="5"/>
    </row>
    <row r="1443" spans="4:4" x14ac:dyDescent="0.2">
      <c r="D1443" s="5"/>
    </row>
    <row r="1444" spans="4:4" x14ac:dyDescent="0.2">
      <c r="D1444" s="5"/>
    </row>
    <row r="1445" spans="4:4" x14ac:dyDescent="0.2">
      <c r="D1445" s="5"/>
    </row>
    <row r="1446" spans="4:4" x14ac:dyDescent="0.2">
      <c r="D1446" s="5"/>
    </row>
    <row r="1447" spans="4:4" x14ac:dyDescent="0.2">
      <c r="D1447" s="5"/>
    </row>
    <row r="1448" spans="4:4" x14ac:dyDescent="0.2">
      <c r="D1448" s="5"/>
    </row>
    <row r="1449" spans="4:4" x14ac:dyDescent="0.2">
      <c r="D1449" s="5"/>
    </row>
    <row r="1450" spans="4:4" x14ac:dyDescent="0.2">
      <c r="D1450" s="5"/>
    </row>
    <row r="1451" spans="4:4" x14ac:dyDescent="0.2">
      <c r="D1451" s="5"/>
    </row>
    <row r="1452" spans="4:4" x14ac:dyDescent="0.2">
      <c r="D1452" s="5"/>
    </row>
    <row r="1453" spans="4:4" x14ac:dyDescent="0.2">
      <c r="D1453" s="5"/>
    </row>
    <row r="1454" spans="4:4" x14ac:dyDescent="0.2">
      <c r="D1454" s="5"/>
    </row>
    <row r="1455" spans="4:4" x14ac:dyDescent="0.2">
      <c r="D1455" s="5"/>
    </row>
    <row r="1456" spans="4:4" x14ac:dyDescent="0.2">
      <c r="D1456" s="5"/>
    </row>
    <row r="1457" spans="4:4" x14ac:dyDescent="0.2">
      <c r="D1457" s="5"/>
    </row>
    <row r="1458" spans="4:4" x14ac:dyDescent="0.2">
      <c r="D1458" s="5"/>
    </row>
    <row r="1459" spans="4:4" x14ac:dyDescent="0.2">
      <c r="D1459" s="5"/>
    </row>
    <row r="1460" spans="4:4" x14ac:dyDescent="0.2">
      <c r="D1460" s="5"/>
    </row>
    <row r="1461" spans="4:4" x14ac:dyDescent="0.2">
      <c r="D1461" s="5"/>
    </row>
    <row r="1462" spans="4:4" x14ac:dyDescent="0.2">
      <c r="D1462" s="5"/>
    </row>
    <row r="1463" spans="4:4" x14ac:dyDescent="0.2">
      <c r="D1463" s="5"/>
    </row>
    <row r="1464" spans="4:4" x14ac:dyDescent="0.2">
      <c r="D1464" s="5"/>
    </row>
    <row r="1465" spans="4:4" x14ac:dyDescent="0.2">
      <c r="D1465" s="5"/>
    </row>
    <row r="1466" spans="4:4" x14ac:dyDescent="0.2">
      <c r="D1466" s="5"/>
    </row>
    <row r="1467" spans="4:4" x14ac:dyDescent="0.2">
      <c r="D1467" s="5"/>
    </row>
    <row r="1468" spans="4:4" x14ac:dyDescent="0.2">
      <c r="D1468" s="5"/>
    </row>
    <row r="1469" spans="4:4" x14ac:dyDescent="0.2">
      <c r="D1469" s="5"/>
    </row>
    <row r="1470" spans="4:4" x14ac:dyDescent="0.2">
      <c r="D1470" s="5"/>
    </row>
    <row r="1471" spans="4:4" x14ac:dyDescent="0.2">
      <c r="D1471" s="5"/>
    </row>
    <row r="1472" spans="4:4" x14ac:dyDescent="0.2">
      <c r="D1472" s="5"/>
    </row>
    <row r="1473" spans="4:4" x14ac:dyDescent="0.2">
      <c r="D1473" s="5"/>
    </row>
    <row r="1474" spans="4:4" x14ac:dyDescent="0.2">
      <c r="D1474" s="5"/>
    </row>
    <row r="1475" spans="4:4" x14ac:dyDescent="0.2">
      <c r="D1475" s="5"/>
    </row>
    <row r="1476" spans="4:4" x14ac:dyDescent="0.2">
      <c r="D1476" s="5"/>
    </row>
    <row r="1477" spans="4:4" x14ac:dyDescent="0.2">
      <c r="D1477" s="5"/>
    </row>
    <row r="1478" spans="4:4" x14ac:dyDescent="0.2">
      <c r="D1478" s="5"/>
    </row>
    <row r="1479" spans="4:4" x14ac:dyDescent="0.2">
      <c r="D1479" s="5"/>
    </row>
    <row r="1480" spans="4:4" x14ac:dyDescent="0.2">
      <c r="D1480" s="5"/>
    </row>
    <row r="1481" spans="4:4" x14ac:dyDescent="0.2">
      <c r="D1481" s="5"/>
    </row>
    <row r="1482" spans="4:4" x14ac:dyDescent="0.2">
      <c r="D1482" s="5"/>
    </row>
    <row r="1483" spans="4:4" x14ac:dyDescent="0.2">
      <c r="D1483" s="5"/>
    </row>
    <row r="1484" spans="4:4" x14ac:dyDescent="0.2">
      <c r="D1484" s="5"/>
    </row>
    <row r="1485" spans="4:4" x14ac:dyDescent="0.2">
      <c r="D1485" s="5"/>
    </row>
    <row r="1486" spans="4:4" x14ac:dyDescent="0.2">
      <c r="D1486" s="5"/>
    </row>
    <row r="1487" spans="4:4" x14ac:dyDescent="0.2">
      <c r="D1487" s="5"/>
    </row>
    <row r="1488" spans="4:4" x14ac:dyDescent="0.2">
      <c r="D1488" s="5"/>
    </row>
    <row r="1489" spans="4:4" x14ac:dyDescent="0.2">
      <c r="D1489" s="5"/>
    </row>
    <row r="1490" spans="4:4" x14ac:dyDescent="0.2">
      <c r="D1490" s="5"/>
    </row>
    <row r="1491" spans="4:4" x14ac:dyDescent="0.2">
      <c r="D1491" s="5"/>
    </row>
    <row r="1492" spans="4:4" x14ac:dyDescent="0.2">
      <c r="D1492" s="5"/>
    </row>
    <row r="1493" spans="4:4" x14ac:dyDescent="0.2">
      <c r="D1493" s="5"/>
    </row>
    <row r="1494" spans="4:4" x14ac:dyDescent="0.2">
      <c r="D1494" s="5"/>
    </row>
    <row r="1495" spans="4:4" x14ac:dyDescent="0.2">
      <c r="D1495" s="5"/>
    </row>
    <row r="1496" spans="4:4" x14ac:dyDescent="0.2">
      <c r="D1496" s="5"/>
    </row>
    <row r="1497" spans="4:4" x14ac:dyDescent="0.2">
      <c r="D1497" s="5"/>
    </row>
    <row r="1498" spans="4:4" x14ac:dyDescent="0.2">
      <c r="D1498" s="5"/>
    </row>
    <row r="1499" spans="4:4" x14ac:dyDescent="0.2">
      <c r="D1499" s="5"/>
    </row>
    <row r="1500" spans="4:4" x14ac:dyDescent="0.2">
      <c r="D1500" s="5"/>
    </row>
    <row r="1501" spans="4:4" x14ac:dyDescent="0.2">
      <c r="D1501" s="5"/>
    </row>
    <row r="1502" spans="4:4" x14ac:dyDescent="0.2">
      <c r="D1502" s="5"/>
    </row>
    <row r="1503" spans="4:4" x14ac:dyDescent="0.2">
      <c r="D1503" s="5"/>
    </row>
    <row r="1504" spans="4:4" x14ac:dyDescent="0.2">
      <c r="D1504" s="5"/>
    </row>
    <row r="1505" spans="4:4" x14ac:dyDescent="0.2">
      <c r="D1505" s="5"/>
    </row>
    <row r="1506" spans="4:4" x14ac:dyDescent="0.2">
      <c r="D1506" s="5"/>
    </row>
    <row r="1507" spans="4:4" x14ac:dyDescent="0.2">
      <c r="D1507" s="5"/>
    </row>
    <row r="1508" spans="4:4" x14ac:dyDescent="0.2">
      <c r="D1508" s="5"/>
    </row>
    <row r="1509" spans="4:4" x14ac:dyDescent="0.2">
      <c r="D1509" s="5"/>
    </row>
    <row r="1510" spans="4:4" x14ac:dyDescent="0.2">
      <c r="D1510" s="5"/>
    </row>
    <row r="1511" spans="4:4" x14ac:dyDescent="0.2">
      <c r="D1511" s="5"/>
    </row>
    <row r="1512" spans="4:4" x14ac:dyDescent="0.2">
      <c r="D1512" s="5"/>
    </row>
    <row r="1513" spans="4:4" x14ac:dyDescent="0.2">
      <c r="D1513" s="5"/>
    </row>
    <row r="1514" spans="4:4" x14ac:dyDescent="0.2">
      <c r="D1514" s="5"/>
    </row>
    <row r="1515" spans="4:4" x14ac:dyDescent="0.2">
      <c r="D1515" s="5"/>
    </row>
    <row r="1516" spans="4:4" x14ac:dyDescent="0.2">
      <c r="D1516" s="5"/>
    </row>
    <row r="1517" spans="4:4" x14ac:dyDescent="0.2">
      <c r="D1517" s="5"/>
    </row>
    <row r="1518" spans="4:4" x14ac:dyDescent="0.2">
      <c r="D1518" s="5"/>
    </row>
    <row r="1519" spans="4:4" x14ac:dyDescent="0.2">
      <c r="D1519" s="5"/>
    </row>
    <row r="1520" spans="4:4" x14ac:dyDescent="0.2">
      <c r="D1520" s="5"/>
    </row>
    <row r="1521" spans="4:4" x14ac:dyDescent="0.2">
      <c r="D1521" s="5"/>
    </row>
    <row r="1522" spans="4:4" x14ac:dyDescent="0.2">
      <c r="D1522" s="5"/>
    </row>
    <row r="1523" spans="4:4" x14ac:dyDescent="0.2">
      <c r="D1523" s="5"/>
    </row>
    <row r="1524" spans="4:4" x14ac:dyDescent="0.2">
      <c r="D1524" s="5"/>
    </row>
    <row r="1525" spans="4:4" x14ac:dyDescent="0.2">
      <c r="D1525" s="5"/>
    </row>
    <row r="1526" spans="4:4" x14ac:dyDescent="0.2">
      <c r="D1526" s="5"/>
    </row>
    <row r="1527" spans="4:4" x14ac:dyDescent="0.2">
      <c r="D1527" s="5"/>
    </row>
    <row r="1528" spans="4:4" x14ac:dyDescent="0.2">
      <c r="D1528" s="5"/>
    </row>
    <row r="1529" spans="4:4" x14ac:dyDescent="0.2">
      <c r="D1529" s="5"/>
    </row>
    <row r="1530" spans="4:4" x14ac:dyDescent="0.2">
      <c r="D1530" s="5"/>
    </row>
    <row r="1531" spans="4:4" x14ac:dyDescent="0.2">
      <c r="D1531" s="5"/>
    </row>
    <row r="1532" spans="4:4" x14ac:dyDescent="0.2">
      <c r="D1532" s="5"/>
    </row>
    <row r="1533" spans="4:4" x14ac:dyDescent="0.2">
      <c r="D1533" s="5"/>
    </row>
    <row r="1534" spans="4:4" x14ac:dyDescent="0.2">
      <c r="D1534" s="5"/>
    </row>
    <row r="1535" spans="4:4" x14ac:dyDescent="0.2">
      <c r="D1535" s="5"/>
    </row>
    <row r="1536" spans="4:4" x14ac:dyDescent="0.2">
      <c r="D1536" s="5"/>
    </row>
    <row r="1537" spans="4:4" x14ac:dyDescent="0.2">
      <c r="D1537" s="5"/>
    </row>
    <row r="1538" spans="4:4" x14ac:dyDescent="0.2">
      <c r="D1538" s="5"/>
    </row>
    <row r="1539" spans="4:4" x14ac:dyDescent="0.2">
      <c r="D1539" s="5"/>
    </row>
    <row r="1540" spans="4:4" x14ac:dyDescent="0.2">
      <c r="D1540" s="5"/>
    </row>
    <row r="1541" spans="4:4" x14ac:dyDescent="0.2">
      <c r="D1541" s="5"/>
    </row>
    <row r="1542" spans="4:4" x14ac:dyDescent="0.2">
      <c r="D1542" s="5"/>
    </row>
    <row r="1543" spans="4:4" x14ac:dyDescent="0.2">
      <c r="D1543" s="5"/>
    </row>
    <row r="1544" spans="4:4" x14ac:dyDescent="0.2">
      <c r="D1544" s="5"/>
    </row>
    <row r="1545" spans="4:4" x14ac:dyDescent="0.2">
      <c r="D1545" s="5"/>
    </row>
    <row r="1546" spans="4:4" x14ac:dyDescent="0.2">
      <c r="D1546" s="5"/>
    </row>
    <row r="1547" spans="4:4" x14ac:dyDescent="0.2">
      <c r="D1547" s="5"/>
    </row>
    <row r="1548" spans="4:4" x14ac:dyDescent="0.2">
      <c r="D1548" s="5"/>
    </row>
    <row r="1549" spans="4:4" x14ac:dyDescent="0.2">
      <c r="D1549" s="5"/>
    </row>
    <row r="1550" spans="4:4" x14ac:dyDescent="0.2">
      <c r="D1550" s="5"/>
    </row>
    <row r="1551" spans="4:4" x14ac:dyDescent="0.2">
      <c r="D1551" s="5"/>
    </row>
    <row r="1552" spans="4:4" x14ac:dyDescent="0.2">
      <c r="D1552" s="5"/>
    </row>
    <row r="1553" spans="4:4" x14ac:dyDescent="0.2">
      <c r="D1553" s="5"/>
    </row>
    <row r="1554" spans="4:4" x14ac:dyDescent="0.2">
      <c r="D1554" s="5"/>
    </row>
    <row r="1555" spans="4:4" x14ac:dyDescent="0.2">
      <c r="D1555" s="5"/>
    </row>
    <row r="1556" spans="4:4" x14ac:dyDescent="0.2">
      <c r="D1556" s="5"/>
    </row>
    <row r="1557" spans="4:4" x14ac:dyDescent="0.2">
      <c r="D1557" s="5"/>
    </row>
    <row r="1558" spans="4:4" x14ac:dyDescent="0.2">
      <c r="D1558" s="5"/>
    </row>
    <row r="1559" spans="4:4" x14ac:dyDescent="0.2">
      <c r="D1559" s="5"/>
    </row>
    <row r="1560" spans="4:4" x14ac:dyDescent="0.2">
      <c r="D1560" s="5"/>
    </row>
    <row r="1561" spans="4:4" x14ac:dyDescent="0.2">
      <c r="D1561" s="5"/>
    </row>
    <row r="1562" spans="4:4" x14ac:dyDescent="0.2">
      <c r="D1562" s="5"/>
    </row>
    <row r="1563" spans="4:4" x14ac:dyDescent="0.2">
      <c r="D1563" s="5"/>
    </row>
    <row r="1564" spans="4:4" x14ac:dyDescent="0.2">
      <c r="D1564" s="5"/>
    </row>
    <row r="1565" spans="4:4" x14ac:dyDescent="0.2">
      <c r="D1565" s="5"/>
    </row>
    <row r="1566" spans="4:4" x14ac:dyDescent="0.2">
      <c r="D1566" s="5"/>
    </row>
    <row r="1567" spans="4:4" x14ac:dyDescent="0.2">
      <c r="D1567" s="5"/>
    </row>
    <row r="1568" spans="4:4" x14ac:dyDescent="0.2">
      <c r="D1568" s="5"/>
    </row>
    <row r="1569" spans="4:4" x14ac:dyDescent="0.2">
      <c r="D1569" s="5"/>
    </row>
    <row r="1570" spans="4:4" x14ac:dyDescent="0.2">
      <c r="D1570" s="5"/>
    </row>
    <row r="1571" spans="4:4" x14ac:dyDescent="0.2">
      <c r="D1571" s="5"/>
    </row>
    <row r="1572" spans="4:4" x14ac:dyDescent="0.2">
      <c r="D1572" s="5"/>
    </row>
    <row r="1573" spans="4:4" x14ac:dyDescent="0.2">
      <c r="D1573" s="5"/>
    </row>
    <row r="1574" spans="4:4" x14ac:dyDescent="0.2">
      <c r="D1574" s="5"/>
    </row>
    <row r="1575" spans="4:4" x14ac:dyDescent="0.2">
      <c r="D1575" s="5"/>
    </row>
    <row r="1576" spans="4:4" x14ac:dyDescent="0.2">
      <c r="D1576" s="5"/>
    </row>
    <row r="1577" spans="4:4" x14ac:dyDescent="0.2">
      <c r="D1577" s="5"/>
    </row>
    <row r="1578" spans="4:4" x14ac:dyDescent="0.2">
      <c r="D1578" s="5"/>
    </row>
    <row r="1579" spans="4:4" x14ac:dyDescent="0.2">
      <c r="D1579" s="5"/>
    </row>
    <row r="1580" spans="4:4" x14ac:dyDescent="0.2">
      <c r="D1580" s="5"/>
    </row>
    <row r="1581" spans="4:4" x14ac:dyDescent="0.2">
      <c r="D1581" s="5"/>
    </row>
    <row r="1582" spans="4:4" x14ac:dyDescent="0.2">
      <c r="D1582" s="5"/>
    </row>
    <row r="1583" spans="4:4" x14ac:dyDescent="0.2">
      <c r="D1583" s="5"/>
    </row>
    <row r="1584" spans="4:4" x14ac:dyDescent="0.2">
      <c r="D1584" s="5"/>
    </row>
    <row r="1585" spans="4:4" x14ac:dyDescent="0.2">
      <c r="D1585" s="5"/>
    </row>
    <row r="1586" spans="4:4" x14ac:dyDescent="0.2">
      <c r="D1586" s="5"/>
    </row>
    <row r="1587" spans="4:4" x14ac:dyDescent="0.2">
      <c r="D1587" s="5"/>
    </row>
    <row r="1588" spans="4:4" x14ac:dyDescent="0.2">
      <c r="D1588" s="5"/>
    </row>
    <row r="1589" spans="4:4" x14ac:dyDescent="0.2">
      <c r="D1589" s="5"/>
    </row>
    <row r="1590" spans="4:4" x14ac:dyDescent="0.2">
      <c r="D1590" s="5"/>
    </row>
    <row r="1591" spans="4:4" x14ac:dyDescent="0.2">
      <c r="D1591" s="5"/>
    </row>
    <row r="1592" spans="4:4" x14ac:dyDescent="0.2">
      <c r="D1592" s="5"/>
    </row>
    <row r="1593" spans="4:4" x14ac:dyDescent="0.2">
      <c r="D1593" s="5"/>
    </row>
    <row r="1594" spans="4:4" x14ac:dyDescent="0.2">
      <c r="D1594" s="5"/>
    </row>
    <row r="1595" spans="4:4" x14ac:dyDescent="0.2">
      <c r="D1595" s="5"/>
    </row>
    <row r="1596" spans="4:4" x14ac:dyDescent="0.2">
      <c r="D1596" s="5"/>
    </row>
    <row r="1597" spans="4:4" x14ac:dyDescent="0.2">
      <c r="D1597" s="5"/>
    </row>
    <row r="1598" spans="4:4" x14ac:dyDescent="0.2">
      <c r="D1598" s="5"/>
    </row>
    <row r="1599" spans="4:4" x14ac:dyDescent="0.2">
      <c r="D1599" s="5"/>
    </row>
    <row r="1600" spans="4:4" x14ac:dyDescent="0.2">
      <c r="D1600" s="5"/>
    </row>
    <row r="1601" spans="4:4" x14ac:dyDescent="0.2">
      <c r="D1601" s="5"/>
    </row>
    <row r="1602" spans="4:4" x14ac:dyDescent="0.2">
      <c r="D1602" s="5"/>
    </row>
    <row r="1603" spans="4:4" x14ac:dyDescent="0.2">
      <c r="D1603" s="5"/>
    </row>
    <row r="1604" spans="4:4" x14ac:dyDescent="0.2">
      <c r="D1604" s="5"/>
    </row>
    <row r="1605" spans="4:4" x14ac:dyDescent="0.2">
      <c r="D1605" s="5"/>
    </row>
    <row r="1606" spans="4:4" x14ac:dyDescent="0.2">
      <c r="D1606" s="5"/>
    </row>
    <row r="1607" spans="4:4" x14ac:dyDescent="0.2">
      <c r="D1607" s="5"/>
    </row>
    <row r="1608" spans="4:4" x14ac:dyDescent="0.2">
      <c r="D1608" s="5"/>
    </row>
    <row r="1609" spans="4:4" x14ac:dyDescent="0.2">
      <c r="D1609" s="5"/>
    </row>
    <row r="1610" spans="4:4" x14ac:dyDescent="0.2">
      <c r="D1610" s="5"/>
    </row>
    <row r="1611" spans="4:4" x14ac:dyDescent="0.2">
      <c r="D1611" s="5"/>
    </row>
    <row r="1612" spans="4:4" x14ac:dyDescent="0.2">
      <c r="D1612" s="5"/>
    </row>
    <row r="1613" spans="4:4" x14ac:dyDescent="0.2">
      <c r="D1613" s="5"/>
    </row>
    <row r="1614" spans="4:4" x14ac:dyDescent="0.2">
      <c r="D1614" s="5"/>
    </row>
    <row r="1615" spans="4:4" x14ac:dyDescent="0.2">
      <c r="D1615" s="5"/>
    </row>
    <row r="1616" spans="4:4" x14ac:dyDescent="0.2">
      <c r="D1616" s="5"/>
    </row>
    <row r="1617" spans="4:4" x14ac:dyDescent="0.2">
      <c r="D1617" s="5"/>
    </row>
    <row r="1618" spans="4:4" x14ac:dyDescent="0.2">
      <c r="D1618" s="5"/>
    </row>
    <row r="1619" spans="4:4" x14ac:dyDescent="0.2">
      <c r="D1619" s="5"/>
    </row>
    <row r="1620" spans="4:4" x14ac:dyDescent="0.2">
      <c r="D1620" s="5"/>
    </row>
    <row r="1621" spans="4:4" x14ac:dyDescent="0.2">
      <c r="D1621" s="5"/>
    </row>
    <row r="1622" spans="4:4" x14ac:dyDescent="0.2">
      <c r="D1622" s="5"/>
    </row>
    <row r="1623" spans="4:4" x14ac:dyDescent="0.2">
      <c r="D1623" s="5"/>
    </row>
    <row r="1624" spans="4:4" x14ac:dyDescent="0.2">
      <c r="D1624" s="5"/>
    </row>
    <row r="1625" spans="4:4" x14ac:dyDescent="0.2">
      <c r="D1625" s="5"/>
    </row>
    <row r="1626" spans="4:4" x14ac:dyDescent="0.2">
      <c r="D1626" s="5"/>
    </row>
    <row r="1627" spans="4:4" x14ac:dyDescent="0.2">
      <c r="D1627" s="5"/>
    </row>
    <row r="1628" spans="4:4" x14ac:dyDescent="0.2">
      <c r="D1628" s="5"/>
    </row>
    <row r="1629" spans="4:4" x14ac:dyDescent="0.2">
      <c r="D1629" s="5"/>
    </row>
    <row r="1630" spans="4:4" x14ac:dyDescent="0.2">
      <c r="D1630" s="5"/>
    </row>
    <row r="1631" spans="4:4" x14ac:dyDescent="0.2">
      <c r="D1631" s="5"/>
    </row>
    <row r="1632" spans="4:4" x14ac:dyDescent="0.2">
      <c r="D1632" s="5"/>
    </row>
    <row r="1633" spans="4:4" x14ac:dyDescent="0.2">
      <c r="D1633" s="5"/>
    </row>
    <row r="1634" spans="4:4" x14ac:dyDescent="0.2">
      <c r="D1634" s="5"/>
    </row>
    <row r="1635" spans="4:4" x14ac:dyDescent="0.2">
      <c r="D1635" s="5"/>
    </row>
    <row r="1636" spans="4:4" x14ac:dyDescent="0.2">
      <c r="D1636" s="5"/>
    </row>
    <row r="1637" spans="4:4" x14ac:dyDescent="0.2">
      <c r="D1637" s="5"/>
    </row>
    <row r="1638" spans="4:4" x14ac:dyDescent="0.2">
      <c r="D1638" s="5"/>
    </row>
    <row r="1639" spans="4:4" x14ac:dyDescent="0.2">
      <c r="D1639" s="5"/>
    </row>
    <row r="1640" spans="4:4" x14ac:dyDescent="0.2">
      <c r="D1640" s="5"/>
    </row>
    <row r="1641" spans="4:4" x14ac:dyDescent="0.2">
      <c r="D1641" s="5"/>
    </row>
    <row r="1642" spans="4:4" x14ac:dyDescent="0.2">
      <c r="D1642" s="5"/>
    </row>
    <row r="1643" spans="4:4" x14ac:dyDescent="0.2">
      <c r="D1643" s="5"/>
    </row>
    <row r="1644" spans="4:4" x14ac:dyDescent="0.2">
      <c r="D1644" s="5"/>
    </row>
    <row r="1645" spans="4:4" x14ac:dyDescent="0.2">
      <c r="D1645" s="5"/>
    </row>
    <row r="1646" spans="4:4" x14ac:dyDescent="0.2">
      <c r="D1646" s="5"/>
    </row>
    <row r="1647" spans="4:4" x14ac:dyDescent="0.2">
      <c r="D1647" s="5"/>
    </row>
    <row r="1648" spans="4:4" x14ac:dyDescent="0.2">
      <c r="D1648" s="5"/>
    </row>
    <row r="1649" spans="4:4" x14ac:dyDescent="0.2">
      <c r="D1649" s="5"/>
    </row>
    <row r="1650" spans="4:4" x14ac:dyDescent="0.2">
      <c r="D1650" s="5"/>
    </row>
    <row r="1651" spans="4:4" x14ac:dyDescent="0.2">
      <c r="D1651" s="5"/>
    </row>
    <row r="1652" spans="4:4" x14ac:dyDescent="0.2">
      <c r="D1652" s="5"/>
    </row>
    <row r="1653" spans="4:4" x14ac:dyDescent="0.2">
      <c r="D1653" s="5"/>
    </row>
    <row r="1654" spans="4:4" x14ac:dyDescent="0.2">
      <c r="D1654" s="5"/>
    </row>
    <row r="1655" spans="4:4" x14ac:dyDescent="0.2">
      <c r="D1655" s="5"/>
    </row>
    <row r="1656" spans="4:4" x14ac:dyDescent="0.2">
      <c r="D1656" s="5"/>
    </row>
    <row r="1657" spans="4:4" x14ac:dyDescent="0.2">
      <c r="D1657" s="5"/>
    </row>
    <row r="1658" spans="4:4" x14ac:dyDescent="0.2">
      <c r="D1658" s="5"/>
    </row>
    <row r="1659" spans="4:4" x14ac:dyDescent="0.2">
      <c r="D1659" s="5"/>
    </row>
    <row r="1660" spans="4:4" x14ac:dyDescent="0.2">
      <c r="D1660" s="5"/>
    </row>
    <row r="1661" spans="4:4" x14ac:dyDescent="0.2">
      <c r="D1661" s="5"/>
    </row>
    <row r="1662" spans="4:4" x14ac:dyDescent="0.2">
      <c r="D1662" s="5"/>
    </row>
    <row r="1663" spans="4:4" x14ac:dyDescent="0.2">
      <c r="D1663" s="5"/>
    </row>
    <row r="1664" spans="4:4" x14ac:dyDescent="0.2">
      <c r="D1664" s="5"/>
    </row>
    <row r="1665" spans="4:4" x14ac:dyDescent="0.2">
      <c r="D1665" s="5"/>
    </row>
    <row r="1666" spans="4:4" x14ac:dyDescent="0.2">
      <c r="D1666" s="5"/>
    </row>
    <row r="1667" spans="4:4" x14ac:dyDescent="0.2">
      <c r="D1667" s="5"/>
    </row>
    <row r="1668" spans="4:4" x14ac:dyDescent="0.2">
      <c r="D1668" s="5"/>
    </row>
    <row r="1669" spans="4:4" x14ac:dyDescent="0.2">
      <c r="D1669" s="5"/>
    </row>
    <row r="1670" spans="4:4" x14ac:dyDescent="0.2">
      <c r="D1670" s="5"/>
    </row>
    <row r="1671" spans="4:4" x14ac:dyDescent="0.2">
      <c r="D1671" s="5"/>
    </row>
    <row r="1672" spans="4:4" x14ac:dyDescent="0.2">
      <c r="D1672" s="5"/>
    </row>
    <row r="1673" spans="4:4" x14ac:dyDescent="0.2">
      <c r="D1673" s="5"/>
    </row>
    <row r="1674" spans="4:4" x14ac:dyDescent="0.2">
      <c r="D1674" s="5"/>
    </row>
    <row r="1675" spans="4:4" x14ac:dyDescent="0.2">
      <c r="D1675" s="5"/>
    </row>
    <row r="1676" spans="4:4" x14ac:dyDescent="0.2">
      <c r="D1676" s="5"/>
    </row>
    <row r="1677" spans="4:4" x14ac:dyDescent="0.2">
      <c r="D1677" s="5"/>
    </row>
    <row r="1678" spans="4:4" x14ac:dyDescent="0.2">
      <c r="D1678" s="5"/>
    </row>
    <row r="1679" spans="4:4" x14ac:dyDescent="0.2">
      <c r="D1679" s="5"/>
    </row>
    <row r="1680" spans="4:4" x14ac:dyDescent="0.2">
      <c r="D1680" s="5"/>
    </row>
    <row r="1681" spans="4:4" x14ac:dyDescent="0.2">
      <c r="D1681" s="5"/>
    </row>
    <row r="1682" spans="4:4" x14ac:dyDescent="0.2">
      <c r="D1682" s="5"/>
    </row>
    <row r="1683" spans="4:4" x14ac:dyDescent="0.2">
      <c r="D1683" s="5"/>
    </row>
    <row r="1684" spans="4:4" x14ac:dyDescent="0.2">
      <c r="D1684" s="5"/>
    </row>
    <row r="1685" spans="4:4" x14ac:dyDescent="0.2">
      <c r="D1685" s="5"/>
    </row>
    <row r="1686" spans="4:4" x14ac:dyDescent="0.2">
      <c r="D1686" s="5"/>
    </row>
    <row r="1687" spans="4:4" x14ac:dyDescent="0.2">
      <c r="D1687" s="5"/>
    </row>
    <row r="1688" spans="4:4" x14ac:dyDescent="0.2">
      <c r="D1688" s="5"/>
    </row>
    <row r="1689" spans="4:4" x14ac:dyDescent="0.2">
      <c r="D1689" s="5"/>
    </row>
    <row r="1690" spans="4:4" x14ac:dyDescent="0.2">
      <c r="D1690" s="5"/>
    </row>
    <row r="1691" spans="4:4" x14ac:dyDescent="0.2">
      <c r="D1691" s="5"/>
    </row>
    <row r="1692" spans="4:4" x14ac:dyDescent="0.2">
      <c r="D1692" s="5"/>
    </row>
    <row r="1693" spans="4:4" x14ac:dyDescent="0.2">
      <c r="D1693" s="5"/>
    </row>
    <row r="1694" spans="4:4" x14ac:dyDescent="0.2">
      <c r="D1694" s="5"/>
    </row>
    <row r="1695" spans="4:4" x14ac:dyDescent="0.2">
      <c r="D1695" s="5"/>
    </row>
    <row r="1696" spans="4:4" x14ac:dyDescent="0.2">
      <c r="D1696" s="5"/>
    </row>
    <row r="1697" spans="4:4" x14ac:dyDescent="0.2">
      <c r="D1697" s="5"/>
    </row>
    <row r="1698" spans="4:4" x14ac:dyDescent="0.2">
      <c r="D1698" s="5"/>
    </row>
    <row r="1699" spans="4:4" x14ac:dyDescent="0.2">
      <c r="D1699" s="5"/>
    </row>
    <row r="1700" spans="4:4" x14ac:dyDescent="0.2">
      <c r="D1700" s="5"/>
    </row>
    <row r="1701" spans="4:4" x14ac:dyDescent="0.2">
      <c r="D1701" s="5"/>
    </row>
    <row r="1702" spans="4:4" x14ac:dyDescent="0.2">
      <c r="D1702" s="5"/>
    </row>
    <row r="1703" spans="4:4" x14ac:dyDescent="0.2">
      <c r="D1703" s="5"/>
    </row>
    <row r="1704" spans="4:4" x14ac:dyDescent="0.2">
      <c r="D1704" s="5"/>
    </row>
    <row r="1705" spans="4:4" x14ac:dyDescent="0.2">
      <c r="D1705" s="5"/>
    </row>
    <row r="1706" spans="4:4" x14ac:dyDescent="0.2">
      <c r="D1706" s="5"/>
    </row>
    <row r="1707" spans="4:4" x14ac:dyDescent="0.2">
      <c r="D1707" s="5"/>
    </row>
    <row r="1708" spans="4:4" x14ac:dyDescent="0.2">
      <c r="D1708" s="5"/>
    </row>
    <row r="1709" spans="4:4" x14ac:dyDescent="0.2">
      <c r="D1709" s="5"/>
    </row>
    <row r="1710" spans="4:4" x14ac:dyDescent="0.2">
      <c r="D1710" s="5"/>
    </row>
    <row r="1711" spans="4:4" x14ac:dyDescent="0.2">
      <c r="D1711" s="5"/>
    </row>
    <row r="1712" spans="4:4" x14ac:dyDescent="0.2">
      <c r="D1712" s="5"/>
    </row>
    <row r="1713" spans="4:4" x14ac:dyDescent="0.2">
      <c r="D1713" s="5"/>
    </row>
    <row r="1714" spans="4:4" x14ac:dyDescent="0.2">
      <c r="D1714" s="5"/>
    </row>
    <row r="1715" spans="4:4" x14ac:dyDescent="0.2">
      <c r="D1715" s="5"/>
    </row>
    <row r="1716" spans="4:4" x14ac:dyDescent="0.2">
      <c r="D1716" s="5"/>
    </row>
    <row r="1717" spans="4:4" x14ac:dyDescent="0.2">
      <c r="D1717" s="5"/>
    </row>
    <row r="1718" spans="4:4" x14ac:dyDescent="0.2">
      <c r="D1718" s="5"/>
    </row>
    <row r="1719" spans="4:4" x14ac:dyDescent="0.2">
      <c r="D1719" s="5"/>
    </row>
    <row r="1720" spans="4:4" x14ac:dyDescent="0.2">
      <c r="D1720" s="5"/>
    </row>
    <row r="1721" spans="4:4" x14ac:dyDescent="0.2">
      <c r="D1721" s="5"/>
    </row>
    <row r="1722" spans="4:4" x14ac:dyDescent="0.2">
      <c r="D1722" s="5"/>
    </row>
    <row r="1723" spans="4:4" x14ac:dyDescent="0.2">
      <c r="D1723" s="5"/>
    </row>
    <row r="1724" spans="4:4" x14ac:dyDescent="0.2">
      <c r="D1724" s="5"/>
    </row>
    <row r="1725" spans="4:4" x14ac:dyDescent="0.2">
      <c r="D1725" s="5"/>
    </row>
    <row r="1726" spans="4:4" x14ac:dyDescent="0.2">
      <c r="D1726" s="5"/>
    </row>
    <row r="1727" spans="4:4" x14ac:dyDescent="0.2">
      <c r="D1727" s="5"/>
    </row>
    <row r="1728" spans="4:4" x14ac:dyDescent="0.2">
      <c r="D1728" s="5"/>
    </row>
    <row r="1729" spans="4:4" x14ac:dyDescent="0.2">
      <c r="D1729" s="5"/>
    </row>
    <row r="1730" spans="4:4" x14ac:dyDescent="0.2">
      <c r="D1730" s="5"/>
    </row>
    <row r="1731" spans="4:4" x14ac:dyDescent="0.2">
      <c r="D1731" s="5"/>
    </row>
    <row r="1732" spans="4:4" x14ac:dyDescent="0.2">
      <c r="D1732" s="5"/>
    </row>
    <row r="1733" spans="4:4" x14ac:dyDescent="0.2">
      <c r="D1733" s="5"/>
    </row>
    <row r="1734" spans="4:4" x14ac:dyDescent="0.2">
      <c r="D1734" s="5"/>
    </row>
    <row r="1735" spans="4:4" x14ac:dyDescent="0.2">
      <c r="D1735" s="5"/>
    </row>
    <row r="1736" spans="4:4" x14ac:dyDescent="0.2">
      <c r="D1736" s="5"/>
    </row>
    <row r="1737" spans="4:4" x14ac:dyDescent="0.2">
      <c r="D1737" s="5"/>
    </row>
    <row r="1738" spans="4:4" x14ac:dyDescent="0.2">
      <c r="D1738" s="5"/>
    </row>
    <row r="1739" spans="4:4" x14ac:dyDescent="0.2">
      <c r="D1739" s="5"/>
    </row>
    <row r="1740" spans="4:4" x14ac:dyDescent="0.2">
      <c r="D1740" s="5"/>
    </row>
    <row r="1741" spans="4:4" x14ac:dyDescent="0.2">
      <c r="D1741" s="5"/>
    </row>
    <row r="1742" spans="4:4" x14ac:dyDescent="0.2">
      <c r="D1742" s="5"/>
    </row>
    <row r="1743" spans="4:4" x14ac:dyDescent="0.2">
      <c r="D1743" s="5"/>
    </row>
    <row r="1744" spans="4:4" x14ac:dyDescent="0.2">
      <c r="D1744" s="5"/>
    </row>
    <row r="1745" spans="4:4" x14ac:dyDescent="0.2">
      <c r="D1745" s="5"/>
    </row>
    <row r="1746" spans="4:4" x14ac:dyDescent="0.2">
      <c r="D1746" s="5"/>
    </row>
    <row r="1747" spans="4:4" x14ac:dyDescent="0.2">
      <c r="D1747" s="5"/>
    </row>
    <row r="1748" spans="4:4" x14ac:dyDescent="0.2">
      <c r="D1748" s="5"/>
    </row>
    <row r="1749" spans="4:4" x14ac:dyDescent="0.2">
      <c r="D1749" s="5"/>
    </row>
    <row r="1750" spans="4:4" x14ac:dyDescent="0.2">
      <c r="D1750" s="5"/>
    </row>
    <row r="1751" spans="4:4" x14ac:dyDescent="0.2">
      <c r="D1751" s="5"/>
    </row>
    <row r="1752" spans="4:4" x14ac:dyDescent="0.2">
      <c r="D1752" s="5"/>
    </row>
    <row r="1753" spans="4:4" x14ac:dyDescent="0.2">
      <c r="D1753" s="5"/>
    </row>
    <row r="1754" spans="4:4" x14ac:dyDescent="0.2">
      <c r="D1754" s="5"/>
    </row>
    <row r="1755" spans="4:4" x14ac:dyDescent="0.2">
      <c r="D1755" s="5"/>
    </row>
    <row r="1756" spans="4:4" x14ac:dyDescent="0.2">
      <c r="D1756" s="5"/>
    </row>
    <row r="1757" spans="4:4" x14ac:dyDescent="0.2">
      <c r="D1757" s="5"/>
    </row>
    <row r="1758" spans="4:4" x14ac:dyDescent="0.2">
      <c r="D1758" s="5"/>
    </row>
    <row r="1759" spans="4:4" x14ac:dyDescent="0.2">
      <c r="D1759" s="5"/>
    </row>
    <row r="1760" spans="4:4" x14ac:dyDescent="0.2">
      <c r="D1760" s="5"/>
    </row>
    <row r="1761" spans="4:4" x14ac:dyDescent="0.2">
      <c r="D1761" s="5"/>
    </row>
    <row r="1762" spans="4:4" x14ac:dyDescent="0.2">
      <c r="D1762" s="5"/>
    </row>
    <row r="1763" spans="4:4" x14ac:dyDescent="0.2">
      <c r="D1763" s="5"/>
    </row>
    <row r="1764" spans="4:4" x14ac:dyDescent="0.2">
      <c r="D1764" s="5"/>
    </row>
    <row r="1765" spans="4:4" x14ac:dyDescent="0.2">
      <c r="D1765" s="5"/>
    </row>
    <row r="1766" spans="4:4" x14ac:dyDescent="0.2">
      <c r="D1766" s="5"/>
    </row>
    <row r="1767" spans="4:4" x14ac:dyDescent="0.2">
      <c r="D1767" s="5"/>
    </row>
    <row r="1768" spans="4:4" x14ac:dyDescent="0.2">
      <c r="D1768" s="5"/>
    </row>
    <row r="1769" spans="4:4" x14ac:dyDescent="0.2">
      <c r="D1769" s="5"/>
    </row>
    <row r="1770" spans="4:4" x14ac:dyDescent="0.2">
      <c r="D1770" s="5"/>
    </row>
    <row r="1771" spans="4:4" x14ac:dyDescent="0.2">
      <c r="D1771" s="5"/>
    </row>
    <row r="1772" spans="4:4" x14ac:dyDescent="0.2">
      <c r="D1772" s="5"/>
    </row>
    <row r="1773" spans="4:4" x14ac:dyDescent="0.2">
      <c r="D1773" s="5"/>
    </row>
    <row r="1774" spans="4:4" x14ac:dyDescent="0.2">
      <c r="D1774" s="5"/>
    </row>
    <row r="1775" spans="4:4" x14ac:dyDescent="0.2">
      <c r="D1775" s="5"/>
    </row>
    <row r="1776" spans="4:4" x14ac:dyDescent="0.2">
      <c r="D1776" s="5"/>
    </row>
    <row r="1777" spans="4:4" x14ac:dyDescent="0.2">
      <c r="D1777" s="5"/>
    </row>
    <row r="1778" spans="4:4" x14ac:dyDescent="0.2">
      <c r="D1778" s="5"/>
    </row>
    <row r="1779" spans="4:4" x14ac:dyDescent="0.2">
      <c r="D1779" s="5"/>
    </row>
    <row r="1780" spans="4:4" x14ac:dyDescent="0.2">
      <c r="D1780" s="5"/>
    </row>
    <row r="1781" spans="4:4" x14ac:dyDescent="0.2">
      <c r="D1781" s="5"/>
    </row>
    <row r="1782" spans="4:4" x14ac:dyDescent="0.2">
      <c r="D1782" s="5"/>
    </row>
    <row r="1783" spans="4:4" x14ac:dyDescent="0.2">
      <c r="D1783" s="5"/>
    </row>
    <row r="1784" spans="4:4" x14ac:dyDescent="0.2">
      <c r="D1784" s="5"/>
    </row>
    <row r="1785" spans="4:4" x14ac:dyDescent="0.2">
      <c r="D1785" s="5"/>
    </row>
    <row r="1786" spans="4:4" x14ac:dyDescent="0.2">
      <c r="D1786" s="5"/>
    </row>
    <row r="1787" spans="4:4" x14ac:dyDescent="0.2">
      <c r="D1787" s="5"/>
    </row>
    <row r="1788" spans="4:4" x14ac:dyDescent="0.2">
      <c r="D1788" s="5"/>
    </row>
    <row r="1789" spans="4:4" x14ac:dyDescent="0.2">
      <c r="D1789" s="5"/>
    </row>
    <row r="1790" spans="4:4" x14ac:dyDescent="0.2">
      <c r="D1790" s="5"/>
    </row>
    <row r="1791" spans="4:4" x14ac:dyDescent="0.2">
      <c r="D1791" s="5"/>
    </row>
    <row r="1792" spans="4:4" x14ac:dyDescent="0.2">
      <c r="D1792" s="5"/>
    </row>
    <row r="1793" spans="4:4" x14ac:dyDescent="0.2">
      <c r="D1793" s="5"/>
    </row>
    <row r="1794" spans="4:4" x14ac:dyDescent="0.2">
      <c r="D1794" s="5"/>
    </row>
    <row r="1795" spans="4:4" x14ac:dyDescent="0.2">
      <c r="D1795" s="5"/>
    </row>
    <row r="1796" spans="4:4" x14ac:dyDescent="0.2">
      <c r="D1796" s="5"/>
    </row>
    <row r="1797" spans="4:4" x14ac:dyDescent="0.2">
      <c r="D1797" s="5"/>
    </row>
    <row r="1798" spans="4:4" x14ac:dyDescent="0.2">
      <c r="D1798" s="5"/>
    </row>
    <row r="1799" spans="4:4" x14ac:dyDescent="0.2">
      <c r="D1799" s="5"/>
    </row>
    <row r="1800" spans="4:4" x14ac:dyDescent="0.2">
      <c r="D1800" s="5"/>
    </row>
    <row r="1801" spans="4:4" x14ac:dyDescent="0.2">
      <c r="D1801" s="5"/>
    </row>
    <row r="1802" spans="4:4" x14ac:dyDescent="0.2">
      <c r="D1802" s="5"/>
    </row>
    <row r="1803" spans="4:4" x14ac:dyDescent="0.2">
      <c r="D1803" s="5"/>
    </row>
    <row r="1804" spans="4:4" x14ac:dyDescent="0.2">
      <c r="D1804" s="5"/>
    </row>
    <row r="1805" spans="4:4" x14ac:dyDescent="0.2">
      <c r="D1805" s="5"/>
    </row>
    <row r="1806" spans="4:4" x14ac:dyDescent="0.2">
      <c r="D1806" s="5"/>
    </row>
    <row r="1807" spans="4:4" x14ac:dyDescent="0.2">
      <c r="D1807" s="5"/>
    </row>
    <row r="1808" spans="4:4" x14ac:dyDescent="0.2">
      <c r="D1808" s="5"/>
    </row>
    <row r="1809" spans="4:4" x14ac:dyDescent="0.2">
      <c r="D1809" s="5"/>
    </row>
    <row r="1810" spans="4:4" x14ac:dyDescent="0.2">
      <c r="D1810" s="5"/>
    </row>
    <row r="1811" spans="4:4" x14ac:dyDescent="0.2">
      <c r="D1811" s="5"/>
    </row>
    <row r="1812" spans="4:4" x14ac:dyDescent="0.2">
      <c r="D1812" s="5"/>
    </row>
    <row r="1813" spans="4:4" x14ac:dyDescent="0.2">
      <c r="D1813" s="5"/>
    </row>
    <row r="1814" spans="4:4" x14ac:dyDescent="0.2">
      <c r="D1814" s="5"/>
    </row>
    <row r="1815" spans="4:4" x14ac:dyDescent="0.2">
      <c r="D1815" s="5"/>
    </row>
    <row r="1816" spans="4:4" x14ac:dyDescent="0.2">
      <c r="D1816" s="5"/>
    </row>
    <row r="1817" spans="4:4" x14ac:dyDescent="0.2">
      <c r="D1817" s="5"/>
    </row>
    <row r="1818" spans="4:4" x14ac:dyDescent="0.2">
      <c r="D1818" s="5"/>
    </row>
    <row r="1819" spans="4:4" x14ac:dyDescent="0.2">
      <c r="D1819" s="5"/>
    </row>
    <row r="1820" spans="4:4" x14ac:dyDescent="0.2">
      <c r="D1820" s="5"/>
    </row>
    <row r="1821" spans="4:4" x14ac:dyDescent="0.2">
      <c r="D1821" s="5"/>
    </row>
    <row r="1822" spans="4:4" x14ac:dyDescent="0.2">
      <c r="D1822" s="5"/>
    </row>
    <row r="1823" spans="4:4" x14ac:dyDescent="0.2">
      <c r="D1823" s="5"/>
    </row>
    <row r="1824" spans="4:4" x14ac:dyDescent="0.2">
      <c r="D1824" s="5"/>
    </row>
    <row r="1825" spans="4:4" x14ac:dyDescent="0.2">
      <c r="D1825" s="5"/>
    </row>
    <row r="1826" spans="4:4" x14ac:dyDescent="0.2">
      <c r="D1826" s="5"/>
    </row>
    <row r="1827" spans="4:4" x14ac:dyDescent="0.2">
      <c r="D1827" s="5"/>
    </row>
    <row r="1828" spans="4:4" x14ac:dyDescent="0.2">
      <c r="D1828" s="5"/>
    </row>
    <row r="1829" spans="4:4" x14ac:dyDescent="0.2">
      <c r="D1829" s="5"/>
    </row>
    <row r="1830" spans="4:4" x14ac:dyDescent="0.2">
      <c r="D1830" s="5"/>
    </row>
    <row r="1831" spans="4:4" x14ac:dyDescent="0.2">
      <c r="D1831" s="5"/>
    </row>
    <row r="1832" spans="4:4" x14ac:dyDescent="0.2">
      <c r="D1832" s="5"/>
    </row>
    <row r="1833" spans="4:4" x14ac:dyDescent="0.2">
      <c r="D1833" s="5"/>
    </row>
    <row r="1834" spans="4:4" x14ac:dyDescent="0.2">
      <c r="D1834" s="5"/>
    </row>
    <row r="1835" spans="4:4" x14ac:dyDescent="0.2">
      <c r="D1835" s="5"/>
    </row>
    <row r="1836" spans="4:4" x14ac:dyDescent="0.2">
      <c r="D1836" s="5"/>
    </row>
    <row r="1837" spans="4:4" x14ac:dyDescent="0.2">
      <c r="D1837" s="5"/>
    </row>
    <row r="1838" spans="4:4" x14ac:dyDescent="0.2">
      <c r="D1838" s="5"/>
    </row>
    <row r="1839" spans="4:4" x14ac:dyDescent="0.2">
      <c r="D1839" s="5"/>
    </row>
    <row r="1840" spans="4:4" x14ac:dyDescent="0.2">
      <c r="D1840" s="5"/>
    </row>
    <row r="1841" spans="4:4" x14ac:dyDescent="0.2">
      <c r="D1841" s="5"/>
    </row>
    <row r="1842" spans="4:4" x14ac:dyDescent="0.2">
      <c r="D1842" s="5"/>
    </row>
    <row r="1843" spans="4:4" x14ac:dyDescent="0.2">
      <c r="D1843" s="5"/>
    </row>
    <row r="1844" spans="4:4" x14ac:dyDescent="0.2">
      <c r="D1844" s="5"/>
    </row>
    <row r="1845" spans="4:4" x14ac:dyDescent="0.2">
      <c r="D1845" s="5"/>
    </row>
    <row r="1846" spans="4:4" x14ac:dyDescent="0.2">
      <c r="D1846" s="5"/>
    </row>
    <row r="1847" spans="4:4" x14ac:dyDescent="0.2">
      <c r="D1847" s="5"/>
    </row>
    <row r="1848" spans="4:4" x14ac:dyDescent="0.2">
      <c r="D1848" s="5"/>
    </row>
    <row r="1849" spans="4:4" x14ac:dyDescent="0.2">
      <c r="D1849" s="5"/>
    </row>
    <row r="1850" spans="4:4" x14ac:dyDescent="0.2">
      <c r="D1850" s="5"/>
    </row>
    <row r="1851" spans="4:4" x14ac:dyDescent="0.2">
      <c r="D1851" s="5"/>
    </row>
    <row r="1852" spans="4:4" x14ac:dyDescent="0.2">
      <c r="D1852" s="5"/>
    </row>
    <row r="1853" spans="4:4" x14ac:dyDescent="0.2">
      <c r="D1853" s="5"/>
    </row>
    <row r="1854" spans="4:4" x14ac:dyDescent="0.2">
      <c r="D1854" s="5"/>
    </row>
    <row r="1855" spans="4:4" x14ac:dyDescent="0.2">
      <c r="D1855" s="5"/>
    </row>
    <row r="1856" spans="4:4" x14ac:dyDescent="0.2">
      <c r="D1856" s="5"/>
    </row>
    <row r="1857" spans="4:4" x14ac:dyDescent="0.2">
      <c r="D1857" s="5"/>
    </row>
    <row r="1858" spans="4:4" x14ac:dyDescent="0.2">
      <c r="D1858" s="5"/>
    </row>
    <row r="1859" spans="4:4" x14ac:dyDescent="0.2">
      <c r="D1859" s="5"/>
    </row>
    <row r="1860" spans="4:4" x14ac:dyDescent="0.2">
      <c r="D1860" s="5"/>
    </row>
    <row r="1861" spans="4:4" x14ac:dyDescent="0.2">
      <c r="D1861" s="5"/>
    </row>
    <row r="1862" spans="4:4" x14ac:dyDescent="0.2">
      <c r="D1862" s="5"/>
    </row>
    <row r="1863" spans="4:4" x14ac:dyDescent="0.2">
      <c r="D1863" s="5"/>
    </row>
    <row r="1864" spans="4:4" x14ac:dyDescent="0.2">
      <c r="D1864" s="5"/>
    </row>
    <row r="1865" spans="4:4" x14ac:dyDescent="0.2">
      <c r="D1865" s="5"/>
    </row>
    <row r="1866" spans="4:4" x14ac:dyDescent="0.2">
      <c r="D1866" s="5"/>
    </row>
    <row r="1867" spans="4:4" x14ac:dyDescent="0.2">
      <c r="D1867" s="5"/>
    </row>
    <row r="1868" spans="4:4" x14ac:dyDescent="0.2">
      <c r="D1868" s="5"/>
    </row>
    <row r="1869" spans="4:4" x14ac:dyDescent="0.2">
      <c r="D1869" s="5"/>
    </row>
    <row r="1870" spans="4:4" x14ac:dyDescent="0.2">
      <c r="D1870" s="5"/>
    </row>
    <row r="1871" spans="4:4" x14ac:dyDescent="0.2">
      <c r="D1871" s="5"/>
    </row>
    <row r="1872" spans="4:4" x14ac:dyDescent="0.2">
      <c r="D1872" s="5"/>
    </row>
    <row r="1873" spans="4:4" x14ac:dyDescent="0.2">
      <c r="D1873" s="5"/>
    </row>
    <row r="1874" spans="4:4" x14ac:dyDescent="0.2">
      <c r="D1874" s="5"/>
    </row>
    <row r="1875" spans="4:4" x14ac:dyDescent="0.2">
      <c r="D1875" s="5"/>
    </row>
    <row r="1876" spans="4:4" x14ac:dyDescent="0.2">
      <c r="D1876" s="5"/>
    </row>
    <row r="1877" spans="4:4" x14ac:dyDescent="0.2">
      <c r="D1877" s="5"/>
    </row>
    <row r="1878" spans="4:4" x14ac:dyDescent="0.2">
      <c r="D1878" s="5"/>
    </row>
    <row r="1879" spans="4:4" x14ac:dyDescent="0.2">
      <c r="D1879" s="5"/>
    </row>
    <row r="1880" spans="4:4" x14ac:dyDescent="0.2">
      <c r="D1880" s="5"/>
    </row>
    <row r="1881" spans="4:4" x14ac:dyDescent="0.2">
      <c r="D1881" s="5"/>
    </row>
    <row r="1882" spans="4:4" x14ac:dyDescent="0.2">
      <c r="D1882" s="5"/>
    </row>
    <row r="1883" spans="4:4" x14ac:dyDescent="0.2">
      <c r="D1883" s="5"/>
    </row>
    <row r="1884" spans="4:4" x14ac:dyDescent="0.2">
      <c r="D1884" s="5"/>
    </row>
    <row r="1885" spans="4:4" x14ac:dyDescent="0.2">
      <c r="D1885" s="5"/>
    </row>
    <row r="1886" spans="4:4" x14ac:dyDescent="0.2">
      <c r="D1886" s="5"/>
    </row>
    <row r="1887" spans="4:4" x14ac:dyDescent="0.2">
      <c r="D1887" s="5"/>
    </row>
    <row r="1888" spans="4:4" x14ac:dyDescent="0.2">
      <c r="D1888" s="5"/>
    </row>
    <row r="1889" spans="4:4" x14ac:dyDescent="0.2">
      <c r="D1889" s="5"/>
    </row>
    <row r="1890" spans="4:4" x14ac:dyDescent="0.2">
      <c r="D1890" s="5"/>
    </row>
    <row r="1891" spans="4:4" x14ac:dyDescent="0.2">
      <c r="D1891" s="5"/>
    </row>
    <row r="1892" spans="4:4" x14ac:dyDescent="0.2">
      <c r="D1892" s="5"/>
    </row>
    <row r="1893" spans="4:4" x14ac:dyDescent="0.2">
      <c r="D1893" s="5"/>
    </row>
    <row r="1894" spans="4:4" x14ac:dyDescent="0.2">
      <c r="D1894" s="5"/>
    </row>
    <row r="1895" spans="4:4" x14ac:dyDescent="0.2">
      <c r="D1895" s="5"/>
    </row>
    <row r="1896" spans="4:4" x14ac:dyDescent="0.2">
      <c r="D1896" s="5"/>
    </row>
    <row r="1897" spans="4:4" x14ac:dyDescent="0.2">
      <c r="D1897" s="5"/>
    </row>
    <row r="1898" spans="4:4" x14ac:dyDescent="0.2">
      <c r="D1898" s="5"/>
    </row>
    <row r="1899" spans="4:4" x14ac:dyDescent="0.2">
      <c r="D1899" s="5"/>
    </row>
    <row r="1900" spans="4:4" x14ac:dyDescent="0.2">
      <c r="D1900" s="5"/>
    </row>
    <row r="1901" spans="4:4" x14ac:dyDescent="0.2">
      <c r="D1901" s="5"/>
    </row>
    <row r="1902" spans="4:4" x14ac:dyDescent="0.2">
      <c r="D1902" s="5"/>
    </row>
    <row r="1903" spans="4:4" x14ac:dyDescent="0.2">
      <c r="D1903" s="5"/>
    </row>
    <row r="1904" spans="4:4" x14ac:dyDescent="0.2">
      <c r="D1904" s="5"/>
    </row>
    <row r="1905" spans="4:4" x14ac:dyDescent="0.2">
      <c r="D1905" s="5"/>
    </row>
    <row r="1906" spans="4:4" x14ac:dyDescent="0.2">
      <c r="D1906" s="5"/>
    </row>
    <row r="1907" spans="4:4" x14ac:dyDescent="0.2">
      <c r="D1907" s="5"/>
    </row>
    <row r="1908" spans="4:4" x14ac:dyDescent="0.2">
      <c r="D1908" s="5"/>
    </row>
    <row r="1909" spans="4:4" x14ac:dyDescent="0.2">
      <c r="D1909" s="5"/>
    </row>
    <row r="1910" spans="4:4" x14ac:dyDescent="0.2">
      <c r="D1910" s="5"/>
    </row>
    <row r="1911" spans="4:4" x14ac:dyDescent="0.2">
      <c r="D1911" s="5"/>
    </row>
    <row r="1912" spans="4:4" x14ac:dyDescent="0.2">
      <c r="D1912" s="5"/>
    </row>
    <row r="1913" spans="4:4" x14ac:dyDescent="0.2">
      <c r="D1913" s="5"/>
    </row>
    <row r="1914" spans="4:4" x14ac:dyDescent="0.2">
      <c r="D1914" s="5"/>
    </row>
    <row r="1915" spans="4:4" x14ac:dyDescent="0.2">
      <c r="D1915" s="5"/>
    </row>
    <row r="1916" spans="4:4" x14ac:dyDescent="0.2">
      <c r="D1916" s="5"/>
    </row>
    <row r="1917" spans="4:4" x14ac:dyDescent="0.2">
      <c r="D1917" s="5"/>
    </row>
    <row r="1918" spans="4:4" x14ac:dyDescent="0.2">
      <c r="D1918" s="5"/>
    </row>
    <row r="1919" spans="4:4" x14ac:dyDescent="0.2">
      <c r="D1919" s="5"/>
    </row>
    <row r="1920" spans="4:4" x14ac:dyDescent="0.2">
      <c r="D1920" s="5"/>
    </row>
    <row r="1921" spans="4:4" x14ac:dyDescent="0.2">
      <c r="D1921" s="5"/>
    </row>
    <row r="1922" spans="4:4" x14ac:dyDescent="0.2">
      <c r="D1922" s="5"/>
    </row>
    <row r="1923" spans="4:4" x14ac:dyDescent="0.2">
      <c r="D1923" s="5"/>
    </row>
    <row r="1924" spans="4:4" x14ac:dyDescent="0.2">
      <c r="D1924" s="5"/>
    </row>
    <row r="1925" spans="4:4" x14ac:dyDescent="0.2">
      <c r="D1925" s="5"/>
    </row>
    <row r="1926" spans="4:4" x14ac:dyDescent="0.2">
      <c r="D1926" s="5"/>
    </row>
    <row r="1927" spans="4:4" x14ac:dyDescent="0.2">
      <c r="D1927" s="5"/>
    </row>
    <row r="1928" spans="4:4" x14ac:dyDescent="0.2">
      <c r="D1928" s="5"/>
    </row>
    <row r="1929" spans="4:4" x14ac:dyDescent="0.2">
      <c r="D1929" s="5"/>
    </row>
    <row r="1930" spans="4:4" x14ac:dyDescent="0.2">
      <c r="D1930" s="5"/>
    </row>
    <row r="1931" spans="4:4" x14ac:dyDescent="0.2">
      <c r="D1931" s="5"/>
    </row>
    <row r="1932" spans="4:4" x14ac:dyDescent="0.2">
      <c r="D1932" s="5"/>
    </row>
    <row r="1933" spans="4:4" x14ac:dyDescent="0.2">
      <c r="D1933" s="5"/>
    </row>
    <row r="1934" spans="4:4" x14ac:dyDescent="0.2">
      <c r="D1934" s="5"/>
    </row>
    <row r="1935" spans="4:4" x14ac:dyDescent="0.2">
      <c r="D1935" s="5"/>
    </row>
    <row r="1936" spans="4:4" x14ac:dyDescent="0.2">
      <c r="D1936" s="5"/>
    </row>
    <row r="1937" spans="4:4" x14ac:dyDescent="0.2">
      <c r="D1937" s="5"/>
    </row>
    <row r="1938" spans="4:4" x14ac:dyDescent="0.2">
      <c r="D1938" s="5"/>
    </row>
    <row r="1939" spans="4:4" x14ac:dyDescent="0.2">
      <c r="D1939" s="5"/>
    </row>
    <row r="1940" spans="4:4" x14ac:dyDescent="0.2">
      <c r="D1940" s="5"/>
    </row>
    <row r="1941" spans="4:4" x14ac:dyDescent="0.2">
      <c r="D1941" s="5"/>
    </row>
    <row r="1942" spans="4:4" x14ac:dyDescent="0.2">
      <c r="D1942" s="5"/>
    </row>
    <row r="1943" spans="4:4" x14ac:dyDescent="0.2">
      <c r="D1943" s="5"/>
    </row>
    <row r="1944" spans="4:4" x14ac:dyDescent="0.2">
      <c r="D1944" s="5"/>
    </row>
    <row r="1945" spans="4:4" x14ac:dyDescent="0.2">
      <c r="D1945" s="5"/>
    </row>
    <row r="1946" spans="4:4" x14ac:dyDescent="0.2">
      <c r="D1946" s="5"/>
    </row>
    <row r="1947" spans="4:4" x14ac:dyDescent="0.2">
      <c r="D1947" s="5"/>
    </row>
    <row r="1948" spans="4:4" x14ac:dyDescent="0.2">
      <c r="D1948" s="5"/>
    </row>
    <row r="1949" spans="4:4" x14ac:dyDescent="0.2">
      <c r="D1949" s="5"/>
    </row>
    <row r="1950" spans="4:4" x14ac:dyDescent="0.2">
      <c r="D1950" s="5"/>
    </row>
    <row r="1951" spans="4:4" x14ac:dyDescent="0.2">
      <c r="D1951" s="5"/>
    </row>
    <row r="1952" spans="4:4" x14ac:dyDescent="0.2">
      <c r="D1952" s="5"/>
    </row>
    <row r="1953" spans="4:4" x14ac:dyDescent="0.2">
      <c r="D1953" s="5"/>
    </row>
    <row r="1954" spans="4:4" x14ac:dyDescent="0.2">
      <c r="D1954" s="5"/>
    </row>
    <row r="1955" spans="4:4" x14ac:dyDescent="0.2">
      <c r="D1955" s="5"/>
    </row>
    <row r="1956" spans="4:4" x14ac:dyDescent="0.2">
      <c r="D1956" s="5"/>
    </row>
    <row r="1957" spans="4:4" x14ac:dyDescent="0.2">
      <c r="D1957" s="5"/>
    </row>
    <row r="1958" spans="4:4" x14ac:dyDescent="0.2">
      <c r="D1958" s="5"/>
    </row>
    <row r="1959" spans="4:4" x14ac:dyDescent="0.2">
      <c r="D1959" s="5"/>
    </row>
    <row r="1960" spans="4:4" x14ac:dyDescent="0.2">
      <c r="D1960" s="5"/>
    </row>
    <row r="1961" spans="4:4" x14ac:dyDescent="0.2">
      <c r="D1961" s="5"/>
    </row>
    <row r="1962" spans="4:4" x14ac:dyDescent="0.2">
      <c r="D1962" s="5"/>
    </row>
    <row r="1963" spans="4:4" x14ac:dyDescent="0.2">
      <c r="D1963" s="5"/>
    </row>
    <row r="1964" spans="4:4" x14ac:dyDescent="0.2">
      <c r="D1964" s="5"/>
    </row>
    <row r="1965" spans="4:4" x14ac:dyDescent="0.2">
      <c r="D1965" s="5"/>
    </row>
    <row r="1966" spans="4:4" x14ac:dyDescent="0.2">
      <c r="D1966" s="5"/>
    </row>
    <row r="1967" spans="4:4" x14ac:dyDescent="0.2">
      <c r="D1967" s="5"/>
    </row>
    <row r="1968" spans="4:4" x14ac:dyDescent="0.2">
      <c r="D1968" s="5"/>
    </row>
    <row r="1969" spans="4:4" x14ac:dyDescent="0.2">
      <c r="D1969" s="5"/>
    </row>
    <row r="1970" spans="4:4" x14ac:dyDescent="0.2">
      <c r="D1970" s="5"/>
    </row>
    <row r="1971" spans="4:4" x14ac:dyDescent="0.2">
      <c r="D1971" s="5"/>
    </row>
    <row r="1972" spans="4:4" x14ac:dyDescent="0.2">
      <c r="D1972" s="5"/>
    </row>
    <row r="1973" spans="4:4" x14ac:dyDescent="0.2">
      <c r="D1973" s="5"/>
    </row>
    <row r="1974" spans="4:4" x14ac:dyDescent="0.2">
      <c r="D1974" s="5"/>
    </row>
    <row r="1975" spans="4:4" x14ac:dyDescent="0.2">
      <c r="D1975" s="5"/>
    </row>
    <row r="1976" spans="4:4" x14ac:dyDescent="0.2">
      <c r="D1976" s="5"/>
    </row>
    <row r="1977" spans="4:4" x14ac:dyDescent="0.2">
      <c r="D1977" s="5"/>
    </row>
    <row r="1978" spans="4:4" x14ac:dyDescent="0.2">
      <c r="D1978" s="5"/>
    </row>
    <row r="1979" spans="4:4" x14ac:dyDescent="0.2">
      <c r="D1979" s="5"/>
    </row>
    <row r="1980" spans="4:4" x14ac:dyDescent="0.2">
      <c r="D1980" s="5"/>
    </row>
    <row r="1981" spans="4:4" x14ac:dyDescent="0.2">
      <c r="D1981" s="5"/>
    </row>
    <row r="1982" spans="4:4" x14ac:dyDescent="0.2">
      <c r="D1982" s="5"/>
    </row>
    <row r="1983" spans="4:4" x14ac:dyDescent="0.2">
      <c r="D1983" s="5"/>
    </row>
    <row r="1984" spans="4:4" x14ac:dyDescent="0.2">
      <c r="D1984" s="5"/>
    </row>
    <row r="1985" spans="4:4" x14ac:dyDescent="0.2">
      <c r="D1985" s="5"/>
    </row>
    <row r="1986" spans="4:4" x14ac:dyDescent="0.2">
      <c r="D1986" s="5"/>
    </row>
    <row r="1987" spans="4:4" x14ac:dyDescent="0.2">
      <c r="D1987" s="5"/>
    </row>
    <row r="1988" spans="4:4" x14ac:dyDescent="0.2">
      <c r="D1988" s="5"/>
    </row>
    <row r="1989" spans="4:4" x14ac:dyDescent="0.2">
      <c r="D1989" s="5"/>
    </row>
    <row r="1990" spans="4:4" x14ac:dyDescent="0.2">
      <c r="D1990" s="5"/>
    </row>
    <row r="1991" spans="4:4" x14ac:dyDescent="0.2">
      <c r="D1991" s="5"/>
    </row>
    <row r="1992" spans="4:4" x14ac:dyDescent="0.2">
      <c r="D1992" s="5"/>
    </row>
    <row r="1993" spans="4:4" x14ac:dyDescent="0.2">
      <c r="D1993" s="5"/>
    </row>
    <row r="1994" spans="4:4" x14ac:dyDescent="0.2">
      <c r="D1994" s="5"/>
    </row>
    <row r="1995" spans="4:4" x14ac:dyDescent="0.2">
      <c r="D1995" s="5"/>
    </row>
    <row r="1996" spans="4:4" x14ac:dyDescent="0.2">
      <c r="D1996" s="5"/>
    </row>
    <row r="1997" spans="4:4" x14ac:dyDescent="0.2">
      <c r="D1997" s="5"/>
    </row>
    <row r="1998" spans="4:4" x14ac:dyDescent="0.2">
      <c r="D1998" s="5"/>
    </row>
    <row r="1999" spans="4:4" x14ac:dyDescent="0.2">
      <c r="D1999" s="5"/>
    </row>
    <row r="2000" spans="4:4" x14ac:dyDescent="0.2">
      <c r="D2000" s="5"/>
    </row>
    <row r="2001" spans="4:4" x14ac:dyDescent="0.2">
      <c r="D2001" s="5"/>
    </row>
    <row r="2002" spans="4:4" x14ac:dyDescent="0.2">
      <c r="D2002" s="5"/>
    </row>
    <row r="2003" spans="4:4" x14ac:dyDescent="0.2">
      <c r="D2003" s="5"/>
    </row>
    <row r="2004" spans="4:4" x14ac:dyDescent="0.2">
      <c r="D2004" s="5"/>
    </row>
    <row r="2005" spans="4:4" x14ac:dyDescent="0.2">
      <c r="D2005" s="5"/>
    </row>
    <row r="2006" spans="4:4" x14ac:dyDescent="0.2">
      <c r="D2006" s="5"/>
    </row>
    <row r="2007" spans="4:4" x14ac:dyDescent="0.2">
      <c r="D2007" s="5"/>
    </row>
    <row r="2008" spans="4:4" x14ac:dyDescent="0.2">
      <c r="D2008" s="5"/>
    </row>
    <row r="2009" spans="4:4" x14ac:dyDescent="0.2">
      <c r="D2009" s="5"/>
    </row>
    <row r="2010" spans="4:4" x14ac:dyDescent="0.2">
      <c r="D2010" s="5"/>
    </row>
    <row r="2011" spans="4:4" x14ac:dyDescent="0.2">
      <c r="D2011" s="5"/>
    </row>
    <row r="2012" spans="4:4" x14ac:dyDescent="0.2">
      <c r="D2012" s="5"/>
    </row>
    <row r="2013" spans="4:4" x14ac:dyDescent="0.2">
      <c r="D2013" s="5"/>
    </row>
    <row r="2014" spans="4:4" x14ac:dyDescent="0.2">
      <c r="D2014" s="5"/>
    </row>
    <row r="2015" spans="4:4" x14ac:dyDescent="0.2">
      <c r="D2015" s="5"/>
    </row>
    <row r="2016" spans="4:4" x14ac:dyDescent="0.2">
      <c r="D2016" s="5"/>
    </row>
    <row r="2017" spans="4:4" x14ac:dyDescent="0.2">
      <c r="D2017" s="5"/>
    </row>
    <row r="2018" spans="4:4" x14ac:dyDescent="0.2">
      <c r="D2018" s="5"/>
    </row>
    <row r="2019" spans="4:4" x14ac:dyDescent="0.2">
      <c r="D2019" s="5"/>
    </row>
    <row r="2020" spans="4:4" x14ac:dyDescent="0.2">
      <c r="D2020" s="5"/>
    </row>
    <row r="2021" spans="4:4" x14ac:dyDescent="0.2">
      <c r="D2021" s="5"/>
    </row>
    <row r="2022" spans="4:4" x14ac:dyDescent="0.2">
      <c r="D2022" s="5"/>
    </row>
    <row r="2023" spans="4:4" x14ac:dyDescent="0.2">
      <c r="D2023" s="5"/>
    </row>
    <row r="2024" spans="4:4" x14ac:dyDescent="0.2">
      <c r="D2024" s="5"/>
    </row>
    <row r="2025" spans="4:4" x14ac:dyDescent="0.2">
      <c r="D2025" s="5"/>
    </row>
    <row r="2026" spans="4:4" x14ac:dyDescent="0.2">
      <c r="D2026" s="5"/>
    </row>
    <row r="2027" spans="4:4" x14ac:dyDescent="0.2">
      <c r="D2027" s="5"/>
    </row>
    <row r="2028" spans="4:4" x14ac:dyDescent="0.2">
      <c r="D2028" s="5"/>
    </row>
    <row r="2029" spans="4:4" x14ac:dyDescent="0.2">
      <c r="D2029" s="5"/>
    </row>
    <row r="2030" spans="4:4" x14ac:dyDescent="0.2">
      <c r="D2030" s="5"/>
    </row>
    <row r="2031" spans="4:4" x14ac:dyDescent="0.2">
      <c r="D2031" s="5"/>
    </row>
    <row r="2032" spans="4:4" x14ac:dyDescent="0.2">
      <c r="D2032" s="5"/>
    </row>
    <row r="2033" spans="4:4" x14ac:dyDescent="0.2">
      <c r="D2033" s="5"/>
    </row>
    <row r="2034" spans="4:4" x14ac:dyDescent="0.2">
      <c r="D2034" s="5"/>
    </row>
    <row r="2035" spans="4:4" x14ac:dyDescent="0.2">
      <c r="D2035" s="5"/>
    </row>
    <row r="2036" spans="4:4" x14ac:dyDescent="0.2">
      <c r="D2036" s="5"/>
    </row>
    <row r="2037" spans="4:4" x14ac:dyDescent="0.2">
      <c r="D2037" s="5"/>
    </row>
    <row r="2038" spans="4:4" x14ac:dyDescent="0.2">
      <c r="D2038" s="5"/>
    </row>
    <row r="2039" spans="4:4" x14ac:dyDescent="0.2">
      <c r="D2039" s="5"/>
    </row>
    <row r="2040" spans="4:4" x14ac:dyDescent="0.2">
      <c r="D2040" s="5"/>
    </row>
    <row r="2041" spans="4:4" x14ac:dyDescent="0.2">
      <c r="D2041" s="5"/>
    </row>
    <row r="2042" spans="4:4" x14ac:dyDescent="0.2">
      <c r="D2042" s="5"/>
    </row>
    <row r="2043" spans="4:4" x14ac:dyDescent="0.2">
      <c r="D2043" s="5"/>
    </row>
    <row r="2044" spans="4:4" x14ac:dyDescent="0.2">
      <c r="D2044" s="5"/>
    </row>
    <row r="2045" spans="4:4" x14ac:dyDescent="0.2">
      <c r="D2045" s="5"/>
    </row>
    <row r="2046" spans="4:4" x14ac:dyDescent="0.2">
      <c r="D2046" s="5"/>
    </row>
    <row r="2047" spans="4:4" x14ac:dyDescent="0.2">
      <c r="D2047" s="5"/>
    </row>
    <row r="2048" spans="4:4" x14ac:dyDescent="0.2">
      <c r="D2048" s="5"/>
    </row>
    <row r="2049" spans="4:4" x14ac:dyDescent="0.2">
      <c r="D2049" s="5"/>
    </row>
    <row r="2050" spans="4:4" x14ac:dyDescent="0.2">
      <c r="D2050" s="5"/>
    </row>
    <row r="2051" spans="4:4" x14ac:dyDescent="0.2">
      <c r="D2051" s="5"/>
    </row>
    <row r="2052" spans="4:4" x14ac:dyDescent="0.2">
      <c r="D2052" s="5"/>
    </row>
    <row r="2053" spans="4:4" x14ac:dyDescent="0.2">
      <c r="D2053" s="5"/>
    </row>
    <row r="2054" spans="4:4" x14ac:dyDescent="0.2">
      <c r="D2054" s="5"/>
    </row>
    <row r="2055" spans="4:4" x14ac:dyDescent="0.2">
      <c r="D2055" s="5"/>
    </row>
    <row r="2056" spans="4:4" x14ac:dyDescent="0.2">
      <c r="D2056" s="5"/>
    </row>
    <row r="2057" spans="4:4" x14ac:dyDescent="0.2">
      <c r="D2057" s="5"/>
    </row>
    <row r="2058" spans="4:4" x14ac:dyDescent="0.2">
      <c r="D2058" s="5"/>
    </row>
    <row r="2059" spans="4:4" x14ac:dyDescent="0.2">
      <c r="D2059" s="5"/>
    </row>
    <row r="2060" spans="4:4" x14ac:dyDescent="0.2">
      <c r="D2060" s="5"/>
    </row>
    <row r="2061" spans="4:4" x14ac:dyDescent="0.2">
      <c r="D2061" s="5"/>
    </row>
    <row r="2062" spans="4:4" x14ac:dyDescent="0.2">
      <c r="D2062" s="5"/>
    </row>
    <row r="2063" spans="4:4" x14ac:dyDescent="0.2">
      <c r="D2063" s="5"/>
    </row>
    <row r="2064" spans="4:4" x14ac:dyDescent="0.2">
      <c r="D2064" s="5"/>
    </row>
    <row r="2065" spans="4:4" x14ac:dyDescent="0.2">
      <c r="D2065" s="5"/>
    </row>
    <row r="2066" spans="4:4" x14ac:dyDescent="0.2">
      <c r="D2066" s="5"/>
    </row>
    <row r="2067" spans="4:4" x14ac:dyDescent="0.2">
      <c r="D2067" s="5"/>
    </row>
    <row r="2068" spans="4:4" x14ac:dyDescent="0.2">
      <c r="D2068" s="5"/>
    </row>
    <row r="2069" spans="4:4" x14ac:dyDescent="0.2">
      <c r="D2069" s="5"/>
    </row>
    <row r="2070" spans="4:4" x14ac:dyDescent="0.2">
      <c r="D2070" s="5"/>
    </row>
    <row r="2071" spans="4:4" x14ac:dyDescent="0.2">
      <c r="D2071" s="5"/>
    </row>
    <row r="2072" spans="4:4" x14ac:dyDescent="0.2">
      <c r="D2072" s="5"/>
    </row>
    <row r="2073" spans="4:4" x14ac:dyDescent="0.2">
      <c r="D2073" s="5"/>
    </row>
    <row r="2074" spans="4:4" x14ac:dyDescent="0.2">
      <c r="D2074" s="5"/>
    </row>
    <row r="2075" spans="4:4" x14ac:dyDescent="0.2">
      <c r="D2075" s="5"/>
    </row>
    <row r="2076" spans="4:4" x14ac:dyDescent="0.2">
      <c r="D2076" s="5"/>
    </row>
    <row r="2077" spans="4:4" x14ac:dyDescent="0.2">
      <c r="D2077" s="5"/>
    </row>
    <row r="2078" spans="4:4" x14ac:dyDescent="0.2">
      <c r="D2078" s="5"/>
    </row>
    <row r="2079" spans="4:4" x14ac:dyDescent="0.2">
      <c r="D2079" s="5"/>
    </row>
    <row r="2080" spans="4:4" x14ac:dyDescent="0.2">
      <c r="D2080" s="5"/>
    </row>
    <row r="2081" spans="4:4" x14ac:dyDescent="0.2">
      <c r="D2081" s="5"/>
    </row>
    <row r="2082" spans="4:4" x14ac:dyDescent="0.2">
      <c r="D2082" s="5"/>
    </row>
    <row r="2083" spans="4:4" x14ac:dyDescent="0.2">
      <c r="D2083" s="5"/>
    </row>
    <row r="2084" spans="4:4" x14ac:dyDescent="0.2">
      <c r="D2084" s="5"/>
    </row>
    <row r="2085" spans="4:4" x14ac:dyDescent="0.2">
      <c r="D2085" s="5"/>
    </row>
    <row r="2086" spans="4:4" x14ac:dyDescent="0.2">
      <c r="D2086" s="5"/>
    </row>
    <row r="2087" spans="4:4" x14ac:dyDescent="0.2">
      <c r="D2087" s="5"/>
    </row>
    <row r="2088" spans="4:4" x14ac:dyDescent="0.2">
      <c r="D2088" s="5"/>
    </row>
    <row r="2089" spans="4:4" x14ac:dyDescent="0.2">
      <c r="D2089" s="5"/>
    </row>
    <row r="2090" spans="4:4" x14ac:dyDescent="0.2">
      <c r="D2090" s="5"/>
    </row>
    <row r="2091" spans="4:4" x14ac:dyDescent="0.2">
      <c r="D2091" s="5"/>
    </row>
    <row r="2092" spans="4:4" x14ac:dyDescent="0.2">
      <c r="D2092" s="5"/>
    </row>
    <row r="2093" spans="4:4" x14ac:dyDescent="0.2">
      <c r="D2093" s="5"/>
    </row>
    <row r="2094" spans="4:4" x14ac:dyDescent="0.2">
      <c r="D2094" s="5"/>
    </row>
    <row r="2095" spans="4:4" x14ac:dyDescent="0.2">
      <c r="D2095" s="5"/>
    </row>
    <row r="2096" spans="4:4" x14ac:dyDescent="0.2">
      <c r="D2096" s="5"/>
    </row>
    <row r="2097" spans="4:4" x14ac:dyDescent="0.2">
      <c r="D2097" s="5"/>
    </row>
    <row r="2098" spans="4:4" x14ac:dyDescent="0.2">
      <c r="D2098" s="5"/>
    </row>
    <row r="2099" spans="4:4" x14ac:dyDescent="0.2">
      <c r="D2099" s="5"/>
    </row>
    <row r="2100" spans="4:4" x14ac:dyDescent="0.2">
      <c r="D2100" s="5"/>
    </row>
    <row r="2101" spans="4:4" x14ac:dyDescent="0.2">
      <c r="D2101" s="5"/>
    </row>
    <row r="2102" spans="4:4" x14ac:dyDescent="0.2">
      <c r="D2102" s="5"/>
    </row>
    <row r="2103" spans="4:4" x14ac:dyDescent="0.2">
      <c r="D2103" s="5"/>
    </row>
    <row r="2104" spans="4:4" x14ac:dyDescent="0.2">
      <c r="D2104" s="5"/>
    </row>
    <row r="2105" spans="4:4" x14ac:dyDescent="0.2">
      <c r="D2105" s="5"/>
    </row>
    <row r="2106" spans="4:4" x14ac:dyDescent="0.2">
      <c r="D2106" s="5"/>
    </row>
    <row r="2107" spans="4:4" x14ac:dyDescent="0.2">
      <c r="D2107" s="5"/>
    </row>
    <row r="2108" spans="4:4" x14ac:dyDescent="0.2">
      <c r="D2108" s="5"/>
    </row>
    <row r="2109" spans="4:4" x14ac:dyDescent="0.2">
      <c r="D2109" s="5"/>
    </row>
    <row r="2110" spans="4:4" x14ac:dyDescent="0.2">
      <c r="D2110" s="5"/>
    </row>
    <row r="2111" spans="4:4" x14ac:dyDescent="0.2">
      <c r="D2111" s="5"/>
    </row>
    <row r="2112" spans="4:4" x14ac:dyDescent="0.2">
      <c r="D2112" s="5"/>
    </row>
    <row r="2113" spans="4:4" x14ac:dyDescent="0.2">
      <c r="D2113" s="5"/>
    </row>
    <row r="2114" spans="4:4" x14ac:dyDescent="0.2">
      <c r="D2114" s="5"/>
    </row>
    <row r="2115" spans="4:4" x14ac:dyDescent="0.2">
      <c r="D2115" s="5"/>
    </row>
    <row r="2116" spans="4:4" x14ac:dyDescent="0.2">
      <c r="D2116" s="5"/>
    </row>
    <row r="2117" spans="4:4" x14ac:dyDescent="0.2">
      <c r="D2117" s="5"/>
    </row>
    <row r="2118" spans="4:4" x14ac:dyDescent="0.2">
      <c r="D2118" s="5"/>
    </row>
    <row r="2119" spans="4:4" x14ac:dyDescent="0.2">
      <c r="D2119" s="5"/>
    </row>
    <row r="2120" spans="4:4" x14ac:dyDescent="0.2">
      <c r="D2120" s="5"/>
    </row>
    <row r="2121" spans="4:4" x14ac:dyDescent="0.2">
      <c r="D2121" s="5"/>
    </row>
    <row r="2122" spans="4:4" x14ac:dyDescent="0.2">
      <c r="D2122" s="5"/>
    </row>
    <row r="2123" spans="4:4" x14ac:dyDescent="0.2">
      <c r="D2123" s="5"/>
    </row>
    <row r="2124" spans="4:4" x14ac:dyDescent="0.2">
      <c r="D2124" s="5"/>
    </row>
    <row r="2125" spans="4:4" x14ac:dyDescent="0.2">
      <c r="D2125" s="5"/>
    </row>
    <row r="2126" spans="4:4" x14ac:dyDescent="0.2">
      <c r="D2126" s="5"/>
    </row>
    <row r="2127" spans="4:4" x14ac:dyDescent="0.2">
      <c r="D2127" s="5"/>
    </row>
    <row r="2128" spans="4:4" x14ac:dyDescent="0.2">
      <c r="D2128" s="5"/>
    </row>
    <row r="2129" spans="4:4" x14ac:dyDescent="0.2">
      <c r="D2129" s="5"/>
    </row>
    <row r="2130" spans="4:4" x14ac:dyDescent="0.2">
      <c r="D2130" s="5"/>
    </row>
    <row r="2131" spans="4:4" x14ac:dyDescent="0.2">
      <c r="D2131" s="5"/>
    </row>
    <row r="2132" spans="4:4" x14ac:dyDescent="0.2">
      <c r="D2132" s="5"/>
    </row>
    <row r="2133" spans="4:4" x14ac:dyDescent="0.2">
      <c r="D2133" s="5"/>
    </row>
    <row r="2134" spans="4:4" x14ac:dyDescent="0.2">
      <c r="D2134" s="5"/>
    </row>
    <row r="2135" spans="4:4" x14ac:dyDescent="0.2">
      <c r="D2135" s="5"/>
    </row>
    <row r="2136" spans="4:4" x14ac:dyDescent="0.2">
      <c r="D2136" s="5"/>
    </row>
    <row r="2137" spans="4:4" x14ac:dyDescent="0.2">
      <c r="D2137" s="5"/>
    </row>
    <row r="2138" spans="4:4" x14ac:dyDescent="0.2">
      <c r="D2138" s="5"/>
    </row>
    <row r="2139" spans="4:4" x14ac:dyDescent="0.2">
      <c r="D2139" s="5"/>
    </row>
    <row r="2140" spans="4:4" x14ac:dyDescent="0.2">
      <c r="D2140" s="5"/>
    </row>
    <row r="2141" spans="4:4" x14ac:dyDescent="0.2">
      <c r="D2141" s="5"/>
    </row>
    <row r="2142" spans="4:4" x14ac:dyDescent="0.2">
      <c r="D2142" s="5"/>
    </row>
    <row r="2143" spans="4:4" x14ac:dyDescent="0.2">
      <c r="D2143" s="5"/>
    </row>
    <row r="2144" spans="4:4" x14ac:dyDescent="0.2">
      <c r="D2144" s="5"/>
    </row>
    <row r="2145" spans="4:4" x14ac:dyDescent="0.2">
      <c r="D2145" s="5"/>
    </row>
    <row r="2146" spans="4:4" x14ac:dyDescent="0.2">
      <c r="D2146" s="5"/>
    </row>
    <row r="2147" spans="4:4" x14ac:dyDescent="0.2">
      <c r="D2147" s="5"/>
    </row>
    <row r="2148" spans="4:4" x14ac:dyDescent="0.2">
      <c r="D2148" s="5"/>
    </row>
    <row r="2149" spans="4:4" x14ac:dyDescent="0.2">
      <c r="D2149" s="5"/>
    </row>
    <row r="2150" spans="4:4" x14ac:dyDescent="0.2">
      <c r="D2150" s="5"/>
    </row>
    <row r="2151" spans="4:4" x14ac:dyDescent="0.2">
      <c r="D2151" s="5"/>
    </row>
    <row r="2152" spans="4:4" x14ac:dyDescent="0.2">
      <c r="D2152" s="5"/>
    </row>
    <row r="2153" spans="4:4" x14ac:dyDescent="0.2">
      <c r="D2153" s="5"/>
    </row>
    <row r="2154" spans="4:4" x14ac:dyDescent="0.2">
      <c r="D2154" s="5"/>
    </row>
    <row r="2155" spans="4:4" x14ac:dyDescent="0.2">
      <c r="D2155" s="5"/>
    </row>
    <row r="2156" spans="4:4" x14ac:dyDescent="0.2">
      <c r="D2156" s="5"/>
    </row>
    <row r="2157" spans="4:4" x14ac:dyDescent="0.2">
      <c r="D2157" s="5"/>
    </row>
    <row r="2158" spans="4:4" x14ac:dyDescent="0.2">
      <c r="D2158" s="5"/>
    </row>
    <row r="2159" spans="4:4" x14ac:dyDescent="0.2">
      <c r="D2159" s="5"/>
    </row>
    <row r="2160" spans="4:4" x14ac:dyDescent="0.2">
      <c r="D2160" s="5"/>
    </row>
    <row r="2161" spans="4:4" x14ac:dyDescent="0.2">
      <c r="D2161" s="5"/>
    </row>
    <row r="2162" spans="4:4" x14ac:dyDescent="0.2">
      <c r="D2162" s="5"/>
    </row>
    <row r="2163" spans="4:4" x14ac:dyDescent="0.2">
      <c r="D2163" s="5"/>
    </row>
    <row r="2164" spans="4:4" x14ac:dyDescent="0.2">
      <c r="D2164" s="5"/>
    </row>
    <row r="2165" spans="4:4" x14ac:dyDescent="0.2">
      <c r="D2165" s="5"/>
    </row>
    <row r="2166" spans="4:4" x14ac:dyDescent="0.2">
      <c r="D2166" s="5"/>
    </row>
    <row r="2167" spans="4:4" x14ac:dyDescent="0.2">
      <c r="D2167" s="5"/>
    </row>
    <row r="2168" spans="4:4" x14ac:dyDescent="0.2">
      <c r="D2168" s="5"/>
    </row>
    <row r="2169" spans="4:4" x14ac:dyDescent="0.2">
      <c r="D2169" s="5"/>
    </row>
    <row r="2170" spans="4:4" x14ac:dyDescent="0.2">
      <c r="D2170" s="5"/>
    </row>
    <row r="2171" spans="4:4" x14ac:dyDescent="0.2">
      <c r="D2171" s="5"/>
    </row>
    <row r="2172" spans="4:4" x14ac:dyDescent="0.2">
      <c r="D2172" s="5"/>
    </row>
    <row r="2173" spans="4:4" x14ac:dyDescent="0.2">
      <c r="D2173" s="5"/>
    </row>
    <row r="2174" spans="4:4" x14ac:dyDescent="0.2">
      <c r="D2174" s="5"/>
    </row>
    <row r="2175" spans="4:4" x14ac:dyDescent="0.2">
      <c r="D2175" s="5"/>
    </row>
    <row r="2176" spans="4:4" x14ac:dyDescent="0.2">
      <c r="D2176" s="5"/>
    </row>
    <row r="2177" spans="4:4" x14ac:dyDescent="0.2">
      <c r="D2177" s="5"/>
    </row>
    <row r="2178" spans="4:4" x14ac:dyDescent="0.2">
      <c r="D2178" s="5"/>
    </row>
    <row r="2179" spans="4:4" x14ac:dyDescent="0.2">
      <c r="D2179" s="5"/>
    </row>
    <row r="2180" spans="4:4" x14ac:dyDescent="0.2">
      <c r="D2180" s="5"/>
    </row>
    <row r="2181" spans="4:4" x14ac:dyDescent="0.2">
      <c r="D2181" s="5"/>
    </row>
    <row r="2182" spans="4:4" x14ac:dyDescent="0.2">
      <c r="D2182" s="5"/>
    </row>
    <row r="2183" spans="4:4" x14ac:dyDescent="0.2">
      <c r="D2183" s="5"/>
    </row>
    <row r="2184" spans="4:4" x14ac:dyDescent="0.2">
      <c r="D2184" s="5"/>
    </row>
    <row r="2185" spans="4:4" x14ac:dyDescent="0.2">
      <c r="D2185" s="5"/>
    </row>
    <row r="2186" spans="4:4" x14ac:dyDescent="0.2">
      <c r="D2186" s="5"/>
    </row>
    <row r="2187" spans="4:4" x14ac:dyDescent="0.2">
      <c r="D2187" s="5"/>
    </row>
    <row r="2188" spans="4:4" x14ac:dyDescent="0.2">
      <c r="D2188" s="5"/>
    </row>
    <row r="2189" spans="4:4" x14ac:dyDescent="0.2">
      <c r="D2189" s="5"/>
    </row>
    <row r="2190" spans="4:4" x14ac:dyDescent="0.2">
      <c r="D2190" s="5"/>
    </row>
    <row r="2191" spans="4:4" x14ac:dyDescent="0.2">
      <c r="D2191" s="5"/>
    </row>
    <row r="2192" spans="4:4" x14ac:dyDescent="0.2">
      <c r="D2192" s="5"/>
    </row>
    <row r="2193" spans="4:4" x14ac:dyDescent="0.2">
      <c r="D2193" s="5"/>
    </row>
    <row r="2194" spans="4:4" x14ac:dyDescent="0.2">
      <c r="D2194" s="5"/>
    </row>
    <row r="2195" spans="4:4" x14ac:dyDescent="0.2">
      <c r="D2195" s="5"/>
    </row>
    <row r="2196" spans="4:4" x14ac:dyDescent="0.2">
      <c r="D2196" s="5"/>
    </row>
    <row r="2197" spans="4:4" x14ac:dyDescent="0.2">
      <c r="D2197" s="5"/>
    </row>
    <row r="2198" spans="4:4" x14ac:dyDescent="0.2">
      <c r="D2198" s="5"/>
    </row>
    <row r="2199" spans="4:4" x14ac:dyDescent="0.2">
      <c r="D2199" s="5"/>
    </row>
    <row r="2200" spans="4:4" x14ac:dyDescent="0.2">
      <c r="D2200" s="5"/>
    </row>
    <row r="2201" spans="4:4" x14ac:dyDescent="0.2">
      <c r="D2201" s="5"/>
    </row>
    <row r="2202" spans="4:4" x14ac:dyDescent="0.2">
      <c r="D2202" s="5"/>
    </row>
    <row r="2203" spans="4:4" x14ac:dyDescent="0.2">
      <c r="D2203" s="5"/>
    </row>
    <row r="2204" spans="4:4" x14ac:dyDescent="0.2">
      <c r="D2204" s="5"/>
    </row>
    <row r="2205" spans="4:4" x14ac:dyDescent="0.2">
      <c r="D2205" s="5"/>
    </row>
    <row r="2206" spans="4:4" x14ac:dyDescent="0.2">
      <c r="D2206" s="5"/>
    </row>
    <row r="2207" spans="4:4" x14ac:dyDescent="0.2">
      <c r="D2207" s="5"/>
    </row>
    <row r="2208" spans="4:4" x14ac:dyDescent="0.2">
      <c r="D2208" s="5"/>
    </row>
    <row r="2209" spans="4:4" x14ac:dyDescent="0.2">
      <c r="D2209" s="5"/>
    </row>
    <row r="2210" spans="4:4" x14ac:dyDescent="0.2">
      <c r="D2210" s="5"/>
    </row>
    <row r="2211" spans="4:4" x14ac:dyDescent="0.2">
      <c r="D2211" s="5"/>
    </row>
    <row r="2212" spans="4:4" x14ac:dyDescent="0.2">
      <c r="D2212" s="5"/>
    </row>
    <row r="2213" spans="4:4" x14ac:dyDescent="0.2">
      <c r="D2213" s="5"/>
    </row>
    <row r="2214" spans="4:4" x14ac:dyDescent="0.2">
      <c r="D2214" s="5"/>
    </row>
    <row r="2215" spans="4:4" x14ac:dyDescent="0.2">
      <c r="D2215" s="5"/>
    </row>
    <row r="2216" spans="4:4" x14ac:dyDescent="0.2">
      <c r="D2216" s="5"/>
    </row>
    <row r="2217" spans="4:4" x14ac:dyDescent="0.2">
      <c r="D2217" s="5"/>
    </row>
    <row r="2218" spans="4:4" x14ac:dyDescent="0.2">
      <c r="D2218" s="5"/>
    </row>
    <row r="2219" spans="4:4" x14ac:dyDescent="0.2">
      <c r="D2219" s="5"/>
    </row>
    <row r="2220" spans="4:4" x14ac:dyDescent="0.2">
      <c r="D2220" s="5"/>
    </row>
    <row r="2221" spans="4:4" x14ac:dyDescent="0.2">
      <c r="D2221" s="5"/>
    </row>
    <row r="2222" spans="4:4" x14ac:dyDescent="0.2">
      <c r="D2222" s="5"/>
    </row>
    <row r="2223" spans="4:4" x14ac:dyDescent="0.2">
      <c r="D2223" s="5"/>
    </row>
    <row r="2224" spans="4:4" x14ac:dyDescent="0.2">
      <c r="D2224" s="5"/>
    </row>
    <row r="2225" spans="4:4" x14ac:dyDescent="0.2">
      <c r="D2225" s="5"/>
    </row>
    <row r="2226" spans="4:4" x14ac:dyDescent="0.2">
      <c r="D2226" s="5"/>
    </row>
    <row r="2227" spans="4:4" x14ac:dyDescent="0.2">
      <c r="D2227" s="5"/>
    </row>
    <row r="2228" spans="4:4" x14ac:dyDescent="0.2">
      <c r="D2228" s="5"/>
    </row>
    <row r="2229" spans="4:4" x14ac:dyDescent="0.2">
      <c r="D2229" s="5"/>
    </row>
    <row r="2230" spans="4:4" x14ac:dyDescent="0.2">
      <c r="D2230" s="5"/>
    </row>
    <row r="2231" spans="4:4" x14ac:dyDescent="0.2">
      <c r="D2231" s="5"/>
    </row>
    <row r="2232" spans="4:4" x14ac:dyDescent="0.2">
      <c r="D2232" s="5"/>
    </row>
    <row r="2233" spans="4:4" x14ac:dyDescent="0.2">
      <c r="D2233" s="5"/>
    </row>
    <row r="2234" spans="4:4" x14ac:dyDescent="0.2">
      <c r="D2234" s="5"/>
    </row>
    <row r="2235" spans="4:4" x14ac:dyDescent="0.2">
      <c r="D2235" s="5"/>
    </row>
    <row r="2236" spans="4:4" x14ac:dyDescent="0.2">
      <c r="D2236" s="5"/>
    </row>
    <row r="2237" spans="4:4" x14ac:dyDescent="0.2">
      <c r="D2237" s="5"/>
    </row>
    <row r="2238" spans="4:4" x14ac:dyDescent="0.2">
      <c r="D2238" s="5"/>
    </row>
    <row r="2239" spans="4:4" x14ac:dyDescent="0.2">
      <c r="D2239" s="5"/>
    </row>
    <row r="2240" spans="4:4" x14ac:dyDescent="0.2">
      <c r="D2240" s="5"/>
    </row>
    <row r="2241" spans="4:4" x14ac:dyDescent="0.2">
      <c r="D2241" s="5"/>
    </row>
    <row r="2242" spans="4:4" x14ac:dyDescent="0.2">
      <c r="D2242" s="5"/>
    </row>
    <row r="2243" spans="4:4" x14ac:dyDescent="0.2">
      <c r="D2243" s="5"/>
    </row>
    <row r="2244" spans="4:4" x14ac:dyDescent="0.2">
      <c r="D2244" s="5"/>
    </row>
    <row r="2245" spans="4:4" x14ac:dyDescent="0.2">
      <c r="D2245" s="5"/>
    </row>
    <row r="2246" spans="4:4" x14ac:dyDescent="0.2">
      <c r="D2246" s="5"/>
    </row>
    <row r="2247" spans="4:4" x14ac:dyDescent="0.2">
      <c r="D2247" s="5"/>
    </row>
    <row r="2248" spans="4:4" x14ac:dyDescent="0.2">
      <c r="D2248" s="5"/>
    </row>
    <row r="2249" spans="4:4" x14ac:dyDescent="0.2">
      <c r="D2249" s="5"/>
    </row>
    <row r="2250" spans="4:4" x14ac:dyDescent="0.2">
      <c r="D2250" s="5"/>
    </row>
    <row r="2251" spans="4:4" x14ac:dyDescent="0.2">
      <c r="D2251" s="5"/>
    </row>
    <row r="2252" spans="4:4" x14ac:dyDescent="0.2">
      <c r="D2252" s="5"/>
    </row>
    <row r="2253" spans="4:4" x14ac:dyDescent="0.2">
      <c r="D2253" s="5"/>
    </row>
    <row r="2254" spans="4:4" x14ac:dyDescent="0.2">
      <c r="D2254" s="5"/>
    </row>
    <row r="2255" spans="4:4" x14ac:dyDescent="0.2">
      <c r="D2255" s="5"/>
    </row>
    <row r="2256" spans="4:4" x14ac:dyDescent="0.2">
      <c r="D2256" s="5"/>
    </row>
    <row r="2257" spans="4:4" x14ac:dyDescent="0.2">
      <c r="D2257" s="5"/>
    </row>
    <row r="2258" spans="4:4" x14ac:dyDescent="0.2">
      <c r="D2258" s="5"/>
    </row>
    <row r="2259" spans="4:4" x14ac:dyDescent="0.2">
      <c r="D2259" s="5"/>
    </row>
    <row r="2260" spans="4:4" x14ac:dyDescent="0.2">
      <c r="D2260" s="5"/>
    </row>
    <row r="2261" spans="4:4" x14ac:dyDescent="0.2">
      <c r="D2261" s="5"/>
    </row>
    <row r="2262" spans="4:4" x14ac:dyDescent="0.2">
      <c r="D2262" s="5"/>
    </row>
    <row r="2263" spans="4:4" x14ac:dyDescent="0.2">
      <c r="D2263" s="5"/>
    </row>
    <row r="2264" spans="4:4" x14ac:dyDescent="0.2">
      <c r="D2264" s="5"/>
    </row>
    <row r="2265" spans="4:4" x14ac:dyDescent="0.2">
      <c r="D2265" s="5"/>
    </row>
    <row r="2266" spans="4:4" x14ac:dyDescent="0.2">
      <c r="D2266" s="5"/>
    </row>
    <row r="2267" spans="4:4" x14ac:dyDescent="0.2">
      <c r="D2267" s="5"/>
    </row>
    <row r="2268" spans="4:4" x14ac:dyDescent="0.2">
      <c r="D2268" s="5"/>
    </row>
    <row r="2269" spans="4:4" x14ac:dyDescent="0.2">
      <c r="D2269" s="5"/>
    </row>
    <row r="2270" spans="4:4" x14ac:dyDescent="0.2">
      <c r="D2270" s="5"/>
    </row>
    <row r="2271" spans="4:4" x14ac:dyDescent="0.2">
      <c r="D2271" s="5"/>
    </row>
    <row r="2272" spans="4:4" x14ac:dyDescent="0.2">
      <c r="D2272" s="5"/>
    </row>
    <row r="2273" spans="4:4" x14ac:dyDescent="0.2">
      <c r="D2273" s="5"/>
    </row>
    <row r="2274" spans="4:4" x14ac:dyDescent="0.2">
      <c r="D2274" s="5"/>
    </row>
    <row r="2275" spans="4:4" x14ac:dyDescent="0.2">
      <c r="D2275" s="5"/>
    </row>
    <row r="2276" spans="4:4" x14ac:dyDescent="0.2">
      <c r="D2276" s="5"/>
    </row>
    <row r="2277" spans="4:4" x14ac:dyDescent="0.2">
      <c r="D2277" s="5"/>
    </row>
    <row r="2278" spans="4:4" x14ac:dyDescent="0.2">
      <c r="D2278" s="5"/>
    </row>
    <row r="2279" spans="4:4" x14ac:dyDescent="0.2">
      <c r="D2279" s="5"/>
    </row>
    <row r="2280" spans="4:4" x14ac:dyDescent="0.2">
      <c r="D2280" s="5"/>
    </row>
    <row r="2281" spans="4:4" x14ac:dyDescent="0.2">
      <c r="D2281" s="5"/>
    </row>
    <row r="2282" spans="4:4" x14ac:dyDescent="0.2">
      <c r="D2282" s="5"/>
    </row>
    <row r="2283" spans="4:4" x14ac:dyDescent="0.2">
      <c r="D2283" s="5"/>
    </row>
    <row r="2284" spans="4:4" x14ac:dyDescent="0.2">
      <c r="D2284" s="5"/>
    </row>
    <row r="2285" spans="4:4" x14ac:dyDescent="0.2">
      <c r="D2285" s="5"/>
    </row>
    <row r="2286" spans="4:4" x14ac:dyDescent="0.2">
      <c r="D2286" s="5"/>
    </row>
    <row r="2287" spans="4:4" x14ac:dyDescent="0.2">
      <c r="D2287" s="5"/>
    </row>
    <row r="2288" spans="4:4" x14ac:dyDescent="0.2">
      <c r="D2288" s="5"/>
    </row>
    <row r="2289" spans="4:4" x14ac:dyDescent="0.2">
      <c r="D2289" s="5"/>
    </row>
    <row r="2290" spans="4:4" x14ac:dyDescent="0.2">
      <c r="D2290" s="5"/>
    </row>
    <row r="2291" spans="4:4" x14ac:dyDescent="0.2">
      <c r="D2291" s="5"/>
    </row>
    <row r="2292" spans="4:4" x14ac:dyDescent="0.2">
      <c r="D2292" s="5"/>
    </row>
    <row r="2293" spans="4:4" x14ac:dyDescent="0.2">
      <c r="D2293" s="5"/>
    </row>
    <row r="2294" spans="4:4" x14ac:dyDescent="0.2">
      <c r="D2294" s="5"/>
    </row>
    <row r="2295" spans="4:4" x14ac:dyDescent="0.2">
      <c r="D2295" s="5"/>
    </row>
    <row r="2296" spans="4:4" x14ac:dyDescent="0.2">
      <c r="D2296" s="5"/>
    </row>
    <row r="2297" spans="4:4" x14ac:dyDescent="0.2">
      <c r="D2297" s="5"/>
    </row>
    <row r="2298" spans="4:4" x14ac:dyDescent="0.2">
      <c r="D2298" s="5"/>
    </row>
    <row r="2299" spans="4:4" x14ac:dyDescent="0.2">
      <c r="D2299" s="5"/>
    </row>
    <row r="2300" spans="4:4" x14ac:dyDescent="0.2">
      <c r="D2300" s="5"/>
    </row>
    <row r="2301" spans="4:4" x14ac:dyDescent="0.2">
      <c r="D2301" s="5"/>
    </row>
    <row r="2302" spans="4:4" x14ac:dyDescent="0.2">
      <c r="D2302" s="5"/>
    </row>
    <row r="2303" spans="4:4" x14ac:dyDescent="0.2">
      <c r="D2303" s="5"/>
    </row>
    <row r="2304" spans="4:4" x14ac:dyDescent="0.2">
      <c r="D2304" s="5"/>
    </row>
    <row r="2305" spans="4:4" x14ac:dyDescent="0.2">
      <c r="D2305" s="5"/>
    </row>
    <row r="2306" spans="4:4" x14ac:dyDescent="0.2">
      <c r="D2306" s="5"/>
    </row>
    <row r="2307" spans="4:4" x14ac:dyDescent="0.2">
      <c r="D2307" s="5"/>
    </row>
    <row r="2308" spans="4:4" x14ac:dyDescent="0.2">
      <c r="D2308" s="5"/>
    </row>
    <row r="2309" spans="4:4" x14ac:dyDescent="0.2">
      <c r="D2309" s="5"/>
    </row>
    <row r="2310" spans="4:4" x14ac:dyDescent="0.2">
      <c r="D2310" s="5"/>
    </row>
    <row r="2311" spans="4:4" x14ac:dyDescent="0.2">
      <c r="D2311" s="5"/>
    </row>
    <row r="2312" spans="4:4" x14ac:dyDescent="0.2">
      <c r="D2312" s="5"/>
    </row>
    <row r="2313" spans="4:4" x14ac:dyDescent="0.2">
      <c r="D2313" s="5"/>
    </row>
    <row r="2314" spans="4:4" x14ac:dyDescent="0.2">
      <c r="D2314" s="5"/>
    </row>
    <row r="2315" spans="4:4" x14ac:dyDescent="0.2">
      <c r="D2315" s="5"/>
    </row>
    <row r="2316" spans="4:4" x14ac:dyDescent="0.2">
      <c r="D2316" s="5"/>
    </row>
    <row r="2317" spans="4:4" x14ac:dyDescent="0.2">
      <c r="D2317" s="5"/>
    </row>
    <row r="2318" spans="4:4" x14ac:dyDescent="0.2">
      <c r="D2318" s="5"/>
    </row>
    <row r="2319" spans="4:4" x14ac:dyDescent="0.2">
      <c r="D2319" s="5"/>
    </row>
    <row r="2320" spans="4:4" x14ac:dyDescent="0.2">
      <c r="D2320" s="5"/>
    </row>
    <row r="2321" spans="4:4" x14ac:dyDescent="0.2">
      <c r="D2321" s="5"/>
    </row>
    <row r="2322" spans="4:4" x14ac:dyDescent="0.2">
      <c r="D2322" s="5"/>
    </row>
    <row r="2323" spans="4:4" x14ac:dyDescent="0.2">
      <c r="D2323" s="5"/>
    </row>
    <row r="2324" spans="4:4" x14ac:dyDescent="0.2">
      <c r="D2324" s="5"/>
    </row>
    <row r="2325" spans="4:4" x14ac:dyDescent="0.2">
      <c r="D2325" s="5"/>
    </row>
    <row r="2326" spans="4:4" x14ac:dyDescent="0.2">
      <c r="D2326" s="5"/>
    </row>
    <row r="2327" spans="4:4" x14ac:dyDescent="0.2">
      <c r="D2327" s="5"/>
    </row>
    <row r="2328" spans="4:4" x14ac:dyDescent="0.2">
      <c r="D2328" s="5"/>
    </row>
    <row r="2329" spans="4:4" x14ac:dyDescent="0.2">
      <c r="D2329" s="5"/>
    </row>
    <row r="2330" spans="4:4" x14ac:dyDescent="0.2">
      <c r="D2330" s="5"/>
    </row>
    <row r="2331" spans="4:4" x14ac:dyDescent="0.2">
      <c r="D2331" s="5"/>
    </row>
    <row r="2332" spans="4:4" x14ac:dyDescent="0.2">
      <c r="D2332" s="5"/>
    </row>
    <row r="2333" spans="4:4" x14ac:dyDescent="0.2">
      <c r="D2333" s="5"/>
    </row>
    <row r="2334" spans="4:4" x14ac:dyDescent="0.2">
      <c r="D2334" s="5"/>
    </row>
    <row r="2335" spans="4:4" x14ac:dyDescent="0.2">
      <c r="D2335" s="5"/>
    </row>
    <row r="2336" spans="4:4" x14ac:dyDescent="0.2">
      <c r="D2336" s="5"/>
    </row>
    <row r="2337" spans="4:4" x14ac:dyDescent="0.2">
      <c r="D2337" s="5"/>
    </row>
    <row r="2338" spans="4:4" x14ac:dyDescent="0.2">
      <c r="D2338" s="5"/>
    </row>
    <row r="2339" spans="4:4" x14ac:dyDescent="0.2">
      <c r="D2339" s="5"/>
    </row>
    <row r="2340" spans="4:4" x14ac:dyDescent="0.2">
      <c r="D2340" s="5"/>
    </row>
    <row r="2341" spans="4:4" x14ac:dyDescent="0.2">
      <c r="D2341" s="5"/>
    </row>
    <row r="2342" spans="4:4" x14ac:dyDescent="0.2">
      <c r="D2342" s="5"/>
    </row>
    <row r="2343" spans="4:4" x14ac:dyDescent="0.2">
      <c r="D2343" s="5"/>
    </row>
    <row r="2344" spans="4:4" x14ac:dyDescent="0.2">
      <c r="D2344" s="5"/>
    </row>
    <row r="2345" spans="4:4" x14ac:dyDescent="0.2">
      <c r="D2345" s="5"/>
    </row>
    <row r="2346" spans="4:4" x14ac:dyDescent="0.2">
      <c r="D2346" s="5"/>
    </row>
    <row r="2347" spans="4:4" x14ac:dyDescent="0.2">
      <c r="D2347" s="5"/>
    </row>
    <row r="2348" spans="4:4" x14ac:dyDescent="0.2">
      <c r="D2348" s="5"/>
    </row>
    <row r="2349" spans="4:4" x14ac:dyDescent="0.2">
      <c r="D2349" s="5"/>
    </row>
    <row r="2350" spans="4:4" x14ac:dyDescent="0.2">
      <c r="D2350" s="5"/>
    </row>
    <row r="2351" spans="4:4" x14ac:dyDescent="0.2">
      <c r="D2351" s="5"/>
    </row>
    <row r="2352" spans="4:4" x14ac:dyDescent="0.2">
      <c r="D2352" s="5"/>
    </row>
    <row r="2353" spans="4:4" x14ac:dyDescent="0.2">
      <c r="D2353" s="5"/>
    </row>
    <row r="2354" spans="4:4" x14ac:dyDescent="0.2">
      <c r="D2354" s="5"/>
    </row>
    <row r="2355" spans="4:4" x14ac:dyDescent="0.2">
      <c r="D2355" s="5"/>
    </row>
    <row r="2356" spans="4:4" x14ac:dyDescent="0.2">
      <c r="D2356" s="5"/>
    </row>
    <row r="2357" spans="4:4" x14ac:dyDescent="0.2">
      <c r="D2357" s="5"/>
    </row>
    <row r="2358" spans="4:4" x14ac:dyDescent="0.2">
      <c r="D2358" s="5"/>
    </row>
    <row r="2359" spans="4:4" x14ac:dyDescent="0.2">
      <c r="D2359" s="5"/>
    </row>
    <row r="2360" spans="4:4" x14ac:dyDescent="0.2">
      <c r="D2360" s="5"/>
    </row>
    <row r="2361" spans="4:4" x14ac:dyDescent="0.2">
      <c r="D2361" s="5"/>
    </row>
    <row r="2362" spans="4:4" x14ac:dyDescent="0.2">
      <c r="D2362" s="5"/>
    </row>
    <row r="2363" spans="4:4" x14ac:dyDescent="0.2">
      <c r="D2363" s="5"/>
    </row>
    <row r="2364" spans="4:4" x14ac:dyDescent="0.2">
      <c r="D2364" s="5"/>
    </row>
    <row r="2365" spans="4:4" x14ac:dyDescent="0.2">
      <c r="D2365" s="5"/>
    </row>
    <row r="2366" spans="4:4" x14ac:dyDescent="0.2">
      <c r="D2366" s="5"/>
    </row>
    <row r="2367" spans="4:4" x14ac:dyDescent="0.2">
      <c r="D2367" s="5"/>
    </row>
    <row r="2368" spans="4:4" x14ac:dyDescent="0.2">
      <c r="D2368" s="5"/>
    </row>
    <row r="2369" spans="4:4" x14ac:dyDescent="0.2">
      <c r="D2369" s="5"/>
    </row>
    <row r="2370" spans="4:4" x14ac:dyDescent="0.2">
      <c r="D2370" s="5"/>
    </row>
    <row r="2371" spans="4:4" x14ac:dyDescent="0.2">
      <c r="D2371" s="5"/>
    </row>
    <row r="2372" spans="4:4" x14ac:dyDescent="0.2">
      <c r="D2372" s="5"/>
    </row>
    <row r="2373" spans="4:4" x14ac:dyDescent="0.2">
      <c r="D2373" s="5"/>
    </row>
    <row r="2374" spans="4:4" x14ac:dyDescent="0.2">
      <c r="D2374" s="5"/>
    </row>
    <row r="2375" spans="4:4" x14ac:dyDescent="0.2">
      <c r="D2375" s="5"/>
    </row>
    <row r="2376" spans="4:4" x14ac:dyDescent="0.2">
      <c r="D2376" s="5"/>
    </row>
    <row r="2377" spans="4:4" x14ac:dyDescent="0.2">
      <c r="D2377" s="5"/>
    </row>
    <row r="2378" spans="4:4" x14ac:dyDescent="0.2">
      <c r="D2378" s="5"/>
    </row>
    <row r="2379" spans="4:4" x14ac:dyDescent="0.2">
      <c r="D2379" s="5"/>
    </row>
    <row r="2380" spans="4:4" x14ac:dyDescent="0.2">
      <c r="D2380" s="5"/>
    </row>
    <row r="2381" spans="4:4" x14ac:dyDescent="0.2">
      <c r="D2381" s="5"/>
    </row>
    <row r="2382" spans="4:4" x14ac:dyDescent="0.2">
      <c r="D2382" s="5"/>
    </row>
    <row r="2383" spans="4:4" x14ac:dyDescent="0.2">
      <c r="D2383" s="5"/>
    </row>
    <row r="2384" spans="4:4" x14ac:dyDescent="0.2">
      <c r="D2384" s="5"/>
    </row>
    <row r="2385" spans="4:4" x14ac:dyDescent="0.2">
      <c r="D2385" s="5"/>
    </row>
    <row r="2386" spans="4:4" x14ac:dyDescent="0.2">
      <c r="D2386" s="5"/>
    </row>
    <row r="2387" spans="4:4" x14ac:dyDescent="0.2">
      <c r="D2387" s="5"/>
    </row>
    <row r="2388" spans="4:4" x14ac:dyDescent="0.2">
      <c r="D2388" s="5"/>
    </row>
    <row r="2389" spans="4:4" x14ac:dyDescent="0.2">
      <c r="D2389" s="5"/>
    </row>
    <row r="2390" spans="4:4" x14ac:dyDescent="0.2">
      <c r="D2390" s="5"/>
    </row>
    <row r="2391" spans="4:4" x14ac:dyDescent="0.2">
      <c r="D2391" s="5"/>
    </row>
    <row r="2392" spans="4:4" x14ac:dyDescent="0.2">
      <c r="D2392" s="5"/>
    </row>
    <row r="2393" spans="4:4" x14ac:dyDescent="0.2">
      <c r="D2393" s="5"/>
    </row>
    <row r="2394" spans="4:4" x14ac:dyDescent="0.2">
      <c r="D2394" s="5"/>
    </row>
    <row r="2395" spans="4:4" x14ac:dyDescent="0.2">
      <c r="D2395" s="5"/>
    </row>
    <row r="2396" spans="4:4" x14ac:dyDescent="0.2">
      <c r="D2396" s="5"/>
    </row>
    <row r="2397" spans="4:4" x14ac:dyDescent="0.2">
      <c r="D2397" s="5"/>
    </row>
    <row r="2398" spans="4:4" x14ac:dyDescent="0.2">
      <c r="D2398" s="5"/>
    </row>
    <row r="2399" spans="4:4" x14ac:dyDescent="0.2">
      <c r="D2399" s="5"/>
    </row>
    <row r="2400" spans="4:4" x14ac:dyDescent="0.2">
      <c r="D2400" s="5"/>
    </row>
    <row r="2401" spans="4:4" x14ac:dyDescent="0.2">
      <c r="D2401" s="5"/>
    </row>
    <row r="2402" spans="4:4" x14ac:dyDescent="0.2">
      <c r="D2402" s="5"/>
    </row>
    <row r="2403" spans="4:4" x14ac:dyDescent="0.2">
      <c r="D2403" s="5"/>
    </row>
    <row r="2404" spans="4:4" x14ac:dyDescent="0.2">
      <c r="D2404" s="5"/>
    </row>
    <row r="2405" spans="4:4" x14ac:dyDescent="0.2">
      <c r="D2405" s="5"/>
    </row>
    <row r="2406" spans="4:4" x14ac:dyDescent="0.2">
      <c r="D2406" s="5"/>
    </row>
    <row r="2407" spans="4:4" x14ac:dyDescent="0.2">
      <c r="D2407" s="5"/>
    </row>
    <row r="2408" spans="4:4" x14ac:dyDescent="0.2">
      <c r="D2408" s="5"/>
    </row>
    <row r="2409" spans="4:4" x14ac:dyDescent="0.2">
      <c r="D2409" s="5"/>
    </row>
    <row r="2410" spans="4:4" x14ac:dyDescent="0.2">
      <c r="D2410" s="5"/>
    </row>
    <row r="2411" spans="4:4" x14ac:dyDescent="0.2">
      <c r="D2411" s="5"/>
    </row>
    <row r="2412" spans="4:4" x14ac:dyDescent="0.2">
      <c r="D2412" s="5"/>
    </row>
    <row r="2413" spans="4:4" x14ac:dyDescent="0.2">
      <c r="D2413" s="5"/>
    </row>
    <row r="2414" spans="4:4" x14ac:dyDescent="0.2">
      <c r="D2414" s="5"/>
    </row>
    <row r="2415" spans="4:4" x14ac:dyDescent="0.2">
      <c r="D2415" s="5"/>
    </row>
    <row r="2416" spans="4:4" x14ac:dyDescent="0.2">
      <c r="D2416" s="5"/>
    </row>
    <row r="2417" spans="4:4" x14ac:dyDescent="0.2">
      <c r="D2417" s="5"/>
    </row>
    <row r="2418" spans="4:4" x14ac:dyDescent="0.2">
      <c r="D2418" s="5"/>
    </row>
    <row r="2419" spans="4:4" x14ac:dyDescent="0.2">
      <c r="D2419" s="5"/>
    </row>
    <row r="2420" spans="4:4" x14ac:dyDescent="0.2">
      <c r="D2420" s="5"/>
    </row>
    <row r="2421" spans="4:4" x14ac:dyDescent="0.2">
      <c r="D2421" s="5"/>
    </row>
    <row r="2422" spans="4:4" x14ac:dyDescent="0.2">
      <c r="D2422" s="5"/>
    </row>
    <row r="2423" spans="4:4" x14ac:dyDescent="0.2">
      <c r="D2423" s="5"/>
    </row>
    <row r="2424" spans="4:4" x14ac:dyDescent="0.2">
      <c r="D2424" s="5"/>
    </row>
    <row r="2425" spans="4:4" x14ac:dyDescent="0.2">
      <c r="D2425" s="5"/>
    </row>
    <row r="2426" spans="4:4" x14ac:dyDescent="0.2">
      <c r="D2426" s="5"/>
    </row>
    <row r="2427" spans="4:4" x14ac:dyDescent="0.2">
      <c r="D2427" s="5"/>
    </row>
    <row r="2428" spans="4:4" x14ac:dyDescent="0.2">
      <c r="D2428" s="5"/>
    </row>
    <row r="2429" spans="4:4" x14ac:dyDescent="0.2">
      <c r="D2429" s="5"/>
    </row>
    <row r="2430" spans="4:4" x14ac:dyDescent="0.2">
      <c r="D2430" s="5"/>
    </row>
    <row r="2431" spans="4:4" x14ac:dyDescent="0.2">
      <c r="D2431" s="5"/>
    </row>
    <row r="2432" spans="4:4" x14ac:dyDescent="0.2">
      <c r="D2432" s="5"/>
    </row>
    <row r="2433" spans="4:4" x14ac:dyDescent="0.2">
      <c r="D2433" s="5"/>
    </row>
    <row r="2434" spans="4:4" x14ac:dyDescent="0.2">
      <c r="D2434" s="5"/>
    </row>
    <row r="2435" spans="4:4" x14ac:dyDescent="0.2">
      <c r="D2435" s="5"/>
    </row>
    <row r="2436" spans="4:4" x14ac:dyDescent="0.2">
      <c r="D2436" s="5"/>
    </row>
    <row r="2437" spans="4:4" x14ac:dyDescent="0.2">
      <c r="D2437" s="5"/>
    </row>
    <row r="2438" spans="4:4" x14ac:dyDescent="0.2">
      <c r="D2438" s="5"/>
    </row>
    <row r="2439" spans="4:4" x14ac:dyDescent="0.2">
      <c r="D2439" s="5"/>
    </row>
    <row r="2440" spans="4:4" x14ac:dyDescent="0.2">
      <c r="D2440" s="5"/>
    </row>
    <row r="2441" spans="4:4" x14ac:dyDescent="0.2">
      <c r="D2441" s="5"/>
    </row>
    <row r="2442" spans="4:4" x14ac:dyDescent="0.2">
      <c r="D2442" s="5"/>
    </row>
    <row r="2443" spans="4:4" x14ac:dyDescent="0.2">
      <c r="D2443" s="5"/>
    </row>
    <row r="2444" spans="4:4" x14ac:dyDescent="0.2">
      <c r="D2444" s="5"/>
    </row>
    <row r="2445" spans="4:4" x14ac:dyDescent="0.2">
      <c r="D2445" s="5"/>
    </row>
    <row r="2446" spans="4:4" x14ac:dyDescent="0.2">
      <c r="D2446" s="5"/>
    </row>
    <row r="2447" spans="4:4" x14ac:dyDescent="0.2">
      <c r="D2447" s="5"/>
    </row>
    <row r="2448" spans="4:4" x14ac:dyDescent="0.2">
      <c r="D2448" s="5"/>
    </row>
    <row r="2449" spans="4:4" x14ac:dyDescent="0.2">
      <c r="D2449" s="5"/>
    </row>
    <row r="2450" spans="4:4" x14ac:dyDescent="0.2">
      <c r="D2450" s="5"/>
    </row>
    <row r="2451" spans="4:4" x14ac:dyDescent="0.2">
      <c r="D2451" s="5"/>
    </row>
    <row r="2452" spans="4:4" x14ac:dyDescent="0.2">
      <c r="D2452" s="5"/>
    </row>
    <row r="2453" spans="4:4" x14ac:dyDescent="0.2">
      <c r="D2453" s="5"/>
    </row>
    <row r="2454" spans="4:4" x14ac:dyDescent="0.2">
      <c r="D2454" s="5"/>
    </row>
    <row r="2455" spans="4:4" x14ac:dyDescent="0.2">
      <c r="D2455" s="5"/>
    </row>
    <row r="2456" spans="4:4" x14ac:dyDescent="0.2">
      <c r="D2456" s="5"/>
    </row>
    <row r="2457" spans="4:4" x14ac:dyDescent="0.2">
      <c r="D2457" s="5"/>
    </row>
    <row r="2458" spans="4:4" x14ac:dyDescent="0.2">
      <c r="D2458" s="5"/>
    </row>
    <row r="2459" spans="4:4" x14ac:dyDescent="0.2">
      <c r="D2459" s="5"/>
    </row>
    <row r="2460" spans="4:4" x14ac:dyDescent="0.2">
      <c r="D2460" s="5"/>
    </row>
    <row r="2461" spans="4:4" x14ac:dyDescent="0.2">
      <c r="D2461" s="5"/>
    </row>
    <row r="2462" spans="4:4" x14ac:dyDescent="0.2">
      <c r="D2462" s="5"/>
    </row>
    <row r="2463" spans="4:4" x14ac:dyDescent="0.2">
      <c r="D2463" s="5"/>
    </row>
    <row r="2464" spans="4:4" x14ac:dyDescent="0.2">
      <c r="D2464" s="5"/>
    </row>
    <row r="2465" spans="4:4" x14ac:dyDescent="0.2">
      <c r="D2465" s="5"/>
    </row>
    <row r="2466" spans="4:4" x14ac:dyDescent="0.2">
      <c r="D2466" s="5"/>
    </row>
    <row r="2467" spans="4:4" x14ac:dyDescent="0.2">
      <c r="D2467" s="5"/>
    </row>
    <row r="2468" spans="4:4" x14ac:dyDescent="0.2">
      <c r="D2468" s="5"/>
    </row>
    <row r="2469" spans="4:4" x14ac:dyDescent="0.2">
      <c r="D2469" s="5"/>
    </row>
    <row r="2470" spans="4:4" x14ac:dyDescent="0.2">
      <c r="D2470" s="5"/>
    </row>
    <row r="2471" spans="4:4" x14ac:dyDescent="0.2">
      <c r="D2471" s="5"/>
    </row>
    <row r="2472" spans="4:4" x14ac:dyDescent="0.2">
      <c r="D2472" s="5"/>
    </row>
    <row r="2473" spans="4:4" x14ac:dyDescent="0.2">
      <c r="D2473" s="5"/>
    </row>
    <row r="2474" spans="4:4" x14ac:dyDescent="0.2">
      <c r="D2474" s="5"/>
    </row>
    <row r="2475" spans="4:4" x14ac:dyDescent="0.2">
      <c r="D2475" s="5"/>
    </row>
    <row r="2476" spans="4:4" x14ac:dyDescent="0.2">
      <c r="D2476" s="5"/>
    </row>
    <row r="2477" spans="4:4" x14ac:dyDescent="0.2">
      <c r="D2477" s="5"/>
    </row>
    <row r="2478" spans="4:4" x14ac:dyDescent="0.2">
      <c r="D2478" s="5"/>
    </row>
    <row r="2479" spans="4:4" x14ac:dyDescent="0.2">
      <c r="D2479" s="5"/>
    </row>
    <row r="2480" spans="4:4" x14ac:dyDescent="0.2">
      <c r="D2480" s="5"/>
    </row>
    <row r="2481" spans="4:4" x14ac:dyDescent="0.2">
      <c r="D2481" s="5"/>
    </row>
    <row r="2482" spans="4:4" x14ac:dyDescent="0.2">
      <c r="D2482" s="5"/>
    </row>
    <row r="2483" spans="4:4" x14ac:dyDescent="0.2">
      <c r="D2483" s="5"/>
    </row>
    <row r="2484" spans="4:4" x14ac:dyDescent="0.2">
      <c r="D2484" s="5"/>
    </row>
    <row r="2485" spans="4:4" x14ac:dyDescent="0.2">
      <c r="D2485" s="5"/>
    </row>
    <row r="2486" spans="4:4" x14ac:dyDescent="0.2">
      <c r="D2486" s="5"/>
    </row>
    <row r="2487" spans="4:4" x14ac:dyDescent="0.2">
      <c r="D2487" s="5"/>
    </row>
    <row r="2488" spans="4:4" x14ac:dyDescent="0.2">
      <c r="D2488" s="5"/>
    </row>
    <row r="2489" spans="4:4" x14ac:dyDescent="0.2">
      <c r="D2489" s="5"/>
    </row>
    <row r="2490" spans="4:4" x14ac:dyDescent="0.2">
      <c r="D2490" s="5"/>
    </row>
    <row r="2491" spans="4:4" x14ac:dyDescent="0.2">
      <c r="D2491" s="5"/>
    </row>
    <row r="2492" spans="4:4" x14ac:dyDescent="0.2">
      <c r="D2492" s="5"/>
    </row>
    <row r="2493" spans="4:4" x14ac:dyDescent="0.2">
      <c r="D2493" s="5"/>
    </row>
    <row r="2494" spans="4:4" x14ac:dyDescent="0.2">
      <c r="D2494" s="5"/>
    </row>
    <row r="2495" spans="4:4" x14ac:dyDescent="0.2">
      <c r="D2495" s="5"/>
    </row>
    <row r="2496" spans="4:4" x14ac:dyDescent="0.2">
      <c r="D2496" s="5"/>
    </row>
    <row r="2497" spans="4:4" x14ac:dyDescent="0.2">
      <c r="D2497" s="5"/>
    </row>
    <row r="2498" spans="4:4" x14ac:dyDescent="0.2">
      <c r="D2498" s="5"/>
    </row>
    <row r="2499" spans="4:4" x14ac:dyDescent="0.2">
      <c r="D2499" s="5"/>
    </row>
    <row r="2500" spans="4:4" x14ac:dyDescent="0.2">
      <c r="D2500" s="5"/>
    </row>
    <row r="2501" spans="4:4" x14ac:dyDescent="0.2">
      <c r="D2501" s="5"/>
    </row>
    <row r="2502" spans="4:4" x14ac:dyDescent="0.2">
      <c r="D2502" s="5"/>
    </row>
    <row r="2503" spans="4:4" x14ac:dyDescent="0.2">
      <c r="D2503" s="5"/>
    </row>
    <row r="2504" spans="4:4" x14ac:dyDescent="0.2">
      <c r="D2504" s="5"/>
    </row>
    <row r="2505" spans="4:4" x14ac:dyDescent="0.2">
      <c r="D2505" s="5"/>
    </row>
    <row r="2506" spans="4:4" x14ac:dyDescent="0.2">
      <c r="D2506" s="5"/>
    </row>
    <row r="2507" spans="4:4" x14ac:dyDescent="0.2">
      <c r="D2507" s="5"/>
    </row>
    <row r="2508" spans="4:4" x14ac:dyDescent="0.2">
      <c r="D2508" s="5"/>
    </row>
    <row r="2509" spans="4:4" x14ac:dyDescent="0.2">
      <c r="D2509" s="5"/>
    </row>
    <row r="2510" spans="4:4" x14ac:dyDescent="0.2">
      <c r="D2510" s="5"/>
    </row>
    <row r="2511" spans="4:4" x14ac:dyDescent="0.2">
      <c r="D2511" s="5"/>
    </row>
    <row r="2512" spans="4:4" x14ac:dyDescent="0.2">
      <c r="D2512" s="5"/>
    </row>
    <row r="2513" spans="4:4" x14ac:dyDescent="0.2">
      <c r="D2513" s="5"/>
    </row>
    <row r="2514" spans="4:4" x14ac:dyDescent="0.2">
      <c r="D2514" s="5"/>
    </row>
    <row r="2515" spans="4:4" x14ac:dyDescent="0.2">
      <c r="D2515" s="5"/>
    </row>
    <row r="2516" spans="4:4" x14ac:dyDescent="0.2">
      <c r="D2516" s="5"/>
    </row>
    <row r="2517" spans="4:4" x14ac:dyDescent="0.2">
      <c r="D2517" s="5"/>
    </row>
    <row r="2518" spans="4:4" x14ac:dyDescent="0.2">
      <c r="D2518" s="5"/>
    </row>
    <row r="2519" spans="4:4" x14ac:dyDescent="0.2">
      <c r="D2519" s="5"/>
    </row>
    <row r="2520" spans="4:4" x14ac:dyDescent="0.2">
      <c r="D2520" s="5"/>
    </row>
    <row r="2521" spans="4:4" x14ac:dyDescent="0.2">
      <c r="D2521" s="5"/>
    </row>
    <row r="2522" spans="4:4" x14ac:dyDescent="0.2">
      <c r="D2522" s="5"/>
    </row>
    <row r="2523" spans="4:4" x14ac:dyDescent="0.2">
      <c r="D2523" s="5"/>
    </row>
    <row r="2524" spans="4:4" x14ac:dyDescent="0.2">
      <c r="D2524" s="5"/>
    </row>
    <row r="2525" spans="4:4" x14ac:dyDescent="0.2">
      <c r="D2525" s="5"/>
    </row>
    <row r="2526" spans="4:4" x14ac:dyDescent="0.2">
      <c r="D2526" s="5"/>
    </row>
    <row r="2527" spans="4:4" x14ac:dyDescent="0.2">
      <c r="D2527" s="5"/>
    </row>
    <row r="2528" spans="4:4" x14ac:dyDescent="0.2">
      <c r="D2528" s="5"/>
    </row>
    <row r="2529" spans="4:4" x14ac:dyDescent="0.2">
      <c r="D2529" s="5"/>
    </row>
    <row r="2530" spans="4:4" x14ac:dyDescent="0.2">
      <c r="D2530" s="5"/>
    </row>
    <row r="2531" spans="4:4" x14ac:dyDescent="0.2">
      <c r="D2531" s="5"/>
    </row>
    <row r="2532" spans="4:4" x14ac:dyDescent="0.2">
      <c r="D2532" s="5"/>
    </row>
    <row r="2533" spans="4:4" x14ac:dyDescent="0.2">
      <c r="D2533" s="5"/>
    </row>
    <row r="2534" spans="4:4" x14ac:dyDescent="0.2">
      <c r="D2534" s="5"/>
    </row>
    <row r="2535" spans="4:4" x14ac:dyDescent="0.2">
      <c r="D2535" s="5"/>
    </row>
    <row r="2536" spans="4:4" x14ac:dyDescent="0.2">
      <c r="D2536" s="5"/>
    </row>
    <row r="2537" spans="4:4" x14ac:dyDescent="0.2">
      <c r="D2537" s="5"/>
    </row>
    <row r="2538" spans="4:4" x14ac:dyDescent="0.2">
      <c r="D2538" s="5"/>
    </row>
    <row r="2539" spans="4:4" x14ac:dyDescent="0.2">
      <c r="D2539" s="5"/>
    </row>
    <row r="2540" spans="4:4" x14ac:dyDescent="0.2">
      <c r="D2540" s="5"/>
    </row>
    <row r="2541" spans="4:4" x14ac:dyDescent="0.2">
      <c r="D2541" s="5"/>
    </row>
    <row r="2542" spans="4:4" x14ac:dyDescent="0.2">
      <c r="D2542" s="5"/>
    </row>
    <row r="2543" spans="4:4" x14ac:dyDescent="0.2">
      <c r="D2543" s="5"/>
    </row>
    <row r="2544" spans="4:4" x14ac:dyDescent="0.2">
      <c r="D2544" s="5"/>
    </row>
    <row r="2545" spans="4:4" x14ac:dyDescent="0.2">
      <c r="D2545" s="5"/>
    </row>
    <row r="2546" spans="4:4" x14ac:dyDescent="0.2">
      <c r="D2546" s="5"/>
    </row>
    <row r="2547" spans="4:4" x14ac:dyDescent="0.2">
      <c r="D2547" s="5"/>
    </row>
    <row r="2548" spans="4:4" x14ac:dyDescent="0.2">
      <c r="D2548" s="5"/>
    </row>
    <row r="2549" spans="4:4" x14ac:dyDescent="0.2">
      <c r="D2549" s="5"/>
    </row>
    <row r="2550" spans="4:4" x14ac:dyDescent="0.2">
      <c r="D2550" s="5"/>
    </row>
    <row r="2551" spans="4:4" x14ac:dyDescent="0.2">
      <c r="D2551" s="5"/>
    </row>
    <row r="2552" spans="4:4" x14ac:dyDescent="0.2">
      <c r="D2552" s="5"/>
    </row>
    <row r="2553" spans="4:4" x14ac:dyDescent="0.2">
      <c r="D2553" s="5"/>
    </row>
    <row r="2554" spans="4:4" x14ac:dyDescent="0.2">
      <c r="D2554" s="5"/>
    </row>
    <row r="2555" spans="4:4" x14ac:dyDescent="0.2">
      <c r="D2555" s="5"/>
    </row>
    <row r="2556" spans="4:4" x14ac:dyDescent="0.2">
      <c r="D2556" s="5"/>
    </row>
    <row r="2557" spans="4:4" x14ac:dyDescent="0.2">
      <c r="D2557" s="5"/>
    </row>
    <row r="2558" spans="4:4" x14ac:dyDescent="0.2">
      <c r="D2558" s="5"/>
    </row>
    <row r="2559" spans="4:4" x14ac:dyDescent="0.2">
      <c r="D2559" s="5"/>
    </row>
    <row r="2560" spans="4:4" x14ac:dyDescent="0.2">
      <c r="D2560" s="5"/>
    </row>
    <row r="2561" spans="4:4" x14ac:dyDescent="0.2">
      <c r="D2561" s="5"/>
    </row>
    <row r="2562" spans="4:4" x14ac:dyDescent="0.2">
      <c r="D2562" s="5"/>
    </row>
    <row r="2563" spans="4:4" x14ac:dyDescent="0.2">
      <c r="D2563" s="5"/>
    </row>
    <row r="2564" spans="4:4" x14ac:dyDescent="0.2">
      <c r="D2564" s="5"/>
    </row>
    <row r="2565" spans="4:4" x14ac:dyDescent="0.2">
      <c r="D2565" s="5"/>
    </row>
    <row r="2566" spans="4:4" x14ac:dyDescent="0.2">
      <c r="D2566" s="5"/>
    </row>
    <row r="2567" spans="4:4" x14ac:dyDescent="0.2">
      <c r="D2567" s="5"/>
    </row>
    <row r="2568" spans="4:4" x14ac:dyDescent="0.2">
      <c r="D2568" s="5"/>
    </row>
    <row r="2569" spans="4:4" x14ac:dyDescent="0.2">
      <c r="D2569" s="5"/>
    </row>
    <row r="2570" spans="4:4" x14ac:dyDescent="0.2">
      <c r="D2570" s="5"/>
    </row>
    <row r="2571" spans="4:4" x14ac:dyDescent="0.2">
      <c r="D2571" s="5"/>
    </row>
    <row r="2572" spans="4:4" x14ac:dyDescent="0.2">
      <c r="D2572" s="5"/>
    </row>
    <row r="2573" spans="4:4" x14ac:dyDescent="0.2">
      <c r="D2573" s="5"/>
    </row>
    <row r="2574" spans="4:4" x14ac:dyDescent="0.2">
      <c r="D2574" s="5"/>
    </row>
    <row r="2575" spans="4:4" x14ac:dyDescent="0.2">
      <c r="D2575" s="5"/>
    </row>
    <row r="2576" spans="4:4" x14ac:dyDescent="0.2">
      <c r="D2576" s="5"/>
    </row>
    <row r="2577" spans="4:4" x14ac:dyDescent="0.2">
      <c r="D2577" s="5"/>
    </row>
    <row r="2578" spans="4:4" x14ac:dyDescent="0.2">
      <c r="D2578" s="5"/>
    </row>
    <row r="2579" spans="4:4" x14ac:dyDescent="0.2">
      <c r="D2579" s="5"/>
    </row>
    <row r="2580" spans="4:4" x14ac:dyDescent="0.2">
      <c r="D2580" s="5"/>
    </row>
    <row r="2581" spans="4:4" x14ac:dyDescent="0.2">
      <c r="D2581" s="5"/>
    </row>
    <row r="2582" spans="4:4" x14ac:dyDescent="0.2">
      <c r="D2582" s="5"/>
    </row>
    <row r="2583" spans="4:4" x14ac:dyDescent="0.2">
      <c r="D2583" s="5"/>
    </row>
    <row r="2584" spans="4:4" x14ac:dyDescent="0.2">
      <c r="D2584" s="5"/>
    </row>
    <row r="2585" spans="4:4" x14ac:dyDescent="0.2">
      <c r="D2585" s="5"/>
    </row>
    <row r="2586" spans="4:4" x14ac:dyDescent="0.2">
      <c r="D2586" s="5"/>
    </row>
    <row r="2587" spans="4:4" x14ac:dyDescent="0.2">
      <c r="D2587" s="5"/>
    </row>
    <row r="2588" spans="4:4" x14ac:dyDescent="0.2">
      <c r="D2588" s="5"/>
    </row>
    <row r="2589" spans="4:4" x14ac:dyDescent="0.2">
      <c r="D2589" s="5"/>
    </row>
    <row r="2590" spans="4:4" x14ac:dyDescent="0.2">
      <c r="D2590" s="5"/>
    </row>
    <row r="2591" spans="4:4" x14ac:dyDescent="0.2">
      <c r="D2591" s="5"/>
    </row>
    <row r="2592" spans="4:4" x14ac:dyDescent="0.2">
      <c r="D2592" s="5"/>
    </row>
    <row r="2593" spans="4:4" x14ac:dyDescent="0.2">
      <c r="D2593" s="5"/>
    </row>
    <row r="2594" spans="4:4" x14ac:dyDescent="0.2">
      <c r="D2594" s="5"/>
    </row>
    <row r="2595" spans="4:4" x14ac:dyDescent="0.2">
      <c r="D2595" s="5"/>
    </row>
    <row r="2596" spans="4:4" x14ac:dyDescent="0.2">
      <c r="D2596" s="5"/>
    </row>
    <row r="2597" spans="4:4" x14ac:dyDescent="0.2">
      <c r="D2597" s="5"/>
    </row>
    <row r="2598" spans="4:4" x14ac:dyDescent="0.2">
      <c r="D2598" s="5"/>
    </row>
    <row r="2599" spans="4:4" x14ac:dyDescent="0.2">
      <c r="D2599" s="5"/>
    </row>
    <row r="2600" spans="4:4" x14ac:dyDescent="0.2">
      <c r="D2600" s="5"/>
    </row>
    <row r="2601" spans="4:4" x14ac:dyDescent="0.2">
      <c r="D2601" s="5"/>
    </row>
    <row r="2602" spans="4:4" x14ac:dyDescent="0.2">
      <c r="D2602" s="5"/>
    </row>
    <row r="2603" spans="4:4" x14ac:dyDescent="0.2">
      <c r="D2603" s="5"/>
    </row>
    <row r="2604" spans="4:4" x14ac:dyDescent="0.2">
      <c r="D2604" s="5"/>
    </row>
    <row r="2605" spans="4:4" x14ac:dyDescent="0.2">
      <c r="D2605" s="5"/>
    </row>
    <row r="2606" spans="4:4" x14ac:dyDescent="0.2">
      <c r="D2606" s="5"/>
    </row>
    <row r="2607" spans="4:4" x14ac:dyDescent="0.2">
      <c r="D2607" s="5"/>
    </row>
    <row r="2608" spans="4:4" x14ac:dyDescent="0.2">
      <c r="D2608" s="5"/>
    </row>
    <row r="2609" spans="4:4" x14ac:dyDescent="0.2">
      <c r="D2609" s="5"/>
    </row>
    <row r="2610" spans="4:4" x14ac:dyDescent="0.2">
      <c r="D2610" s="5"/>
    </row>
    <row r="2611" spans="4:4" x14ac:dyDescent="0.2">
      <c r="D2611" s="5"/>
    </row>
    <row r="2612" spans="4:4" x14ac:dyDescent="0.2">
      <c r="D2612" s="5"/>
    </row>
    <row r="2613" spans="4:4" x14ac:dyDescent="0.2">
      <c r="D2613" s="5"/>
    </row>
    <row r="2614" spans="4:4" x14ac:dyDescent="0.2">
      <c r="D2614" s="5"/>
    </row>
    <row r="2615" spans="4:4" x14ac:dyDescent="0.2">
      <c r="D2615" s="5"/>
    </row>
    <row r="2616" spans="4:4" x14ac:dyDescent="0.2">
      <c r="D2616" s="5"/>
    </row>
    <row r="2617" spans="4:4" x14ac:dyDescent="0.2">
      <c r="D2617" s="5"/>
    </row>
    <row r="2618" spans="4:4" x14ac:dyDescent="0.2">
      <c r="D2618" s="5"/>
    </row>
    <row r="2619" spans="4:4" x14ac:dyDescent="0.2">
      <c r="D2619" s="5"/>
    </row>
    <row r="2620" spans="4:4" x14ac:dyDescent="0.2">
      <c r="D2620" s="5"/>
    </row>
    <row r="2621" spans="4:4" x14ac:dyDescent="0.2">
      <c r="D2621" s="5"/>
    </row>
    <row r="2622" spans="4:4" x14ac:dyDescent="0.2">
      <c r="D2622" s="5"/>
    </row>
    <row r="2623" spans="4:4" x14ac:dyDescent="0.2">
      <c r="D2623" s="5"/>
    </row>
    <row r="2624" spans="4:4" x14ac:dyDescent="0.2">
      <c r="D2624" s="5"/>
    </row>
    <row r="2625" spans="4:4" x14ac:dyDescent="0.2">
      <c r="D2625" s="5"/>
    </row>
    <row r="2626" spans="4:4" x14ac:dyDescent="0.2">
      <c r="D2626" s="5"/>
    </row>
    <row r="2627" spans="4:4" x14ac:dyDescent="0.2">
      <c r="D2627" s="5"/>
    </row>
    <row r="2628" spans="4:4" x14ac:dyDescent="0.2">
      <c r="D2628" s="5"/>
    </row>
    <row r="2629" spans="4:4" x14ac:dyDescent="0.2">
      <c r="D2629" s="5"/>
    </row>
    <row r="2630" spans="4:4" x14ac:dyDescent="0.2">
      <c r="D2630" s="5"/>
    </row>
    <row r="2631" spans="4:4" x14ac:dyDescent="0.2">
      <c r="D2631" s="5"/>
    </row>
    <row r="2632" spans="4:4" x14ac:dyDescent="0.2">
      <c r="D2632" s="5"/>
    </row>
    <row r="2633" spans="4:4" x14ac:dyDescent="0.2">
      <c r="D2633" s="5"/>
    </row>
    <row r="2634" spans="4:4" x14ac:dyDescent="0.2">
      <c r="D2634" s="5"/>
    </row>
    <row r="2635" spans="4:4" x14ac:dyDescent="0.2">
      <c r="D2635" s="5"/>
    </row>
    <row r="2636" spans="4:4" x14ac:dyDescent="0.2">
      <c r="D2636" s="5"/>
    </row>
    <row r="2637" spans="4:4" x14ac:dyDescent="0.2">
      <c r="D2637" s="5"/>
    </row>
    <row r="2638" spans="4:4" x14ac:dyDescent="0.2">
      <c r="D2638" s="5"/>
    </row>
    <row r="2639" spans="4:4" x14ac:dyDescent="0.2">
      <c r="D2639" s="5"/>
    </row>
    <row r="2640" spans="4:4" x14ac:dyDescent="0.2">
      <c r="D2640" s="5"/>
    </row>
    <row r="2641" spans="4:4" x14ac:dyDescent="0.2">
      <c r="D2641" s="5"/>
    </row>
    <row r="2642" spans="4:4" x14ac:dyDescent="0.2">
      <c r="D2642" s="5"/>
    </row>
    <row r="2643" spans="4:4" x14ac:dyDescent="0.2">
      <c r="D2643" s="5"/>
    </row>
    <row r="2644" spans="4:4" x14ac:dyDescent="0.2">
      <c r="D2644" s="5"/>
    </row>
    <row r="2645" spans="4:4" x14ac:dyDescent="0.2">
      <c r="D2645" s="5"/>
    </row>
    <row r="2646" spans="4:4" x14ac:dyDescent="0.2">
      <c r="D2646" s="5"/>
    </row>
    <row r="2647" spans="4:4" x14ac:dyDescent="0.2">
      <c r="D2647" s="5"/>
    </row>
    <row r="2648" spans="4:4" x14ac:dyDescent="0.2">
      <c r="D2648" s="5"/>
    </row>
    <row r="2649" spans="4:4" x14ac:dyDescent="0.2">
      <c r="D2649" s="5"/>
    </row>
    <row r="2650" spans="4:4" x14ac:dyDescent="0.2">
      <c r="D2650" s="5"/>
    </row>
    <row r="2651" spans="4:4" x14ac:dyDescent="0.2">
      <c r="D2651" s="5"/>
    </row>
    <row r="2652" spans="4:4" x14ac:dyDescent="0.2">
      <c r="D2652" s="5"/>
    </row>
    <row r="2653" spans="4:4" x14ac:dyDescent="0.2">
      <c r="D2653" s="5"/>
    </row>
    <row r="2654" spans="4:4" x14ac:dyDescent="0.2">
      <c r="D2654" s="5"/>
    </row>
    <row r="2655" spans="4:4" x14ac:dyDescent="0.2">
      <c r="D2655" s="5"/>
    </row>
    <row r="2656" spans="4:4" x14ac:dyDescent="0.2">
      <c r="D2656" s="5"/>
    </row>
    <row r="2657" spans="4:4" x14ac:dyDescent="0.2">
      <c r="D2657" s="5"/>
    </row>
    <row r="2658" spans="4:4" x14ac:dyDescent="0.2">
      <c r="D2658" s="5"/>
    </row>
    <row r="2659" spans="4:4" x14ac:dyDescent="0.2">
      <c r="D2659" s="5"/>
    </row>
    <row r="2660" spans="4:4" x14ac:dyDescent="0.2">
      <c r="D2660" s="5"/>
    </row>
    <row r="2661" spans="4:4" x14ac:dyDescent="0.2">
      <c r="D2661" s="5"/>
    </row>
    <row r="2662" spans="4:4" x14ac:dyDescent="0.2">
      <c r="D2662" s="5"/>
    </row>
    <row r="2663" spans="4:4" x14ac:dyDescent="0.2">
      <c r="D2663" s="5"/>
    </row>
    <row r="2664" spans="4:4" x14ac:dyDescent="0.2">
      <c r="D2664" s="5"/>
    </row>
    <row r="2665" spans="4:4" x14ac:dyDescent="0.2">
      <c r="D2665" s="5"/>
    </row>
    <row r="2666" spans="4:4" x14ac:dyDescent="0.2">
      <c r="D2666" s="5"/>
    </row>
    <row r="2667" spans="4:4" x14ac:dyDescent="0.2">
      <c r="D2667" s="5"/>
    </row>
    <row r="2668" spans="4:4" x14ac:dyDescent="0.2">
      <c r="D2668" s="5"/>
    </row>
    <row r="2669" spans="4:4" x14ac:dyDescent="0.2">
      <c r="D2669" s="5"/>
    </row>
    <row r="2670" spans="4:4" x14ac:dyDescent="0.2">
      <c r="D2670" s="5"/>
    </row>
    <row r="2671" spans="4:4" x14ac:dyDescent="0.2">
      <c r="D2671" s="5"/>
    </row>
    <row r="2672" spans="4:4" x14ac:dyDescent="0.2">
      <c r="D2672" s="5"/>
    </row>
    <row r="2673" spans="4:4" x14ac:dyDescent="0.2">
      <c r="D2673" s="5"/>
    </row>
    <row r="2674" spans="4:4" x14ac:dyDescent="0.2">
      <c r="D2674" s="5"/>
    </row>
    <row r="2675" spans="4:4" x14ac:dyDescent="0.2">
      <c r="D2675" s="5"/>
    </row>
    <row r="2676" spans="4:4" x14ac:dyDescent="0.2">
      <c r="D2676" s="5"/>
    </row>
    <row r="2677" spans="4:4" x14ac:dyDescent="0.2">
      <c r="D2677" s="5"/>
    </row>
    <row r="2678" spans="4:4" x14ac:dyDescent="0.2">
      <c r="D2678" s="5"/>
    </row>
    <row r="2679" spans="4:4" x14ac:dyDescent="0.2">
      <c r="D2679" s="5"/>
    </row>
    <row r="2680" spans="4:4" x14ac:dyDescent="0.2">
      <c r="D2680" s="5"/>
    </row>
    <row r="2681" spans="4:4" x14ac:dyDescent="0.2">
      <c r="D2681" s="5"/>
    </row>
    <row r="2682" spans="4:4" x14ac:dyDescent="0.2">
      <c r="D2682" s="5"/>
    </row>
    <row r="2683" spans="4:4" x14ac:dyDescent="0.2">
      <c r="D2683" s="5"/>
    </row>
    <row r="2684" spans="4:4" x14ac:dyDescent="0.2">
      <c r="D2684" s="5"/>
    </row>
    <row r="2685" spans="4:4" x14ac:dyDescent="0.2">
      <c r="D2685" s="5"/>
    </row>
    <row r="2686" spans="4:4" x14ac:dyDescent="0.2">
      <c r="D2686" s="5"/>
    </row>
    <row r="2687" spans="4:4" x14ac:dyDescent="0.2">
      <c r="D2687" s="5"/>
    </row>
    <row r="2688" spans="4:4" x14ac:dyDescent="0.2">
      <c r="D2688" s="5"/>
    </row>
    <row r="2689" spans="4:4" x14ac:dyDescent="0.2">
      <c r="D2689" s="5"/>
    </row>
    <row r="2690" spans="4:4" x14ac:dyDescent="0.2">
      <c r="D2690" s="5"/>
    </row>
    <row r="2691" spans="4:4" x14ac:dyDescent="0.2">
      <c r="D2691" s="5"/>
    </row>
    <row r="2692" spans="4:4" x14ac:dyDescent="0.2">
      <c r="D2692" s="5"/>
    </row>
    <row r="2693" spans="4:4" x14ac:dyDescent="0.2">
      <c r="D2693" s="5"/>
    </row>
    <row r="2694" spans="4:4" x14ac:dyDescent="0.2">
      <c r="D2694" s="5"/>
    </row>
    <row r="2695" spans="4:4" x14ac:dyDescent="0.2">
      <c r="D2695" s="5"/>
    </row>
    <row r="2696" spans="4:4" x14ac:dyDescent="0.2">
      <c r="D2696" s="5"/>
    </row>
    <row r="2697" spans="4:4" x14ac:dyDescent="0.2">
      <c r="D2697" s="5"/>
    </row>
    <row r="2698" spans="4:4" x14ac:dyDescent="0.2">
      <c r="D2698" s="5"/>
    </row>
    <row r="2699" spans="4:4" x14ac:dyDescent="0.2">
      <c r="D2699" s="5"/>
    </row>
    <row r="2700" spans="4:4" x14ac:dyDescent="0.2">
      <c r="D2700" s="5"/>
    </row>
    <row r="2701" spans="4:4" x14ac:dyDescent="0.2">
      <c r="D2701" s="5"/>
    </row>
    <row r="2702" spans="4:4" x14ac:dyDescent="0.2">
      <c r="D2702" s="5"/>
    </row>
    <row r="2703" spans="4:4" x14ac:dyDescent="0.2">
      <c r="D2703" s="5"/>
    </row>
    <row r="2704" spans="4:4" x14ac:dyDescent="0.2">
      <c r="D2704" s="5"/>
    </row>
    <row r="2705" spans="4:4" x14ac:dyDescent="0.2">
      <c r="D2705" s="5"/>
    </row>
    <row r="2706" spans="4:4" x14ac:dyDescent="0.2">
      <c r="D2706" s="5"/>
    </row>
    <row r="2707" spans="4:4" x14ac:dyDescent="0.2">
      <c r="D2707" s="5"/>
    </row>
    <row r="2708" spans="4:4" x14ac:dyDescent="0.2">
      <c r="D2708" s="5"/>
    </row>
    <row r="2709" spans="4:4" x14ac:dyDescent="0.2">
      <c r="D2709" s="5"/>
    </row>
    <row r="2710" spans="4:4" x14ac:dyDescent="0.2">
      <c r="D2710" s="5"/>
    </row>
    <row r="2711" spans="4:4" x14ac:dyDescent="0.2">
      <c r="D2711" s="5"/>
    </row>
    <row r="2712" spans="4:4" x14ac:dyDescent="0.2">
      <c r="D2712" s="5"/>
    </row>
    <row r="2713" spans="4:4" x14ac:dyDescent="0.2">
      <c r="D2713" s="5"/>
    </row>
    <row r="2714" spans="4:4" x14ac:dyDescent="0.2">
      <c r="D2714" s="5"/>
    </row>
    <row r="2715" spans="4:4" x14ac:dyDescent="0.2">
      <c r="D2715" s="5"/>
    </row>
    <row r="2716" spans="4:4" x14ac:dyDescent="0.2">
      <c r="D2716" s="5"/>
    </row>
    <row r="2717" spans="4:4" x14ac:dyDescent="0.2">
      <c r="D2717" s="5"/>
    </row>
    <row r="2718" spans="4:4" x14ac:dyDescent="0.2">
      <c r="D2718" s="5"/>
    </row>
    <row r="2719" spans="4:4" x14ac:dyDescent="0.2">
      <c r="D2719" s="5"/>
    </row>
    <row r="2720" spans="4:4" x14ac:dyDescent="0.2">
      <c r="D2720" s="5"/>
    </row>
    <row r="2721" spans="4:4" x14ac:dyDescent="0.2">
      <c r="D2721" s="5"/>
    </row>
    <row r="2722" spans="4:4" x14ac:dyDescent="0.2">
      <c r="D2722" s="5"/>
    </row>
    <row r="2723" spans="4:4" x14ac:dyDescent="0.2">
      <c r="D2723" s="5"/>
    </row>
    <row r="2724" spans="4:4" x14ac:dyDescent="0.2">
      <c r="D2724" s="5"/>
    </row>
    <row r="2725" spans="4:4" x14ac:dyDescent="0.2">
      <c r="D2725" s="5"/>
    </row>
    <row r="2726" spans="4:4" x14ac:dyDescent="0.2">
      <c r="D2726" s="5"/>
    </row>
    <row r="2727" spans="4:4" x14ac:dyDescent="0.2">
      <c r="D2727" s="5"/>
    </row>
    <row r="2728" spans="4:4" x14ac:dyDescent="0.2">
      <c r="D2728" s="5"/>
    </row>
    <row r="2729" spans="4:4" x14ac:dyDescent="0.2">
      <c r="D2729" s="5"/>
    </row>
    <row r="2730" spans="4:4" x14ac:dyDescent="0.2">
      <c r="D2730" s="5"/>
    </row>
    <row r="2731" spans="4:4" x14ac:dyDescent="0.2">
      <c r="D2731" s="5"/>
    </row>
    <row r="2732" spans="4:4" x14ac:dyDescent="0.2">
      <c r="D2732" s="5"/>
    </row>
    <row r="2733" spans="4:4" x14ac:dyDescent="0.2">
      <c r="D2733" s="5"/>
    </row>
    <row r="2734" spans="4:4" x14ac:dyDescent="0.2">
      <c r="D2734" s="5"/>
    </row>
    <row r="2735" spans="4:4" x14ac:dyDescent="0.2">
      <c r="D2735" s="5"/>
    </row>
    <row r="2736" spans="4:4" x14ac:dyDescent="0.2">
      <c r="D2736" s="5"/>
    </row>
    <row r="2737" spans="4:4" x14ac:dyDescent="0.2">
      <c r="D2737" s="5"/>
    </row>
    <row r="2738" spans="4:4" x14ac:dyDescent="0.2">
      <c r="D2738" s="5"/>
    </row>
    <row r="2739" spans="4:4" x14ac:dyDescent="0.2">
      <c r="D2739" s="5"/>
    </row>
    <row r="2740" spans="4:4" x14ac:dyDescent="0.2">
      <c r="D2740" s="5"/>
    </row>
    <row r="2741" spans="4:4" x14ac:dyDescent="0.2">
      <c r="D2741" s="5"/>
    </row>
    <row r="2742" spans="4:4" x14ac:dyDescent="0.2">
      <c r="D2742" s="5"/>
    </row>
    <row r="2743" spans="4:4" x14ac:dyDescent="0.2">
      <c r="D2743" s="5"/>
    </row>
    <row r="2744" spans="4:4" x14ac:dyDescent="0.2">
      <c r="D2744" s="5"/>
    </row>
    <row r="2745" spans="4:4" x14ac:dyDescent="0.2">
      <c r="D2745" s="5"/>
    </row>
    <row r="2746" spans="4:4" x14ac:dyDescent="0.2">
      <c r="D2746" s="5"/>
    </row>
    <row r="2747" spans="4:4" x14ac:dyDescent="0.2">
      <c r="D2747" s="5"/>
    </row>
    <row r="2748" spans="4:4" x14ac:dyDescent="0.2">
      <c r="D2748" s="5"/>
    </row>
    <row r="2749" spans="4:4" x14ac:dyDescent="0.2">
      <c r="D2749" s="5"/>
    </row>
    <row r="2750" spans="4:4" x14ac:dyDescent="0.2">
      <c r="D2750" s="5"/>
    </row>
    <row r="2751" spans="4:4" x14ac:dyDescent="0.2">
      <c r="D2751" s="5"/>
    </row>
    <row r="2752" spans="4:4" x14ac:dyDescent="0.2">
      <c r="D2752" s="5"/>
    </row>
    <row r="2753" spans="4:4" x14ac:dyDescent="0.2">
      <c r="D2753" s="5"/>
    </row>
    <row r="2754" spans="4:4" x14ac:dyDescent="0.2">
      <c r="D2754" s="5"/>
    </row>
    <row r="2755" spans="4:4" x14ac:dyDescent="0.2">
      <c r="D2755" s="5"/>
    </row>
    <row r="2756" spans="4:4" x14ac:dyDescent="0.2">
      <c r="D2756" s="5"/>
    </row>
    <row r="2757" spans="4:4" x14ac:dyDescent="0.2">
      <c r="D2757" s="5"/>
    </row>
    <row r="2758" spans="4:4" x14ac:dyDescent="0.2">
      <c r="D2758" s="5"/>
    </row>
    <row r="2759" spans="4:4" x14ac:dyDescent="0.2">
      <c r="D2759" s="5"/>
    </row>
    <row r="2760" spans="4:4" x14ac:dyDescent="0.2">
      <c r="D2760" s="5"/>
    </row>
    <row r="2761" spans="4:4" x14ac:dyDescent="0.2">
      <c r="D2761" s="5"/>
    </row>
    <row r="2762" spans="4:4" x14ac:dyDescent="0.2">
      <c r="D2762" s="5"/>
    </row>
    <row r="2763" spans="4:4" x14ac:dyDescent="0.2">
      <c r="D2763" s="5"/>
    </row>
    <row r="2764" spans="4:4" x14ac:dyDescent="0.2">
      <c r="D2764" s="5"/>
    </row>
    <row r="2765" spans="4:4" x14ac:dyDescent="0.2">
      <c r="D2765" s="5"/>
    </row>
    <row r="2766" spans="4:4" x14ac:dyDescent="0.2">
      <c r="D2766" s="5"/>
    </row>
    <row r="2767" spans="4:4" x14ac:dyDescent="0.2">
      <c r="D2767" s="5"/>
    </row>
    <row r="2768" spans="4:4" x14ac:dyDescent="0.2">
      <c r="D2768" s="5"/>
    </row>
    <row r="2769" spans="4:4" x14ac:dyDescent="0.2">
      <c r="D2769" s="5"/>
    </row>
    <row r="2770" spans="4:4" x14ac:dyDescent="0.2">
      <c r="D2770" s="5"/>
    </row>
    <row r="2771" spans="4:4" x14ac:dyDescent="0.2">
      <c r="D2771" s="5"/>
    </row>
    <row r="2772" spans="4:4" x14ac:dyDescent="0.2">
      <c r="D2772" s="5"/>
    </row>
    <row r="2773" spans="4:4" x14ac:dyDescent="0.2">
      <c r="D2773" s="5"/>
    </row>
    <row r="2774" spans="4:4" x14ac:dyDescent="0.2">
      <c r="D2774" s="5"/>
    </row>
    <row r="2775" spans="4:4" x14ac:dyDescent="0.2">
      <c r="D2775" s="5"/>
    </row>
    <row r="2776" spans="4:4" x14ac:dyDescent="0.2">
      <c r="D2776" s="5"/>
    </row>
    <row r="2777" spans="4:4" x14ac:dyDescent="0.2">
      <c r="D2777" s="5"/>
    </row>
    <row r="2778" spans="4:4" x14ac:dyDescent="0.2">
      <c r="D2778" s="5"/>
    </row>
    <row r="2779" spans="4:4" x14ac:dyDescent="0.2">
      <c r="D2779" s="5"/>
    </row>
    <row r="2780" spans="4:4" x14ac:dyDescent="0.2">
      <c r="D2780" s="5"/>
    </row>
    <row r="2781" spans="4:4" x14ac:dyDescent="0.2">
      <c r="D2781" s="5"/>
    </row>
    <row r="2782" spans="4:4" x14ac:dyDescent="0.2">
      <c r="D2782" s="5"/>
    </row>
    <row r="2783" spans="4:4" x14ac:dyDescent="0.2">
      <c r="D2783" s="5"/>
    </row>
    <row r="2784" spans="4:4" x14ac:dyDescent="0.2">
      <c r="D2784" s="5"/>
    </row>
    <row r="2785" spans="4:4" x14ac:dyDescent="0.2">
      <c r="D2785" s="5"/>
    </row>
    <row r="2786" spans="4:4" x14ac:dyDescent="0.2">
      <c r="D2786" s="5"/>
    </row>
    <row r="2787" spans="4:4" x14ac:dyDescent="0.2">
      <c r="D2787" s="5"/>
    </row>
    <row r="2788" spans="4:4" x14ac:dyDescent="0.2">
      <c r="D2788" s="5"/>
    </row>
    <row r="2789" spans="4:4" x14ac:dyDescent="0.2">
      <c r="D2789" s="5"/>
    </row>
    <row r="2790" spans="4:4" x14ac:dyDescent="0.2">
      <c r="D2790" s="5"/>
    </row>
    <row r="2791" spans="4:4" x14ac:dyDescent="0.2">
      <c r="D2791" s="5"/>
    </row>
    <row r="2792" spans="4:4" x14ac:dyDescent="0.2">
      <c r="D2792" s="5"/>
    </row>
    <row r="2793" spans="4:4" x14ac:dyDescent="0.2">
      <c r="D2793" s="5"/>
    </row>
    <row r="2794" spans="4:4" x14ac:dyDescent="0.2">
      <c r="D2794" s="5"/>
    </row>
    <row r="2795" spans="4:4" x14ac:dyDescent="0.2">
      <c r="D2795" s="5"/>
    </row>
    <row r="2796" spans="4:4" x14ac:dyDescent="0.2">
      <c r="D2796" s="5"/>
    </row>
    <row r="2797" spans="4:4" x14ac:dyDescent="0.2">
      <c r="D2797" s="5"/>
    </row>
    <row r="2798" spans="4:4" x14ac:dyDescent="0.2">
      <c r="D2798" s="5"/>
    </row>
    <row r="2799" spans="4:4" x14ac:dyDescent="0.2">
      <c r="D2799" s="5"/>
    </row>
    <row r="2800" spans="4:4" x14ac:dyDescent="0.2">
      <c r="D2800" s="5"/>
    </row>
    <row r="2801" spans="4:4" x14ac:dyDescent="0.2">
      <c r="D2801" s="5"/>
    </row>
    <row r="2802" spans="4:4" x14ac:dyDescent="0.2">
      <c r="D2802" s="5"/>
    </row>
    <row r="2803" spans="4:4" x14ac:dyDescent="0.2">
      <c r="D2803" s="5"/>
    </row>
    <row r="2804" spans="4:4" x14ac:dyDescent="0.2">
      <c r="D2804" s="5"/>
    </row>
    <row r="2805" spans="4:4" x14ac:dyDescent="0.2">
      <c r="D2805" s="5"/>
    </row>
    <row r="2806" spans="4:4" x14ac:dyDescent="0.2">
      <c r="D2806" s="5"/>
    </row>
    <row r="2807" spans="4:4" x14ac:dyDescent="0.2">
      <c r="D2807" s="5"/>
    </row>
    <row r="2808" spans="4:4" x14ac:dyDescent="0.2">
      <c r="D2808" s="5"/>
    </row>
    <row r="2809" spans="4:4" x14ac:dyDescent="0.2">
      <c r="D2809" s="5"/>
    </row>
    <row r="2810" spans="4:4" x14ac:dyDescent="0.2">
      <c r="D2810" s="5"/>
    </row>
    <row r="2811" spans="4:4" x14ac:dyDescent="0.2">
      <c r="D2811" s="5"/>
    </row>
    <row r="2812" spans="4:4" x14ac:dyDescent="0.2">
      <c r="D2812" s="5"/>
    </row>
    <row r="2813" spans="4:4" x14ac:dyDescent="0.2">
      <c r="D2813" s="5"/>
    </row>
    <row r="2814" spans="4:4" x14ac:dyDescent="0.2">
      <c r="D2814" s="5"/>
    </row>
    <row r="2815" spans="4:4" x14ac:dyDescent="0.2">
      <c r="D2815" s="5"/>
    </row>
    <row r="2816" spans="4:4" x14ac:dyDescent="0.2">
      <c r="D2816" s="5"/>
    </row>
    <row r="2817" spans="4:4" x14ac:dyDescent="0.2">
      <c r="D2817" s="5"/>
    </row>
    <row r="2818" spans="4:4" x14ac:dyDescent="0.2">
      <c r="D2818" s="5"/>
    </row>
    <row r="2819" spans="4:4" x14ac:dyDescent="0.2">
      <c r="D2819" s="5"/>
    </row>
    <row r="2820" spans="4:4" x14ac:dyDescent="0.2">
      <c r="D2820" s="5"/>
    </row>
    <row r="2821" spans="4:4" x14ac:dyDescent="0.2">
      <c r="D2821" s="5"/>
    </row>
    <row r="2822" spans="4:4" x14ac:dyDescent="0.2">
      <c r="D2822" s="5"/>
    </row>
    <row r="2823" spans="4:4" x14ac:dyDescent="0.2">
      <c r="D2823" s="5"/>
    </row>
    <row r="2824" spans="4:4" x14ac:dyDescent="0.2">
      <c r="D2824" s="5"/>
    </row>
    <row r="2825" spans="4:4" x14ac:dyDescent="0.2">
      <c r="D2825" s="5"/>
    </row>
    <row r="2826" spans="4:4" x14ac:dyDescent="0.2">
      <c r="D2826" s="5"/>
    </row>
    <row r="2827" spans="4:4" x14ac:dyDescent="0.2">
      <c r="D2827" s="5"/>
    </row>
    <row r="2828" spans="4:4" x14ac:dyDescent="0.2">
      <c r="D2828" s="5"/>
    </row>
    <row r="2829" spans="4:4" x14ac:dyDescent="0.2">
      <c r="D2829" s="5"/>
    </row>
    <row r="2830" spans="4:4" x14ac:dyDescent="0.2">
      <c r="D2830" s="5"/>
    </row>
    <row r="2831" spans="4:4" x14ac:dyDescent="0.2">
      <c r="D2831" s="5"/>
    </row>
    <row r="2832" spans="4:4" x14ac:dyDescent="0.2">
      <c r="D2832" s="5"/>
    </row>
    <row r="2833" spans="4:4" x14ac:dyDescent="0.2">
      <c r="D2833" s="5"/>
    </row>
    <row r="2834" spans="4:4" x14ac:dyDescent="0.2">
      <c r="D2834" s="5"/>
    </row>
    <row r="2835" spans="4:4" x14ac:dyDescent="0.2">
      <c r="D2835" s="5"/>
    </row>
    <row r="2836" spans="4:4" x14ac:dyDescent="0.2">
      <c r="D2836" s="5"/>
    </row>
    <row r="2837" spans="4:4" x14ac:dyDescent="0.2">
      <c r="D2837" s="5"/>
    </row>
    <row r="2838" spans="4:4" x14ac:dyDescent="0.2">
      <c r="D2838" s="5"/>
    </row>
    <row r="2839" spans="4:4" x14ac:dyDescent="0.2">
      <c r="D2839" s="5"/>
    </row>
    <row r="2840" spans="4:4" x14ac:dyDescent="0.2">
      <c r="D2840" s="5"/>
    </row>
    <row r="2841" spans="4:4" x14ac:dyDescent="0.2">
      <c r="D2841" s="5"/>
    </row>
    <row r="2842" spans="4:4" x14ac:dyDescent="0.2">
      <c r="D2842" s="5"/>
    </row>
    <row r="2843" spans="4:4" x14ac:dyDescent="0.2">
      <c r="D2843" s="5"/>
    </row>
    <row r="2844" spans="4:4" x14ac:dyDescent="0.2">
      <c r="D2844" s="5"/>
    </row>
    <row r="2845" spans="4:4" x14ac:dyDescent="0.2">
      <c r="D2845" s="5"/>
    </row>
    <row r="2846" spans="4:4" x14ac:dyDescent="0.2">
      <c r="D2846" s="5"/>
    </row>
    <row r="2847" spans="4:4" x14ac:dyDescent="0.2">
      <c r="D2847" s="5"/>
    </row>
    <row r="2848" spans="4:4" x14ac:dyDescent="0.2">
      <c r="D2848" s="5"/>
    </row>
    <row r="2849" spans="4:4" x14ac:dyDescent="0.2">
      <c r="D2849" s="5"/>
    </row>
    <row r="2850" spans="4:4" x14ac:dyDescent="0.2">
      <c r="D2850" s="5"/>
    </row>
    <row r="2851" spans="4:4" x14ac:dyDescent="0.2">
      <c r="D2851" s="5"/>
    </row>
    <row r="2852" spans="4:4" x14ac:dyDescent="0.2">
      <c r="D2852" s="5"/>
    </row>
    <row r="2853" spans="4:4" x14ac:dyDescent="0.2">
      <c r="D2853" s="5"/>
    </row>
    <row r="2854" spans="4:4" x14ac:dyDescent="0.2">
      <c r="D2854" s="5"/>
    </row>
    <row r="2855" spans="4:4" x14ac:dyDescent="0.2">
      <c r="D2855" s="5"/>
    </row>
    <row r="2856" spans="4:4" x14ac:dyDescent="0.2">
      <c r="D2856" s="5"/>
    </row>
    <row r="2857" spans="4:4" x14ac:dyDescent="0.2">
      <c r="D2857" s="5"/>
    </row>
    <row r="2858" spans="4:4" x14ac:dyDescent="0.2">
      <c r="D2858" s="5"/>
    </row>
    <row r="2859" spans="4:4" x14ac:dyDescent="0.2">
      <c r="D2859" s="5"/>
    </row>
    <row r="2860" spans="4:4" x14ac:dyDescent="0.2">
      <c r="D2860" s="5"/>
    </row>
    <row r="2861" spans="4:4" x14ac:dyDescent="0.2">
      <c r="D2861" s="5"/>
    </row>
    <row r="2862" spans="4:4" x14ac:dyDescent="0.2">
      <c r="D2862" s="5"/>
    </row>
    <row r="2863" spans="4:4" x14ac:dyDescent="0.2">
      <c r="D2863" s="5"/>
    </row>
    <row r="2864" spans="4:4" x14ac:dyDescent="0.2">
      <c r="D2864" s="5"/>
    </row>
    <row r="2865" spans="4:4" x14ac:dyDescent="0.2">
      <c r="D2865" s="5"/>
    </row>
    <row r="2866" spans="4:4" x14ac:dyDescent="0.2">
      <c r="D2866" s="5"/>
    </row>
    <row r="2867" spans="4:4" x14ac:dyDescent="0.2">
      <c r="D2867" s="5"/>
    </row>
    <row r="2868" spans="4:4" x14ac:dyDescent="0.2">
      <c r="D2868" s="5"/>
    </row>
    <row r="2869" spans="4:4" x14ac:dyDescent="0.2">
      <c r="D2869" s="5"/>
    </row>
    <row r="2870" spans="4:4" x14ac:dyDescent="0.2">
      <c r="D2870" s="5"/>
    </row>
    <row r="2871" spans="4:4" x14ac:dyDescent="0.2">
      <c r="D2871" s="5"/>
    </row>
    <row r="2872" spans="4:4" x14ac:dyDescent="0.2">
      <c r="D2872" s="5"/>
    </row>
    <row r="2873" spans="4:4" x14ac:dyDescent="0.2">
      <c r="D2873" s="5"/>
    </row>
    <row r="2874" spans="4:4" x14ac:dyDescent="0.2">
      <c r="D2874" s="5"/>
    </row>
    <row r="2875" spans="4:4" x14ac:dyDescent="0.2">
      <c r="D2875" s="5"/>
    </row>
    <row r="2876" spans="4:4" x14ac:dyDescent="0.2">
      <c r="D2876" s="5"/>
    </row>
    <row r="2877" spans="4:4" x14ac:dyDescent="0.2">
      <c r="D2877" s="5"/>
    </row>
    <row r="2878" spans="4:4" x14ac:dyDescent="0.2">
      <c r="D2878" s="5"/>
    </row>
    <row r="2879" spans="4:4" x14ac:dyDescent="0.2">
      <c r="D2879" s="5"/>
    </row>
    <row r="2880" spans="4:4" x14ac:dyDescent="0.2">
      <c r="D2880" s="5"/>
    </row>
    <row r="2881" spans="4:4" x14ac:dyDescent="0.2">
      <c r="D2881" s="5"/>
    </row>
    <row r="2882" spans="4:4" x14ac:dyDescent="0.2">
      <c r="D2882" s="5"/>
    </row>
    <row r="2883" spans="4:4" x14ac:dyDescent="0.2">
      <c r="D2883" s="5"/>
    </row>
    <row r="2884" spans="4:4" x14ac:dyDescent="0.2">
      <c r="D2884" s="5"/>
    </row>
    <row r="2885" spans="4:4" x14ac:dyDescent="0.2">
      <c r="D2885" s="5"/>
    </row>
    <row r="2886" spans="4:4" x14ac:dyDescent="0.2">
      <c r="D2886" s="5"/>
    </row>
    <row r="2887" spans="4:4" x14ac:dyDescent="0.2">
      <c r="D2887" s="5"/>
    </row>
    <row r="2888" spans="4:4" x14ac:dyDescent="0.2">
      <c r="D2888" s="5"/>
    </row>
    <row r="2889" spans="4:4" x14ac:dyDescent="0.2">
      <c r="D2889" s="5"/>
    </row>
    <row r="2890" spans="4:4" x14ac:dyDescent="0.2">
      <c r="D2890" s="5"/>
    </row>
    <row r="2891" spans="4:4" x14ac:dyDescent="0.2">
      <c r="D2891" s="5"/>
    </row>
    <row r="2892" spans="4:4" x14ac:dyDescent="0.2">
      <c r="D2892" s="5"/>
    </row>
    <row r="2893" spans="4:4" x14ac:dyDescent="0.2">
      <c r="D2893" s="5"/>
    </row>
    <row r="2894" spans="4:4" x14ac:dyDescent="0.2">
      <c r="D2894" s="5"/>
    </row>
    <row r="2895" spans="4:4" x14ac:dyDescent="0.2">
      <c r="D2895" s="5"/>
    </row>
    <row r="2896" spans="4:4" x14ac:dyDescent="0.2">
      <c r="D2896" s="5"/>
    </row>
    <row r="2897" spans="4:4" x14ac:dyDescent="0.2">
      <c r="D2897" s="5"/>
    </row>
    <row r="2898" spans="4:4" x14ac:dyDescent="0.2">
      <c r="D2898" s="5"/>
    </row>
    <row r="2899" spans="4:4" x14ac:dyDescent="0.2">
      <c r="D2899" s="5"/>
    </row>
    <row r="2900" spans="4:4" x14ac:dyDescent="0.2">
      <c r="D2900" s="5"/>
    </row>
    <row r="2901" spans="4:4" x14ac:dyDescent="0.2">
      <c r="D2901" s="5"/>
    </row>
    <row r="2902" spans="4:4" x14ac:dyDescent="0.2">
      <c r="D2902" s="5"/>
    </row>
    <row r="2903" spans="4:4" x14ac:dyDescent="0.2">
      <c r="D2903" s="5"/>
    </row>
    <row r="2904" spans="4:4" x14ac:dyDescent="0.2">
      <c r="D2904" s="5"/>
    </row>
    <row r="2905" spans="4:4" x14ac:dyDescent="0.2">
      <c r="D2905" s="5"/>
    </row>
    <row r="2906" spans="4:4" x14ac:dyDescent="0.2">
      <c r="D2906" s="5"/>
    </row>
    <row r="2907" spans="4:4" x14ac:dyDescent="0.2">
      <c r="D2907" s="5"/>
    </row>
    <row r="2908" spans="4:4" x14ac:dyDescent="0.2">
      <c r="D2908" s="5"/>
    </row>
    <row r="2909" spans="4:4" x14ac:dyDescent="0.2">
      <c r="D2909" s="5"/>
    </row>
    <row r="2910" spans="4:4" x14ac:dyDescent="0.2">
      <c r="D2910" s="5"/>
    </row>
    <row r="2911" spans="4:4" x14ac:dyDescent="0.2">
      <c r="D2911" s="5"/>
    </row>
    <row r="2912" spans="4:4" x14ac:dyDescent="0.2">
      <c r="D2912" s="5"/>
    </row>
    <row r="2913" spans="4:4" x14ac:dyDescent="0.2">
      <c r="D2913" s="5"/>
    </row>
    <row r="2914" spans="4:4" x14ac:dyDescent="0.2">
      <c r="D2914" s="5"/>
    </row>
    <row r="2915" spans="4:4" x14ac:dyDescent="0.2">
      <c r="D2915" s="5"/>
    </row>
    <row r="2916" spans="4:4" x14ac:dyDescent="0.2">
      <c r="D2916" s="5"/>
    </row>
    <row r="2917" spans="4:4" x14ac:dyDescent="0.2">
      <c r="D2917" s="5"/>
    </row>
    <row r="2918" spans="4:4" x14ac:dyDescent="0.2">
      <c r="D2918" s="5"/>
    </row>
    <row r="2919" spans="4:4" x14ac:dyDescent="0.2">
      <c r="D2919" s="5"/>
    </row>
    <row r="2920" spans="4:4" x14ac:dyDescent="0.2">
      <c r="D2920" s="5"/>
    </row>
    <row r="2921" spans="4:4" x14ac:dyDescent="0.2">
      <c r="D2921" s="5"/>
    </row>
    <row r="2922" spans="4:4" x14ac:dyDescent="0.2">
      <c r="D2922" s="5"/>
    </row>
    <row r="2923" spans="4:4" x14ac:dyDescent="0.2">
      <c r="D2923" s="5"/>
    </row>
    <row r="2924" spans="4:4" x14ac:dyDescent="0.2">
      <c r="D2924" s="5"/>
    </row>
    <row r="2925" spans="4:4" x14ac:dyDescent="0.2">
      <c r="D2925" s="5"/>
    </row>
    <row r="2926" spans="4:4" x14ac:dyDescent="0.2">
      <c r="D2926" s="5"/>
    </row>
    <row r="2927" spans="4:4" x14ac:dyDescent="0.2">
      <c r="D2927" s="5"/>
    </row>
    <row r="2928" spans="4:4" x14ac:dyDescent="0.2">
      <c r="D2928" s="5"/>
    </row>
    <row r="2929" spans="4:4" x14ac:dyDescent="0.2">
      <c r="D2929" s="5"/>
    </row>
    <row r="2930" spans="4:4" x14ac:dyDescent="0.2">
      <c r="D2930" s="5"/>
    </row>
    <row r="2931" spans="4:4" x14ac:dyDescent="0.2">
      <c r="D2931" s="5"/>
    </row>
    <row r="2932" spans="4:4" x14ac:dyDescent="0.2">
      <c r="D2932" s="5"/>
    </row>
    <row r="2933" spans="4:4" x14ac:dyDescent="0.2">
      <c r="D2933" s="5"/>
    </row>
    <row r="2934" spans="4:4" x14ac:dyDescent="0.2">
      <c r="D2934" s="5"/>
    </row>
    <row r="2935" spans="4:4" x14ac:dyDescent="0.2">
      <c r="D2935" s="5"/>
    </row>
    <row r="2936" spans="4:4" x14ac:dyDescent="0.2">
      <c r="D2936" s="5"/>
    </row>
    <row r="2937" spans="4:4" x14ac:dyDescent="0.2">
      <c r="D2937" s="5"/>
    </row>
    <row r="2938" spans="4:4" x14ac:dyDescent="0.2">
      <c r="D2938" s="5"/>
    </row>
    <row r="2939" spans="4:4" x14ac:dyDescent="0.2">
      <c r="D2939" s="5"/>
    </row>
    <row r="2940" spans="4:4" x14ac:dyDescent="0.2">
      <c r="D2940" s="5"/>
    </row>
    <row r="2941" spans="4:4" x14ac:dyDescent="0.2">
      <c r="D2941" s="5"/>
    </row>
    <row r="2942" spans="4:4" x14ac:dyDescent="0.2">
      <c r="D2942" s="5"/>
    </row>
    <row r="2943" spans="4:4" x14ac:dyDescent="0.2">
      <c r="D2943" s="5"/>
    </row>
    <row r="2944" spans="4:4" x14ac:dyDescent="0.2">
      <c r="D2944" s="5"/>
    </row>
    <row r="2945" spans="4:4" x14ac:dyDescent="0.2">
      <c r="D2945" s="5"/>
    </row>
    <row r="2946" spans="4:4" x14ac:dyDescent="0.2">
      <c r="D2946" s="5"/>
    </row>
    <row r="2947" spans="4:4" x14ac:dyDescent="0.2">
      <c r="D2947" s="5"/>
    </row>
    <row r="2948" spans="4:4" x14ac:dyDescent="0.2">
      <c r="D2948" s="5"/>
    </row>
    <row r="2949" spans="4:4" x14ac:dyDescent="0.2">
      <c r="D2949" s="5"/>
    </row>
    <row r="2950" spans="4:4" x14ac:dyDescent="0.2">
      <c r="D2950" s="5"/>
    </row>
    <row r="2951" spans="4:4" x14ac:dyDescent="0.2">
      <c r="D2951" s="5"/>
    </row>
    <row r="2952" spans="4:4" x14ac:dyDescent="0.2">
      <c r="D2952" s="5"/>
    </row>
    <row r="2953" spans="4:4" x14ac:dyDescent="0.2">
      <c r="D2953" s="5"/>
    </row>
    <row r="2954" spans="4:4" x14ac:dyDescent="0.2">
      <c r="D2954" s="5"/>
    </row>
    <row r="2955" spans="4:4" x14ac:dyDescent="0.2">
      <c r="D2955" s="5"/>
    </row>
    <row r="2956" spans="4:4" x14ac:dyDescent="0.2">
      <c r="D2956" s="5"/>
    </row>
    <row r="2957" spans="4:4" x14ac:dyDescent="0.2">
      <c r="D2957" s="5"/>
    </row>
    <row r="2958" spans="4:4" x14ac:dyDescent="0.2">
      <c r="D2958" s="5"/>
    </row>
    <row r="2959" spans="4:4" x14ac:dyDescent="0.2">
      <c r="D2959" s="5"/>
    </row>
    <row r="2960" spans="4:4" x14ac:dyDescent="0.2">
      <c r="D2960" s="5"/>
    </row>
    <row r="2961" spans="4:4" x14ac:dyDescent="0.2">
      <c r="D2961" s="5"/>
    </row>
    <row r="2962" spans="4:4" x14ac:dyDescent="0.2">
      <c r="D2962" s="5"/>
    </row>
    <row r="2963" spans="4:4" x14ac:dyDescent="0.2">
      <c r="D2963" s="5"/>
    </row>
    <row r="2964" spans="4:4" x14ac:dyDescent="0.2">
      <c r="D2964" s="5"/>
    </row>
    <row r="2965" spans="4:4" x14ac:dyDescent="0.2">
      <c r="D2965" s="5"/>
    </row>
    <row r="2966" spans="4:4" x14ac:dyDescent="0.2">
      <c r="D2966" s="5"/>
    </row>
    <row r="2967" spans="4:4" x14ac:dyDescent="0.2">
      <c r="D2967" s="5"/>
    </row>
    <row r="2968" spans="4:4" x14ac:dyDescent="0.2">
      <c r="D2968" s="5"/>
    </row>
    <row r="2969" spans="4:4" x14ac:dyDescent="0.2">
      <c r="D2969" s="5"/>
    </row>
    <row r="2970" spans="4:4" x14ac:dyDescent="0.2">
      <c r="D2970" s="5"/>
    </row>
    <row r="2971" spans="4:4" x14ac:dyDescent="0.2">
      <c r="D2971" s="5"/>
    </row>
    <row r="2972" spans="4:4" x14ac:dyDescent="0.2">
      <c r="D2972" s="5"/>
    </row>
    <row r="2973" spans="4:4" x14ac:dyDescent="0.2">
      <c r="D2973" s="5"/>
    </row>
    <row r="2974" spans="4:4" x14ac:dyDescent="0.2">
      <c r="D2974" s="5"/>
    </row>
    <row r="2975" spans="4:4" x14ac:dyDescent="0.2">
      <c r="D2975" s="5"/>
    </row>
    <row r="2976" spans="4:4" x14ac:dyDescent="0.2">
      <c r="D2976" s="5"/>
    </row>
    <row r="2977" spans="4:4" x14ac:dyDescent="0.2">
      <c r="D2977" s="5"/>
    </row>
    <row r="2978" spans="4:4" x14ac:dyDescent="0.2">
      <c r="D2978" s="5"/>
    </row>
    <row r="2979" spans="4:4" x14ac:dyDescent="0.2">
      <c r="D2979" s="5"/>
    </row>
    <row r="2980" spans="4:4" x14ac:dyDescent="0.2">
      <c r="D2980" s="5"/>
    </row>
    <row r="2981" spans="4:4" x14ac:dyDescent="0.2">
      <c r="D2981" s="5"/>
    </row>
    <row r="2982" spans="4:4" x14ac:dyDescent="0.2">
      <c r="D2982" s="5"/>
    </row>
    <row r="2983" spans="4:4" x14ac:dyDescent="0.2">
      <c r="D2983" s="5"/>
    </row>
    <row r="2984" spans="4:4" x14ac:dyDescent="0.2">
      <c r="D2984" s="5"/>
    </row>
    <row r="2985" spans="4:4" x14ac:dyDescent="0.2">
      <c r="D2985" s="5"/>
    </row>
    <row r="2986" spans="4:4" x14ac:dyDescent="0.2">
      <c r="D2986" s="5"/>
    </row>
    <row r="2987" spans="4:4" x14ac:dyDescent="0.2">
      <c r="D2987" s="5"/>
    </row>
    <row r="2988" spans="4:4" x14ac:dyDescent="0.2">
      <c r="D2988" s="5"/>
    </row>
    <row r="2989" spans="4:4" x14ac:dyDescent="0.2">
      <c r="D2989" s="5"/>
    </row>
    <row r="2990" spans="4:4" x14ac:dyDescent="0.2">
      <c r="D2990" s="5"/>
    </row>
    <row r="2991" spans="4:4" x14ac:dyDescent="0.2">
      <c r="D2991" s="5"/>
    </row>
    <row r="2992" spans="4:4" x14ac:dyDescent="0.2">
      <c r="D2992" s="5"/>
    </row>
    <row r="2993" spans="4:4" x14ac:dyDescent="0.2">
      <c r="D2993" s="5"/>
    </row>
    <row r="2994" spans="4:4" x14ac:dyDescent="0.2">
      <c r="D2994" s="5"/>
    </row>
    <row r="2995" spans="4:4" x14ac:dyDescent="0.2">
      <c r="D2995" s="5"/>
    </row>
    <row r="2996" spans="4:4" x14ac:dyDescent="0.2">
      <c r="D2996" s="5"/>
    </row>
    <row r="2997" spans="4:4" x14ac:dyDescent="0.2">
      <c r="D2997" s="5"/>
    </row>
    <row r="2998" spans="4:4" x14ac:dyDescent="0.2">
      <c r="D2998" s="5"/>
    </row>
    <row r="2999" spans="4:4" x14ac:dyDescent="0.2">
      <c r="D2999" s="5"/>
    </row>
    <row r="3000" spans="4:4" x14ac:dyDescent="0.2">
      <c r="D3000" s="5"/>
    </row>
    <row r="3001" spans="4:4" x14ac:dyDescent="0.2">
      <c r="D3001" s="5"/>
    </row>
    <row r="3002" spans="4:4" x14ac:dyDescent="0.2">
      <c r="D3002" s="5"/>
    </row>
    <row r="3003" spans="4:4" x14ac:dyDescent="0.2">
      <c r="D3003" s="5"/>
    </row>
    <row r="3004" spans="4:4" x14ac:dyDescent="0.2">
      <c r="D3004" s="5"/>
    </row>
    <row r="3005" spans="4:4" x14ac:dyDescent="0.2">
      <c r="D3005" s="5"/>
    </row>
    <row r="3006" spans="4:4" x14ac:dyDescent="0.2">
      <c r="D3006" s="5"/>
    </row>
    <row r="3007" spans="4:4" x14ac:dyDescent="0.2">
      <c r="D3007" s="5"/>
    </row>
    <row r="3008" spans="4:4" x14ac:dyDescent="0.2">
      <c r="D3008" s="5"/>
    </row>
    <row r="3009" spans="4:4" x14ac:dyDescent="0.2">
      <c r="D3009" s="5"/>
    </row>
    <row r="3010" spans="4:4" x14ac:dyDescent="0.2">
      <c r="D3010" s="5"/>
    </row>
    <row r="3011" spans="4:4" x14ac:dyDescent="0.2">
      <c r="D3011" s="5"/>
    </row>
    <row r="3012" spans="4:4" x14ac:dyDescent="0.2">
      <c r="D3012" s="5"/>
    </row>
    <row r="3013" spans="4:4" x14ac:dyDescent="0.2">
      <c r="D3013" s="5"/>
    </row>
    <row r="3014" spans="4:4" x14ac:dyDescent="0.2">
      <c r="D3014" s="5"/>
    </row>
    <row r="3015" spans="4:4" x14ac:dyDescent="0.2">
      <c r="D3015" s="5"/>
    </row>
    <row r="3016" spans="4:4" x14ac:dyDescent="0.2">
      <c r="D3016" s="5"/>
    </row>
    <row r="3017" spans="4:4" x14ac:dyDescent="0.2">
      <c r="D3017" s="5"/>
    </row>
    <row r="3018" spans="4:4" x14ac:dyDescent="0.2">
      <c r="D3018" s="5"/>
    </row>
    <row r="3019" spans="4:4" x14ac:dyDescent="0.2">
      <c r="D3019" s="5"/>
    </row>
    <row r="3020" spans="4:4" x14ac:dyDescent="0.2">
      <c r="D3020" s="5"/>
    </row>
    <row r="3021" spans="4:4" x14ac:dyDescent="0.2">
      <c r="D3021" s="5"/>
    </row>
    <row r="3022" spans="4:4" x14ac:dyDescent="0.2">
      <c r="D3022" s="5"/>
    </row>
    <row r="3023" spans="4:4" x14ac:dyDescent="0.2">
      <c r="D3023" s="5"/>
    </row>
    <row r="3024" spans="4:4" x14ac:dyDescent="0.2">
      <c r="D3024" s="5"/>
    </row>
    <row r="3025" spans="4:4" x14ac:dyDescent="0.2">
      <c r="D3025" s="5"/>
    </row>
    <row r="3026" spans="4:4" x14ac:dyDescent="0.2">
      <c r="D3026" s="5"/>
    </row>
    <row r="3027" spans="4:4" x14ac:dyDescent="0.2">
      <c r="D3027" s="5"/>
    </row>
    <row r="3028" spans="4:4" x14ac:dyDescent="0.2">
      <c r="D3028" s="5"/>
    </row>
    <row r="3029" spans="4:4" x14ac:dyDescent="0.2">
      <c r="D3029" s="5"/>
    </row>
    <row r="3030" spans="4:4" x14ac:dyDescent="0.2">
      <c r="D3030" s="5"/>
    </row>
    <row r="3031" spans="4:4" x14ac:dyDescent="0.2">
      <c r="D3031" s="5"/>
    </row>
    <row r="3032" spans="4:4" x14ac:dyDescent="0.2">
      <c r="D3032" s="5"/>
    </row>
    <row r="3033" spans="4:4" x14ac:dyDescent="0.2">
      <c r="D3033" s="5"/>
    </row>
    <row r="3034" spans="4:4" x14ac:dyDescent="0.2">
      <c r="D3034" s="5"/>
    </row>
    <row r="3035" spans="4:4" x14ac:dyDescent="0.2">
      <c r="D3035" s="5"/>
    </row>
    <row r="3036" spans="4:4" x14ac:dyDescent="0.2">
      <c r="D3036" s="5"/>
    </row>
    <row r="3037" spans="4:4" x14ac:dyDescent="0.2">
      <c r="D3037" s="5"/>
    </row>
    <row r="3038" spans="4:4" x14ac:dyDescent="0.2">
      <c r="D3038" s="5"/>
    </row>
    <row r="3039" spans="4:4" x14ac:dyDescent="0.2">
      <c r="D3039" s="5"/>
    </row>
    <row r="3040" spans="4:4" x14ac:dyDescent="0.2">
      <c r="D3040" s="5"/>
    </row>
    <row r="3041" spans="4:4" x14ac:dyDescent="0.2">
      <c r="D3041" s="5"/>
    </row>
    <row r="3042" spans="4:4" x14ac:dyDescent="0.2">
      <c r="D3042" s="5"/>
    </row>
    <row r="3043" spans="4:4" x14ac:dyDescent="0.2">
      <c r="D3043" s="5"/>
    </row>
    <row r="3044" spans="4:4" x14ac:dyDescent="0.2">
      <c r="D3044" s="5"/>
    </row>
    <row r="3045" spans="4:4" x14ac:dyDescent="0.2">
      <c r="D3045" s="5"/>
    </row>
    <row r="3046" spans="4:4" x14ac:dyDescent="0.2">
      <c r="D3046" s="5"/>
    </row>
    <row r="3047" spans="4:4" x14ac:dyDescent="0.2">
      <c r="D3047" s="5"/>
    </row>
    <row r="3048" spans="4:4" x14ac:dyDescent="0.2">
      <c r="D3048" s="5"/>
    </row>
    <row r="3049" spans="4:4" x14ac:dyDescent="0.2">
      <c r="D3049" s="5"/>
    </row>
    <row r="3050" spans="4:4" x14ac:dyDescent="0.2">
      <c r="D3050" s="5"/>
    </row>
    <row r="3051" spans="4:4" x14ac:dyDescent="0.2">
      <c r="D3051" s="5"/>
    </row>
    <row r="3052" spans="4:4" x14ac:dyDescent="0.2">
      <c r="D3052" s="5"/>
    </row>
    <row r="3053" spans="4:4" x14ac:dyDescent="0.2">
      <c r="D3053" s="5"/>
    </row>
    <row r="3054" spans="4:4" x14ac:dyDescent="0.2">
      <c r="D3054" s="5"/>
    </row>
    <row r="3055" spans="4:4" x14ac:dyDescent="0.2">
      <c r="D3055" s="5"/>
    </row>
    <row r="3056" spans="4:4" x14ac:dyDescent="0.2">
      <c r="D3056" s="5"/>
    </row>
    <row r="3057" spans="4:4" x14ac:dyDescent="0.2">
      <c r="D3057" s="5"/>
    </row>
    <row r="3058" spans="4:4" x14ac:dyDescent="0.2">
      <c r="D3058" s="5"/>
    </row>
    <row r="3059" spans="4:4" x14ac:dyDescent="0.2">
      <c r="D3059" s="5"/>
    </row>
    <row r="3060" spans="4:4" x14ac:dyDescent="0.2">
      <c r="D3060" s="5"/>
    </row>
    <row r="3061" spans="4:4" x14ac:dyDescent="0.2">
      <c r="D3061" s="5"/>
    </row>
    <row r="3062" spans="4:4" x14ac:dyDescent="0.2">
      <c r="D3062" s="5"/>
    </row>
    <row r="3063" spans="4:4" x14ac:dyDescent="0.2">
      <c r="D3063" s="5"/>
    </row>
    <row r="3064" spans="4:4" x14ac:dyDescent="0.2">
      <c r="D3064" s="5"/>
    </row>
    <row r="3065" spans="4:4" x14ac:dyDescent="0.2">
      <c r="D3065" s="5"/>
    </row>
    <row r="3066" spans="4:4" x14ac:dyDescent="0.2">
      <c r="D3066" s="5"/>
    </row>
    <row r="3067" spans="4:4" x14ac:dyDescent="0.2">
      <c r="D3067" s="5"/>
    </row>
    <row r="3068" spans="4:4" x14ac:dyDescent="0.2">
      <c r="D3068" s="5"/>
    </row>
    <row r="3069" spans="4:4" x14ac:dyDescent="0.2">
      <c r="D3069" s="5"/>
    </row>
    <row r="3070" spans="4:4" x14ac:dyDescent="0.2">
      <c r="D3070" s="5"/>
    </row>
    <row r="3071" spans="4:4" x14ac:dyDescent="0.2">
      <c r="D3071" s="5"/>
    </row>
    <row r="3072" spans="4:4" x14ac:dyDescent="0.2">
      <c r="D3072" s="5"/>
    </row>
    <row r="3073" spans="4:4" x14ac:dyDescent="0.2">
      <c r="D3073" s="5"/>
    </row>
    <row r="3074" spans="4:4" x14ac:dyDescent="0.2">
      <c r="D3074" s="5"/>
    </row>
    <row r="3075" spans="4:4" x14ac:dyDescent="0.2">
      <c r="D3075" s="5"/>
    </row>
    <row r="3076" spans="4:4" x14ac:dyDescent="0.2">
      <c r="D3076" s="5"/>
    </row>
    <row r="3077" spans="4:4" x14ac:dyDescent="0.2">
      <c r="D3077" s="5"/>
    </row>
    <row r="3078" spans="4:4" x14ac:dyDescent="0.2">
      <c r="D3078" s="5"/>
    </row>
    <row r="3079" spans="4:4" x14ac:dyDescent="0.2">
      <c r="D3079" s="5"/>
    </row>
    <row r="3080" spans="4:4" x14ac:dyDescent="0.2">
      <c r="D3080" s="5"/>
    </row>
    <row r="3081" spans="4:4" x14ac:dyDescent="0.2">
      <c r="D3081" s="5"/>
    </row>
    <row r="3082" spans="4:4" x14ac:dyDescent="0.2">
      <c r="D3082" s="5"/>
    </row>
    <row r="3083" spans="4:4" x14ac:dyDescent="0.2">
      <c r="D3083" s="5"/>
    </row>
    <row r="3084" spans="4:4" x14ac:dyDescent="0.2">
      <c r="D3084" s="5"/>
    </row>
    <row r="3085" spans="4:4" x14ac:dyDescent="0.2">
      <c r="D3085" s="5"/>
    </row>
    <row r="3086" spans="4:4" x14ac:dyDescent="0.2">
      <c r="D3086" s="5"/>
    </row>
    <row r="3087" spans="4:4" x14ac:dyDescent="0.2">
      <c r="D3087" s="5"/>
    </row>
    <row r="3088" spans="4:4" x14ac:dyDescent="0.2">
      <c r="D3088" s="5"/>
    </row>
    <row r="3089" spans="4:4" x14ac:dyDescent="0.2">
      <c r="D3089" s="5"/>
    </row>
    <row r="3090" spans="4:4" x14ac:dyDescent="0.2">
      <c r="D3090" s="5"/>
    </row>
    <row r="3091" spans="4:4" x14ac:dyDescent="0.2">
      <c r="D3091" s="5"/>
    </row>
    <row r="3092" spans="4:4" x14ac:dyDescent="0.2">
      <c r="D3092" s="5"/>
    </row>
    <row r="3093" spans="4:4" x14ac:dyDescent="0.2">
      <c r="D3093" s="5"/>
    </row>
    <row r="3094" spans="4:4" x14ac:dyDescent="0.2">
      <c r="D3094" s="5"/>
    </row>
    <row r="3095" spans="4:4" x14ac:dyDescent="0.2">
      <c r="D3095" s="5"/>
    </row>
    <row r="3096" spans="4:4" x14ac:dyDescent="0.2">
      <c r="D3096" s="5"/>
    </row>
    <row r="3097" spans="4:4" x14ac:dyDescent="0.2">
      <c r="D3097" s="5"/>
    </row>
    <row r="3098" spans="4:4" x14ac:dyDescent="0.2">
      <c r="D3098" s="5"/>
    </row>
    <row r="3099" spans="4:4" x14ac:dyDescent="0.2">
      <c r="D3099" s="5"/>
    </row>
    <row r="3100" spans="4:4" x14ac:dyDescent="0.2">
      <c r="D3100" s="5"/>
    </row>
    <row r="3101" spans="4:4" x14ac:dyDescent="0.2">
      <c r="D3101" s="5"/>
    </row>
    <row r="3102" spans="4:4" x14ac:dyDescent="0.2">
      <c r="D3102" s="5"/>
    </row>
    <row r="3103" spans="4:4" x14ac:dyDescent="0.2">
      <c r="D3103" s="5"/>
    </row>
    <row r="3104" spans="4:4" x14ac:dyDescent="0.2">
      <c r="D3104" s="5"/>
    </row>
    <row r="3105" spans="4:4" x14ac:dyDescent="0.2">
      <c r="D3105" s="5"/>
    </row>
    <row r="3106" spans="4:4" x14ac:dyDescent="0.2">
      <c r="D3106" s="5"/>
    </row>
    <row r="3107" spans="4:4" x14ac:dyDescent="0.2">
      <c r="D3107" s="5"/>
    </row>
    <row r="3108" spans="4:4" x14ac:dyDescent="0.2">
      <c r="D3108" s="5"/>
    </row>
    <row r="3109" spans="4:4" x14ac:dyDescent="0.2">
      <c r="D3109" s="5"/>
    </row>
    <row r="3110" spans="4:4" x14ac:dyDescent="0.2">
      <c r="D3110" s="5"/>
    </row>
    <row r="3111" spans="4:4" x14ac:dyDescent="0.2">
      <c r="D3111" s="5"/>
    </row>
    <row r="3112" spans="4:4" x14ac:dyDescent="0.2">
      <c r="D3112" s="5"/>
    </row>
    <row r="3113" spans="4:4" x14ac:dyDescent="0.2">
      <c r="D3113" s="5"/>
    </row>
    <row r="3114" spans="4:4" x14ac:dyDescent="0.2">
      <c r="D3114" s="5"/>
    </row>
    <row r="3115" spans="4:4" x14ac:dyDescent="0.2">
      <c r="D3115" s="5"/>
    </row>
    <row r="3116" spans="4:4" x14ac:dyDescent="0.2">
      <c r="D3116" s="5"/>
    </row>
    <row r="3117" spans="4:4" x14ac:dyDescent="0.2">
      <c r="D3117" s="5"/>
    </row>
    <row r="3118" spans="4:4" x14ac:dyDescent="0.2">
      <c r="D3118" s="5"/>
    </row>
    <row r="3119" spans="4:4" x14ac:dyDescent="0.2">
      <c r="D3119" s="5"/>
    </row>
    <row r="3120" spans="4:4" x14ac:dyDescent="0.2">
      <c r="D3120" s="5"/>
    </row>
    <row r="3121" spans="4:4" x14ac:dyDescent="0.2">
      <c r="D3121" s="5"/>
    </row>
    <row r="3122" spans="4:4" x14ac:dyDescent="0.2">
      <c r="D3122" s="5"/>
    </row>
    <row r="3123" spans="4:4" x14ac:dyDescent="0.2">
      <c r="D3123" s="5"/>
    </row>
    <row r="3124" spans="4:4" x14ac:dyDescent="0.2">
      <c r="D3124" s="5"/>
    </row>
    <row r="3125" spans="4:4" x14ac:dyDescent="0.2">
      <c r="D3125" s="5"/>
    </row>
    <row r="3126" spans="4:4" x14ac:dyDescent="0.2">
      <c r="D3126" s="5"/>
    </row>
    <row r="3127" spans="4:4" x14ac:dyDescent="0.2">
      <c r="D3127" s="5"/>
    </row>
    <row r="3128" spans="4:4" x14ac:dyDescent="0.2">
      <c r="D3128" s="5"/>
    </row>
    <row r="3129" spans="4:4" x14ac:dyDescent="0.2">
      <c r="D3129" s="5"/>
    </row>
    <row r="3130" spans="4:4" x14ac:dyDescent="0.2">
      <c r="D3130" s="5"/>
    </row>
    <row r="3131" spans="4:4" x14ac:dyDescent="0.2">
      <c r="D3131" s="5"/>
    </row>
    <row r="3132" spans="4:4" x14ac:dyDescent="0.2">
      <c r="D3132" s="5"/>
    </row>
    <row r="3133" spans="4:4" x14ac:dyDescent="0.2">
      <c r="D3133" s="5"/>
    </row>
    <row r="3134" spans="4:4" x14ac:dyDescent="0.2">
      <c r="D3134" s="5"/>
    </row>
    <row r="3135" spans="4:4" x14ac:dyDescent="0.2">
      <c r="D3135" s="5"/>
    </row>
    <row r="3136" spans="4:4" x14ac:dyDescent="0.2">
      <c r="D3136" s="5"/>
    </row>
    <row r="3137" spans="4:4" x14ac:dyDescent="0.2">
      <c r="D3137" s="5"/>
    </row>
    <row r="3138" spans="4:4" x14ac:dyDescent="0.2">
      <c r="D3138" s="5"/>
    </row>
    <row r="3139" spans="4:4" x14ac:dyDescent="0.2">
      <c r="D3139" s="5"/>
    </row>
    <row r="3140" spans="4:4" x14ac:dyDescent="0.2">
      <c r="D3140" s="5"/>
    </row>
    <row r="3141" spans="4:4" x14ac:dyDescent="0.2">
      <c r="D3141" s="5"/>
    </row>
    <row r="3142" spans="4:4" x14ac:dyDescent="0.2">
      <c r="D3142" s="5"/>
    </row>
    <row r="3143" spans="4:4" x14ac:dyDescent="0.2">
      <c r="D3143" s="5"/>
    </row>
    <row r="3144" spans="4:4" x14ac:dyDescent="0.2">
      <c r="D3144" s="5"/>
    </row>
    <row r="3145" spans="4:4" x14ac:dyDescent="0.2">
      <c r="D3145" s="5"/>
    </row>
    <row r="3146" spans="4:4" x14ac:dyDescent="0.2">
      <c r="D3146" s="5"/>
    </row>
    <row r="3147" spans="4:4" x14ac:dyDescent="0.2">
      <c r="D3147" s="5"/>
    </row>
    <row r="3148" spans="4:4" x14ac:dyDescent="0.2">
      <c r="D3148" s="5"/>
    </row>
    <row r="3149" spans="4:4" x14ac:dyDescent="0.2">
      <c r="D3149" s="5"/>
    </row>
    <row r="3150" spans="4:4" x14ac:dyDescent="0.2">
      <c r="D3150" s="5"/>
    </row>
    <row r="3151" spans="4:4" x14ac:dyDescent="0.2">
      <c r="D3151" s="5"/>
    </row>
    <row r="3152" spans="4:4" x14ac:dyDescent="0.2">
      <c r="D3152" s="5"/>
    </row>
    <row r="3153" spans="4:4" x14ac:dyDescent="0.2">
      <c r="D3153" s="5"/>
    </row>
    <row r="3154" spans="4:4" x14ac:dyDescent="0.2">
      <c r="D3154" s="5"/>
    </row>
    <row r="3155" spans="4:4" x14ac:dyDescent="0.2">
      <c r="D3155" s="5"/>
    </row>
    <row r="3156" spans="4:4" x14ac:dyDescent="0.2">
      <c r="D3156" s="5"/>
    </row>
    <row r="3157" spans="4:4" x14ac:dyDescent="0.2">
      <c r="D3157" s="5"/>
    </row>
    <row r="3158" spans="4:4" x14ac:dyDescent="0.2">
      <c r="D3158" s="5"/>
    </row>
    <row r="3159" spans="4:4" x14ac:dyDescent="0.2">
      <c r="D3159" s="5"/>
    </row>
    <row r="3160" spans="4:4" x14ac:dyDescent="0.2">
      <c r="D3160" s="5"/>
    </row>
    <row r="3161" spans="4:4" x14ac:dyDescent="0.2">
      <c r="D3161" s="5"/>
    </row>
    <row r="3162" spans="4:4" x14ac:dyDescent="0.2">
      <c r="D3162" s="5"/>
    </row>
    <row r="3163" spans="4:4" x14ac:dyDescent="0.2">
      <c r="D3163" s="5"/>
    </row>
    <row r="3164" spans="4:4" x14ac:dyDescent="0.2">
      <c r="D3164" s="5"/>
    </row>
    <row r="3165" spans="4:4" x14ac:dyDescent="0.2">
      <c r="D3165" s="5"/>
    </row>
    <row r="3166" spans="4:4" x14ac:dyDescent="0.2">
      <c r="D3166" s="5"/>
    </row>
    <row r="3167" spans="4:4" x14ac:dyDescent="0.2">
      <c r="D3167" s="5"/>
    </row>
    <row r="3168" spans="4:4" x14ac:dyDescent="0.2">
      <c r="D3168" s="5"/>
    </row>
    <row r="3169" spans="4:4" x14ac:dyDescent="0.2">
      <c r="D3169" s="5"/>
    </row>
    <row r="3170" spans="4:4" x14ac:dyDescent="0.2">
      <c r="D3170" s="5"/>
    </row>
    <row r="3171" spans="4:4" x14ac:dyDescent="0.2">
      <c r="D3171" s="5"/>
    </row>
    <row r="3172" spans="4:4" x14ac:dyDescent="0.2">
      <c r="D3172" s="5"/>
    </row>
    <row r="3173" spans="4:4" x14ac:dyDescent="0.2">
      <c r="D3173" s="5"/>
    </row>
    <row r="3174" spans="4:4" x14ac:dyDescent="0.2">
      <c r="D3174" s="5"/>
    </row>
    <row r="3175" spans="4:4" x14ac:dyDescent="0.2">
      <c r="D3175" s="5"/>
    </row>
    <row r="3176" spans="4:4" x14ac:dyDescent="0.2">
      <c r="D3176" s="5"/>
    </row>
    <row r="3177" spans="4:4" x14ac:dyDescent="0.2">
      <c r="D3177" s="5"/>
    </row>
    <row r="3178" spans="4:4" x14ac:dyDescent="0.2">
      <c r="D3178" s="5"/>
    </row>
    <row r="3179" spans="4:4" x14ac:dyDescent="0.2">
      <c r="D3179" s="5"/>
    </row>
    <row r="3180" spans="4:4" x14ac:dyDescent="0.2">
      <c r="D3180" s="5"/>
    </row>
    <row r="3181" spans="4:4" x14ac:dyDescent="0.2">
      <c r="D3181" s="5"/>
    </row>
    <row r="3182" spans="4:4" x14ac:dyDescent="0.2">
      <c r="D3182" s="5"/>
    </row>
    <row r="3183" spans="4:4" x14ac:dyDescent="0.2">
      <c r="D3183" s="5"/>
    </row>
    <row r="3184" spans="4:4" x14ac:dyDescent="0.2">
      <c r="D3184" s="5"/>
    </row>
    <row r="3185" spans="4:4" x14ac:dyDescent="0.2">
      <c r="D3185" s="5"/>
    </row>
    <row r="3186" spans="4:4" x14ac:dyDescent="0.2">
      <c r="D3186" s="5"/>
    </row>
    <row r="3187" spans="4:4" x14ac:dyDescent="0.2">
      <c r="D3187" s="5"/>
    </row>
    <row r="3188" spans="4:4" x14ac:dyDescent="0.2">
      <c r="D3188" s="5"/>
    </row>
    <row r="3189" spans="4:4" x14ac:dyDescent="0.2">
      <c r="D3189" s="5"/>
    </row>
    <row r="3190" spans="4:4" x14ac:dyDescent="0.2">
      <c r="D3190" s="5"/>
    </row>
    <row r="3191" spans="4:4" x14ac:dyDescent="0.2">
      <c r="D3191" s="5"/>
    </row>
    <row r="3192" spans="4:4" x14ac:dyDescent="0.2">
      <c r="D3192" s="5"/>
    </row>
    <row r="3193" spans="4:4" x14ac:dyDescent="0.2">
      <c r="D3193" s="5"/>
    </row>
    <row r="3194" spans="4:4" x14ac:dyDescent="0.2">
      <c r="D3194" s="5"/>
    </row>
    <row r="3195" spans="4:4" x14ac:dyDescent="0.2">
      <c r="D3195" s="5"/>
    </row>
    <row r="3196" spans="4:4" x14ac:dyDescent="0.2">
      <c r="D3196" s="5"/>
    </row>
    <row r="3197" spans="4:4" x14ac:dyDescent="0.2">
      <c r="D3197" s="5"/>
    </row>
    <row r="3198" spans="4:4" x14ac:dyDescent="0.2">
      <c r="D3198" s="5"/>
    </row>
    <row r="3199" spans="4:4" x14ac:dyDescent="0.2">
      <c r="D3199" s="5"/>
    </row>
    <row r="3200" spans="4:4" x14ac:dyDescent="0.2">
      <c r="D3200" s="5"/>
    </row>
    <row r="3201" spans="4:4" x14ac:dyDescent="0.2">
      <c r="D3201" s="5"/>
    </row>
    <row r="3202" spans="4:4" x14ac:dyDescent="0.2">
      <c r="D3202" s="5"/>
    </row>
    <row r="3203" spans="4:4" x14ac:dyDescent="0.2">
      <c r="D3203" s="5"/>
    </row>
    <row r="3204" spans="4:4" x14ac:dyDescent="0.2">
      <c r="D3204" s="5"/>
    </row>
    <row r="3205" spans="4:4" x14ac:dyDescent="0.2">
      <c r="D3205" s="5"/>
    </row>
    <row r="3206" spans="4:4" x14ac:dyDescent="0.2">
      <c r="D3206" s="5"/>
    </row>
    <row r="3207" spans="4:4" x14ac:dyDescent="0.2">
      <c r="D3207" s="5"/>
    </row>
    <row r="3208" spans="4:4" x14ac:dyDescent="0.2">
      <c r="D3208" s="5"/>
    </row>
    <row r="3209" spans="4:4" x14ac:dyDescent="0.2">
      <c r="D3209" s="5"/>
    </row>
    <row r="3210" spans="4:4" x14ac:dyDescent="0.2">
      <c r="D3210" s="5"/>
    </row>
    <row r="3211" spans="4:4" x14ac:dyDescent="0.2">
      <c r="D3211" s="5"/>
    </row>
    <row r="3212" spans="4:4" x14ac:dyDescent="0.2">
      <c r="D3212" s="5"/>
    </row>
    <row r="3213" spans="4:4" x14ac:dyDescent="0.2">
      <c r="D3213" s="5"/>
    </row>
    <row r="3214" spans="4:4" x14ac:dyDescent="0.2">
      <c r="D3214" s="5"/>
    </row>
    <row r="3215" spans="4:4" x14ac:dyDescent="0.2">
      <c r="D3215" s="5"/>
    </row>
    <row r="3216" spans="4:4" x14ac:dyDescent="0.2">
      <c r="D3216" s="5"/>
    </row>
    <row r="3217" spans="4:4" x14ac:dyDescent="0.2">
      <c r="D3217" s="5"/>
    </row>
    <row r="3218" spans="4:4" x14ac:dyDescent="0.2">
      <c r="D3218" s="5"/>
    </row>
    <row r="3219" spans="4:4" x14ac:dyDescent="0.2">
      <c r="D3219" s="5"/>
    </row>
    <row r="3220" spans="4:4" x14ac:dyDescent="0.2">
      <c r="D3220" s="5"/>
    </row>
    <row r="3221" spans="4:4" x14ac:dyDescent="0.2">
      <c r="D3221" s="5"/>
    </row>
    <row r="3222" spans="4:4" x14ac:dyDescent="0.2">
      <c r="D3222" s="5"/>
    </row>
    <row r="3223" spans="4:4" x14ac:dyDescent="0.2">
      <c r="D3223" s="5"/>
    </row>
    <row r="3224" spans="4:4" x14ac:dyDescent="0.2">
      <c r="D3224" s="5"/>
    </row>
    <row r="3225" spans="4:4" x14ac:dyDescent="0.2">
      <c r="D3225" s="5"/>
    </row>
    <row r="3226" spans="4:4" x14ac:dyDescent="0.2">
      <c r="D3226" s="5"/>
    </row>
    <row r="3227" spans="4:4" x14ac:dyDescent="0.2">
      <c r="D3227" s="5"/>
    </row>
    <row r="3228" spans="4:4" x14ac:dyDescent="0.2">
      <c r="D3228" s="5"/>
    </row>
    <row r="3229" spans="4:4" x14ac:dyDescent="0.2">
      <c r="D3229" s="5"/>
    </row>
    <row r="3230" spans="4:4" x14ac:dyDescent="0.2">
      <c r="D3230" s="5"/>
    </row>
    <row r="3231" spans="4:4" x14ac:dyDescent="0.2">
      <c r="D3231" s="5"/>
    </row>
    <row r="3232" spans="4:4" x14ac:dyDescent="0.2">
      <c r="D3232" s="5"/>
    </row>
    <row r="3233" spans="4:4" x14ac:dyDescent="0.2">
      <c r="D3233" s="5"/>
    </row>
    <row r="3234" spans="4:4" x14ac:dyDescent="0.2">
      <c r="D3234" s="5"/>
    </row>
    <row r="3235" spans="4:4" x14ac:dyDescent="0.2">
      <c r="D3235" s="5"/>
    </row>
    <row r="3236" spans="4:4" x14ac:dyDescent="0.2">
      <c r="D3236" s="5"/>
    </row>
    <row r="3237" spans="4:4" x14ac:dyDescent="0.2">
      <c r="D3237" s="5"/>
    </row>
    <row r="3238" spans="4:4" x14ac:dyDescent="0.2">
      <c r="D3238" s="5"/>
    </row>
    <row r="3239" spans="4:4" x14ac:dyDescent="0.2">
      <c r="D3239" s="5"/>
    </row>
    <row r="3240" spans="4:4" x14ac:dyDescent="0.2">
      <c r="D3240" s="5"/>
    </row>
    <row r="3241" spans="4:4" x14ac:dyDescent="0.2">
      <c r="D3241" s="5"/>
    </row>
    <row r="3242" spans="4:4" x14ac:dyDescent="0.2">
      <c r="D3242" s="5"/>
    </row>
    <row r="3243" spans="4:4" x14ac:dyDescent="0.2">
      <c r="D3243" s="5"/>
    </row>
    <row r="3244" spans="4:4" x14ac:dyDescent="0.2">
      <c r="D3244" s="5"/>
    </row>
    <row r="3245" spans="4:4" x14ac:dyDescent="0.2">
      <c r="D3245" s="5"/>
    </row>
    <row r="3246" spans="4:4" x14ac:dyDescent="0.2">
      <c r="D3246" s="5"/>
    </row>
    <row r="3247" spans="4:4" x14ac:dyDescent="0.2">
      <c r="D3247" s="5"/>
    </row>
    <row r="3248" spans="4:4" x14ac:dyDescent="0.2">
      <c r="D3248" s="5"/>
    </row>
    <row r="3249" spans="4:4" x14ac:dyDescent="0.2">
      <c r="D3249" s="5"/>
    </row>
    <row r="3250" spans="4:4" x14ac:dyDescent="0.2">
      <c r="D3250" s="5"/>
    </row>
    <row r="3251" spans="4:4" x14ac:dyDescent="0.2">
      <c r="D3251" s="5"/>
    </row>
    <row r="3252" spans="4:4" x14ac:dyDescent="0.2">
      <c r="D3252" s="5"/>
    </row>
    <row r="3253" spans="4:4" x14ac:dyDescent="0.2">
      <c r="D3253" s="5"/>
    </row>
    <row r="3254" spans="4:4" x14ac:dyDescent="0.2">
      <c r="D3254" s="5"/>
    </row>
    <row r="3255" spans="4:4" x14ac:dyDescent="0.2">
      <c r="D3255" s="5"/>
    </row>
    <row r="3256" spans="4:4" x14ac:dyDescent="0.2">
      <c r="D3256" s="5"/>
    </row>
    <row r="3257" spans="4:4" x14ac:dyDescent="0.2">
      <c r="D3257" s="5"/>
    </row>
    <row r="3258" spans="4:4" x14ac:dyDescent="0.2">
      <c r="D3258" s="5"/>
    </row>
    <row r="3259" spans="4:4" x14ac:dyDescent="0.2">
      <c r="D3259" s="5"/>
    </row>
    <row r="3260" spans="4:4" x14ac:dyDescent="0.2">
      <c r="D3260" s="5"/>
    </row>
    <row r="3261" spans="4:4" x14ac:dyDescent="0.2">
      <c r="D3261" s="5"/>
    </row>
    <row r="3262" spans="4:4" x14ac:dyDescent="0.2">
      <c r="D3262" s="5"/>
    </row>
    <row r="3263" spans="4:4" x14ac:dyDescent="0.2">
      <c r="D3263" s="5"/>
    </row>
    <row r="3264" spans="4:4" x14ac:dyDescent="0.2">
      <c r="D3264" s="5"/>
    </row>
    <row r="3265" spans="4:4" x14ac:dyDescent="0.2">
      <c r="D3265" s="5"/>
    </row>
    <row r="3266" spans="4:4" x14ac:dyDescent="0.2">
      <c r="D3266" s="5"/>
    </row>
    <row r="3267" spans="4:4" x14ac:dyDescent="0.2">
      <c r="D3267" s="5"/>
    </row>
    <row r="3268" spans="4:4" x14ac:dyDescent="0.2">
      <c r="D3268" s="5"/>
    </row>
    <row r="3269" spans="4:4" x14ac:dyDescent="0.2">
      <c r="D3269" s="5"/>
    </row>
    <row r="3270" spans="4:4" x14ac:dyDescent="0.2">
      <c r="D3270" s="5"/>
    </row>
    <row r="3271" spans="4:4" x14ac:dyDescent="0.2">
      <c r="D3271" s="5"/>
    </row>
    <row r="3272" spans="4:4" x14ac:dyDescent="0.2">
      <c r="D3272" s="5"/>
    </row>
    <row r="3273" spans="4:4" x14ac:dyDescent="0.2">
      <c r="D3273" s="5"/>
    </row>
    <row r="3274" spans="4:4" x14ac:dyDescent="0.2">
      <c r="D3274" s="5"/>
    </row>
    <row r="3275" spans="4:4" x14ac:dyDescent="0.2">
      <c r="D3275" s="5"/>
    </row>
    <row r="3276" spans="4:4" x14ac:dyDescent="0.2">
      <c r="D3276" s="5"/>
    </row>
    <row r="3277" spans="4:4" x14ac:dyDescent="0.2">
      <c r="D3277" s="5"/>
    </row>
    <row r="3278" spans="4:4" x14ac:dyDescent="0.2">
      <c r="D3278" s="5"/>
    </row>
    <row r="3279" spans="4:4" x14ac:dyDescent="0.2">
      <c r="D3279" s="5"/>
    </row>
    <row r="3280" spans="4:4" x14ac:dyDescent="0.2">
      <c r="D3280" s="5"/>
    </row>
    <row r="3281" spans="4:4" x14ac:dyDescent="0.2">
      <c r="D3281" s="5"/>
    </row>
    <row r="3282" spans="4:4" x14ac:dyDescent="0.2">
      <c r="D3282" s="5"/>
    </row>
    <row r="3283" spans="4:4" x14ac:dyDescent="0.2">
      <c r="D3283" s="5"/>
    </row>
    <row r="3284" spans="4:4" x14ac:dyDescent="0.2">
      <c r="D3284" s="5"/>
    </row>
    <row r="3285" spans="4:4" x14ac:dyDescent="0.2">
      <c r="D3285" s="5"/>
    </row>
    <row r="3286" spans="4:4" x14ac:dyDescent="0.2">
      <c r="D3286" s="5"/>
    </row>
    <row r="3287" spans="4:4" x14ac:dyDescent="0.2">
      <c r="D3287" s="5"/>
    </row>
    <row r="3288" spans="4:4" x14ac:dyDescent="0.2">
      <c r="D3288" s="5"/>
    </row>
    <row r="3289" spans="4:4" x14ac:dyDescent="0.2">
      <c r="D3289" s="5"/>
    </row>
    <row r="3290" spans="4:4" x14ac:dyDescent="0.2">
      <c r="D3290" s="5"/>
    </row>
    <row r="3291" spans="4:4" x14ac:dyDescent="0.2">
      <c r="D3291" s="5"/>
    </row>
    <row r="3292" spans="4:4" x14ac:dyDescent="0.2">
      <c r="D3292" s="5"/>
    </row>
    <row r="3293" spans="4:4" x14ac:dyDescent="0.2">
      <c r="D3293" s="5"/>
    </row>
    <row r="3294" spans="4:4" x14ac:dyDescent="0.2">
      <c r="D3294" s="5"/>
    </row>
    <row r="3295" spans="4:4" x14ac:dyDescent="0.2">
      <c r="D3295" s="5"/>
    </row>
    <row r="3296" spans="4:4" x14ac:dyDescent="0.2">
      <c r="D3296" s="5"/>
    </row>
    <row r="3297" spans="4:4" x14ac:dyDescent="0.2">
      <c r="D3297" s="5"/>
    </row>
    <row r="3298" spans="4:4" x14ac:dyDescent="0.2">
      <c r="D3298" s="5"/>
    </row>
    <row r="3299" spans="4:4" x14ac:dyDescent="0.2">
      <c r="D3299" s="5"/>
    </row>
    <row r="3300" spans="4:4" x14ac:dyDescent="0.2">
      <c r="D3300" s="5"/>
    </row>
    <row r="3301" spans="4:4" x14ac:dyDescent="0.2">
      <c r="D3301" s="5"/>
    </row>
    <row r="3302" spans="4:4" x14ac:dyDescent="0.2">
      <c r="D3302" s="5"/>
    </row>
    <row r="3303" spans="4:4" x14ac:dyDescent="0.2">
      <c r="D3303" s="5"/>
    </row>
    <row r="3304" spans="4:4" x14ac:dyDescent="0.2">
      <c r="D3304" s="5"/>
    </row>
    <row r="3305" spans="4:4" x14ac:dyDescent="0.2">
      <c r="D3305" s="5"/>
    </row>
    <row r="3306" spans="4:4" x14ac:dyDescent="0.2">
      <c r="D3306" s="5"/>
    </row>
    <row r="3307" spans="4:4" x14ac:dyDescent="0.2">
      <c r="D3307" s="5"/>
    </row>
    <row r="3308" spans="4:4" x14ac:dyDescent="0.2">
      <c r="D3308" s="5"/>
    </row>
    <row r="3309" spans="4:4" x14ac:dyDescent="0.2">
      <c r="D3309" s="5"/>
    </row>
    <row r="3310" spans="4:4" x14ac:dyDescent="0.2">
      <c r="D3310" s="5"/>
    </row>
    <row r="3311" spans="4:4" x14ac:dyDescent="0.2">
      <c r="D3311" s="5"/>
    </row>
    <row r="3312" spans="4:4" x14ac:dyDescent="0.2">
      <c r="D3312" s="5"/>
    </row>
    <row r="3313" spans="4:4" x14ac:dyDescent="0.2">
      <c r="D3313" s="5"/>
    </row>
    <row r="3314" spans="4:4" x14ac:dyDescent="0.2">
      <c r="D3314" s="5"/>
    </row>
    <row r="3315" spans="4:4" x14ac:dyDescent="0.2">
      <c r="D3315" s="5"/>
    </row>
    <row r="3316" spans="4:4" x14ac:dyDescent="0.2">
      <c r="D3316" s="5"/>
    </row>
    <row r="3317" spans="4:4" x14ac:dyDescent="0.2">
      <c r="D3317" s="5"/>
    </row>
    <row r="3318" spans="4:4" x14ac:dyDescent="0.2">
      <c r="D3318" s="5"/>
    </row>
    <row r="3319" spans="4:4" x14ac:dyDescent="0.2">
      <c r="D3319" s="5"/>
    </row>
    <row r="3320" spans="4:4" x14ac:dyDescent="0.2">
      <c r="D3320" s="5"/>
    </row>
    <row r="3321" spans="4:4" x14ac:dyDescent="0.2">
      <c r="D3321" s="5"/>
    </row>
    <row r="3322" spans="4:4" x14ac:dyDescent="0.2">
      <c r="D3322" s="5"/>
    </row>
    <row r="3323" spans="4:4" x14ac:dyDescent="0.2">
      <c r="D3323" s="5"/>
    </row>
    <row r="3324" spans="4:4" x14ac:dyDescent="0.2">
      <c r="D3324" s="5"/>
    </row>
    <row r="3325" spans="4:4" x14ac:dyDescent="0.2">
      <c r="D3325" s="5"/>
    </row>
    <row r="3326" spans="4:4" x14ac:dyDescent="0.2">
      <c r="D3326" s="5"/>
    </row>
    <row r="3327" spans="4:4" x14ac:dyDescent="0.2">
      <c r="D3327" s="5"/>
    </row>
    <row r="3328" spans="4:4" x14ac:dyDescent="0.2">
      <c r="D3328" s="5"/>
    </row>
    <row r="3329" spans="4:4" x14ac:dyDescent="0.2">
      <c r="D3329" s="5"/>
    </row>
    <row r="3330" spans="4:4" x14ac:dyDescent="0.2">
      <c r="D3330" s="5"/>
    </row>
    <row r="3331" spans="4:4" x14ac:dyDescent="0.2">
      <c r="D3331" s="5"/>
    </row>
    <row r="3332" spans="4:4" x14ac:dyDescent="0.2">
      <c r="D3332" s="5"/>
    </row>
    <row r="3333" spans="4:4" x14ac:dyDescent="0.2">
      <c r="D3333" s="5"/>
    </row>
    <row r="3334" spans="4:4" x14ac:dyDescent="0.2">
      <c r="D3334" s="5"/>
    </row>
    <row r="3335" spans="4:4" x14ac:dyDescent="0.2">
      <c r="D3335" s="5"/>
    </row>
    <row r="3336" spans="4:4" x14ac:dyDescent="0.2">
      <c r="D3336" s="5"/>
    </row>
    <row r="3337" spans="4:4" x14ac:dyDescent="0.2">
      <c r="D3337" s="5"/>
    </row>
    <row r="3338" spans="4:4" x14ac:dyDescent="0.2">
      <c r="D3338" s="5"/>
    </row>
    <row r="3339" spans="4:4" x14ac:dyDescent="0.2">
      <c r="D3339" s="5"/>
    </row>
    <row r="3340" spans="4:4" x14ac:dyDescent="0.2">
      <c r="D3340" s="5"/>
    </row>
    <row r="3341" spans="4:4" x14ac:dyDescent="0.2">
      <c r="D3341" s="5"/>
    </row>
    <row r="3342" spans="4:4" x14ac:dyDescent="0.2">
      <c r="D3342" s="5"/>
    </row>
    <row r="3343" spans="4:4" x14ac:dyDescent="0.2">
      <c r="D3343" s="5"/>
    </row>
    <row r="3344" spans="4:4" x14ac:dyDescent="0.2">
      <c r="D3344" s="5"/>
    </row>
    <row r="3345" spans="4:4" x14ac:dyDescent="0.2">
      <c r="D3345" s="5"/>
    </row>
    <row r="3346" spans="4:4" x14ac:dyDescent="0.2">
      <c r="D3346" s="5"/>
    </row>
    <row r="3347" spans="4:4" x14ac:dyDescent="0.2">
      <c r="D3347" s="5"/>
    </row>
    <row r="3348" spans="4:4" x14ac:dyDescent="0.2">
      <c r="D3348" s="5"/>
    </row>
    <row r="3349" spans="4:4" x14ac:dyDescent="0.2">
      <c r="D3349" s="5"/>
    </row>
    <row r="3350" spans="4:4" x14ac:dyDescent="0.2">
      <c r="D3350" s="5"/>
    </row>
    <row r="3351" spans="4:4" x14ac:dyDescent="0.2">
      <c r="D3351" s="5"/>
    </row>
    <row r="3352" spans="4:4" x14ac:dyDescent="0.2">
      <c r="D3352" s="5"/>
    </row>
    <row r="3353" spans="4:4" x14ac:dyDescent="0.2">
      <c r="D3353" s="5"/>
    </row>
    <row r="3354" spans="4:4" x14ac:dyDescent="0.2">
      <c r="D3354" s="5"/>
    </row>
    <row r="3355" spans="4:4" x14ac:dyDescent="0.2">
      <c r="D3355" s="5"/>
    </row>
    <row r="3356" spans="4:4" x14ac:dyDescent="0.2">
      <c r="D3356" s="5"/>
    </row>
    <row r="3357" spans="4:4" x14ac:dyDescent="0.2">
      <c r="D3357" s="5"/>
    </row>
    <row r="3358" spans="4:4" x14ac:dyDescent="0.2">
      <c r="D3358" s="5"/>
    </row>
    <row r="3359" spans="4:4" x14ac:dyDescent="0.2">
      <c r="D3359" s="5"/>
    </row>
    <row r="3360" spans="4:4" x14ac:dyDescent="0.2">
      <c r="D3360" s="5"/>
    </row>
    <row r="3361" spans="4:4" x14ac:dyDescent="0.2">
      <c r="D3361" s="5"/>
    </row>
    <row r="3362" spans="4:4" x14ac:dyDescent="0.2">
      <c r="D3362" s="5"/>
    </row>
    <row r="3363" spans="4:4" x14ac:dyDescent="0.2">
      <c r="D3363" s="5"/>
    </row>
    <row r="3364" spans="4:4" x14ac:dyDescent="0.2">
      <c r="D3364" s="5"/>
    </row>
    <row r="3365" spans="4:4" x14ac:dyDescent="0.2">
      <c r="D3365" s="5"/>
    </row>
    <row r="3366" spans="4:4" x14ac:dyDescent="0.2">
      <c r="D3366" s="5"/>
    </row>
    <row r="3367" spans="4:4" x14ac:dyDescent="0.2">
      <c r="D3367" s="5"/>
    </row>
    <row r="3368" spans="4:4" x14ac:dyDescent="0.2">
      <c r="D3368" s="5"/>
    </row>
    <row r="3369" spans="4:4" x14ac:dyDescent="0.2">
      <c r="D3369" s="5"/>
    </row>
    <row r="3370" spans="4:4" x14ac:dyDescent="0.2">
      <c r="D3370" s="5"/>
    </row>
    <row r="3371" spans="4:4" x14ac:dyDescent="0.2">
      <c r="D3371" s="5"/>
    </row>
    <row r="3372" spans="4:4" x14ac:dyDescent="0.2">
      <c r="D3372" s="5"/>
    </row>
    <row r="3373" spans="4:4" x14ac:dyDescent="0.2">
      <c r="D3373" s="5"/>
    </row>
    <row r="3374" spans="4:4" x14ac:dyDescent="0.2">
      <c r="D3374" s="5"/>
    </row>
    <row r="3375" spans="4:4" x14ac:dyDescent="0.2">
      <c r="D3375" s="5"/>
    </row>
    <row r="3376" spans="4:4" x14ac:dyDescent="0.2">
      <c r="D3376" s="5"/>
    </row>
    <row r="3377" spans="4:4" x14ac:dyDescent="0.2">
      <c r="D3377" s="5"/>
    </row>
    <row r="3378" spans="4:4" x14ac:dyDescent="0.2">
      <c r="D3378" s="5"/>
    </row>
    <row r="3379" spans="4:4" x14ac:dyDescent="0.2">
      <c r="D3379" s="5"/>
    </row>
    <row r="3380" spans="4:4" x14ac:dyDescent="0.2">
      <c r="D3380" s="5"/>
    </row>
    <row r="3381" spans="4:4" x14ac:dyDescent="0.2">
      <c r="D3381" s="5"/>
    </row>
    <row r="3382" spans="4:4" x14ac:dyDescent="0.2">
      <c r="D3382" s="5"/>
    </row>
    <row r="3383" spans="4:4" x14ac:dyDescent="0.2">
      <c r="D3383" s="5"/>
    </row>
    <row r="3384" spans="4:4" x14ac:dyDescent="0.2">
      <c r="D3384" s="5"/>
    </row>
    <row r="3385" spans="4:4" x14ac:dyDescent="0.2">
      <c r="D3385" s="5"/>
    </row>
    <row r="3386" spans="4:4" x14ac:dyDescent="0.2">
      <c r="D3386" s="5"/>
    </row>
    <row r="3387" spans="4:4" x14ac:dyDescent="0.2">
      <c r="D3387" s="5"/>
    </row>
    <row r="3388" spans="4:4" x14ac:dyDescent="0.2">
      <c r="D3388" s="5"/>
    </row>
    <row r="3389" spans="4:4" x14ac:dyDescent="0.2">
      <c r="D3389" s="5"/>
    </row>
    <row r="3390" spans="4:4" x14ac:dyDescent="0.2">
      <c r="D3390" s="5"/>
    </row>
    <row r="3391" spans="4:4" x14ac:dyDescent="0.2">
      <c r="D3391" s="5"/>
    </row>
    <row r="3392" spans="4:4" x14ac:dyDescent="0.2">
      <c r="D3392" s="5"/>
    </row>
    <row r="3393" spans="4:4" x14ac:dyDescent="0.2">
      <c r="D3393" s="5"/>
    </row>
    <row r="3394" spans="4:4" x14ac:dyDescent="0.2">
      <c r="D3394" s="5"/>
    </row>
    <row r="3395" spans="4:4" x14ac:dyDescent="0.2">
      <c r="D3395" s="5"/>
    </row>
    <row r="3396" spans="4:4" x14ac:dyDescent="0.2">
      <c r="D3396" s="5"/>
    </row>
    <row r="3397" spans="4:4" x14ac:dyDescent="0.2">
      <c r="D3397" s="5"/>
    </row>
    <row r="3398" spans="4:4" x14ac:dyDescent="0.2">
      <c r="D3398" s="5"/>
    </row>
    <row r="3399" spans="4:4" x14ac:dyDescent="0.2">
      <c r="D3399" s="5"/>
    </row>
    <row r="3400" spans="4:4" x14ac:dyDescent="0.2">
      <c r="D3400" s="5"/>
    </row>
    <row r="3401" spans="4:4" x14ac:dyDescent="0.2">
      <c r="D3401" s="5"/>
    </row>
    <row r="3402" spans="4:4" x14ac:dyDescent="0.2">
      <c r="D3402" s="5"/>
    </row>
    <row r="3403" spans="4:4" x14ac:dyDescent="0.2">
      <c r="D3403" s="5"/>
    </row>
    <row r="3404" spans="4:4" x14ac:dyDescent="0.2">
      <c r="D3404" s="5"/>
    </row>
    <row r="3405" spans="4:4" x14ac:dyDescent="0.2">
      <c r="D3405" s="5"/>
    </row>
    <row r="3406" spans="4:4" x14ac:dyDescent="0.2">
      <c r="D3406" s="5"/>
    </row>
    <row r="3407" spans="4:4" x14ac:dyDescent="0.2">
      <c r="D3407" s="5"/>
    </row>
    <row r="3408" spans="4:4" x14ac:dyDescent="0.2">
      <c r="D3408" s="5"/>
    </row>
    <row r="3409" spans="4:4" x14ac:dyDescent="0.2">
      <c r="D3409" s="5"/>
    </row>
    <row r="3410" spans="4:4" x14ac:dyDescent="0.2">
      <c r="D3410" s="5"/>
    </row>
    <row r="3411" spans="4:4" x14ac:dyDescent="0.2">
      <c r="D3411" s="5"/>
    </row>
    <row r="3412" spans="4:4" x14ac:dyDescent="0.2">
      <c r="D3412" s="5"/>
    </row>
    <row r="3413" spans="4:4" x14ac:dyDescent="0.2">
      <c r="D3413" s="5"/>
    </row>
    <row r="3414" spans="4:4" x14ac:dyDescent="0.2">
      <c r="D3414" s="5"/>
    </row>
    <row r="3415" spans="4:4" x14ac:dyDescent="0.2">
      <c r="D3415" s="5"/>
    </row>
    <row r="3416" spans="4:4" x14ac:dyDescent="0.2">
      <c r="D3416" s="5"/>
    </row>
    <row r="3417" spans="4:4" x14ac:dyDescent="0.2">
      <c r="D3417" s="5"/>
    </row>
    <row r="3418" spans="4:4" x14ac:dyDescent="0.2">
      <c r="D3418" s="5"/>
    </row>
    <row r="3419" spans="4:4" x14ac:dyDescent="0.2">
      <c r="D3419" s="5"/>
    </row>
    <row r="3420" spans="4:4" x14ac:dyDescent="0.2">
      <c r="D3420" s="5"/>
    </row>
    <row r="3421" spans="4:4" x14ac:dyDescent="0.2">
      <c r="D3421" s="5"/>
    </row>
    <row r="3422" spans="4:4" x14ac:dyDescent="0.2">
      <c r="D3422" s="5"/>
    </row>
    <row r="3423" spans="4:4" x14ac:dyDescent="0.2">
      <c r="D3423" s="5"/>
    </row>
    <row r="3424" spans="4:4" x14ac:dyDescent="0.2">
      <c r="D3424" s="5"/>
    </row>
    <row r="3425" spans="4:4" x14ac:dyDescent="0.2">
      <c r="D3425" s="5"/>
    </row>
    <row r="3426" spans="4:4" x14ac:dyDescent="0.2">
      <c r="D3426" s="5"/>
    </row>
    <row r="3427" spans="4:4" x14ac:dyDescent="0.2">
      <c r="D3427" s="5"/>
    </row>
    <row r="3428" spans="4:4" x14ac:dyDescent="0.2">
      <c r="D3428" s="5"/>
    </row>
    <row r="3429" spans="4:4" x14ac:dyDescent="0.2">
      <c r="D3429" s="5"/>
    </row>
    <row r="3430" spans="4:4" x14ac:dyDescent="0.2">
      <c r="D3430" s="5"/>
    </row>
    <row r="3431" spans="4:4" x14ac:dyDescent="0.2">
      <c r="D3431" s="5"/>
    </row>
    <row r="3432" spans="4:4" x14ac:dyDescent="0.2">
      <c r="D3432" s="5"/>
    </row>
    <row r="3433" spans="4:4" x14ac:dyDescent="0.2">
      <c r="D3433" s="5"/>
    </row>
    <row r="3434" spans="4:4" x14ac:dyDescent="0.2">
      <c r="D3434" s="5"/>
    </row>
    <row r="3435" spans="4:4" x14ac:dyDescent="0.2">
      <c r="D3435" s="5"/>
    </row>
    <row r="3436" spans="4:4" x14ac:dyDescent="0.2">
      <c r="D3436" s="5"/>
    </row>
    <row r="3437" spans="4:4" x14ac:dyDescent="0.2">
      <c r="D3437" s="5"/>
    </row>
    <row r="3438" spans="4:4" x14ac:dyDescent="0.2">
      <c r="D3438" s="5"/>
    </row>
    <row r="3439" spans="4:4" x14ac:dyDescent="0.2">
      <c r="D3439" s="5"/>
    </row>
    <row r="3440" spans="4:4" x14ac:dyDescent="0.2">
      <c r="D3440" s="5"/>
    </row>
    <row r="3441" spans="4:4" x14ac:dyDescent="0.2">
      <c r="D3441" s="5"/>
    </row>
    <row r="3442" spans="4:4" x14ac:dyDescent="0.2">
      <c r="D3442" s="5"/>
    </row>
    <row r="3443" spans="4:4" x14ac:dyDescent="0.2">
      <c r="D3443" s="5"/>
    </row>
    <row r="3444" spans="4:4" x14ac:dyDescent="0.2">
      <c r="D3444" s="5"/>
    </row>
    <row r="3445" spans="4:4" x14ac:dyDescent="0.2">
      <c r="D3445" s="5"/>
    </row>
    <row r="3446" spans="4:4" x14ac:dyDescent="0.2">
      <c r="D3446" s="5"/>
    </row>
    <row r="3447" spans="4:4" x14ac:dyDescent="0.2">
      <c r="D3447" s="5"/>
    </row>
    <row r="3448" spans="4:4" x14ac:dyDescent="0.2">
      <c r="D3448" s="5"/>
    </row>
    <row r="3449" spans="4:4" x14ac:dyDescent="0.2">
      <c r="D3449" s="5"/>
    </row>
    <row r="3450" spans="4:4" x14ac:dyDescent="0.2">
      <c r="D3450" s="5"/>
    </row>
    <row r="3451" spans="4:4" x14ac:dyDescent="0.2">
      <c r="D3451" s="5"/>
    </row>
    <row r="3452" spans="4:4" x14ac:dyDescent="0.2">
      <c r="D3452" s="5"/>
    </row>
    <row r="3453" spans="4:4" x14ac:dyDescent="0.2">
      <c r="D3453" s="5"/>
    </row>
    <row r="3454" spans="4:4" x14ac:dyDescent="0.2">
      <c r="D3454" s="5"/>
    </row>
    <row r="3455" spans="4:4" x14ac:dyDescent="0.2">
      <c r="D3455" s="5"/>
    </row>
    <row r="3456" spans="4:4" x14ac:dyDescent="0.2">
      <c r="D3456" s="5"/>
    </row>
    <row r="3457" spans="4:4" x14ac:dyDescent="0.2">
      <c r="D3457" s="5"/>
    </row>
    <row r="3458" spans="4:4" x14ac:dyDescent="0.2">
      <c r="D3458" s="5"/>
    </row>
    <row r="3459" spans="4:4" x14ac:dyDescent="0.2">
      <c r="D3459" s="5"/>
    </row>
    <row r="3460" spans="4:4" x14ac:dyDescent="0.2">
      <c r="D3460" s="5"/>
    </row>
    <row r="3461" spans="4:4" x14ac:dyDescent="0.2">
      <c r="D3461" s="5"/>
    </row>
    <row r="3462" spans="4:4" x14ac:dyDescent="0.2">
      <c r="D3462" s="5"/>
    </row>
    <row r="3463" spans="4:4" x14ac:dyDescent="0.2">
      <c r="D3463" s="5"/>
    </row>
    <row r="3464" spans="4:4" x14ac:dyDescent="0.2">
      <c r="D3464" s="5"/>
    </row>
    <row r="3465" spans="4:4" x14ac:dyDescent="0.2">
      <c r="D3465" s="5"/>
    </row>
    <row r="3466" spans="4:4" x14ac:dyDescent="0.2">
      <c r="D3466" s="5"/>
    </row>
    <row r="3467" spans="4:4" x14ac:dyDescent="0.2">
      <c r="D3467" s="5"/>
    </row>
    <row r="3468" spans="4:4" x14ac:dyDescent="0.2">
      <c r="D3468" s="5"/>
    </row>
    <row r="3469" spans="4:4" x14ac:dyDescent="0.2">
      <c r="D3469" s="5"/>
    </row>
    <row r="3470" spans="4:4" x14ac:dyDescent="0.2">
      <c r="D3470" s="5"/>
    </row>
    <row r="3471" spans="4:4" x14ac:dyDescent="0.2">
      <c r="D3471" s="5"/>
    </row>
    <row r="3472" spans="4:4" x14ac:dyDescent="0.2">
      <c r="D3472" s="5"/>
    </row>
    <row r="3473" spans="4:4" x14ac:dyDescent="0.2">
      <c r="D3473" s="5"/>
    </row>
    <row r="3474" spans="4:4" x14ac:dyDescent="0.2">
      <c r="D3474" s="5"/>
    </row>
    <row r="3475" spans="4:4" x14ac:dyDescent="0.2">
      <c r="D3475" s="5"/>
    </row>
    <row r="3476" spans="4:4" x14ac:dyDescent="0.2">
      <c r="D3476" s="5"/>
    </row>
    <row r="3477" spans="4:4" x14ac:dyDescent="0.2">
      <c r="D3477" s="5"/>
    </row>
    <row r="3478" spans="4:4" x14ac:dyDescent="0.2">
      <c r="D3478" s="5"/>
    </row>
    <row r="3479" spans="4:4" x14ac:dyDescent="0.2">
      <c r="D3479" s="5"/>
    </row>
    <row r="3480" spans="4:4" x14ac:dyDescent="0.2">
      <c r="D3480" s="5"/>
    </row>
    <row r="3481" spans="4:4" x14ac:dyDescent="0.2">
      <c r="D3481" s="5"/>
    </row>
    <row r="3482" spans="4:4" x14ac:dyDescent="0.2">
      <c r="D3482" s="5"/>
    </row>
    <row r="3483" spans="4:4" x14ac:dyDescent="0.2">
      <c r="D3483" s="5"/>
    </row>
    <row r="3484" spans="4:4" x14ac:dyDescent="0.2">
      <c r="D3484" s="5"/>
    </row>
    <row r="3485" spans="4:4" x14ac:dyDescent="0.2">
      <c r="D3485" s="5"/>
    </row>
    <row r="3486" spans="4:4" x14ac:dyDescent="0.2">
      <c r="D3486" s="5"/>
    </row>
    <row r="3487" spans="4:4" x14ac:dyDescent="0.2">
      <c r="D3487" s="5"/>
    </row>
    <row r="3488" spans="4:4" x14ac:dyDescent="0.2">
      <c r="D3488" s="5"/>
    </row>
    <row r="3489" spans="4:4" x14ac:dyDescent="0.2">
      <c r="D3489" s="5"/>
    </row>
    <row r="3490" spans="4:4" x14ac:dyDescent="0.2">
      <c r="D3490" s="5"/>
    </row>
    <row r="3491" spans="4:4" x14ac:dyDescent="0.2">
      <c r="D3491" s="5"/>
    </row>
    <row r="3492" spans="4:4" x14ac:dyDescent="0.2">
      <c r="D3492" s="5"/>
    </row>
    <row r="3493" spans="4:4" x14ac:dyDescent="0.2">
      <c r="D3493" s="5"/>
    </row>
    <row r="3494" spans="4:4" x14ac:dyDescent="0.2">
      <c r="D3494" s="5"/>
    </row>
    <row r="3495" spans="4:4" x14ac:dyDescent="0.2">
      <c r="D3495" s="5"/>
    </row>
    <row r="3496" spans="4:4" x14ac:dyDescent="0.2">
      <c r="D3496" s="5"/>
    </row>
    <row r="3497" spans="4:4" x14ac:dyDescent="0.2">
      <c r="D3497" s="5"/>
    </row>
    <row r="3498" spans="4:4" x14ac:dyDescent="0.2">
      <c r="D3498" s="5"/>
    </row>
    <row r="3499" spans="4:4" x14ac:dyDescent="0.2">
      <c r="D3499" s="5"/>
    </row>
    <row r="3500" spans="4:4" x14ac:dyDescent="0.2">
      <c r="D3500" s="5"/>
    </row>
    <row r="3501" spans="4:4" x14ac:dyDescent="0.2">
      <c r="D3501" s="5"/>
    </row>
    <row r="3502" spans="4:4" x14ac:dyDescent="0.2">
      <c r="D3502" s="5"/>
    </row>
    <row r="3503" spans="4:4" x14ac:dyDescent="0.2">
      <c r="D3503" s="5"/>
    </row>
    <row r="3504" spans="4:4" x14ac:dyDescent="0.2">
      <c r="D3504" s="5"/>
    </row>
    <row r="3505" spans="4:4" x14ac:dyDescent="0.2">
      <c r="D3505" s="5"/>
    </row>
    <row r="3506" spans="4:4" x14ac:dyDescent="0.2">
      <c r="D3506" s="5"/>
    </row>
    <row r="3507" spans="4:4" x14ac:dyDescent="0.2">
      <c r="D3507" s="5"/>
    </row>
    <row r="3508" spans="4:4" x14ac:dyDescent="0.2">
      <c r="D3508" s="5"/>
    </row>
    <row r="3509" spans="4:4" x14ac:dyDescent="0.2">
      <c r="D3509" s="5"/>
    </row>
    <row r="3510" spans="4:4" x14ac:dyDescent="0.2">
      <c r="D3510" s="5"/>
    </row>
    <row r="3511" spans="4:4" x14ac:dyDescent="0.2">
      <c r="D3511" s="5"/>
    </row>
    <row r="3512" spans="4:4" x14ac:dyDescent="0.2">
      <c r="D3512" s="5"/>
    </row>
    <row r="3513" spans="4:4" x14ac:dyDescent="0.2">
      <c r="D3513" s="5"/>
    </row>
    <row r="3514" spans="4:4" x14ac:dyDescent="0.2">
      <c r="D3514" s="5"/>
    </row>
    <row r="3515" spans="4:4" x14ac:dyDescent="0.2">
      <c r="D3515" s="5"/>
    </row>
    <row r="3516" spans="4:4" x14ac:dyDescent="0.2">
      <c r="D3516" s="5"/>
    </row>
    <row r="3517" spans="4:4" x14ac:dyDescent="0.2">
      <c r="D3517" s="5"/>
    </row>
    <row r="3518" spans="4:4" x14ac:dyDescent="0.2">
      <c r="D3518" s="5"/>
    </row>
    <row r="3519" spans="4:4" x14ac:dyDescent="0.2">
      <c r="D3519" s="5"/>
    </row>
    <row r="3520" spans="4:4" x14ac:dyDescent="0.2">
      <c r="D3520" s="5"/>
    </row>
    <row r="3521" spans="4:4" x14ac:dyDescent="0.2">
      <c r="D3521" s="5"/>
    </row>
    <row r="3522" spans="4:4" x14ac:dyDescent="0.2">
      <c r="D3522" s="5"/>
    </row>
    <row r="3523" spans="4:4" x14ac:dyDescent="0.2">
      <c r="D3523" s="5"/>
    </row>
    <row r="3524" spans="4:4" x14ac:dyDescent="0.2">
      <c r="D3524" s="5"/>
    </row>
    <row r="3525" spans="4:4" x14ac:dyDescent="0.2">
      <c r="D3525" s="5"/>
    </row>
    <row r="3526" spans="4:4" x14ac:dyDescent="0.2">
      <c r="D3526" s="5"/>
    </row>
    <row r="3527" spans="4:4" x14ac:dyDescent="0.2">
      <c r="D3527" s="5"/>
    </row>
    <row r="3528" spans="4:4" x14ac:dyDescent="0.2">
      <c r="D3528" s="5"/>
    </row>
    <row r="3529" spans="4:4" x14ac:dyDescent="0.2">
      <c r="D3529" s="5"/>
    </row>
    <row r="3530" spans="4:4" x14ac:dyDescent="0.2">
      <c r="D3530" s="5"/>
    </row>
    <row r="3531" spans="4:4" x14ac:dyDescent="0.2">
      <c r="D3531" s="5"/>
    </row>
    <row r="3532" spans="4:4" x14ac:dyDescent="0.2">
      <c r="D3532" s="5"/>
    </row>
    <row r="3533" spans="4:4" x14ac:dyDescent="0.2">
      <c r="D3533" s="5"/>
    </row>
    <row r="3534" spans="4:4" x14ac:dyDescent="0.2">
      <c r="D3534" s="5"/>
    </row>
    <row r="3535" spans="4:4" x14ac:dyDescent="0.2">
      <c r="D3535" s="5"/>
    </row>
    <row r="3536" spans="4:4" x14ac:dyDescent="0.2">
      <c r="D3536" s="5"/>
    </row>
    <row r="3537" spans="4:4" x14ac:dyDescent="0.2">
      <c r="D3537" s="5"/>
    </row>
    <row r="3538" spans="4:4" x14ac:dyDescent="0.2">
      <c r="D3538" s="5"/>
    </row>
    <row r="3539" spans="4:4" x14ac:dyDescent="0.2">
      <c r="D3539" s="5"/>
    </row>
    <row r="3540" spans="4:4" x14ac:dyDescent="0.2">
      <c r="D3540" s="5"/>
    </row>
    <row r="3541" spans="4:4" x14ac:dyDescent="0.2">
      <c r="D3541" s="5"/>
    </row>
    <row r="3542" spans="4:4" x14ac:dyDescent="0.2">
      <c r="D3542" s="5"/>
    </row>
    <row r="3543" spans="4:4" x14ac:dyDescent="0.2">
      <c r="D3543" s="5"/>
    </row>
    <row r="3544" spans="4:4" x14ac:dyDescent="0.2">
      <c r="D3544" s="5"/>
    </row>
    <row r="3545" spans="4:4" x14ac:dyDescent="0.2">
      <c r="D3545" s="5"/>
    </row>
    <row r="3546" spans="4:4" x14ac:dyDescent="0.2">
      <c r="D3546" s="5"/>
    </row>
    <row r="3547" spans="4:4" x14ac:dyDescent="0.2">
      <c r="D3547" s="5"/>
    </row>
    <row r="3548" spans="4:4" x14ac:dyDescent="0.2">
      <c r="D3548" s="5"/>
    </row>
    <row r="3549" spans="4:4" x14ac:dyDescent="0.2">
      <c r="D3549" s="5"/>
    </row>
    <row r="3550" spans="4:4" x14ac:dyDescent="0.2">
      <c r="D3550" s="5"/>
    </row>
    <row r="3551" spans="4:4" x14ac:dyDescent="0.2">
      <c r="D3551" s="5"/>
    </row>
    <row r="3552" spans="4:4" x14ac:dyDescent="0.2">
      <c r="D3552" s="5"/>
    </row>
    <row r="3553" spans="4:4" x14ac:dyDescent="0.2">
      <c r="D3553" s="5"/>
    </row>
    <row r="3554" spans="4:4" x14ac:dyDescent="0.2">
      <c r="D3554" s="5"/>
    </row>
    <row r="3555" spans="4:4" x14ac:dyDescent="0.2">
      <c r="D3555" s="5"/>
    </row>
    <row r="3556" spans="4:4" x14ac:dyDescent="0.2">
      <c r="D3556" s="5"/>
    </row>
    <row r="3557" spans="4:4" x14ac:dyDescent="0.2">
      <c r="D3557" s="5"/>
    </row>
    <row r="3558" spans="4:4" x14ac:dyDescent="0.2">
      <c r="D3558" s="5"/>
    </row>
    <row r="3559" spans="4:4" x14ac:dyDescent="0.2">
      <c r="D3559" s="5"/>
    </row>
    <row r="3560" spans="4:4" x14ac:dyDescent="0.2">
      <c r="D3560" s="5"/>
    </row>
    <row r="3561" spans="4:4" x14ac:dyDescent="0.2">
      <c r="D3561" s="5"/>
    </row>
    <row r="3562" spans="4:4" x14ac:dyDescent="0.2">
      <c r="D3562" s="5"/>
    </row>
    <row r="3563" spans="4:4" x14ac:dyDescent="0.2">
      <c r="D3563" s="5"/>
    </row>
    <row r="3564" spans="4:4" x14ac:dyDescent="0.2">
      <c r="D3564" s="5"/>
    </row>
    <row r="3565" spans="4:4" x14ac:dyDescent="0.2">
      <c r="D3565" s="5"/>
    </row>
    <row r="3566" spans="4:4" x14ac:dyDescent="0.2">
      <c r="D3566" s="5"/>
    </row>
    <row r="3567" spans="4:4" x14ac:dyDescent="0.2">
      <c r="D3567" s="5"/>
    </row>
    <row r="3568" spans="4:4" x14ac:dyDescent="0.2">
      <c r="D3568" s="5"/>
    </row>
    <row r="3569" spans="4:4" x14ac:dyDescent="0.2">
      <c r="D3569" s="5"/>
    </row>
    <row r="3570" spans="4:4" x14ac:dyDescent="0.2">
      <c r="D3570" s="5"/>
    </row>
    <row r="3571" spans="4:4" x14ac:dyDescent="0.2">
      <c r="D3571" s="5"/>
    </row>
    <row r="3572" spans="4:4" x14ac:dyDescent="0.2">
      <c r="D3572" s="5"/>
    </row>
    <row r="3573" spans="4:4" x14ac:dyDescent="0.2">
      <c r="D3573" s="5"/>
    </row>
    <row r="3574" spans="4:4" x14ac:dyDescent="0.2">
      <c r="D3574" s="5"/>
    </row>
    <row r="3575" spans="4:4" x14ac:dyDescent="0.2">
      <c r="D3575" s="5"/>
    </row>
    <row r="3576" spans="4:4" x14ac:dyDescent="0.2">
      <c r="D3576" s="5"/>
    </row>
    <row r="3577" spans="4:4" x14ac:dyDescent="0.2">
      <c r="D3577" s="5"/>
    </row>
    <row r="3578" spans="4:4" x14ac:dyDescent="0.2">
      <c r="D3578" s="5"/>
    </row>
    <row r="3579" spans="4:4" x14ac:dyDescent="0.2">
      <c r="D3579" s="5"/>
    </row>
    <row r="3580" spans="4:4" x14ac:dyDescent="0.2">
      <c r="D3580" s="5"/>
    </row>
    <row r="3581" spans="4:4" x14ac:dyDescent="0.2">
      <c r="D3581" s="5"/>
    </row>
    <row r="3582" spans="4:4" x14ac:dyDescent="0.2">
      <c r="D3582" s="5"/>
    </row>
    <row r="3583" spans="4:4" x14ac:dyDescent="0.2">
      <c r="D3583" s="5"/>
    </row>
    <row r="3584" spans="4:4" x14ac:dyDescent="0.2">
      <c r="D3584" s="5"/>
    </row>
    <row r="3585" spans="4:4" x14ac:dyDescent="0.2">
      <c r="D3585" s="5"/>
    </row>
    <row r="3586" spans="4:4" x14ac:dyDescent="0.2">
      <c r="D3586" s="5"/>
    </row>
    <row r="3587" spans="4:4" x14ac:dyDescent="0.2">
      <c r="D3587" s="5"/>
    </row>
    <row r="3588" spans="4:4" x14ac:dyDescent="0.2">
      <c r="D3588" s="5"/>
    </row>
    <row r="3589" spans="4:4" x14ac:dyDescent="0.2">
      <c r="D3589" s="5"/>
    </row>
    <row r="3590" spans="4:4" x14ac:dyDescent="0.2">
      <c r="D3590" s="5"/>
    </row>
    <row r="3591" spans="4:4" x14ac:dyDescent="0.2">
      <c r="D3591" s="5"/>
    </row>
    <row r="3592" spans="4:4" x14ac:dyDescent="0.2">
      <c r="D3592" s="5"/>
    </row>
    <row r="3593" spans="4:4" x14ac:dyDescent="0.2">
      <c r="D3593" s="5"/>
    </row>
    <row r="3594" spans="4:4" x14ac:dyDescent="0.2">
      <c r="D3594" s="5"/>
    </row>
    <row r="3595" spans="4:4" x14ac:dyDescent="0.2">
      <c r="D3595" s="5"/>
    </row>
    <row r="3596" spans="4:4" x14ac:dyDescent="0.2">
      <c r="D3596" s="5"/>
    </row>
    <row r="3597" spans="4:4" x14ac:dyDescent="0.2">
      <c r="D3597" s="5"/>
    </row>
    <row r="3598" spans="4:4" x14ac:dyDescent="0.2">
      <c r="D3598" s="5"/>
    </row>
    <row r="3599" spans="4:4" x14ac:dyDescent="0.2">
      <c r="D3599" s="5"/>
    </row>
    <row r="3600" spans="4:4" x14ac:dyDescent="0.2">
      <c r="D3600" s="5"/>
    </row>
    <row r="3601" spans="4:4" x14ac:dyDescent="0.2">
      <c r="D3601" s="5"/>
    </row>
    <row r="3602" spans="4:4" x14ac:dyDescent="0.2">
      <c r="D3602" s="5"/>
    </row>
    <row r="3603" spans="4:4" x14ac:dyDescent="0.2">
      <c r="D3603" s="5"/>
    </row>
    <row r="3604" spans="4:4" x14ac:dyDescent="0.2">
      <c r="D3604" s="5"/>
    </row>
    <row r="3605" spans="4:4" x14ac:dyDescent="0.2">
      <c r="D3605" s="5"/>
    </row>
    <row r="3606" spans="4:4" x14ac:dyDescent="0.2">
      <c r="D3606" s="5"/>
    </row>
    <row r="3607" spans="4:4" x14ac:dyDescent="0.2">
      <c r="D3607" s="5"/>
    </row>
    <row r="3608" spans="4:4" x14ac:dyDescent="0.2">
      <c r="D3608" s="5"/>
    </row>
    <row r="3609" spans="4:4" x14ac:dyDescent="0.2">
      <c r="D3609" s="5"/>
    </row>
    <row r="3610" spans="4:4" x14ac:dyDescent="0.2">
      <c r="D3610" s="5"/>
    </row>
    <row r="3611" spans="4:4" x14ac:dyDescent="0.2">
      <c r="D3611" s="5"/>
    </row>
    <row r="3612" spans="4:4" x14ac:dyDescent="0.2">
      <c r="D3612" s="5"/>
    </row>
    <row r="3613" spans="4:4" x14ac:dyDescent="0.2">
      <c r="D3613" s="5"/>
    </row>
    <row r="3614" spans="4:4" x14ac:dyDescent="0.2">
      <c r="D3614" s="5"/>
    </row>
    <row r="3615" spans="4:4" x14ac:dyDescent="0.2">
      <c r="D3615" s="5"/>
    </row>
    <row r="3616" spans="4:4" x14ac:dyDescent="0.2">
      <c r="D3616" s="5"/>
    </row>
    <row r="3617" spans="4:4" x14ac:dyDescent="0.2">
      <c r="D3617" s="5"/>
    </row>
    <row r="3618" spans="4:4" x14ac:dyDescent="0.2">
      <c r="D3618" s="5"/>
    </row>
    <row r="3619" spans="4:4" x14ac:dyDescent="0.2">
      <c r="D3619" s="5"/>
    </row>
    <row r="3620" spans="4:4" x14ac:dyDescent="0.2">
      <c r="D3620" s="5"/>
    </row>
    <row r="3621" spans="4:4" x14ac:dyDescent="0.2">
      <c r="D3621" s="5"/>
    </row>
    <row r="3622" spans="4:4" x14ac:dyDescent="0.2">
      <c r="D3622" s="5"/>
    </row>
    <row r="3623" spans="4:4" x14ac:dyDescent="0.2">
      <c r="D3623" s="5"/>
    </row>
    <row r="3624" spans="4:4" x14ac:dyDescent="0.2">
      <c r="D3624" s="5"/>
    </row>
    <row r="3625" spans="4:4" x14ac:dyDescent="0.2">
      <c r="D3625" s="5"/>
    </row>
    <row r="3626" spans="4:4" x14ac:dyDescent="0.2">
      <c r="D3626" s="5"/>
    </row>
    <row r="3627" spans="4:4" x14ac:dyDescent="0.2">
      <c r="D3627" s="5"/>
    </row>
    <row r="3628" spans="4:4" x14ac:dyDescent="0.2">
      <c r="D3628" s="5"/>
    </row>
    <row r="3629" spans="4:4" x14ac:dyDescent="0.2">
      <c r="D3629" s="5"/>
    </row>
    <row r="3630" spans="4:4" x14ac:dyDescent="0.2">
      <c r="D3630" s="5"/>
    </row>
    <row r="3631" spans="4:4" x14ac:dyDescent="0.2">
      <c r="D3631" s="5"/>
    </row>
    <row r="3632" spans="4:4" x14ac:dyDescent="0.2">
      <c r="D3632" s="5"/>
    </row>
    <row r="3633" spans="4:4" x14ac:dyDescent="0.2">
      <c r="D3633" s="5"/>
    </row>
    <row r="3634" spans="4:4" x14ac:dyDescent="0.2">
      <c r="D3634" s="5"/>
    </row>
    <row r="3635" spans="4:4" x14ac:dyDescent="0.2">
      <c r="D3635" s="5"/>
    </row>
    <row r="3636" spans="4:4" x14ac:dyDescent="0.2">
      <c r="D3636" s="5"/>
    </row>
    <row r="3637" spans="4:4" x14ac:dyDescent="0.2">
      <c r="D3637" s="5"/>
    </row>
    <row r="3638" spans="4:4" x14ac:dyDescent="0.2">
      <c r="D3638" s="5"/>
    </row>
    <row r="3639" spans="4:4" x14ac:dyDescent="0.2">
      <c r="D3639" s="5"/>
    </row>
    <row r="3640" spans="4:4" x14ac:dyDescent="0.2">
      <c r="D3640" s="5"/>
    </row>
    <row r="3641" spans="4:4" x14ac:dyDescent="0.2">
      <c r="D3641" s="5"/>
    </row>
    <row r="3642" spans="4:4" x14ac:dyDescent="0.2">
      <c r="D3642" s="5"/>
    </row>
    <row r="3643" spans="4:4" x14ac:dyDescent="0.2">
      <c r="D3643" s="5"/>
    </row>
    <row r="3644" spans="4:4" x14ac:dyDescent="0.2">
      <c r="D3644" s="5"/>
    </row>
    <row r="3645" spans="4:4" x14ac:dyDescent="0.2">
      <c r="D3645" s="5"/>
    </row>
    <row r="3646" spans="4:4" x14ac:dyDescent="0.2">
      <c r="D3646" s="5"/>
    </row>
    <row r="3647" spans="4:4" x14ac:dyDescent="0.2">
      <c r="D3647" s="5"/>
    </row>
    <row r="3648" spans="4:4" x14ac:dyDescent="0.2">
      <c r="D3648" s="5"/>
    </row>
    <row r="3649" spans="4:4" x14ac:dyDescent="0.2">
      <c r="D3649" s="5"/>
    </row>
    <row r="3650" spans="4:4" x14ac:dyDescent="0.2">
      <c r="D3650" s="5"/>
    </row>
    <row r="3651" spans="4:4" x14ac:dyDescent="0.2">
      <c r="D3651" s="5"/>
    </row>
    <row r="3652" spans="4:4" x14ac:dyDescent="0.2">
      <c r="D3652" s="5"/>
    </row>
    <row r="3653" spans="4:4" x14ac:dyDescent="0.2">
      <c r="D3653" s="5"/>
    </row>
    <row r="3654" spans="4:4" x14ac:dyDescent="0.2">
      <c r="D3654" s="5"/>
    </row>
    <row r="3655" spans="4:4" x14ac:dyDescent="0.2">
      <c r="D3655" s="5"/>
    </row>
    <row r="3656" spans="4:4" x14ac:dyDescent="0.2">
      <c r="D3656" s="5"/>
    </row>
    <row r="3657" spans="4:4" x14ac:dyDescent="0.2">
      <c r="D3657" s="5"/>
    </row>
    <row r="3658" spans="4:4" x14ac:dyDescent="0.2">
      <c r="D3658" s="5"/>
    </row>
    <row r="3659" spans="4:4" x14ac:dyDescent="0.2">
      <c r="D3659" s="5"/>
    </row>
    <row r="3660" spans="4:4" x14ac:dyDescent="0.2">
      <c r="D3660" s="5"/>
    </row>
    <row r="3661" spans="4:4" x14ac:dyDescent="0.2">
      <c r="D3661" s="5"/>
    </row>
    <row r="3662" spans="4:4" x14ac:dyDescent="0.2">
      <c r="D3662" s="5"/>
    </row>
    <row r="3663" spans="4:4" x14ac:dyDescent="0.2">
      <c r="D3663" s="5"/>
    </row>
    <row r="3664" spans="4:4" x14ac:dyDescent="0.2">
      <c r="D3664" s="5"/>
    </row>
    <row r="3665" spans="4:4" x14ac:dyDescent="0.2">
      <c r="D3665" s="5"/>
    </row>
    <row r="3666" spans="4:4" x14ac:dyDescent="0.2">
      <c r="D3666" s="5"/>
    </row>
    <row r="3667" spans="4:4" x14ac:dyDescent="0.2">
      <c r="D3667" s="5"/>
    </row>
    <row r="3668" spans="4:4" x14ac:dyDescent="0.2">
      <c r="D3668" s="5"/>
    </row>
    <row r="3669" spans="4:4" x14ac:dyDescent="0.2">
      <c r="D3669" s="5"/>
    </row>
    <row r="3670" spans="4:4" x14ac:dyDescent="0.2">
      <c r="D3670" s="5"/>
    </row>
    <row r="3671" spans="4:4" x14ac:dyDescent="0.2">
      <c r="D3671" s="5"/>
    </row>
    <row r="3672" spans="4:4" x14ac:dyDescent="0.2">
      <c r="D3672" s="5"/>
    </row>
    <row r="3673" spans="4:4" x14ac:dyDescent="0.2">
      <c r="D3673" s="5"/>
    </row>
    <row r="3674" spans="4:4" x14ac:dyDescent="0.2">
      <c r="D3674" s="5"/>
    </row>
    <row r="3675" spans="4:4" x14ac:dyDescent="0.2">
      <c r="D3675" s="5"/>
    </row>
    <row r="3676" spans="4:4" x14ac:dyDescent="0.2">
      <c r="D3676" s="5"/>
    </row>
    <row r="3677" spans="4:4" x14ac:dyDescent="0.2">
      <c r="D3677" s="5"/>
    </row>
    <row r="3678" spans="4:4" x14ac:dyDescent="0.2">
      <c r="D3678" s="5"/>
    </row>
    <row r="3679" spans="4:4" x14ac:dyDescent="0.2">
      <c r="D3679" s="5"/>
    </row>
    <row r="3680" spans="4:4" x14ac:dyDescent="0.2">
      <c r="D3680" s="5"/>
    </row>
    <row r="3681" spans="4:4" x14ac:dyDescent="0.2">
      <c r="D3681" s="5"/>
    </row>
    <row r="3682" spans="4:4" x14ac:dyDescent="0.2">
      <c r="D3682" s="5"/>
    </row>
    <row r="3683" spans="4:4" x14ac:dyDescent="0.2">
      <c r="D3683" s="5"/>
    </row>
    <row r="3684" spans="4:4" x14ac:dyDescent="0.2">
      <c r="D3684" s="5"/>
    </row>
    <row r="3685" spans="4:4" x14ac:dyDescent="0.2">
      <c r="D3685" s="5"/>
    </row>
    <row r="3686" spans="4:4" x14ac:dyDescent="0.2">
      <c r="D3686" s="5"/>
    </row>
    <row r="3687" spans="4:4" x14ac:dyDescent="0.2">
      <c r="D3687" s="5"/>
    </row>
    <row r="3688" spans="4:4" x14ac:dyDescent="0.2">
      <c r="D3688" s="5"/>
    </row>
    <row r="3689" spans="4:4" x14ac:dyDescent="0.2">
      <c r="D3689" s="5"/>
    </row>
    <row r="3690" spans="4:4" x14ac:dyDescent="0.2">
      <c r="D3690" s="5"/>
    </row>
    <row r="3691" spans="4:4" x14ac:dyDescent="0.2">
      <c r="D3691" s="5"/>
    </row>
    <row r="3692" spans="4:4" x14ac:dyDescent="0.2">
      <c r="D3692" s="5"/>
    </row>
    <row r="3693" spans="4:4" x14ac:dyDescent="0.2">
      <c r="D3693" s="5"/>
    </row>
    <row r="3694" spans="4:4" x14ac:dyDescent="0.2">
      <c r="D3694" s="5"/>
    </row>
    <row r="3695" spans="4:4" x14ac:dyDescent="0.2">
      <c r="D3695" s="5"/>
    </row>
    <row r="3696" spans="4:4" x14ac:dyDescent="0.2">
      <c r="D3696" s="5"/>
    </row>
    <row r="3697" spans="4:4" x14ac:dyDescent="0.2">
      <c r="D3697" s="5"/>
    </row>
    <row r="3698" spans="4:4" x14ac:dyDescent="0.2">
      <c r="D3698" s="5"/>
    </row>
    <row r="3699" spans="4:4" x14ac:dyDescent="0.2">
      <c r="D3699" s="5"/>
    </row>
    <row r="3700" spans="4:4" x14ac:dyDescent="0.2">
      <c r="D3700" s="5"/>
    </row>
    <row r="3701" spans="4:4" x14ac:dyDescent="0.2">
      <c r="D3701" s="5"/>
    </row>
    <row r="3702" spans="4:4" x14ac:dyDescent="0.2">
      <c r="D3702" s="5"/>
    </row>
    <row r="3703" spans="4:4" x14ac:dyDescent="0.2">
      <c r="D3703" s="5"/>
    </row>
    <row r="3704" spans="4:4" x14ac:dyDescent="0.2">
      <c r="D3704" s="5"/>
    </row>
    <row r="3705" spans="4:4" x14ac:dyDescent="0.2">
      <c r="D3705" s="5"/>
    </row>
    <row r="3706" spans="4:4" x14ac:dyDescent="0.2">
      <c r="D3706" s="5"/>
    </row>
    <row r="3707" spans="4:4" x14ac:dyDescent="0.2">
      <c r="D3707" s="5"/>
    </row>
    <row r="3708" spans="4:4" x14ac:dyDescent="0.2">
      <c r="D3708" s="5"/>
    </row>
    <row r="3709" spans="4:4" x14ac:dyDescent="0.2">
      <c r="D3709" s="5"/>
    </row>
    <row r="3710" spans="4:4" x14ac:dyDescent="0.2">
      <c r="D3710" s="5"/>
    </row>
    <row r="3711" spans="4:4" x14ac:dyDescent="0.2">
      <c r="D3711" s="5"/>
    </row>
    <row r="3712" spans="4:4" x14ac:dyDescent="0.2">
      <c r="D3712" s="5"/>
    </row>
    <row r="3713" spans="4:4" x14ac:dyDescent="0.2">
      <c r="D3713" s="5"/>
    </row>
    <row r="3714" spans="4:4" x14ac:dyDescent="0.2">
      <c r="D3714" s="5"/>
    </row>
    <row r="3715" spans="4:4" x14ac:dyDescent="0.2">
      <c r="D3715" s="5"/>
    </row>
    <row r="3716" spans="4:4" x14ac:dyDescent="0.2">
      <c r="D3716" s="5"/>
    </row>
    <row r="3717" spans="4:4" x14ac:dyDescent="0.2">
      <c r="D3717" s="5"/>
    </row>
    <row r="3718" spans="4:4" x14ac:dyDescent="0.2">
      <c r="D3718" s="5"/>
    </row>
    <row r="3719" spans="4:4" x14ac:dyDescent="0.2">
      <c r="D3719" s="5"/>
    </row>
    <row r="3720" spans="4:4" x14ac:dyDescent="0.2">
      <c r="D3720" s="5"/>
    </row>
    <row r="3721" spans="4:4" x14ac:dyDescent="0.2">
      <c r="D3721" s="5"/>
    </row>
    <row r="3722" spans="4:4" x14ac:dyDescent="0.2">
      <c r="D3722" s="5"/>
    </row>
    <row r="3723" spans="4:4" x14ac:dyDescent="0.2">
      <c r="D3723" s="5"/>
    </row>
    <row r="3724" spans="4:4" x14ac:dyDescent="0.2">
      <c r="D3724" s="5"/>
    </row>
    <row r="3725" spans="4:4" x14ac:dyDescent="0.2">
      <c r="D3725" s="5"/>
    </row>
    <row r="3726" spans="4:4" x14ac:dyDescent="0.2">
      <c r="D3726" s="5"/>
    </row>
    <row r="3727" spans="4:4" x14ac:dyDescent="0.2">
      <c r="D3727" s="5"/>
    </row>
    <row r="3728" spans="4:4" x14ac:dyDescent="0.2">
      <c r="D3728" s="5"/>
    </row>
    <row r="3729" spans="4:4" x14ac:dyDescent="0.2">
      <c r="D3729" s="5"/>
    </row>
    <row r="3730" spans="4:4" x14ac:dyDescent="0.2">
      <c r="D3730" s="5"/>
    </row>
    <row r="3731" spans="4:4" x14ac:dyDescent="0.2">
      <c r="D3731" s="5"/>
    </row>
    <row r="3732" spans="4:4" x14ac:dyDescent="0.2">
      <c r="D3732" s="5"/>
    </row>
    <row r="3733" spans="4:4" x14ac:dyDescent="0.2">
      <c r="D3733" s="5"/>
    </row>
    <row r="3734" spans="4:4" x14ac:dyDescent="0.2">
      <c r="D3734" s="5"/>
    </row>
    <row r="3735" spans="4:4" x14ac:dyDescent="0.2">
      <c r="D3735" s="5"/>
    </row>
    <row r="3736" spans="4:4" x14ac:dyDescent="0.2">
      <c r="D3736" s="5"/>
    </row>
    <row r="3737" spans="4:4" x14ac:dyDescent="0.2">
      <c r="D3737" s="5"/>
    </row>
    <row r="3738" spans="4:4" x14ac:dyDescent="0.2">
      <c r="D3738" s="5"/>
    </row>
    <row r="3739" spans="4:4" x14ac:dyDescent="0.2">
      <c r="D3739" s="5"/>
    </row>
    <row r="3740" spans="4:4" x14ac:dyDescent="0.2">
      <c r="D3740" s="5"/>
    </row>
    <row r="3741" spans="4:4" x14ac:dyDescent="0.2">
      <c r="D3741" s="5"/>
    </row>
    <row r="3742" spans="4:4" x14ac:dyDescent="0.2">
      <c r="D3742" s="5"/>
    </row>
    <row r="3743" spans="4:4" x14ac:dyDescent="0.2">
      <c r="D3743" s="5"/>
    </row>
    <row r="3744" spans="4:4" x14ac:dyDescent="0.2">
      <c r="D3744" s="5"/>
    </row>
    <row r="3745" spans="4:4" x14ac:dyDescent="0.2">
      <c r="D3745" s="5"/>
    </row>
    <row r="3746" spans="4:4" x14ac:dyDescent="0.2">
      <c r="D3746" s="5"/>
    </row>
    <row r="3747" spans="4:4" x14ac:dyDescent="0.2">
      <c r="D3747" s="5"/>
    </row>
    <row r="3748" spans="4:4" x14ac:dyDescent="0.2">
      <c r="D3748" s="5"/>
    </row>
    <row r="3749" spans="4:4" x14ac:dyDescent="0.2">
      <c r="D3749" s="5"/>
    </row>
    <row r="3750" spans="4:4" x14ac:dyDescent="0.2">
      <c r="D3750" s="5"/>
    </row>
    <row r="3751" spans="4:4" x14ac:dyDescent="0.2">
      <c r="D3751" s="5"/>
    </row>
    <row r="3752" spans="4:4" x14ac:dyDescent="0.2">
      <c r="D3752" s="5"/>
    </row>
    <row r="3753" spans="4:4" x14ac:dyDescent="0.2">
      <c r="D3753" s="5"/>
    </row>
    <row r="3754" spans="4:4" x14ac:dyDescent="0.2">
      <c r="D3754" s="5"/>
    </row>
    <row r="3755" spans="4:4" x14ac:dyDescent="0.2">
      <c r="D3755" s="5"/>
    </row>
    <row r="3756" spans="4:4" x14ac:dyDescent="0.2">
      <c r="D3756" s="5"/>
    </row>
    <row r="3757" spans="4:4" x14ac:dyDescent="0.2">
      <c r="D3757" s="5"/>
    </row>
    <row r="3758" spans="4:4" x14ac:dyDescent="0.2">
      <c r="D3758" s="5"/>
    </row>
    <row r="3759" spans="4:4" x14ac:dyDescent="0.2">
      <c r="D3759" s="5"/>
    </row>
    <row r="3760" spans="4:4" x14ac:dyDescent="0.2">
      <c r="D3760" s="5"/>
    </row>
    <row r="3761" spans="4:4" x14ac:dyDescent="0.2">
      <c r="D3761" s="5"/>
    </row>
    <row r="3762" spans="4:4" x14ac:dyDescent="0.2">
      <c r="D3762" s="5"/>
    </row>
    <row r="3763" spans="4:4" x14ac:dyDescent="0.2">
      <c r="D3763" s="5"/>
    </row>
    <row r="3764" spans="4:4" x14ac:dyDescent="0.2">
      <c r="D3764" s="5"/>
    </row>
    <row r="3765" spans="4:4" x14ac:dyDescent="0.2">
      <c r="D3765" s="5"/>
    </row>
    <row r="3766" spans="4:4" x14ac:dyDescent="0.2">
      <c r="D3766" s="5"/>
    </row>
    <row r="3767" spans="4:4" x14ac:dyDescent="0.2">
      <c r="D3767" s="5"/>
    </row>
    <row r="3768" spans="4:4" x14ac:dyDescent="0.2">
      <c r="D3768" s="5"/>
    </row>
    <row r="3769" spans="4:4" x14ac:dyDescent="0.2">
      <c r="D3769" s="5"/>
    </row>
    <row r="3770" spans="4:4" x14ac:dyDescent="0.2">
      <c r="D3770" s="5"/>
    </row>
    <row r="3771" spans="4:4" x14ac:dyDescent="0.2">
      <c r="D3771" s="5"/>
    </row>
    <row r="3772" spans="4:4" x14ac:dyDescent="0.2">
      <c r="D3772" s="5"/>
    </row>
    <row r="3773" spans="4:4" x14ac:dyDescent="0.2">
      <c r="D3773" s="5"/>
    </row>
    <row r="3774" spans="4:4" x14ac:dyDescent="0.2">
      <c r="D3774" s="5"/>
    </row>
    <row r="3775" spans="4:4" x14ac:dyDescent="0.2">
      <c r="D3775" s="5"/>
    </row>
    <row r="3776" spans="4:4" x14ac:dyDescent="0.2">
      <c r="D3776" s="5"/>
    </row>
    <row r="3777" spans="4:4" x14ac:dyDescent="0.2">
      <c r="D3777" s="5"/>
    </row>
    <row r="3778" spans="4:4" x14ac:dyDescent="0.2">
      <c r="D3778" s="5"/>
    </row>
    <row r="3779" spans="4:4" x14ac:dyDescent="0.2">
      <c r="D3779" s="5"/>
    </row>
    <row r="3780" spans="4:4" x14ac:dyDescent="0.2">
      <c r="D3780" s="5"/>
    </row>
    <row r="3781" spans="4:4" x14ac:dyDescent="0.2">
      <c r="D3781" s="5"/>
    </row>
    <row r="3782" spans="4:4" x14ac:dyDescent="0.2">
      <c r="D3782" s="5"/>
    </row>
    <row r="3783" spans="4:4" x14ac:dyDescent="0.2">
      <c r="D3783" s="5"/>
    </row>
    <row r="3784" spans="4:4" x14ac:dyDescent="0.2">
      <c r="D3784" s="5"/>
    </row>
    <row r="3785" spans="4:4" x14ac:dyDescent="0.2">
      <c r="D3785" s="5"/>
    </row>
    <row r="3786" spans="4:4" x14ac:dyDescent="0.2">
      <c r="D3786" s="5"/>
    </row>
    <row r="3787" spans="4:4" x14ac:dyDescent="0.2">
      <c r="D3787" s="5"/>
    </row>
    <row r="3788" spans="4:4" x14ac:dyDescent="0.2">
      <c r="D3788" s="5"/>
    </row>
    <row r="3789" spans="4:4" x14ac:dyDescent="0.2">
      <c r="D3789" s="5"/>
    </row>
    <row r="3790" spans="4:4" x14ac:dyDescent="0.2">
      <c r="D3790" s="5"/>
    </row>
    <row r="3791" spans="4:4" x14ac:dyDescent="0.2">
      <c r="D3791" s="5"/>
    </row>
    <row r="3792" spans="4:4" x14ac:dyDescent="0.2">
      <c r="D3792" s="5"/>
    </row>
    <row r="3793" spans="4:4" x14ac:dyDescent="0.2">
      <c r="D3793" s="5"/>
    </row>
    <row r="3794" spans="4:4" x14ac:dyDescent="0.2">
      <c r="D3794" s="5"/>
    </row>
    <row r="3795" spans="4:4" x14ac:dyDescent="0.2">
      <c r="D3795" s="5"/>
    </row>
    <row r="3796" spans="4:4" x14ac:dyDescent="0.2">
      <c r="D3796" s="5"/>
    </row>
    <row r="3797" spans="4:4" x14ac:dyDescent="0.2">
      <c r="D3797" s="5"/>
    </row>
    <row r="3798" spans="4:4" x14ac:dyDescent="0.2">
      <c r="D3798" s="5"/>
    </row>
    <row r="3799" spans="4:4" x14ac:dyDescent="0.2">
      <c r="D3799" s="5"/>
    </row>
    <row r="3800" spans="4:4" x14ac:dyDescent="0.2">
      <c r="D3800" s="5"/>
    </row>
    <row r="3801" spans="4:4" x14ac:dyDescent="0.2">
      <c r="D3801" s="5"/>
    </row>
    <row r="3802" spans="4:4" x14ac:dyDescent="0.2">
      <c r="D3802" s="5"/>
    </row>
    <row r="3803" spans="4:4" x14ac:dyDescent="0.2">
      <c r="D3803" s="5"/>
    </row>
    <row r="3804" spans="4:4" x14ac:dyDescent="0.2">
      <c r="D3804" s="5"/>
    </row>
    <row r="3805" spans="4:4" x14ac:dyDescent="0.2">
      <c r="D3805" s="5"/>
    </row>
    <row r="3806" spans="4:4" x14ac:dyDescent="0.2">
      <c r="D3806" s="5"/>
    </row>
    <row r="3807" spans="4:4" x14ac:dyDescent="0.2">
      <c r="D3807" s="5"/>
    </row>
    <row r="3808" spans="4:4" x14ac:dyDescent="0.2">
      <c r="D3808" s="5"/>
    </row>
    <row r="3809" spans="4:4" x14ac:dyDescent="0.2">
      <c r="D3809" s="5"/>
    </row>
    <row r="3810" spans="4:4" x14ac:dyDescent="0.2">
      <c r="D3810" s="5"/>
    </row>
    <row r="3811" spans="4:4" x14ac:dyDescent="0.2">
      <c r="D3811" s="5"/>
    </row>
    <row r="3812" spans="4:4" x14ac:dyDescent="0.2">
      <c r="D3812" s="5"/>
    </row>
    <row r="3813" spans="4:4" x14ac:dyDescent="0.2">
      <c r="D3813" s="5"/>
    </row>
    <row r="3814" spans="4:4" x14ac:dyDescent="0.2">
      <c r="D3814" s="5"/>
    </row>
    <row r="3815" spans="4:4" x14ac:dyDescent="0.2">
      <c r="D3815" s="5"/>
    </row>
    <row r="3816" spans="4:4" x14ac:dyDescent="0.2">
      <c r="D3816" s="5"/>
    </row>
    <row r="3817" spans="4:4" x14ac:dyDescent="0.2">
      <c r="D3817" s="5"/>
    </row>
    <row r="3818" spans="4:4" x14ac:dyDescent="0.2">
      <c r="D3818" s="5"/>
    </row>
    <row r="3819" spans="4:4" x14ac:dyDescent="0.2">
      <c r="D3819" s="5"/>
    </row>
    <row r="3820" spans="4:4" x14ac:dyDescent="0.2">
      <c r="D3820" s="5"/>
    </row>
    <row r="3821" spans="4:4" x14ac:dyDescent="0.2">
      <c r="D3821" s="5"/>
    </row>
    <row r="3822" spans="4:4" x14ac:dyDescent="0.2">
      <c r="D3822" s="5"/>
    </row>
    <row r="3823" spans="4:4" x14ac:dyDescent="0.2">
      <c r="D3823" s="5"/>
    </row>
    <row r="3824" spans="4:4" x14ac:dyDescent="0.2">
      <c r="D3824" s="5"/>
    </row>
    <row r="3825" spans="4:4" x14ac:dyDescent="0.2">
      <c r="D3825" s="5"/>
    </row>
    <row r="3826" spans="4:4" x14ac:dyDescent="0.2">
      <c r="D3826" s="5"/>
    </row>
    <row r="3827" spans="4:4" x14ac:dyDescent="0.2">
      <c r="D3827" s="5"/>
    </row>
    <row r="3828" spans="4:4" x14ac:dyDescent="0.2">
      <c r="D3828" s="5"/>
    </row>
    <row r="3829" spans="4:4" x14ac:dyDescent="0.2">
      <c r="D3829" s="5"/>
    </row>
    <row r="3830" spans="4:4" x14ac:dyDescent="0.2">
      <c r="D3830" s="5"/>
    </row>
    <row r="3831" spans="4:4" x14ac:dyDescent="0.2">
      <c r="D3831" s="5"/>
    </row>
    <row r="3832" spans="4:4" x14ac:dyDescent="0.2">
      <c r="D3832" s="5"/>
    </row>
    <row r="3833" spans="4:4" x14ac:dyDescent="0.2">
      <c r="D3833" s="5"/>
    </row>
    <row r="3834" spans="4:4" x14ac:dyDescent="0.2">
      <c r="D3834" s="5"/>
    </row>
    <row r="3835" spans="4:4" x14ac:dyDescent="0.2">
      <c r="D3835" s="5"/>
    </row>
    <row r="3836" spans="4:4" x14ac:dyDescent="0.2">
      <c r="D3836" s="5"/>
    </row>
    <row r="3837" spans="4:4" x14ac:dyDescent="0.2">
      <c r="D3837" s="5"/>
    </row>
    <row r="3838" spans="4:4" x14ac:dyDescent="0.2">
      <c r="D3838" s="5"/>
    </row>
    <row r="3839" spans="4:4" x14ac:dyDescent="0.2">
      <c r="D3839" s="5"/>
    </row>
    <row r="3840" spans="4:4" x14ac:dyDescent="0.2">
      <c r="D3840" s="5"/>
    </row>
    <row r="3841" spans="4:4" x14ac:dyDescent="0.2">
      <c r="D3841" s="5"/>
    </row>
    <row r="3842" spans="4:4" x14ac:dyDescent="0.2">
      <c r="D3842" s="5"/>
    </row>
    <row r="3843" spans="4:4" x14ac:dyDescent="0.2">
      <c r="D3843" s="5"/>
    </row>
    <row r="3844" spans="4:4" x14ac:dyDescent="0.2">
      <c r="D3844" s="5"/>
    </row>
    <row r="3845" spans="4:4" x14ac:dyDescent="0.2">
      <c r="D3845" s="5"/>
    </row>
    <row r="3846" spans="4:4" x14ac:dyDescent="0.2">
      <c r="D3846" s="5"/>
    </row>
    <row r="3847" spans="4:4" x14ac:dyDescent="0.2">
      <c r="D3847" s="5"/>
    </row>
    <row r="3848" spans="4:4" x14ac:dyDescent="0.2">
      <c r="D3848" s="5"/>
    </row>
    <row r="3849" spans="4:4" x14ac:dyDescent="0.2">
      <c r="D3849" s="5"/>
    </row>
    <row r="3850" spans="4:4" x14ac:dyDescent="0.2">
      <c r="D3850" s="5"/>
    </row>
    <row r="3851" spans="4:4" x14ac:dyDescent="0.2">
      <c r="D3851" s="5"/>
    </row>
    <row r="3852" spans="4:4" x14ac:dyDescent="0.2">
      <c r="D3852" s="5"/>
    </row>
    <row r="3853" spans="4:4" x14ac:dyDescent="0.2">
      <c r="D3853" s="5"/>
    </row>
    <row r="3854" spans="4:4" x14ac:dyDescent="0.2">
      <c r="D3854" s="5"/>
    </row>
    <row r="3855" spans="4:4" x14ac:dyDescent="0.2">
      <c r="D3855" s="5"/>
    </row>
    <row r="3856" spans="4:4" x14ac:dyDescent="0.2">
      <c r="D3856" s="5"/>
    </row>
    <row r="3857" spans="4:4" x14ac:dyDescent="0.2">
      <c r="D3857" s="5"/>
    </row>
    <row r="3858" spans="4:4" x14ac:dyDescent="0.2">
      <c r="D3858" s="5"/>
    </row>
    <row r="3859" spans="4:4" x14ac:dyDescent="0.2">
      <c r="D3859" s="5"/>
    </row>
    <row r="3860" spans="4:4" x14ac:dyDescent="0.2">
      <c r="D3860" s="5"/>
    </row>
    <row r="3861" spans="4:4" x14ac:dyDescent="0.2">
      <c r="D3861" s="5"/>
    </row>
    <row r="3862" spans="4:4" x14ac:dyDescent="0.2">
      <c r="D3862" s="5"/>
    </row>
    <row r="3863" spans="4:4" x14ac:dyDescent="0.2">
      <c r="D3863" s="5"/>
    </row>
    <row r="3864" spans="4:4" x14ac:dyDescent="0.2">
      <c r="D3864" s="5"/>
    </row>
    <row r="3865" spans="4:4" x14ac:dyDescent="0.2">
      <c r="D3865" s="5"/>
    </row>
    <row r="3866" spans="4:4" x14ac:dyDescent="0.2">
      <c r="D3866" s="5"/>
    </row>
    <row r="3867" spans="4:4" x14ac:dyDescent="0.2">
      <c r="D3867" s="5"/>
    </row>
    <row r="3868" spans="4:4" x14ac:dyDescent="0.2">
      <c r="D3868" s="5"/>
    </row>
    <row r="3869" spans="4:4" x14ac:dyDescent="0.2">
      <c r="D3869" s="5"/>
    </row>
    <row r="3870" spans="4:4" x14ac:dyDescent="0.2">
      <c r="D3870" s="5"/>
    </row>
    <row r="3871" spans="4:4" x14ac:dyDescent="0.2">
      <c r="D3871" s="5"/>
    </row>
    <row r="3872" spans="4:4" x14ac:dyDescent="0.2">
      <c r="D3872" s="5"/>
    </row>
    <row r="3873" spans="4:4" x14ac:dyDescent="0.2">
      <c r="D3873" s="5"/>
    </row>
    <row r="3874" spans="4:4" x14ac:dyDescent="0.2">
      <c r="D3874" s="5"/>
    </row>
    <row r="3875" spans="4:4" x14ac:dyDescent="0.2">
      <c r="D3875" s="5"/>
    </row>
    <row r="3876" spans="4:4" x14ac:dyDescent="0.2">
      <c r="D3876" s="5"/>
    </row>
    <row r="3877" spans="4:4" x14ac:dyDescent="0.2">
      <c r="D3877" s="5"/>
    </row>
    <row r="3878" spans="4:4" x14ac:dyDescent="0.2">
      <c r="D3878" s="5"/>
    </row>
    <row r="3879" spans="4:4" x14ac:dyDescent="0.2">
      <c r="D3879" s="5"/>
    </row>
    <row r="3880" spans="4:4" x14ac:dyDescent="0.2">
      <c r="D3880" s="5"/>
    </row>
    <row r="3881" spans="4:4" x14ac:dyDescent="0.2">
      <c r="D3881" s="5"/>
    </row>
    <row r="3882" spans="4:4" x14ac:dyDescent="0.2">
      <c r="D3882" s="5"/>
    </row>
    <row r="3883" spans="4:4" x14ac:dyDescent="0.2">
      <c r="D3883" s="5"/>
    </row>
    <row r="3884" spans="4:4" x14ac:dyDescent="0.2">
      <c r="D3884" s="5"/>
    </row>
    <row r="3885" spans="4:4" x14ac:dyDescent="0.2">
      <c r="D3885" s="5"/>
    </row>
    <row r="3886" spans="4:4" x14ac:dyDescent="0.2">
      <c r="D3886" s="5"/>
    </row>
    <row r="3887" spans="4:4" x14ac:dyDescent="0.2">
      <c r="D3887" s="5"/>
    </row>
    <row r="3888" spans="4:4" x14ac:dyDescent="0.2">
      <c r="D3888" s="5"/>
    </row>
    <row r="3889" spans="4:4" x14ac:dyDescent="0.2">
      <c r="D3889" s="5"/>
    </row>
    <row r="3890" spans="4:4" x14ac:dyDescent="0.2">
      <c r="D3890" s="5"/>
    </row>
    <row r="3891" spans="4:4" x14ac:dyDescent="0.2">
      <c r="D3891" s="5"/>
    </row>
    <row r="3892" spans="4:4" x14ac:dyDescent="0.2">
      <c r="D3892" s="5"/>
    </row>
    <row r="3893" spans="4:4" x14ac:dyDescent="0.2">
      <c r="D3893" s="5"/>
    </row>
    <row r="3894" spans="4:4" x14ac:dyDescent="0.2">
      <c r="D3894" s="5"/>
    </row>
    <row r="3895" spans="4:4" x14ac:dyDescent="0.2">
      <c r="D3895" s="5"/>
    </row>
    <row r="3896" spans="4:4" x14ac:dyDescent="0.2">
      <c r="D3896" s="5"/>
    </row>
    <row r="3897" spans="4:4" x14ac:dyDescent="0.2">
      <c r="D3897" s="5"/>
    </row>
    <row r="3898" spans="4:4" x14ac:dyDescent="0.2">
      <c r="D3898" s="5"/>
    </row>
    <row r="3899" spans="4:4" x14ac:dyDescent="0.2">
      <c r="D3899" s="5"/>
    </row>
    <row r="3900" spans="4:4" x14ac:dyDescent="0.2">
      <c r="D3900" s="5"/>
    </row>
    <row r="3901" spans="4:4" x14ac:dyDescent="0.2">
      <c r="D3901" s="5"/>
    </row>
    <row r="3902" spans="4:4" x14ac:dyDescent="0.2">
      <c r="D3902" s="5"/>
    </row>
    <row r="3903" spans="4:4" x14ac:dyDescent="0.2">
      <c r="D3903" s="5"/>
    </row>
    <row r="3904" spans="4:4" x14ac:dyDescent="0.2">
      <c r="D3904" s="5"/>
    </row>
    <row r="3905" spans="4:4" x14ac:dyDescent="0.2">
      <c r="D3905" s="5"/>
    </row>
    <row r="3906" spans="4:4" x14ac:dyDescent="0.2">
      <c r="D3906" s="5"/>
    </row>
    <row r="3907" spans="4:4" x14ac:dyDescent="0.2">
      <c r="D3907" s="5"/>
    </row>
    <row r="3908" spans="4:4" x14ac:dyDescent="0.2">
      <c r="D3908" s="5"/>
    </row>
    <row r="3909" spans="4:4" x14ac:dyDescent="0.2">
      <c r="D3909" s="5"/>
    </row>
    <row r="3910" spans="4:4" x14ac:dyDescent="0.2">
      <c r="D3910" s="5"/>
    </row>
    <row r="3911" spans="4:4" x14ac:dyDescent="0.2">
      <c r="D3911" s="5"/>
    </row>
    <row r="3912" spans="4:4" x14ac:dyDescent="0.2">
      <c r="D3912" s="5"/>
    </row>
    <row r="3913" spans="4:4" x14ac:dyDescent="0.2">
      <c r="D3913" s="5"/>
    </row>
    <row r="3914" spans="4:4" x14ac:dyDescent="0.2">
      <c r="D3914" s="5"/>
    </row>
    <row r="3915" spans="4:4" x14ac:dyDescent="0.2">
      <c r="D3915" s="5"/>
    </row>
    <row r="3916" spans="4:4" x14ac:dyDescent="0.2">
      <c r="D3916" s="5"/>
    </row>
    <row r="3917" spans="4:4" x14ac:dyDescent="0.2">
      <c r="D3917" s="5"/>
    </row>
    <row r="3918" spans="4:4" x14ac:dyDescent="0.2">
      <c r="D3918" s="5"/>
    </row>
    <row r="3919" spans="4:4" x14ac:dyDescent="0.2">
      <c r="D3919" s="5"/>
    </row>
    <row r="3920" spans="4:4" x14ac:dyDescent="0.2">
      <c r="D3920" s="5"/>
    </row>
    <row r="3921" spans="4:4" x14ac:dyDescent="0.2">
      <c r="D3921" s="5"/>
    </row>
    <row r="3922" spans="4:4" x14ac:dyDescent="0.2">
      <c r="D3922" s="5"/>
    </row>
    <row r="3923" spans="4:4" x14ac:dyDescent="0.2">
      <c r="D3923" s="5"/>
    </row>
    <row r="3924" spans="4:4" x14ac:dyDescent="0.2">
      <c r="D3924" s="5"/>
    </row>
    <row r="3925" spans="4:4" x14ac:dyDescent="0.2">
      <c r="D3925" s="5"/>
    </row>
    <row r="3926" spans="4:4" x14ac:dyDescent="0.2">
      <c r="D3926" s="5"/>
    </row>
    <row r="3927" spans="4:4" x14ac:dyDescent="0.2">
      <c r="D3927" s="5"/>
    </row>
    <row r="3928" spans="4:4" x14ac:dyDescent="0.2">
      <c r="D3928" s="5"/>
    </row>
    <row r="3929" spans="4:4" x14ac:dyDescent="0.2">
      <c r="D3929" s="5"/>
    </row>
    <row r="3930" spans="4:4" x14ac:dyDescent="0.2">
      <c r="D3930" s="5"/>
    </row>
    <row r="3931" spans="4:4" x14ac:dyDescent="0.2">
      <c r="D3931" s="5"/>
    </row>
    <row r="3932" spans="4:4" x14ac:dyDescent="0.2">
      <c r="D3932" s="5"/>
    </row>
    <row r="3933" spans="4:4" x14ac:dyDescent="0.2">
      <c r="D3933" s="5"/>
    </row>
    <row r="3934" spans="4:4" x14ac:dyDescent="0.2">
      <c r="D3934" s="5"/>
    </row>
    <row r="3935" spans="4:4" x14ac:dyDescent="0.2">
      <c r="D3935" s="5"/>
    </row>
    <row r="3936" spans="4:4" x14ac:dyDescent="0.2">
      <c r="D3936" s="5"/>
    </row>
    <row r="3937" spans="4:4" x14ac:dyDescent="0.2">
      <c r="D3937" s="5"/>
    </row>
    <row r="3938" spans="4:4" x14ac:dyDescent="0.2">
      <c r="D3938" s="5"/>
    </row>
    <row r="3939" spans="4:4" x14ac:dyDescent="0.2">
      <c r="D3939" s="5"/>
    </row>
    <row r="3940" spans="4:4" x14ac:dyDescent="0.2">
      <c r="D3940" s="5"/>
    </row>
    <row r="3941" spans="4:4" x14ac:dyDescent="0.2">
      <c r="D3941" s="5"/>
    </row>
    <row r="3942" spans="4:4" x14ac:dyDescent="0.2">
      <c r="D3942" s="5"/>
    </row>
    <row r="3943" spans="4:4" x14ac:dyDescent="0.2">
      <c r="D3943" s="5"/>
    </row>
    <row r="3944" spans="4:4" x14ac:dyDescent="0.2">
      <c r="D3944" s="5"/>
    </row>
    <row r="3945" spans="4:4" x14ac:dyDescent="0.2">
      <c r="D3945" s="5"/>
    </row>
    <row r="3946" spans="4:4" x14ac:dyDescent="0.2">
      <c r="D3946" s="5"/>
    </row>
    <row r="3947" spans="4:4" x14ac:dyDescent="0.2">
      <c r="D3947" s="5"/>
    </row>
    <row r="3948" spans="4:4" x14ac:dyDescent="0.2">
      <c r="D3948" s="5"/>
    </row>
    <row r="3949" spans="4:4" x14ac:dyDescent="0.2">
      <c r="D3949" s="5"/>
    </row>
    <row r="3950" spans="4:4" x14ac:dyDescent="0.2">
      <c r="D3950" s="5"/>
    </row>
    <row r="3951" spans="4:4" x14ac:dyDescent="0.2">
      <c r="D3951" s="5"/>
    </row>
    <row r="3952" spans="4:4" x14ac:dyDescent="0.2">
      <c r="D3952" s="5"/>
    </row>
    <row r="3953" spans="4:4" x14ac:dyDescent="0.2">
      <c r="D3953" s="5"/>
    </row>
    <row r="3954" spans="4:4" x14ac:dyDescent="0.2">
      <c r="D3954" s="5"/>
    </row>
    <row r="3955" spans="4:4" x14ac:dyDescent="0.2">
      <c r="D3955" s="5"/>
    </row>
    <row r="3956" spans="4:4" x14ac:dyDescent="0.2">
      <c r="D3956" s="5"/>
    </row>
    <row r="3957" spans="4:4" x14ac:dyDescent="0.2">
      <c r="D3957" s="5"/>
    </row>
    <row r="3958" spans="4:4" x14ac:dyDescent="0.2">
      <c r="D3958" s="5"/>
    </row>
    <row r="3959" spans="4:4" x14ac:dyDescent="0.2">
      <c r="D3959" s="5"/>
    </row>
    <row r="3960" spans="4:4" x14ac:dyDescent="0.2">
      <c r="D3960" s="5"/>
    </row>
    <row r="3961" spans="4:4" x14ac:dyDescent="0.2">
      <c r="D3961" s="5"/>
    </row>
    <row r="3962" spans="4:4" x14ac:dyDescent="0.2">
      <c r="D3962" s="5"/>
    </row>
    <row r="3963" spans="4:4" x14ac:dyDescent="0.2">
      <c r="D3963" s="5"/>
    </row>
    <row r="3964" spans="4:4" x14ac:dyDescent="0.2">
      <c r="D3964" s="5"/>
    </row>
    <row r="3965" spans="4:4" x14ac:dyDescent="0.2">
      <c r="D3965" s="5"/>
    </row>
    <row r="3966" spans="4:4" x14ac:dyDescent="0.2">
      <c r="D3966" s="5"/>
    </row>
    <row r="3967" spans="4:4" x14ac:dyDescent="0.2">
      <c r="D3967" s="5"/>
    </row>
    <row r="3968" spans="4:4" x14ac:dyDescent="0.2">
      <c r="D3968" s="5"/>
    </row>
    <row r="3969" spans="4:4" x14ac:dyDescent="0.2">
      <c r="D3969" s="5"/>
    </row>
    <row r="3970" spans="4:4" x14ac:dyDescent="0.2">
      <c r="D3970" s="5"/>
    </row>
    <row r="3971" spans="4:4" x14ac:dyDescent="0.2">
      <c r="D3971" s="5"/>
    </row>
    <row r="3972" spans="4:4" x14ac:dyDescent="0.2">
      <c r="D3972" s="5"/>
    </row>
    <row r="3973" spans="4:4" x14ac:dyDescent="0.2">
      <c r="D3973" s="5"/>
    </row>
    <row r="3974" spans="4:4" x14ac:dyDescent="0.2">
      <c r="D3974" s="5"/>
    </row>
    <row r="3975" spans="4:4" x14ac:dyDescent="0.2">
      <c r="D3975" s="5"/>
    </row>
    <row r="3976" spans="4:4" x14ac:dyDescent="0.2">
      <c r="D3976" s="5"/>
    </row>
    <row r="3977" spans="4:4" x14ac:dyDescent="0.2">
      <c r="D3977" s="5"/>
    </row>
    <row r="3978" spans="4:4" x14ac:dyDescent="0.2">
      <c r="D3978" s="5"/>
    </row>
    <row r="3979" spans="4:4" x14ac:dyDescent="0.2">
      <c r="D3979" s="5"/>
    </row>
    <row r="3980" spans="4:4" x14ac:dyDescent="0.2">
      <c r="D3980" s="5"/>
    </row>
    <row r="3981" spans="4:4" x14ac:dyDescent="0.2">
      <c r="D3981" s="5"/>
    </row>
    <row r="3982" spans="4:4" x14ac:dyDescent="0.2">
      <c r="D3982" s="5"/>
    </row>
    <row r="3983" spans="4:4" x14ac:dyDescent="0.2">
      <c r="D3983" s="5"/>
    </row>
    <row r="3984" spans="4:4" x14ac:dyDescent="0.2">
      <c r="D3984" s="5"/>
    </row>
    <row r="3985" spans="4:4" x14ac:dyDescent="0.2">
      <c r="D3985" s="5"/>
    </row>
    <row r="3986" spans="4:4" x14ac:dyDescent="0.2">
      <c r="D3986" s="5"/>
    </row>
    <row r="3987" spans="4:4" x14ac:dyDescent="0.2">
      <c r="D3987" s="5"/>
    </row>
    <row r="3988" spans="4:4" x14ac:dyDescent="0.2">
      <c r="D3988" s="5"/>
    </row>
    <row r="3989" spans="4:4" x14ac:dyDescent="0.2">
      <c r="D3989" s="5"/>
    </row>
    <row r="3990" spans="4:4" x14ac:dyDescent="0.2">
      <c r="D3990" s="5"/>
    </row>
    <row r="3991" spans="4:4" x14ac:dyDescent="0.2">
      <c r="D3991" s="5"/>
    </row>
    <row r="3992" spans="4:4" x14ac:dyDescent="0.2">
      <c r="D3992" s="5"/>
    </row>
    <row r="3993" spans="4:4" x14ac:dyDescent="0.2">
      <c r="D3993" s="5"/>
    </row>
    <row r="3994" spans="4:4" x14ac:dyDescent="0.2">
      <c r="D3994" s="5"/>
    </row>
    <row r="3995" spans="4:4" x14ac:dyDescent="0.2">
      <c r="D3995" s="5"/>
    </row>
    <row r="3996" spans="4:4" x14ac:dyDescent="0.2">
      <c r="D3996" s="5"/>
    </row>
    <row r="3997" spans="4:4" x14ac:dyDescent="0.2">
      <c r="D3997" s="5"/>
    </row>
    <row r="3998" spans="4:4" x14ac:dyDescent="0.2">
      <c r="D3998" s="5"/>
    </row>
    <row r="3999" spans="4:4" x14ac:dyDescent="0.2">
      <c r="D3999" s="5"/>
    </row>
    <row r="4000" spans="4:4" x14ac:dyDescent="0.2">
      <c r="D4000" s="5"/>
    </row>
    <row r="4001" spans="4:4" x14ac:dyDescent="0.2">
      <c r="D4001" s="5"/>
    </row>
    <row r="4002" spans="4:4" x14ac:dyDescent="0.2">
      <c r="D4002" s="5"/>
    </row>
    <row r="4003" spans="4:4" x14ac:dyDescent="0.2">
      <c r="D4003" s="5"/>
    </row>
    <row r="4004" spans="4:4" x14ac:dyDescent="0.2">
      <c r="D4004" s="5"/>
    </row>
    <row r="4005" spans="4:4" x14ac:dyDescent="0.2">
      <c r="D4005" s="5"/>
    </row>
    <row r="4006" spans="4:4" x14ac:dyDescent="0.2">
      <c r="D4006" s="5"/>
    </row>
    <row r="4007" spans="4:4" x14ac:dyDescent="0.2">
      <c r="D4007" s="5"/>
    </row>
    <row r="4008" spans="4:4" x14ac:dyDescent="0.2">
      <c r="D4008" s="5"/>
    </row>
    <row r="4009" spans="4:4" x14ac:dyDescent="0.2">
      <c r="D4009" s="5"/>
    </row>
    <row r="4010" spans="4:4" x14ac:dyDescent="0.2">
      <c r="D4010" s="5"/>
    </row>
    <row r="4011" spans="4:4" x14ac:dyDescent="0.2">
      <c r="D4011" s="5"/>
    </row>
    <row r="4012" spans="4:4" x14ac:dyDescent="0.2">
      <c r="D4012" s="5"/>
    </row>
    <row r="4013" spans="4:4" x14ac:dyDescent="0.2">
      <c r="D4013" s="5"/>
    </row>
    <row r="4014" spans="4:4" x14ac:dyDescent="0.2">
      <c r="D4014" s="5"/>
    </row>
    <row r="4015" spans="4:4" x14ac:dyDescent="0.2">
      <c r="D4015" s="5"/>
    </row>
    <row r="4016" spans="4:4" x14ac:dyDescent="0.2">
      <c r="D4016" s="5"/>
    </row>
    <row r="4017" spans="4:4" x14ac:dyDescent="0.2">
      <c r="D4017" s="5"/>
    </row>
    <row r="4018" spans="4:4" x14ac:dyDescent="0.2">
      <c r="D4018" s="5"/>
    </row>
    <row r="4019" spans="4:4" x14ac:dyDescent="0.2">
      <c r="D4019" s="5"/>
    </row>
    <row r="4020" spans="4:4" x14ac:dyDescent="0.2">
      <c r="D4020" s="5"/>
    </row>
    <row r="4021" spans="4:4" x14ac:dyDescent="0.2">
      <c r="D4021" s="5"/>
    </row>
    <row r="4022" spans="4:4" x14ac:dyDescent="0.2">
      <c r="D4022" s="5"/>
    </row>
    <row r="4023" spans="4:4" x14ac:dyDescent="0.2">
      <c r="D4023" s="5"/>
    </row>
    <row r="4024" spans="4:4" x14ac:dyDescent="0.2">
      <c r="D4024" s="5"/>
    </row>
    <row r="4025" spans="4:4" x14ac:dyDescent="0.2">
      <c r="D4025" s="5"/>
    </row>
    <row r="4026" spans="4:4" x14ac:dyDescent="0.2">
      <c r="D4026" s="5"/>
    </row>
    <row r="4027" spans="4:4" x14ac:dyDescent="0.2">
      <c r="D4027" s="5"/>
    </row>
    <row r="4028" spans="4:4" x14ac:dyDescent="0.2">
      <c r="D4028" s="5"/>
    </row>
    <row r="4029" spans="4:4" x14ac:dyDescent="0.2">
      <c r="D4029" s="5"/>
    </row>
    <row r="4030" spans="4:4" x14ac:dyDescent="0.2">
      <c r="D4030" s="5"/>
    </row>
    <row r="4031" spans="4:4" x14ac:dyDescent="0.2">
      <c r="D4031" s="5"/>
    </row>
    <row r="4032" spans="4:4" x14ac:dyDescent="0.2">
      <c r="D4032" s="5"/>
    </row>
    <row r="4033" spans="4:4" x14ac:dyDescent="0.2">
      <c r="D4033" s="5"/>
    </row>
    <row r="4034" spans="4:4" x14ac:dyDescent="0.2">
      <c r="D4034" s="5"/>
    </row>
    <row r="4035" spans="4:4" x14ac:dyDescent="0.2">
      <c r="D4035" s="5"/>
    </row>
    <row r="4036" spans="4:4" x14ac:dyDescent="0.2">
      <c r="D4036" s="5"/>
    </row>
    <row r="4037" spans="4:4" x14ac:dyDescent="0.2">
      <c r="D4037" s="5"/>
    </row>
    <row r="4038" spans="4:4" x14ac:dyDescent="0.2">
      <c r="D4038" s="5"/>
    </row>
    <row r="4039" spans="4:4" x14ac:dyDescent="0.2">
      <c r="D4039" s="5"/>
    </row>
    <row r="4040" spans="4:4" x14ac:dyDescent="0.2">
      <c r="D4040" s="5"/>
    </row>
    <row r="4041" spans="4:4" x14ac:dyDescent="0.2">
      <c r="D4041" s="5"/>
    </row>
    <row r="4042" spans="4:4" x14ac:dyDescent="0.2">
      <c r="D4042" s="5"/>
    </row>
    <row r="4043" spans="4:4" x14ac:dyDescent="0.2">
      <c r="D4043" s="5"/>
    </row>
    <row r="4044" spans="4:4" x14ac:dyDescent="0.2">
      <c r="D4044" s="5"/>
    </row>
    <row r="4045" spans="4:4" x14ac:dyDescent="0.2">
      <c r="D4045" s="5"/>
    </row>
    <row r="4046" spans="4:4" x14ac:dyDescent="0.2">
      <c r="D4046" s="5"/>
    </row>
    <row r="4047" spans="4:4" x14ac:dyDescent="0.2">
      <c r="D4047" s="5"/>
    </row>
    <row r="4048" spans="4:4" x14ac:dyDescent="0.2">
      <c r="D4048" s="5"/>
    </row>
    <row r="4049" spans="4:4" x14ac:dyDescent="0.2">
      <c r="D4049" s="5"/>
    </row>
    <row r="4050" spans="4:4" x14ac:dyDescent="0.2">
      <c r="D4050" s="5"/>
    </row>
    <row r="4051" spans="4:4" x14ac:dyDescent="0.2">
      <c r="D4051" s="5"/>
    </row>
    <row r="4052" spans="4:4" x14ac:dyDescent="0.2">
      <c r="D4052" s="5"/>
    </row>
    <row r="4053" spans="4:4" x14ac:dyDescent="0.2">
      <c r="D4053" s="5"/>
    </row>
    <row r="4054" spans="4:4" x14ac:dyDescent="0.2">
      <c r="D4054" s="5"/>
    </row>
    <row r="4055" spans="4:4" x14ac:dyDescent="0.2">
      <c r="D4055" s="5"/>
    </row>
    <row r="4056" spans="4:4" x14ac:dyDescent="0.2">
      <c r="D4056" s="5"/>
    </row>
    <row r="4057" spans="4:4" x14ac:dyDescent="0.2">
      <c r="D4057" s="5"/>
    </row>
    <row r="4058" spans="4:4" x14ac:dyDescent="0.2">
      <c r="D4058" s="5"/>
    </row>
    <row r="4059" spans="4:4" x14ac:dyDescent="0.2">
      <c r="D4059" s="5"/>
    </row>
    <row r="4060" spans="4:4" x14ac:dyDescent="0.2">
      <c r="D4060" s="5"/>
    </row>
    <row r="4061" spans="4:4" x14ac:dyDescent="0.2">
      <c r="D4061" s="5"/>
    </row>
    <row r="4062" spans="4:4" x14ac:dyDescent="0.2">
      <c r="D4062" s="5"/>
    </row>
    <row r="4063" spans="4:4" x14ac:dyDescent="0.2">
      <c r="D4063" s="5"/>
    </row>
    <row r="4064" spans="4:4" x14ac:dyDescent="0.2">
      <c r="D4064" s="5"/>
    </row>
    <row r="4065" spans="4:4" x14ac:dyDescent="0.2">
      <c r="D4065" s="5"/>
    </row>
    <row r="4066" spans="4:4" x14ac:dyDescent="0.2">
      <c r="D4066" s="5"/>
    </row>
    <row r="4067" spans="4:4" x14ac:dyDescent="0.2">
      <c r="D4067" s="5"/>
    </row>
    <row r="4068" spans="4:4" x14ac:dyDescent="0.2">
      <c r="D4068" s="5"/>
    </row>
    <row r="4069" spans="4:4" x14ac:dyDescent="0.2">
      <c r="D4069" s="5"/>
    </row>
    <row r="4070" spans="4:4" x14ac:dyDescent="0.2">
      <c r="D4070" s="5"/>
    </row>
    <row r="4071" spans="4:4" x14ac:dyDescent="0.2">
      <c r="D4071" s="5"/>
    </row>
    <row r="4072" spans="4:4" x14ac:dyDescent="0.2">
      <c r="D4072" s="5"/>
    </row>
    <row r="4073" spans="4:4" x14ac:dyDescent="0.2">
      <c r="D4073" s="5"/>
    </row>
    <row r="4074" spans="4:4" x14ac:dyDescent="0.2">
      <c r="D4074" s="5"/>
    </row>
    <row r="4075" spans="4:4" x14ac:dyDescent="0.2">
      <c r="D4075" s="5"/>
    </row>
    <row r="4076" spans="4:4" x14ac:dyDescent="0.2">
      <c r="D4076" s="5"/>
    </row>
    <row r="4077" spans="4:4" x14ac:dyDescent="0.2">
      <c r="D4077" s="5"/>
    </row>
    <row r="4078" spans="4:4" x14ac:dyDescent="0.2">
      <c r="D4078" s="5"/>
    </row>
    <row r="4079" spans="4:4" x14ac:dyDescent="0.2">
      <c r="D4079" s="5"/>
    </row>
    <row r="4080" spans="4:4" x14ac:dyDescent="0.2">
      <c r="D4080" s="5"/>
    </row>
    <row r="4081" spans="4:4" x14ac:dyDescent="0.2">
      <c r="D4081" s="5"/>
    </row>
    <row r="4082" spans="4:4" x14ac:dyDescent="0.2">
      <c r="D4082" s="5"/>
    </row>
    <row r="4083" spans="4:4" x14ac:dyDescent="0.2">
      <c r="D4083" s="5"/>
    </row>
    <row r="4084" spans="4:4" x14ac:dyDescent="0.2">
      <c r="D4084" s="5"/>
    </row>
    <row r="4085" spans="4:4" x14ac:dyDescent="0.2">
      <c r="D4085" s="5"/>
    </row>
    <row r="4086" spans="4:4" x14ac:dyDescent="0.2">
      <c r="D4086" s="5"/>
    </row>
    <row r="4087" spans="4:4" x14ac:dyDescent="0.2">
      <c r="D4087" s="5"/>
    </row>
    <row r="4088" spans="4:4" x14ac:dyDescent="0.2">
      <c r="D4088" s="5"/>
    </row>
    <row r="4089" spans="4:4" x14ac:dyDescent="0.2">
      <c r="D4089" s="5"/>
    </row>
    <row r="4090" spans="4:4" x14ac:dyDescent="0.2">
      <c r="D4090" s="5"/>
    </row>
    <row r="4091" spans="4:4" x14ac:dyDescent="0.2">
      <c r="D4091" s="5"/>
    </row>
    <row r="4092" spans="4:4" x14ac:dyDescent="0.2">
      <c r="D4092" s="5"/>
    </row>
    <row r="4093" spans="4:4" x14ac:dyDescent="0.2">
      <c r="D4093" s="5"/>
    </row>
    <row r="4094" spans="4:4" x14ac:dyDescent="0.2">
      <c r="D4094" s="5"/>
    </row>
    <row r="4095" spans="4:4" x14ac:dyDescent="0.2">
      <c r="D4095" s="5"/>
    </row>
    <row r="4096" spans="4:4" x14ac:dyDescent="0.2">
      <c r="D4096" s="5"/>
    </row>
    <row r="4097" spans="4:4" x14ac:dyDescent="0.2">
      <c r="D4097" s="5"/>
    </row>
    <row r="4098" spans="4:4" x14ac:dyDescent="0.2">
      <c r="D4098" s="5"/>
    </row>
    <row r="4099" spans="4:4" x14ac:dyDescent="0.2">
      <c r="D4099" s="5"/>
    </row>
    <row r="4100" spans="4:4" x14ac:dyDescent="0.2">
      <c r="D4100" s="5"/>
    </row>
    <row r="4101" spans="4:4" x14ac:dyDescent="0.2">
      <c r="D4101" s="5"/>
    </row>
    <row r="4102" spans="4:4" x14ac:dyDescent="0.2">
      <c r="D4102" s="5"/>
    </row>
    <row r="4103" spans="4:4" x14ac:dyDescent="0.2">
      <c r="D4103" s="5"/>
    </row>
    <row r="4104" spans="4:4" x14ac:dyDescent="0.2">
      <c r="D4104" s="5"/>
    </row>
    <row r="4105" spans="4:4" x14ac:dyDescent="0.2">
      <c r="D4105" s="5"/>
    </row>
    <row r="4106" spans="4:4" x14ac:dyDescent="0.2">
      <c r="D4106" s="5"/>
    </row>
    <row r="4107" spans="4:4" x14ac:dyDescent="0.2">
      <c r="D4107" s="5"/>
    </row>
    <row r="4108" spans="4:4" x14ac:dyDescent="0.2">
      <c r="D4108" s="5"/>
    </row>
    <row r="4109" spans="4:4" x14ac:dyDescent="0.2">
      <c r="D4109" s="5"/>
    </row>
    <row r="4110" spans="4:4" x14ac:dyDescent="0.2">
      <c r="D4110" s="5"/>
    </row>
    <row r="4111" spans="4:4" x14ac:dyDescent="0.2">
      <c r="D4111" s="5"/>
    </row>
    <row r="4112" spans="4:4" x14ac:dyDescent="0.2">
      <c r="D4112" s="5"/>
    </row>
    <row r="4113" spans="4:4" x14ac:dyDescent="0.2">
      <c r="D4113" s="5"/>
    </row>
    <row r="4114" spans="4:4" x14ac:dyDescent="0.2">
      <c r="D4114" s="5"/>
    </row>
    <row r="4115" spans="4:4" x14ac:dyDescent="0.2">
      <c r="D4115" s="5"/>
    </row>
    <row r="4116" spans="4:4" x14ac:dyDescent="0.2">
      <c r="D4116" s="5"/>
    </row>
    <row r="4117" spans="4:4" x14ac:dyDescent="0.2">
      <c r="D4117" s="5"/>
    </row>
    <row r="4118" spans="4:4" x14ac:dyDescent="0.2">
      <c r="D4118" s="5"/>
    </row>
    <row r="4119" spans="4:4" x14ac:dyDescent="0.2">
      <c r="D4119" s="5"/>
    </row>
    <row r="4120" spans="4:4" x14ac:dyDescent="0.2">
      <c r="D4120" s="5"/>
    </row>
    <row r="4121" spans="4:4" x14ac:dyDescent="0.2">
      <c r="D4121" s="5"/>
    </row>
    <row r="4122" spans="4:4" x14ac:dyDescent="0.2">
      <c r="D4122" s="5"/>
    </row>
    <row r="4123" spans="4:4" x14ac:dyDescent="0.2">
      <c r="D4123" s="5"/>
    </row>
    <row r="4124" spans="4:4" x14ac:dyDescent="0.2">
      <c r="D4124" s="5"/>
    </row>
    <row r="4125" spans="4:4" x14ac:dyDescent="0.2">
      <c r="D4125" s="5"/>
    </row>
    <row r="4126" spans="4:4" x14ac:dyDescent="0.2">
      <c r="D4126" s="5"/>
    </row>
    <row r="4127" spans="4:4" x14ac:dyDescent="0.2">
      <c r="D4127" s="5"/>
    </row>
    <row r="4128" spans="4:4" x14ac:dyDescent="0.2">
      <c r="D4128" s="5"/>
    </row>
    <row r="4129" spans="4:4" x14ac:dyDescent="0.2">
      <c r="D4129" s="5"/>
    </row>
    <row r="4130" spans="4:4" x14ac:dyDescent="0.2">
      <c r="D4130" s="5"/>
    </row>
    <row r="4131" spans="4:4" x14ac:dyDescent="0.2">
      <c r="D4131" s="5"/>
    </row>
    <row r="4132" spans="4:4" x14ac:dyDescent="0.2">
      <c r="D4132" s="5"/>
    </row>
    <row r="4133" spans="4:4" x14ac:dyDescent="0.2">
      <c r="D4133" s="5"/>
    </row>
    <row r="4134" spans="4:4" x14ac:dyDescent="0.2">
      <c r="D4134" s="5"/>
    </row>
    <row r="4135" spans="4:4" x14ac:dyDescent="0.2">
      <c r="D4135" s="5"/>
    </row>
    <row r="4136" spans="4:4" x14ac:dyDescent="0.2">
      <c r="D4136" s="5"/>
    </row>
    <row r="4137" spans="4:4" x14ac:dyDescent="0.2">
      <c r="D4137" s="5"/>
    </row>
    <row r="4138" spans="4:4" x14ac:dyDescent="0.2">
      <c r="D4138" s="5"/>
    </row>
    <row r="4139" spans="4:4" x14ac:dyDescent="0.2">
      <c r="D4139" s="5"/>
    </row>
    <row r="4140" spans="4:4" x14ac:dyDescent="0.2">
      <c r="D4140" s="5"/>
    </row>
    <row r="4141" spans="4:4" x14ac:dyDescent="0.2">
      <c r="D4141" s="5"/>
    </row>
    <row r="4142" spans="4:4" x14ac:dyDescent="0.2">
      <c r="D4142" s="5"/>
    </row>
    <row r="4143" spans="4:4" x14ac:dyDescent="0.2">
      <c r="D4143" s="5"/>
    </row>
    <row r="4144" spans="4:4" x14ac:dyDescent="0.2">
      <c r="D4144" s="5"/>
    </row>
    <row r="4145" spans="4:4" x14ac:dyDescent="0.2">
      <c r="D4145" s="5"/>
    </row>
    <row r="4146" spans="4:4" x14ac:dyDescent="0.2">
      <c r="D4146" s="5"/>
    </row>
    <row r="4147" spans="4:4" x14ac:dyDescent="0.2">
      <c r="D4147" s="5"/>
    </row>
    <row r="4148" spans="4:4" x14ac:dyDescent="0.2">
      <c r="D4148" s="5"/>
    </row>
    <row r="4149" spans="4:4" x14ac:dyDescent="0.2">
      <c r="D4149" s="5"/>
    </row>
    <row r="4150" spans="4:4" x14ac:dyDescent="0.2">
      <c r="D4150" s="5"/>
    </row>
    <row r="4151" spans="4:4" x14ac:dyDescent="0.2">
      <c r="D4151" s="5"/>
    </row>
    <row r="4152" spans="4:4" x14ac:dyDescent="0.2">
      <c r="D4152" s="5"/>
    </row>
    <row r="4153" spans="4:4" x14ac:dyDescent="0.2">
      <c r="D4153" s="5"/>
    </row>
    <row r="4154" spans="4:4" x14ac:dyDescent="0.2">
      <c r="D4154" s="5"/>
    </row>
    <row r="4155" spans="4:4" x14ac:dyDescent="0.2">
      <c r="D4155" s="5"/>
    </row>
    <row r="4156" spans="4:4" x14ac:dyDescent="0.2">
      <c r="D4156" s="5"/>
    </row>
    <row r="4157" spans="4:4" x14ac:dyDescent="0.2">
      <c r="D4157" s="5"/>
    </row>
    <row r="4158" spans="4:4" x14ac:dyDescent="0.2">
      <c r="D4158" s="5"/>
    </row>
    <row r="4159" spans="4:4" x14ac:dyDescent="0.2">
      <c r="D4159" s="5"/>
    </row>
    <row r="4160" spans="4:4" x14ac:dyDescent="0.2">
      <c r="D4160" s="5"/>
    </row>
    <row r="4161" spans="4:4" x14ac:dyDescent="0.2">
      <c r="D4161" s="5"/>
    </row>
    <row r="4162" spans="4:4" x14ac:dyDescent="0.2">
      <c r="D4162" s="5"/>
    </row>
    <row r="4163" spans="4:4" x14ac:dyDescent="0.2">
      <c r="D4163" s="5"/>
    </row>
    <row r="4164" spans="4:4" x14ac:dyDescent="0.2">
      <c r="D4164" s="5"/>
    </row>
    <row r="4165" spans="4:4" x14ac:dyDescent="0.2">
      <c r="D4165" s="5"/>
    </row>
    <row r="4166" spans="4:4" x14ac:dyDescent="0.2">
      <c r="D4166" s="5"/>
    </row>
    <row r="4167" spans="4:4" x14ac:dyDescent="0.2">
      <c r="D4167" s="5"/>
    </row>
    <row r="4168" spans="4:4" x14ac:dyDescent="0.2">
      <c r="D4168" s="5"/>
    </row>
    <row r="4169" spans="4:4" x14ac:dyDescent="0.2">
      <c r="D4169" s="5"/>
    </row>
    <row r="4170" spans="4:4" x14ac:dyDescent="0.2">
      <c r="D4170" s="5"/>
    </row>
    <row r="4171" spans="4:4" x14ac:dyDescent="0.2">
      <c r="D4171" s="5"/>
    </row>
    <row r="4172" spans="4:4" x14ac:dyDescent="0.2">
      <c r="D4172" s="5"/>
    </row>
    <row r="4173" spans="4:4" x14ac:dyDescent="0.2">
      <c r="D4173" s="5"/>
    </row>
    <row r="4174" spans="4:4" x14ac:dyDescent="0.2">
      <c r="D4174" s="5"/>
    </row>
    <row r="4175" spans="4:4" x14ac:dyDescent="0.2">
      <c r="D4175" s="5"/>
    </row>
    <row r="4176" spans="4:4" x14ac:dyDescent="0.2">
      <c r="D4176" s="5"/>
    </row>
    <row r="4177" spans="4:4" x14ac:dyDescent="0.2">
      <c r="D4177" s="5"/>
    </row>
    <row r="4178" spans="4:4" x14ac:dyDescent="0.2">
      <c r="D4178" s="5"/>
    </row>
    <row r="4179" spans="4:4" x14ac:dyDescent="0.2">
      <c r="D4179" s="5"/>
    </row>
    <row r="4180" spans="4:4" x14ac:dyDescent="0.2">
      <c r="D4180" s="5"/>
    </row>
    <row r="4181" spans="4:4" x14ac:dyDescent="0.2">
      <c r="D4181" s="5"/>
    </row>
    <row r="4182" spans="4:4" x14ac:dyDescent="0.2">
      <c r="D4182" s="5"/>
    </row>
    <row r="4183" spans="4:4" x14ac:dyDescent="0.2">
      <c r="D4183" s="5"/>
    </row>
    <row r="4184" spans="4:4" x14ac:dyDescent="0.2">
      <c r="D4184" s="5"/>
    </row>
    <row r="4185" spans="4:4" x14ac:dyDescent="0.2">
      <c r="D4185" s="5"/>
    </row>
    <row r="4186" spans="4:4" x14ac:dyDescent="0.2">
      <c r="D4186" s="5"/>
    </row>
    <row r="4187" spans="4:4" x14ac:dyDescent="0.2">
      <c r="D4187" s="5"/>
    </row>
    <row r="4188" spans="4:4" x14ac:dyDescent="0.2">
      <c r="D4188" s="5"/>
    </row>
    <row r="4189" spans="4:4" x14ac:dyDescent="0.2">
      <c r="D4189" s="5"/>
    </row>
    <row r="4190" spans="4:4" x14ac:dyDescent="0.2">
      <c r="D4190" s="5"/>
    </row>
    <row r="4191" spans="4:4" x14ac:dyDescent="0.2">
      <c r="D4191" s="5"/>
    </row>
    <row r="4192" spans="4:4" x14ac:dyDescent="0.2">
      <c r="D4192" s="5"/>
    </row>
    <row r="4193" spans="4:4" x14ac:dyDescent="0.2">
      <c r="D4193" s="5"/>
    </row>
    <row r="4194" spans="4:4" x14ac:dyDescent="0.2">
      <c r="D4194" s="5"/>
    </row>
    <row r="4195" spans="4:4" x14ac:dyDescent="0.2">
      <c r="D4195" s="5"/>
    </row>
    <row r="4196" spans="4:4" x14ac:dyDescent="0.2">
      <c r="D4196" s="5"/>
    </row>
    <row r="4197" spans="4:4" x14ac:dyDescent="0.2">
      <c r="D4197" s="5"/>
    </row>
    <row r="4198" spans="4:4" x14ac:dyDescent="0.2">
      <c r="D4198" s="5"/>
    </row>
    <row r="4199" spans="4:4" x14ac:dyDescent="0.2">
      <c r="D4199" s="5"/>
    </row>
    <row r="4200" spans="4:4" x14ac:dyDescent="0.2">
      <c r="D4200" s="5"/>
    </row>
    <row r="4201" spans="4:4" x14ac:dyDescent="0.2">
      <c r="D4201" s="5"/>
    </row>
    <row r="4202" spans="4:4" x14ac:dyDescent="0.2">
      <c r="D4202" s="5"/>
    </row>
    <row r="4203" spans="4:4" x14ac:dyDescent="0.2">
      <c r="D4203" s="5"/>
    </row>
    <row r="4204" spans="4:4" x14ac:dyDescent="0.2">
      <c r="D4204" s="5"/>
    </row>
    <row r="4205" spans="4:4" x14ac:dyDescent="0.2">
      <c r="D4205" s="5"/>
    </row>
    <row r="4206" spans="4:4" x14ac:dyDescent="0.2">
      <c r="D4206" s="5"/>
    </row>
    <row r="4207" spans="4:4" x14ac:dyDescent="0.2">
      <c r="D4207" s="5"/>
    </row>
    <row r="4208" spans="4:4" x14ac:dyDescent="0.2">
      <c r="D4208" s="5"/>
    </row>
    <row r="4209" spans="4:4" x14ac:dyDescent="0.2">
      <c r="D4209" s="5"/>
    </row>
    <row r="4210" spans="4:4" x14ac:dyDescent="0.2">
      <c r="D4210" s="5"/>
    </row>
    <row r="4211" spans="4:4" x14ac:dyDescent="0.2">
      <c r="D4211" s="5"/>
    </row>
    <row r="4212" spans="4:4" x14ac:dyDescent="0.2">
      <c r="D4212" s="5"/>
    </row>
    <row r="4213" spans="4:4" x14ac:dyDescent="0.2">
      <c r="D4213" s="5"/>
    </row>
    <row r="4214" spans="4:4" x14ac:dyDescent="0.2">
      <c r="D4214" s="5"/>
    </row>
    <row r="4215" spans="4:4" x14ac:dyDescent="0.2">
      <c r="D4215" s="5"/>
    </row>
    <row r="4216" spans="4:4" x14ac:dyDescent="0.2">
      <c r="D4216" s="5"/>
    </row>
    <row r="4217" spans="4:4" x14ac:dyDescent="0.2">
      <c r="D4217" s="5"/>
    </row>
    <row r="4218" spans="4:4" x14ac:dyDescent="0.2">
      <c r="D4218" s="5"/>
    </row>
    <row r="4219" spans="4:4" x14ac:dyDescent="0.2">
      <c r="D4219" s="5"/>
    </row>
    <row r="4220" spans="4:4" x14ac:dyDescent="0.2">
      <c r="D4220" s="5"/>
    </row>
    <row r="4221" spans="4:4" x14ac:dyDescent="0.2">
      <c r="D4221" s="5"/>
    </row>
    <row r="4222" spans="4:4" x14ac:dyDescent="0.2">
      <c r="D4222" s="5"/>
    </row>
    <row r="4223" spans="4:4" x14ac:dyDescent="0.2">
      <c r="D4223" s="5"/>
    </row>
    <row r="4224" spans="4:4" x14ac:dyDescent="0.2">
      <c r="D4224" s="5"/>
    </row>
    <row r="4225" spans="4:4" x14ac:dyDescent="0.2">
      <c r="D4225" s="5"/>
    </row>
    <row r="4226" spans="4:4" x14ac:dyDescent="0.2">
      <c r="D4226" s="5"/>
    </row>
    <row r="4227" spans="4:4" x14ac:dyDescent="0.2">
      <c r="D4227" s="5"/>
    </row>
    <row r="4228" spans="4:4" x14ac:dyDescent="0.2">
      <c r="D4228" s="5"/>
    </row>
    <row r="4229" spans="4:4" x14ac:dyDescent="0.2">
      <c r="D4229" s="5"/>
    </row>
    <row r="4230" spans="4:4" x14ac:dyDescent="0.2">
      <c r="D4230" s="5"/>
    </row>
    <row r="4231" spans="4:4" x14ac:dyDescent="0.2">
      <c r="D4231" s="5"/>
    </row>
    <row r="4232" spans="4:4" x14ac:dyDescent="0.2">
      <c r="D4232" s="5"/>
    </row>
    <row r="4233" spans="4:4" x14ac:dyDescent="0.2">
      <c r="D4233" s="5"/>
    </row>
    <row r="4234" spans="4:4" x14ac:dyDescent="0.2">
      <c r="D4234" s="5"/>
    </row>
    <row r="4235" spans="4:4" x14ac:dyDescent="0.2">
      <c r="D4235" s="5"/>
    </row>
    <row r="4236" spans="4:4" x14ac:dyDescent="0.2">
      <c r="D4236" s="5"/>
    </row>
    <row r="4237" spans="4:4" x14ac:dyDescent="0.2">
      <c r="D4237" s="5"/>
    </row>
    <row r="4238" spans="4:4" x14ac:dyDescent="0.2">
      <c r="D4238" s="5"/>
    </row>
    <row r="4239" spans="4:4" x14ac:dyDescent="0.2">
      <c r="D4239" s="5"/>
    </row>
    <row r="4240" spans="4:4" x14ac:dyDescent="0.2">
      <c r="D4240" s="5"/>
    </row>
    <row r="4241" spans="4:4" x14ac:dyDescent="0.2">
      <c r="D4241" s="5"/>
    </row>
    <row r="4242" spans="4:4" x14ac:dyDescent="0.2">
      <c r="D4242" s="5"/>
    </row>
    <row r="4243" spans="4:4" x14ac:dyDescent="0.2">
      <c r="D4243" s="5"/>
    </row>
    <row r="4244" spans="4:4" x14ac:dyDescent="0.2">
      <c r="D4244" s="5"/>
    </row>
    <row r="4245" spans="4:4" x14ac:dyDescent="0.2">
      <c r="D4245" s="5"/>
    </row>
    <row r="4246" spans="4:4" x14ac:dyDescent="0.2">
      <c r="D4246" s="5"/>
    </row>
    <row r="4247" spans="4:4" x14ac:dyDescent="0.2">
      <c r="D4247" s="5"/>
    </row>
    <row r="4248" spans="4:4" x14ac:dyDescent="0.2">
      <c r="D4248" s="5"/>
    </row>
    <row r="4249" spans="4:4" x14ac:dyDescent="0.2">
      <c r="D4249" s="5"/>
    </row>
    <row r="4250" spans="4:4" x14ac:dyDescent="0.2">
      <c r="D4250" s="5"/>
    </row>
    <row r="4251" spans="4:4" x14ac:dyDescent="0.2">
      <c r="D4251" s="5"/>
    </row>
    <row r="4252" spans="4:4" x14ac:dyDescent="0.2">
      <c r="D4252" s="5"/>
    </row>
    <row r="4253" spans="4:4" x14ac:dyDescent="0.2">
      <c r="D4253" s="5"/>
    </row>
    <row r="4254" spans="4:4" x14ac:dyDescent="0.2">
      <c r="D4254" s="5"/>
    </row>
    <row r="4255" spans="4:4" x14ac:dyDescent="0.2">
      <c r="D4255" s="5"/>
    </row>
    <row r="4256" spans="4:4" x14ac:dyDescent="0.2">
      <c r="D4256" s="5"/>
    </row>
    <row r="4257" spans="4:4" x14ac:dyDescent="0.2">
      <c r="D4257" s="5"/>
    </row>
    <row r="4258" spans="4:4" x14ac:dyDescent="0.2">
      <c r="D4258" s="5"/>
    </row>
    <row r="4259" spans="4:4" x14ac:dyDescent="0.2">
      <c r="D4259" s="5"/>
    </row>
    <row r="4260" spans="4:4" x14ac:dyDescent="0.2">
      <c r="D4260" s="5"/>
    </row>
    <row r="4261" spans="4:4" x14ac:dyDescent="0.2">
      <c r="D4261" s="5"/>
    </row>
    <row r="4262" spans="4:4" x14ac:dyDescent="0.2">
      <c r="D4262" s="5"/>
    </row>
    <row r="4263" spans="4:4" x14ac:dyDescent="0.2">
      <c r="D4263" s="5"/>
    </row>
    <row r="4264" spans="4:4" x14ac:dyDescent="0.2">
      <c r="D4264" s="5"/>
    </row>
    <row r="4265" spans="4:4" x14ac:dyDescent="0.2">
      <c r="D4265" s="5"/>
    </row>
    <row r="4266" spans="4:4" x14ac:dyDescent="0.2">
      <c r="D4266" s="5"/>
    </row>
    <row r="4267" spans="4:4" x14ac:dyDescent="0.2">
      <c r="D4267" s="5"/>
    </row>
    <row r="4268" spans="4:4" x14ac:dyDescent="0.2">
      <c r="D4268" s="5"/>
    </row>
    <row r="4269" spans="4:4" x14ac:dyDescent="0.2">
      <c r="D4269" s="5"/>
    </row>
    <row r="4270" spans="4:4" x14ac:dyDescent="0.2">
      <c r="D4270" s="5"/>
    </row>
    <row r="4271" spans="4:4" x14ac:dyDescent="0.2">
      <c r="D4271" s="5"/>
    </row>
    <row r="4272" spans="4:4" x14ac:dyDescent="0.2">
      <c r="D4272" s="5"/>
    </row>
    <row r="4273" spans="4:4" x14ac:dyDescent="0.2">
      <c r="D4273" s="5"/>
    </row>
    <row r="4274" spans="4:4" x14ac:dyDescent="0.2">
      <c r="D4274" s="5"/>
    </row>
    <row r="4275" spans="4:4" x14ac:dyDescent="0.2">
      <c r="D4275" s="5"/>
    </row>
    <row r="4276" spans="4:4" x14ac:dyDescent="0.2">
      <c r="D4276" s="5"/>
    </row>
    <row r="4277" spans="4:4" x14ac:dyDescent="0.2">
      <c r="D4277" s="5"/>
    </row>
    <row r="4278" spans="4:4" x14ac:dyDescent="0.2">
      <c r="D4278" s="5"/>
    </row>
    <row r="4279" spans="4:4" x14ac:dyDescent="0.2">
      <c r="D4279" s="5"/>
    </row>
    <row r="4280" spans="4:4" x14ac:dyDescent="0.2">
      <c r="D4280" s="5"/>
    </row>
    <row r="4281" spans="4:4" x14ac:dyDescent="0.2">
      <c r="D4281" s="5"/>
    </row>
    <row r="4282" spans="4:4" x14ac:dyDescent="0.2">
      <c r="D4282" s="5"/>
    </row>
    <row r="4283" spans="4:4" x14ac:dyDescent="0.2">
      <c r="D4283" s="5"/>
    </row>
    <row r="4284" spans="4:4" x14ac:dyDescent="0.2">
      <c r="D4284" s="5"/>
    </row>
    <row r="4285" spans="4:4" x14ac:dyDescent="0.2">
      <c r="D4285" s="5"/>
    </row>
    <row r="4286" spans="4:4" x14ac:dyDescent="0.2">
      <c r="D4286" s="5"/>
    </row>
    <row r="4287" spans="4:4" x14ac:dyDescent="0.2">
      <c r="D4287" s="5"/>
    </row>
    <row r="4288" spans="4:4" x14ac:dyDescent="0.2">
      <c r="D4288" s="5"/>
    </row>
    <row r="4289" spans="4:4" x14ac:dyDescent="0.2">
      <c r="D4289" s="5"/>
    </row>
    <row r="4290" spans="4:4" x14ac:dyDescent="0.2">
      <c r="D4290" s="5"/>
    </row>
    <row r="4291" spans="4:4" x14ac:dyDescent="0.2">
      <c r="D4291" s="5"/>
    </row>
    <row r="4292" spans="4:4" x14ac:dyDescent="0.2">
      <c r="D4292" s="5"/>
    </row>
    <row r="4293" spans="4:4" x14ac:dyDescent="0.2">
      <c r="D4293" s="5"/>
    </row>
    <row r="4294" spans="4:4" x14ac:dyDescent="0.2">
      <c r="D4294" s="5"/>
    </row>
    <row r="4295" spans="4:4" x14ac:dyDescent="0.2">
      <c r="D4295" s="5"/>
    </row>
    <row r="4296" spans="4:4" x14ac:dyDescent="0.2">
      <c r="D4296" s="5"/>
    </row>
    <row r="4297" spans="4:4" x14ac:dyDescent="0.2">
      <c r="D4297" s="5"/>
    </row>
    <row r="4298" spans="4:4" x14ac:dyDescent="0.2">
      <c r="D4298" s="5"/>
    </row>
    <row r="4299" spans="4:4" x14ac:dyDescent="0.2">
      <c r="D4299" s="5"/>
    </row>
    <row r="4300" spans="4:4" x14ac:dyDescent="0.2">
      <c r="D4300" s="5"/>
    </row>
    <row r="4301" spans="4:4" x14ac:dyDescent="0.2">
      <c r="D4301" s="5"/>
    </row>
    <row r="4302" spans="4:4" x14ac:dyDescent="0.2">
      <c r="D4302" s="5"/>
    </row>
    <row r="4303" spans="4:4" x14ac:dyDescent="0.2">
      <c r="D4303" s="5"/>
    </row>
    <row r="4304" spans="4:4" x14ac:dyDescent="0.2">
      <c r="D4304" s="5"/>
    </row>
    <row r="4305" spans="4:4" x14ac:dyDescent="0.2">
      <c r="D4305" s="5"/>
    </row>
    <row r="4306" spans="4:4" x14ac:dyDescent="0.2">
      <c r="D4306" s="5"/>
    </row>
    <row r="4307" spans="4:4" x14ac:dyDescent="0.2">
      <c r="D4307" s="5"/>
    </row>
    <row r="4308" spans="4:4" x14ac:dyDescent="0.2">
      <c r="D4308" s="5"/>
    </row>
    <row r="4309" spans="4:4" x14ac:dyDescent="0.2">
      <c r="D4309" s="5"/>
    </row>
    <row r="4310" spans="4:4" x14ac:dyDescent="0.2">
      <c r="D4310" s="5"/>
    </row>
    <row r="4311" spans="4:4" x14ac:dyDescent="0.2">
      <c r="D4311" s="5"/>
    </row>
    <row r="4312" spans="4:4" x14ac:dyDescent="0.2">
      <c r="D4312" s="5"/>
    </row>
    <row r="4313" spans="4:4" x14ac:dyDescent="0.2">
      <c r="D4313" s="5"/>
    </row>
    <row r="4314" spans="4:4" x14ac:dyDescent="0.2">
      <c r="D4314" s="5"/>
    </row>
    <row r="4315" spans="4:4" x14ac:dyDescent="0.2">
      <c r="D4315" s="5"/>
    </row>
    <row r="4316" spans="4:4" x14ac:dyDescent="0.2">
      <c r="D4316" s="5"/>
    </row>
    <row r="4317" spans="4:4" x14ac:dyDescent="0.2">
      <c r="D4317" s="5"/>
    </row>
    <row r="4318" spans="4:4" x14ac:dyDescent="0.2">
      <c r="D4318" s="5"/>
    </row>
    <row r="4319" spans="4:4" x14ac:dyDescent="0.2">
      <c r="D4319" s="5"/>
    </row>
    <row r="4320" spans="4:4" x14ac:dyDescent="0.2">
      <c r="D4320" s="5"/>
    </row>
    <row r="4321" spans="4:4" x14ac:dyDescent="0.2">
      <c r="D4321" s="5"/>
    </row>
    <row r="4322" spans="4:4" x14ac:dyDescent="0.2">
      <c r="D4322" s="5"/>
    </row>
    <row r="4323" spans="4:4" x14ac:dyDescent="0.2">
      <c r="D4323" s="5"/>
    </row>
    <row r="4324" spans="4:4" x14ac:dyDescent="0.2">
      <c r="D4324" s="5"/>
    </row>
    <row r="4325" spans="4:4" x14ac:dyDescent="0.2">
      <c r="D4325" s="5"/>
    </row>
    <row r="4326" spans="4:4" x14ac:dyDescent="0.2">
      <c r="D4326" s="5"/>
    </row>
    <row r="4327" spans="4:4" x14ac:dyDescent="0.2">
      <c r="D4327" s="5"/>
    </row>
    <row r="4328" spans="4:4" x14ac:dyDescent="0.2">
      <c r="D4328" s="5"/>
    </row>
    <row r="4329" spans="4:4" x14ac:dyDescent="0.2">
      <c r="D4329" s="5"/>
    </row>
    <row r="4330" spans="4:4" x14ac:dyDescent="0.2">
      <c r="D4330" s="5"/>
    </row>
    <row r="4331" spans="4:4" x14ac:dyDescent="0.2">
      <c r="D4331" s="5"/>
    </row>
    <row r="4332" spans="4:4" x14ac:dyDescent="0.2">
      <c r="D4332" s="5"/>
    </row>
    <row r="4333" spans="4:4" x14ac:dyDescent="0.2">
      <c r="D4333" s="5"/>
    </row>
    <row r="4334" spans="4:4" x14ac:dyDescent="0.2">
      <c r="D4334" s="5"/>
    </row>
    <row r="4335" spans="4:4" x14ac:dyDescent="0.2">
      <c r="D4335" s="5"/>
    </row>
    <row r="4336" spans="4:4" x14ac:dyDescent="0.2">
      <c r="D4336" s="5"/>
    </row>
    <row r="4337" spans="4:4" x14ac:dyDescent="0.2">
      <c r="D4337" s="5"/>
    </row>
    <row r="4338" spans="4:4" x14ac:dyDescent="0.2">
      <c r="D4338" s="5"/>
    </row>
    <row r="4339" spans="4:4" x14ac:dyDescent="0.2">
      <c r="D4339" s="5"/>
    </row>
    <row r="4340" spans="4:4" x14ac:dyDescent="0.2">
      <c r="D4340" s="5"/>
    </row>
    <row r="4341" spans="4:4" x14ac:dyDescent="0.2">
      <c r="D4341" s="5"/>
    </row>
    <row r="4342" spans="4:4" x14ac:dyDescent="0.2">
      <c r="D4342" s="5"/>
    </row>
    <row r="4343" spans="4:4" x14ac:dyDescent="0.2">
      <c r="D4343" s="5"/>
    </row>
    <row r="4344" spans="4:4" x14ac:dyDescent="0.2">
      <c r="D4344" s="5"/>
    </row>
    <row r="4345" spans="4:4" x14ac:dyDescent="0.2">
      <c r="D4345" s="5"/>
    </row>
    <row r="4346" spans="4:4" x14ac:dyDescent="0.2">
      <c r="D4346" s="5"/>
    </row>
    <row r="4347" spans="4:4" x14ac:dyDescent="0.2">
      <c r="D4347" s="5"/>
    </row>
    <row r="4348" spans="4:4" x14ac:dyDescent="0.2">
      <c r="D4348" s="5"/>
    </row>
    <row r="4349" spans="4:4" x14ac:dyDescent="0.2">
      <c r="D4349" s="5"/>
    </row>
    <row r="4350" spans="4:4" x14ac:dyDescent="0.2">
      <c r="D4350" s="5"/>
    </row>
    <row r="4351" spans="4:4" x14ac:dyDescent="0.2">
      <c r="D4351" s="5"/>
    </row>
    <row r="4352" spans="4:4" x14ac:dyDescent="0.2">
      <c r="D4352" s="5"/>
    </row>
    <row r="4353" spans="4:4" x14ac:dyDescent="0.2">
      <c r="D4353" s="5"/>
    </row>
    <row r="4354" spans="4:4" x14ac:dyDescent="0.2">
      <c r="D4354" s="5"/>
    </row>
    <row r="4355" spans="4:4" x14ac:dyDescent="0.2">
      <c r="D4355" s="5"/>
    </row>
    <row r="4356" spans="4:4" x14ac:dyDescent="0.2">
      <c r="D4356" s="5"/>
    </row>
    <row r="4357" spans="4:4" x14ac:dyDescent="0.2">
      <c r="D4357" s="5"/>
    </row>
    <row r="4358" spans="4:4" x14ac:dyDescent="0.2">
      <c r="D4358" s="5"/>
    </row>
    <row r="4359" spans="4:4" x14ac:dyDescent="0.2">
      <c r="D4359" s="5"/>
    </row>
    <row r="4360" spans="4:4" x14ac:dyDescent="0.2">
      <c r="D4360" s="5"/>
    </row>
    <row r="4361" spans="4:4" x14ac:dyDescent="0.2">
      <c r="D4361" s="5"/>
    </row>
    <row r="4362" spans="4:4" x14ac:dyDescent="0.2">
      <c r="D4362" s="5"/>
    </row>
    <row r="4363" spans="4:4" x14ac:dyDescent="0.2">
      <c r="D4363" s="5"/>
    </row>
    <row r="4364" spans="4:4" x14ac:dyDescent="0.2">
      <c r="D4364" s="5"/>
    </row>
    <row r="4365" spans="4:4" x14ac:dyDescent="0.2">
      <c r="D4365" s="5"/>
    </row>
    <row r="4366" spans="4:4" x14ac:dyDescent="0.2">
      <c r="D4366" s="5"/>
    </row>
    <row r="4367" spans="4:4" x14ac:dyDescent="0.2">
      <c r="D4367" s="5"/>
    </row>
    <row r="4368" spans="4:4" x14ac:dyDescent="0.2">
      <c r="D4368" s="5"/>
    </row>
    <row r="4369" spans="4:4" x14ac:dyDescent="0.2">
      <c r="D4369" s="5"/>
    </row>
    <row r="4370" spans="4:4" x14ac:dyDescent="0.2">
      <c r="D4370" s="5"/>
    </row>
    <row r="4371" spans="4:4" x14ac:dyDescent="0.2">
      <c r="D4371" s="5"/>
    </row>
    <row r="4372" spans="4:4" x14ac:dyDescent="0.2">
      <c r="D4372" s="5"/>
    </row>
    <row r="4373" spans="4:4" x14ac:dyDescent="0.2">
      <c r="D4373" s="5"/>
    </row>
    <row r="4374" spans="4:4" x14ac:dyDescent="0.2">
      <c r="D4374" s="5"/>
    </row>
    <row r="4375" spans="4:4" x14ac:dyDescent="0.2">
      <c r="D4375" s="5"/>
    </row>
    <row r="4376" spans="4:4" x14ac:dyDescent="0.2">
      <c r="D4376" s="5"/>
    </row>
    <row r="4377" spans="4:4" x14ac:dyDescent="0.2">
      <c r="D4377" s="5"/>
    </row>
    <row r="4378" spans="4:4" x14ac:dyDescent="0.2">
      <c r="D4378" s="5"/>
    </row>
    <row r="4379" spans="4:4" x14ac:dyDescent="0.2">
      <c r="D4379" s="5"/>
    </row>
    <row r="4380" spans="4:4" x14ac:dyDescent="0.2">
      <c r="D4380" s="5"/>
    </row>
    <row r="4381" spans="4:4" x14ac:dyDescent="0.2">
      <c r="D4381" s="5"/>
    </row>
    <row r="4382" spans="4:4" x14ac:dyDescent="0.2">
      <c r="D4382" s="5"/>
    </row>
    <row r="4383" spans="4:4" x14ac:dyDescent="0.2">
      <c r="D4383" s="5"/>
    </row>
    <row r="4384" spans="4:4" x14ac:dyDescent="0.2">
      <c r="D4384" s="5"/>
    </row>
    <row r="4385" spans="4:4" x14ac:dyDescent="0.2">
      <c r="D4385" s="5"/>
    </row>
    <row r="4386" spans="4:4" x14ac:dyDescent="0.2">
      <c r="D4386" s="5"/>
    </row>
    <row r="4387" spans="4:4" x14ac:dyDescent="0.2">
      <c r="D4387" s="5"/>
    </row>
    <row r="4388" spans="4:4" x14ac:dyDescent="0.2">
      <c r="D4388" s="5"/>
    </row>
    <row r="4389" spans="4:4" x14ac:dyDescent="0.2">
      <c r="D4389" s="5"/>
    </row>
    <row r="4390" spans="4:4" x14ac:dyDescent="0.2">
      <c r="D4390" s="5"/>
    </row>
    <row r="4391" spans="4:4" x14ac:dyDescent="0.2">
      <c r="D4391" s="5"/>
    </row>
    <row r="4392" spans="4:4" x14ac:dyDescent="0.2">
      <c r="D4392" s="5"/>
    </row>
    <row r="4393" spans="4:4" x14ac:dyDescent="0.2">
      <c r="D4393" s="5"/>
    </row>
    <row r="4394" spans="4:4" x14ac:dyDescent="0.2">
      <c r="D4394" s="5"/>
    </row>
    <row r="4395" spans="4:4" x14ac:dyDescent="0.2">
      <c r="D4395" s="5"/>
    </row>
    <row r="4396" spans="4:4" x14ac:dyDescent="0.2">
      <c r="D4396" s="5"/>
    </row>
    <row r="4397" spans="4:4" x14ac:dyDescent="0.2">
      <c r="D4397" s="5"/>
    </row>
    <row r="4398" spans="4:4" x14ac:dyDescent="0.2">
      <c r="D4398" s="5"/>
    </row>
    <row r="4399" spans="4:4" x14ac:dyDescent="0.2">
      <c r="D4399" s="5"/>
    </row>
    <row r="4400" spans="4:4" x14ac:dyDescent="0.2">
      <c r="D4400" s="5"/>
    </row>
    <row r="4401" spans="4:4" x14ac:dyDescent="0.2">
      <c r="D4401" s="5"/>
    </row>
    <row r="4402" spans="4:4" x14ac:dyDescent="0.2">
      <c r="D4402" s="5"/>
    </row>
    <row r="4403" spans="4:4" x14ac:dyDescent="0.2">
      <c r="D4403" s="5"/>
    </row>
    <row r="4404" spans="4:4" x14ac:dyDescent="0.2">
      <c r="D4404" s="5"/>
    </row>
    <row r="4405" spans="4:4" x14ac:dyDescent="0.2">
      <c r="D4405" s="5"/>
    </row>
    <row r="4406" spans="4:4" x14ac:dyDescent="0.2">
      <c r="D4406" s="5"/>
    </row>
    <row r="4407" spans="4:4" x14ac:dyDescent="0.2">
      <c r="D4407" s="5"/>
    </row>
    <row r="4408" spans="4:4" x14ac:dyDescent="0.2">
      <c r="D4408" s="5"/>
    </row>
    <row r="4409" spans="4:4" x14ac:dyDescent="0.2">
      <c r="D4409" s="5"/>
    </row>
    <row r="4410" spans="4:4" x14ac:dyDescent="0.2">
      <c r="D4410" s="5"/>
    </row>
    <row r="4411" spans="4:4" x14ac:dyDescent="0.2">
      <c r="D4411" s="5"/>
    </row>
    <row r="4412" spans="4:4" x14ac:dyDescent="0.2">
      <c r="D4412" s="5"/>
    </row>
    <row r="4413" spans="4:4" x14ac:dyDescent="0.2">
      <c r="D4413" s="5"/>
    </row>
    <row r="4414" spans="4:4" x14ac:dyDescent="0.2">
      <c r="D4414" s="5"/>
    </row>
    <row r="4415" spans="4:4" x14ac:dyDescent="0.2">
      <c r="D4415" s="5"/>
    </row>
    <row r="4416" spans="4:4" x14ac:dyDescent="0.2">
      <c r="D4416" s="5"/>
    </row>
    <row r="4417" spans="4:4" x14ac:dyDescent="0.2">
      <c r="D4417" s="5"/>
    </row>
    <row r="4418" spans="4:4" x14ac:dyDescent="0.2">
      <c r="D4418" s="5"/>
    </row>
    <row r="4419" spans="4:4" x14ac:dyDescent="0.2">
      <c r="D4419" s="5"/>
    </row>
    <row r="4420" spans="4:4" x14ac:dyDescent="0.2">
      <c r="D4420" s="5"/>
    </row>
    <row r="4421" spans="4:4" x14ac:dyDescent="0.2">
      <c r="D4421" s="5"/>
    </row>
    <row r="4422" spans="4:4" x14ac:dyDescent="0.2">
      <c r="D4422" s="5"/>
    </row>
    <row r="4423" spans="4:4" x14ac:dyDescent="0.2">
      <c r="D4423" s="5"/>
    </row>
    <row r="4424" spans="4:4" x14ac:dyDescent="0.2">
      <c r="D4424" s="5"/>
    </row>
    <row r="4425" spans="4:4" x14ac:dyDescent="0.2">
      <c r="D4425" s="5"/>
    </row>
    <row r="4426" spans="4:4" x14ac:dyDescent="0.2">
      <c r="D4426" s="5"/>
    </row>
    <row r="4427" spans="4:4" x14ac:dyDescent="0.2">
      <c r="D4427" s="5"/>
    </row>
    <row r="4428" spans="4:4" x14ac:dyDescent="0.2">
      <c r="D4428" s="5"/>
    </row>
    <row r="4429" spans="4:4" x14ac:dyDescent="0.2">
      <c r="D4429" s="5"/>
    </row>
    <row r="4430" spans="4:4" x14ac:dyDescent="0.2">
      <c r="D4430" s="5"/>
    </row>
    <row r="4431" spans="4:4" x14ac:dyDescent="0.2">
      <c r="D4431" s="5"/>
    </row>
    <row r="4432" spans="4:4" x14ac:dyDescent="0.2">
      <c r="D4432" s="5"/>
    </row>
    <row r="4433" spans="4:4" x14ac:dyDescent="0.2">
      <c r="D4433" s="5"/>
    </row>
    <row r="4434" spans="4:4" x14ac:dyDescent="0.2">
      <c r="D4434" s="5"/>
    </row>
    <row r="4435" spans="4:4" x14ac:dyDescent="0.2">
      <c r="D4435" s="5"/>
    </row>
    <row r="4436" spans="4:4" x14ac:dyDescent="0.2">
      <c r="D4436" s="5"/>
    </row>
    <row r="4437" spans="4:4" x14ac:dyDescent="0.2">
      <c r="D4437" s="5"/>
    </row>
    <row r="4438" spans="4:4" x14ac:dyDescent="0.2">
      <c r="D4438" s="5"/>
    </row>
    <row r="4439" spans="4:4" x14ac:dyDescent="0.2">
      <c r="D4439" s="5"/>
    </row>
    <row r="4440" spans="4:4" x14ac:dyDescent="0.2">
      <c r="D4440" s="5"/>
    </row>
    <row r="4441" spans="4:4" x14ac:dyDescent="0.2">
      <c r="D4441" s="5"/>
    </row>
    <row r="4442" spans="4:4" x14ac:dyDescent="0.2">
      <c r="D4442" s="5"/>
    </row>
    <row r="4443" spans="4:4" x14ac:dyDescent="0.2">
      <c r="D4443" s="5"/>
    </row>
    <row r="4444" spans="4:4" x14ac:dyDescent="0.2">
      <c r="D4444" s="5"/>
    </row>
    <row r="4445" spans="4:4" x14ac:dyDescent="0.2">
      <c r="D4445" s="5"/>
    </row>
    <row r="4446" spans="4:4" x14ac:dyDescent="0.2">
      <c r="D4446" s="5"/>
    </row>
    <row r="4447" spans="4:4" x14ac:dyDescent="0.2">
      <c r="D4447" s="5"/>
    </row>
    <row r="4448" spans="4:4" x14ac:dyDescent="0.2">
      <c r="D4448" s="5"/>
    </row>
    <row r="4449" spans="4:4" x14ac:dyDescent="0.2">
      <c r="D4449" s="5"/>
    </row>
    <row r="4450" spans="4:4" x14ac:dyDescent="0.2">
      <c r="D4450" s="5"/>
    </row>
    <row r="4451" spans="4:4" x14ac:dyDescent="0.2">
      <c r="D4451" s="5"/>
    </row>
    <row r="4452" spans="4:4" x14ac:dyDescent="0.2">
      <c r="D4452" s="5"/>
    </row>
    <row r="4453" spans="4:4" x14ac:dyDescent="0.2">
      <c r="D4453" s="5"/>
    </row>
    <row r="4454" spans="4:4" x14ac:dyDescent="0.2">
      <c r="D4454" s="5"/>
    </row>
    <row r="4455" spans="4:4" x14ac:dyDescent="0.2">
      <c r="D4455" s="5"/>
    </row>
    <row r="4456" spans="4:4" x14ac:dyDescent="0.2">
      <c r="D4456" s="5"/>
    </row>
    <row r="4457" spans="4:4" x14ac:dyDescent="0.2">
      <c r="D4457" s="5"/>
    </row>
    <row r="4458" spans="4:4" x14ac:dyDescent="0.2">
      <c r="D4458" s="5"/>
    </row>
    <row r="4459" spans="4:4" x14ac:dyDescent="0.2">
      <c r="D4459" s="5"/>
    </row>
    <row r="4460" spans="4:4" x14ac:dyDescent="0.2">
      <c r="D4460" s="5"/>
    </row>
    <row r="4461" spans="4:4" x14ac:dyDescent="0.2">
      <c r="D4461" s="5"/>
    </row>
    <row r="4462" spans="4:4" x14ac:dyDescent="0.2">
      <c r="D4462" s="5"/>
    </row>
    <row r="4463" spans="4:4" x14ac:dyDescent="0.2">
      <c r="D4463" s="5"/>
    </row>
    <row r="4464" spans="4:4" x14ac:dyDescent="0.2">
      <c r="D4464" s="5"/>
    </row>
    <row r="4465" spans="4:4" x14ac:dyDescent="0.2">
      <c r="D4465" s="5"/>
    </row>
    <row r="4466" spans="4:4" x14ac:dyDescent="0.2">
      <c r="D4466" s="5"/>
    </row>
    <row r="4467" spans="4:4" x14ac:dyDescent="0.2">
      <c r="D4467" s="5"/>
    </row>
    <row r="4468" spans="4:4" x14ac:dyDescent="0.2">
      <c r="D4468" s="5"/>
    </row>
    <row r="4469" spans="4:4" x14ac:dyDescent="0.2">
      <c r="D4469" s="5"/>
    </row>
    <row r="4470" spans="4:4" x14ac:dyDescent="0.2">
      <c r="D4470" s="5"/>
    </row>
    <row r="4471" spans="4:4" x14ac:dyDescent="0.2">
      <c r="D4471" s="5"/>
    </row>
    <row r="4472" spans="4:4" x14ac:dyDescent="0.2">
      <c r="D4472" s="5"/>
    </row>
    <row r="4473" spans="4:4" x14ac:dyDescent="0.2">
      <c r="D4473" s="5"/>
    </row>
    <row r="4474" spans="4:4" x14ac:dyDescent="0.2">
      <c r="D4474" s="5"/>
    </row>
    <row r="4475" spans="4:4" x14ac:dyDescent="0.2">
      <c r="D4475" s="5"/>
    </row>
    <row r="4476" spans="4:4" x14ac:dyDescent="0.2">
      <c r="D4476" s="5"/>
    </row>
    <row r="4477" spans="4:4" x14ac:dyDescent="0.2">
      <c r="D4477" s="5"/>
    </row>
    <row r="4478" spans="4:4" x14ac:dyDescent="0.2">
      <c r="D4478" s="5"/>
    </row>
    <row r="4479" spans="4:4" x14ac:dyDescent="0.2">
      <c r="D4479" s="5"/>
    </row>
    <row r="4480" spans="4:4" x14ac:dyDescent="0.2">
      <c r="D4480" s="5"/>
    </row>
    <row r="4481" spans="4:4" x14ac:dyDescent="0.2">
      <c r="D4481" s="5"/>
    </row>
    <row r="4482" spans="4:4" x14ac:dyDescent="0.2">
      <c r="D4482" s="5"/>
    </row>
    <row r="4483" spans="4:4" x14ac:dyDescent="0.2">
      <c r="D4483" s="5"/>
    </row>
    <row r="4484" spans="4:4" x14ac:dyDescent="0.2">
      <c r="D4484" s="5"/>
    </row>
    <row r="4485" spans="4:4" x14ac:dyDescent="0.2">
      <c r="D4485" s="5"/>
    </row>
    <row r="4486" spans="4:4" x14ac:dyDescent="0.2">
      <c r="D4486" s="5"/>
    </row>
    <row r="4487" spans="4:4" x14ac:dyDescent="0.2">
      <c r="D4487" s="5"/>
    </row>
    <row r="4488" spans="4:4" x14ac:dyDescent="0.2">
      <c r="D4488" s="5"/>
    </row>
    <row r="4489" spans="4:4" x14ac:dyDescent="0.2">
      <c r="D4489" s="5"/>
    </row>
    <row r="4490" spans="4:4" x14ac:dyDescent="0.2">
      <c r="D4490" s="5"/>
    </row>
    <row r="4491" spans="4:4" x14ac:dyDescent="0.2">
      <c r="D4491" s="5"/>
    </row>
    <row r="4492" spans="4:4" x14ac:dyDescent="0.2">
      <c r="D4492" s="5"/>
    </row>
    <row r="4493" spans="4:4" x14ac:dyDescent="0.2">
      <c r="D4493" s="5"/>
    </row>
    <row r="4494" spans="4:4" x14ac:dyDescent="0.2">
      <c r="D4494" s="5"/>
    </row>
    <row r="4495" spans="4:4" x14ac:dyDescent="0.2">
      <c r="D4495" s="5"/>
    </row>
    <row r="4496" spans="4:4" x14ac:dyDescent="0.2">
      <c r="D4496" s="5"/>
    </row>
    <row r="4497" spans="4:4" x14ac:dyDescent="0.2">
      <c r="D4497" s="5"/>
    </row>
    <row r="4498" spans="4:4" x14ac:dyDescent="0.2">
      <c r="D4498" s="5"/>
    </row>
    <row r="4499" spans="4:4" x14ac:dyDescent="0.2">
      <c r="D4499" s="5"/>
    </row>
    <row r="4500" spans="4:4" x14ac:dyDescent="0.2">
      <c r="D4500" s="5"/>
    </row>
    <row r="4501" spans="4:4" x14ac:dyDescent="0.2">
      <c r="D4501" s="5"/>
    </row>
    <row r="4502" spans="4:4" x14ac:dyDescent="0.2">
      <c r="D4502" s="5"/>
    </row>
    <row r="4503" spans="4:4" x14ac:dyDescent="0.2">
      <c r="D4503" s="5"/>
    </row>
    <row r="4504" spans="4:4" x14ac:dyDescent="0.2">
      <c r="D4504" s="5"/>
    </row>
    <row r="4505" spans="4:4" x14ac:dyDescent="0.2">
      <c r="D4505" s="5"/>
    </row>
    <row r="4506" spans="4:4" x14ac:dyDescent="0.2">
      <c r="D4506" s="5"/>
    </row>
    <row r="4507" spans="4:4" x14ac:dyDescent="0.2">
      <c r="D4507" s="5"/>
    </row>
    <row r="4508" spans="4:4" x14ac:dyDescent="0.2">
      <c r="D4508" s="5"/>
    </row>
    <row r="4509" spans="4:4" x14ac:dyDescent="0.2">
      <c r="D4509" s="5"/>
    </row>
    <row r="4510" spans="4:4" x14ac:dyDescent="0.2">
      <c r="D4510" s="5"/>
    </row>
    <row r="4511" spans="4:4" x14ac:dyDescent="0.2">
      <c r="D4511" s="5"/>
    </row>
    <row r="4512" spans="4:4" x14ac:dyDescent="0.2">
      <c r="D4512" s="5"/>
    </row>
    <row r="4513" spans="4:4" x14ac:dyDescent="0.2">
      <c r="D4513" s="5"/>
    </row>
    <row r="4514" spans="4:4" x14ac:dyDescent="0.2">
      <c r="D4514" s="5"/>
    </row>
    <row r="4515" spans="4:4" x14ac:dyDescent="0.2">
      <c r="D4515" s="5"/>
    </row>
    <row r="4516" spans="4:4" x14ac:dyDescent="0.2">
      <c r="D4516" s="5"/>
    </row>
    <row r="4517" spans="4:4" x14ac:dyDescent="0.2">
      <c r="D4517" s="5"/>
    </row>
    <row r="4518" spans="4:4" x14ac:dyDescent="0.2">
      <c r="D4518" s="5"/>
    </row>
    <row r="4519" spans="4:4" x14ac:dyDescent="0.2">
      <c r="D4519" s="5"/>
    </row>
    <row r="4520" spans="4:4" x14ac:dyDescent="0.2">
      <c r="D4520" s="5"/>
    </row>
    <row r="4521" spans="4:4" x14ac:dyDescent="0.2">
      <c r="D4521" s="5"/>
    </row>
    <row r="4522" spans="4:4" x14ac:dyDescent="0.2">
      <c r="D4522" s="5"/>
    </row>
    <row r="4523" spans="4:4" x14ac:dyDescent="0.2">
      <c r="D4523" s="5"/>
    </row>
    <row r="4524" spans="4:4" x14ac:dyDescent="0.2">
      <c r="D4524" s="5"/>
    </row>
    <row r="4525" spans="4:4" x14ac:dyDescent="0.2">
      <c r="D4525" s="5"/>
    </row>
    <row r="4526" spans="4:4" x14ac:dyDescent="0.2">
      <c r="D4526" s="5"/>
    </row>
    <row r="4527" spans="4:4" x14ac:dyDescent="0.2">
      <c r="D4527" s="5"/>
    </row>
    <row r="4528" spans="4:4" x14ac:dyDescent="0.2">
      <c r="D4528" s="5"/>
    </row>
    <row r="4529" spans="4:4" x14ac:dyDescent="0.2">
      <c r="D4529" s="5"/>
    </row>
    <row r="4530" spans="4:4" x14ac:dyDescent="0.2">
      <c r="D4530" s="5"/>
    </row>
    <row r="4531" spans="4:4" x14ac:dyDescent="0.2">
      <c r="D4531" s="5"/>
    </row>
    <row r="4532" spans="4:4" x14ac:dyDescent="0.2">
      <c r="D4532" s="5"/>
    </row>
    <row r="4533" spans="4:4" x14ac:dyDescent="0.2">
      <c r="D4533" s="5"/>
    </row>
    <row r="4534" spans="4:4" x14ac:dyDescent="0.2">
      <c r="D4534" s="5"/>
    </row>
    <row r="4535" spans="4:4" x14ac:dyDescent="0.2">
      <c r="D4535" s="5"/>
    </row>
    <row r="4536" spans="4:4" x14ac:dyDescent="0.2">
      <c r="D4536" s="5"/>
    </row>
    <row r="4537" spans="4:4" x14ac:dyDescent="0.2">
      <c r="D4537" s="5"/>
    </row>
    <row r="4538" spans="4:4" x14ac:dyDescent="0.2">
      <c r="D4538" s="5"/>
    </row>
    <row r="4539" spans="4:4" x14ac:dyDescent="0.2">
      <c r="D4539" s="5"/>
    </row>
    <row r="4540" spans="4:4" x14ac:dyDescent="0.2">
      <c r="D4540" s="5"/>
    </row>
    <row r="4541" spans="4:4" x14ac:dyDescent="0.2">
      <c r="D4541" s="5"/>
    </row>
    <row r="4542" spans="4:4" x14ac:dyDescent="0.2">
      <c r="D4542" s="5"/>
    </row>
    <row r="4543" spans="4:4" x14ac:dyDescent="0.2">
      <c r="D4543" s="5"/>
    </row>
    <row r="4544" spans="4:4" x14ac:dyDescent="0.2">
      <c r="D4544" s="5"/>
    </row>
    <row r="4545" spans="4:4" x14ac:dyDescent="0.2">
      <c r="D4545" s="5"/>
    </row>
    <row r="4546" spans="4:4" x14ac:dyDescent="0.2">
      <c r="D4546" s="5"/>
    </row>
    <row r="4547" spans="4:4" x14ac:dyDescent="0.2">
      <c r="D4547" s="5"/>
    </row>
    <row r="4548" spans="4:4" x14ac:dyDescent="0.2">
      <c r="D4548" s="5"/>
    </row>
    <row r="4549" spans="4:4" x14ac:dyDescent="0.2">
      <c r="D4549" s="5"/>
    </row>
    <row r="4550" spans="4:4" x14ac:dyDescent="0.2">
      <c r="D4550" s="5"/>
    </row>
    <row r="4551" spans="4:4" x14ac:dyDescent="0.2">
      <c r="D4551" s="5"/>
    </row>
    <row r="4552" spans="4:4" x14ac:dyDescent="0.2">
      <c r="D4552" s="5"/>
    </row>
    <row r="4553" spans="4:4" x14ac:dyDescent="0.2">
      <c r="D4553" s="5"/>
    </row>
    <row r="4554" spans="4:4" x14ac:dyDescent="0.2">
      <c r="D4554" s="5"/>
    </row>
    <row r="4555" spans="4:4" x14ac:dyDescent="0.2">
      <c r="D4555" s="5"/>
    </row>
    <row r="4556" spans="4:4" x14ac:dyDescent="0.2">
      <c r="D4556" s="5"/>
    </row>
    <row r="4557" spans="4:4" x14ac:dyDescent="0.2">
      <c r="D4557" s="5"/>
    </row>
    <row r="4558" spans="4:4" x14ac:dyDescent="0.2">
      <c r="D4558" s="5"/>
    </row>
    <row r="4559" spans="4:4" x14ac:dyDescent="0.2">
      <c r="D4559" s="5"/>
    </row>
    <row r="4560" spans="4:4" x14ac:dyDescent="0.2">
      <c r="D4560" s="5"/>
    </row>
    <row r="4561" spans="4:4" x14ac:dyDescent="0.2">
      <c r="D4561" s="5"/>
    </row>
    <row r="4562" spans="4:4" x14ac:dyDescent="0.2">
      <c r="D4562" s="5"/>
    </row>
    <row r="4563" spans="4:4" x14ac:dyDescent="0.2">
      <c r="D4563" s="5"/>
    </row>
    <row r="4564" spans="4:4" x14ac:dyDescent="0.2">
      <c r="D4564" s="5"/>
    </row>
    <row r="4565" spans="4:4" x14ac:dyDescent="0.2">
      <c r="D4565" s="5"/>
    </row>
    <row r="4566" spans="4:4" x14ac:dyDescent="0.2">
      <c r="D4566" s="5"/>
    </row>
    <row r="4567" spans="4:4" x14ac:dyDescent="0.2">
      <c r="D4567" s="5"/>
    </row>
    <row r="4568" spans="4:4" x14ac:dyDescent="0.2">
      <c r="D4568" s="5"/>
    </row>
    <row r="4569" spans="4:4" x14ac:dyDescent="0.2">
      <c r="D4569" s="5"/>
    </row>
    <row r="4570" spans="4:4" x14ac:dyDescent="0.2">
      <c r="D4570" s="5"/>
    </row>
    <row r="4571" spans="4:4" x14ac:dyDescent="0.2">
      <c r="D4571" s="5"/>
    </row>
    <row r="4572" spans="4:4" x14ac:dyDescent="0.2">
      <c r="D4572" s="5"/>
    </row>
    <row r="4573" spans="4:4" x14ac:dyDescent="0.2">
      <c r="D4573" s="5"/>
    </row>
    <row r="4574" spans="4:4" x14ac:dyDescent="0.2">
      <c r="D4574" s="5"/>
    </row>
    <row r="4575" spans="4:4" x14ac:dyDescent="0.2">
      <c r="D4575" s="5"/>
    </row>
    <row r="4576" spans="4:4" x14ac:dyDescent="0.2">
      <c r="D4576" s="5"/>
    </row>
    <row r="4577" spans="4:4" x14ac:dyDescent="0.2">
      <c r="D4577" s="5"/>
    </row>
    <row r="4578" spans="4:4" x14ac:dyDescent="0.2">
      <c r="D4578" s="5"/>
    </row>
    <row r="4579" spans="4:4" x14ac:dyDescent="0.2">
      <c r="D4579" s="5"/>
    </row>
    <row r="4580" spans="4:4" x14ac:dyDescent="0.2">
      <c r="D4580" s="5"/>
    </row>
    <row r="4581" spans="4:4" x14ac:dyDescent="0.2">
      <c r="D4581" s="5"/>
    </row>
    <row r="4582" spans="4:4" x14ac:dyDescent="0.2">
      <c r="D4582" s="5"/>
    </row>
    <row r="4583" spans="4:4" x14ac:dyDescent="0.2">
      <c r="D4583" s="5"/>
    </row>
    <row r="4584" spans="4:4" x14ac:dyDescent="0.2">
      <c r="D4584" s="5"/>
    </row>
    <row r="4585" spans="4:4" x14ac:dyDescent="0.2">
      <c r="D4585" s="5"/>
    </row>
    <row r="4586" spans="4:4" x14ac:dyDescent="0.2">
      <c r="D4586" s="5"/>
    </row>
    <row r="4587" spans="4:4" x14ac:dyDescent="0.2">
      <c r="D4587" s="5"/>
    </row>
    <row r="4588" spans="4:4" x14ac:dyDescent="0.2">
      <c r="D4588" s="5"/>
    </row>
    <row r="4589" spans="4:4" x14ac:dyDescent="0.2">
      <c r="D4589" s="5"/>
    </row>
    <row r="4590" spans="4:4" x14ac:dyDescent="0.2">
      <c r="D4590" s="5"/>
    </row>
    <row r="4591" spans="4:4" x14ac:dyDescent="0.2">
      <c r="D4591" s="5"/>
    </row>
    <row r="4592" spans="4:4" x14ac:dyDescent="0.2">
      <c r="D4592" s="5"/>
    </row>
    <row r="4593" spans="4:4" x14ac:dyDescent="0.2">
      <c r="D4593" s="5"/>
    </row>
    <row r="4594" spans="4:4" x14ac:dyDescent="0.2">
      <c r="D4594" s="5"/>
    </row>
    <row r="4595" spans="4:4" x14ac:dyDescent="0.2">
      <c r="D4595" s="5"/>
    </row>
    <row r="4596" spans="4:4" x14ac:dyDescent="0.2">
      <c r="D4596" s="5"/>
    </row>
    <row r="4597" spans="4:4" x14ac:dyDescent="0.2">
      <c r="D4597" s="5"/>
    </row>
    <row r="4598" spans="4:4" x14ac:dyDescent="0.2">
      <c r="D4598" s="5"/>
    </row>
    <row r="4599" spans="4:4" x14ac:dyDescent="0.2">
      <c r="D4599" s="5"/>
    </row>
    <row r="4600" spans="4:4" x14ac:dyDescent="0.2">
      <c r="D4600" s="5"/>
    </row>
    <row r="4601" spans="4:4" x14ac:dyDescent="0.2">
      <c r="D4601" s="5"/>
    </row>
    <row r="4602" spans="4:4" x14ac:dyDescent="0.2">
      <c r="D4602" s="5"/>
    </row>
    <row r="4603" spans="4:4" x14ac:dyDescent="0.2">
      <c r="D4603" s="5"/>
    </row>
    <row r="4604" spans="4:4" x14ac:dyDescent="0.2">
      <c r="D4604" s="5"/>
    </row>
    <row r="4605" spans="4:4" x14ac:dyDescent="0.2">
      <c r="D4605" s="5"/>
    </row>
    <row r="4606" spans="4:4" x14ac:dyDescent="0.2">
      <c r="D4606" s="5"/>
    </row>
    <row r="4607" spans="4:4" x14ac:dyDescent="0.2">
      <c r="D4607" s="5"/>
    </row>
    <row r="4608" spans="4:4" x14ac:dyDescent="0.2">
      <c r="D4608" s="5"/>
    </row>
    <row r="4609" spans="4:4" x14ac:dyDescent="0.2">
      <c r="D4609" s="5"/>
    </row>
    <row r="4610" spans="4:4" x14ac:dyDescent="0.2">
      <c r="D4610" s="5"/>
    </row>
    <row r="4611" spans="4:4" x14ac:dyDescent="0.2">
      <c r="D4611" s="5"/>
    </row>
    <row r="4612" spans="4:4" x14ac:dyDescent="0.2">
      <c r="D4612" s="5"/>
    </row>
    <row r="4613" spans="4:4" x14ac:dyDescent="0.2">
      <c r="D4613" s="5"/>
    </row>
    <row r="4614" spans="4:4" x14ac:dyDescent="0.2">
      <c r="D4614" s="5"/>
    </row>
    <row r="4615" spans="4:4" x14ac:dyDescent="0.2">
      <c r="D4615" s="5"/>
    </row>
    <row r="4616" spans="4:4" x14ac:dyDescent="0.2">
      <c r="D4616" s="5"/>
    </row>
    <row r="4617" spans="4:4" x14ac:dyDescent="0.2">
      <c r="D4617" s="5"/>
    </row>
    <row r="4618" spans="4:4" x14ac:dyDescent="0.2">
      <c r="D4618" s="5"/>
    </row>
    <row r="4619" spans="4:4" x14ac:dyDescent="0.2">
      <c r="D4619" s="5"/>
    </row>
    <row r="4620" spans="4:4" x14ac:dyDescent="0.2">
      <c r="D4620" s="5"/>
    </row>
    <row r="4621" spans="4:4" x14ac:dyDescent="0.2">
      <c r="D4621" s="5"/>
    </row>
    <row r="4622" spans="4:4" x14ac:dyDescent="0.2">
      <c r="D4622" s="5"/>
    </row>
    <row r="4623" spans="4:4" x14ac:dyDescent="0.2">
      <c r="D4623" s="5"/>
    </row>
    <row r="4624" spans="4:4" x14ac:dyDescent="0.2">
      <c r="D4624" s="5"/>
    </row>
    <row r="4625" spans="4:4" x14ac:dyDescent="0.2">
      <c r="D4625" s="5"/>
    </row>
    <row r="4626" spans="4:4" x14ac:dyDescent="0.2">
      <c r="D4626" s="5"/>
    </row>
    <row r="4627" spans="4:4" x14ac:dyDescent="0.2">
      <c r="D4627" s="5"/>
    </row>
    <row r="4628" spans="4:4" x14ac:dyDescent="0.2">
      <c r="D4628" s="5"/>
    </row>
    <row r="4629" spans="4:4" x14ac:dyDescent="0.2">
      <c r="D4629" s="5"/>
    </row>
    <row r="4630" spans="4:4" x14ac:dyDescent="0.2">
      <c r="D4630" s="5"/>
    </row>
    <row r="4631" spans="4:4" x14ac:dyDescent="0.2">
      <c r="D4631" s="5"/>
    </row>
    <row r="4632" spans="4:4" x14ac:dyDescent="0.2">
      <c r="D4632" s="5"/>
    </row>
    <row r="4633" spans="4:4" x14ac:dyDescent="0.2">
      <c r="D4633" s="5"/>
    </row>
    <row r="4634" spans="4:4" x14ac:dyDescent="0.2">
      <c r="D4634" s="5"/>
    </row>
    <row r="4635" spans="4:4" x14ac:dyDescent="0.2">
      <c r="D4635" s="5"/>
    </row>
    <row r="4636" spans="4:4" x14ac:dyDescent="0.2">
      <c r="D4636" s="5"/>
    </row>
    <row r="4637" spans="4:4" x14ac:dyDescent="0.2">
      <c r="D4637" s="5"/>
    </row>
    <row r="4638" spans="4:4" x14ac:dyDescent="0.2">
      <c r="D4638" s="5"/>
    </row>
    <row r="4639" spans="4:4" x14ac:dyDescent="0.2">
      <c r="D4639" s="5"/>
    </row>
    <row r="4640" spans="4:4" x14ac:dyDescent="0.2">
      <c r="D4640" s="5"/>
    </row>
    <row r="4641" spans="4:4" x14ac:dyDescent="0.2">
      <c r="D4641" s="5"/>
    </row>
    <row r="4642" spans="4:4" x14ac:dyDescent="0.2">
      <c r="D4642" s="5"/>
    </row>
    <row r="4643" spans="4:4" x14ac:dyDescent="0.2">
      <c r="D4643" s="5"/>
    </row>
    <row r="4644" spans="4:4" x14ac:dyDescent="0.2">
      <c r="D4644" s="5"/>
    </row>
    <row r="4645" spans="4:4" x14ac:dyDescent="0.2">
      <c r="D4645" s="5"/>
    </row>
    <row r="4646" spans="4:4" x14ac:dyDescent="0.2">
      <c r="D4646" s="5"/>
    </row>
    <row r="4647" spans="4:4" x14ac:dyDescent="0.2">
      <c r="D4647" s="5"/>
    </row>
    <row r="4648" spans="4:4" x14ac:dyDescent="0.2">
      <c r="D4648" s="5"/>
    </row>
    <row r="4649" spans="4:4" x14ac:dyDescent="0.2">
      <c r="D4649" s="5"/>
    </row>
    <row r="4650" spans="4:4" x14ac:dyDescent="0.2">
      <c r="D4650" s="5"/>
    </row>
    <row r="4651" spans="4:4" x14ac:dyDescent="0.2">
      <c r="D4651" s="5"/>
    </row>
    <row r="4652" spans="4:4" x14ac:dyDescent="0.2">
      <c r="D4652" s="5"/>
    </row>
    <row r="4653" spans="4:4" x14ac:dyDescent="0.2">
      <c r="D4653" s="5"/>
    </row>
    <row r="4654" spans="4:4" x14ac:dyDescent="0.2">
      <c r="D4654" s="5"/>
    </row>
    <row r="4655" spans="4:4" x14ac:dyDescent="0.2">
      <c r="D4655" s="5"/>
    </row>
    <row r="4656" spans="4:4" x14ac:dyDescent="0.2">
      <c r="D4656" s="5"/>
    </row>
    <row r="4657" spans="4:4" x14ac:dyDescent="0.2">
      <c r="D4657" s="5"/>
    </row>
    <row r="4658" spans="4:4" x14ac:dyDescent="0.2">
      <c r="D4658" s="5"/>
    </row>
    <row r="4659" spans="4:4" x14ac:dyDescent="0.2">
      <c r="D4659" s="5"/>
    </row>
    <row r="4660" spans="4:4" x14ac:dyDescent="0.2">
      <c r="D4660" s="5"/>
    </row>
    <row r="4661" spans="4:4" x14ac:dyDescent="0.2">
      <c r="D4661" s="5"/>
    </row>
    <row r="4662" spans="4:4" x14ac:dyDescent="0.2">
      <c r="D4662" s="5"/>
    </row>
    <row r="4663" spans="4:4" x14ac:dyDescent="0.2">
      <c r="D4663" s="5"/>
    </row>
    <row r="4664" spans="4:4" x14ac:dyDescent="0.2">
      <c r="D4664" s="5"/>
    </row>
    <row r="4665" spans="4:4" x14ac:dyDescent="0.2">
      <c r="D4665" s="5"/>
    </row>
    <row r="4666" spans="4:4" x14ac:dyDescent="0.2">
      <c r="D4666" s="5"/>
    </row>
    <row r="4667" spans="4:4" x14ac:dyDescent="0.2">
      <c r="D4667" s="5"/>
    </row>
    <row r="4668" spans="4:4" x14ac:dyDescent="0.2">
      <c r="D4668" s="5"/>
    </row>
    <row r="4669" spans="4:4" x14ac:dyDescent="0.2">
      <c r="D4669" s="5"/>
    </row>
    <row r="4670" spans="4:4" x14ac:dyDescent="0.2">
      <c r="D4670" s="5"/>
    </row>
    <row r="4671" spans="4:4" x14ac:dyDescent="0.2">
      <c r="D4671" s="5"/>
    </row>
    <row r="4672" spans="4:4" x14ac:dyDescent="0.2">
      <c r="D4672" s="5"/>
    </row>
    <row r="4673" spans="4:4" x14ac:dyDescent="0.2">
      <c r="D4673" s="5"/>
    </row>
    <row r="4674" spans="4:4" x14ac:dyDescent="0.2">
      <c r="D4674" s="5"/>
    </row>
    <row r="4675" spans="4:4" x14ac:dyDescent="0.2">
      <c r="D4675" s="5"/>
    </row>
    <row r="4676" spans="4:4" x14ac:dyDescent="0.2">
      <c r="D4676" s="5"/>
    </row>
    <row r="4677" spans="4:4" x14ac:dyDescent="0.2">
      <c r="D4677" s="5"/>
    </row>
    <row r="4678" spans="4:4" x14ac:dyDescent="0.2">
      <c r="D4678" s="5"/>
    </row>
    <row r="4679" spans="4:4" x14ac:dyDescent="0.2">
      <c r="D4679" s="5"/>
    </row>
    <row r="4680" spans="4:4" x14ac:dyDescent="0.2">
      <c r="D4680" s="5"/>
    </row>
    <row r="4681" spans="4:4" x14ac:dyDescent="0.2">
      <c r="D4681" s="5"/>
    </row>
    <row r="4682" spans="4:4" x14ac:dyDescent="0.2">
      <c r="D4682" s="5"/>
    </row>
    <row r="4683" spans="4:4" x14ac:dyDescent="0.2">
      <c r="D4683" s="5"/>
    </row>
    <row r="4684" spans="4:4" x14ac:dyDescent="0.2">
      <c r="D4684" s="5"/>
    </row>
    <row r="4685" spans="4:4" x14ac:dyDescent="0.2">
      <c r="D4685" s="5"/>
    </row>
    <row r="4686" spans="4:4" x14ac:dyDescent="0.2">
      <c r="D4686" s="5"/>
    </row>
    <row r="4687" spans="4:4" x14ac:dyDescent="0.2">
      <c r="D4687" s="5"/>
    </row>
    <row r="4688" spans="4:4" x14ac:dyDescent="0.2">
      <c r="D4688" s="5"/>
    </row>
    <row r="4689" spans="4:4" x14ac:dyDescent="0.2">
      <c r="D4689" s="5"/>
    </row>
    <row r="4690" spans="4:4" x14ac:dyDescent="0.2">
      <c r="D4690" s="5"/>
    </row>
    <row r="4691" spans="4:4" x14ac:dyDescent="0.2">
      <c r="D4691" s="5"/>
    </row>
    <row r="4692" spans="4:4" x14ac:dyDescent="0.2">
      <c r="D4692" s="5"/>
    </row>
    <row r="4693" spans="4:4" x14ac:dyDescent="0.2">
      <c r="D4693" s="5"/>
    </row>
    <row r="4694" spans="4:4" x14ac:dyDescent="0.2">
      <c r="D4694" s="5"/>
    </row>
    <row r="4695" spans="4:4" x14ac:dyDescent="0.2">
      <c r="D4695" s="5"/>
    </row>
    <row r="4696" spans="4:4" x14ac:dyDescent="0.2">
      <c r="D4696" s="5"/>
    </row>
    <row r="4697" spans="4:4" x14ac:dyDescent="0.2">
      <c r="D4697" s="5"/>
    </row>
    <row r="4698" spans="4:4" x14ac:dyDescent="0.2">
      <c r="D4698" s="5"/>
    </row>
    <row r="4699" spans="4:4" x14ac:dyDescent="0.2">
      <c r="D4699" s="5"/>
    </row>
    <row r="4700" spans="4:4" x14ac:dyDescent="0.2">
      <c r="D4700" s="5"/>
    </row>
    <row r="4701" spans="4:4" x14ac:dyDescent="0.2">
      <c r="D4701" s="5"/>
    </row>
    <row r="4702" spans="4:4" x14ac:dyDescent="0.2">
      <c r="D4702" s="5"/>
    </row>
    <row r="4703" spans="4:4" x14ac:dyDescent="0.2">
      <c r="D4703" s="5"/>
    </row>
    <row r="4704" spans="4:4" x14ac:dyDescent="0.2">
      <c r="D4704" s="5"/>
    </row>
    <row r="4705" spans="4:4" x14ac:dyDescent="0.2">
      <c r="D4705" s="5"/>
    </row>
    <row r="4706" spans="4:4" x14ac:dyDescent="0.2">
      <c r="D4706" s="5"/>
    </row>
    <row r="4707" spans="4:4" x14ac:dyDescent="0.2">
      <c r="D4707" s="5"/>
    </row>
    <row r="4708" spans="4:4" x14ac:dyDescent="0.2">
      <c r="D4708" s="5"/>
    </row>
    <row r="4709" spans="4:4" x14ac:dyDescent="0.2">
      <c r="D4709" s="5"/>
    </row>
    <row r="4710" spans="4:4" x14ac:dyDescent="0.2">
      <c r="D4710" s="5"/>
    </row>
    <row r="4711" spans="4:4" x14ac:dyDescent="0.2">
      <c r="D4711" s="5"/>
    </row>
    <row r="4712" spans="4:4" x14ac:dyDescent="0.2">
      <c r="D4712" s="5"/>
    </row>
    <row r="4713" spans="4:4" x14ac:dyDescent="0.2">
      <c r="D4713" s="5"/>
    </row>
    <row r="4714" spans="4:4" x14ac:dyDescent="0.2">
      <c r="D4714" s="5"/>
    </row>
    <row r="4715" spans="4:4" x14ac:dyDescent="0.2">
      <c r="D4715" s="5"/>
    </row>
    <row r="4716" spans="4:4" x14ac:dyDescent="0.2">
      <c r="D4716" s="5"/>
    </row>
    <row r="4717" spans="4:4" x14ac:dyDescent="0.2">
      <c r="D4717" s="5"/>
    </row>
    <row r="4718" spans="4:4" x14ac:dyDescent="0.2">
      <c r="D4718" s="5"/>
    </row>
    <row r="4719" spans="4:4" x14ac:dyDescent="0.2">
      <c r="D4719" s="5"/>
    </row>
    <row r="4720" spans="4:4" x14ac:dyDescent="0.2">
      <c r="D4720" s="5"/>
    </row>
    <row r="4721" spans="4:4" x14ac:dyDescent="0.2">
      <c r="D4721" s="5"/>
    </row>
    <row r="4722" spans="4:4" x14ac:dyDescent="0.2">
      <c r="D4722" s="5"/>
    </row>
    <row r="4723" spans="4:4" x14ac:dyDescent="0.2">
      <c r="D4723" s="5"/>
    </row>
    <row r="4724" spans="4:4" x14ac:dyDescent="0.2">
      <c r="D4724" s="5"/>
    </row>
    <row r="4725" spans="4:4" x14ac:dyDescent="0.2">
      <c r="D4725" s="5"/>
    </row>
    <row r="4726" spans="4:4" x14ac:dyDescent="0.2">
      <c r="D4726" s="5"/>
    </row>
    <row r="4727" spans="4:4" x14ac:dyDescent="0.2">
      <c r="D4727" s="5"/>
    </row>
    <row r="4728" spans="4:4" x14ac:dyDescent="0.2">
      <c r="D4728" s="5"/>
    </row>
    <row r="4729" spans="4:4" x14ac:dyDescent="0.2">
      <c r="D4729" s="5"/>
    </row>
    <row r="4730" spans="4:4" x14ac:dyDescent="0.2">
      <c r="D4730" s="5"/>
    </row>
    <row r="4731" spans="4:4" x14ac:dyDescent="0.2">
      <c r="D4731" s="5"/>
    </row>
    <row r="4732" spans="4:4" x14ac:dyDescent="0.2">
      <c r="D4732" s="5"/>
    </row>
    <row r="4733" spans="4:4" x14ac:dyDescent="0.2">
      <c r="D4733" s="5"/>
    </row>
    <row r="4734" spans="4:4" x14ac:dyDescent="0.2">
      <c r="D4734" s="5"/>
    </row>
    <row r="4735" spans="4:4" x14ac:dyDescent="0.2">
      <c r="D4735" s="5"/>
    </row>
    <row r="4736" spans="4:4" x14ac:dyDescent="0.2">
      <c r="D4736" s="5"/>
    </row>
    <row r="4737" spans="4:4" x14ac:dyDescent="0.2">
      <c r="D4737" s="5"/>
    </row>
    <row r="4738" spans="4:4" x14ac:dyDescent="0.2">
      <c r="D4738" s="5"/>
    </row>
    <row r="4739" spans="4:4" x14ac:dyDescent="0.2">
      <c r="D4739" s="5"/>
    </row>
    <row r="4740" spans="4:4" x14ac:dyDescent="0.2">
      <c r="D4740" s="5"/>
    </row>
    <row r="4741" spans="4:4" x14ac:dyDescent="0.2">
      <c r="D4741" s="5"/>
    </row>
    <row r="4742" spans="4:4" x14ac:dyDescent="0.2">
      <c r="D4742" s="5"/>
    </row>
    <row r="4743" spans="4:4" x14ac:dyDescent="0.2">
      <c r="D4743" s="5"/>
    </row>
    <row r="4744" spans="4:4" x14ac:dyDescent="0.2">
      <c r="D4744" s="5"/>
    </row>
    <row r="4745" spans="4:4" x14ac:dyDescent="0.2">
      <c r="D4745" s="5"/>
    </row>
    <row r="4746" spans="4:4" x14ac:dyDescent="0.2">
      <c r="D4746" s="5"/>
    </row>
    <row r="4747" spans="4:4" x14ac:dyDescent="0.2">
      <c r="D4747" s="5"/>
    </row>
    <row r="4748" spans="4:4" x14ac:dyDescent="0.2">
      <c r="D4748" s="5"/>
    </row>
    <row r="4749" spans="4:4" x14ac:dyDescent="0.2">
      <c r="D4749" s="5"/>
    </row>
    <row r="4750" spans="4:4" x14ac:dyDescent="0.2">
      <c r="D4750" s="5"/>
    </row>
    <row r="4751" spans="4:4" x14ac:dyDescent="0.2">
      <c r="D4751" s="5"/>
    </row>
    <row r="4752" spans="4:4" x14ac:dyDescent="0.2">
      <c r="D4752" s="5"/>
    </row>
    <row r="4753" spans="4:4" x14ac:dyDescent="0.2">
      <c r="D4753" s="5"/>
    </row>
    <row r="4754" spans="4:4" x14ac:dyDescent="0.2">
      <c r="D4754" s="5"/>
    </row>
    <row r="4755" spans="4:4" x14ac:dyDescent="0.2">
      <c r="D4755" s="5"/>
    </row>
    <row r="4756" spans="4:4" x14ac:dyDescent="0.2">
      <c r="D4756" s="5"/>
    </row>
    <row r="4757" spans="4:4" x14ac:dyDescent="0.2">
      <c r="D4757" s="5"/>
    </row>
    <row r="4758" spans="4:4" x14ac:dyDescent="0.2">
      <c r="D4758" s="5"/>
    </row>
    <row r="4759" spans="4:4" x14ac:dyDescent="0.2">
      <c r="D4759" s="5"/>
    </row>
    <row r="4760" spans="4:4" x14ac:dyDescent="0.2">
      <c r="D4760" s="5"/>
    </row>
    <row r="4761" spans="4:4" x14ac:dyDescent="0.2">
      <c r="D4761" s="5"/>
    </row>
    <row r="4762" spans="4:4" x14ac:dyDescent="0.2">
      <c r="D4762" s="5"/>
    </row>
    <row r="4763" spans="4:4" x14ac:dyDescent="0.2">
      <c r="D4763" s="5"/>
    </row>
    <row r="4764" spans="4:4" x14ac:dyDescent="0.2">
      <c r="D4764" s="5"/>
    </row>
    <row r="4765" spans="4:4" x14ac:dyDescent="0.2">
      <c r="D4765" s="5"/>
    </row>
    <row r="4766" spans="4:4" x14ac:dyDescent="0.2">
      <c r="D4766" s="5"/>
    </row>
    <row r="4767" spans="4:4" x14ac:dyDescent="0.2">
      <c r="D4767" s="5"/>
    </row>
    <row r="4768" spans="4:4" x14ac:dyDescent="0.2">
      <c r="D4768" s="5"/>
    </row>
    <row r="4769" spans="4:4" x14ac:dyDescent="0.2">
      <c r="D4769" s="5"/>
    </row>
    <row r="4770" spans="4:4" x14ac:dyDescent="0.2">
      <c r="D4770" s="5"/>
    </row>
    <row r="4771" spans="4:4" x14ac:dyDescent="0.2">
      <c r="D4771" s="5"/>
    </row>
    <row r="4772" spans="4:4" x14ac:dyDescent="0.2">
      <c r="D4772" s="5"/>
    </row>
    <row r="4773" spans="4:4" x14ac:dyDescent="0.2">
      <c r="D4773" s="5"/>
    </row>
    <row r="4774" spans="4:4" x14ac:dyDescent="0.2">
      <c r="D4774" s="5"/>
    </row>
    <row r="4775" spans="4:4" x14ac:dyDescent="0.2">
      <c r="D4775" s="5"/>
    </row>
    <row r="4776" spans="4:4" x14ac:dyDescent="0.2">
      <c r="D4776" s="5"/>
    </row>
    <row r="4777" spans="4:4" x14ac:dyDescent="0.2">
      <c r="D4777" s="5"/>
    </row>
    <row r="4778" spans="4:4" x14ac:dyDescent="0.2">
      <c r="D4778" s="5"/>
    </row>
    <row r="4779" spans="4:4" x14ac:dyDescent="0.2">
      <c r="D4779" s="5"/>
    </row>
    <row r="4780" spans="4:4" x14ac:dyDescent="0.2">
      <c r="D4780" s="5"/>
    </row>
    <row r="4781" spans="4:4" x14ac:dyDescent="0.2">
      <c r="D4781" s="5"/>
    </row>
    <row r="4782" spans="4:4" x14ac:dyDescent="0.2">
      <c r="D4782" s="5"/>
    </row>
    <row r="4783" spans="4:4" x14ac:dyDescent="0.2">
      <c r="D4783" s="5"/>
    </row>
    <row r="4784" spans="4:4" x14ac:dyDescent="0.2">
      <c r="D4784" s="5"/>
    </row>
    <row r="4785" spans="4:4" x14ac:dyDescent="0.2">
      <c r="D4785" s="5"/>
    </row>
    <row r="4786" spans="4:4" x14ac:dyDescent="0.2">
      <c r="D4786" s="5"/>
    </row>
    <row r="4787" spans="4:4" x14ac:dyDescent="0.2">
      <c r="D4787" s="5"/>
    </row>
    <row r="4788" spans="4:4" x14ac:dyDescent="0.2">
      <c r="D4788" s="5"/>
    </row>
    <row r="4789" spans="4:4" x14ac:dyDescent="0.2">
      <c r="D4789" s="5"/>
    </row>
    <row r="4790" spans="4:4" x14ac:dyDescent="0.2">
      <c r="D4790" s="5"/>
    </row>
    <row r="4791" spans="4:4" x14ac:dyDescent="0.2">
      <c r="D4791" s="5"/>
    </row>
    <row r="4792" spans="4:4" x14ac:dyDescent="0.2">
      <c r="D4792" s="5"/>
    </row>
    <row r="4793" spans="4:4" x14ac:dyDescent="0.2">
      <c r="D4793" s="5"/>
    </row>
    <row r="4794" spans="4:4" x14ac:dyDescent="0.2">
      <c r="D4794" s="5"/>
    </row>
    <row r="4795" spans="4:4" x14ac:dyDescent="0.2">
      <c r="D4795" s="5"/>
    </row>
    <row r="4796" spans="4:4" x14ac:dyDescent="0.2">
      <c r="D4796" s="5"/>
    </row>
    <row r="4797" spans="4:4" x14ac:dyDescent="0.2">
      <c r="D4797" s="5"/>
    </row>
    <row r="4798" spans="4:4" x14ac:dyDescent="0.2">
      <c r="D4798" s="5"/>
    </row>
    <row r="4799" spans="4:4" x14ac:dyDescent="0.2">
      <c r="D4799" s="5"/>
    </row>
    <row r="4800" spans="4:4" x14ac:dyDescent="0.2">
      <c r="D4800" s="5"/>
    </row>
    <row r="4801" spans="4:4" x14ac:dyDescent="0.2">
      <c r="D4801" s="5"/>
    </row>
    <row r="4802" spans="4:4" x14ac:dyDescent="0.2">
      <c r="D4802" s="5"/>
    </row>
    <row r="4803" spans="4:4" x14ac:dyDescent="0.2">
      <c r="D4803" s="5"/>
    </row>
    <row r="4804" spans="4:4" x14ac:dyDescent="0.2">
      <c r="D4804" s="5"/>
    </row>
    <row r="4805" spans="4:4" x14ac:dyDescent="0.2">
      <c r="D4805" s="5"/>
    </row>
    <row r="4806" spans="4:4" x14ac:dyDescent="0.2">
      <c r="D4806" s="5"/>
    </row>
    <row r="4807" spans="4:4" x14ac:dyDescent="0.2">
      <c r="D4807" s="5"/>
    </row>
    <row r="4808" spans="4:4" x14ac:dyDescent="0.2">
      <c r="D4808" s="5"/>
    </row>
    <row r="4809" spans="4:4" x14ac:dyDescent="0.2">
      <c r="D4809" s="5"/>
    </row>
    <row r="4810" spans="4:4" x14ac:dyDescent="0.2">
      <c r="D4810" s="5"/>
    </row>
    <row r="4811" spans="4:4" x14ac:dyDescent="0.2">
      <c r="D4811" s="5"/>
    </row>
    <row r="4812" spans="4:4" x14ac:dyDescent="0.2">
      <c r="D4812" s="5"/>
    </row>
    <row r="4813" spans="4:4" x14ac:dyDescent="0.2">
      <c r="D4813" s="5"/>
    </row>
    <row r="4814" spans="4:4" x14ac:dyDescent="0.2">
      <c r="D4814" s="5"/>
    </row>
    <row r="4815" spans="4:4" x14ac:dyDescent="0.2">
      <c r="D4815" s="5"/>
    </row>
    <row r="4816" spans="4:4" x14ac:dyDescent="0.2">
      <c r="D4816" s="5"/>
    </row>
    <row r="4817" spans="4:4" x14ac:dyDescent="0.2">
      <c r="D4817" s="5"/>
    </row>
    <row r="4818" spans="4:4" x14ac:dyDescent="0.2">
      <c r="D4818" s="5"/>
    </row>
    <row r="4819" spans="4:4" x14ac:dyDescent="0.2">
      <c r="D4819" s="5"/>
    </row>
    <row r="4820" spans="4:4" x14ac:dyDescent="0.2">
      <c r="D4820" s="5"/>
    </row>
    <row r="4821" spans="4:4" x14ac:dyDescent="0.2">
      <c r="D4821" s="5"/>
    </row>
    <row r="4822" spans="4:4" x14ac:dyDescent="0.2">
      <c r="D4822" s="5"/>
    </row>
    <row r="4823" spans="4:4" x14ac:dyDescent="0.2">
      <c r="D4823" s="5"/>
    </row>
    <row r="4824" spans="4:4" x14ac:dyDescent="0.2">
      <c r="D4824" s="5"/>
    </row>
    <row r="4825" spans="4:4" x14ac:dyDescent="0.2">
      <c r="D4825" s="5"/>
    </row>
    <row r="4826" spans="4:4" x14ac:dyDescent="0.2">
      <c r="D4826" s="5"/>
    </row>
    <row r="4827" spans="4:4" x14ac:dyDescent="0.2">
      <c r="D4827" s="5"/>
    </row>
    <row r="4828" spans="4:4" x14ac:dyDescent="0.2">
      <c r="D4828" s="5"/>
    </row>
    <row r="4829" spans="4:4" x14ac:dyDescent="0.2">
      <c r="D4829" s="5"/>
    </row>
    <row r="4830" spans="4:4" x14ac:dyDescent="0.2">
      <c r="D4830" s="5"/>
    </row>
    <row r="4831" spans="4:4" x14ac:dyDescent="0.2">
      <c r="D4831" s="5"/>
    </row>
    <row r="4832" spans="4:4" x14ac:dyDescent="0.2">
      <c r="D4832" s="5"/>
    </row>
    <row r="4833" spans="4:4" x14ac:dyDescent="0.2">
      <c r="D4833" s="5"/>
    </row>
    <row r="4834" spans="4:4" x14ac:dyDescent="0.2">
      <c r="D4834" s="5"/>
    </row>
    <row r="4835" spans="4:4" x14ac:dyDescent="0.2">
      <c r="D4835" s="5"/>
    </row>
    <row r="4836" spans="4:4" x14ac:dyDescent="0.2">
      <c r="D4836" s="5"/>
    </row>
    <row r="4837" spans="4:4" x14ac:dyDescent="0.2">
      <c r="D4837" s="5"/>
    </row>
    <row r="4838" spans="4:4" x14ac:dyDescent="0.2">
      <c r="D4838" s="5"/>
    </row>
    <row r="4839" spans="4:4" x14ac:dyDescent="0.2">
      <c r="D4839" s="5"/>
    </row>
    <row r="4840" spans="4:4" x14ac:dyDescent="0.2">
      <c r="D4840" s="5"/>
    </row>
    <row r="4841" spans="4:4" x14ac:dyDescent="0.2">
      <c r="D4841" s="5"/>
    </row>
    <row r="4842" spans="4:4" x14ac:dyDescent="0.2">
      <c r="D4842" s="5"/>
    </row>
    <row r="4843" spans="4:4" x14ac:dyDescent="0.2">
      <c r="D4843" s="5"/>
    </row>
    <row r="4844" spans="4:4" x14ac:dyDescent="0.2">
      <c r="D4844" s="5"/>
    </row>
    <row r="4845" spans="4:4" x14ac:dyDescent="0.2">
      <c r="D4845" s="5"/>
    </row>
    <row r="4846" spans="4:4" x14ac:dyDescent="0.2">
      <c r="D4846" s="5"/>
    </row>
    <row r="4847" spans="4:4" x14ac:dyDescent="0.2">
      <c r="D4847" s="5"/>
    </row>
    <row r="4848" spans="4:4" x14ac:dyDescent="0.2">
      <c r="D4848" s="5"/>
    </row>
    <row r="4849" spans="4:4" x14ac:dyDescent="0.2">
      <c r="D4849" s="5"/>
    </row>
    <row r="4850" spans="4:4" x14ac:dyDescent="0.2">
      <c r="D4850" s="5"/>
    </row>
    <row r="4851" spans="4:4" x14ac:dyDescent="0.2">
      <c r="D4851" s="5"/>
    </row>
    <row r="4852" spans="4:4" x14ac:dyDescent="0.2">
      <c r="D4852" s="5"/>
    </row>
    <row r="4853" spans="4:4" x14ac:dyDescent="0.2">
      <c r="D4853" s="5"/>
    </row>
    <row r="4854" spans="4:4" x14ac:dyDescent="0.2">
      <c r="D4854" s="5"/>
    </row>
    <row r="4855" spans="4:4" x14ac:dyDescent="0.2">
      <c r="D4855" s="5"/>
    </row>
    <row r="4856" spans="4:4" x14ac:dyDescent="0.2">
      <c r="D4856" s="5"/>
    </row>
    <row r="4857" spans="4:4" x14ac:dyDescent="0.2">
      <c r="D4857" s="5"/>
    </row>
    <row r="4858" spans="4:4" x14ac:dyDescent="0.2">
      <c r="D4858" s="5"/>
    </row>
    <row r="4859" spans="4:4" x14ac:dyDescent="0.2">
      <c r="D4859" s="5"/>
    </row>
    <row r="4860" spans="4:4" x14ac:dyDescent="0.2">
      <c r="D4860" s="5"/>
    </row>
    <row r="4861" spans="4:4" x14ac:dyDescent="0.2">
      <c r="D4861" s="5"/>
    </row>
    <row r="4862" spans="4:4" x14ac:dyDescent="0.2">
      <c r="D4862" s="5"/>
    </row>
    <row r="4863" spans="4:4" x14ac:dyDescent="0.2">
      <c r="D4863" s="5"/>
    </row>
    <row r="4864" spans="4:4" x14ac:dyDescent="0.2">
      <c r="D4864" s="5"/>
    </row>
    <row r="4865" spans="4:4" x14ac:dyDescent="0.2">
      <c r="D4865" s="5"/>
    </row>
    <row r="4866" spans="4:4" x14ac:dyDescent="0.2">
      <c r="D4866" s="5"/>
    </row>
    <row r="4867" spans="4:4" x14ac:dyDescent="0.2">
      <c r="D4867" s="5"/>
    </row>
    <row r="4868" spans="4:4" x14ac:dyDescent="0.2">
      <c r="D4868" s="5"/>
    </row>
    <row r="4869" spans="4:4" x14ac:dyDescent="0.2">
      <c r="D4869" s="5"/>
    </row>
    <row r="4870" spans="4:4" x14ac:dyDescent="0.2">
      <c r="D4870" s="5"/>
    </row>
    <row r="4871" spans="4:4" x14ac:dyDescent="0.2">
      <c r="D4871" s="5"/>
    </row>
    <row r="4872" spans="4:4" x14ac:dyDescent="0.2">
      <c r="D4872" s="5"/>
    </row>
    <row r="4873" spans="4:4" x14ac:dyDescent="0.2">
      <c r="D4873" s="5"/>
    </row>
    <row r="4874" spans="4:4" x14ac:dyDescent="0.2">
      <c r="D4874" s="5"/>
    </row>
    <row r="4875" spans="4:4" x14ac:dyDescent="0.2">
      <c r="D4875" s="5"/>
    </row>
    <row r="4876" spans="4:4" x14ac:dyDescent="0.2">
      <c r="D4876" s="5"/>
    </row>
    <row r="4877" spans="4:4" x14ac:dyDescent="0.2">
      <c r="D4877" s="5"/>
    </row>
    <row r="4878" spans="4:4" x14ac:dyDescent="0.2">
      <c r="D4878" s="5"/>
    </row>
    <row r="4879" spans="4:4" x14ac:dyDescent="0.2">
      <c r="D4879" s="5"/>
    </row>
    <row r="4880" spans="4:4" x14ac:dyDescent="0.2">
      <c r="D4880" s="5"/>
    </row>
    <row r="4881" spans="4:4" x14ac:dyDescent="0.2">
      <c r="D4881" s="5"/>
    </row>
    <row r="4882" spans="4:4" x14ac:dyDescent="0.2">
      <c r="D4882" s="5"/>
    </row>
    <row r="4883" spans="4:4" x14ac:dyDescent="0.2">
      <c r="D4883" s="5"/>
    </row>
    <row r="4884" spans="4:4" x14ac:dyDescent="0.2">
      <c r="D4884" s="5"/>
    </row>
    <row r="4885" spans="4:4" x14ac:dyDescent="0.2">
      <c r="D4885" s="5"/>
    </row>
    <row r="4886" spans="4:4" x14ac:dyDescent="0.2">
      <c r="D4886" s="5"/>
    </row>
    <row r="4887" spans="4:4" x14ac:dyDescent="0.2">
      <c r="D4887" s="5"/>
    </row>
    <row r="4888" spans="4:4" x14ac:dyDescent="0.2">
      <c r="D4888" s="5"/>
    </row>
    <row r="4889" spans="4:4" x14ac:dyDescent="0.2">
      <c r="D4889" s="5"/>
    </row>
    <row r="4890" spans="4:4" x14ac:dyDescent="0.2">
      <c r="D4890" s="5"/>
    </row>
    <row r="4891" spans="4:4" x14ac:dyDescent="0.2">
      <c r="D4891" s="5"/>
    </row>
    <row r="4892" spans="4:4" x14ac:dyDescent="0.2">
      <c r="D4892" s="5"/>
    </row>
    <row r="4893" spans="4:4" x14ac:dyDescent="0.2">
      <c r="D4893" s="5"/>
    </row>
    <row r="4894" spans="4:4" x14ac:dyDescent="0.2">
      <c r="D4894" s="5"/>
    </row>
    <row r="4895" spans="4:4" x14ac:dyDescent="0.2">
      <c r="D4895" s="5"/>
    </row>
    <row r="4896" spans="4:4" x14ac:dyDescent="0.2">
      <c r="D4896" s="5"/>
    </row>
    <row r="4897" spans="4:4" x14ac:dyDescent="0.2">
      <c r="D4897" s="5"/>
    </row>
    <row r="4898" spans="4:4" x14ac:dyDescent="0.2">
      <c r="D4898" s="5"/>
    </row>
    <row r="4899" spans="4:4" x14ac:dyDescent="0.2">
      <c r="D4899" s="5"/>
    </row>
    <row r="4900" spans="4:4" x14ac:dyDescent="0.2">
      <c r="D4900" s="5"/>
    </row>
    <row r="4901" spans="4:4" x14ac:dyDescent="0.2">
      <c r="D4901" s="5"/>
    </row>
    <row r="4902" spans="4:4" x14ac:dyDescent="0.2">
      <c r="D4902" s="5"/>
    </row>
    <row r="4903" spans="4:4" x14ac:dyDescent="0.2">
      <c r="D4903" s="5"/>
    </row>
    <row r="4904" spans="4:4" x14ac:dyDescent="0.2">
      <c r="D4904" s="5"/>
    </row>
    <row r="4905" spans="4:4" x14ac:dyDescent="0.2">
      <c r="D4905" s="5"/>
    </row>
    <row r="4906" spans="4:4" x14ac:dyDescent="0.2">
      <c r="D4906" s="5"/>
    </row>
    <row r="4907" spans="4:4" x14ac:dyDescent="0.2">
      <c r="D4907" s="5"/>
    </row>
    <row r="4908" spans="4:4" x14ac:dyDescent="0.2">
      <c r="D4908" s="5"/>
    </row>
    <row r="4909" spans="4:4" x14ac:dyDescent="0.2">
      <c r="D4909" s="5"/>
    </row>
    <row r="4910" spans="4:4" x14ac:dyDescent="0.2">
      <c r="D4910" s="5"/>
    </row>
    <row r="4911" spans="4:4" x14ac:dyDescent="0.2">
      <c r="D4911" s="5"/>
    </row>
    <row r="4912" spans="4:4" x14ac:dyDescent="0.2">
      <c r="D4912" s="5"/>
    </row>
    <row r="4913" spans="4:4" x14ac:dyDescent="0.2">
      <c r="D4913" s="5"/>
    </row>
    <row r="4914" spans="4:4" x14ac:dyDescent="0.2">
      <c r="D4914" s="5"/>
    </row>
    <row r="4915" spans="4:4" x14ac:dyDescent="0.2">
      <c r="D4915" s="5"/>
    </row>
    <row r="4916" spans="4:4" x14ac:dyDescent="0.2">
      <c r="D4916" s="5"/>
    </row>
    <row r="4917" spans="4:4" x14ac:dyDescent="0.2">
      <c r="D4917" s="5"/>
    </row>
    <row r="4918" spans="4:4" x14ac:dyDescent="0.2">
      <c r="D4918" s="5"/>
    </row>
    <row r="4919" spans="4:4" x14ac:dyDescent="0.2">
      <c r="D4919" s="5"/>
    </row>
    <row r="4920" spans="4:4" x14ac:dyDescent="0.2">
      <c r="D4920" s="5"/>
    </row>
    <row r="4921" spans="4:4" x14ac:dyDescent="0.2">
      <c r="D4921" s="5"/>
    </row>
    <row r="4922" spans="4:4" x14ac:dyDescent="0.2">
      <c r="D4922" s="5"/>
    </row>
    <row r="4923" spans="4:4" x14ac:dyDescent="0.2">
      <c r="D4923" s="5"/>
    </row>
    <row r="4924" spans="4:4" x14ac:dyDescent="0.2">
      <c r="D4924" s="5"/>
    </row>
    <row r="4925" spans="4:4" x14ac:dyDescent="0.2">
      <c r="D4925" s="5"/>
    </row>
    <row r="4926" spans="4:4" x14ac:dyDescent="0.2">
      <c r="D4926" s="5"/>
    </row>
    <row r="4927" spans="4:4" x14ac:dyDescent="0.2">
      <c r="D4927" s="5"/>
    </row>
    <row r="4928" spans="4:4" x14ac:dyDescent="0.2">
      <c r="D4928" s="5"/>
    </row>
    <row r="4929" spans="4:4" x14ac:dyDescent="0.2">
      <c r="D4929" s="5"/>
    </row>
    <row r="4930" spans="4:4" x14ac:dyDescent="0.2">
      <c r="D4930" s="5"/>
    </row>
    <row r="4931" spans="4:4" x14ac:dyDescent="0.2">
      <c r="D4931" s="5"/>
    </row>
    <row r="4932" spans="4:4" x14ac:dyDescent="0.2">
      <c r="D4932" s="5"/>
    </row>
    <row r="4933" spans="4:4" x14ac:dyDescent="0.2">
      <c r="D4933" s="5"/>
    </row>
    <row r="4934" spans="4:4" x14ac:dyDescent="0.2">
      <c r="D4934" s="5"/>
    </row>
    <row r="4935" spans="4:4" x14ac:dyDescent="0.2">
      <c r="D4935" s="5"/>
    </row>
    <row r="4936" spans="4:4" x14ac:dyDescent="0.2">
      <c r="D4936" s="5"/>
    </row>
    <row r="4937" spans="4:4" x14ac:dyDescent="0.2">
      <c r="D4937" s="5"/>
    </row>
    <row r="4938" spans="4:4" x14ac:dyDescent="0.2">
      <c r="D4938" s="5"/>
    </row>
    <row r="4939" spans="4:4" x14ac:dyDescent="0.2">
      <c r="D4939" s="5"/>
    </row>
    <row r="4940" spans="4:4" x14ac:dyDescent="0.2">
      <c r="D4940" s="5"/>
    </row>
    <row r="4941" spans="4:4" x14ac:dyDescent="0.2">
      <c r="D4941" s="5"/>
    </row>
    <row r="4942" spans="4:4" x14ac:dyDescent="0.2">
      <c r="D4942" s="5"/>
    </row>
    <row r="4943" spans="4:4" x14ac:dyDescent="0.2">
      <c r="D4943" s="5"/>
    </row>
    <row r="4944" spans="4:4" x14ac:dyDescent="0.2">
      <c r="D4944" s="5"/>
    </row>
    <row r="4945" spans="4:4" x14ac:dyDescent="0.2">
      <c r="D4945" s="5"/>
    </row>
    <row r="4946" spans="4:4" x14ac:dyDescent="0.2">
      <c r="D4946" s="5"/>
    </row>
    <row r="4947" spans="4:4" x14ac:dyDescent="0.2">
      <c r="D4947" s="5"/>
    </row>
    <row r="4948" spans="4:4" x14ac:dyDescent="0.2">
      <c r="D4948" s="5"/>
    </row>
    <row r="4949" spans="4:4" x14ac:dyDescent="0.2">
      <c r="D4949" s="5"/>
    </row>
    <row r="4950" spans="4:4" x14ac:dyDescent="0.2">
      <c r="D4950" s="5"/>
    </row>
    <row r="4951" spans="4:4" x14ac:dyDescent="0.2">
      <c r="D4951" s="5"/>
    </row>
    <row r="4952" spans="4:4" x14ac:dyDescent="0.2">
      <c r="D4952" s="5"/>
    </row>
    <row r="4953" spans="4:4" x14ac:dyDescent="0.2">
      <c r="D4953" s="5"/>
    </row>
    <row r="4954" spans="4:4" x14ac:dyDescent="0.2">
      <c r="D4954" s="5"/>
    </row>
    <row r="4955" spans="4:4" x14ac:dyDescent="0.2">
      <c r="D4955" s="5"/>
    </row>
    <row r="4956" spans="4:4" x14ac:dyDescent="0.2">
      <c r="D4956" s="5"/>
    </row>
    <row r="4957" spans="4:4" x14ac:dyDescent="0.2">
      <c r="D4957" s="5"/>
    </row>
    <row r="4958" spans="4:4" x14ac:dyDescent="0.2">
      <c r="D4958" s="5"/>
    </row>
    <row r="4959" spans="4:4" x14ac:dyDescent="0.2">
      <c r="D4959" s="5"/>
    </row>
    <row r="4960" spans="4:4" x14ac:dyDescent="0.2">
      <c r="D4960" s="5"/>
    </row>
    <row r="4961" spans="4:4" x14ac:dyDescent="0.2">
      <c r="D4961" s="5"/>
    </row>
    <row r="4962" spans="4:4" x14ac:dyDescent="0.2">
      <c r="D4962" s="5"/>
    </row>
    <row r="4963" spans="4:4" x14ac:dyDescent="0.2">
      <c r="D4963" s="5"/>
    </row>
    <row r="4964" spans="4:4" x14ac:dyDescent="0.2">
      <c r="D4964" s="5"/>
    </row>
    <row r="4965" spans="4:4" x14ac:dyDescent="0.2">
      <c r="D4965" s="5"/>
    </row>
    <row r="4966" spans="4:4" x14ac:dyDescent="0.2">
      <c r="D4966" s="5"/>
    </row>
    <row r="4967" spans="4:4" x14ac:dyDescent="0.2">
      <c r="D4967" s="5"/>
    </row>
    <row r="4968" spans="4:4" x14ac:dyDescent="0.2">
      <c r="D4968" s="5"/>
    </row>
    <row r="4969" spans="4:4" x14ac:dyDescent="0.2">
      <c r="D4969" s="5"/>
    </row>
    <row r="4970" spans="4:4" x14ac:dyDescent="0.2">
      <c r="D4970" s="5"/>
    </row>
    <row r="4971" spans="4:4" x14ac:dyDescent="0.2">
      <c r="D4971" s="5"/>
    </row>
    <row r="4972" spans="4:4" x14ac:dyDescent="0.2">
      <c r="D4972" s="5"/>
    </row>
    <row r="4973" spans="4:4" x14ac:dyDescent="0.2">
      <c r="D4973" s="5"/>
    </row>
    <row r="4974" spans="4:4" x14ac:dyDescent="0.2">
      <c r="D4974" s="5"/>
    </row>
    <row r="4975" spans="4:4" x14ac:dyDescent="0.2">
      <c r="D4975" s="5"/>
    </row>
    <row r="4976" spans="4:4" x14ac:dyDescent="0.2">
      <c r="D4976" s="5"/>
    </row>
    <row r="4977" spans="4:4" x14ac:dyDescent="0.2">
      <c r="D4977" s="5"/>
    </row>
    <row r="4978" spans="4:4" x14ac:dyDescent="0.2">
      <c r="D4978" s="5"/>
    </row>
    <row r="4979" spans="4:4" x14ac:dyDescent="0.2">
      <c r="D4979" s="5"/>
    </row>
    <row r="4980" spans="4:4" x14ac:dyDescent="0.2">
      <c r="D4980" s="5"/>
    </row>
    <row r="4981" spans="4:4" x14ac:dyDescent="0.2">
      <c r="D4981" s="5"/>
    </row>
    <row r="4982" spans="4:4" x14ac:dyDescent="0.2">
      <c r="D4982" s="5"/>
    </row>
    <row r="4983" spans="4:4" x14ac:dyDescent="0.2">
      <c r="D4983" s="5"/>
    </row>
    <row r="4984" spans="4:4" x14ac:dyDescent="0.2">
      <c r="D4984" s="5"/>
    </row>
    <row r="4985" spans="4:4" x14ac:dyDescent="0.2">
      <c r="D4985" s="5"/>
    </row>
    <row r="4986" spans="4:4" x14ac:dyDescent="0.2">
      <c r="D4986" s="5"/>
    </row>
    <row r="4987" spans="4:4" x14ac:dyDescent="0.2">
      <c r="D4987" s="5"/>
    </row>
    <row r="4988" spans="4:4" x14ac:dyDescent="0.2">
      <c r="D4988" s="5"/>
    </row>
    <row r="4989" spans="4:4" x14ac:dyDescent="0.2">
      <c r="D4989" s="5"/>
    </row>
    <row r="4990" spans="4:4" x14ac:dyDescent="0.2">
      <c r="D4990" s="5"/>
    </row>
    <row r="4991" spans="4:4" x14ac:dyDescent="0.2">
      <c r="D4991" s="5"/>
    </row>
    <row r="4992" spans="4:4" x14ac:dyDescent="0.2">
      <c r="D4992" s="5"/>
    </row>
    <row r="4993" spans="4:4" x14ac:dyDescent="0.2">
      <c r="D4993" s="5"/>
    </row>
    <row r="4994" spans="4:4" x14ac:dyDescent="0.2">
      <c r="D4994" s="5"/>
    </row>
    <row r="4995" spans="4:4" x14ac:dyDescent="0.2">
      <c r="D4995" s="5"/>
    </row>
    <row r="4996" spans="4:4" x14ac:dyDescent="0.2">
      <c r="D4996" s="5"/>
    </row>
    <row r="4997" spans="4:4" x14ac:dyDescent="0.2">
      <c r="D4997" s="5"/>
    </row>
    <row r="4998" spans="4:4" x14ac:dyDescent="0.2">
      <c r="D4998" s="5"/>
    </row>
    <row r="4999" spans="4:4" x14ac:dyDescent="0.2">
      <c r="D4999" s="5"/>
    </row>
    <row r="5000" spans="4:4" x14ac:dyDescent="0.2">
      <c r="D5000" s="5"/>
    </row>
    <row r="5001" spans="4:4" x14ac:dyDescent="0.2">
      <c r="D5001" s="5"/>
    </row>
    <row r="5002" spans="4:4" x14ac:dyDescent="0.2">
      <c r="D5002" s="5"/>
    </row>
    <row r="5003" spans="4:4" x14ac:dyDescent="0.2">
      <c r="D5003" s="5"/>
    </row>
    <row r="5004" spans="4:4" x14ac:dyDescent="0.2">
      <c r="D5004" s="5"/>
    </row>
    <row r="5005" spans="4:4" x14ac:dyDescent="0.2">
      <c r="D5005" s="5"/>
    </row>
    <row r="5006" spans="4:4" x14ac:dyDescent="0.2">
      <c r="D5006" s="5"/>
    </row>
    <row r="5007" spans="4:4" x14ac:dyDescent="0.2">
      <c r="D5007" s="5"/>
    </row>
    <row r="5008" spans="4:4" x14ac:dyDescent="0.2">
      <c r="D5008" s="5"/>
    </row>
    <row r="5009" spans="4:4" x14ac:dyDescent="0.2">
      <c r="D5009" s="5"/>
    </row>
    <row r="5010" spans="4:4" x14ac:dyDescent="0.2">
      <c r="D5010" s="5"/>
    </row>
    <row r="5011" spans="4:4" x14ac:dyDescent="0.2">
      <c r="D5011" s="5"/>
    </row>
    <row r="5012" spans="4:4" x14ac:dyDescent="0.2">
      <c r="D5012" s="5"/>
    </row>
    <row r="5013" spans="4:4" x14ac:dyDescent="0.2">
      <c r="D5013" s="5"/>
    </row>
    <row r="5014" spans="4:4" x14ac:dyDescent="0.2">
      <c r="D5014" s="5"/>
    </row>
    <row r="5015" spans="4:4" x14ac:dyDescent="0.2">
      <c r="D5015" s="5"/>
    </row>
    <row r="5016" spans="4:4" x14ac:dyDescent="0.2">
      <c r="D5016" s="5"/>
    </row>
    <row r="5017" spans="4:4" x14ac:dyDescent="0.2">
      <c r="D5017" s="5"/>
    </row>
    <row r="5018" spans="4:4" x14ac:dyDescent="0.2">
      <c r="D5018" s="5"/>
    </row>
    <row r="5019" spans="4:4" x14ac:dyDescent="0.2">
      <c r="D5019" s="5"/>
    </row>
    <row r="5020" spans="4:4" x14ac:dyDescent="0.2">
      <c r="D5020" s="5"/>
    </row>
    <row r="5021" spans="4:4" x14ac:dyDescent="0.2">
      <c r="D5021" s="5"/>
    </row>
    <row r="5022" spans="4:4" x14ac:dyDescent="0.2">
      <c r="D5022" s="5"/>
    </row>
    <row r="5023" spans="4:4" x14ac:dyDescent="0.2">
      <c r="D5023" s="5"/>
    </row>
    <row r="5024" spans="4:4" x14ac:dyDescent="0.2">
      <c r="D5024" s="5"/>
    </row>
    <row r="5025" spans="4:4" x14ac:dyDescent="0.2">
      <c r="D5025" s="5"/>
    </row>
    <row r="5026" spans="4:4" x14ac:dyDescent="0.2">
      <c r="D5026" s="5"/>
    </row>
    <row r="5027" spans="4:4" x14ac:dyDescent="0.2">
      <c r="D5027" s="5"/>
    </row>
    <row r="5028" spans="4:4" x14ac:dyDescent="0.2">
      <c r="D5028" s="5"/>
    </row>
    <row r="5029" spans="4:4" x14ac:dyDescent="0.2">
      <c r="D5029" s="5"/>
    </row>
    <row r="5030" spans="4:4" x14ac:dyDescent="0.2">
      <c r="D5030" s="5"/>
    </row>
    <row r="5031" spans="4:4" x14ac:dyDescent="0.2">
      <c r="D5031" s="5"/>
    </row>
    <row r="5032" spans="4:4" x14ac:dyDescent="0.2">
      <c r="D5032" s="5"/>
    </row>
    <row r="5033" spans="4:4" x14ac:dyDescent="0.2">
      <c r="D5033" s="5"/>
    </row>
    <row r="5034" spans="4:4" x14ac:dyDescent="0.2">
      <c r="D5034" s="5"/>
    </row>
    <row r="5035" spans="4:4" x14ac:dyDescent="0.2">
      <c r="D5035" s="5"/>
    </row>
    <row r="5036" spans="4:4" x14ac:dyDescent="0.2">
      <c r="D5036" s="5"/>
    </row>
    <row r="5037" spans="4:4" x14ac:dyDescent="0.2">
      <c r="D5037" s="5"/>
    </row>
    <row r="5038" spans="4:4" x14ac:dyDescent="0.2">
      <c r="D5038" s="5"/>
    </row>
    <row r="5039" spans="4:4" x14ac:dyDescent="0.2">
      <c r="D5039" s="5"/>
    </row>
    <row r="5040" spans="4:4" x14ac:dyDescent="0.2">
      <c r="D5040" s="5"/>
    </row>
    <row r="5041" spans="4:4" x14ac:dyDescent="0.2">
      <c r="D5041" s="5"/>
    </row>
    <row r="5042" spans="4:4" x14ac:dyDescent="0.2">
      <c r="D5042" s="5"/>
    </row>
    <row r="5043" spans="4:4" x14ac:dyDescent="0.2">
      <c r="D5043" s="5"/>
    </row>
    <row r="5044" spans="4:4" x14ac:dyDescent="0.2">
      <c r="D5044" s="5"/>
    </row>
    <row r="5045" spans="4:4" x14ac:dyDescent="0.2">
      <c r="D5045" s="5"/>
    </row>
    <row r="5046" spans="4:4" x14ac:dyDescent="0.2">
      <c r="D5046" s="5"/>
    </row>
    <row r="5047" spans="4:4" x14ac:dyDescent="0.2">
      <c r="D5047" s="5"/>
    </row>
    <row r="5048" spans="4:4" x14ac:dyDescent="0.2">
      <c r="D5048" s="5"/>
    </row>
    <row r="5049" spans="4:4" x14ac:dyDescent="0.2">
      <c r="D5049" s="5"/>
    </row>
    <row r="5050" spans="4:4" x14ac:dyDescent="0.2">
      <c r="D5050" s="5"/>
    </row>
    <row r="5051" spans="4:4" x14ac:dyDescent="0.2">
      <c r="D5051" s="5"/>
    </row>
    <row r="5052" spans="4:4" x14ac:dyDescent="0.2">
      <c r="D5052" s="5"/>
    </row>
    <row r="5053" spans="4:4" x14ac:dyDescent="0.2">
      <c r="D5053" s="5"/>
    </row>
    <row r="5054" spans="4:4" x14ac:dyDescent="0.2">
      <c r="D5054" s="5"/>
    </row>
    <row r="5055" spans="4:4" x14ac:dyDescent="0.2">
      <c r="D5055" s="5"/>
    </row>
    <row r="5056" spans="4:4" x14ac:dyDescent="0.2">
      <c r="D5056" s="5"/>
    </row>
    <row r="5057" spans="4:4" x14ac:dyDescent="0.2">
      <c r="D5057" s="5"/>
    </row>
    <row r="5058" spans="4:4" x14ac:dyDescent="0.2">
      <c r="D5058" s="5"/>
    </row>
    <row r="5059" spans="4:4" x14ac:dyDescent="0.2">
      <c r="D5059" s="5"/>
    </row>
    <row r="5060" spans="4:4" x14ac:dyDescent="0.2">
      <c r="D5060" s="5"/>
    </row>
    <row r="5061" spans="4:4" x14ac:dyDescent="0.2">
      <c r="D5061" s="5"/>
    </row>
    <row r="5062" spans="4:4" x14ac:dyDescent="0.2">
      <c r="D5062" s="5"/>
    </row>
    <row r="5063" spans="4:4" x14ac:dyDescent="0.2">
      <c r="D5063" s="5"/>
    </row>
    <row r="5064" spans="4:4" x14ac:dyDescent="0.2">
      <c r="D5064" s="5"/>
    </row>
    <row r="5065" spans="4:4" x14ac:dyDescent="0.2">
      <c r="D5065" s="5"/>
    </row>
    <row r="5066" spans="4:4" x14ac:dyDescent="0.2">
      <c r="D5066" s="5"/>
    </row>
    <row r="5067" spans="4:4" x14ac:dyDescent="0.2">
      <c r="D5067" s="5"/>
    </row>
    <row r="5068" spans="4:4" x14ac:dyDescent="0.2">
      <c r="D5068" s="5"/>
    </row>
    <row r="5069" spans="4:4" x14ac:dyDescent="0.2">
      <c r="D5069" s="5"/>
    </row>
    <row r="5070" spans="4:4" x14ac:dyDescent="0.2">
      <c r="D5070" s="5"/>
    </row>
    <row r="5071" spans="4:4" x14ac:dyDescent="0.2">
      <c r="D5071" s="5"/>
    </row>
    <row r="5072" spans="4:4" x14ac:dyDescent="0.2">
      <c r="D5072" s="5"/>
    </row>
    <row r="5073" spans="4:4" x14ac:dyDescent="0.2">
      <c r="D5073" s="5"/>
    </row>
    <row r="5074" spans="4:4" x14ac:dyDescent="0.2">
      <c r="D5074" s="5"/>
    </row>
    <row r="5075" spans="4:4" x14ac:dyDescent="0.2">
      <c r="D5075" s="5"/>
    </row>
    <row r="5076" spans="4:4" x14ac:dyDescent="0.2">
      <c r="D5076" s="5"/>
    </row>
    <row r="5077" spans="4:4" x14ac:dyDescent="0.2">
      <c r="D5077" s="5"/>
    </row>
    <row r="5078" spans="4:4" x14ac:dyDescent="0.2">
      <c r="D5078" s="5"/>
    </row>
    <row r="5079" spans="4:4" x14ac:dyDescent="0.2">
      <c r="D5079" s="5"/>
    </row>
    <row r="5080" spans="4:4" x14ac:dyDescent="0.2">
      <c r="D5080" s="5"/>
    </row>
    <row r="5081" spans="4:4" x14ac:dyDescent="0.2">
      <c r="D5081" s="5"/>
    </row>
    <row r="5082" spans="4:4" x14ac:dyDescent="0.2">
      <c r="D5082" s="5"/>
    </row>
    <row r="5083" spans="4:4" x14ac:dyDescent="0.2">
      <c r="D5083" s="5"/>
    </row>
    <row r="5084" spans="4:4" x14ac:dyDescent="0.2">
      <c r="D5084" s="5"/>
    </row>
    <row r="5085" spans="4:4" x14ac:dyDescent="0.2">
      <c r="D5085" s="5"/>
    </row>
    <row r="5086" spans="4:4" x14ac:dyDescent="0.2">
      <c r="D5086" s="5"/>
    </row>
    <row r="5087" spans="4:4" x14ac:dyDescent="0.2">
      <c r="D5087" s="5"/>
    </row>
    <row r="5088" spans="4:4" x14ac:dyDescent="0.2">
      <c r="D5088" s="5"/>
    </row>
    <row r="5089" spans="4:4" x14ac:dyDescent="0.2">
      <c r="D5089" s="5"/>
    </row>
    <row r="5090" spans="4:4" x14ac:dyDescent="0.2">
      <c r="D5090" s="5"/>
    </row>
    <row r="5091" spans="4:4" x14ac:dyDescent="0.2">
      <c r="D5091" s="5"/>
    </row>
    <row r="5092" spans="4:4" x14ac:dyDescent="0.2">
      <c r="D5092" s="5"/>
    </row>
    <row r="5093" spans="4:4" x14ac:dyDescent="0.2">
      <c r="D5093" s="5"/>
    </row>
    <row r="5094" spans="4:4" x14ac:dyDescent="0.2">
      <c r="D5094" s="5"/>
    </row>
    <row r="5095" spans="4:4" x14ac:dyDescent="0.2">
      <c r="D5095" s="5"/>
    </row>
    <row r="5096" spans="4:4" x14ac:dyDescent="0.2">
      <c r="D5096" s="5"/>
    </row>
    <row r="5097" spans="4:4" x14ac:dyDescent="0.2">
      <c r="D5097" s="5"/>
    </row>
    <row r="5098" spans="4:4" x14ac:dyDescent="0.2">
      <c r="D5098" s="5"/>
    </row>
    <row r="5099" spans="4:4" x14ac:dyDescent="0.2">
      <c r="D5099" s="5"/>
    </row>
    <row r="5100" spans="4:4" x14ac:dyDescent="0.2">
      <c r="D5100" s="5"/>
    </row>
    <row r="5101" spans="4:4" x14ac:dyDescent="0.2">
      <c r="D5101" s="5"/>
    </row>
    <row r="5102" spans="4:4" x14ac:dyDescent="0.2">
      <c r="D5102" s="5"/>
    </row>
    <row r="5103" spans="4:4" x14ac:dyDescent="0.2">
      <c r="D5103" s="5"/>
    </row>
    <row r="5104" spans="4:4" x14ac:dyDescent="0.2">
      <c r="D5104" s="5"/>
    </row>
    <row r="5105" spans="4:4" x14ac:dyDescent="0.2">
      <c r="D5105" s="5"/>
    </row>
    <row r="5106" spans="4:4" x14ac:dyDescent="0.2">
      <c r="D5106" s="5"/>
    </row>
    <row r="5107" spans="4:4" x14ac:dyDescent="0.2">
      <c r="D5107" s="5"/>
    </row>
    <row r="5108" spans="4:4" x14ac:dyDescent="0.2">
      <c r="D5108" s="5"/>
    </row>
    <row r="5109" spans="4:4" x14ac:dyDescent="0.2">
      <c r="D5109" s="5"/>
    </row>
    <row r="5110" spans="4:4" x14ac:dyDescent="0.2">
      <c r="D5110" s="5"/>
    </row>
    <row r="5111" spans="4:4" x14ac:dyDescent="0.2">
      <c r="D5111" s="5"/>
    </row>
    <row r="5112" spans="4:4" x14ac:dyDescent="0.2">
      <c r="D5112" s="5"/>
    </row>
    <row r="5113" spans="4:4" x14ac:dyDescent="0.2">
      <c r="D5113" s="5"/>
    </row>
    <row r="5114" spans="4:4" x14ac:dyDescent="0.2">
      <c r="D5114" s="5"/>
    </row>
    <row r="5115" spans="4:4" x14ac:dyDescent="0.2">
      <c r="D5115" s="5"/>
    </row>
    <row r="5116" spans="4:4" x14ac:dyDescent="0.2">
      <c r="D5116" s="5"/>
    </row>
    <row r="5117" spans="4:4" x14ac:dyDescent="0.2">
      <c r="D5117" s="5"/>
    </row>
    <row r="5118" spans="4:4" x14ac:dyDescent="0.2">
      <c r="D5118" s="5"/>
    </row>
    <row r="5119" spans="4:4" x14ac:dyDescent="0.2">
      <c r="D5119" s="5"/>
    </row>
    <row r="5120" spans="4:4" x14ac:dyDescent="0.2">
      <c r="D5120" s="5"/>
    </row>
    <row r="5121" spans="4:4" x14ac:dyDescent="0.2">
      <c r="D5121" s="5"/>
    </row>
    <row r="5122" spans="4:4" x14ac:dyDescent="0.2">
      <c r="D5122" s="5"/>
    </row>
    <row r="5123" spans="4:4" x14ac:dyDescent="0.2">
      <c r="D5123" s="5"/>
    </row>
    <row r="5124" spans="4:4" x14ac:dyDescent="0.2">
      <c r="D5124" s="5"/>
    </row>
    <row r="5125" spans="4:4" x14ac:dyDescent="0.2">
      <c r="D5125" s="5"/>
    </row>
    <row r="5126" spans="4:4" x14ac:dyDescent="0.2">
      <c r="D5126" s="5"/>
    </row>
    <row r="5127" spans="4:4" x14ac:dyDescent="0.2">
      <c r="D5127" s="5"/>
    </row>
    <row r="5128" spans="4:4" x14ac:dyDescent="0.2">
      <c r="D5128" s="5"/>
    </row>
    <row r="5129" spans="4:4" x14ac:dyDescent="0.2">
      <c r="D5129" s="5"/>
    </row>
    <row r="5130" spans="4:4" x14ac:dyDescent="0.2">
      <c r="D5130" s="5"/>
    </row>
    <row r="5131" spans="4:4" x14ac:dyDescent="0.2">
      <c r="D5131" s="5"/>
    </row>
    <row r="5132" spans="4:4" x14ac:dyDescent="0.2">
      <c r="D5132" s="5"/>
    </row>
    <row r="5133" spans="4:4" x14ac:dyDescent="0.2">
      <c r="D5133" s="5"/>
    </row>
    <row r="5134" spans="4:4" x14ac:dyDescent="0.2">
      <c r="D5134" s="5"/>
    </row>
    <row r="5135" spans="4:4" x14ac:dyDescent="0.2">
      <c r="D5135" s="5"/>
    </row>
    <row r="5136" spans="4:4" x14ac:dyDescent="0.2">
      <c r="D5136" s="5"/>
    </row>
    <row r="5137" spans="4:4" x14ac:dyDescent="0.2">
      <c r="D5137" s="5"/>
    </row>
    <row r="5138" spans="4:4" x14ac:dyDescent="0.2">
      <c r="D5138" s="5"/>
    </row>
    <row r="5139" spans="4:4" x14ac:dyDescent="0.2">
      <c r="D5139" s="5"/>
    </row>
    <row r="5140" spans="4:4" x14ac:dyDescent="0.2">
      <c r="D5140" s="5"/>
    </row>
    <row r="5141" spans="4:4" x14ac:dyDescent="0.2">
      <c r="D5141" s="5"/>
    </row>
    <row r="5142" spans="4:4" x14ac:dyDescent="0.2">
      <c r="D5142" s="5"/>
    </row>
    <row r="5143" spans="4:4" x14ac:dyDescent="0.2">
      <c r="D5143" s="5"/>
    </row>
    <row r="5144" spans="4:4" x14ac:dyDescent="0.2">
      <c r="D5144" s="5"/>
    </row>
    <row r="5145" spans="4:4" x14ac:dyDescent="0.2">
      <c r="D5145" s="5"/>
    </row>
    <row r="5146" spans="4:4" x14ac:dyDescent="0.2">
      <c r="D5146" s="5"/>
    </row>
    <row r="5147" spans="4:4" x14ac:dyDescent="0.2">
      <c r="D5147" s="5"/>
    </row>
    <row r="5148" spans="4:4" x14ac:dyDescent="0.2">
      <c r="D5148" s="5"/>
    </row>
    <row r="5149" spans="4:4" x14ac:dyDescent="0.2">
      <c r="D5149" s="5"/>
    </row>
    <row r="5150" spans="4:4" x14ac:dyDescent="0.2">
      <c r="D5150" s="5"/>
    </row>
    <row r="5151" spans="4:4" x14ac:dyDescent="0.2">
      <c r="D5151" s="5"/>
    </row>
    <row r="5152" spans="4:4" x14ac:dyDescent="0.2">
      <c r="D5152" s="5"/>
    </row>
    <row r="5153" spans="4:4" x14ac:dyDescent="0.2">
      <c r="D5153" s="5"/>
    </row>
    <row r="5154" spans="4:4" x14ac:dyDescent="0.2">
      <c r="D5154" s="5"/>
    </row>
    <row r="5155" spans="4:4" x14ac:dyDescent="0.2">
      <c r="D5155" s="5"/>
    </row>
    <row r="5156" spans="4:4" x14ac:dyDescent="0.2">
      <c r="D5156" s="5"/>
    </row>
    <row r="5157" spans="4:4" x14ac:dyDescent="0.2">
      <c r="D5157" s="5"/>
    </row>
    <row r="5158" spans="4:4" x14ac:dyDescent="0.2">
      <c r="D5158" s="5"/>
    </row>
    <row r="5159" spans="4:4" x14ac:dyDescent="0.2">
      <c r="D5159" s="5"/>
    </row>
    <row r="5160" spans="4:4" x14ac:dyDescent="0.2">
      <c r="D5160" s="5"/>
    </row>
    <row r="5161" spans="4:4" x14ac:dyDescent="0.2">
      <c r="D5161" s="5"/>
    </row>
    <row r="5162" spans="4:4" x14ac:dyDescent="0.2">
      <c r="D5162" s="5"/>
    </row>
    <row r="5163" spans="4:4" x14ac:dyDescent="0.2">
      <c r="D5163" s="5"/>
    </row>
    <row r="5164" spans="4:4" x14ac:dyDescent="0.2">
      <c r="D5164" s="5"/>
    </row>
    <row r="5165" spans="4:4" x14ac:dyDescent="0.2">
      <c r="D5165" s="5"/>
    </row>
    <row r="5166" spans="4:4" x14ac:dyDescent="0.2">
      <c r="D5166" s="5"/>
    </row>
    <row r="5167" spans="4:4" x14ac:dyDescent="0.2">
      <c r="D5167" s="5"/>
    </row>
    <row r="5168" spans="4:4" x14ac:dyDescent="0.2">
      <c r="D5168" s="5"/>
    </row>
    <row r="5169" spans="4:4" x14ac:dyDescent="0.2">
      <c r="D5169" s="5"/>
    </row>
    <row r="5170" spans="4:4" x14ac:dyDescent="0.2">
      <c r="D5170" s="5"/>
    </row>
    <row r="5171" spans="4:4" x14ac:dyDescent="0.2">
      <c r="D5171" s="5"/>
    </row>
    <row r="5172" spans="4:4" x14ac:dyDescent="0.2">
      <c r="D5172" s="5"/>
    </row>
    <row r="5173" spans="4:4" x14ac:dyDescent="0.2">
      <c r="D5173" s="5"/>
    </row>
    <row r="5174" spans="4:4" x14ac:dyDescent="0.2">
      <c r="D5174" s="5"/>
    </row>
    <row r="5175" spans="4:4" x14ac:dyDescent="0.2">
      <c r="D5175" s="5"/>
    </row>
    <row r="5176" spans="4:4" x14ac:dyDescent="0.2">
      <c r="D5176" s="5"/>
    </row>
    <row r="5177" spans="4:4" x14ac:dyDescent="0.2">
      <c r="D5177" s="5"/>
    </row>
    <row r="5178" spans="4:4" x14ac:dyDescent="0.2">
      <c r="D5178" s="5"/>
    </row>
    <row r="5179" spans="4:4" x14ac:dyDescent="0.2">
      <c r="D5179" s="5"/>
    </row>
    <row r="5180" spans="4:4" x14ac:dyDescent="0.2">
      <c r="D5180" s="5"/>
    </row>
    <row r="5181" spans="4:4" x14ac:dyDescent="0.2">
      <c r="D5181" s="5"/>
    </row>
    <row r="5182" spans="4:4" x14ac:dyDescent="0.2">
      <c r="D5182" s="5"/>
    </row>
    <row r="5183" spans="4:4" x14ac:dyDescent="0.2">
      <c r="D5183" s="5"/>
    </row>
    <row r="5184" spans="4:4" x14ac:dyDescent="0.2">
      <c r="D5184" s="5"/>
    </row>
    <row r="5185" spans="4:4" x14ac:dyDescent="0.2">
      <c r="D5185" s="5"/>
    </row>
    <row r="5186" spans="4:4" x14ac:dyDescent="0.2">
      <c r="D5186" s="5"/>
    </row>
    <row r="5187" spans="4:4" x14ac:dyDescent="0.2">
      <c r="D5187" s="5"/>
    </row>
    <row r="5188" spans="4:4" x14ac:dyDescent="0.2">
      <c r="D5188" s="5"/>
    </row>
    <row r="5189" spans="4:4" x14ac:dyDescent="0.2">
      <c r="D5189" s="5"/>
    </row>
    <row r="5190" spans="4:4" x14ac:dyDescent="0.2">
      <c r="D5190" s="5"/>
    </row>
    <row r="5191" spans="4:4" x14ac:dyDescent="0.2">
      <c r="D5191" s="5"/>
    </row>
    <row r="5192" spans="4:4" x14ac:dyDescent="0.2">
      <c r="D5192" s="5"/>
    </row>
    <row r="5193" spans="4:4" x14ac:dyDescent="0.2">
      <c r="D5193" s="5"/>
    </row>
    <row r="5194" spans="4:4" x14ac:dyDescent="0.2">
      <c r="D5194" s="5"/>
    </row>
    <row r="5195" spans="4:4" x14ac:dyDescent="0.2">
      <c r="D5195" s="5"/>
    </row>
    <row r="5196" spans="4:4" x14ac:dyDescent="0.2">
      <c r="D5196" s="5"/>
    </row>
    <row r="5197" spans="4:4" x14ac:dyDescent="0.2">
      <c r="D5197" s="5"/>
    </row>
    <row r="5198" spans="4:4" x14ac:dyDescent="0.2">
      <c r="D5198" s="5"/>
    </row>
    <row r="5199" spans="4:4" x14ac:dyDescent="0.2">
      <c r="D5199" s="5"/>
    </row>
    <row r="5200" spans="4:4" x14ac:dyDescent="0.2">
      <c r="D5200" s="5"/>
    </row>
    <row r="5201" spans="4:4" x14ac:dyDescent="0.2">
      <c r="D5201" s="5"/>
    </row>
    <row r="5202" spans="4:4" x14ac:dyDescent="0.2">
      <c r="D5202" s="5"/>
    </row>
    <row r="5203" spans="4:4" x14ac:dyDescent="0.2">
      <c r="D5203" s="5"/>
    </row>
    <row r="5204" spans="4:4" x14ac:dyDescent="0.2">
      <c r="D5204" s="5"/>
    </row>
    <row r="5205" spans="4:4" x14ac:dyDescent="0.2">
      <c r="D5205" s="5"/>
    </row>
    <row r="5206" spans="4:4" x14ac:dyDescent="0.2">
      <c r="D5206" s="5"/>
    </row>
    <row r="5207" spans="4:4" x14ac:dyDescent="0.2">
      <c r="D5207" s="5"/>
    </row>
    <row r="5208" spans="4:4" x14ac:dyDescent="0.2">
      <c r="D5208" s="5"/>
    </row>
    <row r="5209" spans="4:4" x14ac:dyDescent="0.2">
      <c r="D5209" s="5"/>
    </row>
    <row r="5210" spans="4:4" x14ac:dyDescent="0.2">
      <c r="D5210" s="5"/>
    </row>
    <row r="5211" spans="4:4" x14ac:dyDescent="0.2">
      <c r="D5211" s="5"/>
    </row>
    <row r="5212" spans="4:4" x14ac:dyDescent="0.2">
      <c r="D5212" s="5"/>
    </row>
    <row r="5213" spans="4:4" x14ac:dyDescent="0.2">
      <c r="D5213" s="5"/>
    </row>
    <row r="5214" spans="4:4" x14ac:dyDescent="0.2">
      <c r="D5214" s="5"/>
    </row>
    <row r="5215" spans="4:4" x14ac:dyDescent="0.2">
      <c r="D5215" s="5"/>
    </row>
    <row r="5216" spans="4:4" x14ac:dyDescent="0.2">
      <c r="D5216" s="5"/>
    </row>
    <row r="5217" spans="4:4" x14ac:dyDescent="0.2">
      <c r="D5217" s="5"/>
    </row>
    <row r="5218" spans="4:4" x14ac:dyDescent="0.2">
      <c r="D5218" s="5"/>
    </row>
    <row r="5219" spans="4:4" x14ac:dyDescent="0.2">
      <c r="D5219" s="5"/>
    </row>
    <row r="5220" spans="4:4" x14ac:dyDescent="0.2">
      <c r="D5220" s="5"/>
    </row>
    <row r="5221" spans="4:4" x14ac:dyDescent="0.2">
      <c r="D5221" s="5"/>
    </row>
    <row r="5222" spans="4:4" x14ac:dyDescent="0.2">
      <c r="D5222" s="5"/>
    </row>
    <row r="5223" spans="4:4" x14ac:dyDescent="0.2">
      <c r="D5223" s="5"/>
    </row>
    <row r="5224" spans="4:4" x14ac:dyDescent="0.2">
      <c r="D5224" s="5"/>
    </row>
    <row r="5225" spans="4:4" x14ac:dyDescent="0.2">
      <c r="D5225" s="5"/>
    </row>
    <row r="5226" spans="4:4" x14ac:dyDescent="0.2">
      <c r="D5226" s="5"/>
    </row>
    <row r="5227" spans="4:4" x14ac:dyDescent="0.2">
      <c r="D5227" s="5"/>
    </row>
    <row r="5228" spans="4:4" x14ac:dyDescent="0.2">
      <c r="D5228" s="5"/>
    </row>
    <row r="5229" spans="4:4" x14ac:dyDescent="0.2">
      <c r="D5229" s="5"/>
    </row>
    <row r="5230" spans="4:4" x14ac:dyDescent="0.2">
      <c r="D5230" s="5"/>
    </row>
    <row r="5231" spans="4:4" x14ac:dyDescent="0.2">
      <c r="D5231" s="5"/>
    </row>
    <row r="5232" spans="4:4" x14ac:dyDescent="0.2">
      <c r="D5232" s="5"/>
    </row>
    <row r="5233" spans="4:4" x14ac:dyDescent="0.2">
      <c r="D5233" s="5"/>
    </row>
    <row r="5234" spans="4:4" x14ac:dyDescent="0.2">
      <c r="D5234" s="5"/>
    </row>
    <row r="5235" spans="4:4" x14ac:dyDescent="0.2">
      <c r="D5235" s="5"/>
    </row>
    <row r="5236" spans="4:4" x14ac:dyDescent="0.2">
      <c r="D5236" s="5"/>
    </row>
    <row r="5237" spans="4:4" x14ac:dyDescent="0.2">
      <c r="D5237" s="5"/>
    </row>
    <row r="5238" spans="4:4" x14ac:dyDescent="0.2">
      <c r="D5238" s="5"/>
    </row>
    <row r="5239" spans="4:4" x14ac:dyDescent="0.2">
      <c r="D5239" s="5"/>
    </row>
    <row r="5240" spans="4:4" x14ac:dyDescent="0.2">
      <c r="D5240" s="5"/>
    </row>
    <row r="5241" spans="4:4" x14ac:dyDescent="0.2">
      <c r="D5241" s="5"/>
    </row>
    <row r="5242" spans="4:4" x14ac:dyDescent="0.2">
      <c r="D5242" s="5"/>
    </row>
    <row r="5243" spans="4:4" x14ac:dyDescent="0.2">
      <c r="D5243" s="5"/>
    </row>
    <row r="5244" spans="4:4" x14ac:dyDescent="0.2">
      <c r="D5244" s="5"/>
    </row>
    <row r="5245" spans="4:4" x14ac:dyDescent="0.2">
      <c r="D5245" s="5"/>
    </row>
    <row r="5246" spans="4:4" x14ac:dyDescent="0.2">
      <c r="D5246" s="5"/>
    </row>
    <row r="5247" spans="4:4" x14ac:dyDescent="0.2">
      <c r="D5247" s="5"/>
    </row>
    <row r="5248" spans="4:4" x14ac:dyDescent="0.2">
      <c r="D5248" s="5"/>
    </row>
    <row r="5249" spans="4:4" x14ac:dyDescent="0.2">
      <c r="D5249" s="5"/>
    </row>
    <row r="5250" spans="4:4" x14ac:dyDescent="0.2">
      <c r="D5250" s="5"/>
    </row>
    <row r="5251" spans="4:4" x14ac:dyDescent="0.2">
      <c r="D5251" s="5"/>
    </row>
    <row r="5252" spans="4:4" x14ac:dyDescent="0.2">
      <c r="D5252" s="5"/>
    </row>
    <row r="5253" spans="4:4" x14ac:dyDescent="0.2">
      <c r="D5253" s="5"/>
    </row>
    <row r="5254" spans="4:4" x14ac:dyDescent="0.2">
      <c r="D5254" s="5"/>
    </row>
    <row r="5255" spans="4:4" x14ac:dyDescent="0.2">
      <c r="D5255" s="5"/>
    </row>
    <row r="5256" spans="4:4" x14ac:dyDescent="0.2">
      <c r="D5256" s="5"/>
    </row>
    <row r="5257" spans="4:4" x14ac:dyDescent="0.2">
      <c r="D5257" s="5"/>
    </row>
    <row r="5258" spans="4:4" x14ac:dyDescent="0.2">
      <c r="D5258" s="5"/>
    </row>
    <row r="5259" spans="4:4" x14ac:dyDescent="0.2">
      <c r="D5259" s="5"/>
    </row>
    <row r="5260" spans="4:4" x14ac:dyDescent="0.2">
      <c r="D5260" s="5"/>
    </row>
    <row r="5261" spans="4:4" x14ac:dyDescent="0.2">
      <c r="D5261" s="5"/>
    </row>
    <row r="5262" spans="4:4" x14ac:dyDescent="0.2">
      <c r="D5262" s="5"/>
    </row>
    <row r="5263" spans="4:4" x14ac:dyDescent="0.2">
      <c r="D5263" s="5"/>
    </row>
    <row r="5264" spans="4:4" x14ac:dyDescent="0.2">
      <c r="D5264" s="5"/>
    </row>
    <row r="5265" spans="4:4" x14ac:dyDescent="0.2">
      <c r="D5265" s="5"/>
    </row>
    <row r="5266" spans="4:4" x14ac:dyDescent="0.2">
      <c r="D5266" s="5"/>
    </row>
    <row r="5267" spans="4:4" x14ac:dyDescent="0.2">
      <c r="D5267" s="5"/>
    </row>
    <row r="5268" spans="4:4" x14ac:dyDescent="0.2">
      <c r="D5268" s="5"/>
    </row>
    <row r="5269" spans="4:4" x14ac:dyDescent="0.2">
      <c r="D5269" s="5"/>
    </row>
    <row r="5270" spans="4:4" x14ac:dyDescent="0.2">
      <c r="D5270" s="5"/>
    </row>
    <row r="5271" spans="4:4" x14ac:dyDescent="0.2">
      <c r="D5271" s="5"/>
    </row>
    <row r="5272" spans="4:4" x14ac:dyDescent="0.2">
      <c r="D5272" s="5"/>
    </row>
    <row r="5273" spans="4:4" x14ac:dyDescent="0.2">
      <c r="D5273" s="5"/>
    </row>
    <row r="5274" spans="4:4" x14ac:dyDescent="0.2">
      <c r="D5274" s="5"/>
    </row>
    <row r="5275" spans="4:4" x14ac:dyDescent="0.2">
      <c r="D5275" s="5"/>
    </row>
    <row r="5276" spans="4:4" x14ac:dyDescent="0.2">
      <c r="D5276" s="5"/>
    </row>
    <row r="5277" spans="4:4" x14ac:dyDescent="0.2">
      <c r="D5277" s="5"/>
    </row>
    <row r="5278" spans="4:4" x14ac:dyDescent="0.2">
      <c r="D5278" s="5"/>
    </row>
    <row r="5279" spans="4:4" x14ac:dyDescent="0.2">
      <c r="D5279" s="5"/>
    </row>
    <row r="5280" spans="4:4" x14ac:dyDescent="0.2">
      <c r="D5280" s="5"/>
    </row>
    <row r="5281" spans="4:4" x14ac:dyDescent="0.2">
      <c r="D5281" s="5"/>
    </row>
    <row r="5282" spans="4:4" x14ac:dyDescent="0.2">
      <c r="D5282" s="5"/>
    </row>
    <row r="5283" spans="4:4" x14ac:dyDescent="0.2">
      <c r="D5283" s="5"/>
    </row>
    <row r="5284" spans="4:4" x14ac:dyDescent="0.2">
      <c r="D5284" s="5"/>
    </row>
    <row r="5285" spans="4:4" x14ac:dyDescent="0.2">
      <c r="D5285" s="5"/>
    </row>
    <row r="5286" spans="4:4" x14ac:dyDescent="0.2">
      <c r="D5286" s="5"/>
    </row>
    <row r="5287" spans="4:4" x14ac:dyDescent="0.2">
      <c r="D5287" s="5"/>
    </row>
    <row r="5288" spans="4:4" x14ac:dyDescent="0.2">
      <c r="D5288" s="5"/>
    </row>
    <row r="5289" spans="4:4" x14ac:dyDescent="0.2">
      <c r="D5289" s="5"/>
    </row>
    <row r="5290" spans="4:4" x14ac:dyDescent="0.2">
      <c r="D5290" s="5"/>
    </row>
    <row r="5291" spans="4:4" x14ac:dyDescent="0.2">
      <c r="D5291" s="5"/>
    </row>
    <row r="5292" spans="4:4" x14ac:dyDescent="0.2">
      <c r="D5292" s="5"/>
    </row>
    <row r="5293" spans="4:4" x14ac:dyDescent="0.2">
      <c r="D5293" s="5"/>
    </row>
    <row r="5294" spans="4:4" x14ac:dyDescent="0.2">
      <c r="D5294" s="5"/>
    </row>
    <row r="5295" spans="4:4" x14ac:dyDescent="0.2">
      <c r="D5295" s="5"/>
    </row>
    <row r="5296" spans="4:4" x14ac:dyDescent="0.2">
      <c r="D5296" s="5"/>
    </row>
    <row r="5297" spans="4:4" x14ac:dyDescent="0.2">
      <c r="D5297" s="5"/>
    </row>
    <row r="5298" spans="4:4" x14ac:dyDescent="0.2">
      <c r="D5298" s="5"/>
    </row>
    <row r="5299" spans="4:4" x14ac:dyDescent="0.2">
      <c r="D5299" s="5"/>
    </row>
    <row r="5300" spans="4:4" x14ac:dyDescent="0.2">
      <c r="D5300" s="5"/>
    </row>
    <row r="5301" spans="4:4" x14ac:dyDescent="0.2">
      <c r="D5301" s="5"/>
    </row>
    <row r="5302" spans="4:4" x14ac:dyDescent="0.2">
      <c r="D5302" s="5"/>
    </row>
    <row r="5303" spans="4:4" x14ac:dyDescent="0.2">
      <c r="D5303" s="5"/>
    </row>
    <row r="5304" spans="4:4" x14ac:dyDescent="0.2">
      <c r="D5304" s="5"/>
    </row>
    <row r="5305" spans="4:4" x14ac:dyDescent="0.2">
      <c r="D5305" s="5"/>
    </row>
    <row r="5306" spans="4:4" x14ac:dyDescent="0.2">
      <c r="D5306" s="5"/>
    </row>
    <row r="5307" spans="4:4" x14ac:dyDescent="0.2">
      <c r="D5307" s="5"/>
    </row>
    <row r="5308" spans="4:4" x14ac:dyDescent="0.2">
      <c r="D5308" s="5"/>
    </row>
    <row r="5309" spans="4:4" x14ac:dyDescent="0.2">
      <c r="D5309" s="5"/>
    </row>
    <row r="5310" spans="4:4" x14ac:dyDescent="0.2">
      <c r="D5310" s="5"/>
    </row>
    <row r="5311" spans="4:4" x14ac:dyDescent="0.2">
      <c r="D5311" s="5"/>
    </row>
    <row r="5312" spans="4:4" x14ac:dyDescent="0.2">
      <c r="D5312" s="5"/>
    </row>
    <row r="5313" spans="4:4" x14ac:dyDescent="0.2">
      <c r="D5313" s="5"/>
    </row>
    <row r="5314" spans="4:4" x14ac:dyDescent="0.2">
      <c r="D5314" s="5"/>
    </row>
    <row r="5315" spans="4:4" x14ac:dyDescent="0.2">
      <c r="D5315" s="5"/>
    </row>
    <row r="5316" spans="4:4" x14ac:dyDescent="0.2">
      <c r="D5316" s="5"/>
    </row>
    <row r="5317" spans="4:4" x14ac:dyDescent="0.2">
      <c r="D5317" s="5"/>
    </row>
    <row r="5318" spans="4:4" x14ac:dyDescent="0.2">
      <c r="D5318" s="5"/>
    </row>
    <row r="5319" spans="4:4" x14ac:dyDescent="0.2">
      <c r="D5319" s="5"/>
    </row>
    <row r="5320" spans="4:4" x14ac:dyDescent="0.2">
      <c r="D5320" s="5"/>
    </row>
    <row r="5321" spans="4:4" x14ac:dyDescent="0.2">
      <c r="D5321" s="5"/>
    </row>
    <row r="5322" spans="4:4" x14ac:dyDescent="0.2">
      <c r="D5322" s="5"/>
    </row>
    <row r="5323" spans="4:4" x14ac:dyDescent="0.2">
      <c r="D5323" s="5"/>
    </row>
    <row r="5324" spans="4:4" x14ac:dyDescent="0.2">
      <c r="D5324" s="5"/>
    </row>
    <row r="5325" spans="4:4" x14ac:dyDescent="0.2">
      <c r="D5325" s="5"/>
    </row>
    <row r="5326" spans="4:4" x14ac:dyDescent="0.2">
      <c r="D5326" s="5"/>
    </row>
    <row r="5327" spans="4:4" x14ac:dyDescent="0.2">
      <c r="D5327" s="5"/>
    </row>
    <row r="5328" spans="4:4" x14ac:dyDescent="0.2">
      <c r="D5328" s="5"/>
    </row>
    <row r="5329" spans="4:4" x14ac:dyDescent="0.2">
      <c r="D5329" s="5"/>
    </row>
    <row r="5330" spans="4:4" x14ac:dyDescent="0.2">
      <c r="D5330" s="5"/>
    </row>
    <row r="5331" spans="4:4" x14ac:dyDescent="0.2">
      <c r="D5331" s="5"/>
    </row>
    <row r="5332" spans="4:4" x14ac:dyDescent="0.2">
      <c r="D5332" s="5"/>
    </row>
    <row r="5333" spans="4:4" x14ac:dyDescent="0.2">
      <c r="D5333" s="5"/>
    </row>
    <row r="5334" spans="4:4" x14ac:dyDescent="0.2">
      <c r="D5334" s="5"/>
    </row>
    <row r="5335" spans="4:4" x14ac:dyDescent="0.2">
      <c r="D5335" s="5"/>
    </row>
    <row r="5336" spans="4:4" x14ac:dyDescent="0.2">
      <c r="D5336" s="5"/>
    </row>
    <row r="5337" spans="4:4" x14ac:dyDescent="0.2">
      <c r="D5337" s="5"/>
    </row>
    <row r="5338" spans="4:4" x14ac:dyDescent="0.2">
      <c r="D5338" s="5"/>
    </row>
    <row r="5339" spans="4:4" x14ac:dyDescent="0.2">
      <c r="D5339" s="5"/>
    </row>
    <row r="5340" spans="4:4" x14ac:dyDescent="0.2">
      <c r="D5340" s="5"/>
    </row>
    <row r="5341" spans="4:4" x14ac:dyDescent="0.2">
      <c r="D5341" s="5"/>
    </row>
    <row r="5342" spans="4:4" x14ac:dyDescent="0.2">
      <c r="D5342" s="5"/>
    </row>
    <row r="5343" spans="4:4" x14ac:dyDescent="0.2">
      <c r="D5343" s="5"/>
    </row>
    <row r="5344" spans="4:4" x14ac:dyDescent="0.2">
      <c r="D5344" s="5"/>
    </row>
    <row r="5345" spans="4:4" x14ac:dyDescent="0.2">
      <c r="D5345" s="5"/>
    </row>
    <row r="5346" spans="4:4" x14ac:dyDescent="0.2">
      <c r="D5346" s="5"/>
    </row>
    <row r="5347" spans="4:4" x14ac:dyDescent="0.2">
      <c r="D5347" s="5"/>
    </row>
    <row r="5348" spans="4:4" x14ac:dyDescent="0.2">
      <c r="D5348" s="5"/>
    </row>
    <row r="5349" spans="4:4" x14ac:dyDescent="0.2">
      <c r="D5349" s="5"/>
    </row>
    <row r="5350" spans="4:4" x14ac:dyDescent="0.2">
      <c r="D5350" s="5"/>
    </row>
    <row r="5351" spans="4:4" x14ac:dyDescent="0.2">
      <c r="D5351" s="5"/>
    </row>
    <row r="5352" spans="4:4" x14ac:dyDescent="0.2">
      <c r="D5352" s="5"/>
    </row>
    <row r="5353" spans="4:4" x14ac:dyDescent="0.2">
      <c r="D5353" s="5"/>
    </row>
    <row r="5354" spans="4:4" x14ac:dyDescent="0.2">
      <c r="D5354" s="5"/>
    </row>
    <row r="5355" spans="4:4" x14ac:dyDescent="0.2">
      <c r="D5355" s="5"/>
    </row>
    <row r="5356" spans="4:4" x14ac:dyDescent="0.2">
      <c r="D5356" s="5"/>
    </row>
    <row r="5357" spans="4:4" x14ac:dyDescent="0.2">
      <c r="D5357" s="5"/>
    </row>
    <row r="5358" spans="4:4" x14ac:dyDescent="0.2">
      <c r="D5358" s="5"/>
    </row>
    <row r="5359" spans="4:4" x14ac:dyDescent="0.2">
      <c r="D5359" s="5"/>
    </row>
    <row r="5360" spans="4:4" x14ac:dyDescent="0.2">
      <c r="D5360" s="5"/>
    </row>
    <row r="5361" spans="4:4" x14ac:dyDescent="0.2">
      <c r="D5361" s="5"/>
    </row>
    <row r="5362" spans="4:4" x14ac:dyDescent="0.2">
      <c r="D5362" s="5"/>
    </row>
    <row r="5363" spans="4:4" x14ac:dyDescent="0.2">
      <c r="D5363" s="5"/>
    </row>
    <row r="5364" spans="4:4" x14ac:dyDescent="0.2">
      <c r="D5364" s="5"/>
    </row>
    <row r="5365" spans="4:4" x14ac:dyDescent="0.2">
      <c r="D5365" s="5"/>
    </row>
    <row r="5366" spans="4:4" x14ac:dyDescent="0.2">
      <c r="D5366" s="5"/>
    </row>
    <row r="5367" spans="4:4" x14ac:dyDescent="0.2">
      <c r="D5367" s="5"/>
    </row>
    <row r="5368" spans="4:4" x14ac:dyDescent="0.2">
      <c r="D5368" s="5"/>
    </row>
    <row r="5369" spans="4:4" x14ac:dyDescent="0.2">
      <c r="D5369" s="5"/>
    </row>
    <row r="5370" spans="4:4" x14ac:dyDescent="0.2">
      <c r="D5370" s="5"/>
    </row>
    <row r="5371" spans="4:4" x14ac:dyDescent="0.2">
      <c r="D5371" s="5"/>
    </row>
    <row r="5372" spans="4:4" x14ac:dyDescent="0.2">
      <c r="D5372" s="5"/>
    </row>
    <row r="5373" spans="4:4" x14ac:dyDescent="0.2">
      <c r="D5373" s="5"/>
    </row>
    <row r="5374" spans="4:4" x14ac:dyDescent="0.2">
      <c r="D5374" s="5"/>
    </row>
    <row r="5375" spans="4:4" x14ac:dyDescent="0.2">
      <c r="D5375" s="5"/>
    </row>
    <row r="5376" spans="4:4" x14ac:dyDescent="0.2">
      <c r="D5376" s="5"/>
    </row>
    <row r="5377" spans="4:4" x14ac:dyDescent="0.2">
      <c r="D5377" s="5"/>
    </row>
    <row r="5378" spans="4:4" x14ac:dyDescent="0.2">
      <c r="D5378" s="5"/>
    </row>
    <row r="5379" spans="4:4" x14ac:dyDescent="0.2">
      <c r="D5379" s="5"/>
    </row>
    <row r="5380" spans="4:4" x14ac:dyDescent="0.2">
      <c r="D5380" s="5"/>
    </row>
    <row r="5381" spans="4:4" x14ac:dyDescent="0.2">
      <c r="D5381" s="5"/>
    </row>
    <row r="5382" spans="4:4" x14ac:dyDescent="0.2">
      <c r="D5382" s="5"/>
    </row>
    <row r="5383" spans="4:4" x14ac:dyDescent="0.2">
      <c r="D5383" s="5"/>
    </row>
    <row r="5384" spans="4:4" x14ac:dyDescent="0.2">
      <c r="D5384" s="5"/>
    </row>
    <row r="5385" spans="4:4" x14ac:dyDescent="0.2">
      <c r="D5385" s="5"/>
    </row>
    <row r="5386" spans="4:4" x14ac:dyDescent="0.2">
      <c r="D5386" s="5"/>
    </row>
    <row r="5387" spans="4:4" x14ac:dyDescent="0.2">
      <c r="D5387" s="5"/>
    </row>
    <row r="5388" spans="4:4" x14ac:dyDescent="0.2">
      <c r="D5388" s="5"/>
    </row>
    <row r="5389" spans="4:4" x14ac:dyDescent="0.2">
      <c r="D5389" s="5"/>
    </row>
    <row r="5390" spans="4:4" x14ac:dyDescent="0.2">
      <c r="D5390" s="5"/>
    </row>
    <row r="5391" spans="4:4" x14ac:dyDescent="0.2">
      <c r="D5391" s="5"/>
    </row>
    <row r="5392" spans="4:4" x14ac:dyDescent="0.2">
      <c r="D5392" s="5"/>
    </row>
    <row r="5393" spans="4:4" x14ac:dyDescent="0.2">
      <c r="D5393" s="5"/>
    </row>
    <row r="5394" spans="4:4" x14ac:dyDescent="0.2">
      <c r="D5394" s="5"/>
    </row>
    <row r="5395" spans="4:4" x14ac:dyDescent="0.2">
      <c r="D5395" s="5"/>
    </row>
    <row r="5396" spans="4:4" x14ac:dyDescent="0.2">
      <c r="D5396" s="5"/>
    </row>
    <row r="5397" spans="4:4" x14ac:dyDescent="0.2">
      <c r="D5397" s="5"/>
    </row>
    <row r="5398" spans="4:4" x14ac:dyDescent="0.2">
      <c r="D5398" s="5"/>
    </row>
    <row r="5399" spans="4:4" x14ac:dyDescent="0.2">
      <c r="D5399" s="5"/>
    </row>
    <row r="5400" spans="4:4" x14ac:dyDescent="0.2">
      <c r="D5400" s="5"/>
    </row>
    <row r="5401" spans="4:4" x14ac:dyDescent="0.2">
      <c r="D5401" s="5"/>
    </row>
    <row r="5402" spans="4:4" x14ac:dyDescent="0.2">
      <c r="D5402" s="5"/>
    </row>
    <row r="5403" spans="4:4" x14ac:dyDescent="0.2">
      <c r="D5403" s="5"/>
    </row>
    <row r="5404" spans="4:4" x14ac:dyDescent="0.2">
      <c r="D5404" s="5"/>
    </row>
    <row r="5405" spans="4:4" x14ac:dyDescent="0.2">
      <c r="D5405" s="5"/>
    </row>
    <row r="5406" spans="4:4" x14ac:dyDescent="0.2">
      <c r="D5406" s="5"/>
    </row>
    <row r="5407" spans="4:4" x14ac:dyDescent="0.2">
      <c r="D5407" s="5"/>
    </row>
    <row r="5408" spans="4:4" x14ac:dyDescent="0.2">
      <c r="D5408" s="5"/>
    </row>
    <row r="5409" spans="4:4" x14ac:dyDescent="0.2">
      <c r="D5409" s="5"/>
    </row>
    <row r="5410" spans="4:4" x14ac:dyDescent="0.2">
      <c r="D5410" s="5"/>
    </row>
    <row r="5411" spans="4:4" x14ac:dyDescent="0.2">
      <c r="D5411" s="5"/>
    </row>
    <row r="5412" spans="4:4" x14ac:dyDescent="0.2">
      <c r="D5412" s="5"/>
    </row>
    <row r="5413" spans="4:4" x14ac:dyDescent="0.2">
      <c r="D5413" s="5"/>
    </row>
    <row r="5414" spans="4:4" x14ac:dyDescent="0.2">
      <c r="D5414" s="5"/>
    </row>
    <row r="5415" spans="4:4" x14ac:dyDescent="0.2">
      <c r="D5415" s="5"/>
    </row>
    <row r="5416" spans="4:4" x14ac:dyDescent="0.2">
      <c r="D5416" s="5"/>
    </row>
    <row r="5417" spans="4:4" x14ac:dyDescent="0.2">
      <c r="D5417" s="5"/>
    </row>
    <row r="5418" spans="4:4" x14ac:dyDescent="0.2">
      <c r="D5418" s="5"/>
    </row>
    <row r="5419" spans="4:4" x14ac:dyDescent="0.2">
      <c r="D5419" s="5"/>
    </row>
    <row r="5420" spans="4:4" x14ac:dyDescent="0.2">
      <c r="D5420" s="5"/>
    </row>
    <row r="5421" spans="4:4" x14ac:dyDescent="0.2">
      <c r="D5421" s="5"/>
    </row>
    <row r="5422" spans="4:4" x14ac:dyDescent="0.2">
      <c r="D5422" s="5"/>
    </row>
    <row r="5423" spans="4:4" x14ac:dyDescent="0.2">
      <c r="D5423" s="5"/>
    </row>
    <row r="5424" spans="4:4" x14ac:dyDescent="0.2">
      <c r="D5424" s="5"/>
    </row>
    <row r="5425" spans="4:4" x14ac:dyDescent="0.2">
      <c r="D5425" s="5"/>
    </row>
    <row r="5426" spans="4:4" x14ac:dyDescent="0.2">
      <c r="D5426" s="5"/>
    </row>
    <row r="5427" spans="4:4" x14ac:dyDescent="0.2">
      <c r="D5427" s="5"/>
    </row>
    <row r="5428" spans="4:4" x14ac:dyDescent="0.2">
      <c r="D5428" s="5"/>
    </row>
    <row r="5429" spans="4:4" x14ac:dyDescent="0.2">
      <c r="D5429" s="5"/>
    </row>
    <row r="5430" spans="4:4" x14ac:dyDescent="0.2">
      <c r="D5430" s="5"/>
    </row>
    <row r="5431" spans="4:4" x14ac:dyDescent="0.2">
      <c r="D5431" s="5"/>
    </row>
    <row r="5432" spans="4:4" x14ac:dyDescent="0.2">
      <c r="D5432" s="5"/>
    </row>
    <row r="5433" spans="4:4" x14ac:dyDescent="0.2">
      <c r="D5433" s="5"/>
    </row>
    <row r="5434" spans="4:4" x14ac:dyDescent="0.2">
      <c r="D5434" s="5"/>
    </row>
    <row r="5435" spans="4:4" x14ac:dyDescent="0.2">
      <c r="D5435" s="5"/>
    </row>
    <row r="5436" spans="4:4" x14ac:dyDescent="0.2">
      <c r="D5436" s="5"/>
    </row>
    <row r="5437" spans="4:4" x14ac:dyDescent="0.2">
      <c r="D5437" s="5"/>
    </row>
    <row r="5438" spans="4:4" x14ac:dyDescent="0.2">
      <c r="D5438" s="5"/>
    </row>
    <row r="5439" spans="4:4" x14ac:dyDescent="0.2">
      <c r="D5439" s="5"/>
    </row>
    <row r="5440" spans="4:4" x14ac:dyDescent="0.2">
      <c r="D5440" s="5"/>
    </row>
    <row r="5441" spans="4:4" x14ac:dyDescent="0.2">
      <c r="D5441" s="5"/>
    </row>
    <row r="5442" spans="4:4" x14ac:dyDescent="0.2">
      <c r="D5442" s="5"/>
    </row>
    <row r="5443" spans="4:4" x14ac:dyDescent="0.2">
      <c r="D5443" s="5"/>
    </row>
    <row r="5444" spans="4:4" x14ac:dyDescent="0.2">
      <c r="D5444" s="5"/>
    </row>
    <row r="5445" spans="4:4" x14ac:dyDescent="0.2">
      <c r="D5445" s="5"/>
    </row>
    <row r="5446" spans="4:4" x14ac:dyDescent="0.2">
      <c r="D5446" s="5"/>
    </row>
    <row r="5447" spans="4:4" x14ac:dyDescent="0.2">
      <c r="D5447" s="5"/>
    </row>
    <row r="5448" spans="4:4" x14ac:dyDescent="0.2">
      <c r="D5448" s="5"/>
    </row>
    <row r="5449" spans="4:4" x14ac:dyDescent="0.2">
      <c r="D5449" s="5"/>
    </row>
    <row r="5450" spans="4:4" x14ac:dyDescent="0.2">
      <c r="D5450" s="5"/>
    </row>
    <row r="5451" spans="4:4" x14ac:dyDescent="0.2">
      <c r="D5451" s="5"/>
    </row>
    <row r="5452" spans="4:4" x14ac:dyDescent="0.2">
      <c r="D5452" s="5"/>
    </row>
    <row r="5453" spans="4:4" x14ac:dyDescent="0.2">
      <c r="D5453" s="5"/>
    </row>
    <row r="5454" spans="4:4" x14ac:dyDescent="0.2">
      <c r="D5454" s="5"/>
    </row>
    <row r="5455" spans="4:4" x14ac:dyDescent="0.2">
      <c r="D5455" s="5"/>
    </row>
    <row r="5456" spans="4:4" x14ac:dyDescent="0.2">
      <c r="D5456" s="5"/>
    </row>
    <row r="5457" spans="4:4" x14ac:dyDescent="0.2">
      <c r="D5457" s="5"/>
    </row>
    <row r="5458" spans="4:4" x14ac:dyDescent="0.2">
      <c r="D5458" s="5"/>
    </row>
    <row r="5459" spans="4:4" x14ac:dyDescent="0.2">
      <c r="D5459" s="5"/>
    </row>
    <row r="5460" spans="4:4" x14ac:dyDescent="0.2">
      <c r="D5460" s="5"/>
    </row>
    <row r="5461" spans="4:4" x14ac:dyDescent="0.2">
      <c r="D5461" s="5"/>
    </row>
    <row r="5462" spans="4:4" x14ac:dyDescent="0.2">
      <c r="D5462" s="5"/>
    </row>
    <row r="5463" spans="4:4" x14ac:dyDescent="0.2">
      <c r="D5463" s="5"/>
    </row>
    <row r="5464" spans="4:4" x14ac:dyDescent="0.2">
      <c r="D5464" s="5"/>
    </row>
    <row r="5465" spans="4:4" x14ac:dyDescent="0.2">
      <c r="D5465" s="5"/>
    </row>
    <row r="5466" spans="4:4" x14ac:dyDescent="0.2">
      <c r="D5466" s="5"/>
    </row>
    <row r="5467" spans="4:4" x14ac:dyDescent="0.2">
      <c r="D5467" s="5"/>
    </row>
    <row r="5468" spans="4:4" x14ac:dyDescent="0.2">
      <c r="D5468" s="5"/>
    </row>
    <row r="5469" spans="4:4" x14ac:dyDescent="0.2">
      <c r="D5469" s="5"/>
    </row>
    <row r="5470" spans="4:4" x14ac:dyDescent="0.2">
      <c r="D5470" s="5"/>
    </row>
    <row r="5471" spans="4:4" x14ac:dyDescent="0.2">
      <c r="D5471" s="5"/>
    </row>
    <row r="5472" spans="4:4" x14ac:dyDescent="0.2">
      <c r="D5472" s="5"/>
    </row>
    <row r="5473" spans="4:4" x14ac:dyDescent="0.2">
      <c r="D5473" s="5"/>
    </row>
    <row r="5474" spans="4:4" x14ac:dyDescent="0.2">
      <c r="D5474" s="5"/>
    </row>
    <row r="5475" spans="4:4" x14ac:dyDescent="0.2">
      <c r="D5475" s="5"/>
    </row>
    <row r="5476" spans="4:4" x14ac:dyDescent="0.2">
      <c r="D5476" s="5"/>
    </row>
    <row r="5477" spans="4:4" x14ac:dyDescent="0.2">
      <c r="D5477" s="5"/>
    </row>
    <row r="5478" spans="4:4" x14ac:dyDescent="0.2">
      <c r="D5478" s="5"/>
    </row>
    <row r="5479" spans="4:4" x14ac:dyDescent="0.2">
      <c r="D5479" s="5"/>
    </row>
    <row r="5480" spans="4:4" x14ac:dyDescent="0.2">
      <c r="D5480" s="5"/>
    </row>
    <row r="5481" spans="4:4" x14ac:dyDescent="0.2">
      <c r="D5481" s="5"/>
    </row>
    <row r="5482" spans="4:4" x14ac:dyDescent="0.2">
      <c r="D5482" s="5"/>
    </row>
    <row r="5483" spans="4:4" x14ac:dyDescent="0.2">
      <c r="D5483" s="5"/>
    </row>
    <row r="5484" spans="4:4" x14ac:dyDescent="0.2">
      <c r="D5484" s="5"/>
    </row>
    <row r="5485" spans="4:4" x14ac:dyDescent="0.2">
      <c r="D5485" s="5"/>
    </row>
    <row r="5486" spans="4:4" x14ac:dyDescent="0.2">
      <c r="D5486" s="5"/>
    </row>
    <row r="5487" spans="4:4" x14ac:dyDescent="0.2">
      <c r="D5487" s="5"/>
    </row>
    <row r="5488" spans="4:4" x14ac:dyDescent="0.2">
      <c r="D5488" s="5"/>
    </row>
    <row r="5489" spans="4:4" x14ac:dyDescent="0.2">
      <c r="D5489" s="5"/>
    </row>
    <row r="5490" spans="4:4" x14ac:dyDescent="0.2">
      <c r="D5490" s="5"/>
    </row>
    <row r="5491" spans="4:4" x14ac:dyDescent="0.2">
      <c r="D5491" s="5"/>
    </row>
    <row r="5492" spans="4:4" x14ac:dyDescent="0.2">
      <c r="D5492" s="5"/>
    </row>
    <row r="5493" spans="4:4" x14ac:dyDescent="0.2">
      <c r="D5493" s="5"/>
    </row>
    <row r="5494" spans="4:4" x14ac:dyDescent="0.2">
      <c r="D5494" s="5"/>
    </row>
    <row r="5495" spans="4:4" x14ac:dyDescent="0.2">
      <c r="D5495" s="5"/>
    </row>
    <row r="5496" spans="4:4" x14ac:dyDescent="0.2">
      <c r="D5496" s="5"/>
    </row>
    <row r="5497" spans="4:4" x14ac:dyDescent="0.2">
      <c r="D5497" s="5"/>
    </row>
    <row r="5498" spans="4:4" x14ac:dyDescent="0.2">
      <c r="D5498" s="5"/>
    </row>
    <row r="5499" spans="4:4" x14ac:dyDescent="0.2">
      <c r="D5499" s="5"/>
    </row>
    <row r="5500" spans="4:4" x14ac:dyDescent="0.2">
      <c r="D5500" s="5"/>
    </row>
    <row r="5501" spans="4:4" x14ac:dyDescent="0.2">
      <c r="D5501" s="5"/>
    </row>
    <row r="5502" spans="4:4" x14ac:dyDescent="0.2">
      <c r="D5502" s="5"/>
    </row>
    <row r="5503" spans="4:4" x14ac:dyDescent="0.2">
      <c r="D5503" s="5"/>
    </row>
    <row r="5504" spans="4:4" x14ac:dyDescent="0.2">
      <c r="D5504" s="5"/>
    </row>
    <row r="5505" spans="4:4" x14ac:dyDescent="0.2">
      <c r="D5505" s="5"/>
    </row>
    <row r="5506" spans="4:4" x14ac:dyDescent="0.2">
      <c r="D5506" s="5"/>
    </row>
    <row r="5507" spans="4:4" x14ac:dyDescent="0.2">
      <c r="D5507" s="5"/>
    </row>
    <row r="5508" spans="4:4" x14ac:dyDescent="0.2">
      <c r="D5508" s="5"/>
    </row>
    <row r="5509" spans="4:4" x14ac:dyDescent="0.2">
      <c r="D5509" s="5"/>
    </row>
    <row r="5510" spans="4:4" x14ac:dyDescent="0.2">
      <c r="D5510" s="5"/>
    </row>
    <row r="5511" spans="4:4" x14ac:dyDescent="0.2">
      <c r="D5511" s="5"/>
    </row>
    <row r="5512" spans="4:4" x14ac:dyDescent="0.2">
      <c r="D5512" s="5"/>
    </row>
    <row r="5513" spans="4:4" x14ac:dyDescent="0.2">
      <c r="D5513" s="5"/>
    </row>
    <row r="5514" spans="4:4" x14ac:dyDescent="0.2">
      <c r="D5514" s="5"/>
    </row>
    <row r="5515" spans="4:4" x14ac:dyDescent="0.2">
      <c r="D5515" s="5"/>
    </row>
    <row r="5516" spans="4:4" x14ac:dyDescent="0.2">
      <c r="D5516" s="5"/>
    </row>
    <row r="5517" spans="4:4" x14ac:dyDescent="0.2">
      <c r="D5517" s="5"/>
    </row>
    <row r="5518" spans="4:4" x14ac:dyDescent="0.2">
      <c r="D5518" s="5"/>
    </row>
    <row r="5519" spans="4:4" x14ac:dyDescent="0.2">
      <c r="D5519" s="5"/>
    </row>
    <row r="5520" spans="4:4" x14ac:dyDescent="0.2">
      <c r="D5520" s="5"/>
    </row>
    <row r="5521" spans="4:4" x14ac:dyDescent="0.2">
      <c r="D5521" s="5"/>
    </row>
    <row r="5522" spans="4:4" x14ac:dyDescent="0.2">
      <c r="D5522" s="5"/>
    </row>
    <row r="5523" spans="4:4" x14ac:dyDescent="0.2">
      <c r="D5523" s="5"/>
    </row>
    <row r="5524" spans="4:4" x14ac:dyDescent="0.2">
      <c r="D5524" s="5"/>
    </row>
    <row r="5525" spans="4:4" x14ac:dyDescent="0.2">
      <c r="D5525" s="5"/>
    </row>
    <row r="5526" spans="4:4" x14ac:dyDescent="0.2">
      <c r="D5526" s="5"/>
    </row>
    <row r="5527" spans="4:4" x14ac:dyDescent="0.2">
      <c r="D5527" s="5"/>
    </row>
    <row r="5528" spans="4:4" x14ac:dyDescent="0.2">
      <c r="D5528" s="5"/>
    </row>
    <row r="5529" spans="4:4" x14ac:dyDescent="0.2">
      <c r="D5529" s="5"/>
    </row>
    <row r="5530" spans="4:4" x14ac:dyDescent="0.2">
      <c r="D5530" s="5"/>
    </row>
    <row r="5531" spans="4:4" x14ac:dyDescent="0.2">
      <c r="D5531" s="5"/>
    </row>
    <row r="5532" spans="4:4" x14ac:dyDescent="0.2">
      <c r="D5532" s="5"/>
    </row>
    <row r="5533" spans="4:4" x14ac:dyDescent="0.2">
      <c r="D5533" s="5"/>
    </row>
    <row r="5534" spans="4:4" x14ac:dyDescent="0.2">
      <c r="D5534" s="5"/>
    </row>
    <row r="5535" spans="4:4" x14ac:dyDescent="0.2">
      <c r="D5535" s="5"/>
    </row>
    <row r="5536" spans="4:4" x14ac:dyDescent="0.2">
      <c r="D5536" s="5"/>
    </row>
    <row r="5537" spans="4:4" x14ac:dyDescent="0.2">
      <c r="D5537" s="5"/>
    </row>
    <row r="5538" spans="4:4" x14ac:dyDescent="0.2">
      <c r="D5538" s="5"/>
    </row>
    <row r="5539" spans="4:4" x14ac:dyDescent="0.2">
      <c r="D5539" s="5"/>
    </row>
    <row r="5540" spans="4:4" x14ac:dyDescent="0.2">
      <c r="D5540" s="5"/>
    </row>
    <row r="5541" spans="4:4" x14ac:dyDescent="0.2">
      <c r="D5541" s="5"/>
    </row>
    <row r="5542" spans="4:4" x14ac:dyDescent="0.2">
      <c r="D5542" s="5"/>
    </row>
    <row r="5543" spans="4:4" x14ac:dyDescent="0.2">
      <c r="D5543" s="5"/>
    </row>
    <row r="5544" spans="4:4" x14ac:dyDescent="0.2">
      <c r="D5544" s="5"/>
    </row>
    <row r="5545" spans="4:4" x14ac:dyDescent="0.2">
      <c r="D5545" s="5"/>
    </row>
    <row r="5546" spans="4:4" x14ac:dyDescent="0.2">
      <c r="D5546" s="5"/>
    </row>
    <row r="5547" spans="4:4" x14ac:dyDescent="0.2">
      <c r="D5547" s="5"/>
    </row>
    <row r="5548" spans="4:4" x14ac:dyDescent="0.2">
      <c r="D5548" s="5"/>
    </row>
    <row r="5549" spans="4:4" x14ac:dyDescent="0.2">
      <c r="D5549" s="5"/>
    </row>
    <row r="5550" spans="4:4" x14ac:dyDescent="0.2">
      <c r="D5550" s="5"/>
    </row>
    <row r="5551" spans="4:4" x14ac:dyDescent="0.2">
      <c r="D5551" s="5"/>
    </row>
    <row r="5552" spans="4:4" x14ac:dyDescent="0.2">
      <c r="D5552" s="5"/>
    </row>
    <row r="5553" spans="4:4" x14ac:dyDescent="0.2">
      <c r="D5553" s="5"/>
    </row>
    <row r="5554" spans="4:4" x14ac:dyDescent="0.2">
      <c r="D5554" s="5"/>
    </row>
    <row r="5555" spans="4:4" x14ac:dyDescent="0.2">
      <c r="D5555" s="5"/>
    </row>
    <row r="5556" spans="4:4" x14ac:dyDescent="0.2">
      <c r="D5556" s="5"/>
    </row>
    <row r="5557" spans="4:4" x14ac:dyDescent="0.2">
      <c r="D5557" s="5"/>
    </row>
    <row r="5558" spans="4:4" x14ac:dyDescent="0.2">
      <c r="D5558" s="5"/>
    </row>
    <row r="5559" spans="4:4" x14ac:dyDescent="0.2">
      <c r="D5559" s="5"/>
    </row>
    <row r="5560" spans="4:4" x14ac:dyDescent="0.2">
      <c r="D5560" s="5"/>
    </row>
    <row r="5561" spans="4:4" x14ac:dyDescent="0.2">
      <c r="D5561" s="5"/>
    </row>
    <row r="5562" spans="4:4" x14ac:dyDescent="0.2">
      <c r="D5562" s="5"/>
    </row>
    <row r="5563" spans="4:4" x14ac:dyDescent="0.2">
      <c r="D5563" s="5"/>
    </row>
    <row r="5564" spans="4:4" x14ac:dyDescent="0.2">
      <c r="D5564" s="5"/>
    </row>
    <row r="5565" spans="4:4" x14ac:dyDescent="0.2">
      <c r="D5565" s="5"/>
    </row>
    <row r="5566" spans="4:4" x14ac:dyDescent="0.2">
      <c r="D5566" s="5"/>
    </row>
    <row r="5567" spans="4:4" x14ac:dyDescent="0.2">
      <c r="D5567" s="5"/>
    </row>
    <row r="5568" spans="4:4" x14ac:dyDescent="0.2">
      <c r="D5568" s="5"/>
    </row>
    <row r="5569" spans="4:4" x14ac:dyDescent="0.2">
      <c r="D5569" s="5"/>
    </row>
    <row r="5570" spans="4:4" x14ac:dyDescent="0.2">
      <c r="D5570" s="5"/>
    </row>
    <row r="5571" spans="4:4" x14ac:dyDescent="0.2">
      <c r="D5571" s="5"/>
    </row>
    <row r="5572" spans="4:4" x14ac:dyDescent="0.2">
      <c r="D5572" s="5"/>
    </row>
    <row r="5573" spans="4:4" x14ac:dyDescent="0.2">
      <c r="D5573" s="5"/>
    </row>
    <row r="5574" spans="4:4" x14ac:dyDescent="0.2">
      <c r="D5574" s="5"/>
    </row>
    <row r="5575" spans="4:4" x14ac:dyDescent="0.2">
      <c r="D5575" s="5"/>
    </row>
    <row r="5576" spans="4:4" x14ac:dyDescent="0.2">
      <c r="D5576" s="5"/>
    </row>
    <row r="5577" spans="4:4" x14ac:dyDescent="0.2">
      <c r="D5577" s="5"/>
    </row>
    <row r="5578" spans="4:4" x14ac:dyDescent="0.2">
      <c r="D5578" s="5"/>
    </row>
    <row r="5579" spans="4:4" x14ac:dyDescent="0.2">
      <c r="D5579" s="5"/>
    </row>
    <row r="5580" spans="4:4" x14ac:dyDescent="0.2">
      <c r="D5580" s="5"/>
    </row>
    <row r="5581" spans="4:4" x14ac:dyDescent="0.2">
      <c r="D5581" s="5"/>
    </row>
    <row r="5582" spans="4:4" x14ac:dyDescent="0.2">
      <c r="D5582" s="5"/>
    </row>
    <row r="5583" spans="4:4" x14ac:dyDescent="0.2">
      <c r="D5583" s="5"/>
    </row>
    <row r="5584" spans="4:4" x14ac:dyDescent="0.2">
      <c r="D5584" s="5"/>
    </row>
    <row r="5585" spans="4:4" x14ac:dyDescent="0.2">
      <c r="D5585" s="5"/>
    </row>
    <row r="5586" spans="4:4" x14ac:dyDescent="0.2">
      <c r="D5586" s="5"/>
    </row>
    <row r="5587" spans="4:4" x14ac:dyDescent="0.2">
      <c r="D5587" s="5"/>
    </row>
    <row r="5588" spans="4:4" x14ac:dyDescent="0.2">
      <c r="D5588" s="5"/>
    </row>
    <row r="5589" spans="4:4" x14ac:dyDescent="0.2">
      <c r="D5589" s="5"/>
    </row>
    <row r="5590" spans="4:4" x14ac:dyDescent="0.2">
      <c r="D5590" s="5"/>
    </row>
    <row r="5591" spans="4:4" x14ac:dyDescent="0.2">
      <c r="D5591" s="5"/>
    </row>
    <row r="5592" spans="4:4" x14ac:dyDescent="0.2">
      <c r="D5592" s="5"/>
    </row>
    <row r="5593" spans="4:4" x14ac:dyDescent="0.2">
      <c r="D5593" s="5"/>
    </row>
    <row r="5594" spans="4:4" x14ac:dyDescent="0.2">
      <c r="D5594" s="5"/>
    </row>
    <row r="5595" spans="4:4" x14ac:dyDescent="0.2">
      <c r="D5595" s="5"/>
    </row>
    <row r="5596" spans="4:4" x14ac:dyDescent="0.2">
      <c r="D5596" s="5"/>
    </row>
    <row r="5597" spans="4:4" x14ac:dyDescent="0.2">
      <c r="D5597" s="5"/>
    </row>
    <row r="5598" spans="4:4" x14ac:dyDescent="0.2">
      <c r="D5598" s="5"/>
    </row>
    <row r="5599" spans="4:4" x14ac:dyDescent="0.2">
      <c r="D5599" s="5"/>
    </row>
    <row r="5600" spans="4:4" x14ac:dyDescent="0.2">
      <c r="D5600" s="5"/>
    </row>
    <row r="5601" spans="4:4" x14ac:dyDescent="0.2">
      <c r="D5601" s="5"/>
    </row>
    <row r="5602" spans="4:4" x14ac:dyDescent="0.2">
      <c r="D5602" s="5"/>
    </row>
    <row r="5603" spans="4:4" x14ac:dyDescent="0.2">
      <c r="D5603" s="5"/>
    </row>
    <row r="5604" spans="4:4" x14ac:dyDescent="0.2">
      <c r="D5604" s="5"/>
    </row>
    <row r="5605" spans="4:4" x14ac:dyDescent="0.2">
      <c r="D5605" s="5"/>
    </row>
    <row r="5606" spans="4:4" x14ac:dyDescent="0.2">
      <c r="D5606" s="5"/>
    </row>
    <row r="5607" spans="4:4" x14ac:dyDescent="0.2">
      <c r="D5607" s="5"/>
    </row>
    <row r="5608" spans="4:4" x14ac:dyDescent="0.2">
      <c r="D5608" s="5"/>
    </row>
    <row r="5609" spans="4:4" x14ac:dyDescent="0.2">
      <c r="D5609" s="5"/>
    </row>
    <row r="5610" spans="4:4" x14ac:dyDescent="0.2">
      <c r="D5610" s="5"/>
    </row>
    <row r="5611" spans="4:4" x14ac:dyDescent="0.2">
      <c r="D5611" s="5"/>
    </row>
    <row r="5612" spans="4:4" x14ac:dyDescent="0.2">
      <c r="D5612" s="5"/>
    </row>
    <row r="5613" spans="4:4" x14ac:dyDescent="0.2">
      <c r="D5613" s="5"/>
    </row>
    <row r="5614" spans="4:4" x14ac:dyDescent="0.2">
      <c r="D5614" s="5"/>
    </row>
    <row r="5615" spans="4:4" x14ac:dyDescent="0.2">
      <c r="D5615" s="5"/>
    </row>
    <row r="5616" spans="4:4" x14ac:dyDescent="0.2">
      <c r="D5616" s="5"/>
    </row>
    <row r="5617" spans="4:4" x14ac:dyDescent="0.2">
      <c r="D5617" s="5"/>
    </row>
    <row r="5618" spans="4:4" x14ac:dyDescent="0.2">
      <c r="D5618" s="5"/>
    </row>
    <row r="5619" spans="4:4" x14ac:dyDescent="0.2">
      <c r="D5619" s="5"/>
    </row>
    <row r="5620" spans="4:4" x14ac:dyDescent="0.2">
      <c r="D5620" s="5"/>
    </row>
    <row r="5621" spans="4:4" x14ac:dyDescent="0.2">
      <c r="D5621" s="5"/>
    </row>
    <row r="5622" spans="4:4" x14ac:dyDescent="0.2">
      <c r="D5622" s="5"/>
    </row>
    <row r="5623" spans="4:4" x14ac:dyDescent="0.2">
      <c r="D5623" s="5"/>
    </row>
    <row r="5624" spans="4:4" x14ac:dyDescent="0.2">
      <c r="D5624" s="5"/>
    </row>
    <row r="5625" spans="4:4" x14ac:dyDescent="0.2">
      <c r="D5625" s="5"/>
    </row>
    <row r="5626" spans="4:4" x14ac:dyDescent="0.2">
      <c r="D5626" s="5"/>
    </row>
    <row r="5627" spans="4:4" x14ac:dyDescent="0.2">
      <c r="D5627" s="5"/>
    </row>
    <row r="5628" spans="4:4" x14ac:dyDescent="0.2">
      <c r="D5628" s="5"/>
    </row>
    <row r="5629" spans="4:4" x14ac:dyDescent="0.2">
      <c r="D5629" s="5"/>
    </row>
    <row r="5630" spans="4:4" x14ac:dyDescent="0.2">
      <c r="D5630" s="5"/>
    </row>
    <row r="5631" spans="4:4" x14ac:dyDescent="0.2">
      <c r="D5631" s="5"/>
    </row>
    <row r="5632" spans="4:4" x14ac:dyDescent="0.2">
      <c r="D5632" s="5"/>
    </row>
    <row r="5633" spans="4:4" x14ac:dyDescent="0.2">
      <c r="D5633" s="5"/>
    </row>
    <row r="5634" spans="4:4" x14ac:dyDescent="0.2">
      <c r="D5634" s="5"/>
    </row>
    <row r="5635" spans="4:4" x14ac:dyDescent="0.2">
      <c r="D5635" s="5"/>
    </row>
    <row r="5636" spans="4:4" x14ac:dyDescent="0.2">
      <c r="D5636" s="5"/>
    </row>
    <row r="5637" spans="4:4" x14ac:dyDescent="0.2">
      <c r="D5637" s="5"/>
    </row>
    <row r="5638" spans="4:4" x14ac:dyDescent="0.2">
      <c r="D5638" s="5"/>
    </row>
    <row r="5639" spans="4:4" x14ac:dyDescent="0.2">
      <c r="D5639" s="5"/>
    </row>
    <row r="5640" spans="4:4" x14ac:dyDescent="0.2">
      <c r="D5640" s="5"/>
    </row>
    <row r="5641" spans="4:4" x14ac:dyDescent="0.2">
      <c r="D5641" s="5"/>
    </row>
    <row r="5642" spans="4:4" x14ac:dyDescent="0.2">
      <c r="D5642" s="5"/>
    </row>
    <row r="5643" spans="4:4" x14ac:dyDescent="0.2">
      <c r="D5643" s="5"/>
    </row>
    <row r="5644" spans="4:4" x14ac:dyDescent="0.2">
      <c r="D5644" s="5"/>
    </row>
    <row r="5645" spans="4:4" x14ac:dyDescent="0.2">
      <c r="D5645" s="5"/>
    </row>
    <row r="5646" spans="4:4" x14ac:dyDescent="0.2">
      <c r="D5646" s="5"/>
    </row>
    <row r="5647" spans="4:4" x14ac:dyDescent="0.2">
      <c r="D5647" s="5"/>
    </row>
    <row r="5648" spans="4:4" x14ac:dyDescent="0.2">
      <c r="D5648" s="5"/>
    </row>
    <row r="5649" spans="4:4" x14ac:dyDescent="0.2">
      <c r="D5649" s="5"/>
    </row>
    <row r="5650" spans="4:4" x14ac:dyDescent="0.2">
      <c r="D5650" s="5"/>
    </row>
    <row r="5651" spans="4:4" x14ac:dyDescent="0.2">
      <c r="D5651" s="5"/>
    </row>
    <row r="5652" spans="4:4" x14ac:dyDescent="0.2">
      <c r="D5652" s="5"/>
    </row>
    <row r="5653" spans="4:4" x14ac:dyDescent="0.2">
      <c r="D5653" s="5"/>
    </row>
    <row r="5654" spans="4:4" x14ac:dyDescent="0.2">
      <c r="D5654" s="5"/>
    </row>
    <row r="5655" spans="4:4" x14ac:dyDescent="0.2">
      <c r="D5655" s="5"/>
    </row>
    <row r="5656" spans="4:4" x14ac:dyDescent="0.2">
      <c r="D5656" s="5"/>
    </row>
    <row r="5657" spans="4:4" x14ac:dyDescent="0.2">
      <c r="D5657" s="5"/>
    </row>
    <row r="5658" spans="4:4" x14ac:dyDescent="0.2">
      <c r="D5658" s="5"/>
    </row>
    <row r="5659" spans="4:4" x14ac:dyDescent="0.2">
      <c r="D5659" s="5"/>
    </row>
    <row r="5660" spans="4:4" x14ac:dyDescent="0.2">
      <c r="D5660" s="5"/>
    </row>
    <row r="5661" spans="4:4" x14ac:dyDescent="0.2">
      <c r="D5661" s="5"/>
    </row>
    <row r="5662" spans="4:4" x14ac:dyDescent="0.2">
      <c r="D5662" s="5"/>
    </row>
    <row r="5663" spans="4:4" x14ac:dyDescent="0.2">
      <c r="D5663" s="5"/>
    </row>
    <row r="5664" spans="4:4" x14ac:dyDescent="0.2">
      <c r="D5664" s="5"/>
    </row>
    <row r="5665" spans="4:4" x14ac:dyDescent="0.2">
      <c r="D5665" s="5"/>
    </row>
    <row r="5666" spans="4:4" x14ac:dyDescent="0.2">
      <c r="D5666" s="5"/>
    </row>
    <row r="5667" spans="4:4" x14ac:dyDescent="0.2">
      <c r="D5667" s="5"/>
    </row>
    <row r="5668" spans="4:4" x14ac:dyDescent="0.2">
      <c r="D5668" s="5"/>
    </row>
    <row r="5669" spans="4:4" x14ac:dyDescent="0.2">
      <c r="D5669" s="5"/>
    </row>
    <row r="5670" spans="4:4" x14ac:dyDescent="0.2">
      <c r="D5670" s="5"/>
    </row>
    <row r="5671" spans="4:4" x14ac:dyDescent="0.2">
      <c r="D5671" s="5"/>
    </row>
    <row r="5672" spans="4:4" x14ac:dyDescent="0.2">
      <c r="D5672" s="5"/>
    </row>
    <row r="5673" spans="4:4" x14ac:dyDescent="0.2">
      <c r="D5673" s="5"/>
    </row>
    <row r="5674" spans="4:4" x14ac:dyDescent="0.2">
      <c r="D5674" s="5"/>
    </row>
    <row r="5675" spans="4:4" x14ac:dyDescent="0.2">
      <c r="D5675" s="5"/>
    </row>
    <row r="5676" spans="4:4" x14ac:dyDescent="0.2">
      <c r="D5676" s="5"/>
    </row>
    <row r="5677" spans="4:4" x14ac:dyDescent="0.2">
      <c r="D5677" s="5"/>
    </row>
    <row r="5678" spans="4:4" x14ac:dyDescent="0.2">
      <c r="D5678" s="5"/>
    </row>
    <row r="5679" spans="4:4" x14ac:dyDescent="0.2">
      <c r="D5679" s="5"/>
    </row>
    <row r="5680" spans="4:4" x14ac:dyDescent="0.2">
      <c r="D5680" s="5"/>
    </row>
    <row r="5681" spans="4:4" x14ac:dyDescent="0.2">
      <c r="D5681" s="5"/>
    </row>
    <row r="5682" spans="4:4" x14ac:dyDescent="0.2">
      <c r="D5682" s="5"/>
    </row>
    <row r="5683" spans="4:4" x14ac:dyDescent="0.2">
      <c r="D5683" s="5"/>
    </row>
    <row r="5684" spans="4:4" x14ac:dyDescent="0.2">
      <c r="D5684" s="5"/>
    </row>
    <row r="5685" spans="4:4" x14ac:dyDescent="0.2">
      <c r="D5685" s="5"/>
    </row>
    <row r="5686" spans="4:4" x14ac:dyDescent="0.2">
      <c r="D5686" s="5"/>
    </row>
    <row r="5687" spans="4:4" x14ac:dyDescent="0.2">
      <c r="D5687" s="5"/>
    </row>
    <row r="5688" spans="4:4" x14ac:dyDescent="0.2">
      <c r="D5688" s="5"/>
    </row>
    <row r="5689" spans="4:4" x14ac:dyDescent="0.2">
      <c r="D5689" s="5"/>
    </row>
    <row r="5690" spans="4:4" x14ac:dyDescent="0.2">
      <c r="D5690" s="5"/>
    </row>
    <row r="5691" spans="4:4" x14ac:dyDescent="0.2">
      <c r="D5691" s="5"/>
    </row>
    <row r="5692" spans="4:4" x14ac:dyDescent="0.2">
      <c r="D5692" s="5"/>
    </row>
    <row r="5693" spans="4:4" x14ac:dyDescent="0.2">
      <c r="D5693" s="5"/>
    </row>
    <row r="5694" spans="4:4" x14ac:dyDescent="0.2">
      <c r="D5694" s="5"/>
    </row>
    <row r="5695" spans="4:4" x14ac:dyDescent="0.2">
      <c r="D5695" s="5"/>
    </row>
    <row r="5696" spans="4:4" x14ac:dyDescent="0.2">
      <c r="D5696" s="5"/>
    </row>
    <row r="5697" spans="4:4" x14ac:dyDescent="0.2">
      <c r="D5697" s="5"/>
    </row>
    <row r="5698" spans="4:4" x14ac:dyDescent="0.2">
      <c r="D5698" s="5"/>
    </row>
    <row r="5699" spans="4:4" x14ac:dyDescent="0.2">
      <c r="D5699" s="5"/>
    </row>
    <row r="5700" spans="4:4" x14ac:dyDescent="0.2">
      <c r="D5700" s="5"/>
    </row>
    <row r="5701" spans="4:4" x14ac:dyDescent="0.2">
      <c r="D5701" s="5"/>
    </row>
    <row r="5702" spans="4:4" x14ac:dyDescent="0.2">
      <c r="D5702" s="5"/>
    </row>
    <row r="5703" spans="4:4" x14ac:dyDescent="0.2">
      <c r="D5703" s="5"/>
    </row>
    <row r="5704" spans="4:4" x14ac:dyDescent="0.2">
      <c r="D5704" s="5"/>
    </row>
    <row r="5705" spans="4:4" x14ac:dyDescent="0.2">
      <c r="D5705" s="5"/>
    </row>
    <row r="5706" spans="4:4" x14ac:dyDescent="0.2">
      <c r="D5706" s="5"/>
    </row>
    <row r="5707" spans="4:4" x14ac:dyDescent="0.2">
      <c r="D5707" s="5"/>
    </row>
    <row r="5708" spans="4:4" x14ac:dyDescent="0.2">
      <c r="D5708" s="5"/>
    </row>
    <row r="5709" spans="4:4" x14ac:dyDescent="0.2">
      <c r="D5709" s="5"/>
    </row>
    <row r="5710" spans="4:4" x14ac:dyDescent="0.2">
      <c r="D5710" s="5"/>
    </row>
    <row r="5711" spans="4:4" x14ac:dyDescent="0.2">
      <c r="D5711" s="5"/>
    </row>
    <row r="5712" spans="4:4" x14ac:dyDescent="0.2">
      <c r="D5712" s="5"/>
    </row>
    <row r="5713" spans="4:4" x14ac:dyDescent="0.2">
      <c r="D5713" s="5"/>
    </row>
    <row r="5714" spans="4:4" x14ac:dyDescent="0.2">
      <c r="D5714" s="5"/>
    </row>
    <row r="5715" spans="4:4" x14ac:dyDescent="0.2">
      <c r="D5715" s="5"/>
    </row>
    <row r="5716" spans="4:4" x14ac:dyDescent="0.2">
      <c r="D5716" s="5"/>
    </row>
    <row r="5717" spans="4:4" x14ac:dyDescent="0.2">
      <c r="D5717" s="5"/>
    </row>
    <row r="5718" spans="4:4" x14ac:dyDescent="0.2">
      <c r="D5718" s="5"/>
    </row>
    <row r="5719" spans="4:4" x14ac:dyDescent="0.2">
      <c r="D5719" s="5"/>
    </row>
    <row r="5720" spans="4:4" x14ac:dyDescent="0.2">
      <c r="D5720" s="5"/>
    </row>
    <row r="5721" spans="4:4" x14ac:dyDescent="0.2">
      <c r="D5721" s="5"/>
    </row>
    <row r="5722" spans="4:4" x14ac:dyDescent="0.2">
      <c r="D5722" s="5"/>
    </row>
    <row r="5723" spans="4:4" x14ac:dyDescent="0.2">
      <c r="D5723" s="5"/>
    </row>
    <row r="5724" spans="4:4" x14ac:dyDescent="0.2">
      <c r="D5724" s="5"/>
    </row>
    <row r="5725" spans="4:4" x14ac:dyDescent="0.2">
      <c r="D5725" s="5"/>
    </row>
    <row r="5726" spans="4:4" x14ac:dyDescent="0.2">
      <c r="D5726" s="5"/>
    </row>
    <row r="5727" spans="4:4" x14ac:dyDescent="0.2">
      <c r="D5727" s="5"/>
    </row>
    <row r="5728" spans="4:4" x14ac:dyDescent="0.2">
      <c r="D5728" s="5"/>
    </row>
    <row r="5729" spans="4:4" x14ac:dyDescent="0.2">
      <c r="D5729" s="5"/>
    </row>
    <row r="5730" spans="4:4" x14ac:dyDescent="0.2">
      <c r="D5730" s="5"/>
    </row>
    <row r="5731" spans="4:4" x14ac:dyDescent="0.2">
      <c r="D5731" s="5"/>
    </row>
    <row r="5732" spans="4:4" x14ac:dyDescent="0.2">
      <c r="D5732" s="5"/>
    </row>
    <row r="5733" spans="4:4" x14ac:dyDescent="0.2">
      <c r="D5733" s="5"/>
    </row>
    <row r="5734" spans="4:4" x14ac:dyDescent="0.2">
      <c r="D5734" s="5"/>
    </row>
    <row r="5735" spans="4:4" x14ac:dyDescent="0.2">
      <c r="D5735" s="5"/>
    </row>
    <row r="5736" spans="4:4" x14ac:dyDescent="0.2">
      <c r="D5736" s="5"/>
    </row>
    <row r="5737" spans="4:4" x14ac:dyDescent="0.2">
      <c r="D5737" s="5"/>
    </row>
    <row r="5738" spans="4:4" x14ac:dyDescent="0.2">
      <c r="D5738" s="5"/>
    </row>
    <row r="5739" spans="4:4" x14ac:dyDescent="0.2">
      <c r="D5739" s="5"/>
    </row>
    <row r="5740" spans="4:4" x14ac:dyDescent="0.2">
      <c r="D5740" s="5"/>
    </row>
    <row r="5741" spans="4:4" x14ac:dyDescent="0.2">
      <c r="D5741" s="5"/>
    </row>
    <row r="5742" spans="4:4" x14ac:dyDescent="0.2">
      <c r="D5742" s="5"/>
    </row>
    <row r="5743" spans="4:4" x14ac:dyDescent="0.2">
      <c r="D5743" s="5"/>
    </row>
    <row r="5744" spans="4:4" x14ac:dyDescent="0.2">
      <c r="D5744" s="5"/>
    </row>
    <row r="5745" spans="4:4" x14ac:dyDescent="0.2">
      <c r="D5745" s="5"/>
    </row>
    <row r="5746" spans="4:4" x14ac:dyDescent="0.2">
      <c r="D5746" s="5"/>
    </row>
    <row r="5747" spans="4:4" x14ac:dyDescent="0.2">
      <c r="D5747" s="5"/>
    </row>
    <row r="5748" spans="4:4" x14ac:dyDescent="0.2">
      <c r="D5748" s="5"/>
    </row>
    <row r="5749" spans="4:4" x14ac:dyDescent="0.2">
      <c r="D5749" s="5"/>
    </row>
    <row r="5750" spans="4:4" x14ac:dyDescent="0.2">
      <c r="D5750" s="5"/>
    </row>
    <row r="5751" spans="4:4" x14ac:dyDescent="0.2">
      <c r="D5751" s="5"/>
    </row>
    <row r="5752" spans="4:4" x14ac:dyDescent="0.2">
      <c r="D5752" s="5"/>
    </row>
    <row r="5753" spans="4:4" x14ac:dyDescent="0.2">
      <c r="D5753" s="5"/>
    </row>
    <row r="5754" spans="4:4" x14ac:dyDescent="0.2">
      <c r="D5754" s="5"/>
    </row>
    <row r="5755" spans="4:4" x14ac:dyDescent="0.2">
      <c r="D5755" s="5"/>
    </row>
    <row r="5756" spans="4:4" x14ac:dyDescent="0.2">
      <c r="D5756" s="5"/>
    </row>
    <row r="5757" spans="4:4" x14ac:dyDescent="0.2">
      <c r="D5757" s="5"/>
    </row>
    <row r="5758" spans="4:4" x14ac:dyDescent="0.2">
      <c r="D5758" s="5"/>
    </row>
    <row r="5759" spans="4:4" x14ac:dyDescent="0.2">
      <c r="D5759" s="5"/>
    </row>
    <row r="5760" spans="4:4" x14ac:dyDescent="0.2">
      <c r="D5760" s="5"/>
    </row>
    <row r="5761" spans="4:4" x14ac:dyDescent="0.2">
      <c r="D5761" s="5"/>
    </row>
    <row r="5762" spans="4:4" x14ac:dyDescent="0.2">
      <c r="D5762" s="5"/>
    </row>
    <row r="5763" spans="4:4" x14ac:dyDescent="0.2">
      <c r="D5763" s="5"/>
    </row>
    <row r="5764" spans="4:4" x14ac:dyDescent="0.2">
      <c r="D5764" s="5"/>
    </row>
    <row r="5765" spans="4:4" x14ac:dyDescent="0.2">
      <c r="D5765" s="5"/>
    </row>
    <row r="5766" spans="4:4" x14ac:dyDescent="0.2">
      <c r="D5766" s="5"/>
    </row>
    <row r="5767" spans="4:4" x14ac:dyDescent="0.2">
      <c r="D5767" s="5"/>
    </row>
    <row r="5768" spans="4:4" x14ac:dyDescent="0.2">
      <c r="D5768" s="5"/>
    </row>
    <row r="5769" spans="4:4" x14ac:dyDescent="0.2">
      <c r="D5769" s="5"/>
    </row>
    <row r="5770" spans="4:4" x14ac:dyDescent="0.2">
      <c r="D5770" s="5"/>
    </row>
    <row r="5771" spans="4:4" x14ac:dyDescent="0.2">
      <c r="D5771" s="5"/>
    </row>
    <row r="5772" spans="4:4" x14ac:dyDescent="0.2">
      <c r="D5772" s="5"/>
    </row>
    <row r="5773" spans="4:4" x14ac:dyDescent="0.2">
      <c r="D5773" s="5"/>
    </row>
    <row r="5774" spans="4:4" x14ac:dyDescent="0.2">
      <c r="D5774" s="5"/>
    </row>
    <row r="5775" spans="4:4" x14ac:dyDescent="0.2">
      <c r="D5775" s="5"/>
    </row>
    <row r="5776" spans="4:4" x14ac:dyDescent="0.2">
      <c r="D5776" s="5"/>
    </row>
    <row r="5777" spans="4:4" x14ac:dyDescent="0.2">
      <c r="D5777" s="5"/>
    </row>
    <row r="5778" spans="4:4" x14ac:dyDescent="0.2">
      <c r="D5778" s="5"/>
    </row>
    <row r="5779" spans="4:4" x14ac:dyDescent="0.2">
      <c r="D5779" s="5"/>
    </row>
    <row r="5780" spans="4:4" x14ac:dyDescent="0.2">
      <c r="D5780" s="5"/>
    </row>
    <row r="5781" spans="4:4" x14ac:dyDescent="0.2">
      <c r="D5781" s="5"/>
    </row>
    <row r="5782" spans="4:4" x14ac:dyDescent="0.2">
      <c r="D5782" s="5"/>
    </row>
    <row r="5783" spans="4:4" x14ac:dyDescent="0.2">
      <c r="D5783" s="5"/>
    </row>
    <row r="5784" spans="4:4" x14ac:dyDescent="0.2">
      <c r="D5784" s="5"/>
    </row>
    <row r="5785" spans="4:4" x14ac:dyDescent="0.2">
      <c r="D5785" s="5"/>
    </row>
    <row r="5786" spans="4:4" x14ac:dyDescent="0.2">
      <c r="D5786" s="5"/>
    </row>
    <row r="5787" spans="4:4" x14ac:dyDescent="0.2">
      <c r="D5787" s="5"/>
    </row>
    <row r="5788" spans="4:4" x14ac:dyDescent="0.2">
      <c r="D5788" s="5"/>
    </row>
    <row r="5789" spans="4:4" x14ac:dyDescent="0.2">
      <c r="D5789" s="5"/>
    </row>
    <row r="5790" spans="4:4" x14ac:dyDescent="0.2">
      <c r="D5790" s="5"/>
    </row>
    <row r="5791" spans="4:4" x14ac:dyDescent="0.2">
      <c r="D5791" s="5"/>
    </row>
    <row r="5792" spans="4:4" x14ac:dyDescent="0.2">
      <c r="D5792" s="5"/>
    </row>
    <row r="5793" spans="4:4" x14ac:dyDescent="0.2">
      <c r="D5793" s="5"/>
    </row>
    <row r="5794" spans="4:4" x14ac:dyDescent="0.2">
      <c r="D5794" s="5"/>
    </row>
    <row r="5795" spans="4:4" x14ac:dyDescent="0.2">
      <c r="D5795" s="5"/>
    </row>
    <row r="5796" spans="4:4" x14ac:dyDescent="0.2">
      <c r="D5796" s="5"/>
    </row>
    <row r="5797" spans="4:4" x14ac:dyDescent="0.2">
      <c r="D5797" s="5"/>
    </row>
    <row r="5798" spans="4:4" x14ac:dyDescent="0.2">
      <c r="D5798" s="5"/>
    </row>
    <row r="5799" spans="4:4" x14ac:dyDescent="0.2">
      <c r="D5799" s="5"/>
    </row>
    <row r="5800" spans="4:4" x14ac:dyDescent="0.2">
      <c r="D5800" s="5"/>
    </row>
    <row r="5801" spans="4:4" x14ac:dyDescent="0.2">
      <c r="D5801" s="5"/>
    </row>
    <row r="5802" spans="4:4" x14ac:dyDescent="0.2">
      <c r="D5802" s="5"/>
    </row>
    <row r="5803" spans="4:4" x14ac:dyDescent="0.2">
      <c r="D5803" s="5"/>
    </row>
    <row r="5804" spans="4:4" x14ac:dyDescent="0.2">
      <c r="D5804" s="5"/>
    </row>
    <row r="5805" spans="4:4" x14ac:dyDescent="0.2">
      <c r="D5805" s="5"/>
    </row>
    <row r="5806" spans="4:4" x14ac:dyDescent="0.2">
      <c r="D5806" s="5"/>
    </row>
    <row r="5807" spans="4:4" x14ac:dyDescent="0.2">
      <c r="D5807" s="5"/>
    </row>
    <row r="5808" spans="4:4" x14ac:dyDescent="0.2">
      <c r="D5808" s="5"/>
    </row>
    <row r="5809" spans="4:4" x14ac:dyDescent="0.2">
      <c r="D5809" s="5"/>
    </row>
    <row r="5810" spans="4:4" x14ac:dyDescent="0.2">
      <c r="D5810" s="5"/>
    </row>
    <row r="5811" spans="4:4" x14ac:dyDescent="0.2">
      <c r="D5811" s="5"/>
    </row>
    <row r="5812" spans="4:4" x14ac:dyDescent="0.2">
      <c r="D5812" s="5"/>
    </row>
    <row r="5813" spans="4:4" x14ac:dyDescent="0.2">
      <c r="D5813" s="5"/>
    </row>
    <row r="5814" spans="4:4" x14ac:dyDescent="0.2">
      <c r="D5814" s="5"/>
    </row>
    <row r="5815" spans="4:4" x14ac:dyDescent="0.2">
      <c r="D5815" s="5"/>
    </row>
    <row r="5816" spans="4:4" x14ac:dyDescent="0.2">
      <c r="D5816" s="5"/>
    </row>
    <row r="5817" spans="4:4" x14ac:dyDescent="0.2">
      <c r="D5817" s="5"/>
    </row>
    <row r="5818" spans="4:4" x14ac:dyDescent="0.2">
      <c r="D5818" s="5"/>
    </row>
    <row r="5819" spans="4:4" x14ac:dyDescent="0.2">
      <c r="D5819" s="5"/>
    </row>
    <row r="5820" spans="4:4" x14ac:dyDescent="0.2">
      <c r="D5820" s="5"/>
    </row>
    <row r="5821" spans="4:4" x14ac:dyDescent="0.2">
      <c r="D5821" s="5"/>
    </row>
    <row r="5822" spans="4:4" x14ac:dyDescent="0.2">
      <c r="D5822" s="5"/>
    </row>
    <row r="5823" spans="4:4" x14ac:dyDescent="0.2">
      <c r="D5823" s="5"/>
    </row>
    <row r="5824" spans="4:4" x14ac:dyDescent="0.2">
      <c r="D5824" s="5"/>
    </row>
    <row r="5825" spans="4:4" x14ac:dyDescent="0.2">
      <c r="D5825" s="5"/>
    </row>
    <row r="5826" spans="4:4" x14ac:dyDescent="0.2">
      <c r="D5826" s="5"/>
    </row>
    <row r="5827" spans="4:4" x14ac:dyDescent="0.2">
      <c r="D5827" s="5"/>
    </row>
    <row r="5828" spans="4:4" x14ac:dyDescent="0.2">
      <c r="D5828" s="5"/>
    </row>
    <row r="5829" spans="4:4" x14ac:dyDescent="0.2">
      <c r="D5829" s="5"/>
    </row>
    <row r="5830" spans="4:4" x14ac:dyDescent="0.2">
      <c r="D5830" s="5"/>
    </row>
    <row r="5831" spans="4:4" x14ac:dyDescent="0.2">
      <c r="D5831" s="5"/>
    </row>
    <row r="5832" spans="4:4" x14ac:dyDescent="0.2">
      <c r="D5832" s="5"/>
    </row>
    <row r="5833" spans="4:4" x14ac:dyDescent="0.2">
      <c r="D5833" s="5"/>
    </row>
    <row r="5834" spans="4:4" x14ac:dyDescent="0.2">
      <c r="D5834" s="5"/>
    </row>
    <row r="5835" spans="4:4" x14ac:dyDescent="0.2">
      <c r="D5835" s="5"/>
    </row>
    <row r="5836" spans="4:4" x14ac:dyDescent="0.2">
      <c r="D5836" s="5"/>
    </row>
    <row r="5837" spans="4:4" x14ac:dyDescent="0.2">
      <c r="D5837" s="5"/>
    </row>
    <row r="5838" spans="4:4" x14ac:dyDescent="0.2">
      <c r="D5838" s="5"/>
    </row>
    <row r="5839" spans="4:4" x14ac:dyDescent="0.2">
      <c r="D5839" s="5"/>
    </row>
    <row r="5840" spans="4:4" x14ac:dyDescent="0.2">
      <c r="D5840" s="5"/>
    </row>
    <row r="5841" spans="4:4" x14ac:dyDescent="0.2">
      <c r="D5841" s="5"/>
    </row>
    <row r="5842" spans="4:4" x14ac:dyDescent="0.2">
      <c r="D5842" s="5"/>
    </row>
    <row r="5843" spans="4:4" x14ac:dyDescent="0.2">
      <c r="D5843" s="5"/>
    </row>
    <row r="5844" spans="4:4" x14ac:dyDescent="0.2">
      <c r="D5844" s="5"/>
    </row>
    <row r="5845" spans="4:4" x14ac:dyDescent="0.2">
      <c r="D5845" s="5"/>
    </row>
    <row r="5846" spans="4:4" x14ac:dyDescent="0.2">
      <c r="D5846" s="5"/>
    </row>
    <row r="5847" spans="4:4" x14ac:dyDescent="0.2">
      <c r="D5847" s="5"/>
    </row>
    <row r="5848" spans="4:4" x14ac:dyDescent="0.2">
      <c r="D5848" s="5"/>
    </row>
    <row r="5849" spans="4:4" x14ac:dyDescent="0.2">
      <c r="D5849" s="5"/>
    </row>
    <row r="5850" spans="4:4" x14ac:dyDescent="0.2">
      <c r="D5850" s="5"/>
    </row>
    <row r="5851" spans="4:4" x14ac:dyDescent="0.2">
      <c r="D5851" s="5"/>
    </row>
    <row r="5852" spans="4:4" x14ac:dyDescent="0.2">
      <c r="D5852" s="5"/>
    </row>
    <row r="5853" spans="4:4" x14ac:dyDescent="0.2">
      <c r="D5853" s="5"/>
    </row>
    <row r="5854" spans="4:4" x14ac:dyDescent="0.2">
      <c r="D5854" s="5"/>
    </row>
    <row r="5855" spans="4:4" x14ac:dyDescent="0.2">
      <c r="D5855" s="5"/>
    </row>
    <row r="5856" spans="4:4" x14ac:dyDescent="0.2">
      <c r="D5856" s="5"/>
    </row>
    <row r="5857" spans="4:4" x14ac:dyDescent="0.2">
      <c r="D5857" s="5"/>
    </row>
    <row r="5858" spans="4:4" x14ac:dyDescent="0.2">
      <c r="D5858" s="5"/>
    </row>
    <row r="5859" spans="4:4" x14ac:dyDescent="0.2">
      <c r="D5859" s="5"/>
    </row>
    <row r="5860" spans="4:4" x14ac:dyDescent="0.2">
      <c r="D5860" s="5"/>
    </row>
    <row r="5861" spans="4:4" x14ac:dyDescent="0.2">
      <c r="D5861" s="5"/>
    </row>
    <row r="5862" spans="4:4" x14ac:dyDescent="0.2">
      <c r="D5862" s="5"/>
    </row>
    <row r="5863" spans="4:4" x14ac:dyDescent="0.2">
      <c r="D5863" s="5"/>
    </row>
    <row r="5864" spans="4:4" x14ac:dyDescent="0.2">
      <c r="D5864" s="5"/>
    </row>
    <row r="5865" spans="4:4" x14ac:dyDescent="0.2">
      <c r="D5865" s="5"/>
    </row>
    <row r="5866" spans="4:4" x14ac:dyDescent="0.2">
      <c r="D5866" s="5"/>
    </row>
    <row r="5867" spans="4:4" x14ac:dyDescent="0.2">
      <c r="D5867" s="5"/>
    </row>
    <row r="5868" spans="4:4" x14ac:dyDescent="0.2">
      <c r="D5868" s="5"/>
    </row>
    <row r="5869" spans="4:4" x14ac:dyDescent="0.2">
      <c r="D5869" s="5"/>
    </row>
    <row r="5870" spans="4:4" x14ac:dyDescent="0.2">
      <c r="D5870" s="5"/>
    </row>
    <row r="5871" spans="4:4" x14ac:dyDescent="0.2">
      <c r="D5871" s="5"/>
    </row>
    <row r="5872" spans="4:4" x14ac:dyDescent="0.2">
      <c r="D5872" s="5"/>
    </row>
    <row r="5873" spans="4:4" x14ac:dyDescent="0.2">
      <c r="D5873" s="5"/>
    </row>
    <row r="5874" spans="4:4" x14ac:dyDescent="0.2">
      <c r="D5874" s="5"/>
    </row>
    <row r="5875" spans="4:4" x14ac:dyDescent="0.2">
      <c r="D5875" s="5"/>
    </row>
    <row r="5876" spans="4:4" x14ac:dyDescent="0.2">
      <c r="D5876" s="5"/>
    </row>
    <row r="5877" spans="4:4" x14ac:dyDescent="0.2">
      <c r="D5877" s="5"/>
    </row>
    <row r="5878" spans="4:4" x14ac:dyDescent="0.2">
      <c r="D5878" s="5"/>
    </row>
    <row r="5879" spans="4:4" x14ac:dyDescent="0.2">
      <c r="D5879" s="5"/>
    </row>
    <row r="5880" spans="4:4" x14ac:dyDescent="0.2">
      <c r="D5880" s="5"/>
    </row>
    <row r="5881" spans="4:4" x14ac:dyDescent="0.2">
      <c r="D5881" s="5"/>
    </row>
    <row r="5882" spans="4:4" x14ac:dyDescent="0.2">
      <c r="D5882" s="5"/>
    </row>
    <row r="5883" spans="4:4" x14ac:dyDescent="0.2">
      <c r="D5883" s="5"/>
    </row>
    <row r="5884" spans="4:4" x14ac:dyDescent="0.2">
      <c r="D5884" s="5"/>
    </row>
    <row r="5885" spans="4:4" x14ac:dyDescent="0.2">
      <c r="D5885" s="5"/>
    </row>
    <row r="5886" spans="4:4" x14ac:dyDescent="0.2">
      <c r="D5886" s="5"/>
    </row>
    <row r="5887" spans="4:4" x14ac:dyDescent="0.2">
      <c r="D5887" s="5"/>
    </row>
    <row r="5888" spans="4:4" x14ac:dyDescent="0.2">
      <c r="D5888" s="5"/>
    </row>
    <row r="5889" spans="4:4" x14ac:dyDescent="0.2">
      <c r="D5889" s="5"/>
    </row>
    <row r="5890" spans="4:4" x14ac:dyDescent="0.2">
      <c r="D5890" s="5"/>
    </row>
    <row r="5891" spans="4:4" x14ac:dyDescent="0.2">
      <c r="D5891" s="5"/>
    </row>
    <row r="5892" spans="4:4" x14ac:dyDescent="0.2">
      <c r="D5892" s="5"/>
    </row>
    <row r="5893" spans="4:4" x14ac:dyDescent="0.2">
      <c r="D5893" s="5"/>
    </row>
    <row r="5894" spans="4:4" x14ac:dyDescent="0.2">
      <c r="D5894" s="5"/>
    </row>
    <row r="5895" spans="4:4" x14ac:dyDescent="0.2">
      <c r="D5895" s="5"/>
    </row>
    <row r="5896" spans="4:4" x14ac:dyDescent="0.2">
      <c r="D5896" s="5"/>
    </row>
    <row r="5897" spans="4:4" x14ac:dyDescent="0.2">
      <c r="D5897" s="5"/>
    </row>
    <row r="5898" spans="4:4" x14ac:dyDescent="0.2">
      <c r="D5898" s="5"/>
    </row>
    <row r="5899" spans="4:4" x14ac:dyDescent="0.2">
      <c r="D5899" s="5"/>
    </row>
    <row r="5900" spans="4:4" x14ac:dyDescent="0.2">
      <c r="D5900" s="5"/>
    </row>
    <row r="5901" spans="4:4" x14ac:dyDescent="0.2">
      <c r="D5901" s="5"/>
    </row>
    <row r="5902" spans="4:4" x14ac:dyDescent="0.2">
      <c r="D5902" s="5"/>
    </row>
    <row r="5903" spans="4:4" x14ac:dyDescent="0.2">
      <c r="D5903" s="5"/>
    </row>
    <row r="5904" spans="4:4" x14ac:dyDescent="0.2">
      <c r="D5904" s="5"/>
    </row>
    <row r="5905" spans="4:4" x14ac:dyDescent="0.2">
      <c r="D5905" s="5"/>
    </row>
    <row r="5906" spans="4:4" x14ac:dyDescent="0.2">
      <c r="D5906" s="5"/>
    </row>
    <row r="5907" spans="4:4" x14ac:dyDescent="0.2">
      <c r="D5907" s="5"/>
    </row>
    <row r="5908" spans="4:4" x14ac:dyDescent="0.2">
      <c r="D5908" s="5"/>
    </row>
    <row r="5909" spans="4:4" x14ac:dyDescent="0.2">
      <c r="D5909" s="5"/>
    </row>
    <row r="5910" spans="4:4" x14ac:dyDescent="0.2">
      <c r="D5910" s="5"/>
    </row>
    <row r="5911" spans="4:4" x14ac:dyDescent="0.2">
      <c r="D5911" s="5"/>
    </row>
    <row r="5912" spans="4:4" x14ac:dyDescent="0.2">
      <c r="D5912" s="5"/>
    </row>
    <row r="5913" spans="4:4" x14ac:dyDescent="0.2">
      <c r="D5913" s="5"/>
    </row>
    <row r="5914" spans="4:4" x14ac:dyDescent="0.2">
      <c r="D5914" s="5"/>
    </row>
    <row r="5915" spans="4:4" x14ac:dyDescent="0.2">
      <c r="D5915" s="5"/>
    </row>
    <row r="5916" spans="4:4" x14ac:dyDescent="0.2">
      <c r="D5916" s="5"/>
    </row>
    <row r="5917" spans="4:4" x14ac:dyDescent="0.2">
      <c r="D5917" s="5"/>
    </row>
    <row r="5918" spans="4:4" x14ac:dyDescent="0.2">
      <c r="D5918" s="5"/>
    </row>
    <row r="5919" spans="4:4" x14ac:dyDescent="0.2">
      <c r="D5919" s="5"/>
    </row>
    <row r="5920" spans="4:4" x14ac:dyDescent="0.2">
      <c r="D5920" s="5"/>
    </row>
    <row r="5921" spans="4:4" x14ac:dyDescent="0.2">
      <c r="D5921" s="5"/>
    </row>
    <row r="5922" spans="4:4" x14ac:dyDescent="0.2">
      <c r="D5922" s="5"/>
    </row>
    <row r="5923" spans="4:4" x14ac:dyDescent="0.2">
      <c r="D5923" s="5"/>
    </row>
    <row r="5924" spans="4:4" x14ac:dyDescent="0.2">
      <c r="D5924" s="5"/>
    </row>
    <row r="5925" spans="4:4" x14ac:dyDescent="0.2">
      <c r="D5925" s="5"/>
    </row>
    <row r="5926" spans="4:4" x14ac:dyDescent="0.2">
      <c r="D5926" s="5"/>
    </row>
    <row r="5927" spans="4:4" x14ac:dyDescent="0.2">
      <c r="D5927" s="5"/>
    </row>
    <row r="5928" spans="4:4" x14ac:dyDescent="0.2">
      <c r="D5928" s="5"/>
    </row>
    <row r="5929" spans="4:4" x14ac:dyDescent="0.2">
      <c r="D5929" s="5"/>
    </row>
    <row r="5930" spans="4:4" x14ac:dyDescent="0.2">
      <c r="D5930" s="5"/>
    </row>
    <row r="5931" spans="4:4" x14ac:dyDescent="0.2">
      <c r="D5931" s="5"/>
    </row>
    <row r="5932" spans="4:4" x14ac:dyDescent="0.2">
      <c r="D5932" s="5"/>
    </row>
    <row r="5933" spans="4:4" x14ac:dyDescent="0.2">
      <c r="D5933" s="5"/>
    </row>
    <row r="5934" spans="4:4" x14ac:dyDescent="0.2">
      <c r="D5934" s="5"/>
    </row>
    <row r="5935" spans="4:4" x14ac:dyDescent="0.2">
      <c r="D5935" s="5"/>
    </row>
    <row r="5936" spans="4:4" x14ac:dyDescent="0.2">
      <c r="D5936" s="5"/>
    </row>
    <row r="5937" spans="4:4" x14ac:dyDescent="0.2">
      <c r="D5937" s="5"/>
    </row>
    <row r="5938" spans="4:4" x14ac:dyDescent="0.2">
      <c r="D5938" s="5"/>
    </row>
    <row r="5939" spans="4:4" x14ac:dyDescent="0.2">
      <c r="D5939" s="5"/>
    </row>
    <row r="5940" spans="4:4" x14ac:dyDescent="0.2">
      <c r="D5940" s="5"/>
    </row>
    <row r="5941" spans="4:4" x14ac:dyDescent="0.2">
      <c r="D5941" s="5"/>
    </row>
    <row r="5942" spans="4:4" x14ac:dyDescent="0.2">
      <c r="D5942" s="5"/>
    </row>
    <row r="5943" spans="4:4" x14ac:dyDescent="0.2">
      <c r="D5943" s="5"/>
    </row>
    <row r="5944" spans="4:4" x14ac:dyDescent="0.2">
      <c r="D5944" s="5"/>
    </row>
    <row r="5945" spans="4:4" x14ac:dyDescent="0.2">
      <c r="D5945" s="5"/>
    </row>
    <row r="5946" spans="4:4" x14ac:dyDescent="0.2">
      <c r="D5946" s="5"/>
    </row>
    <row r="5947" spans="4:4" x14ac:dyDescent="0.2">
      <c r="D5947" s="5"/>
    </row>
    <row r="5948" spans="4:4" x14ac:dyDescent="0.2">
      <c r="D5948" s="5"/>
    </row>
    <row r="5949" spans="4:4" x14ac:dyDescent="0.2">
      <c r="D5949" s="5"/>
    </row>
    <row r="5950" spans="4:4" x14ac:dyDescent="0.2">
      <c r="D5950" s="5"/>
    </row>
    <row r="5951" spans="4:4" x14ac:dyDescent="0.2">
      <c r="D5951" s="5"/>
    </row>
    <row r="5952" spans="4:4" x14ac:dyDescent="0.2">
      <c r="D5952" s="5"/>
    </row>
    <row r="5953" spans="4:4" x14ac:dyDescent="0.2">
      <c r="D5953" s="5"/>
    </row>
    <row r="5954" spans="4:4" x14ac:dyDescent="0.2">
      <c r="D5954" s="5"/>
    </row>
    <row r="5955" spans="4:4" x14ac:dyDescent="0.2">
      <c r="D5955" s="5"/>
    </row>
    <row r="5956" spans="4:4" x14ac:dyDescent="0.2">
      <c r="D5956" s="5"/>
    </row>
    <row r="5957" spans="4:4" x14ac:dyDescent="0.2">
      <c r="D5957" s="5"/>
    </row>
    <row r="5958" spans="4:4" x14ac:dyDescent="0.2">
      <c r="D5958" s="5"/>
    </row>
    <row r="5959" spans="4:4" x14ac:dyDescent="0.2">
      <c r="D5959" s="5"/>
    </row>
    <row r="5960" spans="4:4" x14ac:dyDescent="0.2">
      <c r="D5960" s="5"/>
    </row>
    <row r="5961" spans="4:4" x14ac:dyDescent="0.2">
      <c r="D5961" s="5"/>
    </row>
    <row r="5962" spans="4:4" x14ac:dyDescent="0.2">
      <c r="D5962" s="5"/>
    </row>
    <row r="5963" spans="4:4" x14ac:dyDescent="0.2">
      <c r="D5963" s="5"/>
    </row>
    <row r="5964" spans="4:4" x14ac:dyDescent="0.2">
      <c r="D5964" s="5"/>
    </row>
    <row r="5965" spans="4:4" x14ac:dyDescent="0.2">
      <c r="D5965" s="5"/>
    </row>
    <row r="5966" spans="4:4" x14ac:dyDescent="0.2">
      <c r="D5966" s="5"/>
    </row>
    <row r="5967" spans="4:4" x14ac:dyDescent="0.2">
      <c r="D5967" s="5"/>
    </row>
    <row r="5968" spans="4:4" x14ac:dyDescent="0.2">
      <c r="D5968" s="5"/>
    </row>
    <row r="5969" spans="4:4" x14ac:dyDescent="0.2">
      <c r="D5969" s="5"/>
    </row>
    <row r="5970" spans="4:4" x14ac:dyDescent="0.2">
      <c r="D5970" s="5"/>
    </row>
    <row r="5971" spans="4:4" x14ac:dyDescent="0.2">
      <c r="D5971" s="5"/>
    </row>
    <row r="5972" spans="4:4" x14ac:dyDescent="0.2">
      <c r="D5972" s="5"/>
    </row>
    <row r="5973" spans="4:4" x14ac:dyDescent="0.2">
      <c r="D5973" s="5"/>
    </row>
    <row r="5974" spans="4:4" x14ac:dyDescent="0.2">
      <c r="D5974" s="5"/>
    </row>
    <row r="5975" spans="4:4" x14ac:dyDescent="0.2">
      <c r="D5975" s="5"/>
    </row>
    <row r="5976" spans="4:4" x14ac:dyDescent="0.2">
      <c r="D5976" s="5"/>
    </row>
    <row r="5977" spans="4:4" x14ac:dyDescent="0.2">
      <c r="D5977" s="5"/>
    </row>
    <row r="5978" spans="4:4" x14ac:dyDescent="0.2">
      <c r="D5978" s="5"/>
    </row>
    <row r="5979" spans="4:4" x14ac:dyDescent="0.2">
      <c r="D5979" s="5"/>
    </row>
    <row r="5980" spans="4:4" x14ac:dyDescent="0.2">
      <c r="D5980" s="5"/>
    </row>
    <row r="5981" spans="4:4" x14ac:dyDescent="0.2">
      <c r="D5981" s="5"/>
    </row>
    <row r="5982" spans="4:4" x14ac:dyDescent="0.2">
      <c r="D5982" s="5"/>
    </row>
    <row r="5983" spans="4:4" x14ac:dyDescent="0.2">
      <c r="D5983" s="5"/>
    </row>
    <row r="5984" spans="4:4" x14ac:dyDescent="0.2">
      <c r="D5984" s="5"/>
    </row>
    <row r="5985" spans="4:4" x14ac:dyDescent="0.2">
      <c r="D5985" s="5"/>
    </row>
    <row r="5986" spans="4:4" x14ac:dyDescent="0.2">
      <c r="D5986" s="5"/>
    </row>
    <row r="5987" spans="4:4" x14ac:dyDescent="0.2">
      <c r="D5987" s="5"/>
    </row>
    <row r="5988" spans="4:4" x14ac:dyDescent="0.2">
      <c r="D5988" s="5"/>
    </row>
    <row r="5989" spans="4:4" x14ac:dyDescent="0.2">
      <c r="D5989" s="5"/>
    </row>
    <row r="5990" spans="4:4" x14ac:dyDescent="0.2">
      <c r="D5990" s="5"/>
    </row>
    <row r="5991" spans="4:4" x14ac:dyDescent="0.2">
      <c r="D5991" s="5"/>
    </row>
    <row r="5992" spans="4:4" x14ac:dyDescent="0.2">
      <c r="D5992" s="5"/>
    </row>
    <row r="5993" spans="4:4" x14ac:dyDescent="0.2">
      <c r="D5993" s="5"/>
    </row>
    <row r="5994" spans="4:4" x14ac:dyDescent="0.2">
      <c r="D5994" s="5"/>
    </row>
    <row r="5995" spans="4:4" x14ac:dyDescent="0.2">
      <c r="D5995" s="5"/>
    </row>
    <row r="5996" spans="4:4" x14ac:dyDescent="0.2">
      <c r="D5996" s="5"/>
    </row>
    <row r="5997" spans="4:4" x14ac:dyDescent="0.2">
      <c r="D5997" s="5"/>
    </row>
    <row r="5998" spans="4:4" x14ac:dyDescent="0.2">
      <c r="D5998" s="5"/>
    </row>
    <row r="5999" spans="4:4" x14ac:dyDescent="0.2">
      <c r="D5999" s="5"/>
    </row>
    <row r="6000" spans="4:4" x14ac:dyDescent="0.2">
      <c r="D6000" s="5"/>
    </row>
    <row r="6001" spans="4:4" x14ac:dyDescent="0.2">
      <c r="D6001" s="5"/>
    </row>
    <row r="6002" spans="4:4" x14ac:dyDescent="0.2">
      <c r="D6002" s="5"/>
    </row>
    <row r="6003" spans="4:4" x14ac:dyDescent="0.2">
      <c r="D6003" s="5"/>
    </row>
    <row r="6004" spans="4:4" x14ac:dyDescent="0.2">
      <c r="D6004" s="5"/>
    </row>
    <row r="6005" spans="4:4" x14ac:dyDescent="0.2">
      <c r="D6005" s="5"/>
    </row>
    <row r="6006" spans="4:4" x14ac:dyDescent="0.2">
      <c r="D6006" s="5"/>
    </row>
    <row r="6007" spans="4:4" x14ac:dyDescent="0.2">
      <c r="D6007" s="5"/>
    </row>
    <row r="6008" spans="4:4" x14ac:dyDescent="0.2">
      <c r="D6008" s="5"/>
    </row>
    <row r="6009" spans="4:4" x14ac:dyDescent="0.2">
      <c r="D6009" s="5"/>
    </row>
    <row r="6010" spans="4:4" x14ac:dyDescent="0.2">
      <c r="D6010" s="5"/>
    </row>
    <row r="6011" spans="4:4" x14ac:dyDescent="0.2">
      <c r="D6011" s="5"/>
    </row>
    <row r="6012" spans="4:4" x14ac:dyDescent="0.2">
      <c r="D6012" s="5"/>
    </row>
    <row r="6013" spans="4:4" x14ac:dyDescent="0.2">
      <c r="D6013" s="5"/>
    </row>
    <row r="6014" spans="4:4" x14ac:dyDescent="0.2">
      <c r="D6014" s="5"/>
    </row>
    <row r="6015" spans="4:4" x14ac:dyDescent="0.2">
      <c r="D6015" s="5"/>
    </row>
    <row r="6016" spans="4:4" x14ac:dyDescent="0.2">
      <c r="D6016" s="5"/>
    </row>
    <row r="6017" spans="4:4" x14ac:dyDescent="0.2">
      <c r="D6017" s="5"/>
    </row>
    <row r="6018" spans="4:4" x14ac:dyDescent="0.2">
      <c r="D6018" s="5"/>
    </row>
    <row r="6019" spans="4:4" x14ac:dyDescent="0.2">
      <c r="D6019" s="5"/>
    </row>
    <row r="6020" spans="4:4" x14ac:dyDescent="0.2">
      <c r="D6020" s="5"/>
    </row>
    <row r="6021" spans="4:4" x14ac:dyDescent="0.2">
      <c r="D6021" s="5"/>
    </row>
    <row r="6022" spans="4:4" x14ac:dyDescent="0.2">
      <c r="D6022" s="5"/>
    </row>
    <row r="6023" spans="4:4" x14ac:dyDescent="0.2">
      <c r="D6023" s="5"/>
    </row>
    <row r="6024" spans="4:4" x14ac:dyDescent="0.2">
      <c r="D6024" s="5"/>
    </row>
    <row r="6025" spans="4:4" x14ac:dyDescent="0.2">
      <c r="D6025" s="5"/>
    </row>
    <row r="6026" spans="4:4" x14ac:dyDescent="0.2">
      <c r="D6026" s="5"/>
    </row>
    <row r="6027" spans="4:4" x14ac:dyDescent="0.2">
      <c r="D6027" s="5"/>
    </row>
    <row r="6028" spans="4:4" x14ac:dyDescent="0.2">
      <c r="D6028" s="5"/>
    </row>
    <row r="6029" spans="4:4" x14ac:dyDescent="0.2">
      <c r="D6029" s="5"/>
    </row>
    <row r="6030" spans="4:4" x14ac:dyDescent="0.2">
      <c r="D6030" s="5"/>
    </row>
    <row r="6031" spans="4:4" x14ac:dyDescent="0.2">
      <c r="D6031" s="5"/>
    </row>
    <row r="6032" spans="4:4" x14ac:dyDescent="0.2">
      <c r="D6032" s="5"/>
    </row>
    <row r="6033" spans="4:4" x14ac:dyDescent="0.2">
      <c r="D6033" s="5"/>
    </row>
    <row r="6034" spans="4:4" x14ac:dyDescent="0.2">
      <c r="D6034" s="5"/>
    </row>
    <row r="6035" spans="4:4" x14ac:dyDescent="0.2">
      <c r="D6035" s="5"/>
    </row>
    <row r="6036" spans="4:4" x14ac:dyDescent="0.2">
      <c r="D6036" s="5"/>
    </row>
    <row r="6037" spans="4:4" x14ac:dyDescent="0.2">
      <c r="D6037" s="5"/>
    </row>
    <row r="6038" spans="4:4" x14ac:dyDescent="0.2">
      <c r="D6038" s="5"/>
    </row>
    <row r="6039" spans="4:4" x14ac:dyDescent="0.2">
      <c r="D6039" s="5"/>
    </row>
    <row r="6040" spans="4:4" x14ac:dyDescent="0.2">
      <c r="D6040" s="5"/>
    </row>
    <row r="6041" spans="4:4" x14ac:dyDescent="0.2">
      <c r="D6041" s="5"/>
    </row>
    <row r="6042" spans="4:4" x14ac:dyDescent="0.2">
      <c r="D6042" s="5"/>
    </row>
    <row r="6043" spans="4:4" x14ac:dyDescent="0.2">
      <c r="D6043" s="5"/>
    </row>
    <row r="6044" spans="4:4" x14ac:dyDescent="0.2">
      <c r="D6044" s="5"/>
    </row>
    <row r="6045" spans="4:4" x14ac:dyDescent="0.2">
      <c r="D6045" s="5"/>
    </row>
    <row r="6046" spans="4:4" x14ac:dyDescent="0.2">
      <c r="D6046" s="5"/>
    </row>
    <row r="6047" spans="4:4" x14ac:dyDescent="0.2">
      <c r="D6047" s="5"/>
    </row>
    <row r="6048" spans="4:4" x14ac:dyDescent="0.2">
      <c r="D6048" s="5"/>
    </row>
    <row r="6049" spans="4:4" x14ac:dyDescent="0.2">
      <c r="D6049" s="5"/>
    </row>
    <row r="6050" spans="4:4" x14ac:dyDescent="0.2">
      <c r="D6050" s="5"/>
    </row>
    <row r="6051" spans="4:4" x14ac:dyDescent="0.2">
      <c r="D6051" s="5"/>
    </row>
    <row r="6052" spans="4:4" x14ac:dyDescent="0.2">
      <c r="D6052" s="5"/>
    </row>
    <row r="6053" spans="4:4" x14ac:dyDescent="0.2">
      <c r="D6053" s="5"/>
    </row>
    <row r="6054" spans="4:4" x14ac:dyDescent="0.2">
      <c r="D6054" s="5"/>
    </row>
    <row r="6055" spans="4:4" x14ac:dyDescent="0.2">
      <c r="D6055" s="5"/>
    </row>
    <row r="6056" spans="4:4" x14ac:dyDescent="0.2">
      <c r="D6056" s="5"/>
    </row>
    <row r="6057" spans="4:4" x14ac:dyDescent="0.2">
      <c r="D6057" s="5"/>
    </row>
    <row r="6058" spans="4:4" x14ac:dyDescent="0.2">
      <c r="D6058" s="5"/>
    </row>
    <row r="6059" spans="4:4" x14ac:dyDescent="0.2">
      <c r="D6059" s="5"/>
    </row>
    <row r="6060" spans="4:4" x14ac:dyDescent="0.2">
      <c r="D6060" s="5"/>
    </row>
    <row r="6061" spans="4:4" x14ac:dyDescent="0.2">
      <c r="D6061" s="5"/>
    </row>
    <row r="6062" spans="4:4" x14ac:dyDescent="0.2">
      <c r="D6062" s="5"/>
    </row>
    <row r="6063" spans="4:4" x14ac:dyDescent="0.2">
      <c r="D6063" s="5"/>
    </row>
    <row r="6064" spans="4:4" x14ac:dyDescent="0.2">
      <c r="D6064" s="5"/>
    </row>
    <row r="6065" spans="4:4" x14ac:dyDescent="0.2">
      <c r="D6065" s="5"/>
    </row>
    <row r="6066" spans="4:4" x14ac:dyDescent="0.2">
      <c r="D6066" s="5"/>
    </row>
    <row r="6067" spans="4:4" x14ac:dyDescent="0.2">
      <c r="D6067" s="5"/>
    </row>
    <row r="6068" spans="4:4" x14ac:dyDescent="0.2">
      <c r="D6068" s="5"/>
    </row>
    <row r="6069" spans="4:4" x14ac:dyDescent="0.2">
      <c r="D6069" s="5"/>
    </row>
    <row r="6070" spans="4:4" x14ac:dyDescent="0.2">
      <c r="D6070" s="5"/>
    </row>
    <row r="6071" spans="4:4" x14ac:dyDescent="0.2">
      <c r="D6071" s="5"/>
    </row>
    <row r="6072" spans="4:4" x14ac:dyDescent="0.2">
      <c r="D6072" s="5"/>
    </row>
    <row r="6073" spans="4:4" x14ac:dyDescent="0.2">
      <c r="D6073" s="5"/>
    </row>
    <row r="6074" spans="4:4" x14ac:dyDescent="0.2">
      <c r="D6074" s="5"/>
    </row>
    <row r="6075" spans="4:4" x14ac:dyDescent="0.2">
      <c r="D6075" s="5"/>
    </row>
    <row r="6076" spans="4:4" x14ac:dyDescent="0.2">
      <c r="D6076" s="5"/>
    </row>
    <row r="6077" spans="4:4" x14ac:dyDescent="0.2">
      <c r="D6077" s="5"/>
    </row>
    <row r="6078" spans="4:4" x14ac:dyDescent="0.2">
      <c r="D6078" s="5"/>
    </row>
    <row r="6079" spans="4:4" x14ac:dyDescent="0.2">
      <c r="D6079" s="5"/>
    </row>
    <row r="6080" spans="4:4" x14ac:dyDescent="0.2">
      <c r="D6080" s="5"/>
    </row>
    <row r="6081" spans="4:4" x14ac:dyDescent="0.2">
      <c r="D6081" s="5"/>
    </row>
    <row r="6082" spans="4:4" x14ac:dyDescent="0.2">
      <c r="D6082" s="5"/>
    </row>
    <row r="6083" spans="4:4" x14ac:dyDescent="0.2">
      <c r="D6083" s="5"/>
    </row>
    <row r="6084" spans="4:4" x14ac:dyDescent="0.2">
      <c r="D6084" s="5"/>
    </row>
    <row r="6085" spans="4:4" x14ac:dyDescent="0.2">
      <c r="D6085" s="5"/>
    </row>
    <row r="6086" spans="4:4" x14ac:dyDescent="0.2">
      <c r="D6086" s="5"/>
    </row>
    <row r="6087" spans="4:4" x14ac:dyDescent="0.2">
      <c r="D6087" s="5"/>
    </row>
    <row r="6088" spans="4:4" x14ac:dyDescent="0.2">
      <c r="D6088" s="5"/>
    </row>
    <row r="6089" spans="4:4" x14ac:dyDescent="0.2">
      <c r="D6089" s="5"/>
    </row>
    <row r="6090" spans="4:4" x14ac:dyDescent="0.2">
      <c r="D6090" s="5"/>
    </row>
    <row r="6091" spans="4:4" x14ac:dyDescent="0.2">
      <c r="D6091" s="5"/>
    </row>
    <row r="6092" spans="4:4" x14ac:dyDescent="0.2">
      <c r="D6092" s="5"/>
    </row>
    <row r="6093" spans="4:4" x14ac:dyDescent="0.2">
      <c r="D6093" s="5"/>
    </row>
    <row r="6094" spans="4:4" x14ac:dyDescent="0.2">
      <c r="D6094" s="5"/>
    </row>
    <row r="6095" spans="4:4" x14ac:dyDescent="0.2">
      <c r="D6095" s="5"/>
    </row>
    <row r="6096" spans="4:4" x14ac:dyDescent="0.2">
      <c r="D6096" s="5"/>
    </row>
    <row r="6097" spans="4:4" x14ac:dyDescent="0.2">
      <c r="D6097" s="5"/>
    </row>
    <row r="6098" spans="4:4" x14ac:dyDescent="0.2">
      <c r="D6098" s="5"/>
    </row>
    <row r="6099" spans="4:4" x14ac:dyDescent="0.2">
      <c r="D6099" s="5"/>
    </row>
    <row r="6100" spans="4:4" x14ac:dyDescent="0.2">
      <c r="D6100" s="5"/>
    </row>
    <row r="6101" spans="4:4" x14ac:dyDescent="0.2">
      <c r="D6101" s="5"/>
    </row>
    <row r="6102" spans="4:4" x14ac:dyDescent="0.2">
      <c r="D6102" s="5"/>
    </row>
    <row r="6103" spans="4:4" x14ac:dyDescent="0.2">
      <c r="D6103" s="5"/>
    </row>
    <row r="6104" spans="4:4" x14ac:dyDescent="0.2">
      <c r="D6104" s="5"/>
    </row>
    <row r="6105" spans="4:4" x14ac:dyDescent="0.2">
      <c r="D6105" s="5"/>
    </row>
    <row r="6106" spans="4:4" x14ac:dyDescent="0.2">
      <c r="D6106" s="5"/>
    </row>
    <row r="6107" spans="4:4" x14ac:dyDescent="0.2">
      <c r="D6107" s="5"/>
    </row>
    <row r="6108" spans="4:4" x14ac:dyDescent="0.2">
      <c r="D6108" s="5"/>
    </row>
    <row r="6109" spans="4:4" x14ac:dyDescent="0.2">
      <c r="D6109" s="5"/>
    </row>
    <row r="6110" spans="4:4" x14ac:dyDescent="0.2">
      <c r="D6110" s="5"/>
    </row>
    <row r="6111" spans="4:4" x14ac:dyDescent="0.2">
      <c r="D6111" s="5"/>
    </row>
    <row r="6112" spans="4:4" x14ac:dyDescent="0.2">
      <c r="D6112" s="5"/>
    </row>
    <row r="6113" spans="4:4" x14ac:dyDescent="0.2">
      <c r="D6113" s="5"/>
    </row>
    <row r="6114" spans="4:4" x14ac:dyDescent="0.2">
      <c r="D6114" s="5"/>
    </row>
    <row r="6115" spans="4:4" x14ac:dyDescent="0.2">
      <c r="D6115" s="5"/>
    </row>
    <row r="6116" spans="4:4" x14ac:dyDescent="0.2">
      <c r="D6116" s="5"/>
    </row>
    <row r="6117" spans="4:4" x14ac:dyDescent="0.2">
      <c r="D6117" s="5"/>
    </row>
    <row r="6118" spans="4:4" x14ac:dyDescent="0.2">
      <c r="D6118" s="5"/>
    </row>
    <row r="6119" spans="4:4" x14ac:dyDescent="0.2">
      <c r="D6119" s="5"/>
    </row>
    <row r="6120" spans="4:4" x14ac:dyDescent="0.2">
      <c r="D6120" s="5"/>
    </row>
    <row r="6121" spans="4:4" x14ac:dyDescent="0.2">
      <c r="D6121" s="5"/>
    </row>
    <row r="6122" spans="4:4" x14ac:dyDescent="0.2">
      <c r="D6122" s="5"/>
    </row>
    <row r="6123" spans="4:4" x14ac:dyDescent="0.2">
      <c r="D6123" s="5"/>
    </row>
    <row r="6124" spans="4:4" x14ac:dyDescent="0.2">
      <c r="D6124" s="5"/>
    </row>
    <row r="6125" spans="4:4" x14ac:dyDescent="0.2">
      <c r="D6125" s="5"/>
    </row>
    <row r="6126" spans="4:4" x14ac:dyDescent="0.2">
      <c r="D6126" s="5"/>
    </row>
    <row r="6127" spans="4:4" x14ac:dyDescent="0.2">
      <c r="D6127" s="5"/>
    </row>
    <row r="6128" spans="4:4" x14ac:dyDescent="0.2">
      <c r="D6128" s="5"/>
    </row>
    <row r="6129" spans="4:4" x14ac:dyDescent="0.2">
      <c r="D6129" s="5"/>
    </row>
    <row r="6130" spans="4:4" x14ac:dyDescent="0.2">
      <c r="D6130" s="5"/>
    </row>
    <row r="6131" spans="4:4" x14ac:dyDescent="0.2">
      <c r="D6131" s="5"/>
    </row>
    <row r="6132" spans="4:4" x14ac:dyDescent="0.2">
      <c r="D6132" s="5"/>
    </row>
    <row r="6133" spans="4:4" x14ac:dyDescent="0.2">
      <c r="D6133" s="5"/>
    </row>
    <row r="6134" spans="4:4" x14ac:dyDescent="0.2">
      <c r="D6134" s="5"/>
    </row>
    <row r="6135" spans="4:4" x14ac:dyDescent="0.2">
      <c r="D6135" s="5"/>
    </row>
    <row r="6136" spans="4:4" x14ac:dyDescent="0.2">
      <c r="D6136" s="5"/>
    </row>
    <row r="6137" spans="4:4" x14ac:dyDescent="0.2">
      <c r="D6137" s="5"/>
    </row>
    <row r="6138" spans="4:4" x14ac:dyDescent="0.2">
      <c r="D6138" s="5"/>
    </row>
    <row r="6139" spans="4:4" x14ac:dyDescent="0.2">
      <c r="D6139" s="5"/>
    </row>
    <row r="6140" spans="4:4" x14ac:dyDescent="0.2">
      <c r="D6140" s="5"/>
    </row>
    <row r="6141" spans="4:4" x14ac:dyDescent="0.2">
      <c r="D6141" s="5"/>
    </row>
    <row r="6142" spans="4:4" x14ac:dyDescent="0.2">
      <c r="D6142" s="5"/>
    </row>
    <row r="6143" spans="4:4" x14ac:dyDescent="0.2">
      <c r="D6143" s="5"/>
    </row>
    <row r="6144" spans="4:4" x14ac:dyDescent="0.2">
      <c r="D6144" s="5"/>
    </row>
    <row r="6145" spans="4:4" x14ac:dyDescent="0.2">
      <c r="D6145" s="5"/>
    </row>
    <row r="6146" spans="4:4" x14ac:dyDescent="0.2">
      <c r="D6146" s="5"/>
    </row>
    <row r="6147" spans="4:4" x14ac:dyDescent="0.2">
      <c r="D6147" s="5"/>
    </row>
    <row r="6148" spans="4:4" x14ac:dyDescent="0.2">
      <c r="D6148" s="5"/>
    </row>
    <row r="6149" spans="4:4" x14ac:dyDescent="0.2">
      <c r="D6149" s="5"/>
    </row>
    <row r="6150" spans="4:4" x14ac:dyDescent="0.2">
      <c r="D6150" s="5"/>
    </row>
    <row r="6151" spans="4:4" x14ac:dyDescent="0.2">
      <c r="D6151" s="5"/>
    </row>
    <row r="6152" spans="4:4" x14ac:dyDescent="0.2">
      <c r="D6152" s="5"/>
    </row>
    <row r="6153" spans="4:4" x14ac:dyDescent="0.2">
      <c r="D6153" s="5"/>
    </row>
    <row r="6154" spans="4:4" x14ac:dyDescent="0.2">
      <c r="D6154" s="5"/>
    </row>
    <row r="6155" spans="4:4" x14ac:dyDescent="0.2">
      <c r="D6155" s="5"/>
    </row>
    <row r="6156" spans="4:4" x14ac:dyDescent="0.2">
      <c r="D6156" s="5"/>
    </row>
    <row r="6157" spans="4:4" x14ac:dyDescent="0.2">
      <c r="D6157" s="5"/>
    </row>
    <row r="6158" spans="4:4" x14ac:dyDescent="0.2">
      <c r="D6158" s="5"/>
    </row>
    <row r="6159" spans="4:4" x14ac:dyDescent="0.2">
      <c r="D6159" s="5"/>
    </row>
    <row r="6160" spans="4:4" x14ac:dyDescent="0.2">
      <c r="D6160" s="5"/>
    </row>
    <row r="6161" spans="4:4" x14ac:dyDescent="0.2">
      <c r="D6161" s="5"/>
    </row>
    <row r="6162" spans="4:4" x14ac:dyDescent="0.2">
      <c r="D6162" s="5"/>
    </row>
    <row r="6163" spans="4:4" x14ac:dyDescent="0.2">
      <c r="D6163" s="5"/>
    </row>
    <row r="6164" spans="4:4" x14ac:dyDescent="0.2">
      <c r="D6164" s="5"/>
    </row>
    <row r="6165" spans="4:4" x14ac:dyDescent="0.2">
      <c r="D6165" s="5"/>
    </row>
    <row r="6166" spans="4:4" x14ac:dyDescent="0.2">
      <c r="D6166" s="5"/>
    </row>
    <row r="6167" spans="4:4" x14ac:dyDescent="0.2">
      <c r="D6167" s="5"/>
    </row>
    <row r="6168" spans="4:4" x14ac:dyDescent="0.2">
      <c r="D6168" s="5"/>
    </row>
    <row r="6169" spans="4:4" x14ac:dyDescent="0.2">
      <c r="D6169" s="5"/>
    </row>
    <row r="6170" spans="4:4" x14ac:dyDescent="0.2">
      <c r="D6170" s="5"/>
    </row>
    <row r="6171" spans="4:4" x14ac:dyDescent="0.2">
      <c r="D6171" s="5"/>
    </row>
    <row r="6172" spans="4:4" x14ac:dyDescent="0.2">
      <c r="D6172" s="5"/>
    </row>
    <row r="6173" spans="4:4" x14ac:dyDescent="0.2">
      <c r="D6173" s="5"/>
    </row>
    <row r="6174" spans="4:4" x14ac:dyDescent="0.2">
      <c r="D6174" s="5"/>
    </row>
    <row r="6175" spans="4:4" x14ac:dyDescent="0.2">
      <c r="D6175" s="5"/>
    </row>
    <row r="6176" spans="4:4" x14ac:dyDescent="0.2">
      <c r="D6176" s="5"/>
    </row>
    <row r="6177" spans="4:4" x14ac:dyDescent="0.2">
      <c r="D6177" s="5"/>
    </row>
    <row r="6178" spans="4:4" x14ac:dyDescent="0.2">
      <c r="D6178" s="5"/>
    </row>
    <row r="6179" spans="4:4" x14ac:dyDescent="0.2">
      <c r="D6179" s="5"/>
    </row>
    <row r="6180" spans="4:4" x14ac:dyDescent="0.2">
      <c r="D6180" s="5"/>
    </row>
    <row r="6181" spans="4:4" x14ac:dyDescent="0.2">
      <c r="D6181" s="5"/>
    </row>
    <row r="6182" spans="4:4" x14ac:dyDescent="0.2">
      <c r="D6182" s="5"/>
    </row>
    <row r="6183" spans="4:4" x14ac:dyDescent="0.2">
      <c r="D6183" s="5"/>
    </row>
    <row r="6184" spans="4:4" x14ac:dyDescent="0.2">
      <c r="D6184" s="5"/>
    </row>
    <row r="6185" spans="4:4" x14ac:dyDescent="0.2">
      <c r="D6185" s="5"/>
    </row>
    <row r="6186" spans="4:4" x14ac:dyDescent="0.2">
      <c r="D6186" s="5"/>
    </row>
    <row r="6187" spans="4:4" x14ac:dyDescent="0.2">
      <c r="D6187" s="5"/>
    </row>
    <row r="6188" spans="4:4" x14ac:dyDescent="0.2">
      <c r="D6188" s="5"/>
    </row>
    <row r="6189" spans="4:4" x14ac:dyDescent="0.2">
      <c r="D6189" s="5"/>
    </row>
    <row r="6190" spans="4:4" x14ac:dyDescent="0.2">
      <c r="D6190" s="5"/>
    </row>
    <row r="6191" spans="4:4" x14ac:dyDescent="0.2">
      <c r="D6191" s="5"/>
    </row>
    <row r="6192" spans="4:4" x14ac:dyDescent="0.2">
      <c r="D6192" s="5"/>
    </row>
    <row r="6193" spans="4:4" x14ac:dyDescent="0.2">
      <c r="D6193" s="5"/>
    </row>
    <row r="6194" spans="4:4" x14ac:dyDescent="0.2">
      <c r="D6194" s="5"/>
    </row>
    <row r="6195" spans="4:4" x14ac:dyDescent="0.2">
      <c r="D6195" s="5"/>
    </row>
    <row r="6196" spans="4:4" x14ac:dyDescent="0.2">
      <c r="D6196" s="5"/>
    </row>
    <row r="6197" spans="4:4" x14ac:dyDescent="0.2">
      <c r="D6197" s="5"/>
    </row>
    <row r="6198" spans="4:4" x14ac:dyDescent="0.2">
      <c r="D6198" s="5"/>
    </row>
    <row r="6199" spans="4:4" x14ac:dyDescent="0.2">
      <c r="D6199" s="5"/>
    </row>
    <row r="6200" spans="4:4" x14ac:dyDescent="0.2">
      <c r="D6200" s="5"/>
    </row>
    <row r="6201" spans="4:4" x14ac:dyDescent="0.2">
      <c r="D6201" s="5"/>
    </row>
    <row r="6202" spans="4:4" x14ac:dyDescent="0.2">
      <c r="D6202" s="5"/>
    </row>
    <row r="6203" spans="4:4" x14ac:dyDescent="0.2">
      <c r="D6203" s="5"/>
    </row>
    <row r="6204" spans="4:4" x14ac:dyDescent="0.2">
      <c r="D6204" s="5"/>
    </row>
    <row r="6205" spans="4:4" x14ac:dyDescent="0.2">
      <c r="D6205" s="5"/>
    </row>
    <row r="6206" spans="4:4" x14ac:dyDescent="0.2">
      <c r="D6206" s="5"/>
    </row>
    <row r="6207" spans="4:4" x14ac:dyDescent="0.2">
      <c r="D6207" s="5"/>
    </row>
    <row r="6208" spans="4:4" x14ac:dyDescent="0.2">
      <c r="D6208" s="5"/>
    </row>
    <row r="6209" spans="4:4" x14ac:dyDescent="0.2">
      <c r="D6209" s="5"/>
    </row>
    <row r="6210" spans="4:4" x14ac:dyDescent="0.2">
      <c r="D6210" s="5"/>
    </row>
    <row r="6211" spans="4:4" x14ac:dyDescent="0.2">
      <c r="D6211" s="5"/>
    </row>
    <row r="6212" spans="4:4" x14ac:dyDescent="0.2">
      <c r="D6212" s="5"/>
    </row>
    <row r="6213" spans="4:4" x14ac:dyDescent="0.2">
      <c r="D6213" s="5"/>
    </row>
    <row r="6214" spans="4:4" x14ac:dyDescent="0.2">
      <c r="D6214" s="5"/>
    </row>
    <row r="6215" spans="4:4" x14ac:dyDescent="0.2">
      <c r="D6215" s="5"/>
    </row>
    <row r="6216" spans="4:4" x14ac:dyDescent="0.2">
      <c r="D6216" s="5"/>
    </row>
    <row r="6217" spans="4:4" x14ac:dyDescent="0.2">
      <c r="D6217" s="5"/>
    </row>
    <row r="6218" spans="4:4" x14ac:dyDescent="0.2">
      <c r="D6218" s="5"/>
    </row>
    <row r="6219" spans="4:4" x14ac:dyDescent="0.2">
      <c r="D6219" s="5"/>
    </row>
    <row r="6220" spans="4:4" x14ac:dyDescent="0.2">
      <c r="D6220" s="5"/>
    </row>
    <row r="6221" spans="4:4" x14ac:dyDescent="0.2">
      <c r="D6221" s="5"/>
    </row>
    <row r="6222" spans="4:4" x14ac:dyDescent="0.2">
      <c r="D6222" s="5"/>
    </row>
    <row r="6223" spans="4:4" x14ac:dyDescent="0.2">
      <c r="D6223" s="5"/>
    </row>
    <row r="6224" spans="4:4" x14ac:dyDescent="0.2">
      <c r="D6224" s="5"/>
    </row>
    <row r="6225" spans="4:4" x14ac:dyDescent="0.2">
      <c r="D6225" s="5"/>
    </row>
    <row r="6226" spans="4:4" x14ac:dyDescent="0.2">
      <c r="D6226" s="5"/>
    </row>
    <row r="6227" spans="4:4" x14ac:dyDescent="0.2">
      <c r="D6227" s="5"/>
    </row>
    <row r="6228" spans="4:4" x14ac:dyDescent="0.2">
      <c r="D6228" s="5"/>
    </row>
    <row r="6229" spans="4:4" x14ac:dyDescent="0.2">
      <c r="D6229" s="5"/>
    </row>
    <row r="6230" spans="4:4" x14ac:dyDescent="0.2">
      <c r="D6230" s="5"/>
    </row>
    <row r="6231" spans="4:4" x14ac:dyDescent="0.2">
      <c r="D6231" s="5"/>
    </row>
    <row r="6232" spans="4:4" x14ac:dyDescent="0.2">
      <c r="D6232" s="5"/>
    </row>
    <row r="6233" spans="4:4" x14ac:dyDescent="0.2">
      <c r="D6233" s="5"/>
    </row>
    <row r="6234" spans="4:4" x14ac:dyDescent="0.2">
      <c r="D6234" s="5"/>
    </row>
    <row r="6235" spans="4:4" x14ac:dyDescent="0.2">
      <c r="D6235" s="5"/>
    </row>
    <row r="6236" spans="4:4" x14ac:dyDescent="0.2">
      <c r="D6236" s="5"/>
    </row>
    <row r="6237" spans="4:4" x14ac:dyDescent="0.2">
      <c r="D6237" s="5"/>
    </row>
    <row r="6238" spans="4:4" x14ac:dyDescent="0.2">
      <c r="D6238" s="5"/>
    </row>
    <row r="6239" spans="4:4" x14ac:dyDescent="0.2">
      <c r="D6239" s="5"/>
    </row>
    <row r="6240" spans="4:4" x14ac:dyDescent="0.2">
      <c r="D6240" s="5"/>
    </row>
    <row r="6241" spans="4:4" x14ac:dyDescent="0.2">
      <c r="D6241" s="5"/>
    </row>
    <row r="6242" spans="4:4" x14ac:dyDescent="0.2">
      <c r="D6242" s="5"/>
    </row>
    <row r="6243" spans="4:4" x14ac:dyDescent="0.2">
      <c r="D6243" s="5"/>
    </row>
    <row r="6244" spans="4:4" x14ac:dyDescent="0.2">
      <c r="D6244" s="5"/>
    </row>
    <row r="6245" spans="4:4" x14ac:dyDescent="0.2">
      <c r="D6245" s="5"/>
    </row>
    <row r="6246" spans="4:4" x14ac:dyDescent="0.2">
      <c r="D6246" s="5"/>
    </row>
    <row r="6247" spans="4:4" x14ac:dyDescent="0.2">
      <c r="D6247" s="5"/>
    </row>
    <row r="6248" spans="4:4" x14ac:dyDescent="0.2">
      <c r="D6248" s="5"/>
    </row>
    <row r="6249" spans="4:4" x14ac:dyDescent="0.2">
      <c r="D6249" s="5"/>
    </row>
    <row r="6250" spans="4:4" x14ac:dyDescent="0.2">
      <c r="D6250" s="5"/>
    </row>
    <row r="6251" spans="4:4" x14ac:dyDescent="0.2">
      <c r="D6251" s="5"/>
    </row>
    <row r="6252" spans="4:4" x14ac:dyDescent="0.2">
      <c r="D6252" s="5"/>
    </row>
    <row r="6253" spans="4:4" x14ac:dyDescent="0.2">
      <c r="D6253" s="5"/>
    </row>
    <row r="6254" spans="4:4" x14ac:dyDescent="0.2">
      <c r="D6254" s="5"/>
    </row>
    <row r="6255" spans="4:4" x14ac:dyDescent="0.2">
      <c r="D6255" s="5"/>
    </row>
    <row r="6256" spans="4:4" x14ac:dyDescent="0.2">
      <c r="D6256" s="5"/>
    </row>
    <row r="6257" spans="4:4" x14ac:dyDescent="0.2">
      <c r="D6257" s="5"/>
    </row>
    <row r="6258" spans="4:4" x14ac:dyDescent="0.2">
      <c r="D6258" s="5"/>
    </row>
    <row r="6259" spans="4:4" x14ac:dyDescent="0.2">
      <c r="D6259" s="5"/>
    </row>
    <row r="6260" spans="4:4" x14ac:dyDescent="0.2">
      <c r="D6260" s="5"/>
    </row>
    <row r="6261" spans="4:4" x14ac:dyDescent="0.2">
      <c r="D6261" s="5"/>
    </row>
    <row r="6262" spans="4:4" x14ac:dyDescent="0.2">
      <c r="D6262" s="5"/>
    </row>
    <row r="6263" spans="4:4" x14ac:dyDescent="0.2">
      <c r="D6263" s="5"/>
    </row>
    <row r="6264" spans="4:4" x14ac:dyDescent="0.2">
      <c r="D6264" s="5"/>
    </row>
    <row r="6265" spans="4:4" x14ac:dyDescent="0.2">
      <c r="D6265" s="5"/>
    </row>
    <row r="6266" spans="4:4" x14ac:dyDescent="0.2">
      <c r="D6266" s="5"/>
    </row>
    <row r="6267" spans="4:4" x14ac:dyDescent="0.2">
      <c r="D6267" s="5"/>
    </row>
    <row r="6268" spans="4:4" x14ac:dyDescent="0.2">
      <c r="D6268" s="5"/>
    </row>
    <row r="6269" spans="4:4" x14ac:dyDescent="0.2">
      <c r="D6269" s="5"/>
    </row>
    <row r="6270" spans="4:4" x14ac:dyDescent="0.2">
      <c r="D6270" s="5"/>
    </row>
    <row r="6271" spans="4:4" x14ac:dyDescent="0.2">
      <c r="D6271" s="5"/>
    </row>
    <row r="6272" spans="4:4" x14ac:dyDescent="0.2">
      <c r="D6272" s="5"/>
    </row>
    <row r="6273" spans="4:4" x14ac:dyDescent="0.2">
      <c r="D6273" s="5"/>
    </row>
    <row r="6274" spans="4:4" x14ac:dyDescent="0.2">
      <c r="D6274" s="5"/>
    </row>
    <row r="6275" spans="4:4" x14ac:dyDescent="0.2">
      <c r="D6275" s="5"/>
    </row>
    <row r="6276" spans="4:4" x14ac:dyDescent="0.2">
      <c r="D6276" s="5"/>
    </row>
    <row r="6277" spans="4:4" x14ac:dyDescent="0.2">
      <c r="D6277" s="5"/>
    </row>
    <row r="6278" spans="4:4" x14ac:dyDescent="0.2">
      <c r="D6278" s="5"/>
    </row>
    <row r="6279" spans="4:4" x14ac:dyDescent="0.2">
      <c r="D6279" s="5"/>
    </row>
    <row r="6280" spans="4:4" x14ac:dyDescent="0.2">
      <c r="D6280" s="5"/>
    </row>
    <row r="6281" spans="4:4" x14ac:dyDescent="0.2">
      <c r="D6281" s="5"/>
    </row>
    <row r="6282" spans="4:4" x14ac:dyDescent="0.2">
      <c r="D6282" s="5"/>
    </row>
    <row r="6283" spans="4:4" x14ac:dyDescent="0.2">
      <c r="D6283" s="5"/>
    </row>
    <row r="6284" spans="4:4" x14ac:dyDescent="0.2">
      <c r="D6284" s="5"/>
    </row>
    <row r="6285" spans="4:4" x14ac:dyDescent="0.2">
      <c r="D6285" s="5"/>
    </row>
    <row r="6286" spans="4:4" x14ac:dyDescent="0.2">
      <c r="D6286" s="5"/>
    </row>
    <row r="6287" spans="4:4" x14ac:dyDescent="0.2">
      <c r="D6287" s="5"/>
    </row>
    <row r="6288" spans="4:4" x14ac:dyDescent="0.2">
      <c r="D6288" s="5"/>
    </row>
    <row r="6289" spans="4:4" x14ac:dyDescent="0.2">
      <c r="D6289" s="5"/>
    </row>
    <row r="6290" spans="4:4" x14ac:dyDescent="0.2">
      <c r="D6290" s="5"/>
    </row>
    <row r="6291" spans="4:4" x14ac:dyDescent="0.2">
      <c r="D6291" s="5"/>
    </row>
    <row r="6292" spans="4:4" x14ac:dyDescent="0.2">
      <c r="D6292" s="5"/>
    </row>
    <row r="6293" spans="4:4" x14ac:dyDescent="0.2">
      <c r="D6293" s="5"/>
    </row>
    <row r="6294" spans="4:4" x14ac:dyDescent="0.2">
      <c r="D6294" s="5"/>
    </row>
    <row r="6295" spans="4:4" x14ac:dyDescent="0.2">
      <c r="D6295" s="5"/>
    </row>
    <row r="6296" spans="4:4" x14ac:dyDescent="0.2">
      <c r="D6296" s="5"/>
    </row>
    <row r="6297" spans="4:4" x14ac:dyDescent="0.2">
      <c r="D6297" s="5"/>
    </row>
    <row r="6298" spans="4:4" x14ac:dyDescent="0.2">
      <c r="D6298" s="5"/>
    </row>
    <row r="6299" spans="4:4" x14ac:dyDescent="0.2">
      <c r="D6299" s="5"/>
    </row>
    <row r="6300" spans="4:4" x14ac:dyDescent="0.2">
      <c r="D6300" s="5"/>
    </row>
    <row r="6301" spans="4:4" x14ac:dyDescent="0.2">
      <c r="D6301" s="5"/>
    </row>
    <row r="6302" spans="4:4" x14ac:dyDescent="0.2">
      <c r="D6302" s="5"/>
    </row>
    <row r="6303" spans="4:4" x14ac:dyDescent="0.2">
      <c r="D6303" s="5"/>
    </row>
    <row r="6304" spans="4:4" x14ac:dyDescent="0.2">
      <c r="D6304" s="5"/>
    </row>
    <row r="6305" spans="4:4" x14ac:dyDescent="0.2">
      <c r="D6305" s="5"/>
    </row>
    <row r="6306" spans="4:4" x14ac:dyDescent="0.2">
      <c r="D6306" s="5"/>
    </row>
    <row r="6307" spans="4:4" x14ac:dyDescent="0.2">
      <c r="D6307" s="5"/>
    </row>
    <row r="6308" spans="4:4" x14ac:dyDescent="0.2">
      <c r="D6308" s="5"/>
    </row>
    <row r="6309" spans="4:4" x14ac:dyDescent="0.2">
      <c r="D6309" s="5"/>
    </row>
    <row r="6310" spans="4:4" x14ac:dyDescent="0.2">
      <c r="D6310" s="5"/>
    </row>
    <row r="6311" spans="4:4" x14ac:dyDescent="0.2">
      <c r="D6311" s="5"/>
    </row>
    <row r="6312" spans="4:4" x14ac:dyDescent="0.2">
      <c r="D6312" s="5"/>
    </row>
    <row r="6313" spans="4:4" x14ac:dyDescent="0.2">
      <c r="D6313" s="5"/>
    </row>
    <row r="6314" spans="4:4" x14ac:dyDescent="0.2">
      <c r="D6314" s="5"/>
    </row>
    <row r="6315" spans="4:4" x14ac:dyDescent="0.2">
      <c r="D6315" s="5"/>
    </row>
    <row r="6316" spans="4:4" x14ac:dyDescent="0.2">
      <c r="D6316" s="5"/>
    </row>
    <row r="6317" spans="4:4" x14ac:dyDescent="0.2">
      <c r="D6317" s="5"/>
    </row>
    <row r="6318" spans="4:4" x14ac:dyDescent="0.2">
      <c r="D6318" s="5"/>
    </row>
    <row r="6319" spans="4:4" x14ac:dyDescent="0.2">
      <c r="D6319" s="5"/>
    </row>
    <row r="6320" spans="4:4" x14ac:dyDescent="0.2">
      <c r="D6320" s="5"/>
    </row>
    <row r="6321" spans="4:4" x14ac:dyDescent="0.2">
      <c r="D6321" s="5"/>
    </row>
    <row r="6322" spans="4:4" x14ac:dyDescent="0.2">
      <c r="D6322" s="5"/>
    </row>
    <row r="6323" spans="4:4" x14ac:dyDescent="0.2">
      <c r="D6323" s="5"/>
    </row>
    <row r="6324" spans="4:4" x14ac:dyDescent="0.2">
      <c r="D6324" s="5"/>
    </row>
    <row r="6325" spans="4:4" x14ac:dyDescent="0.2">
      <c r="D6325" s="5"/>
    </row>
    <row r="6326" spans="4:4" x14ac:dyDescent="0.2">
      <c r="D6326" s="5"/>
    </row>
    <row r="6327" spans="4:4" x14ac:dyDescent="0.2">
      <c r="D6327" s="5"/>
    </row>
    <row r="6328" spans="4:4" x14ac:dyDescent="0.2">
      <c r="D6328" s="5"/>
    </row>
    <row r="6329" spans="4:4" x14ac:dyDescent="0.2">
      <c r="D6329" s="5"/>
    </row>
    <row r="6330" spans="4:4" x14ac:dyDescent="0.2">
      <c r="D6330" s="5"/>
    </row>
    <row r="6331" spans="4:4" x14ac:dyDescent="0.2">
      <c r="D6331" s="5"/>
    </row>
    <row r="6332" spans="4:4" x14ac:dyDescent="0.2">
      <c r="D6332" s="5"/>
    </row>
    <row r="6333" spans="4:4" x14ac:dyDescent="0.2">
      <c r="D6333" s="5"/>
    </row>
    <row r="6334" spans="4:4" x14ac:dyDescent="0.2">
      <c r="D6334" s="5"/>
    </row>
    <row r="6335" spans="4:4" x14ac:dyDescent="0.2">
      <c r="D6335" s="5"/>
    </row>
    <row r="6336" spans="4:4" x14ac:dyDescent="0.2">
      <c r="D6336" s="5"/>
    </row>
    <row r="6337" spans="4:4" x14ac:dyDescent="0.2">
      <c r="D6337" s="5"/>
    </row>
    <row r="6338" spans="4:4" x14ac:dyDescent="0.2">
      <c r="D6338" s="5"/>
    </row>
    <row r="6339" spans="4:4" x14ac:dyDescent="0.2">
      <c r="D6339" s="5"/>
    </row>
    <row r="6340" spans="4:4" x14ac:dyDescent="0.2">
      <c r="D6340" s="5"/>
    </row>
    <row r="6341" spans="4:4" x14ac:dyDescent="0.2">
      <c r="D6341" s="5"/>
    </row>
    <row r="6342" spans="4:4" x14ac:dyDescent="0.2">
      <c r="D6342" s="5"/>
    </row>
    <row r="6343" spans="4:4" x14ac:dyDescent="0.2">
      <c r="D6343" s="5"/>
    </row>
    <row r="6344" spans="4:4" x14ac:dyDescent="0.2">
      <c r="D6344" s="5"/>
    </row>
    <row r="6345" spans="4:4" x14ac:dyDescent="0.2">
      <c r="D6345" s="5"/>
    </row>
    <row r="6346" spans="4:4" x14ac:dyDescent="0.2">
      <c r="D6346" s="5"/>
    </row>
    <row r="6347" spans="4:4" x14ac:dyDescent="0.2">
      <c r="D6347" s="5"/>
    </row>
    <row r="6348" spans="4:4" x14ac:dyDescent="0.2">
      <c r="D6348" s="5"/>
    </row>
    <row r="6349" spans="4:4" x14ac:dyDescent="0.2">
      <c r="D6349" s="5"/>
    </row>
    <row r="6350" spans="4:4" x14ac:dyDescent="0.2">
      <c r="D6350" s="5"/>
    </row>
    <row r="6351" spans="4:4" x14ac:dyDescent="0.2">
      <c r="D6351" s="5"/>
    </row>
    <row r="6352" spans="4:4" x14ac:dyDescent="0.2">
      <c r="D6352" s="5"/>
    </row>
    <row r="6353" spans="4:4" x14ac:dyDescent="0.2">
      <c r="D6353" s="5"/>
    </row>
    <row r="6354" spans="4:4" x14ac:dyDescent="0.2">
      <c r="D6354" s="5"/>
    </row>
    <row r="6355" spans="4:4" x14ac:dyDescent="0.2">
      <c r="D6355" s="5"/>
    </row>
    <row r="6356" spans="4:4" x14ac:dyDescent="0.2">
      <c r="D6356" s="5"/>
    </row>
    <row r="6357" spans="4:4" x14ac:dyDescent="0.2">
      <c r="D6357" s="5"/>
    </row>
    <row r="6358" spans="4:4" x14ac:dyDescent="0.2">
      <c r="D6358" s="5"/>
    </row>
    <row r="6359" spans="4:4" x14ac:dyDescent="0.2">
      <c r="D6359" s="5"/>
    </row>
    <row r="6360" spans="4:4" x14ac:dyDescent="0.2">
      <c r="D6360" s="5"/>
    </row>
    <row r="6361" spans="4:4" x14ac:dyDescent="0.2">
      <c r="D6361" s="5"/>
    </row>
    <row r="6362" spans="4:4" x14ac:dyDescent="0.2">
      <c r="D6362" s="5"/>
    </row>
    <row r="6363" spans="4:4" x14ac:dyDescent="0.2">
      <c r="D6363" s="5"/>
    </row>
    <row r="6364" spans="4:4" x14ac:dyDescent="0.2">
      <c r="D6364" s="5"/>
    </row>
    <row r="6365" spans="4:4" x14ac:dyDescent="0.2">
      <c r="D6365" s="5"/>
    </row>
    <row r="6366" spans="4:4" x14ac:dyDescent="0.2">
      <c r="D6366" s="5"/>
    </row>
    <row r="6367" spans="4:4" x14ac:dyDescent="0.2">
      <c r="D6367" s="5"/>
    </row>
    <row r="6368" spans="4:4" x14ac:dyDescent="0.2">
      <c r="D6368" s="5"/>
    </row>
    <row r="6369" spans="4:4" x14ac:dyDescent="0.2">
      <c r="D6369" s="5"/>
    </row>
    <row r="6370" spans="4:4" x14ac:dyDescent="0.2">
      <c r="D6370" s="5"/>
    </row>
    <row r="6371" spans="4:4" x14ac:dyDescent="0.2">
      <c r="D6371" s="5"/>
    </row>
    <row r="6372" spans="4:4" x14ac:dyDescent="0.2">
      <c r="D6372" s="5"/>
    </row>
    <row r="6373" spans="4:4" x14ac:dyDescent="0.2">
      <c r="D6373" s="5"/>
    </row>
    <row r="6374" spans="4:4" x14ac:dyDescent="0.2">
      <c r="D6374" s="5"/>
    </row>
    <row r="6375" spans="4:4" x14ac:dyDescent="0.2">
      <c r="D6375" s="5"/>
    </row>
    <row r="6376" spans="4:4" x14ac:dyDescent="0.2">
      <c r="D6376" s="5"/>
    </row>
    <row r="6377" spans="4:4" x14ac:dyDescent="0.2">
      <c r="D6377" s="5"/>
    </row>
    <row r="6378" spans="4:4" x14ac:dyDescent="0.2">
      <c r="D6378" s="5"/>
    </row>
    <row r="6379" spans="4:4" x14ac:dyDescent="0.2">
      <c r="D6379" s="5"/>
    </row>
    <row r="6380" spans="4:4" x14ac:dyDescent="0.2">
      <c r="D6380" s="5"/>
    </row>
    <row r="6381" spans="4:4" x14ac:dyDescent="0.2">
      <c r="D6381" s="5"/>
    </row>
    <row r="6382" spans="4:4" x14ac:dyDescent="0.2">
      <c r="D6382" s="5"/>
    </row>
    <row r="6383" spans="4:4" x14ac:dyDescent="0.2">
      <c r="D6383" s="5"/>
    </row>
    <row r="6384" spans="4:4" x14ac:dyDescent="0.2">
      <c r="D6384" s="5"/>
    </row>
    <row r="6385" spans="4:4" x14ac:dyDescent="0.2">
      <c r="D6385" s="5"/>
    </row>
    <row r="6386" spans="4:4" x14ac:dyDescent="0.2">
      <c r="D6386" s="5"/>
    </row>
    <row r="6387" spans="4:4" x14ac:dyDescent="0.2">
      <c r="D6387" s="5"/>
    </row>
    <row r="6388" spans="4:4" x14ac:dyDescent="0.2">
      <c r="D6388" s="5"/>
    </row>
    <row r="6389" spans="4:4" x14ac:dyDescent="0.2">
      <c r="D6389" s="5"/>
    </row>
    <row r="6390" spans="4:4" x14ac:dyDescent="0.2">
      <c r="D6390" s="5"/>
    </row>
    <row r="6391" spans="4:4" x14ac:dyDescent="0.2">
      <c r="D6391" s="5"/>
    </row>
    <row r="6392" spans="4:4" x14ac:dyDescent="0.2">
      <c r="D6392" s="5"/>
    </row>
    <row r="6393" spans="4:4" x14ac:dyDescent="0.2">
      <c r="D6393" s="5"/>
    </row>
    <row r="6394" spans="4:4" x14ac:dyDescent="0.2">
      <c r="D6394" s="5"/>
    </row>
    <row r="6395" spans="4:4" x14ac:dyDescent="0.2">
      <c r="D6395" s="5"/>
    </row>
    <row r="6396" spans="4:4" x14ac:dyDescent="0.2">
      <c r="D6396" s="5"/>
    </row>
    <row r="6397" spans="4:4" x14ac:dyDescent="0.2">
      <c r="D6397" s="5"/>
    </row>
    <row r="6398" spans="4:4" x14ac:dyDescent="0.2">
      <c r="D6398" s="5"/>
    </row>
    <row r="6399" spans="4:4" x14ac:dyDescent="0.2">
      <c r="D6399" s="5"/>
    </row>
    <row r="6400" spans="4:4" x14ac:dyDescent="0.2">
      <c r="D6400" s="5"/>
    </row>
    <row r="6401" spans="4:4" x14ac:dyDescent="0.2">
      <c r="D6401" s="5"/>
    </row>
    <row r="6402" spans="4:4" x14ac:dyDescent="0.2">
      <c r="D6402" s="5"/>
    </row>
    <row r="6403" spans="4:4" x14ac:dyDescent="0.2">
      <c r="D6403" s="5"/>
    </row>
    <row r="6404" spans="4:4" x14ac:dyDescent="0.2">
      <c r="D6404" s="5"/>
    </row>
    <row r="6405" spans="4:4" x14ac:dyDescent="0.2">
      <c r="D6405" s="5"/>
    </row>
    <row r="6406" spans="4:4" x14ac:dyDescent="0.2">
      <c r="D6406" s="5"/>
    </row>
    <row r="6407" spans="4:4" x14ac:dyDescent="0.2">
      <c r="D6407" s="5"/>
    </row>
    <row r="6408" spans="4:4" x14ac:dyDescent="0.2">
      <c r="D6408" s="5"/>
    </row>
    <row r="6409" spans="4:4" x14ac:dyDescent="0.2">
      <c r="D6409" s="5"/>
    </row>
    <row r="6410" spans="4:4" x14ac:dyDescent="0.2">
      <c r="D6410" s="5"/>
    </row>
    <row r="6411" spans="4:4" x14ac:dyDescent="0.2">
      <c r="D6411" s="5"/>
    </row>
    <row r="6412" spans="4:4" x14ac:dyDescent="0.2">
      <c r="D6412" s="5"/>
    </row>
    <row r="6413" spans="4:4" x14ac:dyDescent="0.2">
      <c r="D6413" s="5"/>
    </row>
    <row r="6414" spans="4:4" x14ac:dyDescent="0.2">
      <c r="D6414" s="5"/>
    </row>
    <row r="6415" spans="4:4" x14ac:dyDescent="0.2">
      <c r="D6415" s="5"/>
    </row>
    <row r="6416" spans="4:4" x14ac:dyDescent="0.2">
      <c r="D6416" s="5"/>
    </row>
    <row r="6417" spans="4:4" x14ac:dyDescent="0.2">
      <c r="D6417" s="5"/>
    </row>
    <row r="6418" spans="4:4" x14ac:dyDescent="0.2">
      <c r="D6418" s="5"/>
    </row>
    <row r="6419" spans="4:4" x14ac:dyDescent="0.2">
      <c r="D6419" s="5"/>
    </row>
    <row r="6420" spans="4:4" x14ac:dyDescent="0.2">
      <c r="D6420" s="5"/>
    </row>
    <row r="6421" spans="4:4" x14ac:dyDescent="0.2">
      <c r="D6421" s="5"/>
    </row>
    <row r="6422" spans="4:4" x14ac:dyDescent="0.2">
      <c r="D6422" s="5"/>
    </row>
    <row r="6423" spans="4:4" x14ac:dyDescent="0.2">
      <c r="D6423" s="5"/>
    </row>
    <row r="6424" spans="4:4" x14ac:dyDescent="0.2">
      <c r="D6424" s="5"/>
    </row>
    <row r="6425" spans="4:4" x14ac:dyDescent="0.2">
      <c r="D6425" s="5"/>
    </row>
    <row r="6426" spans="4:4" x14ac:dyDescent="0.2">
      <c r="D6426" s="5"/>
    </row>
    <row r="6427" spans="4:4" x14ac:dyDescent="0.2">
      <c r="D6427" s="5"/>
    </row>
    <row r="6428" spans="4:4" x14ac:dyDescent="0.2">
      <c r="D6428" s="5"/>
    </row>
    <row r="6429" spans="4:4" x14ac:dyDescent="0.2">
      <c r="D6429" s="5"/>
    </row>
    <row r="6430" spans="4:4" x14ac:dyDescent="0.2">
      <c r="D6430" s="5"/>
    </row>
    <row r="6431" spans="4:4" x14ac:dyDescent="0.2">
      <c r="D6431" s="5"/>
    </row>
    <row r="6432" spans="4:4" x14ac:dyDescent="0.2">
      <c r="D6432" s="5"/>
    </row>
    <row r="6433" spans="4:4" x14ac:dyDescent="0.2">
      <c r="D6433" s="5"/>
    </row>
    <row r="6434" spans="4:4" x14ac:dyDescent="0.2">
      <c r="D6434" s="5"/>
    </row>
    <row r="6435" spans="4:4" x14ac:dyDescent="0.2">
      <c r="D6435" s="5"/>
    </row>
    <row r="6436" spans="4:4" x14ac:dyDescent="0.2">
      <c r="D6436" s="5"/>
    </row>
    <row r="6437" spans="4:4" x14ac:dyDescent="0.2">
      <c r="D6437" s="5"/>
    </row>
    <row r="6438" spans="4:4" x14ac:dyDescent="0.2">
      <c r="D6438" s="5"/>
    </row>
    <row r="6439" spans="4:4" x14ac:dyDescent="0.2">
      <c r="D6439" s="5"/>
    </row>
    <row r="6440" spans="4:4" x14ac:dyDescent="0.2">
      <c r="D6440" s="5"/>
    </row>
    <row r="6441" spans="4:4" x14ac:dyDescent="0.2">
      <c r="D6441" s="5"/>
    </row>
    <row r="6442" spans="4:4" x14ac:dyDescent="0.2">
      <c r="D6442" s="5"/>
    </row>
    <row r="6443" spans="4:4" x14ac:dyDescent="0.2">
      <c r="D6443" s="5"/>
    </row>
    <row r="6444" spans="4:4" x14ac:dyDescent="0.2">
      <c r="D6444" s="5"/>
    </row>
    <row r="6445" spans="4:4" x14ac:dyDescent="0.2">
      <c r="D6445" s="5"/>
    </row>
    <row r="6446" spans="4:4" x14ac:dyDescent="0.2">
      <c r="D6446" s="5"/>
    </row>
    <row r="6447" spans="4:4" x14ac:dyDescent="0.2">
      <c r="D6447" s="5"/>
    </row>
    <row r="6448" spans="4:4" x14ac:dyDescent="0.2">
      <c r="D6448" s="5"/>
    </row>
    <row r="6449" spans="4:4" x14ac:dyDescent="0.2">
      <c r="D6449" s="5"/>
    </row>
    <row r="6450" spans="4:4" x14ac:dyDescent="0.2">
      <c r="D6450" s="5"/>
    </row>
    <row r="6451" spans="4:4" x14ac:dyDescent="0.2">
      <c r="D6451" s="5"/>
    </row>
    <row r="6452" spans="4:4" x14ac:dyDescent="0.2">
      <c r="D6452" s="5"/>
    </row>
    <row r="6453" spans="4:4" x14ac:dyDescent="0.2">
      <c r="D6453" s="5"/>
    </row>
    <row r="6454" spans="4:4" x14ac:dyDescent="0.2">
      <c r="D6454" s="5"/>
    </row>
    <row r="6455" spans="4:4" x14ac:dyDescent="0.2">
      <c r="D6455" s="5"/>
    </row>
    <row r="6456" spans="4:4" x14ac:dyDescent="0.2">
      <c r="D6456" s="5"/>
    </row>
    <row r="6457" spans="4:4" x14ac:dyDescent="0.2">
      <c r="D6457" s="5"/>
    </row>
    <row r="6458" spans="4:4" x14ac:dyDescent="0.2">
      <c r="D6458" s="5"/>
    </row>
    <row r="6459" spans="4:4" x14ac:dyDescent="0.2">
      <c r="D6459" s="5"/>
    </row>
    <row r="6460" spans="4:4" x14ac:dyDescent="0.2">
      <c r="D6460" s="5"/>
    </row>
    <row r="6461" spans="4:4" x14ac:dyDescent="0.2">
      <c r="D6461" s="5"/>
    </row>
    <row r="6462" spans="4:4" x14ac:dyDescent="0.2">
      <c r="D6462" s="5"/>
    </row>
    <row r="6463" spans="4:4" x14ac:dyDescent="0.2">
      <c r="D6463" s="5"/>
    </row>
    <row r="6464" spans="4:4" x14ac:dyDescent="0.2">
      <c r="D6464" s="5"/>
    </row>
    <row r="6465" spans="4:4" x14ac:dyDescent="0.2">
      <c r="D6465" s="5"/>
    </row>
    <row r="6466" spans="4:4" x14ac:dyDescent="0.2">
      <c r="D6466" s="5"/>
    </row>
    <row r="6467" spans="4:4" x14ac:dyDescent="0.2">
      <c r="D6467" s="5"/>
    </row>
    <row r="6468" spans="4:4" x14ac:dyDescent="0.2">
      <c r="D6468" s="5"/>
    </row>
    <row r="6469" spans="4:4" x14ac:dyDescent="0.2">
      <c r="D6469" s="5"/>
    </row>
    <row r="6470" spans="4:4" x14ac:dyDescent="0.2">
      <c r="D6470" s="5"/>
    </row>
    <row r="6471" spans="4:4" x14ac:dyDescent="0.2">
      <c r="D6471" s="5"/>
    </row>
    <row r="6472" spans="4:4" x14ac:dyDescent="0.2">
      <c r="D6472" s="5"/>
    </row>
    <row r="6473" spans="4:4" x14ac:dyDescent="0.2">
      <c r="D6473" s="5"/>
    </row>
    <row r="6474" spans="4:4" x14ac:dyDescent="0.2">
      <c r="D6474" s="5"/>
    </row>
    <row r="6475" spans="4:4" x14ac:dyDescent="0.2">
      <c r="D6475" s="5"/>
    </row>
    <row r="6476" spans="4:4" x14ac:dyDescent="0.2">
      <c r="D6476" s="5"/>
    </row>
    <row r="6477" spans="4:4" x14ac:dyDescent="0.2">
      <c r="D6477" s="5"/>
    </row>
    <row r="6478" spans="4:4" x14ac:dyDescent="0.2">
      <c r="D6478" s="5"/>
    </row>
    <row r="6479" spans="4:4" x14ac:dyDescent="0.2">
      <c r="D6479" s="5"/>
    </row>
    <row r="6480" spans="4:4" x14ac:dyDescent="0.2">
      <c r="D6480" s="5"/>
    </row>
    <row r="6481" spans="4:4" x14ac:dyDescent="0.2">
      <c r="D6481" s="5"/>
    </row>
    <row r="6482" spans="4:4" x14ac:dyDescent="0.2">
      <c r="D6482" s="5"/>
    </row>
    <row r="6483" spans="4:4" x14ac:dyDescent="0.2">
      <c r="D6483" s="5"/>
    </row>
    <row r="6484" spans="4:4" x14ac:dyDescent="0.2">
      <c r="D6484" s="5"/>
    </row>
    <row r="6485" spans="4:4" x14ac:dyDescent="0.2">
      <c r="D6485" s="5"/>
    </row>
    <row r="6486" spans="4:4" x14ac:dyDescent="0.2">
      <c r="D6486" s="5"/>
    </row>
    <row r="6487" spans="4:4" x14ac:dyDescent="0.2">
      <c r="D6487" s="5"/>
    </row>
    <row r="6488" spans="4:4" x14ac:dyDescent="0.2">
      <c r="D6488" s="5"/>
    </row>
    <row r="6489" spans="4:4" x14ac:dyDescent="0.2">
      <c r="D6489" s="5"/>
    </row>
    <row r="6490" spans="4:4" x14ac:dyDescent="0.2">
      <c r="D6490" s="5"/>
    </row>
    <row r="6491" spans="4:4" x14ac:dyDescent="0.2">
      <c r="D6491" s="5"/>
    </row>
    <row r="6492" spans="4:4" x14ac:dyDescent="0.2">
      <c r="D6492" s="5"/>
    </row>
    <row r="6493" spans="4:4" x14ac:dyDescent="0.2">
      <c r="D6493" s="5"/>
    </row>
    <row r="6494" spans="4:4" x14ac:dyDescent="0.2">
      <c r="D6494" s="5"/>
    </row>
    <row r="6495" spans="4:4" x14ac:dyDescent="0.2">
      <c r="D6495" s="5"/>
    </row>
    <row r="6496" spans="4:4" x14ac:dyDescent="0.2">
      <c r="D6496" s="5"/>
    </row>
    <row r="6497" spans="4:4" x14ac:dyDescent="0.2">
      <c r="D6497" s="5"/>
    </row>
    <row r="6498" spans="4:4" x14ac:dyDescent="0.2">
      <c r="D6498" s="5"/>
    </row>
    <row r="6499" spans="4:4" x14ac:dyDescent="0.2">
      <c r="D6499" s="5"/>
    </row>
    <row r="6500" spans="4:4" x14ac:dyDescent="0.2">
      <c r="D6500" s="5"/>
    </row>
    <row r="6501" spans="4:4" x14ac:dyDescent="0.2">
      <c r="D6501" s="5"/>
    </row>
    <row r="6502" spans="4:4" x14ac:dyDescent="0.2">
      <c r="D6502" s="5"/>
    </row>
    <row r="6503" spans="4:4" x14ac:dyDescent="0.2">
      <c r="D6503" s="5"/>
    </row>
    <row r="6504" spans="4:4" x14ac:dyDescent="0.2">
      <c r="D6504" s="5"/>
    </row>
    <row r="6505" spans="4:4" x14ac:dyDescent="0.2">
      <c r="D6505" s="5"/>
    </row>
    <row r="6506" spans="4:4" x14ac:dyDescent="0.2">
      <c r="D6506" s="5"/>
    </row>
    <row r="6507" spans="4:4" x14ac:dyDescent="0.2">
      <c r="D6507" s="5"/>
    </row>
    <row r="6508" spans="4:4" x14ac:dyDescent="0.2">
      <c r="D6508" s="5"/>
    </row>
    <row r="6509" spans="4:4" x14ac:dyDescent="0.2">
      <c r="D6509" s="5"/>
    </row>
    <row r="6510" spans="4:4" x14ac:dyDescent="0.2">
      <c r="D6510" s="5"/>
    </row>
    <row r="6511" spans="4:4" x14ac:dyDescent="0.2">
      <c r="D6511" s="5"/>
    </row>
    <row r="6512" spans="4:4" x14ac:dyDescent="0.2">
      <c r="D6512" s="5"/>
    </row>
    <row r="6513" spans="4:4" x14ac:dyDescent="0.2">
      <c r="D6513" s="5"/>
    </row>
    <row r="6514" spans="4:4" x14ac:dyDescent="0.2">
      <c r="D6514" s="5"/>
    </row>
    <row r="6515" spans="4:4" x14ac:dyDescent="0.2">
      <c r="D6515" s="5"/>
    </row>
    <row r="6516" spans="4:4" x14ac:dyDescent="0.2">
      <c r="D6516" s="5"/>
    </row>
    <row r="6517" spans="4:4" x14ac:dyDescent="0.2">
      <c r="D6517" s="5"/>
    </row>
    <row r="6518" spans="4:4" x14ac:dyDescent="0.2">
      <c r="D6518" s="5"/>
    </row>
    <row r="6519" spans="4:4" x14ac:dyDescent="0.2">
      <c r="D6519" s="5"/>
    </row>
    <row r="6520" spans="4:4" x14ac:dyDescent="0.2">
      <c r="D6520" s="5"/>
    </row>
    <row r="6521" spans="4:4" x14ac:dyDescent="0.2">
      <c r="D6521" s="5"/>
    </row>
    <row r="6522" spans="4:4" x14ac:dyDescent="0.2">
      <c r="D6522" s="5"/>
    </row>
    <row r="6523" spans="4:4" x14ac:dyDescent="0.2">
      <c r="D6523" s="5"/>
    </row>
    <row r="6524" spans="4:4" x14ac:dyDescent="0.2">
      <c r="D6524" s="5"/>
    </row>
    <row r="6525" spans="4:4" x14ac:dyDescent="0.2">
      <c r="D6525" s="5"/>
    </row>
    <row r="6526" spans="4:4" x14ac:dyDescent="0.2">
      <c r="D6526" s="5"/>
    </row>
    <row r="6527" spans="4:4" x14ac:dyDescent="0.2">
      <c r="D6527" s="5"/>
    </row>
    <row r="6528" spans="4:4" x14ac:dyDescent="0.2">
      <c r="D6528" s="5"/>
    </row>
    <row r="6529" spans="4:4" x14ac:dyDescent="0.2">
      <c r="D6529" s="5"/>
    </row>
    <row r="6530" spans="4:4" x14ac:dyDescent="0.2">
      <c r="D6530" s="5"/>
    </row>
    <row r="6531" spans="4:4" x14ac:dyDescent="0.2">
      <c r="D6531" s="5"/>
    </row>
    <row r="6532" spans="4:4" x14ac:dyDescent="0.2">
      <c r="D6532" s="5"/>
    </row>
    <row r="6533" spans="4:4" x14ac:dyDescent="0.2">
      <c r="D6533" s="5"/>
    </row>
    <row r="6534" spans="4:4" x14ac:dyDescent="0.2">
      <c r="D6534" s="5"/>
    </row>
    <row r="6535" spans="4:4" x14ac:dyDescent="0.2">
      <c r="D6535" s="5"/>
    </row>
    <row r="6536" spans="4:4" x14ac:dyDescent="0.2">
      <c r="D6536" s="5"/>
    </row>
    <row r="6537" spans="4:4" x14ac:dyDescent="0.2">
      <c r="D6537" s="5"/>
    </row>
    <row r="6538" spans="4:4" x14ac:dyDescent="0.2">
      <c r="D6538" s="5"/>
    </row>
    <row r="6539" spans="4:4" x14ac:dyDescent="0.2">
      <c r="D6539" s="5"/>
    </row>
    <row r="6540" spans="4:4" x14ac:dyDescent="0.2">
      <c r="D6540" s="5"/>
    </row>
    <row r="6541" spans="4:4" x14ac:dyDescent="0.2">
      <c r="D6541" s="5"/>
    </row>
    <row r="6542" spans="4:4" x14ac:dyDescent="0.2">
      <c r="D6542" s="5"/>
    </row>
    <row r="6543" spans="4:4" x14ac:dyDescent="0.2">
      <c r="D6543" s="5"/>
    </row>
    <row r="6544" spans="4:4" x14ac:dyDescent="0.2">
      <c r="D6544" s="5"/>
    </row>
    <row r="6545" spans="4:4" x14ac:dyDescent="0.2">
      <c r="D6545" s="5"/>
    </row>
    <row r="6546" spans="4:4" x14ac:dyDescent="0.2">
      <c r="D6546" s="5"/>
    </row>
    <row r="6547" spans="4:4" x14ac:dyDescent="0.2">
      <c r="D6547" s="5"/>
    </row>
    <row r="6548" spans="4:4" x14ac:dyDescent="0.2">
      <c r="D6548" s="5"/>
    </row>
    <row r="6549" spans="4:4" x14ac:dyDescent="0.2">
      <c r="D6549" s="5"/>
    </row>
    <row r="6550" spans="4:4" x14ac:dyDescent="0.2">
      <c r="D6550" s="5"/>
    </row>
    <row r="6551" spans="4:4" x14ac:dyDescent="0.2">
      <c r="D6551" s="5"/>
    </row>
    <row r="6552" spans="4:4" x14ac:dyDescent="0.2">
      <c r="D6552" s="5"/>
    </row>
    <row r="6553" spans="4:4" x14ac:dyDescent="0.2">
      <c r="D6553" s="5"/>
    </row>
    <row r="6554" spans="4:4" x14ac:dyDescent="0.2">
      <c r="D6554" s="5"/>
    </row>
    <row r="6555" spans="4:4" x14ac:dyDescent="0.2">
      <c r="D6555" s="5"/>
    </row>
    <row r="6556" spans="4:4" x14ac:dyDescent="0.2">
      <c r="D6556" s="5"/>
    </row>
    <row r="6557" spans="4:4" x14ac:dyDescent="0.2">
      <c r="D6557" s="5"/>
    </row>
    <row r="6558" spans="4:4" x14ac:dyDescent="0.2">
      <c r="D6558" s="5"/>
    </row>
    <row r="6559" spans="4:4" x14ac:dyDescent="0.2">
      <c r="D6559" s="5"/>
    </row>
    <row r="6560" spans="4:4" x14ac:dyDescent="0.2">
      <c r="D6560" s="5"/>
    </row>
    <row r="6561" spans="4:4" x14ac:dyDescent="0.2">
      <c r="D6561" s="5"/>
    </row>
    <row r="6562" spans="4:4" x14ac:dyDescent="0.2">
      <c r="D6562" s="5"/>
    </row>
    <row r="6563" spans="4:4" x14ac:dyDescent="0.2">
      <c r="D6563" s="5"/>
    </row>
    <row r="6564" spans="4:4" x14ac:dyDescent="0.2">
      <c r="D6564" s="5"/>
    </row>
    <row r="6565" spans="4:4" x14ac:dyDescent="0.2">
      <c r="D6565" s="5"/>
    </row>
    <row r="6566" spans="4:4" x14ac:dyDescent="0.2">
      <c r="D6566" s="5"/>
    </row>
    <row r="6567" spans="4:4" x14ac:dyDescent="0.2">
      <c r="D6567" s="5"/>
    </row>
    <row r="6568" spans="4:4" x14ac:dyDescent="0.2">
      <c r="D6568" s="5"/>
    </row>
    <row r="6569" spans="4:4" x14ac:dyDescent="0.2">
      <c r="D6569" s="5"/>
    </row>
    <row r="6570" spans="4:4" x14ac:dyDescent="0.2">
      <c r="D6570" s="5"/>
    </row>
    <row r="6571" spans="4:4" x14ac:dyDescent="0.2">
      <c r="D6571" s="5"/>
    </row>
    <row r="6572" spans="4:4" x14ac:dyDescent="0.2">
      <c r="D6572" s="5"/>
    </row>
    <row r="6573" spans="4:4" x14ac:dyDescent="0.2">
      <c r="D6573" s="5"/>
    </row>
    <row r="6574" spans="4:4" x14ac:dyDescent="0.2">
      <c r="D6574" s="5"/>
    </row>
    <row r="6575" spans="4:4" x14ac:dyDescent="0.2">
      <c r="D6575" s="5"/>
    </row>
    <row r="6576" spans="4:4" x14ac:dyDescent="0.2">
      <c r="D6576" s="5"/>
    </row>
    <row r="6577" spans="4:4" x14ac:dyDescent="0.2">
      <c r="D6577" s="5"/>
    </row>
    <row r="6578" spans="4:4" x14ac:dyDescent="0.2">
      <c r="D6578" s="5"/>
    </row>
    <row r="6579" spans="4:4" x14ac:dyDescent="0.2">
      <c r="D6579" s="5"/>
    </row>
    <row r="6580" spans="4:4" x14ac:dyDescent="0.2">
      <c r="D6580" s="5"/>
    </row>
    <row r="6581" spans="4:4" x14ac:dyDescent="0.2">
      <c r="D6581" s="5"/>
    </row>
    <row r="6582" spans="4:4" x14ac:dyDescent="0.2">
      <c r="D6582" s="5"/>
    </row>
    <row r="6583" spans="4:4" x14ac:dyDescent="0.2">
      <c r="D6583" s="5"/>
    </row>
    <row r="6584" spans="4:4" x14ac:dyDescent="0.2">
      <c r="D6584" s="5"/>
    </row>
    <row r="6585" spans="4:4" x14ac:dyDescent="0.2">
      <c r="D6585" s="5"/>
    </row>
    <row r="6586" spans="4:4" x14ac:dyDescent="0.2">
      <c r="D6586" s="5"/>
    </row>
    <row r="6587" spans="4:4" x14ac:dyDescent="0.2">
      <c r="D6587" s="5"/>
    </row>
    <row r="6588" spans="4:4" x14ac:dyDescent="0.2">
      <c r="D6588" s="5"/>
    </row>
    <row r="6589" spans="4:4" x14ac:dyDescent="0.2">
      <c r="D6589" s="5"/>
    </row>
    <row r="6590" spans="4:4" x14ac:dyDescent="0.2">
      <c r="D6590" s="5"/>
    </row>
    <row r="6591" spans="4:4" x14ac:dyDescent="0.2">
      <c r="D6591" s="5"/>
    </row>
    <row r="6592" spans="4:4" x14ac:dyDescent="0.2">
      <c r="D6592" s="5"/>
    </row>
    <row r="6593" spans="4:4" x14ac:dyDescent="0.2">
      <c r="D6593" s="5"/>
    </row>
    <row r="6594" spans="4:4" x14ac:dyDescent="0.2">
      <c r="D6594" s="5"/>
    </row>
    <row r="6595" spans="4:4" x14ac:dyDescent="0.2">
      <c r="D6595" s="5"/>
    </row>
    <row r="6596" spans="4:4" x14ac:dyDescent="0.2">
      <c r="D6596" s="5"/>
    </row>
    <row r="6597" spans="4:4" x14ac:dyDescent="0.2">
      <c r="D6597" s="5"/>
    </row>
    <row r="6598" spans="4:4" x14ac:dyDescent="0.2">
      <c r="D6598" s="5"/>
    </row>
    <row r="6599" spans="4:4" x14ac:dyDescent="0.2">
      <c r="D6599" s="5"/>
    </row>
    <row r="6600" spans="4:4" x14ac:dyDescent="0.2">
      <c r="D6600" s="5"/>
    </row>
    <row r="6601" spans="4:4" x14ac:dyDescent="0.2">
      <c r="D6601" s="5"/>
    </row>
    <row r="6602" spans="4:4" x14ac:dyDescent="0.2">
      <c r="D6602" s="5"/>
    </row>
    <row r="6603" spans="4:4" x14ac:dyDescent="0.2">
      <c r="D6603" s="5"/>
    </row>
    <row r="6604" spans="4:4" x14ac:dyDescent="0.2">
      <c r="D6604" s="5"/>
    </row>
    <row r="6605" spans="4:4" x14ac:dyDescent="0.2">
      <c r="D6605" s="5"/>
    </row>
    <row r="6606" spans="4:4" x14ac:dyDescent="0.2">
      <c r="D6606" s="5"/>
    </row>
    <row r="6607" spans="4:4" x14ac:dyDescent="0.2">
      <c r="D6607" s="5"/>
    </row>
    <row r="6608" spans="4:4" x14ac:dyDescent="0.2">
      <c r="D6608" s="5"/>
    </row>
    <row r="6609" spans="4:4" x14ac:dyDescent="0.2">
      <c r="D6609" s="5"/>
    </row>
    <row r="6610" spans="4:4" x14ac:dyDescent="0.2">
      <c r="D6610" s="5"/>
    </row>
    <row r="6611" spans="4:4" x14ac:dyDescent="0.2">
      <c r="D6611" s="5"/>
    </row>
    <row r="6612" spans="4:4" x14ac:dyDescent="0.2">
      <c r="D6612" s="5"/>
    </row>
    <row r="6613" spans="4:4" x14ac:dyDescent="0.2">
      <c r="D6613" s="5"/>
    </row>
    <row r="6614" spans="4:4" x14ac:dyDescent="0.2">
      <c r="D6614" s="5"/>
    </row>
    <row r="6615" spans="4:4" x14ac:dyDescent="0.2">
      <c r="D6615" s="5"/>
    </row>
    <row r="6616" spans="4:4" x14ac:dyDescent="0.2">
      <c r="D6616" s="5"/>
    </row>
    <row r="6617" spans="4:4" x14ac:dyDescent="0.2">
      <c r="D6617" s="5"/>
    </row>
    <row r="6618" spans="4:4" x14ac:dyDescent="0.2">
      <c r="D6618" s="5"/>
    </row>
    <row r="6619" spans="4:4" x14ac:dyDescent="0.2">
      <c r="D6619" s="5"/>
    </row>
    <row r="6620" spans="4:4" x14ac:dyDescent="0.2">
      <c r="D6620" s="5"/>
    </row>
    <row r="6621" spans="4:4" x14ac:dyDescent="0.2">
      <c r="D6621" s="5"/>
    </row>
    <row r="6622" spans="4:4" x14ac:dyDescent="0.2">
      <c r="D6622" s="5"/>
    </row>
    <row r="6623" spans="4:4" x14ac:dyDescent="0.2">
      <c r="D6623" s="5"/>
    </row>
    <row r="6624" spans="4:4" x14ac:dyDescent="0.2">
      <c r="D6624" s="5"/>
    </row>
    <row r="6625" spans="4:4" x14ac:dyDescent="0.2">
      <c r="D6625" s="5"/>
    </row>
    <row r="6626" spans="4:4" x14ac:dyDescent="0.2">
      <c r="D6626" s="5"/>
    </row>
    <row r="6627" spans="4:4" x14ac:dyDescent="0.2">
      <c r="D6627" s="5"/>
    </row>
    <row r="6628" spans="4:4" x14ac:dyDescent="0.2">
      <c r="D6628" s="5"/>
    </row>
    <row r="6629" spans="4:4" x14ac:dyDescent="0.2">
      <c r="D6629" s="5"/>
    </row>
    <row r="6630" spans="4:4" x14ac:dyDescent="0.2">
      <c r="D6630" s="5"/>
    </row>
    <row r="6631" spans="4:4" x14ac:dyDescent="0.2">
      <c r="D6631" s="5"/>
    </row>
    <row r="6632" spans="4:4" x14ac:dyDescent="0.2">
      <c r="D6632" s="5"/>
    </row>
    <row r="6633" spans="4:4" x14ac:dyDescent="0.2">
      <c r="D6633" s="5"/>
    </row>
    <row r="6634" spans="4:4" x14ac:dyDescent="0.2">
      <c r="D6634" s="5"/>
    </row>
    <row r="6635" spans="4:4" x14ac:dyDescent="0.2">
      <c r="D6635" s="5"/>
    </row>
    <row r="6636" spans="4:4" x14ac:dyDescent="0.2">
      <c r="D6636" s="5"/>
    </row>
    <row r="6637" spans="4:4" x14ac:dyDescent="0.2">
      <c r="D6637" s="5"/>
    </row>
    <row r="6638" spans="4:4" x14ac:dyDescent="0.2">
      <c r="D6638" s="5"/>
    </row>
    <row r="6639" spans="4:4" x14ac:dyDescent="0.2">
      <c r="D6639" s="5"/>
    </row>
    <row r="6640" spans="4:4" x14ac:dyDescent="0.2">
      <c r="D6640" s="5"/>
    </row>
    <row r="6641" spans="4:4" x14ac:dyDescent="0.2">
      <c r="D6641" s="5"/>
    </row>
    <row r="6642" spans="4:4" x14ac:dyDescent="0.2">
      <c r="D6642" s="5"/>
    </row>
    <row r="6643" spans="4:4" x14ac:dyDescent="0.2">
      <c r="D6643" s="5"/>
    </row>
    <row r="6644" spans="4:4" x14ac:dyDescent="0.2">
      <c r="D6644" s="5"/>
    </row>
    <row r="6645" spans="4:4" x14ac:dyDescent="0.2">
      <c r="D6645" s="5"/>
    </row>
    <row r="6646" spans="4:4" x14ac:dyDescent="0.2">
      <c r="D6646" s="5"/>
    </row>
    <row r="6647" spans="4:4" x14ac:dyDescent="0.2">
      <c r="D6647" s="5"/>
    </row>
    <row r="6648" spans="4:4" x14ac:dyDescent="0.2">
      <c r="D6648" s="5"/>
    </row>
    <row r="6649" spans="4:4" x14ac:dyDescent="0.2">
      <c r="D6649" s="5"/>
    </row>
    <row r="6650" spans="4:4" x14ac:dyDescent="0.2">
      <c r="D6650" s="5"/>
    </row>
    <row r="6651" spans="4:4" x14ac:dyDescent="0.2">
      <c r="D6651" s="5"/>
    </row>
    <row r="6652" spans="4:4" x14ac:dyDescent="0.2">
      <c r="D6652" s="5"/>
    </row>
    <row r="6653" spans="4:4" x14ac:dyDescent="0.2">
      <c r="D6653" s="5"/>
    </row>
    <row r="6654" spans="4:4" x14ac:dyDescent="0.2">
      <c r="D6654" s="5"/>
    </row>
    <row r="6655" spans="4:4" x14ac:dyDescent="0.2">
      <c r="D6655" s="5"/>
    </row>
    <row r="6656" spans="4:4" x14ac:dyDescent="0.2">
      <c r="D6656" s="5"/>
    </row>
    <row r="6657" spans="4:4" x14ac:dyDescent="0.2">
      <c r="D6657" s="5"/>
    </row>
    <row r="6658" spans="4:4" x14ac:dyDescent="0.2">
      <c r="D6658" s="5"/>
    </row>
    <row r="6659" spans="4:4" x14ac:dyDescent="0.2">
      <c r="D6659" s="5"/>
    </row>
    <row r="6660" spans="4:4" x14ac:dyDescent="0.2">
      <c r="D6660" s="5"/>
    </row>
    <row r="6661" spans="4:4" x14ac:dyDescent="0.2">
      <c r="D6661" s="5"/>
    </row>
    <row r="6662" spans="4:4" x14ac:dyDescent="0.2">
      <c r="D6662" s="5"/>
    </row>
    <row r="6663" spans="4:4" x14ac:dyDescent="0.2">
      <c r="D6663" s="5"/>
    </row>
    <row r="6664" spans="4:4" x14ac:dyDescent="0.2">
      <c r="D6664" s="5"/>
    </row>
    <row r="6665" spans="4:4" x14ac:dyDescent="0.2">
      <c r="D6665" s="5"/>
    </row>
    <row r="6666" spans="4:4" x14ac:dyDescent="0.2">
      <c r="D6666" s="5"/>
    </row>
    <row r="6667" spans="4:4" x14ac:dyDescent="0.2">
      <c r="D6667" s="5"/>
    </row>
    <row r="6668" spans="4:4" x14ac:dyDescent="0.2">
      <c r="D6668" s="5"/>
    </row>
    <row r="6669" spans="4:4" x14ac:dyDescent="0.2">
      <c r="D6669" s="5"/>
    </row>
    <row r="6670" spans="4:4" x14ac:dyDescent="0.2">
      <c r="D6670" s="5"/>
    </row>
    <row r="6671" spans="4:4" x14ac:dyDescent="0.2">
      <c r="D6671" s="5"/>
    </row>
    <row r="6672" spans="4:4" x14ac:dyDescent="0.2">
      <c r="D6672" s="5"/>
    </row>
    <row r="6673" spans="4:4" x14ac:dyDescent="0.2">
      <c r="D6673" s="5"/>
    </row>
    <row r="6674" spans="4:4" x14ac:dyDescent="0.2">
      <c r="D6674" s="5"/>
    </row>
    <row r="6675" spans="4:4" x14ac:dyDescent="0.2">
      <c r="D6675" s="5"/>
    </row>
    <row r="6676" spans="4:4" x14ac:dyDescent="0.2">
      <c r="D6676" s="5"/>
    </row>
    <row r="6677" spans="4:4" x14ac:dyDescent="0.2">
      <c r="D6677" s="5"/>
    </row>
    <row r="6678" spans="4:4" x14ac:dyDescent="0.2">
      <c r="D6678" s="5"/>
    </row>
    <row r="6679" spans="4:4" x14ac:dyDescent="0.2">
      <c r="D6679" s="5"/>
    </row>
    <row r="6680" spans="4:4" x14ac:dyDescent="0.2">
      <c r="D6680" s="5"/>
    </row>
    <row r="6681" spans="4:4" x14ac:dyDescent="0.2">
      <c r="D6681" s="5"/>
    </row>
    <row r="6682" spans="4:4" x14ac:dyDescent="0.2">
      <c r="D6682" s="5"/>
    </row>
    <row r="6683" spans="4:4" x14ac:dyDescent="0.2">
      <c r="D6683" s="5"/>
    </row>
    <row r="6684" spans="4:4" x14ac:dyDescent="0.2">
      <c r="D6684" s="5"/>
    </row>
    <row r="6685" spans="4:4" x14ac:dyDescent="0.2">
      <c r="D6685" s="5"/>
    </row>
    <row r="6686" spans="4:4" x14ac:dyDescent="0.2">
      <c r="D6686" s="5"/>
    </row>
    <row r="6687" spans="4:4" x14ac:dyDescent="0.2">
      <c r="D6687" s="5"/>
    </row>
    <row r="6688" spans="4:4" x14ac:dyDescent="0.2">
      <c r="D6688" s="5"/>
    </row>
    <row r="6689" spans="4:4" x14ac:dyDescent="0.2">
      <c r="D6689" s="5"/>
    </row>
    <row r="6690" spans="4:4" x14ac:dyDescent="0.2">
      <c r="D6690" s="5"/>
    </row>
    <row r="6691" spans="4:4" x14ac:dyDescent="0.2">
      <c r="D6691" s="5"/>
    </row>
    <row r="6692" spans="4:4" x14ac:dyDescent="0.2">
      <c r="D6692" s="5"/>
    </row>
    <row r="6693" spans="4:4" x14ac:dyDescent="0.2">
      <c r="D6693" s="5"/>
    </row>
    <row r="6694" spans="4:4" x14ac:dyDescent="0.2">
      <c r="D6694" s="5"/>
    </row>
    <row r="6695" spans="4:4" x14ac:dyDescent="0.2">
      <c r="D6695" s="5"/>
    </row>
    <row r="6696" spans="4:4" x14ac:dyDescent="0.2">
      <c r="D6696" s="5"/>
    </row>
    <row r="6697" spans="4:4" x14ac:dyDescent="0.2">
      <c r="D6697" s="5"/>
    </row>
    <row r="6698" spans="4:4" x14ac:dyDescent="0.2">
      <c r="D6698" s="5"/>
    </row>
    <row r="6699" spans="4:4" x14ac:dyDescent="0.2">
      <c r="D6699" s="5"/>
    </row>
    <row r="6700" spans="4:4" x14ac:dyDescent="0.2">
      <c r="D6700" s="5"/>
    </row>
    <row r="6701" spans="4:4" x14ac:dyDescent="0.2">
      <c r="D6701" s="5"/>
    </row>
    <row r="6702" spans="4:4" x14ac:dyDescent="0.2">
      <c r="D6702" s="5"/>
    </row>
    <row r="6703" spans="4:4" x14ac:dyDescent="0.2">
      <c r="D6703" s="5"/>
    </row>
    <row r="6704" spans="4:4" x14ac:dyDescent="0.2">
      <c r="D6704" s="5"/>
    </row>
    <row r="6705" spans="4:4" x14ac:dyDescent="0.2">
      <c r="D6705" s="5"/>
    </row>
    <row r="6706" spans="4:4" x14ac:dyDescent="0.2">
      <c r="D6706" s="5"/>
    </row>
    <row r="6707" spans="4:4" x14ac:dyDescent="0.2">
      <c r="D6707" s="5"/>
    </row>
    <row r="6708" spans="4:4" x14ac:dyDescent="0.2">
      <c r="D6708" s="5"/>
    </row>
    <row r="6709" spans="4:4" x14ac:dyDescent="0.2">
      <c r="D6709" s="5"/>
    </row>
    <row r="6710" spans="4:4" x14ac:dyDescent="0.2">
      <c r="D6710" s="5"/>
    </row>
    <row r="6711" spans="4:4" x14ac:dyDescent="0.2">
      <c r="D6711" s="5"/>
    </row>
    <row r="6712" spans="4:4" x14ac:dyDescent="0.2">
      <c r="D6712" s="5"/>
    </row>
    <row r="6713" spans="4:4" x14ac:dyDescent="0.2">
      <c r="D6713" s="5"/>
    </row>
    <row r="6714" spans="4:4" x14ac:dyDescent="0.2">
      <c r="D6714" s="5"/>
    </row>
    <row r="6715" spans="4:4" x14ac:dyDescent="0.2">
      <c r="D6715" s="5"/>
    </row>
    <row r="6716" spans="4:4" x14ac:dyDescent="0.2">
      <c r="D6716" s="5"/>
    </row>
    <row r="6717" spans="4:4" x14ac:dyDescent="0.2">
      <c r="D6717" s="5"/>
    </row>
    <row r="6718" spans="4:4" x14ac:dyDescent="0.2">
      <c r="D6718" s="5"/>
    </row>
    <row r="6719" spans="4:4" x14ac:dyDescent="0.2">
      <c r="D6719" s="5"/>
    </row>
    <row r="6720" spans="4:4" x14ac:dyDescent="0.2">
      <c r="D6720" s="5"/>
    </row>
    <row r="6721" spans="4:4" x14ac:dyDescent="0.2">
      <c r="D6721" s="5"/>
    </row>
    <row r="6722" spans="4:4" x14ac:dyDescent="0.2">
      <c r="D6722" s="5"/>
    </row>
    <row r="6723" spans="4:4" x14ac:dyDescent="0.2">
      <c r="D6723" s="5"/>
    </row>
    <row r="6724" spans="4:4" x14ac:dyDescent="0.2">
      <c r="D6724" s="5"/>
    </row>
    <row r="6725" spans="4:4" x14ac:dyDescent="0.2">
      <c r="D6725" s="5"/>
    </row>
    <row r="6726" spans="4:4" x14ac:dyDescent="0.2">
      <c r="D6726" s="5"/>
    </row>
    <row r="6727" spans="4:4" x14ac:dyDescent="0.2">
      <c r="D6727" s="5"/>
    </row>
    <row r="6728" spans="4:4" x14ac:dyDescent="0.2">
      <c r="D6728" s="5"/>
    </row>
    <row r="6729" spans="4:4" x14ac:dyDescent="0.2">
      <c r="D6729" s="5"/>
    </row>
    <row r="6730" spans="4:4" x14ac:dyDescent="0.2">
      <c r="D6730" s="5"/>
    </row>
    <row r="6731" spans="4:4" x14ac:dyDescent="0.2">
      <c r="D6731" s="5"/>
    </row>
    <row r="6732" spans="4:4" x14ac:dyDescent="0.2">
      <c r="D6732" s="5"/>
    </row>
    <row r="6733" spans="4:4" x14ac:dyDescent="0.2">
      <c r="D6733" s="5"/>
    </row>
    <row r="6734" spans="4:4" x14ac:dyDescent="0.2">
      <c r="D6734" s="5"/>
    </row>
    <row r="6735" spans="4:4" x14ac:dyDescent="0.2">
      <c r="D6735" s="5"/>
    </row>
    <row r="6736" spans="4:4" x14ac:dyDescent="0.2">
      <c r="D6736" s="5"/>
    </row>
    <row r="6737" spans="4:4" x14ac:dyDescent="0.2">
      <c r="D6737" s="5"/>
    </row>
    <row r="6738" spans="4:4" x14ac:dyDescent="0.2">
      <c r="D6738" s="5"/>
    </row>
    <row r="6739" spans="4:4" x14ac:dyDescent="0.2">
      <c r="D6739" s="5"/>
    </row>
    <row r="6740" spans="4:4" x14ac:dyDescent="0.2">
      <c r="D6740" s="5"/>
    </row>
    <row r="6741" spans="4:4" x14ac:dyDescent="0.2">
      <c r="D6741" s="5"/>
    </row>
    <row r="6742" spans="4:4" x14ac:dyDescent="0.2">
      <c r="D6742" s="5"/>
    </row>
    <row r="6743" spans="4:4" x14ac:dyDescent="0.2">
      <c r="D6743" s="5"/>
    </row>
    <row r="6744" spans="4:4" x14ac:dyDescent="0.2">
      <c r="D6744" s="5"/>
    </row>
    <row r="6745" spans="4:4" x14ac:dyDescent="0.2">
      <c r="D6745" s="5"/>
    </row>
    <row r="6746" spans="4:4" x14ac:dyDescent="0.2">
      <c r="D6746" s="5"/>
    </row>
    <row r="6747" spans="4:4" x14ac:dyDescent="0.2">
      <c r="D6747" s="5"/>
    </row>
    <row r="6748" spans="4:4" x14ac:dyDescent="0.2">
      <c r="D6748" s="5"/>
    </row>
    <row r="6749" spans="4:4" x14ac:dyDescent="0.2">
      <c r="D6749" s="5"/>
    </row>
    <row r="6750" spans="4:4" x14ac:dyDescent="0.2">
      <c r="D6750" s="5"/>
    </row>
    <row r="6751" spans="4:4" x14ac:dyDescent="0.2">
      <c r="D6751" s="5"/>
    </row>
    <row r="6752" spans="4:4" x14ac:dyDescent="0.2">
      <c r="D6752" s="5"/>
    </row>
    <row r="6753" spans="4:4" x14ac:dyDescent="0.2">
      <c r="D6753" s="5"/>
    </row>
    <row r="6754" spans="4:4" x14ac:dyDescent="0.2">
      <c r="D6754" s="5"/>
    </row>
    <row r="6755" spans="4:4" x14ac:dyDescent="0.2">
      <c r="D6755" s="5"/>
    </row>
    <row r="6756" spans="4:4" x14ac:dyDescent="0.2">
      <c r="D6756" s="5"/>
    </row>
    <row r="6757" spans="4:4" x14ac:dyDescent="0.2">
      <c r="D6757" s="5"/>
    </row>
    <row r="6758" spans="4:4" x14ac:dyDescent="0.2">
      <c r="D6758" s="5"/>
    </row>
    <row r="6759" spans="4:4" x14ac:dyDescent="0.2">
      <c r="D6759" s="5"/>
    </row>
    <row r="6760" spans="4:4" x14ac:dyDescent="0.2">
      <c r="D6760" s="5"/>
    </row>
    <row r="6761" spans="4:4" x14ac:dyDescent="0.2">
      <c r="D6761" s="5"/>
    </row>
    <row r="6762" spans="4:4" x14ac:dyDescent="0.2">
      <c r="D6762" s="5"/>
    </row>
    <row r="6763" spans="4:4" x14ac:dyDescent="0.2">
      <c r="D6763" s="5"/>
    </row>
    <row r="6764" spans="4:4" x14ac:dyDescent="0.2">
      <c r="D6764" s="5"/>
    </row>
    <row r="6765" spans="4:4" x14ac:dyDescent="0.2">
      <c r="D6765" s="5"/>
    </row>
    <row r="6766" spans="4:4" x14ac:dyDescent="0.2">
      <c r="D6766" s="5"/>
    </row>
    <row r="6767" spans="4:4" x14ac:dyDescent="0.2">
      <c r="D6767" s="5"/>
    </row>
    <row r="6768" spans="4:4" x14ac:dyDescent="0.2">
      <c r="D6768" s="5"/>
    </row>
    <row r="6769" spans="4:4" x14ac:dyDescent="0.2">
      <c r="D6769" s="5"/>
    </row>
    <row r="6770" spans="4:4" x14ac:dyDescent="0.2">
      <c r="D6770" s="5"/>
    </row>
    <row r="6771" spans="4:4" x14ac:dyDescent="0.2">
      <c r="D6771" s="5"/>
    </row>
    <row r="6772" spans="4:4" x14ac:dyDescent="0.2">
      <c r="D6772" s="5"/>
    </row>
    <row r="6773" spans="4:4" x14ac:dyDescent="0.2">
      <c r="D6773" s="5"/>
    </row>
    <row r="6774" spans="4:4" x14ac:dyDescent="0.2">
      <c r="D6774" s="5"/>
    </row>
    <row r="6775" spans="4:4" x14ac:dyDescent="0.2">
      <c r="D6775" s="5"/>
    </row>
    <row r="6776" spans="4:4" x14ac:dyDescent="0.2">
      <c r="D6776" s="5"/>
    </row>
    <row r="6777" spans="4:4" x14ac:dyDescent="0.2">
      <c r="D6777" s="5"/>
    </row>
    <row r="6778" spans="4:4" x14ac:dyDescent="0.2">
      <c r="D6778" s="5"/>
    </row>
    <row r="6779" spans="4:4" x14ac:dyDescent="0.2">
      <c r="D6779" s="5"/>
    </row>
    <row r="6780" spans="4:4" x14ac:dyDescent="0.2">
      <c r="D6780" s="5"/>
    </row>
    <row r="6781" spans="4:4" x14ac:dyDescent="0.2">
      <c r="D6781" s="5"/>
    </row>
    <row r="6782" spans="4:4" x14ac:dyDescent="0.2">
      <c r="D6782" s="5"/>
    </row>
    <row r="6783" spans="4:4" x14ac:dyDescent="0.2">
      <c r="D6783" s="5"/>
    </row>
    <row r="6784" spans="4:4" x14ac:dyDescent="0.2">
      <c r="D6784" s="5"/>
    </row>
    <row r="6785" spans="4:4" x14ac:dyDescent="0.2">
      <c r="D6785" s="5"/>
    </row>
    <row r="6786" spans="4:4" x14ac:dyDescent="0.2">
      <c r="D6786" s="5"/>
    </row>
    <row r="6787" spans="4:4" x14ac:dyDescent="0.2">
      <c r="D6787" s="5"/>
    </row>
    <row r="6788" spans="4:4" x14ac:dyDescent="0.2">
      <c r="D6788" s="5"/>
    </row>
    <row r="6789" spans="4:4" x14ac:dyDescent="0.2">
      <c r="D6789" s="5"/>
    </row>
    <row r="6790" spans="4:4" x14ac:dyDescent="0.2">
      <c r="D6790" s="5"/>
    </row>
    <row r="6791" spans="4:4" x14ac:dyDescent="0.2">
      <c r="D6791" s="5"/>
    </row>
    <row r="6792" spans="4:4" x14ac:dyDescent="0.2">
      <c r="D6792" s="5"/>
    </row>
    <row r="6793" spans="4:4" x14ac:dyDescent="0.2">
      <c r="D6793" s="5"/>
    </row>
    <row r="6794" spans="4:4" x14ac:dyDescent="0.2">
      <c r="D6794" s="5"/>
    </row>
    <row r="6795" spans="4:4" x14ac:dyDescent="0.2">
      <c r="D6795" s="5"/>
    </row>
    <row r="6796" spans="4:4" x14ac:dyDescent="0.2">
      <c r="D6796" s="5"/>
    </row>
    <row r="6797" spans="4:4" x14ac:dyDescent="0.2">
      <c r="D6797" s="5"/>
    </row>
    <row r="6798" spans="4:4" x14ac:dyDescent="0.2">
      <c r="D6798" s="5"/>
    </row>
    <row r="6799" spans="4:4" x14ac:dyDescent="0.2">
      <c r="D6799" s="5"/>
    </row>
    <row r="6800" spans="4:4" x14ac:dyDescent="0.2">
      <c r="D6800" s="5"/>
    </row>
    <row r="6801" spans="4:4" x14ac:dyDescent="0.2">
      <c r="D6801" s="5"/>
    </row>
    <row r="6802" spans="4:4" x14ac:dyDescent="0.2">
      <c r="D6802" s="5"/>
    </row>
    <row r="6803" spans="4:4" x14ac:dyDescent="0.2">
      <c r="D6803" s="5"/>
    </row>
    <row r="6804" spans="4:4" x14ac:dyDescent="0.2">
      <c r="D6804" s="5"/>
    </row>
    <row r="6805" spans="4:4" x14ac:dyDescent="0.2">
      <c r="D6805" s="5"/>
    </row>
    <row r="6806" spans="4:4" x14ac:dyDescent="0.2">
      <c r="D6806" s="5"/>
    </row>
    <row r="6807" spans="4:4" x14ac:dyDescent="0.2">
      <c r="D6807" s="5"/>
    </row>
    <row r="6808" spans="4:4" x14ac:dyDescent="0.2">
      <c r="D6808" s="5"/>
    </row>
    <row r="6809" spans="4:4" x14ac:dyDescent="0.2">
      <c r="D6809" s="5"/>
    </row>
    <row r="6810" spans="4:4" x14ac:dyDescent="0.2">
      <c r="D6810" s="5"/>
    </row>
    <row r="6811" spans="4:4" x14ac:dyDescent="0.2">
      <c r="D6811" s="5"/>
    </row>
    <row r="6812" spans="4:4" x14ac:dyDescent="0.2">
      <c r="D6812" s="5"/>
    </row>
    <row r="6813" spans="4:4" x14ac:dyDescent="0.2">
      <c r="D6813" s="5"/>
    </row>
    <row r="6814" spans="4:4" x14ac:dyDescent="0.2">
      <c r="D6814" s="5"/>
    </row>
    <row r="6815" spans="4:4" x14ac:dyDescent="0.2">
      <c r="D6815" s="5"/>
    </row>
    <row r="6816" spans="4:4" x14ac:dyDescent="0.2">
      <c r="D6816" s="5"/>
    </row>
    <row r="6817" spans="4:4" x14ac:dyDescent="0.2">
      <c r="D6817" s="5"/>
    </row>
    <row r="6818" spans="4:4" x14ac:dyDescent="0.2">
      <c r="D6818" s="5"/>
    </row>
    <row r="6819" spans="4:4" x14ac:dyDescent="0.2">
      <c r="D6819" s="5"/>
    </row>
    <row r="6820" spans="4:4" x14ac:dyDescent="0.2">
      <c r="D6820" s="5"/>
    </row>
    <row r="6821" spans="4:4" x14ac:dyDescent="0.2">
      <c r="D6821" s="5"/>
    </row>
    <row r="6822" spans="4:4" x14ac:dyDescent="0.2">
      <c r="D6822" s="5"/>
    </row>
    <row r="6823" spans="4:4" x14ac:dyDescent="0.2">
      <c r="D6823" s="5"/>
    </row>
    <row r="6824" spans="4:4" x14ac:dyDescent="0.2">
      <c r="D6824" s="5"/>
    </row>
    <row r="6825" spans="4:4" x14ac:dyDescent="0.2">
      <c r="D6825" s="5"/>
    </row>
    <row r="6826" spans="4:4" x14ac:dyDescent="0.2">
      <c r="D6826" s="5"/>
    </row>
    <row r="6827" spans="4:4" x14ac:dyDescent="0.2">
      <c r="D6827" s="5"/>
    </row>
    <row r="6828" spans="4:4" x14ac:dyDescent="0.2">
      <c r="D6828" s="5"/>
    </row>
    <row r="6829" spans="4:4" x14ac:dyDescent="0.2">
      <c r="D6829" s="5"/>
    </row>
    <row r="6830" spans="4:4" x14ac:dyDescent="0.2">
      <c r="D6830" s="5"/>
    </row>
    <row r="6831" spans="4:4" x14ac:dyDescent="0.2">
      <c r="D6831" s="5"/>
    </row>
    <row r="6832" spans="4:4" x14ac:dyDescent="0.2">
      <c r="D6832" s="5"/>
    </row>
    <row r="6833" spans="4:4" x14ac:dyDescent="0.2">
      <c r="D6833" s="5"/>
    </row>
    <row r="6834" spans="4:4" x14ac:dyDescent="0.2">
      <c r="D6834" s="5"/>
    </row>
    <row r="6835" spans="4:4" x14ac:dyDescent="0.2">
      <c r="D6835" s="5"/>
    </row>
    <row r="6836" spans="4:4" x14ac:dyDescent="0.2">
      <c r="D6836" s="5"/>
    </row>
    <row r="6837" spans="4:4" x14ac:dyDescent="0.2">
      <c r="D6837" s="5"/>
    </row>
    <row r="6838" spans="4:4" x14ac:dyDescent="0.2">
      <c r="D6838" s="5"/>
    </row>
    <row r="6839" spans="4:4" x14ac:dyDescent="0.2">
      <c r="D6839" s="5"/>
    </row>
    <row r="6840" spans="4:4" x14ac:dyDescent="0.2">
      <c r="D6840" s="5"/>
    </row>
    <row r="6841" spans="4:4" x14ac:dyDescent="0.2">
      <c r="D6841" s="5"/>
    </row>
    <row r="6842" spans="4:4" x14ac:dyDescent="0.2">
      <c r="D6842" s="5"/>
    </row>
    <row r="6843" spans="4:4" x14ac:dyDescent="0.2">
      <c r="D6843" s="5"/>
    </row>
    <row r="6844" spans="4:4" x14ac:dyDescent="0.2">
      <c r="D6844" s="5"/>
    </row>
    <row r="6845" spans="4:4" x14ac:dyDescent="0.2">
      <c r="D6845" s="5"/>
    </row>
    <row r="6846" spans="4:4" x14ac:dyDescent="0.2">
      <c r="D6846" s="5"/>
    </row>
    <row r="6847" spans="4:4" x14ac:dyDescent="0.2">
      <c r="D6847" s="5"/>
    </row>
    <row r="6848" spans="4:4" x14ac:dyDescent="0.2">
      <c r="D6848" s="5"/>
    </row>
    <row r="6849" spans="4:4" x14ac:dyDescent="0.2">
      <c r="D6849" s="5"/>
    </row>
    <row r="6850" spans="4:4" x14ac:dyDescent="0.2">
      <c r="D6850" s="5"/>
    </row>
    <row r="6851" spans="4:4" x14ac:dyDescent="0.2">
      <c r="D6851" s="5"/>
    </row>
    <row r="6852" spans="4:4" x14ac:dyDescent="0.2">
      <c r="D6852" s="5"/>
    </row>
    <row r="6853" spans="4:4" x14ac:dyDescent="0.2">
      <c r="D6853" s="5"/>
    </row>
    <row r="6854" spans="4:4" x14ac:dyDescent="0.2">
      <c r="D6854" s="5"/>
    </row>
    <row r="6855" spans="4:4" x14ac:dyDescent="0.2">
      <c r="D6855" s="5"/>
    </row>
    <row r="6856" spans="4:4" x14ac:dyDescent="0.2">
      <c r="D6856" s="5"/>
    </row>
    <row r="6857" spans="4:4" x14ac:dyDescent="0.2">
      <c r="D6857" s="5"/>
    </row>
    <row r="6858" spans="4:4" x14ac:dyDescent="0.2">
      <c r="D6858" s="5"/>
    </row>
    <row r="6859" spans="4:4" x14ac:dyDescent="0.2">
      <c r="D6859" s="5"/>
    </row>
    <row r="6860" spans="4:4" x14ac:dyDescent="0.2">
      <c r="D6860" s="5"/>
    </row>
    <row r="6861" spans="4:4" x14ac:dyDescent="0.2">
      <c r="D6861" s="5"/>
    </row>
    <row r="6862" spans="4:4" x14ac:dyDescent="0.2">
      <c r="D6862" s="5"/>
    </row>
    <row r="6863" spans="4:4" x14ac:dyDescent="0.2">
      <c r="D6863" s="5"/>
    </row>
    <row r="6864" spans="4:4" x14ac:dyDescent="0.2">
      <c r="D6864" s="5"/>
    </row>
    <row r="6865" spans="4:4" x14ac:dyDescent="0.2">
      <c r="D6865" s="5"/>
    </row>
    <row r="6866" spans="4:4" x14ac:dyDescent="0.2">
      <c r="D6866" s="5"/>
    </row>
    <row r="6867" spans="4:4" x14ac:dyDescent="0.2">
      <c r="D6867" s="5"/>
    </row>
    <row r="6868" spans="4:4" x14ac:dyDescent="0.2">
      <c r="D6868" s="5"/>
    </row>
    <row r="6869" spans="4:4" x14ac:dyDescent="0.2">
      <c r="D6869" s="5"/>
    </row>
    <row r="6870" spans="4:4" x14ac:dyDescent="0.2">
      <c r="D6870" s="5"/>
    </row>
    <row r="6871" spans="4:4" x14ac:dyDescent="0.2">
      <c r="D6871" s="5"/>
    </row>
    <row r="6872" spans="4:4" x14ac:dyDescent="0.2">
      <c r="D6872" s="5"/>
    </row>
    <row r="6873" spans="4:4" x14ac:dyDescent="0.2">
      <c r="D6873" s="5"/>
    </row>
    <row r="6874" spans="4:4" x14ac:dyDescent="0.2">
      <c r="D6874" s="5"/>
    </row>
    <row r="6875" spans="4:4" x14ac:dyDescent="0.2">
      <c r="D6875" s="5"/>
    </row>
    <row r="6876" spans="4:4" x14ac:dyDescent="0.2">
      <c r="D6876" s="5"/>
    </row>
    <row r="6877" spans="4:4" x14ac:dyDescent="0.2">
      <c r="D6877" s="5"/>
    </row>
    <row r="6878" spans="4:4" x14ac:dyDescent="0.2">
      <c r="D6878" s="5"/>
    </row>
    <row r="6879" spans="4:4" x14ac:dyDescent="0.2">
      <c r="D6879" s="5"/>
    </row>
    <row r="6880" spans="4:4" x14ac:dyDescent="0.2">
      <c r="D6880" s="5"/>
    </row>
    <row r="6881" spans="4:4" x14ac:dyDescent="0.2">
      <c r="D6881" s="5"/>
    </row>
    <row r="6882" spans="4:4" x14ac:dyDescent="0.2">
      <c r="D6882" s="5"/>
    </row>
    <row r="6883" spans="4:4" x14ac:dyDescent="0.2">
      <c r="D6883" s="5"/>
    </row>
    <row r="6884" spans="4:4" x14ac:dyDescent="0.2">
      <c r="D6884" s="5"/>
    </row>
    <row r="6885" spans="4:4" x14ac:dyDescent="0.2">
      <c r="D6885" s="5"/>
    </row>
    <row r="6886" spans="4:4" x14ac:dyDescent="0.2">
      <c r="D6886" s="5"/>
    </row>
    <row r="6887" spans="4:4" x14ac:dyDescent="0.2">
      <c r="D6887" s="5"/>
    </row>
    <row r="6888" spans="4:4" x14ac:dyDescent="0.2">
      <c r="D6888" s="5"/>
    </row>
    <row r="6889" spans="4:4" x14ac:dyDescent="0.2">
      <c r="D6889" s="5"/>
    </row>
    <row r="6890" spans="4:4" x14ac:dyDescent="0.2">
      <c r="D6890" s="5"/>
    </row>
    <row r="6891" spans="4:4" x14ac:dyDescent="0.2">
      <c r="D6891" s="5"/>
    </row>
    <row r="6892" spans="4:4" x14ac:dyDescent="0.2">
      <c r="D6892" s="5"/>
    </row>
    <row r="6893" spans="4:4" x14ac:dyDescent="0.2">
      <c r="D6893" s="5"/>
    </row>
    <row r="6894" spans="4:4" x14ac:dyDescent="0.2">
      <c r="D6894" s="5"/>
    </row>
    <row r="6895" spans="4:4" x14ac:dyDescent="0.2">
      <c r="D6895" s="5"/>
    </row>
    <row r="6896" spans="4:4" x14ac:dyDescent="0.2">
      <c r="D6896" s="5"/>
    </row>
    <row r="6897" spans="4:4" x14ac:dyDescent="0.2">
      <c r="D6897" s="5"/>
    </row>
    <row r="6898" spans="4:4" x14ac:dyDescent="0.2">
      <c r="D6898" s="5"/>
    </row>
    <row r="6899" spans="4:4" x14ac:dyDescent="0.2">
      <c r="D6899" s="5"/>
    </row>
    <row r="6900" spans="4:4" x14ac:dyDescent="0.2">
      <c r="D6900" s="5"/>
    </row>
    <row r="6901" spans="4:4" x14ac:dyDescent="0.2">
      <c r="D6901" s="5"/>
    </row>
    <row r="6902" spans="4:4" x14ac:dyDescent="0.2">
      <c r="D6902" s="5"/>
    </row>
    <row r="6903" spans="4:4" x14ac:dyDescent="0.2">
      <c r="D6903" s="5"/>
    </row>
    <row r="6904" spans="4:4" x14ac:dyDescent="0.2">
      <c r="D6904" s="5"/>
    </row>
    <row r="6905" spans="4:4" x14ac:dyDescent="0.2">
      <c r="D6905" s="5"/>
    </row>
    <row r="6906" spans="4:4" x14ac:dyDescent="0.2">
      <c r="D6906" s="5"/>
    </row>
    <row r="6907" spans="4:4" x14ac:dyDescent="0.2">
      <c r="D6907" s="5"/>
    </row>
    <row r="6908" spans="4:4" x14ac:dyDescent="0.2">
      <c r="D6908" s="5"/>
    </row>
    <row r="6909" spans="4:4" x14ac:dyDescent="0.2">
      <c r="D6909" s="5"/>
    </row>
    <row r="6910" spans="4:4" x14ac:dyDescent="0.2">
      <c r="D6910" s="5"/>
    </row>
    <row r="6911" spans="4:4" x14ac:dyDescent="0.2">
      <c r="D6911" s="5"/>
    </row>
    <row r="6912" spans="4:4" x14ac:dyDescent="0.2">
      <c r="D6912" s="5"/>
    </row>
    <row r="6913" spans="4:4" x14ac:dyDescent="0.2">
      <c r="D6913" s="5"/>
    </row>
    <row r="6914" spans="4:4" x14ac:dyDescent="0.2">
      <c r="D6914" s="5"/>
    </row>
    <row r="6915" spans="4:4" x14ac:dyDescent="0.2">
      <c r="D6915" s="5"/>
    </row>
    <row r="6916" spans="4:4" x14ac:dyDescent="0.2">
      <c r="D6916" s="5"/>
    </row>
    <row r="6917" spans="4:4" x14ac:dyDescent="0.2">
      <c r="D6917" s="5"/>
    </row>
    <row r="6918" spans="4:4" x14ac:dyDescent="0.2">
      <c r="D6918" s="5"/>
    </row>
    <row r="6919" spans="4:4" x14ac:dyDescent="0.2">
      <c r="D6919" s="5"/>
    </row>
    <row r="6920" spans="4:4" x14ac:dyDescent="0.2">
      <c r="D6920" s="5"/>
    </row>
    <row r="6921" spans="4:4" x14ac:dyDescent="0.2">
      <c r="D6921" s="5"/>
    </row>
    <row r="6922" spans="4:4" x14ac:dyDescent="0.2">
      <c r="D6922" s="5"/>
    </row>
    <row r="6923" spans="4:4" x14ac:dyDescent="0.2">
      <c r="D6923" s="5"/>
    </row>
    <row r="6924" spans="4:4" x14ac:dyDescent="0.2">
      <c r="D6924" s="5"/>
    </row>
    <row r="6925" spans="4:4" x14ac:dyDescent="0.2">
      <c r="D6925" s="5"/>
    </row>
    <row r="6926" spans="4:4" x14ac:dyDescent="0.2">
      <c r="D6926" s="5"/>
    </row>
    <row r="6927" spans="4:4" x14ac:dyDescent="0.2">
      <c r="D6927" s="5"/>
    </row>
    <row r="6928" spans="4:4" x14ac:dyDescent="0.2">
      <c r="D6928" s="5"/>
    </row>
    <row r="6929" spans="4:4" x14ac:dyDescent="0.2">
      <c r="D6929" s="5"/>
    </row>
    <row r="6930" spans="4:4" x14ac:dyDescent="0.2">
      <c r="D6930" s="5"/>
    </row>
    <row r="6931" spans="4:4" x14ac:dyDescent="0.2">
      <c r="D6931" s="5"/>
    </row>
    <row r="6932" spans="4:4" x14ac:dyDescent="0.2">
      <c r="D6932" s="5"/>
    </row>
    <row r="6933" spans="4:4" x14ac:dyDescent="0.2">
      <c r="D6933" s="5"/>
    </row>
    <row r="6934" spans="4:4" x14ac:dyDescent="0.2">
      <c r="D6934" s="5"/>
    </row>
    <row r="6935" spans="4:4" x14ac:dyDescent="0.2">
      <c r="D6935" s="5"/>
    </row>
    <row r="6936" spans="4:4" x14ac:dyDescent="0.2">
      <c r="D6936" s="5"/>
    </row>
    <row r="6937" spans="4:4" x14ac:dyDescent="0.2">
      <c r="D6937" s="5"/>
    </row>
    <row r="6938" spans="4:4" x14ac:dyDescent="0.2">
      <c r="D6938" s="5"/>
    </row>
    <row r="6939" spans="4:4" x14ac:dyDescent="0.2">
      <c r="D6939" s="5"/>
    </row>
    <row r="6940" spans="4:4" x14ac:dyDescent="0.2">
      <c r="D6940" s="5"/>
    </row>
    <row r="6941" spans="4:4" x14ac:dyDescent="0.2">
      <c r="D6941" s="5"/>
    </row>
    <row r="6942" spans="4:4" x14ac:dyDescent="0.2">
      <c r="D6942" s="5"/>
    </row>
    <row r="6943" spans="4:4" x14ac:dyDescent="0.2">
      <c r="D6943" s="5"/>
    </row>
    <row r="6944" spans="4:4" x14ac:dyDescent="0.2">
      <c r="D6944" s="5"/>
    </row>
    <row r="6945" spans="4:4" x14ac:dyDescent="0.2">
      <c r="D6945" s="5"/>
    </row>
    <row r="6946" spans="4:4" x14ac:dyDescent="0.2">
      <c r="D6946" s="5"/>
    </row>
    <row r="6947" spans="4:4" x14ac:dyDescent="0.2">
      <c r="D6947" s="5"/>
    </row>
    <row r="6948" spans="4:4" x14ac:dyDescent="0.2">
      <c r="D6948" s="5"/>
    </row>
    <row r="6949" spans="4:4" x14ac:dyDescent="0.2">
      <c r="D6949" s="5"/>
    </row>
    <row r="6950" spans="4:4" x14ac:dyDescent="0.2">
      <c r="D6950" s="5"/>
    </row>
    <row r="6951" spans="4:4" x14ac:dyDescent="0.2">
      <c r="D6951" s="5"/>
    </row>
    <row r="6952" spans="4:4" x14ac:dyDescent="0.2">
      <c r="D6952" s="5"/>
    </row>
    <row r="6953" spans="4:4" x14ac:dyDescent="0.2">
      <c r="D6953" s="5"/>
    </row>
    <row r="6954" spans="4:4" x14ac:dyDescent="0.2">
      <c r="D6954" s="5"/>
    </row>
    <row r="6955" spans="4:4" x14ac:dyDescent="0.2">
      <c r="D6955" s="5"/>
    </row>
    <row r="6956" spans="4:4" x14ac:dyDescent="0.2">
      <c r="D6956" s="5"/>
    </row>
    <row r="6957" spans="4:4" x14ac:dyDescent="0.2">
      <c r="D6957" s="5"/>
    </row>
    <row r="6958" spans="4:4" x14ac:dyDescent="0.2">
      <c r="D6958" s="5"/>
    </row>
    <row r="6959" spans="4:4" x14ac:dyDescent="0.2">
      <c r="D6959" s="5"/>
    </row>
    <row r="6960" spans="4:4" x14ac:dyDescent="0.2">
      <c r="D6960" s="5"/>
    </row>
    <row r="6961" spans="4:4" x14ac:dyDescent="0.2">
      <c r="D6961" s="5"/>
    </row>
    <row r="6962" spans="4:4" x14ac:dyDescent="0.2">
      <c r="D6962" s="5"/>
    </row>
    <row r="6963" spans="4:4" x14ac:dyDescent="0.2">
      <c r="D6963" s="5"/>
    </row>
    <row r="6964" spans="4:4" x14ac:dyDescent="0.2">
      <c r="D6964" s="5"/>
    </row>
    <row r="6965" spans="4:4" x14ac:dyDescent="0.2">
      <c r="D6965" s="5"/>
    </row>
    <row r="6966" spans="4:4" x14ac:dyDescent="0.2">
      <c r="D6966" s="5"/>
    </row>
    <row r="6967" spans="4:4" x14ac:dyDescent="0.2">
      <c r="D6967" s="5"/>
    </row>
    <row r="6968" spans="4:4" x14ac:dyDescent="0.2">
      <c r="D6968" s="5"/>
    </row>
    <row r="6969" spans="4:4" x14ac:dyDescent="0.2">
      <c r="D6969" s="5"/>
    </row>
    <row r="6970" spans="4:4" x14ac:dyDescent="0.2">
      <c r="D6970" s="5"/>
    </row>
    <row r="6971" spans="4:4" x14ac:dyDescent="0.2">
      <c r="D6971" s="5"/>
    </row>
    <row r="6972" spans="4:4" x14ac:dyDescent="0.2">
      <c r="D6972" s="5"/>
    </row>
    <row r="6973" spans="4:4" x14ac:dyDescent="0.2">
      <c r="D6973" s="5"/>
    </row>
    <row r="6974" spans="4:4" x14ac:dyDescent="0.2">
      <c r="D6974" s="5"/>
    </row>
    <row r="6975" spans="4:4" x14ac:dyDescent="0.2">
      <c r="D6975" s="5"/>
    </row>
    <row r="6976" spans="4:4" x14ac:dyDescent="0.2">
      <c r="D6976" s="5"/>
    </row>
    <row r="6977" spans="4:4" x14ac:dyDescent="0.2">
      <c r="D6977" s="5"/>
    </row>
    <row r="6978" spans="4:4" x14ac:dyDescent="0.2">
      <c r="D6978" s="5"/>
    </row>
    <row r="6979" spans="4:4" x14ac:dyDescent="0.2">
      <c r="D6979" s="5"/>
    </row>
    <row r="6980" spans="4:4" x14ac:dyDescent="0.2">
      <c r="D6980" s="5"/>
    </row>
    <row r="6981" spans="4:4" x14ac:dyDescent="0.2">
      <c r="D6981" s="5"/>
    </row>
    <row r="6982" spans="4:4" x14ac:dyDescent="0.2">
      <c r="D6982" s="5"/>
    </row>
    <row r="6983" spans="4:4" x14ac:dyDescent="0.2">
      <c r="D6983" s="5"/>
    </row>
    <row r="6984" spans="4:4" x14ac:dyDescent="0.2">
      <c r="D6984" s="5"/>
    </row>
    <row r="6985" spans="4:4" x14ac:dyDescent="0.2">
      <c r="D6985" s="5"/>
    </row>
    <row r="6986" spans="4:4" x14ac:dyDescent="0.2">
      <c r="D6986" s="5"/>
    </row>
    <row r="6987" spans="4:4" x14ac:dyDescent="0.2">
      <c r="D6987" s="5"/>
    </row>
    <row r="6988" spans="4:4" x14ac:dyDescent="0.2">
      <c r="D6988" s="5"/>
    </row>
    <row r="6989" spans="4:4" x14ac:dyDescent="0.2">
      <c r="D6989" s="5"/>
    </row>
    <row r="6990" spans="4:4" x14ac:dyDescent="0.2">
      <c r="D6990" s="5"/>
    </row>
    <row r="6991" spans="4:4" x14ac:dyDescent="0.2">
      <c r="D6991" s="5"/>
    </row>
    <row r="6992" spans="4:4" x14ac:dyDescent="0.2">
      <c r="D6992" s="5"/>
    </row>
    <row r="6993" spans="4:4" x14ac:dyDescent="0.2">
      <c r="D6993" s="5"/>
    </row>
    <row r="6994" spans="4:4" x14ac:dyDescent="0.2">
      <c r="D6994" s="5"/>
    </row>
    <row r="6995" spans="4:4" x14ac:dyDescent="0.2">
      <c r="D6995" s="5"/>
    </row>
    <row r="6996" spans="4:4" x14ac:dyDescent="0.2">
      <c r="D6996" s="5"/>
    </row>
    <row r="6997" spans="4:4" x14ac:dyDescent="0.2">
      <c r="D6997" s="5"/>
    </row>
    <row r="6998" spans="4:4" x14ac:dyDescent="0.2">
      <c r="D6998" s="5"/>
    </row>
    <row r="6999" spans="4:4" x14ac:dyDescent="0.2">
      <c r="D6999" s="5"/>
    </row>
    <row r="7000" spans="4:4" x14ac:dyDescent="0.2">
      <c r="D7000" s="5"/>
    </row>
    <row r="7001" spans="4:4" x14ac:dyDescent="0.2">
      <c r="D7001" s="5"/>
    </row>
    <row r="7002" spans="4:4" x14ac:dyDescent="0.2">
      <c r="D7002" s="5"/>
    </row>
    <row r="7003" spans="4:4" x14ac:dyDescent="0.2">
      <c r="D7003" s="5"/>
    </row>
    <row r="7004" spans="4:4" x14ac:dyDescent="0.2">
      <c r="D7004" s="5"/>
    </row>
    <row r="7005" spans="4:4" x14ac:dyDescent="0.2">
      <c r="D7005" s="5"/>
    </row>
    <row r="7006" spans="4:4" x14ac:dyDescent="0.2">
      <c r="D7006" s="5"/>
    </row>
    <row r="7007" spans="4:4" x14ac:dyDescent="0.2">
      <c r="D7007" s="5"/>
    </row>
    <row r="7008" spans="4:4" x14ac:dyDescent="0.2">
      <c r="D7008" s="5"/>
    </row>
    <row r="7009" spans="4:4" x14ac:dyDescent="0.2">
      <c r="D7009" s="5"/>
    </row>
    <row r="7010" spans="4:4" x14ac:dyDescent="0.2">
      <c r="D7010" s="5"/>
    </row>
    <row r="7011" spans="4:4" x14ac:dyDescent="0.2">
      <c r="D7011" s="5"/>
    </row>
    <row r="7012" spans="4:4" x14ac:dyDescent="0.2">
      <c r="D7012" s="5"/>
    </row>
    <row r="7013" spans="4:4" x14ac:dyDescent="0.2">
      <c r="D7013" s="5"/>
    </row>
    <row r="7014" spans="4:4" x14ac:dyDescent="0.2">
      <c r="D7014" s="5"/>
    </row>
    <row r="7015" spans="4:4" x14ac:dyDescent="0.2">
      <c r="D7015" s="5"/>
    </row>
    <row r="7016" spans="4:4" x14ac:dyDescent="0.2">
      <c r="D7016" s="5"/>
    </row>
    <row r="7017" spans="4:4" x14ac:dyDescent="0.2">
      <c r="D7017" s="5"/>
    </row>
    <row r="7018" spans="4:4" x14ac:dyDescent="0.2">
      <c r="D7018" s="5"/>
    </row>
    <row r="7019" spans="4:4" x14ac:dyDescent="0.2">
      <c r="D7019" s="5"/>
    </row>
    <row r="7020" spans="4:4" x14ac:dyDescent="0.2">
      <c r="D7020" s="5"/>
    </row>
    <row r="7021" spans="4:4" x14ac:dyDescent="0.2">
      <c r="D7021" s="5"/>
    </row>
    <row r="7022" spans="4:4" x14ac:dyDescent="0.2">
      <c r="D7022" s="5"/>
    </row>
    <row r="7023" spans="4:4" x14ac:dyDescent="0.2">
      <c r="D7023" s="5"/>
    </row>
    <row r="7024" spans="4:4" x14ac:dyDescent="0.2">
      <c r="D7024" s="5"/>
    </row>
    <row r="7025" spans="4:4" x14ac:dyDescent="0.2">
      <c r="D7025" s="5"/>
    </row>
    <row r="7026" spans="4:4" x14ac:dyDescent="0.2">
      <c r="D7026" s="5"/>
    </row>
    <row r="7027" spans="4:4" x14ac:dyDescent="0.2">
      <c r="D7027" s="5"/>
    </row>
    <row r="7028" spans="4:4" x14ac:dyDescent="0.2">
      <c r="D7028" s="5"/>
    </row>
    <row r="7029" spans="4:4" x14ac:dyDescent="0.2">
      <c r="D7029" s="5"/>
    </row>
    <row r="7030" spans="4:4" x14ac:dyDescent="0.2">
      <c r="D7030" s="5"/>
    </row>
    <row r="7031" spans="4:4" x14ac:dyDescent="0.2">
      <c r="D7031" s="5"/>
    </row>
    <row r="7032" spans="4:4" x14ac:dyDescent="0.2">
      <c r="D7032" s="5"/>
    </row>
    <row r="7033" spans="4:4" x14ac:dyDescent="0.2">
      <c r="D7033" s="5"/>
    </row>
    <row r="7034" spans="4:4" x14ac:dyDescent="0.2">
      <c r="D7034" s="5"/>
    </row>
    <row r="7035" spans="4:4" x14ac:dyDescent="0.2">
      <c r="D7035" s="5"/>
    </row>
    <row r="7036" spans="4:4" x14ac:dyDescent="0.2">
      <c r="D7036" s="5"/>
    </row>
    <row r="7037" spans="4:4" x14ac:dyDescent="0.2">
      <c r="D7037" s="5"/>
    </row>
    <row r="7038" spans="4:4" x14ac:dyDescent="0.2">
      <c r="D7038" s="5"/>
    </row>
    <row r="7039" spans="4:4" x14ac:dyDescent="0.2">
      <c r="D7039" s="5"/>
    </row>
    <row r="7040" spans="4:4" x14ac:dyDescent="0.2">
      <c r="D7040" s="5"/>
    </row>
    <row r="7041" spans="4:4" x14ac:dyDescent="0.2">
      <c r="D7041" s="5"/>
    </row>
    <row r="7042" spans="4:4" x14ac:dyDescent="0.2">
      <c r="D7042" s="5"/>
    </row>
    <row r="7043" spans="4:4" x14ac:dyDescent="0.2">
      <c r="D7043" s="5"/>
    </row>
    <row r="7044" spans="4:4" x14ac:dyDescent="0.2">
      <c r="D7044" s="5"/>
    </row>
    <row r="7045" spans="4:4" x14ac:dyDescent="0.2">
      <c r="D7045" s="5"/>
    </row>
    <row r="7046" spans="4:4" x14ac:dyDescent="0.2">
      <c r="D7046" s="5"/>
    </row>
    <row r="7047" spans="4:4" x14ac:dyDescent="0.2">
      <c r="D7047" s="5"/>
    </row>
    <row r="7048" spans="4:4" x14ac:dyDescent="0.2">
      <c r="D7048" s="5"/>
    </row>
    <row r="7049" spans="4:4" x14ac:dyDescent="0.2">
      <c r="D7049" s="5"/>
    </row>
    <row r="7050" spans="4:4" x14ac:dyDescent="0.2">
      <c r="D7050" s="5"/>
    </row>
    <row r="7051" spans="4:4" x14ac:dyDescent="0.2">
      <c r="D7051" s="5"/>
    </row>
    <row r="7052" spans="4:4" x14ac:dyDescent="0.2">
      <c r="D7052" s="5"/>
    </row>
    <row r="7053" spans="4:4" x14ac:dyDescent="0.2">
      <c r="D7053" s="5"/>
    </row>
    <row r="7054" spans="4:4" x14ac:dyDescent="0.2">
      <c r="D7054" s="5"/>
    </row>
    <row r="7055" spans="4:4" x14ac:dyDescent="0.2">
      <c r="D7055" s="5"/>
    </row>
    <row r="7056" spans="4:4" x14ac:dyDescent="0.2">
      <c r="D7056" s="5"/>
    </row>
    <row r="7057" spans="4:4" x14ac:dyDescent="0.2">
      <c r="D7057" s="5"/>
    </row>
    <row r="7058" spans="4:4" x14ac:dyDescent="0.2">
      <c r="D7058" s="5"/>
    </row>
    <row r="7059" spans="4:4" x14ac:dyDescent="0.2">
      <c r="D7059" s="5"/>
    </row>
    <row r="7060" spans="4:4" x14ac:dyDescent="0.2">
      <c r="D7060" s="5"/>
    </row>
    <row r="7061" spans="4:4" x14ac:dyDescent="0.2">
      <c r="D7061" s="5"/>
    </row>
    <row r="7062" spans="4:4" x14ac:dyDescent="0.2">
      <c r="D7062" s="5"/>
    </row>
    <row r="7063" spans="4:4" x14ac:dyDescent="0.2">
      <c r="D7063" s="5"/>
    </row>
    <row r="7064" spans="4:4" x14ac:dyDescent="0.2">
      <c r="D7064" s="5"/>
    </row>
    <row r="7065" spans="4:4" x14ac:dyDescent="0.2">
      <c r="D7065" s="5"/>
    </row>
    <row r="7066" spans="4:4" x14ac:dyDescent="0.2">
      <c r="D7066" s="5"/>
    </row>
    <row r="7067" spans="4:4" x14ac:dyDescent="0.2">
      <c r="D7067" s="5"/>
    </row>
    <row r="7068" spans="4:4" x14ac:dyDescent="0.2">
      <c r="D7068" s="5"/>
    </row>
    <row r="7069" spans="4:4" x14ac:dyDescent="0.2">
      <c r="D7069" s="5"/>
    </row>
    <row r="7070" spans="4:4" x14ac:dyDescent="0.2">
      <c r="D7070" s="5"/>
    </row>
    <row r="7071" spans="4:4" x14ac:dyDescent="0.2">
      <c r="D7071" s="5"/>
    </row>
    <row r="7072" spans="4:4" x14ac:dyDescent="0.2">
      <c r="D7072" s="5"/>
    </row>
    <row r="7073" spans="4:4" x14ac:dyDescent="0.2">
      <c r="D7073" s="5"/>
    </row>
    <row r="7074" spans="4:4" x14ac:dyDescent="0.2">
      <c r="D7074" s="5"/>
    </row>
    <row r="7075" spans="4:4" x14ac:dyDescent="0.2">
      <c r="D7075" s="5"/>
    </row>
    <row r="7076" spans="4:4" x14ac:dyDescent="0.2">
      <c r="D7076" s="5"/>
    </row>
    <row r="7077" spans="4:4" x14ac:dyDescent="0.2">
      <c r="D7077" s="5"/>
    </row>
    <row r="7078" spans="4:4" x14ac:dyDescent="0.2">
      <c r="D7078" s="5"/>
    </row>
    <row r="7079" spans="4:4" x14ac:dyDescent="0.2">
      <c r="D7079" s="5"/>
    </row>
    <row r="7080" spans="4:4" x14ac:dyDescent="0.2">
      <c r="D7080" s="5"/>
    </row>
    <row r="7081" spans="4:4" x14ac:dyDescent="0.2">
      <c r="D7081" s="5"/>
    </row>
    <row r="7082" spans="4:4" x14ac:dyDescent="0.2">
      <c r="D7082" s="5"/>
    </row>
    <row r="7083" spans="4:4" x14ac:dyDescent="0.2">
      <c r="D7083" s="5"/>
    </row>
    <row r="7084" spans="4:4" x14ac:dyDescent="0.2">
      <c r="D7084" s="5"/>
    </row>
    <row r="7085" spans="4:4" x14ac:dyDescent="0.2">
      <c r="D7085" s="5"/>
    </row>
    <row r="7086" spans="4:4" x14ac:dyDescent="0.2">
      <c r="D7086" s="5"/>
    </row>
    <row r="7087" spans="4:4" x14ac:dyDescent="0.2">
      <c r="D7087" s="5"/>
    </row>
    <row r="7088" spans="4:4" x14ac:dyDescent="0.2">
      <c r="D7088" s="5"/>
    </row>
    <row r="7089" spans="4:4" x14ac:dyDescent="0.2">
      <c r="D7089" s="5"/>
    </row>
    <row r="7090" spans="4:4" x14ac:dyDescent="0.2">
      <c r="D7090" s="5"/>
    </row>
    <row r="7091" spans="4:4" x14ac:dyDescent="0.2">
      <c r="D7091" s="5"/>
    </row>
    <row r="7092" spans="4:4" x14ac:dyDescent="0.2">
      <c r="D7092" s="5"/>
    </row>
    <row r="7093" spans="4:4" x14ac:dyDescent="0.2">
      <c r="D7093" s="5"/>
    </row>
    <row r="7094" spans="4:4" x14ac:dyDescent="0.2">
      <c r="D7094" s="5"/>
    </row>
    <row r="7095" spans="4:4" x14ac:dyDescent="0.2">
      <c r="D7095" s="5"/>
    </row>
    <row r="7096" spans="4:4" x14ac:dyDescent="0.2">
      <c r="D7096" s="5"/>
    </row>
    <row r="7097" spans="4:4" x14ac:dyDescent="0.2">
      <c r="D7097" s="5"/>
    </row>
    <row r="7098" spans="4:4" x14ac:dyDescent="0.2">
      <c r="D7098" s="5"/>
    </row>
    <row r="7099" spans="4:4" x14ac:dyDescent="0.2">
      <c r="D7099" s="5"/>
    </row>
    <row r="7100" spans="4:4" x14ac:dyDescent="0.2">
      <c r="D7100" s="5"/>
    </row>
    <row r="7101" spans="4:4" x14ac:dyDescent="0.2">
      <c r="D7101" s="5"/>
    </row>
    <row r="7102" spans="4:4" x14ac:dyDescent="0.2">
      <c r="D7102" s="5"/>
    </row>
    <row r="7103" spans="4:4" x14ac:dyDescent="0.2">
      <c r="D7103" s="5"/>
    </row>
    <row r="7104" spans="4:4" x14ac:dyDescent="0.2">
      <c r="D7104" s="5"/>
    </row>
    <row r="7105" spans="4:4" x14ac:dyDescent="0.2">
      <c r="D7105" s="5"/>
    </row>
    <row r="7106" spans="4:4" x14ac:dyDescent="0.2">
      <c r="D7106" s="5"/>
    </row>
    <row r="7107" spans="4:4" x14ac:dyDescent="0.2">
      <c r="D7107" s="5"/>
    </row>
    <row r="7108" spans="4:4" x14ac:dyDescent="0.2">
      <c r="D7108" s="5"/>
    </row>
    <row r="7109" spans="4:4" x14ac:dyDescent="0.2">
      <c r="D7109" s="5"/>
    </row>
    <row r="7110" spans="4:4" x14ac:dyDescent="0.2">
      <c r="D7110" s="5"/>
    </row>
    <row r="7111" spans="4:4" x14ac:dyDescent="0.2">
      <c r="D7111" s="5"/>
    </row>
    <row r="7112" spans="4:4" x14ac:dyDescent="0.2">
      <c r="D7112" s="5"/>
    </row>
    <row r="7113" spans="4:4" x14ac:dyDescent="0.2">
      <c r="D7113" s="5"/>
    </row>
    <row r="7114" spans="4:4" x14ac:dyDescent="0.2">
      <c r="D7114" s="5"/>
    </row>
    <row r="7115" spans="4:4" x14ac:dyDescent="0.2">
      <c r="D7115" s="5"/>
    </row>
    <row r="7116" spans="4:4" x14ac:dyDescent="0.2">
      <c r="D7116" s="5"/>
    </row>
    <row r="7117" spans="4:4" x14ac:dyDescent="0.2">
      <c r="D7117" s="5"/>
    </row>
    <row r="7118" spans="4:4" x14ac:dyDescent="0.2">
      <c r="D7118" s="5"/>
    </row>
    <row r="7119" spans="4:4" x14ac:dyDescent="0.2">
      <c r="D7119" s="5"/>
    </row>
    <row r="7120" spans="4:4" x14ac:dyDescent="0.2">
      <c r="D7120" s="5"/>
    </row>
    <row r="7121" spans="4:4" x14ac:dyDescent="0.2">
      <c r="D7121" s="5"/>
    </row>
    <row r="7122" spans="4:4" x14ac:dyDescent="0.2">
      <c r="D7122" s="5"/>
    </row>
    <row r="7123" spans="4:4" x14ac:dyDescent="0.2">
      <c r="D7123" s="5"/>
    </row>
    <row r="7124" spans="4:4" x14ac:dyDescent="0.2">
      <c r="D7124" s="5"/>
    </row>
    <row r="7125" spans="4:4" x14ac:dyDescent="0.2">
      <c r="D7125" s="5"/>
    </row>
    <row r="7126" spans="4:4" x14ac:dyDescent="0.2">
      <c r="D7126" s="5"/>
    </row>
    <row r="7127" spans="4:4" x14ac:dyDescent="0.2">
      <c r="D7127" s="5"/>
    </row>
    <row r="7128" spans="4:4" x14ac:dyDescent="0.2">
      <c r="D7128" s="5"/>
    </row>
    <row r="7129" spans="4:4" x14ac:dyDescent="0.2">
      <c r="D7129" s="5"/>
    </row>
    <row r="7130" spans="4:4" x14ac:dyDescent="0.2">
      <c r="D7130" s="5"/>
    </row>
    <row r="7131" spans="4:4" x14ac:dyDescent="0.2">
      <c r="D7131" s="5"/>
    </row>
    <row r="7132" spans="4:4" x14ac:dyDescent="0.2">
      <c r="D7132" s="5"/>
    </row>
    <row r="7133" spans="4:4" x14ac:dyDescent="0.2">
      <c r="D7133" s="5"/>
    </row>
    <row r="7134" spans="4:4" x14ac:dyDescent="0.2">
      <c r="D7134" s="5"/>
    </row>
    <row r="7135" spans="4:4" x14ac:dyDescent="0.2">
      <c r="D7135" s="5"/>
    </row>
    <row r="7136" spans="4:4" x14ac:dyDescent="0.2">
      <c r="D7136" s="5"/>
    </row>
    <row r="7137" spans="4:4" x14ac:dyDescent="0.2">
      <c r="D7137" s="5"/>
    </row>
    <row r="7138" spans="4:4" x14ac:dyDescent="0.2">
      <c r="D7138" s="5"/>
    </row>
    <row r="7139" spans="4:4" x14ac:dyDescent="0.2">
      <c r="D7139" s="5"/>
    </row>
    <row r="7140" spans="4:4" x14ac:dyDescent="0.2">
      <c r="D7140" s="5"/>
    </row>
    <row r="7141" spans="4:4" x14ac:dyDescent="0.2">
      <c r="D7141" s="5"/>
    </row>
    <row r="7142" spans="4:4" x14ac:dyDescent="0.2">
      <c r="D7142" s="5"/>
    </row>
    <row r="7143" spans="4:4" x14ac:dyDescent="0.2">
      <c r="D7143" s="5"/>
    </row>
    <row r="7144" spans="4:4" x14ac:dyDescent="0.2">
      <c r="D7144" s="5"/>
    </row>
    <row r="7145" spans="4:4" x14ac:dyDescent="0.2">
      <c r="D7145" s="5"/>
    </row>
    <row r="7146" spans="4:4" x14ac:dyDescent="0.2">
      <c r="D7146" s="5"/>
    </row>
    <row r="7147" spans="4:4" x14ac:dyDescent="0.2">
      <c r="D7147" s="5"/>
    </row>
    <row r="7148" spans="4:4" x14ac:dyDescent="0.2">
      <c r="D7148" s="5"/>
    </row>
    <row r="7149" spans="4:4" x14ac:dyDescent="0.2">
      <c r="D7149" s="5"/>
    </row>
    <row r="7150" spans="4:4" x14ac:dyDescent="0.2">
      <c r="D7150" s="5"/>
    </row>
    <row r="7151" spans="4:4" x14ac:dyDescent="0.2">
      <c r="D7151" s="5"/>
    </row>
    <row r="7152" spans="4:4" x14ac:dyDescent="0.2">
      <c r="D7152" s="5"/>
    </row>
    <row r="7153" spans="4:4" x14ac:dyDescent="0.2">
      <c r="D7153" s="5"/>
    </row>
    <row r="7154" spans="4:4" x14ac:dyDescent="0.2">
      <c r="D7154" s="5"/>
    </row>
    <row r="7155" spans="4:4" x14ac:dyDescent="0.2">
      <c r="D7155" s="5"/>
    </row>
    <row r="7156" spans="4:4" x14ac:dyDescent="0.2">
      <c r="D7156" s="5"/>
    </row>
    <row r="7157" spans="4:4" x14ac:dyDescent="0.2">
      <c r="D7157" s="5"/>
    </row>
    <row r="7158" spans="4:4" x14ac:dyDescent="0.2">
      <c r="D7158" s="5"/>
    </row>
    <row r="7159" spans="4:4" x14ac:dyDescent="0.2">
      <c r="D7159" s="5"/>
    </row>
    <row r="7160" spans="4:4" x14ac:dyDescent="0.2">
      <c r="D7160" s="5"/>
    </row>
    <row r="7161" spans="4:4" x14ac:dyDescent="0.2">
      <c r="D7161" s="5"/>
    </row>
    <row r="7162" spans="4:4" x14ac:dyDescent="0.2">
      <c r="D7162" s="5"/>
    </row>
    <row r="7163" spans="4:4" x14ac:dyDescent="0.2">
      <c r="D7163" s="5"/>
    </row>
    <row r="7164" spans="4:4" x14ac:dyDescent="0.2">
      <c r="D7164" s="5"/>
    </row>
    <row r="7165" spans="4:4" x14ac:dyDescent="0.2">
      <c r="D7165" s="5"/>
    </row>
    <row r="7166" spans="4:4" x14ac:dyDescent="0.2">
      <c r="D7166" s="5"/>
    </row>
    <row r="7167" spans="4:4" x14ac:dyDescent="0.2">
      <c r="D7167" s="5"/>
    </row>
    <row r="7168" spans="4:4" x14ac:dyDescent="0.2">
      <c r="D7168" s="5"/>
    </row>
    <row r="7169" spans="4:4" x14ac:dyDescent="0.2">
      <c r="D7169" s="5"/>
    </row>
    <row r="7170" spans="4:4" x14ac:dyDescent="0.2">
      <c r="D7170" s="5"/>
    </row>
    <row r="7171" spans="4:4" x14ac:dyDescent="0.2">
      <c r="D7171" s="5"/>
    </row>
    <row r="7172" spans="4:4" x14ac:dyDescent="0.2">
      <c r="D7172" s="5"/>
    </row>
    <row r="7173" spans="4:4" x14ac:dyDescent="0.2">
      <c r="D7173" s="5"/>
    </row>
    <row r="7174" spans="4:4" x14ac:dyDescent="0.2">
      <c r="D7174" s="5"/>
    </row>
    <row r="7175" spans="4:4" x14ac:dyDescent="0.2">
      <c r="D7175" s="5"/>
    </row>
    <row r="7176" spans="4:4" x14ac:dyDescent="0.2">
      <c r="D7176" s="5"/>
    </row>
    <row r="7177" spans="4:4" x14ac:dyDescent="0.2">
      <c r="D7177" s="5"/>
    </row>
    <row r="7178" spans="4:4" x14ac:dyDescent="0.2">
      <c r="D7178" s="5"/>
    </row>
    <row r="7179" spans="4:4" x14ac:dyDescent="0.2">
      <c r="D7179" s="5"/>
    </row>
    <row r="7180" spans="4:4" x14ac:dyDescent="0.2">
      <c r="D7180" s="5"/>
    </row>
    <row r="7181" spans="4:4" x14ac:dyDescent="0.2">
      <c r="D7181" s="5"/>
    </row>
    <row r="7182" spans="4:4" x14ac:dyDescent="0.2">
      <c r="D7182" s="5"/>
    </row>
    <row r="7183" spans="4:4" x14ac:dyDescent="0.2">
      <c r="D7183" s="5"/>
    </row>
    <row r="7184" spans="4:4" x14ac:dyDescent="0.2">
      <c r="D7184" s="5"/>
    </row>
    <row r="7185" spans="4:4" x14ac:dyDescent="0.2">
      <c r="D7185" s="5"/>
    </row>
    <row r="7186" spans="4:4" x14ac:dyDescent="0.2">
      <c r="D7186" s="5"/>
    </row>
    <row r="7187" spans="4:4" x14ac:dyDescent="0.2">
      <c r="D7187" s="5"/>
    </row>
    <row r="7188" spans="4:4" x14ac:dyDescent="0.2">
      <c r="D7188" s="5"/>
    </row>
    <row r="7189" spans="4:4" x14ac:dyDescent="0.2">
      <c r="D7189" s="5"/>
    </row>
    <row r="7190" spans="4:4" x14ac:dyDescent="0.2">
      <c r="D7190" s="5"/>
    </row>
    <row r="7191" spans="4:4" x14ac:dyDescent="0.2">
      <c r="D7191" s="5"/>
    </row>
    <row r="7192" spans="4:4" x14ac:dyDescent="0.2">
      <c r="D7192" s="5"/>
    </row>
    <row r="7193" spans="4:4" x14ac:dyDescent="0.2">
      <c r="D7193" s="5"/>
    </row>
    <row r="7194" spans="4:4" x14ac:dyDescent="0.2">
      <c r="D7194" s="5"/>
    </row>
    <row r="7195" spans="4:4" x14ac:dyDescent="0.2">
      <c r="D7195" s="5"/>
    </row>
    <row r="7196" spans="4:4" x14ac:dyDescent="0.2">
      <c r="D7196" s="5"/>
    </row>
    <row r="7197" spans="4:4" x14ac:dyDescent="0.2">
      <c r="D7197" s="5"/>
    </row>
    <row r="7198" spans="4:4" x14ac:dyDescent="0.2">
      <c r="D7198" s="5"/>
    </row>
    <row r="7199" spans="4:4" x14ac:dyDescent="0.2">
      <c r="D7199" s="5"/>
    </row>
    <row r="7200" spans="4:4" x14ac:dyDescent="0.2">
      <c r="D7200" s="5"/>
    </row>
    <row r="7201" spans="4:4" x14ac:dyDescent="0.2">
      <c r="D7201" s="5"/>
    </row>
    <row r="7202" spans="4:4" x14ac:dyDescent="0.2">
      <c r="D7202" s="5"/>
    </row>
    <row r="7203" spans="4:4" x14ac:dyDescent="0.2">
      <c r="D7203" s="5"/>
    </row>
    <row r="7204" spans="4:4" x14ac:dyDescent="0.2">
      <c r="D7204" s="5"/>
    </row>
    <row r="7205" spans="4:4" x14ac:dyDescent="0.2">
      <c r="D7205" s="5"/>
    </row>
    <row r="7206" spans="4:4" x14ac:dyDescent="0.2">
      <c r="D7206" s="5"/>
    </row>
    <row r="7207" spans="4:4" x14ac:dyDescent="0.2">
      <c r="D7207" s="5"/>
    </row>
    <row r="7208" spans="4:4" x14ac:dyDescent="0.2">
      <c r="D7208" s="5"/>
    </row>
    <row r="7209" spans="4:4" x14ac:dyDescent="0.2">
      <c r="D7209" s="5"/>
    </row>
    <row r="7210" spans="4:4" x14ac:dyDescent="0.2">
      <c r="D7210" s="5"/>
    </row>
    <row r="7211" spans="4:4" x14ac:dyDescent="0.2">
      <c r="D7211" s="5"/>
    </row>
    <row r="7212" spans="4:4" x14ac:dyDescent="0.2">
      <c r="D7212" s="5"/>
    </row>
    <row r="7213" spans="4:4" x14ac:dyDescent="0.2">
      <c r="D7213" s="5"/>
    </row>
    <row r="7214" spans="4:4" x14ac:dyDescent="0.2">
      <c r="D7214" s="5"/>
    </row>
    <row r="7215" spans="4:4" x14ac:dyDescent="0.2">
      <c r="D7215" s="5"/>
    </row>
    <row r="7216" spans="4:4" x14ac:dyDescent="0.2">
      <c r="D7216" s="5"/>
    </row>
    <row r="7217" spans="4:4" x14ac:dyDescent="0.2">
      <c r="D7217" s="5"/>
    </row>
    <row r="7218" spans="4:4" x14ac:dyDescent="0.2">
      <c r="D7218" s="5"/>
    </row>
    <row r="7219" spans="4:4" x14ac:dyDescent="0.2">
      <c r="D7219" s="5"/>
    </row>
    <row r="7220" spans="4:4" x14ac:dyDescent="0.2">
      <c r="D7220" s="5"/>
    </row>
    <row r="7221" spans="4:4" x14ac:dyDescent="0.2">
      <c r="D7221" s="5"/>
    </row>
    <row r="7222" spans="4:4" x14ac:dyDescent="0.2">
      <c r="D7222" s="5"/>
    </row>
    <row r="7223" spans="4:4" x14ac:dyDescent="0.2">
      <c r="D7223" s="5"/>
    </row>
    <row r="7224" spans="4:4" x14ac:dyDescent="0.2">
      <c r="D7224" s="5"/>
    </row>
    <row r="7225" spans="4:4" x14ac:dyDescent="0.2">
      <c r="D7225" s="5"/>
    </row>
    <row r="7226" spans="4:4" x14ac:dyDescent="0.2">
      <c r="D7226" s="5"/>
    </row>
    <row r="7227" spans="4:4" x14ac:dyDescent="0.2">
      <c r="D7227" s="5"/>
    </row>
    <row r="7228" spans="4:4" x14ac:dyDescent="0.2">
      <c r="D7228" s="5"/>
    </row>
    <row r="7229" spans="4:4" x14ac:dyDescent="0.2">
      <c r="D7229" s="5"/>
    </row>
    <row r="7230" spans="4:4" x14ac:dyDescent="0.2">
      <c r="D7230" s="5"/>
    </row>
    <row r="7231" spans="4:4" x14ac:dyDescent="0.2">
      <c r="D7231" s="5"/>
    </row>
    <row r="7232" spans="4:4" x14ac:dyDescent="0.2">
      <c r="D7232" s="5"/>
    </row>
    <row r="7233" spans="4:4" x14ac:dyDescent="0.2">
      <c r="D7233" s="5"/>
    </row>
    <row r="7234" spans="4:4" x14ac:dyDescent="0.2">
      <c r="D7234" s="5"/>
    </row>
    <row r="7235" spans="4:4" x14ac:dyDescent="0.2">
      <c r="D7235" s="5"/>
    </row>
    <row r="7236" spans="4:4" x14ac:dyDescent="0.2">
      <c r="D7236" s="5"/>
    </row>
    <row r="7237" spans="4:4" x14ac:dyDescent="0.2">
      <c r="D7237" s="5"/>
    </row>
    <row r="7238" spans="4:4" x14ac:dyDescent="0.2">
      <c r="D7238" s="5"/>
    </row>
    <row r="7239" spans="4:4" x14ac:dyDescent="0.2">
      <c r="D7239" s="5"/>
    </row>
    <row r="7240" spans="4:4" x14ac:dyDescent="0.2">
      <c r="D7240" s="5"/>
    </row>
    <row r="7241" spans="4:4" x14ac:dyDescent="0.2">
      <c r="D7241" s="5"/>
    </row>
    <row r="7242" spans="4:4" x14ac:dyDescent="0.2">
      <c r="D7242" s="5"/>
    </row>
    <row r="7243" spans="4:4" x14ac:dyDescent="0.2">
      <c r="D7243" s="5"/>
    </row>
    <row r="7244" spans="4:4" x14ac:dyDescent="0.2">
      <c r="D7244" s="5"/>
    </row>
    <row r="7245" spans="4:4" x14ac:dyDescent="0.2">
      <c r="D7245" s="5"/>
    </row>
    <row r="7246" spans="4:4" x14ac:dyDescent="0.2">
      <c r="D7246" s="5"/>
    </row>
    <row r="7247" spans="4:4" x14ac:dyDescent="0.2">
      <c r="D7247" s="5"/>
    </row>
    <row r="7248" spans="4:4" x14ac:dyDescent="0.2">
      <c r="D7248" s="5"/>
    </row>
    <row r="7249" spans="4:4" x14ac:dyDescent="0.2">
      <c r="D7249" s="5"/>
    </row>
    <row r="7250" spans="4:4" x14ac:dyDescent="0.2">
      <c r="D7250" s="5"/>
    </row>
    <row r="7251" spans="4:4" x14ac:dyDescent="0.2">
      <c r="D7251" s="5"/>
    </row>
    <row r="7252" spans="4:4" x14ac:dyDescent="0.2">
      <c r="D7252" s="5"/>
    </row>
    <row r="7253" spans="4:4" x14ac:dyDescent="0.2">
      <c r="D7253" s="5"/>
    </row>
    <row r="7254" spans="4:4" x14ac:dyDescent="0.2">
      <c r="D7254" s="5"/>
    </row>
    <row r="7255" spans="4:4" x14ac:dyDescent="0.2">
      <c r="D7255" s="5"/>
    </row>
    <row r="7256" spans="4:4" x14ac:dyDescent="0.2">
      <c r="D7256" s="5"/>
    </row>
    <row r="7257" spans="4:4" x14ac:dyDescent="0.2">
      <c r="D7257" s="5"/>
    </row>
    <row r="7258" spans="4:4" x14ac:dyDescent="0.2">
      <c r="D7258" s="5"/>
    </row>
    <row r="7259" spans="4:4" x14ac:dyDescent="0.2">
      <c r="D7259" s="5"/>
    </row>
    <row r="7260" spans="4:4" x14ac:dyDescent="0.2">
      <c r="D7260" s="5"/>
    </row>
    <row r="7261" spans="4:4" x14ac:dyDescent="0.2">
      <c r="D7261" s="5"/>
    </row>
    <row r="7262" spans="4:4" x14ac:dyDescent="0.2">
      <c r="D7262" s="5"/>
    </row>
    <row r="7263" spans="4:4" x14ac:dyDescent="0.2">
      <c r="D7263" s="5"/>
    </row>
    <row r="7264" spans="4:4" x14ac:dyDescent="0.2">
      <c r="D7264" s="5"/>
    </row>
    <row r="7265" spans="4:4" x14ac:dyDescent="0.2">
      <c r="D7265" s="5"/>
    </row>
    <row r="7266" spans="4:4" x14ac:dyDescent="0.2">
      <c r="D7266" s="5"/>
    </row>
    <row r="7267" spans="4:4" x14ac:dyDescent="0.2">
      <c r="D7267" s="5"/>
    </row>
    <row r="7268" spans="4:4" x14ac:dyDescent="0.2">
      <c r="D7268" s="5"/>
    </row>
    <row r="7269" spans="4:4" x14ac:dyDescent="0.2">
      <c r="D7269" s="5"/>
    </row>
    <row r="7270" spans="4:4" x14ac:dyDescent="0.2">
      <c r="D7270" s="5"/>
    </row>
    <row r="7271" spans="4:4" x14ac:dyDescent="0.2">
      <c r="D7271" s="5"/>
    </row>
    <row r="7272" spans="4:4" x14ac:dyDescent="0.2">
      <c r="D7272" s="5"/>
    </row>
    <row r="7273" spans="4:4" x14ac:dyDescent="0.2">
      <c r="D7273" s="5"/>
    </row>
    <row r="7274" spans="4:4" x14ac:dyDescent="0.2">
      <c r="D7274" s="5"/>
    </row>
    <row r="7275" spans="4:4" x14ac:dyDescent="0.2">
      <c r="D7275" s="5"/>
    </row>
    <row r="7276" spans="4:4" x14ac:dyDescent="0.2">
      <c r="D7276" s="5"/>
    </row>
    <row r="7277" spans="4:4" x14ac:dyDescent="0.2">
      <c r="D7277" s="5"/>
    </row>
    <row r="7278" spans="4:4" x14ac:dyDescent="0.2">
      <c r="D7278" s="5"/>
    </row>
    <row r="7279" spans="4:4" x14ac:dyDescent="0.2">
      <c r="D7279" s="5"/>
    </row>
    <row r="7280" spans="4:4" x14ac:dyDescent="0.2">
      <c r="D7280" s="5"/>
    </row>
    <row r="7281" spans="4:4" x14ac:dyDescent="0.2">
      <c r="D7281" s="5"/>
    </row>
    <row r="7282" spans="4:4" x14ac:dyDescent="0.2">
      <c r="D7282" s="5"/>
    </row>
    <row r="7283" spans="4:4" x14ac:dyDescent="0.2">
      <c r="D7283" s="5"/>
    </row>
    <row r="7284" spans="4:4" x14ac:dyDescent="0.2">
      <c r="D7284" s="5"/>
    </row>
    <row r="7285" spans="4:4" x14ac:dyDescent="0.2">
      <c r="D7285" s="5"/>
    </row>
    <row r="7286" spans="4:4" x14ac:dyDescent="0.2">
      <c r="D7286" s="5"/>
    </row>
    <row r="7287" spans="4:4" x14ac:dyDescent="0.2">
      <c r="D7287" s="5"/>
    </row>
    <row r="7288" spans="4:4" x14ac:dyDescent="0.2">
      <c r="D7288" s="5"/>
    </row>
    <row r="7289" spans="4:4" x14ac:dyDescent="0.2">
      <c r="D7289" s="5"/>
    </row>
    <row r="7290" spans="4:4" x14ac:dyDescent="0.2">
      <c r="D7290" s="5"/>
    </row>
    <row r="7291" spans="4:4" x14ac:dyDescent="0.2">
      <c r="D7291" s="5"/>
    </row>
    <row r="7292" spans="4:4" x14ac:dyDescent="0.2">
      <c r="D7292" s="5"/>
    </row>
    <row r="7293" spans="4:4" x14ac:dyDescent="0.2">
      <c r="D7293" s="5"/>
    </row>
    <row r="7294" spans="4:4" x14ac:dyDescent="0.2">
      <c r="D7294" s="5"/>
    </row>
    <row r="7295" spans="4:4" x14ac:dyDescent="0.2">
      <c r="D7295" s="5"/>
    </row>
    <row r="7296" spans="4:4" x14ac:dyDescent="0.2">
      <c r="D7296" s="5"/>
    </row>
    <row r="7297" spans="4:4" x14ac:dyDescent="0.2">
      <c r="D7297" s="5"/>
    </row>
    <row r="7298" spans="4:4" x14ac:dyDescent="0.2">
      <c r="D7298" s="5"/>
    </row>
    <row r="7299" spans="4:4" x14ac:dyDescent="0.2">
      <c r="D7299" s="5"/>
    </row>
    <row r="7300" spans="4:4" x14ac:dyDescent="0.2">
      <c r="D7300" s="5"/>
    </row>
    <row r="7301" spans="4:4" x14ac:dyDescent="0.2">
      <c r="D7301" s="5"/>
    </row>
    <row r="7302" spans="4:4" x14ac:dyDescent="0.2">
      <c r="D7302" s="5"/>
    </row>
    <row r="7303" spans="4:4" x14ac:dyDescent="0.2">
      <c r="D7303" s="5"/>
    </row>
    <row r="7304" spans="4:4" x14ac:dyDescent="0.2">
      <c r="D7304" s="5"/>
    </row>
    <row r="7305" spans="4:4" x14ac:dyDescent="0.2">
      <c r="D7305" s="5"/>
    </row>
    <row r="7306" spans="4:4" x14ac:dyDescent="0.2">
      <c r="D7306" s="5"/>
    </row>
    <row r="7307" spans="4:4" x14ac:dyDescent="0.2">
      <c r="D7307" s="5"/>
    </row>
    <row r="7308" spans="4:4" x14ac:dyDescent="0.2">
      <c r="D7308" s="5"/>
    </row>
    <row r="7309" spans="4:4" x14ac:dyDescent="0.2">
      <c r="D7309" s="5"/>
    </row>
    <row r="7310" spans="4:4" x14ac:dyDescent="0.2">
      <c r="D7310" s="5"/>
    </row>
    <row r="7311" spans="4:4" x14ac:dyDescent="0.2">
      <c r="D7311" s="5"/>
    </row>
    <row r="7312" spans="4:4" x14ac:dyDescent="0.2">
      <c r="D7312" s="5"/>
    </row>
    <row r="7313" spans="4:4" x14ac:dyDescent="0.2">
      <c r="D7313" s="5"/>
    </row>
    <row r="7314" spans="4:4" x14ac:dyDescent="0.2">
      <c r="D7314" s="5"/>
    </row>
    <row r="7315" spans="4:4" x14ac:dyDescent="0.2">
      <c r="D7315" s="5"/>
    </row>
    <row r="7316" spans="4:4" x14ac:dyDescent="0.2">
      <c r="D7316" s="5"/>
    </row>
    <row r="7317" spans="4:4" x14ac:dyDescent="0.2">
      <c r="D7317" s="5"/>
    </row>
    <row r="7318" spans="4:4" x14ac:dyDescent="0.2">
      <c r="D7318" s="5"/>
    </row>
    <row r="7319" spans="4:4" x14ac:dyDescent="0.2">
      <c r="D7319" s="5"/>
    </row>
    <row r="7320" spans="4:4" x14ac:dyDescent="0.2">
      <c r="D7320" s="5"/>
    </row>
    <row r="7321" spans="4:4" x14ac:dyDescent="0.2">
      <c r="D7321" s="5"/>
    </row>
    <row r="7322" spans="4:4" x14ac:dyDescent="0.2">
      <c r="D7322" s="5"/>
    </row>
    <row r="7323" spans="4:4" x14ac:dyDescent="0.2">
      <c r="D7323" s="5"/>
    </row>
    <row r="7324" spans="4:4" x14ac:dyDescent="0.2">
      <c r="D7324" s="5"/>
    </row>
    <row r="7325" spans="4:4" x14ac:dyDescent="0.2">
      <c r="D7325" s="5"/>
    </row>
    <row r="7326" spans="4:4" x14ac:dyDescent="0.2">
      <c r="D7326" s="5"/>
    </row>
    <row r="7327" spans="4:4" x14ac:dyDescent="0.2">
      <c r="D7327" s="5"/>
    </row>
    <row r="7328" spans="4:4" x14ac:dyDescent="0.2">
      <c r="D7328" s="5"/>
    </row>
    <row r="7329" spans="4:4" x14ac:dyDescent="0.2">
      <c r="D7329" s="5"/>
    </row>
    <row r="7330" spans="4:4" x14ac:dyDescent="0.2">
      <c r="D7330" s="5"/>
    </row>
    <row r="7331" spans="4:4" x14ac:dyDescent="0.2">
      <c r="D7331" s="5"/>
    </row>
    <row r="7332" spans="4:4" x14ac:dyDescent="0.2">
      <c r="D7332" s="5"/>
    </row>
    <row r="7333" spans="4:4" x14ac:dyDescent="0.2">
      <c r="D7333" s="5"/>
    </row>
    <row r="7334" spans="4:4" x14ac:dyDescent="0.2">
      <c r="D7334" s="5"/>
    </row>
    <row r="7335" spans="4:4" x14ac:dyDescent="0.2">
      <c r="D7335" s="5"/>
    </row>
    <row r="7336" spans="4:4" x14ac:dyDescent="0.2">
      <c r="D7336" s="5"/>
    </row>
    <row r="7337" spans="4:4" x14ac:dyDescent="0.2">
      <c r="D7337" s="5"/>
    </row>
    <row r="7338" spans="4:4" x14ac:dyDescent="0.2">
      <c r="D7338" s="5"/>
    </row>
    <row r="7339" spans="4:4" x14ac:dyDescent="0.2">
      <c r="D7339" s="5"/>
    </row>
    <row r="7340" spans="4:4" x14ac:dyDescent="0.2">
      <c r="D7340" s="5"/>
    </row>
    <row r="7341" spans="4:4" x14ac:dyDescent="0.2">
      <c r="D7341" s="5"/>
    </row>
    <row r="7342" spans="4:4" x14ac:dyDescent="0.2">
      <c r="D7342" s="5"/>
    </row>
    <row r="7343" spans="4:4" x14ac:dyDescent="0.2">
      <c r="D7343" s="5"/>
    </row>
    <row r="7344" spans="4:4" x14ac:dyDescent="0.2">
      <c r="D7344" s="5"/>
    </row>
    <row r="7345" spans="4:4" x14ac:dyDescent="0.2">
      <c r="D7345" s="5"/>
    </row>
    <row r="7346" spans="4:4" x14ac:dyDescent="0.2">
      <c r="D7346" s="5"/>
    </row>
    <row r="7347" spans="4:4" x14ac:dyDescent="0.2">
      <c r="D7347" s="5"/>
    </row>
    <row r="7348" spans="4:4" x14ac:dyDescent="0.2">
      <c r="D7348" s="5"/>
    </row>
    <row r="7349" spans="4:4" x14ac:dyDescent="0.2">
      <c r="D7349" s="5"/>
    </row>
    <row r="7350" spans="4:4" x14ac:dyDescent="0.2">
      <c r="D7350" s="5"/>
    </row>
    <row r="7351" spans="4:4" x14ac:dyDescent="0.2">
      <c r="D7351" s="5"/>
    </row>
    <row r="7352" spans="4:4" x14ac:dyDescent="0.2">
      <c r="D7352" s="5"/>
    </row>
    <row r="7353" spans="4:4" x14ac:dyDescent="0.2">
      <c r="D7353" s="5"/>
    </row>
    <row r="7354" spans="4:4" x14ac:dyDescent="0.2">
      <c r="D7354" s="5"/>
    </row>
    <row r="7355" spans="4:4" x14ac:dyDescent="0.2">
      <c r="D7355" s="5"/>
    </row>
    <row r="7356" spans="4:4" x14ac:dyDescent="0.2">
      <c r="D7356" s="5"/>
    </row>
    <row r="7357" spans="4:4" x14ac:dyDescent="0.2">
      <c r="D7357" s="5"/>
    </row>
    <row r="7358" spans="4:4" x14ac:dyDescent="0.2">
      <c r="D7358" s="5"/>
    </row>
    <row r="7359" spans="4:4" x14ac:dyDescent="0.2">
      <c r="D7359" s="5"/>
    </row>
    <row r="7360" spans="4:4" x14ac:dyDescent="0.2">
      <c r="D7360" s="5"/>
    </row>
    <row r="7361" spans="4:4" x14ac:dyDescent="0.2">
      <c r="D7361" s="5"/>
    </row>
    <row r="7362" spans="4:4" x14ac:dyDescent="0.2">
      <c r="D7362" s="5"/>
    </row>
    <row r="7363" spans="4:4" x14ac:dyDescent="0.2">
      <c r="D7363" s="5"/>
    </row>
    <row r="7364" spans="4:4" x14ac:dyDescent="0.2">
      <c r="D7364" s="5"/>
    </row>
    <row r="7365" spans="4:4" x14ac:dyDescent="0.2">
      <c r="D7365" s="5"/>
    </row>
    <row r="7366" spans="4:4" x14ac:dyDescent="0.2">
      <c r="D7366" s="5"/>
    </row>
    <row r="7367" spans="4:4" x14ac:dyDescent="0.2">
      <c r="D7367" s="5"/>
    </row>
    <row r="7368" spans="4:4" x14ac:dyDescent="0.2">
      <c r="D7368" s="5"/>
    </row>
    <row r="7369" spans="4:4" x14ac:dyDescent="0.2">
      <c r="D7369" s="5"/>
    </row>
    <row r="7370" spans="4:4" x14ac:dyDescent="0.2">
      <c r="D7370" s="5"/>
    </row>
    <row r="7371" spans="4:4" x14ac:dyDescent="0.2">
      <c r="D7371" s="5"/>
    </row>
    <row r="7372" spans="4:4" x14ac:dyDescent="0.2">
      <c r="D7372" s="5"/>
    </row>
    <row r="7373" spans="4:4" x14ac:dyDescent="0.2">
      <c r="D7373" s="5"/>
    </row>
    <row r="7374" spans="4:4" x14ac:dyDescent="0.2">
      <c r="D7374" s="5"/>
    </row>
    <row r="7375" spans="4:4" x14ac:dyDescent="0.2">
      <c r="D7375" s="5"/>
    </row>
    <row r="7376" spans="4:4" x14ac:dyDescent="0.2">
      <c r="D7376" s="5"/>
    </row>
    <row r="7377" spans="4:4" x14ac:dyDescent="0.2">
      <c r="D7377" s="5"/>
    </row>
    <row r="7378" spans="4:4" x14ac:dyDescent="0.2">
      <c r="D7378" s="5"/>
    </row>
    <row r="7379" spans="4:4" x14ac:dyDescent="0.2">
      <c r="D7379" s="5"/>
    </row>
    <row r="7380" spans="4:4" x14ac:dyDescent="0.2">
      <c r="D7380" s="5"/>
    </row>
    <row r="7381" spans="4:4" x14ac:dyDescent="0.2">
      <c r="D7381" s="5"/>
    </row>
    <row r="7382" spans="4:4" x14ac:dyDescent="0.2">
      <c r="D7382" s="5"/>
    </row>
    <row r="7383" spans="4:4" x14ac:dyDescent="0.2">
      <c r="D7383" s="5"/>
    </row>
    <row r="7384" spans="4:4" x14ac:dyDescent="0.2">
      <c r="D7384" s="5"/>
    </row>
    <row r="7385" spans="4:4" x14ac:dyDescent="0.2">
      <c r="D7385" s="5"/>
    </row>
    <row r="7386" spans="4:4" x14ac:dyDescent="0.2">
      <c r="D7386" s="5"/>
    </row>
    <row r="7387" spans="4:4" x14ac:dyDescent="0.2">
      <c r="D7387" s="5"/>
    </row>
    <row r="7388" spans="4:4" x14ac:dyDescent="0.2">
      <c r="D7388" s="5"/>
    </row>
    <row r="7389" spans="4:4" x14ac:dyDescent="0.2">
      <c r="D7389" s="5"/>
    </row>
    <row r="7390" spans="4:4" x14ac:dyDescent="0.2">
      <c r="D7390" s="5"/>
    </row>
    <row r="7391" spans="4:4" x14ac:dyDescent="0.2">
      <c r="D7391" s="5"/>
    </row>
    <row r="7392" spans="4:4" x14ac:dyDescent="0.2">
      <c r="D7392" s="5"/>
    </row>
    <row r="7393" spans="4:4" x14ac:dyDescent="0.2">
      <c r="D7393" s="5"/>
    </row>
    <row r="7394" spans="4:4" x14ac:dyDescent="0.2">
      <c r="D7394" s="5"/>
    </row>
    <row r="7395" spans="4:4" x14ac:dyDescent="0.2">
      <c r="D7395" s="5"/>
    </row>
    <row r="7396" spans="4:4" x14ac:dyDescent="0.2">
      <c r="D7396" s="5"/>
    </row>
    <row r="7397" spans="4:4" x14ac:dyDescent="0.2">
      <c r="D7397" s="5"/>
    </row>
    <row r="7398" spans="4:4" x14ac:dyDescent="0.2">
      <c r="D7398" s="5"/>
    </row>
    <row r="7399" spans="4:4" x14ac:dyDescent="0.2">
      <c r="D7399" s="5"/>
    </row>
    <row r="7400" spans="4:4" x14ac:dyDescent="0.2">
      <c r="D7400" s="5"/>
    </row>
    <row r="7401" spans="4:4" x14ac:dyDescent="0.2">
      <c r="D7401" s="5"/>
    </row>
    <row r="7402" spans="4:4" x14ac:dyDescent="0.2">
      <c r="D7402" s="5"/>
    </row>
    <row r="7403" spans="4:4" x14ac:dyDescent="0.2">
      <c r="D7403" s="5"/>
    </row>
    <row r="7404" spans="4:4" x14ac:dyDescent="0.2">
      <c r="D7404" s="5"/>
    </row>
    <row r="7405" spans="4:4" x14ac:dyDescent="0.2">
      <c r="D7405" s="5"/>
    </row>
    <row r="7406" spans="4:4" x14ac:dyDescent="0.2">
      <c r="D7406" s="5"/>
    </row>
    <row r="7407" spans="4:4" x14ac:dyDescent="0.2">
      <c r="D7407" s="5"/>
    </row>
    <row r="7408" spans="4:4" x14ac:dyDescent="0.2">
      <c r="D7408" s="5"/>
    </row>
    <row r="7409" spans="4:4" x14ac:dyDescent="0.2">
      <c r="D7409" s="5"/>
    </row>
    <row r="7410" spans="4:4" x14ac:dyDescent="0.2">
      <c r="D7410" s="5"/>
    </row>
    <row r="7411" spans="4:4" x14ac:dyDescent="0.2">
      <c r="D7411" s="5"/>
    </row>
    <row r="7412" spans="4:4" x14ac:dyDescent="0.2">
      <c r="D7412" s="5"/>
    </row>
    <row r="7413" spans="4:4" x14ac:dyDescent="0.2">
      <c r="D7413" s="5"/>
    </row>
    <row r="7414" spans="4:4" x14ac:dyDescent="0.2">
      <c r="D7414" s="5"/>
    </row>
    <row r="7415" spans="4:4" x14ac:dyDescent="0.2">
      <c r="D7415" s="5"/>
    </row>
    <row r="7416" spans="4:4" x14ac:dyDescent="0.2">
      <c r="D7416" s="5"/>
    </row>
    <row r="7417" spans="4:4" x14ac:dyDescent="0.2">
      <c r="D7417" s="5"/>
    </row>
    <row r="7418" spans="4:4" x14ac:dyDescent="0.2">
      <c r="D7418" s="5"/>
    </row>
    <row r="7419" spans="4:4" x14ac:dyDescent="0.2">
      <c r="D7419" s="5"/>
    </row>
    <row r="7420" spans="4:4" x14ac:dyDescent="0.2">
      <c r="D7420" s="5"/>
    </row>
    <row r="7421" spans="4:4" x14ac:dyDescent="0.2">
      <c r="D7421" s="5"/>
    </row>
    <row r="7422" spans="4:4" x14ac:dyDescent="0.2">
      <c r="D7422" s="5"/>
    </row>
    <row r="7423" spans="4:4" x14ac:dyDescent="0.2">
      <c r="D7423" s="5"/>
    </row>
    <row r="7424" spans="4:4" x14ac:dyDescent="0.2">
      <c r="D7424" s="5"/>
    </row>
    <row r="7425" spans="4:4" x14ac:dyDescent="0.2">
      <c r="D7425" s="5"/>
    </row>
    <row r="7426" spans="4:4" x14ac:dyDescent="0.2">
      <c r="D7426" s="5"/>
    </row>
    <row r="7427" spans="4:4" x14ac:dyDescent="0.2">
      <c r="D7427" s="5"/>
    </row>
    <row r="7428" spans="4:4" x14ac:dyDescent="0.2">
      <c r="D7428" s="5"/>
    </row>
    <row r="7429" spans="4:4" x14ac:dyDescent="0.2">
      <c r="D7429" s="5"/>
    </row>
    <row r="7430" spans="4:4" x14ac:dyDescent="0.2">
      <c r="D7430" s="5"/>
    </row>
    <row r="7431" spans="4:4" x14ac:dyDescent="0.2">
      <c r="D7431" s="5"/>
    </row>
    <row r="7432" spans="4:4" x14ac:dyDescent="0.2">
      <c r="D7432" s="5"/>
    </row>
    <row r="7433" spans="4:4" x14ac:dyDescent="0.2">
      <c r="D7433" s="5"/>
    </row>
    <row r="7434" spans="4:4" x14ac:dyDescent="0.2">
      <c r="D7434" s="5"/>
    </row>
    <row r="7435" spans="4:4" x14ac:dyDescent="0.2">
      <c r="D7435" s="5"/>
    </row>
    <row r="7436" spans="4:4" x14ac:dyDescent="0.2">
      <c r="D7436" s="5"/>
    </row>
    <row r="7437" spans="4:4" x14ac:dyDescent="0.2">
      <c r="D7437" s="5"/>
    </row>
    <row r="7438" spans="4:4" x14ac:dyDescent="0.2">
      <c r="D7438" s="5"/>
    </row>
    <row r="7439" spans="4:4" x14ac:dyDescent="0.2">
      <c r="D7439" s="5"/>
    </row>
    <row r="7440" spans="4:4" x14ac:dyDescent="0.2">
      <c r="D7440" s="5"/>
    </row>
    <row r="7441" spans="4:4" x14ac:dyDescent="0.2">
      <c r="D7441" s="5"/>
    </row>
    <row r="7442" spans="4:4" x14ac:dyDescent="0.2">
      <c r="D7442" s="5"/>
    </row>
    <row r="7443" spans="4:4" x14ac:dyDescent="0.2">
      <c r="D7443" s="5"/>
    </row>
    <row r="7444" spans="4:4" x14ac:dyDescent="0.2">
      <c r="D7444" s="5"/>
    </row>
    <row r="7445" spans="4:4" x14ac:dyDescent="0.2">
      <c r="D7445" s="5"/>
    </row>
    <row r="7446" spans="4:4" x14ac:dyDescent="0.2">
      <c r="D7446" s="5"/>
    </row>
    <row r="7447" spans="4:4" x14ac:dyDescent="0.2">
      <c r="D7447" s="5"/>
    </row>
    <row r="7448" spans="4:4" x14ac:dyDescent="0.2">
      <c r="D7448" s="5"/>
    </row>
    <row r="7449" spans="4:4" x14ac:dyDescent="0.2">
      <c r="D7449" s="5"/>
    </row>
    <row r="7450" spans="4:4" x14ac:dyDescent="0.2">
      <c r="D7450" s="5"/>
    </row>
    <row r="7451" spans="4:4" x14ac:dyDescent="0.2">
      <c r="D7451" s="5"/>
    </row>
    <row r="7452" spans="4:4" x14ac:dyDescent="0.2">
      <c r="D7452" s="5"/>
    </row>
    <row r="7453" spans="4:4" x14ac:dyDescent="0.2">
      <c r="D7453" s="5"/>
    </row>
    <row r="7454" spans="4:4" x14ac:dyDescent="0.2">
      <c r="D7454" s="5"/>
    </row>
    <row r="7455" spans="4:4" x14ac:dyDescent="0.2">
      <c r="D7455" s="5"/>
    </row>
    <row r="7456" spans="4:4" x14ac:dyDescent="0.2">
      <c r="D7456" s="5"/>
    </row>
    <row r="7457" spans="4:4" x14ac:dyDescent="0.2">
      <c r="D7457" s="5"/>
    </row>
    <row r="7458" spans="4:4" x14ac:dyDescent="0.2">
      <c r="D7458" s="5"/>
    </row>
    <row r="7459" spans="4:4" x14ac:dyDescent="0.2">
      <c r="D7459" s="5"/>
    </row>
    <row r="7460" spans="4:4" x14ac:dyDescent="0.2">
      <c r="D7460" s="5"/>
    </row>
    <row r="7461" spans="4:4" x14ac:dyDescent="0.2">
      <c r="D7461" s="5"/>
    </row>
    <row r="7462" spans="4:4" x14ac:dyDescent="0.2">
      <c r="D7462" s="5"/>
    </row>
    <row r="7463" spans="4:4" x14ac:dyDescent="0.2">
      <c r="D7463" s="5"/>
    </row>
    <row r="7464" spans="4:4" x14ac:dyDescent="0.2">
      <c r="D7464" s="5"/>
    </row>
    <row r="7465" spans="4:4" x14ac:dyDescent="0.2">
      <c r="D7465" s="5"/>
    </row>
    <row r="7466" spans="4:4" x14ac:dyDescent="0.2">
      <c r="D7466" s="5"/>
    </row>
    <row r="7467" spans="4:4" x14ac:dyDescent="0.2">
      <c r="D7467" s="5"/>
    </row>
    <row r="7468" spans="4:4" x14ac:dyDescent="0.2">
      <c r="D7468" s="5"/>
    </row>
    <row r="7469" spans="4:4" x14ac:dyDescent="0.2">
      <c r="D7469" s="5"/>
    </row>
    <row r="7470" spans="4:4" x14ac:dyDescent="0.2">
      <c r="D7470" s="5"/>
    </row>
    <row r="7471" spans="4:4" x14ac:dyDescent="0.2">
      <c r="D7471" s="5"/>
    </row>
    <row r="7472" spans="4:4" x14ac:dyDescent="0.2">
      <c r="D7472" s="5"/>
    </row>
    <row r="7473" spans="4:4" x14ac:dyDescent="0.2">
      <c r="D7473" s="5"/>
    </row>
    <row r="7474" spans="4:4" x14ac:dyDescent="0.2">
      <c r="D7474" s="5"/>
    </row>
    <row r="7475" spans="4:4" x14ac:dyDescent="0.2">
      <c r="D7475" s="5"/>
    </row>
    <row r="7476" spans="4:4" x14ac:dyDescent="0.2">
      <c r="D7476" s="5"/>
    </row>
    <row r="7477" spans="4:4" x14ac:dyDescent="0.2">
      <c r="D7477" s="5"/>
    </row>
    <row r="7478" spans="4:4" x14ac:dyDescent="0.2">
      <c r="D7478" s="5"/>
    </row>
    <row r="7479" spans="4:4" x14ac:dyDescent="0.2">
      <c r="D7479" s="5"/>
    </row>
    <row r="7480" spans="4:4" x14ac:dyDescent="0.2">
      <c r="D7480" s="5"/>
    </row>
    <row r="7481" spans="4:4" x14ac:dyDescent="0.2">
      <c r="D7481" s="5"/>
    </row>
    <row r="7482" spans="4:4" x14ac:dyDescent="0.2">
      <c r="D7482" s="5"/>
    </row>
    <row r="7483" spans="4:4" x14ac:dyDescent="0.2">
      <c r="D7483" s="5"/>
    </row>
    <row r="7484" spans="4:4" x14ac:dyDescent="0.2">
      <c r="D7484" s="5"/>
    </row>
    <row r="7485" spans="4:4" x14ac:dyDescent="0.2">
      <c r="D7485" s="5"/>
    </row>
    <row r="7486" spans="4:4" x14ac:dyDescent="0.2">
      <c r="D7486" s="5"/>
    </row>
    <row r="7487" spans="4:4" x14ac:dyDescent="0.2">
      <c r="D7487" s="5"/>
    </row>
    <row r="7488" spans="4:4" x14ac:dyDescent="0.2">
      <c r="D7488" s="5"/>
    </row>
    <row r="7489" spans="4:4" x14ac:dyDescent="0.2">
      <c r="D7489" s="5"/>
    </row>
    <row r="7490" spans="4:4" x14ac:dyDescent="0.2">
      <c r="D7490" s="5"/>
    </row>
    <row r="7491" spans="4:4" x14ac:dyDescent="0.2">
      <c r="D7491" s="5"/>
    </row>
    <row r="7492" spans="4:4" x14ac:dyDescent="0.2">
      <c r="D7492" s="5"/>
    </row>
    <row r="7493" spans="4:4" x14ac:dyDescent="0.2">
      <c r="D7493" s="5"/>
    </row>
    <row r="7494" spans="4:4" x14ac:dyDescent="0.2">
      <c r="D7494" s="5"/>
    </row>
    <row r="7495" spans="4:4" x14ac:dyDescent="0.2">
      <c r="D7495" s="5"/>
    </row>
    <row r="7496" spans="4:4" x14ac:dyDescent="0.2">
      <c r="D7496" s="5"/>
    </row>
    <row r="7497" spans="4:4" x14ac:dyDescent="0.2">
      <c r="D7497" s="5"/>
    </row>
    <row r="7498" spans="4:4" x14ac:dyDescent="0.2">
      <c r="D7498" s="5"/>
    </row>
    <row r="7499" spans="4:4" x14ac:dyDescent="0.2">
      <c r="D7499" s="5"/>
    </row>
    <row r="7500" spans="4:4" x14ac:dyDescent="0.2">
      <c r="D7500" s="5"/>
    </row>
    <row r="7501" spans="4:4" x14ac:dyDescent="0.2">
      <c r="D7501" s="5"/>
    </row>
    <row r="7502" spans="4:4" x14ac:dyDescent="0.2">
      <c r="D7502" s="5"/>
    </row>
    <row r="7503" spans="4:4" x14ac:dyDescent="0.2">
      <c r="D7503" s="5"/>
    </row>
    <row r="7504" spans="4:4" x14ac:dyDescent="0.2">
      <c r="D7504" s="5"/>
    </row>
    <row r="7505" spans="4:4" x14ac:dyDescent="0.2">
      <c r="D7505" s="5"/>
    </row>
    <row r="7506" spans="4:4" x14ac:dyDescent="0.2">
      <c r="D7506" s="5"/>
    </row>
    <row r="7507" spans="4:4" x14ac:dyDescent="0.2">
      <c r="D7507" s="5"/>
    </row>
    <row r="7508" spans="4:4" x14ac:dyDescent="0.2">
      <c r="D7508" s="5"/>
    </row>
    <row r="7509" spans="4:4" x14ac:dyDescent="0.2">
      <c r="D7509" s="5"/>
    </row>
    <row r="7510" spans="4:4" x14ac:dyDescent="0.2">
      <c r="D7510" s="5"/>
    </row>
    <row r="7511" spans="4:4" x14ac:dyDescent="0.2">
      <c r="D7511" s="5"/>
    </row>
    <row r="7512" spans="4:4" x14ac:dyDescent="0.2">
      <c r="D7512" s="5"/>
    </row>
    <row r="7513" spans="4:4" x14ac:dyDescent="0.2">
      <c r="D7513" s="5"/>
    </row>
    <row r="7514" spans="4:4" x14ac:dyDescent="0.2">
      <c r="D7514" s="5"/>
    </row>
    <row r="7515" spans="4:4" x14ac:dyDescent="0.2">
      <c r="D7515" s="5"/>
    </row>
    <row r="7516" spans="4:4" x14ac:dyDescent="0.2">
      <c r="D7516" s="5"/>
    </row>
    <row r="7517" spans="4:4" x14ac:dyDescent="0.2">
      <c r="D7517" s="5"/>
    </row>
    <row r="7518" spans="4:4" x14ac:dyDescent="0.2">
      <c r="D7518" s="5"/>
    </row>
    <row r="7519" spans="4:4" x14ac:dyDescent="0.2">
      <c r="D7519" s="5"/>
    </row>
    <row r="7520" spans="4:4" x14ac:dyDescent="0.2">
      <c r="D7520" s="5"/>
    </row>
    <row r="7521" spans="4:4" x14ac:dyDescent="0.2">
      <c r="D7521" s="5"/>
    </row>
    <row r="7522" spans="4:4" x14ac:dyDescent="0.2">
      <c r="D7522" s="5"/>
    </row>
    <row r="7523" spans="4:4" x14ac:dyDescent="0.2">
      <c r="D7523" s="5"/>
    </row>
    <row r="7524" spans="4:4" x14ac:dyDescent="0.2">
      <c r="D7524" s="5"/>
    </row>
    <row r="7525" spans="4:4" x14ac:dyDescent="0.2">
      <c r="D7525" s="5"/>
    </row>
    <row r="7526" spans="4:4" x14ac:dyDescent="0.2">
      <c r="D7526" s="5"/>
    </row>
    <row r="7527" spans="4:4" x14ac:dyDescent="0.2">
      <c r="D7527" s="5"/>
    </row>
    <row r="7528" spans="4:4" x14ac:dyDescent="0.2">
      <c r="D7528" s="5"/>
    </row>
    <row r="7529" spans="4:4" x14ac:dyDescent="0.2">
      <c r="D7529" s="5"/>
    </row>
    <row r="7530" spans="4:4" x14ac:dyDescent="0.2">
      <c r="D7530" s="5"/>
    </row>
    <row r="7531" spans="4:4" x14ac:dyDescent="0.2">
      <c r="D7531" s="5"/>
    </row>
    <row r="7532" spans="4:4" x14ac:dyDescent="0.2">
      <c r="D7532" s="5"/>
    </row>
    <row r="7533" spans="4:4" x14ac:dyDescent="0.2">
      <c r="D7533" s="5"/>
    </row>
    <row r="7534" spans="4:4" x14ac:dyDescent="0.2">
      <c r="D7534" s="5"/>
    </row>
    <row r="7535" spans="4:4" x14ac:dyDescent="0.2">
      <c r="D7535" s="5"/>
    </row>
    <row r="7536" spans="4:4" x14ac:dyDescent="0.2">
      <c r="D7536" s="5"/>
    </row>
    <row r="7537" spans="4:4" x14ac:dyDescent="0.2">
      <c r="D7537" s="5"/>
    </row>
    <row r="7538" spans="4:4" x14ac:dyDescent="0.2">
      <c r="D7538" s="5"/>
    </row>
    <row r="7539" spans="4:4" x14ac:dyDescent="0.2">
      <c r="D7539" s="5"/>
    </row>
    <row r="7540" spans="4:4" x14ac:dyDescent="0.2">
      <c r="D7540" s="5"/>
    </row>
    <row r="7541" spans="4:4" x14ac:dyDescent="0.2">
      <c r="D7541" s="5"/>
    </row>
    <row r="7542" spans="4:4" x14ac:dyDescent="0.2">
      <c r="D7542" s="5"/>
    </row>
    <row r="7543" spans="4:4" x14ac:dyDescent="0.2">
      <c r="D7543" s="5"/>
    </row>
    <row r="7544" spans="4:4" x14ac:dyDescent="0.2">
      <c r="D7544" s="5"/>
    </row>
    <row r="7545" spans="4:4" x14ac:dyDescent="0.2">
      <c r="D7545" s="5"/>
    </row>
    <row r="7546" spans="4:4" x14ac:dyDescent="0.2">
      <c r="D7546" s="5"/>
    </row>
    <row r="7547" spans="4:4" x14ac:dyDescent="0.2">
      <c r="D7547" s="5"/>
    </row>
    <row r="7548" spans="4:4" x14ac:dyDescent="0.2">
      <c r="D7548" s="5"/>
    </row>
    <row r="7549" spans="4:4" x14ac:dyDescent="0.2">
      <c r="D7549" s="5"/>
    </row>
    <row r="7550" spans="4:4" x14ac:dyDescent="0.2">
      <c r="D7550" s="5"/>
    </row>
    <row r="7551" spans="4:4" x14ac:dyDescent="0.2">
      <c r="D7551" s="5"/>
    </row>
    <row r="7552" spans="4:4" x14ac:dyDescent="0.2">
      <c r="D7552" s="5"/>
    </row>
    <row r="7553" spans="4:4" x14ac:dyDescent="0.2">
      <c r="D7553" s="5"/>
    </row>
    <row r="7554" spans="4:4" x14ac:dyDescent="0.2">
      <c r="D7554" s="5"/>
    </row>
    <row r="7555" spans="4:4" x14ac:dyDescent="0.2">
      <c r="D7555" s="5"/>
    </row>
    <row r="7556" spans="4:4" x14ac:dyDescent="0.2">
      <c r="D7556" s="5"/>
    </row>
    <row r="7557" spans="4:4" x14ac:dyDescent="0.2">
      <c r="D7557" s="5"/>
    </row>
    <row r="7558" spans="4:4" x14ac:dyDescent="0.2">
      <c r="D7558" s="5"/>
    </row>
    <row r="7559" spans="4:4" x14ac:dyDescent="0.2">
      <c r="D7559" s="5"/>
    </row>
    <row r="7560" spans="4:4" x14ac:dyDescent="0.2">
      <c r="D7560" s="5"/>
    </row>
    <row r="7561" spans="4:4" x14ac:dyDescent="0.2">
      <c r="D7561" s="5"/>
    </row>
    <row r="7562" spans="4:4" x14ac:dyDescent="0.2">
      <c r="D7562" s="5"/>
    </row>
    <row r="7563" spans="4:4" x14ac:dyDescent="0.2">
      <c r="D7563" s="5"/>
    </row>
    <row r="7564" spans="4:4" x14ac:dyDescent="0.2">
      <c r="D7564" s="5"/>
    </row>
    <row r="7565" spans="4:4" x14ac:dyDescent="0.2">
      <c r="D7565" s="5"/>
    </row>
    <row r="7566" spans="4:4" x14ac:dyDescent="0.2">
      <c r="D7566" s="5"/>
    </row>
    <row r="7567" spans="4:4" x14ac:dyDescent="0.2">
      <c r="D7567" s="5"/>
    </row>
    <row r="7568" spans="4:4" x14ac:dyDescent="0.2">
      <c r="D7568" s="5"/>
    </row>
    <row r="7569" spans="4:4" x14ac:dyDescent="0.2">
      <c r="D7569" s="5"/>
    </row>
    <row r="7570" spans="4:4" x14ac:dyDescent="0.2">
      <c r="D7570" s="5"/>
    </row>
    <row r="7571" spans="4:4" x14ac:dyDescent="0.2">
      <c r="D7571" s="5"/>
    </row>
    <row r="7572" spans="4:4" x14ac:dyDescent="0.2">
      <c r="D7572" s="5"/>
    </row>
    <row r="7573" spans="4:4" x14ac:dyDescent="0.2">
      <c r="D7573" s="5"/>
    </row>
    <row r="7574" spans="4:4" x14ac:dyDescent="0.2">
      <c r="D7574" s="5"/>
    </row>
    <row r="7575" spans="4:4" x14ac:dyDescent="0.2">
      <c r="D7575" s="5"/>
    </row>
    <row r="7576" spans="4:4" x14ac:dyDescent="0.2">
      <c r="D7576" s="5"/>
    </row>
    <row r="7577" spans="4:4" x14ac:dyDescent="0.2">
      <c r="D7577" s="5"/>
    </row>
    <row r="7578" spans="4:4" x14ac:dyDescent="0.2">
      <c r="D7578" s="5"/>
    </row>
    <row r="7579" spans="4:4" x14ac:dyDescent="0.2">
      <c r="D7579" s="5"/>
    </row>
    <row r="7580" spans="4:4" x14ac:dyDescent="0.2">
      <c r="D7580" s="5"/>
    </row>
    <row r="7581" spans="4:4" x14ac:dyDescent="0.2">
      <c r="D7581" s="5"/>
    </row>
    <row r="7582" spans="4:4" x14ac:dyDescent="0.2">
      <c r="D7582" s="5"/>
    </row>
    <row r="7583" spans="4:4" x14ac:dyDescent="0.2">
      <c r="D7583" s="5"/>
    </row>
    <row r="7584" spans="4:4" x14ac:dyDescent="0.2">
      <c r="D7584" s="5"/>
    </row>
    <row r="7585" spans="4:4" x14ac:dyDescent="0.2">
      <c r="D7585" s="5"/>
    </row>
    <row r="7586" spans="4:4" x14ac:dyDescent="0.2">
      <c r="D7586" s="5"/>
    </row>
    <row r="7587" spans="4:4" x14ac:dyDescent="0.2">
      <c r="D7587" s="5"/>
    </row>
    <row r="7588" spans="4:4" x14ac:dyDescent="0.2">
      <c r="D7588" s="5"/>
    </row>
    <row r="7589" spans="4:4" x14ac:dyDescent="0.2">
      <c r="D7589" s="5"/>
    </row>
    <row r="7590" spans="4:4" x14ac:dyDescent="0.2">
      <c r="D7590" s="5"/>
    </row>
    <row r="7591" spans="4:4" x14ac:dyDescent="0.2">
      <c r="D7591" s="5"/>
    </row>
    <row r="7592" spans="4:4" x14ac:dyDescent="0.2">
      <c r="D7592" s="5"/>
    </row>
    <row r="7593" spans="4:4" x14ac:dyDescent="0.2">
      <c r="D7593" s="5"/>
    </row>
    <row r="7594" spans="4:4" x14ac:dyDescent="0.2">
      <c r="D7594" s="5"/>
    </row>
    <row r="7595" spans="4:4" x14ac:dyDescent="0.2">
      <c r="D7595" s="5"/>
    </row>
    <row r="7596" spans="4:4" x14ac:dyDescent="0.2">
      <c r="D7596" s="5"/>
    </row>
    <row r="7597" spans="4:4" x14ac:dyDescent="0.2">
      <c r="D7597" s="5"/>
    </row>
    <row r="7598" spans="4:4" x14ac:dyDescent="0.2">
      <c r="D7598" s="5"/>
    </row>
    <row r="7599" spans="4:4" x14ac:dyDescent="0.2">
      <c r="D7599" s="5"/>
    </row>
    <row r="7600" spans="4:4" x14ac:dyDescent="0.2">
      <c r="D7600" s="5"/>
    </row>
    <row r="7601" spans="4:4" x14ac:dyDescent="0.2">
      <c r="D7601" s="5"/>
    </row>
    <row r="7602" spans="4:4" x14ac:dyDescent="0.2">
      <c r="D7602" s="5"/>
    </row>
    <row r="7603" spans="4:4" x14ac:dyDescent="0.2">
      <c r="D7603" s="5"/>
    </row>
    <row r="7604" spans="4:4" x14ac:dyDescent="0.2">
      <c r="D7604" s="5"/>
    </row>
    <row r="7605" spans="4:4" x14ac:dyDescent="0.2">
      <c r="D7605" s="5"/>
    </row>
    <row r="7606" spans="4:4" x14ac:dyDescent="0.2">
      <c r="D7606" s="5"/>
    </row>
    <row r="7607" spans="4:4" x14ac:dyDescent="0.2">
      <c r="D7607" s="5"/>
    </row>
    <row r="7608" spans="4:4" x14ac:dyDescent="0.2">
      <c r="D7608" s="5"/>
    </row>
    <row r="7609" spans="4:4" x14ac:dyDescent="0.2">
      <c r="D7609" s="5"/>
    </row>
    <row r="7610" spans="4:4" x14ac:dyDescent="0.2">
      <c r="D7610" s="5"/>
    </row>
    <row r="7611" spans="4:4" x14ac:dyDescent="0.2">
      <c r="D7611" s="5"/>
    </row>
    <row r="7612" spans="4:4" x14ac:dyDescent="0.2">
      <c r="D7612" s="5"/>
    </row>
    <row r="7613" spans="4:4" x14ac:dyDescent="0.2">
      <c r="D7613" s="5"/>
    </row>
    <row r="7614" spans="4:4" x14ac:dyDescent="0.2">
      <c r="D7614" s="5"/>
    </row>
    <row r="7615" spans="4:4" x14ac:dyDescent="0.2">
      <c r="D7615" s="5"/>
    </row>
    <row r="7616" spans="4:4" x14ac:dyDescent="0.2">
      <c r="D7616" s="5"/>
    </row>
    <row r="7617" spans="4:4" x14ac:dyDescent="0.2">
      <c r="D7617" s="5"/>
    </row>
    <row r="7618" spans="4:4" x14ac:dyDescent="0.2">
      <c r="D7618" s="5"/>
    </row>
    <row r="7619" spans="4:4" x14ac:dyDescent="0.2">
      <c r="D7619" s="5"/>
    </row>
    <row r="7620" spans="4:4" x14ac:dyDescent="0.2">
      <c r="D7620" s="5"/>
    </row>
    <row r="7621" spans="4:4" x14ac:dyDescent="0.2">
      <c r="D7621" s="5"/>
    </row>
    <row r="7622" spans="4:4" x14ac:dyDescent="0.2">
      <c r="D7622" s="5"/>
    </row>
    <row r="7623" spans="4:4" x14ac:dyDescent="0.2">
      <c r="D7623" s="5"/>
    </row>
    <row r="7624" spans="4:4" x14ac:dyDescent="0.2">
      <c r="D7624" s="5"/>
    </row>
    <row r="7625" spans="4:4" x14ac:dyDescent="0.2">
      <c r="D7625" s="5"/>
    </row>
    <row r="7626" spans="4:4" x14ac:dyDescent="0.2">
      <c r="D7626" s="5"/>
    </row>
    <row r="7627" spans="4:4" x14ac:dyDescent="0.2">
      <c r="D7627" s="5"/>
    </row>
    <row r="7628" spans="4:4" x14ac:dyDescent="0.2">
      <c r="D7628" s="5"/>
    </row>
    <row r="7629" spans="4:4" x14ac:dyDescent="0.2">
      <c r="D7629" s="5"/>
    </row>
    <row r="7630" spans="4:4" x14ac:dyDescent="0.2">
      <c r="D7630" s="5"/>
    </row>
    <row r="7631" spans="4:4" x14ac:dyDescent="0.2">
      <c r="D7631" s="5"/>
    </row>
    <row r="7632" spans="4:4" x14ac:dyDescent="0.2">
      <c r="D7632" s="5"/>
    </row>
    <row r="7633" spans="4:4" x14ac:dyDescent="0.2">
      <c r="D7633" s="5"/>
    </row>
    <row r="7634" spans="4:4" x14ac:dyDescent="0.2">
      <c r="D7634" s="5"/>
    </row>
    <row r="7635" spans="4:4" x14ac:dyDescent="0.2">
      <c r="D7635" s="5"/>
    </row>
    <row r="7636" spans="4:4" x14ac:dyDescent="0.2">
      <c r="D7636" s="5"/>
    </row>
    <row r="7637" spans="4:4" x14ac:dyDescent="0.2">
      <c r="D7637" s="5"/>
    </row>
    <row r="7638" spans="4:4" x14ac:dyDescent="0.2">
      <c r="D7638" s="5"/>
    </row>
    <row r="7639" spans="4:4" x14ac:dyDescent="0.2">
      <c r="D7639" s="5"/>
    </row>
    <row r="7640" spans="4:4" x14ac:dyDescent="0.2">
      <c r="D7640" s="5"/>
    </row>
    <row r="7641" spans="4:4" x14ac:dyDescent="0.2">
      <c r="D7641" s="5"/>
    </row>
    <row r="7642" spans="4:4" x14ac:dyDescent="0.2">
      <c r="D7642" s="5"/>
    </row>
    <row r="7643" spans="4:4" x14ac:dyDescent="0.2">
      <c r="D7643" s="5"/>
    </row>
    <row r="7644" spans="4:4" x14ac:dyDescent="0.2">
      <c r="D7644" s="5"/>
    </row>
    <row r="7645" spans="4:4" x14ac:dyDescent="0.2">
      <c r="D7645" s="5"/>
    </row>
    <row r="7646" spans="4:4" x14ac:dyDescent="0.2">
      <c r="D7646" s="5"/>
    </row>
    <row r="7647" spans="4:4" x14ac:dyDescent="0.2">
      <c r="D7647" s="5"/>
    </row>
    <row r="7648" spans="4:4" x14ac:dyDescent="0.2">
      <c r="D7648" s="5"/>
    </row>
    <row r="7649" spans="4:4" x14ac:dyDescent="0.2">
      <c r="D7649" s="5"/>
    </row>
    <row r="7650" spans="4:4" x14ac:dyDescent="0.2">
      <c r="D7650" s="5"/>
    </row>
    <row r="7651" spans="4:4" x14ac:dyDescent="0.2">
      <c r="D7651" s="5"/>
    </row>
    <row r="7652" spans="4:4" x14ac:dyDescent="0.2">
      <c r="D7652" s="5"/>
    </row>
    <row r="7653" spans="4:4" x14ac:dyDescent="0.2">
      <c r="D7653" s="5"/>
    </row>
    <row r="7654" spans="4:4" x14ac:dyDescent="0.2">
      <c r="D7654" s="5"/>
    </row>
    <row r="7655" spans="4:4" x14ac:dyDescent="0.2">
      <c r="D7655" s="5"/>
    </row>
    <row r="7656" spans="4:4" x14ac:dyDescent="0.2">
      <c r="D7656" s="5"/>
    </row>
    <row r="7657" spans="4:4" x14ac:dyDescent="0.2">
      <c r="D7657" s="5"/>
    </row>
    <row r="7658" spans="4:4" x14ac:dyDescent="0.2">
      <c r="D7658" s="5"/>
    </row>
    <row r="7659" spans="4:4" x14ac:dyDescent="0.2">
      <c r="D7659" s="5"/>
    </row>
    <row r="7660" spans="4:4" x14ac:dyDescent="0.2">
      <c r="D7660" s="5"/>
    </row>
    <row r="7661" spans="4:4" x14ac:dyDescent="0.2">
      <c r="D7661" s="5"/>
    </row>
    <row r="7662" spans="4:4" x14ac:dyDescent="0.2">
      <c r="D7662" s="5"/>
    </row>
    <row r="7663" spans="4:4" x14ac:dyDescent="0.2">
      <c r="D7663" s="5"/>
    </row>
    <row r="7664" spans="4:4" x14ac:dyDescent="0.2">
      <c r="D7664" s="5"/>
    </row>
    <row r="7665" spans="4:4" x14ac:dyDescent="0.2">
      <c r="D7665" s="5"/>
    </row>
    <row r="7666" spans="4:4" x14ac:dyDescent="0.2">
      <c r="D7666" s="5"/>
    </row>
    <row r="7667" spans="4:4" x14ac:dyDescent="0.2">
      <c r="D7667" s="5"/>
    </row>
    <row r="7668" spans="4:4" x14ac:dyDescent="0.2">
      <c r="D7668" s="5"/>
    </row>
    <row r="7669" spans="4:4" x14ac:dyDescent="0.2">
      <c r="D7669" s="5"/>
    </row>
    <row r="7670" spans="4:4" x14ac:dyDescent="0.2">
      <c r="D7670" s="5"/>
    </row>
    <row r="7671" spans="4:4" x14ac:dyDescent="0.2">
      <c r="D7671" s="5"/>
    </row>
    <row r="7672" spans="4:4" x14ac:dyDescent="0.2">
      <c r="D7672" s="5"/>
    </row>
    <row r="7673" spans="4:4" x14ac:dyDescent="0.2">
      <c r="D7673" s="5"/>
    </row>
    <row r="7674" spans="4:4" x14ac:dyDescent="0.2">
      <c r="D7674" s="5"/>
    </row>
    <row r="7675" spans="4:4" x14ac:dyDescent="0.2">
      <c r="D7675" s="5"/>
    </row>
    <row r="7676" spans="4:4" x14ac:dyDescent="0.2">
      <c r="D7676" s="5"/>
    </row>
    <row r="7677" spans="4:4" x14ac:dyDescent="0.2">
      <c r="D7677" s="5"/>
    </row>
    <row r="7678" spans="4:4" x14ac:dyDescent="0.2">
      <c r="D7678" s="5"/>
    </row>
    <row r="7679" spans="4:4" x14ac:dyDescent="0.2">
      <c r="D7679" s="5"/>
    </row>
    <row r="7680" spans="4:4" x14ac:dyDescent="0.2">
      <c r="D7680" s="5"/>
    </row>
    <row r="7681" spans="4:4" x14ac:dyDescent="0.2">
      <c r="D7681" s="5"/>
    </row>
    <row r="7682" spans="4:4" x14ac:dyDescent="0.2">
      <c r="D7682" s="5"/>
    </row>
    <row r="7683" spans="4:4" x14ac:dyDescent="0.2">
      <c r="D7683" s="5"/>
    </row>
    <row r="7684" spans="4:4" x14ac:dyDescent="0.2">
      <c r="D7684" s="5"/>
    </row>
    <row r="7685" spans="4:4" x14ac:dyDescent="0.2">
      <c r="D7685" s="5"/>
    </row>
    <row r="7686" spans="4:4" x14ac:dyDescent="0.2">
      <c r="D7686" s="5"/>
    </row>
    <row r="7687" spans="4:4" x14ac:dyDescent="0.2">
      <c r="D7687" s="5"/>
    </row>
    <row r="7688" spans="4:4" x14ac:dyDescent="0.2">
      <c r="D7688" s="5"/>
    </row>
    <row r="7689" spans="4:4" x14ac:dyDescent="0.2">
      <c r="D7689" s="5"/>
    </row>
    <row r="7690" spans="4:4" x14ac:dyDescent="0.2">
      <c r="D7690" s="5"/>
    </row>
    <row r="7691" spans="4:4" x14ac:dyDescent="0.2">
      <c r="D7691" s="5"/>
    </row>
    <row r="7692" spans="4:4" x14ac:dyDescent="0.2">
      <c r="D7692" s="5"/>
    </row>
    <row r="7693" spans="4:4" x14ac:dyDescent="0.2">
      <c r="D7693" s="5"/>
    </row>
    <row r="7694" spans="4:4" x14ac:dyDescent="0.2">
      <c r="D7694" s="5"/>
    </row>
    <row r="7695" spans="4:4" x14ac:dyDescent="0.2">
      <c r="D7695" s="5"/>
    </row>
    <row r="7696" spans="4:4" x14ac:dyDescent="0.2">
      <c r="D7696" s="5"/>
    </row>
    <row r="7697" spans="4:4" x14ac:dyDescent="0.2">
      <c r="D7697" s="5"/>
    </row>
    <row r="7698" spans="4:4" x14ac:dyDescent="0.2">
      <c r="D7698" s="5"/>
    </row>
    <row r="7699" spans="4:4" x14ac:dyDescent="0.2">
      <c r="D7699" s="5"/>
    </row>
    <row r="7700" spans="4:4" x14ac:dyDescent="0.2">
      <c r="D7700" s="5"/>
    </row>
    <row r="7701" spans="4:4" x14ac:dyDescent="0.2">
      <c r="D7701" s="5"/>
    </row>
    <row r="7702" spans="4:4" x14ac:dyDescent="0.2">
      <c r="D7702" s="5"/>
    </row>
    <row r="7703" spans="4:4" x14ac:dyDescent="0.2">
      <c r="D7703" s="5"/>
    </row>
    <row r="7704" spans="4:4" x14ac:dyDescent="0.2">
      <c r="D7704" s="5"/>
    </row>
    <row r="7705" spans="4:4" x14ac:dyDescent="0.2">
      <c r="D7705" s="5"/>
    </row>
    <row r="7706" spans="4:4" x14ac:dyDescent="0.2">
      <c r="D7706" s="5"/>
    </row>
    <row r="7707" spans="4:4" x14ac:dyDescent="0.2">
      <c r="D7707" s="5"/>
    </row>
    <row r="7708" spans="4:4" x14ac:dyDescent="0.2">
      <c r="D7708" s="5"/>
    </row>
    <row r="7709" spans="4:4" x14ac:dyDescent="0.2">
      <c r="D7709" s="5"/>
    </row>
    <row r="7710" spans="4:4" x14ac:dyDescent="0.2">
      <c r="D7710" s="5"/>
    </row>
    <row r="7711" spans="4:4" x14ac:dyDescent="0.2">
      <c r="D7711" s="5"/>
    </row>
    <row r="7712" spans="4:4" x14ac:dyDescent="0.2">
      <c r="D7712" s="5"/>
    </row>
    <row r="7713" spans="4:4" x14ac:dyDescent="0.2">
      <c r="D7713" s="5"/>
    </row>
    <row r="7714" spans="4:4" x14ac:dyDescent="0.2">
      <c r="D7714" s="5"/>
    </row>
    <row r="7715" spans="4:4" x14ac:dyDescent="0.2">
      <c r="D7715" s="5"/>
    </row>
    <row r="7716" spans="4:4" x14ac:dyDescent="0.2">
      <c r="D7716" s="5"/>
    </row>
    <row r="7717" spans="4:4" x14ac:dyDescent="0.2">
      <c r="D7717" s="5"/>
    </row>
    <row r="7718" spans="4:4" x14ac:dyDescent="0.2">
      <c r="D7718" s="5"/>
    </row>
    <row r="7719" spans="4:4" x14ac:dyDescent="0.2">
      <c r="D7719" s="5"/>
    </row>
    <row r="7720" spans="4:4" x14ac:dyDescent="0.2">
      <c r="D7720" s="5"/>
    </row>
    <row r="7721" spans="4:4" x14ac:dyDescent="0.2">
      <c r="D7721" s="5"/>
    </row>
    <row r="7722" spans="4:4" x14ac:dyDescent="0.2">
      <c r="D7722" s="5"/>
    </row>
    <row r="7723" spans="4:4" x14ac:dyDescent="0.2">
      <c r="D7723" s="5"/>
    </row>
    <row r="7724" spans="4:4" x14ac:dyDescent="0.2">
      <c r="D7724" s="5"/>
    </row>
    <row r="7725" spans="4:4" x14ac:dyDescent="0.2">
      <c r="D7725" s="5"/>
    </row>
    <row r="7726" spans="4:4" x14ac:dyDescent="0.2">
      <c r="D7726" s="5"/>
    </row>
    <row r="7727" spans="4:4" x14ac:dyDescent="0.2">
      <c r="D7727" s="5"/>
    </row>
    <row r="7728" spans="4:4" x14ac:dyDescent="0.2">
      <c r="D7728" s="5"/>
    </row>
    <row r="7729" spans="4:4" x14ac:dyDescent="0.2">
      <c r="D7729" s="5"/>
    </row>
    <row r="7730" spans="4:4" x14ac:dyDescent="0.2">
      <c r="D7730" s="5"/>
    </row>
    <row r="7731" spans="4:4" x14ac:dyDescent="0.2">
      <c r="D7731" s="5"/>
    </row>
    <row r="7732" spans="4:4" x14ac:dyDescent="0.2">
      <c r="D7732" s="5"/>
    </row>
    <row r="7733" spans="4:4" x14ac:dyDescent="0.2">
      <c r="D7733" s="5"/>
    </row>
    <row r="7734" spans="4:4" x14ac:dyDescent="0.2">
      <c r="D7734" s="5"/>
    </row>
    <row r="7735" spans="4:4" x14ac:dyDescent="0.2">
      <c r="D7735" s="5"/>
    </row>
    <row r="7736" spans="4:4" x14ac:dyDescent="0.2">
      <c r="D7736" s="5"/>
    </row>
    <row r="7737" spans="4:4" x14ac:dyDescent="0.2">
      <c r="D7737" s="5"/>
    </row>
    <row r="7738" spans="4:4" x14ac:dyDescent="0.2">
      <c r="D7738" s="5"/>
    </row>
    <row r="7739" spans="4:4" x14ac:dyDescent="0.2">
      <c r="D7739" s="5"/>
    </row>
    <row r="7740" spans="4:4" x14ac:dyDescent="0.2">
      <c r="D7740" s="5"/>
    </row>
    <row r="7741" spans="4:4" x14ac:dyDescent="0.2">
      <c r="D7741" s="5"/>
    </row>
    <row r="7742" spans="4:4" x14ac:dyDescent="0.2">
      <c r="D7742" s="5"/>
    </row>
    <row r="7743" spans="4:4" x14ac:dyDescent="0.2">
      <c r="D7743" s="5"/>
    </row>
    <row r="7744" spans="4:4" x14ac:dyDescent="0.2">
      <c r="D7744" s="5"/>
    </row>
    <row r="7745" spans="4:4" x14ac:dyDescent="0.2">
      <c r="D7745" s="5"/>
    </row>
    <row r="7746" spans="4:4" x14ac:dyDescent="0.2">
      <c r="D7746" s="5"/>
    </row>
    <row r="7747" spans="4:4" x14ac:dyDescent="0.2">
      <c r="D7747" s="5"/>
    </row>
    <row r="7748" spans="4:4" x14ac:dyDescent="0.2">
      <c r="D7748" s="5"/>
    </row>
    <row r="7749" spans="4:4" x14ac:dyDescent="0.2">
      <c r="D7749" s="5"/>
    </row>
    <row r="7750" spans="4:4" x14ac:dyDescent="0.2">
      <c r="D7750" s="5"/>
    </row>
    <row r="7751" spans="4:4" x14ac:dyDescent="0.2">
      <c r="D7751" s="5"/>
    </row>
    <row r="7752" spans="4:4" x14ac:dyDescent="0.2">
      <c r="D7752" s="5"/>
    </row>
    <row r="7753" spans="4:4" x14ac:dyDescent="0.2">
      <c r="D7753" s="5"/>
    </row>
    <row r="7754" spans="4:4" x14ac:dyDescent="0.2">
      <c r="D7754" s="5"/>
    </row>
    <row r="7755" spans="4:4" x14ac:dyDescent="0.2">
      <c r="D7755" s="5"/>
    </row>
    <row r="7756" spans="4:4" x14ac:dyDescent="0.2">
      <c r="D7756" s="5"/>
    </row>
    <row r="7757" spans="4:4" x14ac:dyDescent="0.2">
      <c r="D7757" s="5"/>
    </row>
    <row r="7758" spans="4:4" x14ac:dyDescent="0.2">
      <c r="D7758" s="5"/>
    </row>
    <row r="7759" spans="4:4" x14ac:dyDescent="0.2">
      <c r="D7759" s="5"/>
    </row>
    <row r="7760" spans="4:4" x14ac:dyDescent="0.2">
      <c r="D7760" s="5"/>
    </row>
    <row r="7761" spans="4:4" x14ac:dyDescent="0.2">
      <c r="D7761" s="5"/>
    </row>
    <row r="7762" spans="4:4" x14ac:dyDescent="0.2">
      <c r="D7762" s="5"/>
    </row>
    <row r="7763" spans="4:4" x14ac:dyDescent="0.2">
      <c r="D7763" s="5"/>
    </row>
    <row r="7764" spans="4:4" x14ac:dyDescent="0.2">
      <c r="D7764" s="5"/>
    </row>
    <row r="7765" spans="4:4" x14ac:dyDescent="0.2">
      <c r="D7765" s="5"/>
    </row>
    <row r="7766" spans="4:4" x14ac:dyDescent="0.2">
      <c r="D7766" s="5"/>
    </row>
    <row r="7767" spans="4:4" x14ac:dyDescent="0.2">
      <c r="D7767" s="5"/>
    </row>
    <row r="7768" spans="4:4" x14ac:dyDescent="0.2">
      <c r="D7768" s="5"/>
    </row>
    <row r="7769" spans="4:4" x14ac:dyDescent="0.2">
      <c r="D7769" s="5"/>
    </row>
    <row r="7770" spans="4:4" x14ac:dyDescent="0.2">
      <c r="D7770" s="5"/>
    </row>
    <row r="7771" spans="4:4" x14ac:dyDescent="0.2">
      <c r="D7771" s="5"/>
    </row>
    <row r="7772" spans="4:4" x14ac:dyDescent="0.2">
      <c r="D7772" s="5"/>
    </row>
    <row r="7773" spans="4:4" x14ac:dyDescent="0.2">
      <c r="D7773" s="5"/>
    </row>
    <row r="7774" spans="4:4" x14ac:dyDescent="0.2">
      <c r="D7774" s="5"/>
    </row>
    <row r="7775" spans="4:4" x14ac:dyDescent="0.2">
      <c r="D7775" s="5"/>
    </row>
    <row r="7776" spans="4:4" x14ac:dyDescent="0.2">
      <c r="D7776" s="5"/>
    </row>
    <row r="7777" spans="4:4" x14ac:dyDescent="0.2">
      <c r="D7777" s="5"/>
    </row>
    <row r="7778" spans="4:4" x14ac:dyDescent="0.2">
      <c r="D7778" s="5"/>
    </row>
    <row r="7779" spans="4:4" x14ac:dyDescent="0.2">
      <c r="D7779" s="5"/>
    </row>
    <row r="7780" spans="4:4" x14ac:dyDescent="0.2">
      <c r="D7780" s="5"/>
    </row>
    <row r="7781" spans="4:4" x14ac:dyDescent="0.2">
      <c r="D7781" s="5"/>
    </row>
    <row r="7782" spans="4:4" x14ac:dyDescent="0.2">
      <c r="D7782" s="5"/>
    </row>
    <row r="7783" spans="4:4" x14ac:dyDescent="0.2">
      <c r="D7783" s="5"/>
    </row>
    <row r="7784" spans="4:4" x14ac:dyDescent="0.2">
      <c r="D7784" s="5"/>
    </row>
    <row r="7785" spans="4:4" x14ac:dyDescent="0.2">
      <c r="D7785" s="5"/>
    </row>
    <row r="7786" spans="4:4" x14ac:dyDescent="0.2">
      <c r="D7786" s="5"/>
    </row>
    <row r="7787" spans="4:4" x14ac:dyDescent="0.2">
      <c r="D7787" s="5"/>
    </row>
    <row r="7788" spans="4:4" x14ac:dyDescent="0.2">
      <c r="D7788" s="5"/>
    </row>
    <row r="7789" spans="4:4" x14ac:dyDescent="0.2">
      <c r="D7789" s="5"/>
    </row>
    <row r="7790" spans="4:4" x14ac:dyDescent="0.2">
      <c r="D7790" s="5"/>
    </row>
    <row r="7791" spans="4:4" x14ac:dyDescent="0.2">
      <c r="D7791" s="5"/>
    </row>
    <row r="7792" spans="4:4" x14ac:dyDescent="0.2">
      <c r="D7792" s="5"/>
    </row>
    <row r="7793" spans="4:4" x14ac:dyDescent="0.2">
      <c r="D7793" s="5"/>
    </row>
    <row r="7794" spans="4:4" x14ac:dyDescent="0.2">
      <c r="D7794" s="5"/>
    </row>
    <row r="7795" spans="4:4" x14ac:dyDescent="0.2">
      <c r="D7795" s="5"/>
    </row>
    <row r="7796" spans="4:4" x14ac:dyDescent="0.2">
      <c r="D7796" s="5"/>
    </row>
    <row r="7797" spans="4:4" x14ac:dyDescent="0.2">
      <c r="D7797" s="5"/>
    </row>
    <row r="7798" spans="4:4" x14ac:dyDescent="0.2">
      <c r="D7798" s="5"/>
    </row>
    <row r="7799" spans="4:4" x14ac:dyDescent="0.2">
      <c r="D7799" s="5"/>
    </row>
    <row r="7800" spans="4:4" x14ac:dyDescent="0.2">
      <c r="D7800" s="5"/>
    </row>
    <row r="7801" spans="4:4" x14ac:dyDescent="0.2">
      <c r="D7801" s="5"/>
    </row>
    <row r="7802" spans="4:4" x14ac:dyDescent="0.2">
      <c r="D7802" s="5"/>
    </row>
    <row r="7803" spans="4:4" x14ac:dyDescent="0.2">
      <c r="D7803" s="5"/>
    </row>
    <row r="7804" spans="4:4" x14ac:dyDescent="0.2">
      <c r="D7804" s="5"/>
    </row>
    <row r="7805" spans="4:4" x14ac:dyDescent="0.2">
      <c r="D7805" s="5"/>
    </row>
    <row r="7806" spans="4:4" x14ac:dyDescent="0.2">
      <c r="D7806" s="5"/>
    </row>
    <row r="7807" spans="4:4" x14ac:dyDescent="0.2">
      <c r="D7807" s="5"/>
    </row>
    <row r="7808" spans="4:4" x14ac:dyDescent="0.2">
      <c r="D7808" s="5"/>
    </row>
    <row r="7809" spans="4:4" x14ac:dyDescent="0.2">
      <c r="D7809" s="5"/>
    </row>
    <row r="7810" spans="4:4" x14ac:dyDescent="0.2">
      <c r="D7810" s="5"/>
    </row>
    <row r="7811" spans="4:4" x14ac:dyDescent="0.2">
      <c r="D7811" s="5"/>
    </row>
    <row r="7812" spans="4:4" x14ac:dyDescent="0.2">
      <c r="D7812" s="5"/>
    </row>
    <row r="7813" spans="4:4" x14ac:dyDescent="0.2">
      <c r="D7813" s="5"/>
    </row>
    <row r="7814" spans="4:4" x14ac:dyDescent="0.2">
      <c r="D7814" s="5"/>
    </row>
    <row r="7815" spans="4:4" x14ac:dyDescent="0.2">
      <c r="D7815" s="5"/>
    </row>
    <row r="7816" spans="4:4" x14ac:dyDescent="0.2">
      <c r="D7816" s="5"/>
    </row>
    <row r="7817" spans="4:4" x14ac:dyDescent="0.2">
      <c r="D7817" s="5"/>
    </row>
    <row r="7818" spans="4:4" x14ac:dyDescent="0.2">
      <c r="D7818" s="5"/>
    </row>
    <row r="7819" spans="4:4" x14ac:dyDescent="0.2">
      <c r="D7819" s="5"/>
    </row>
    <row r="7820" spans="4:4" x14ac:dyDescent="0.2">
      <c r="D7820" s="5"/>
    </row>
    <row r="7821" spans="4:4" x14ac:dyDescent="0.2">
      <c r="D7821" s="5"/>
    </row>
    <row r="7822" spans="4:4" x14ac:dyDescent="0.2">
      <c r="D7822" s="5"/>
    </row>
    <row r="7823" spans="4:4" x14ac:dyDescent="0.2">
      <c r="D7823" s="5"/>
    </row>
    <row r="7824" spans="4:4" x14ac:dyDescent="0.2">
      <c r="D7824" s="5"/>
    </row>
    <row r="7825" spans="4:4" x14ac:dyDescent="0.2">
      <c r="D7825" s="5"/>
    </row>
    <row r="7826" spans="4:4" x14ac:dyDescent="0.2">
      <c r="D7826" s="5"/>
    </row>
    <row r="7827" spans="4:4" x14ac:dyDescent="0.2">
      <c r="D7827" s="5"/>
    </row>
    <row r="7828" spans="4:4" x14ac:dyDescent="0.2">
      <c r="D7828" s="5"/>
    </row>
    <row r="7829" spans="4:4" x14ac:dyDescent="0.2">
      <c r="D7829" s="5"/>
    </row>
    <row r="7830" spans="4:4" x14ac:dyDescent="0.2">
      <c r="D7830" s="5"/>
    </row>
    <row r="7831" spans="4:4" x14ac:dyDescent="0.2">
      <c r="D7831" s="5"/>
    </row>
    <row r="7832" spans="4:4" x14ac:dyDescent="0.2">
      <c r="D7832" s="5"/>
    </row>
    <row r="7833" spans="4:4" x14ac:dyDescent="0.2">
      <c r="D7833" s="5"/>
    </row>
    <row r="7834" spans="4:4" x14ac:dyDescent="0.2">
      <c r="D7834" s="5"/>
    </row>
    <row r="7835" spans="4:4" x14ac:dyDescent="0.2">
      <c r="D7835" s="5"/>
    </row>
    <row r="7836" spans="4:4" x14ac:dyDescent="0.2">
      <c r="D7836" s="5"/>
    </row>
    <row r="7837" spans="4:4" x14ac:dyDescent="0.2">
      <c r="D7837" s="5"/>
    </row>
    <row r="7838" spans="4:4" x14ac:dyDescent="0.2">
      <c r="D7838" s="5"/>
    </row>
    <row r="7839" spans="4:4" x14ac:dyDescent="0.2">
      <c r="D7839" s="5"/>
    </row>
    <row r="7840" spans="4:4" x14ac:dyDescent="0.2">
      <c r="D7840" s="5"/>
    </row>
    <row r="7841" spans="4:4" x14ac:dyDescent="0.2">
      <c r="D7841" s="5"/>
    </row>
    <row r="7842" spans="4:4" x14ac:dyDescent="0.2">
      <c r="D7842" s="5"/>
    </row>
    <row r="7843" spans="4:4" x14ac:dyDescent="0.2">
      <c r="D7843" s="5"/>
    </row>
    <row r="7844" spans="4:4" x14ac:dyDescent="0.2">
      <c r="D7844" s="5"/>
    </row>
    <row r="7845" spans="4:4" x14ac:dyDescent="0.2">
      <c r="D7845" s="5"/>
    </row>
    <row r="7846" spans="4:4" x14ac:dyDescent="0.2">
      <c r="D7846" s="5"/>
    </row>
    <row r="7847" spans="4:4" x14ac:dyDescent="0.2">
      <c r="D7847" s="5"/>
    </row>
    <row r="7848" spans="4:4" x14ac:dyDescent="0.2">
      <c r="D7848" s="5"/>
    </row>
    <row r="7849" spans="4:4" x14ac:dyDescent="0.2">
      <c r="D7849" s="5"/>
    </row>
    <row r="7850" spans="4:4" x14ac:dyDescent="0.2">
      <c r="D7850" s="5"/>
    </row>
    <row r="7851" spans="4:4" x14ac:dyDescent="0.2">
      <c r="D7851" s="5"/>
    </row>
    <row r="7852" spans="4:4" x14ac:dyDescent="0.2">
      <c r="D7852" s="5"/>
    </row>
    <row r="7853" spans="4:4" x14ac:dyDescent="0.2">
      <c r="D7853" s="5"/>
    </row>
    <row r="7854" spans="4:4" x14ac:dyDescent="0.2">
      <c r="D7854" s="5"/>
    </row>
    <row r="7855" spans="4:4" x14ac:dyDescent="0.2">
      <c r="D7855" s="5"/>
    </row>
    <row r="7856" spans="4:4" x14ac:dyDescent="0.2">
      <c r="D7856" s="5"/>
    </row>
    <row r="7857" spans="4:4" x14ac:dyDescent="0.2">
      <c r="D7857" s="5"/>
    </row>
    <row r="7858" spans="4:4" x14ac:dyDescent="0.2">
      <c r="D7858" s="5"/>
    </row>
    <row r="7859" spans="4:4" x14ac:dyDescent="0.2">
      <c r="D7859" s="5"/>
    </row>
    <row r="7860" spans="4:4" x14ac:dyDescent="0.2">
      <c r="D7860" s="5"/>
    </row>
    <row r="7861" spans="4:4" x14ac:dyDescent="0.2">
      <c r="D7861" s="5"/>
    </row>
    <row r="7862" spans="4:4" x14ac:dyDescent="0.2">
      <c r="D7862" s="5"/>
    </row>
    <row r="7863" spans="4:4" x14ac:dyDescent="0.2">
      <c r="D7863" s="5"/>
    </row>
    <row r="7864" spans="4:4" x14ac:dyDescent="0.2">
      <c r="D7864" s="5"/>
    </row>
    <row r="7865" spans="4:4" x14ac:dyDescent="0.2">
      <c r="D7865" s="5"/>
    </row>
    <row r="7866" spans="4:4" x14ac:dyDescent="0.2">
      <c r="D7866" s="5"/>
    </row>
    <row r="7867" spans="4:4" x14ac:dyDescent="0.2">
      <c r="D7867" s="5"/>
    </row>
    <row r="7868" spans="4:4" x14ac:dyDescent="0.2">
      <c r="D7868" s="5"/>
    </row>
    <row r="7869" spans="4:4" x14ac:dyDescent="0.2">
      <c r="D7869" s="5"/>
    </row>
    <row r="7870" spans="4:4" x14ac:dyDescent="0.2">
      <c r="D7870" s="5"/>
    </row>
    <row r="7871" spans="4:4" x14ac:dyDescent="0.2">
      <c r="D7871" s="5"/>
    </row>
    <row r="7872" spans="4:4" x14ac:dyDescent="0.2">
      <c r="D7872" s="5"/>
    </row>
    <row r="7873" spans="4:4" x14ac:dyDescent="0.2">
      <c r="D7873" s="5"/>
    </row>
    <row r="7874" spans="4:4" x14ac:dyDescent="0.2">
      <c r="D7874" s="5"/>
    </row>
    <row r="7875" spans="4:4" x14ac:dyDescent="0.2">
      <c r="D7875" s="5"/>
    </row>
    <row r="7876" spans="4:4" x14ac:dyDescent="0.2">
      <c r="D7876" s="5"/>
    </row>
    <row r="7877" spans="4:4" x14ac:dyDescent="0.2">
      <c r="D7877" s="5"/>
    </row>
    <row r="7878" spans="4:4" x14ac:dyDescent="0.2">
      <c r="D7878" s="5"/>
    </row>
    <row r="7879" spans="4:4" x14ac:dyDescent="0.2">
      <c r="D7879" s="5"/>
    </row>
    <row r="7880" spans="4:4" x14ac:dyDescent="0.2">
      <c r="D7880" s="5"/>
    </row>
    <row r="7881" spans="4:4" x14ac:dyDescent="0.2">
      <c r="D7881" s="5"/>
    </row>
    <row r="7882" spans="4:4" x14ac:dyDescent="0.2">
      <c r="D7882" s="5"/>
    </row>
    <row r="7883" spans="4:4" x14ac:dyDescent="0.2">
      <c r="D7883" s="5"/>
    </row>
    <row r="7884" spans="4:4" x14ac:dyDescent="0.2">
      <c r="D7884" s="5"/>
    </row>
    <row r="7885" spans="4:4" x14ac:dyDescent="0.2">
      <c r="D7885" s="5"/>
    </row>
    <row r="7886" spans="4:4" x14ac:dyDescent="0.2">
      <c r="D7886" s="5"/>
    </row>
    <row r="7887" spans="4:4" x14ac:dyDescent="0.2">
      <c r="D7887" s="5"/>
    </row>
    <row r="7888" spans="4:4" x14ac:dyDescent="0.2">
      <c r="D7888" s="5"/>
    </row>
    <row r="7889" spans="4:4" x14ac:dyDescent="0.2">
      <c r="D7889" s="5"/>
    </row>
    <row r="7890" spans="4:4" x14ac:dyDescent="0.2">
      <c r="D7890" s="5"/>
    </row>
    <row r="7891" spans="4:4" x14ac:dyDescent="0.2">
      <c r="D7891" s="5"/>
    </row>
    <row r="7892" spans="4:4" x14ac:dyDescent="0.2">
      <c r="D7892" s="5"/>
    </row>
    <row r="7893" spans="4:4" x14ac:dyDescent="0.2">
      <c r="D7893" s="5"/>
    </row>
    <row r="7894" spans="4:4" x14ac:dyDescent="0.2">
      <c r="D7894" s="5"/>
    </row>
    <row r="7895" spans="4:4" x14ac:dyDescent="0.2">
      <c r="D7895" s="5"/>
    </row>
    <row r="7896" spans="4:4" x14ac:dyDescent="0.2">
      <c r="D7896" s="5"/>
    </row>
    <row r="7897" spans="4:4" x14ac:dyDescent="0.2">
      <c r="D7897" s="5"/>
    </row>
    <row r="7898" spans="4:4" x14ac:dyDescent="0.2">
      <c r="D7898" s="5"/>
    </row>
    <row r="7899" spans="4:4" x14ac:dyDescent="0.2">
      <c r="D7899" s="5"/>
    </row>
    <row r="7900" spans="4:4" x14ac:dyDescent="0.2">
      <c r="D7900" s="5"/>
    </row>
    <row r="7901" spans="4:4" x14ac:dyDescent="0.2">
      <c r="D7901" s="5"/>
    </row>
    <row r="7902" spans="4:4" x14ac:dyDescent="0.2">
      <c r="D7902" s="5"/>
    </row>
    <row r="7903" spans="4:4" x14ac:dyDescent="0.2">
      <c r="D7903" s="5"/>
    </row>
    <row r="7904" spans="4:4" x14ac:dyDescent="0.2">
      <c r="D7904" s="5"/>
    </row>
    <row r="7905" spans="4:4" x14ac:dyDescent="0.2">
      <c r="D7905" s="5"/>
    </row>
    <row r="7906" spans="4:4" x14ac:dyDescent="0.2">
      <c r="D7906" s="5"/>
    </row>
    <row r="7907" spans="4:4" x14ac:dyDescent="0.2">
      <c r="D7907" s="5"/>
    </row>
    <row r="7908" spans="4:4" x14ac:dyDescent="0.2">
      <c r="D7908" s="5"/>
    </row>
    <row r="7909" spans="4:4" x14ac:dyDescent="0.2">
      <c r="D7909" s="5"/>
    </row>
    <row r="7910" spans="4:4" x14ac:dyDescent="0.2">
      <c r="D7910" s="5"/>
    </row>
    <row r="7911" spans="4:4" x14ac:dyDescent="0.2">
      <c r="D7911" s="5"/>
    </row>
    <row r="7912" spans="4:4" x14ac:dyDescent="0.2">
      <c r="D7912" s="5"/>
    </row>
    <row r="7913" spans="4:4" x14ac:dyDescent="0.2">
      <c r="D7913" s="5"/>
    </row>
    <row r="7914" spans="4:4" x14ac:dyDescent="0.2">
      <c r="D7914" s="5"/>
    </row>
    <row r="7915" spans="4:4" x14ac:dyDescent="0.2">
      <c r="D7915" s="5"/>
    </row>
    <row r="7916" spans="4:4" x14ac:dyDescent="0.2">
      <c r="D7916" s="5"/>
    </row>
    <row r="7917" spans="4:4" x14ac:dyDescent="0.2">
      <c r="D7917" s="5"/>
    </row>
    <row r="7918" spans="4:4" x14ac:dyDescent="0.2">
      <c r="D7918" s="5"/>
    </row>
    <row r="7919" spans="4:4" x14ac:dyDescent="0.2">
      <c r="D7919" s="5"/>
    </row>
    <row r="7920" spans="4:4" x14ac:dyDescent="0.2">
      <c r="D7920" s="5"/>
    </row>
    <row r="7921" spans="4:4" x14ac:dyDescent="0.2">
      <c r="D7921" s="5"/>
    </row>
    <row r="7922" spans="4:4" x14ac:dyDescent="0.2">
      <c r="D7922" s="5"/>
    </row>
    <row r="7923" spans="4:4" x14ac:dyDescent="0.2">
      <c r="D7923" s="5"/>
    </row>
    <row r="7924" spans="4:4" x14ac:dyDescent="0.2">
      <c r="D7924" s="5"/>
    </row>
    <row r="7925" spans="4:4" x14ac:dyDescent="0.2">
      <c r="D7925" s="5"/>
    </row>
    <row r="7926" spans="4:4" x14ac:dyDescent="0.2">
      <c r="D7926" s="5"/>
    </row>
    <row r="7927" spans="4:4" x14ac:dyDescent="0.2">
      <c r="D7927" s="5"/>
    </row>
    <row r="7928" spans="4:4" x14ac:dyDescent="0.2">
      <c r="D7928" s="5"/>
    </row>
    <row r="7929" spans="4:4" x14ac:dyDescent="0.2">
      <c r="D7929" s="5"/>
    </row>
    <row r="7930" spans="4:4" x14ac:dyDescent="0.2">
      <c r="D7930" s="5"/>
    </row>
    <row r="7931" spans="4:4" x14ac:dyDescent="0.2">
      <c r="D7931" s="5"/>
    </row>
    <row r="7932" spans="4:4" x14ac:dyDescent="0.2">
      <c r="D7932" s="5"/>
    </row>
    <row r="7933" spans="4:4" x14ac:dyDescent="0.2">
      <c r="D7933" s="5"/>
    </row>
    <row r="7934" spans="4:4" x14ac:dyDescent="0.2">
      <c r="D7934" s="5"/>
    </row>
    <row r="7935" spans="4:4" x14ac:dyDescent="0.2">
      <c r="D7935" s="5"/>
    </row>
    <row r="7936" spans="4:4" x14ac:dyDescent="0.2">
      <c r="D7936" s="5"/>
    </row>
    <row r="7937" spans="4:4" x14ac:dyDescent="0.2">
      <c r="D7937" s="5"/>
    </row>
    <row r="7938" spans="4:4" x14ac:dyDescent="0.2">
      <c r="D7938" s="5"/>
    </row>
    <row r="7939" spans="4:4" x14ac:dyDescent="0.2">
      <c r="D7939" s="5"/>
    </row>
    <row r="7940" spans="4:4" x14ac:dyDescent="0.2">
      <c r="D7940" s="5"/>
    </row>
    <row r="7941" spans="4:4" x14ac:dyDescent="0.2">
      <c r="D7941" s="5"/>
    </row>
    <row r="7942" spans="4:4" x14ac:dyDescent="0.2">
      <c r="D7942" s="5"/>
    </row>
    <row r="7943" spans="4:4" x14ac:dyDescent="0.2">
      <c r="D7943" s="5"/>
    </row>
    <row r="7944" spans="4:4" x14ac:dyDescent="0.2">
      <c r="D7944" s="5"/>
    </row>
    <row r="7945" spans="4:4" x14ac:dyDescent="0.2">
      <c r="D7945" s="5"/>
    </row>
    <row r="7946" spans="4:4" x14ac:dyDescent="0.2">
      <c r="D7946" s="5"/>
    </row>
    <row r="7947" spans="4:4" x14ac:dyDescent="0.2">
      <c r="D7947" s="5"/>
    </row>
    <row r="7948" spans="4:4" x14ac:dyDescent="0.2">
      <c r="D7948" s="5"/>
    </row>
    <row r="7949" spans="4:4" x14ac:dyDescent="0.2">
      <c r="D7949" s="5"/>
    </row>
    <row r="7950" spans="4:4" x14ac:dyDescent="0.2">
      <c r="D7950" s="5"/>
    </row>
    <row r="7951" spans="4:4" x14ac:dyDescent="0.2">
      <c r="D7951" s="5"/>
    </row>
    <row r="7952" spans="4:4" x14ac:dyDescent="0.2">
      <c r="D7952" s="5"/>
    </row>
    <row r="7953" spans="4:4" x14ac:dyDescent="0.2">
      <c r="D7953" s="5"/>
    </row>
    <row r="7954" spans="4:4" x14ac:dyDescent="0.2">
      <c r="D7954" s="5"/>
    </row>
    <row r="7955" spans="4:4" x14ac:dyDescent="0.2">
      <c r="D7955" s="5"/>
    </row>
    <row r="7956" spans="4:4" x14ac:dyDescent="0.2">
      <c r="D7956" s="5"/>
    </row>
    <row r="7957" spans="4:4" x14ac:dyDescent="0.2">
      <c r="D7957" s="5"/>
    </row>
    <row r="7958" spans="4:4" x14ac:dyDescent="0.2">
      <c r="D7958" s="5"/>
    </row>
    <row r="7959" spans="4:4" x14ac:dyDescent="0.2">
      <c r="D7959" s="5"/>
    </row>
    <row r="7960" spans="4:4" x14ac:dyDescent="0.2">
      <c r="D7960" s="5"/>
    </row>
    <row r="7961" spans="4:4" x14ac:dyDescent="0.2">
      <c r="D7961" s="5"/>
    </row>
    <row r="7962" spans="4:4" x14ac:dyDescent="0.2">
      <c r="D7962" s="5"/>
    </row>
    <row r="7963" spans="4:4" x14ac:dyDescent="0.2">
      <c r="D7963" s="5"/>
    </row>
    <row r="7964" spans="4:4" x14ac:dyDescent="0.2">
      <c r="D7964" s="5"/>
    </row>
    <row r="7965" spans="4:4" x14ac:dyDescent="0.2">
      <c r="D7965" s="5"/>
    </row>
    <row r="7966" spans="4:4" x14ac:dyDescent="0.2">
      <c r="D7966" s="5"/>
    </row>
    <row r="7967" spans="4:4" x14ac:dyDescent="0.2">
      <c r="D7967" s="5"/>
    </row>
    <row r="7968" spans="4:4" x14ac:dyDescent="0.2">
      <c r="D7968" s="5"/>
    </row>
    <row r="7969" spans="4:4" x14ac:dyDescent="0.2">
      <c r="D7969" s="5"/>
    </row>
    <row r="7970" spans="4:4" x14ac:dyDescent="0.2">
      <c r="D7970" s="5"/>
    </row>
    <row r="7971" spans="4:4" x14ac:dyDescent="0.2">
      <c r="D7971" s="5"/>
    </row>
    <row r="7972" spans="4:4" x14ac:dyDescent="0.2">
      <c r="D7972" s="5"/>
    </row>
    <row r="7973" spans="4:4" x14ac:dyDescent="0.2">
      <c r="D7973" s="5"/>
    </row>
    <row r="7974" spans="4:4" x14ac:dyDescent="0.2">
      <c r="D7974" s="5"/>
    </row>
    <row r="7975" spans="4:4" x14ac:dyDescent="0.2">
      <c r="D7975" s="5"/>
    </row>
    <row r="7976" spans="4:4" x14ac:dyDescent="0.2">
      <c r="D7976" s="5"/>
    </row>
    <row r="7977" spans="4:4" x14ac:dyDescent="0.2">
      <c r="D7977" s="5"/>
    </row>
    <row r="7978" spans="4:4" x14ac:dyDescent="0.2">
      <c r="D7978" s="5"/>
    </row>
    <row r="7979" spans="4:4" x14ac:dyDescent="0.2">
      <c r="D7979" s="5"/>
    </row>
    <row r="7980" spans="4:4" x14ac:dyDescent="0.2">
      <c r="D7980" s="5"/>
    </row>
    <row r="7981" spans="4:4" x14ac:dyDescent="0.2">
      <c r="D7981" s="5"/>
    </row>
    <row r="7982" spans="4:4" x14ac:dyDescent="0.2">
      <c r="D7982" s="5"/>
    </row>
    <row r="7983" spans="4:4" x14ac:dyDescent="0.2">
      <c r="D7983" s="5"/>
    </row>
    <row r="7984" spans="4:4" x14ac:dyDescent="0.2">
      <c r="D7984" s="5"/>
    </row>
    <row r="7985" spans="4:4" x14ac:dyDescent="0.2">
      <c r="D7985" s="5"/>
    </row>
    <row r="7986" spans="4:4" x14ac:dyDescent="0.2">
      <c r="D7986" s="5"/>
    </row>
    <row r="7987" spans="4:4" x14ac:dyDescent="0.2">
      <c r="D7987" s="5"/>
    </row>
    <row r="7988" spans="4:4" x14ac:dyDescent="0.2">
      <c r="D7988" s="5"/>
    </row>
    <row r="7989" spans="4:4" x14ac:dyDescent="0.2">
      <c r="D7989" s="5"/>
    </row>
    <row r="7990" spans="4:4" x14ac:dyDescent="0.2">
      <c r="D7990" s="5"/>
    </row>
    <row r="7991" spans="4:4" x14ac:dyDescent="0.2">
      <c r="D7991" s="5"/>
    </row>
    <row r="7992" spans="4:4" x14ac:dyDescent="0.2">
      <c r="D7992" s="5"/>
    </row>
    <row r="7993" spans="4:4" x14ac:dyDescent="0.2">
      <c r="D7993" s="5"/>
    </row>
    <row r="7994" spans="4:4" x14ac:dyDescent="0.2">
      <c r="D7994" s="5"/>
    </row>
    <row r="7995" spans="4:4" x14ac:dyDescent="0.2">
      <c r="D7995" s="5"/>
    </row>
    <row r="7996" spans="4:4" x14ac:dyDescent="0.2">
      <c r="D7996" s="5"/>
    </row>
    <row r="7997" spans="4:4" x14ac:dyDescent="0.2">
      <c r="D7997" s="5"/>
    </row>
    <row r="7998" spans="4:4" x14ac:dyDescent="0.2">
      <c r="D7998" s="5"/>
    </row>
    <row r="7999" spans="4:4" x14ac:dyDescent="0.2">
      <c r="D7999" s="5"/>
    </row>
    <row r="8000" spans="4:4" x14ac:dyDescent="0.2">
      <c r="D8000" s="5"/>
    </row>
    <row r="8001" spans="4:4" x14ac:dyDescent="0.2">
      <c r="D8001" s="5"/>
    </row>
    <row r="8002" spans="4:4" x14ac:dyDescent="0.2">
      <c r="D8002" s="5"/>
    </row>
    <row r="8003" spans="4:4" x14ac:dyDescent="0.2">
      <c r="D8003" s="5"/>
    </row>
    <row r="8004" spans="4:4" x14ac:dyDescent="0.2">
      <c r="D8004" s="5"/>
    </row>
    <row r="8005" spans="4:4" x14ac:dyDescent="0.2">
      <c r="D8005" s="5"/>
    </row>
    <row r="8006" spans="4:4" x14ac:dyDescent="0.2">
      <c r="D8006" s="5"/>
    </row>
    <row r="8007" spans="4:4" x14ac:dyDescent="0.2">
      <c r="D8007" s="5"/>
    </row>
    <row r="8008" spans="4:4" x14ac:dyDescent="0.2">
      <c r="D8008" s="5"/>
    </row>
    <row r="8009" spans="4:4" x14ac:dyDescent="0.2">
      <c r="D8009" s="5"/>
    </row>
    <row r="8010" spans="4:4" x14ac:dyDescent="0.2">
      <c r="D8010" s="5"/>
    </row>
    <row r="8011" spans="4:4" x14ac:dyDescent="0.2">
      <c r="D8011" s="5"/>
    </row>
    <row r="8012" spans="4:4" x14ac:dyDescent="0.2">
      <c r="D8012" s="5"/>
    </row>
    <row r="8013" spans="4:4" x14ac:dyDescent="0.2">
      <c r="D8013" s="5"/>
    </row>
    <row r="8014" spans="4:4" x14ac:dyDescent="0.2">
      <c r="D8014" s="5"/>
    </row>
    <row r="8015" spans="4:4" x14ac:dyDescent="0.2">
      <c r="D8015" s="5"/>
    </row>
    <row r="8016" spans="4:4" x14ac:dyDescent="0.2">
      <c r="D8016" s="5"/>
    </row>
    <row r="8017" spans="4:4" x14ac:dyDescent="0.2">
      <c r="D8017" s="5"/>
    </row>
    <row r="8018" spans="4:4" x14ac:dyDescent="0.2">
      <c r="D8018" s="5"/>
    </row>
    <row r="8019" spans="4:4" x14ac:dyDescent="0.2">
      <c r="D8019" s="5"/>
    </row>
    <row r="8020" spans="4:4" x14ac:dyDescent="0.2">
      <c r="D8020" s="5"/>
    </row>
    <row r="8021" spans="4:4" x14ac:dyDescent="0.2">
      <c r="D8021" s="5"/>
    </row>
    <row r="8022" spans="4:4" x14ac:dyDescent="0.2">
      <c r="D8022" s="5"/>
    </row>
    <row r="8023" spans="4:4" x14ac:dyDescent="0.2">
      <c r="D8023" s="5"/>
    </row>
    <row r="8024" spans="4:4" x14ac:dyDescent="0.2">
      <c r="D8024" s="5"/>
    </row>
    <row r="8025" spans="4:4" x14ac:dyDescent="0.2">
      <c r="D8025" s="5"/>
    </row>
    <row r="8026" spans="4:4" x14ac:dyDescent="0.2">
      <c r="D8026" s="5"/>
    </row>
    <row r="8027" spans="4:4" x14ac:dyDescent="0.2">
      <c r="D8027" s="5"/>
    </row>
    <row r="8028" spans="4:4" x14ac:dyDescent="0.2">
      <c r="D8028" s="5"/>
    </row>
    <row r="8029" spans="4:4" x14ac:dyDescent="0.2">
      <c r="D8029" s="5"/>
    </row>
    <row r="8030" spans="4:4" x14ac:dyDescent="0.2">
      <c r="D8030" s="5"/>
    </row>
    <row r="8031" spans="4:4" x14ac:dyDescent="0.2">
      <c r="D8031" s="5"/>
    </row>
    <row r="8032" spans="4:4" x14ac:dyDescent="0.2">
      <c r="D8032" s="5"/>
    </row>
    <row r="8033" spans="4:4" x14ac:dyDescent="0.2">
      <c r="D8033" s="5"/>
    </row>
    <row r="8034" spans="4:4" x14ac:dyDescent="0.2">
      <c r="D8034" s="5"/>
    </row>
    <row r="8035" spans="4:4" x14ac:dyDescent="0.2">
      <c r="D8035" s="5"/>
    </row>
    <row r="8036" spans="4:4" x14ac:dyDescent="0.2">
      <c r="D8036" s="5"/>
    </row>
    <row r="8037" spans="4:4" x14ac:dyDescent="0.2">
      <c r="D8037" s="5"/>
    </row>
    <row r="8038" spans="4:4" x14ac:dyDescent="0.2">
      <c r="D8038" s="5"/>
    </row>
    <row r="8039" spans="4:4" x14ac:dyDescent="0.2">
      <c r="D8039" s="5"/>
    </row>
    <row r="8040" spans="4:4" x14ac:dyDescent="0.2">
      <c r="D8040" s="5"/>
    </row>
    <row r="8041" spans="4:4" x14ac:dyDescent="0.2">
      <c r="D8041" s="5"/>
    </row>
    <row r="8042" spans="4:4" x14ac:dyDescent="0.2">
      <c r="D8042" s="5"/>
    </row>
    <row r="8043" spans="4:4" x14ac:dyDescent="0.2">
      <c r="D8043" s="5"/>
    </row>
    <row r="8044" spans="4:4" x14ac:dyDescent="0.2">
      <c r="D8044" s="5"/>
    </row>
    <row r="8045" spans="4:4" x14ac:dyDescent="0.2">
      <c r="D8045" s="5"/>
    </row>
    <row r="8046" spans="4:4" x14ac:dyDescent="0.2">
      <c r="D8046" s="5"/>
    </row>
    <row r="8047" spans="4:4" x14ac:dyDescent="0.2">
      <c r="D8047" s="5"/>
    </row>
    <row r="8048" spans="4:4" x14ac:dyDescent="0.2">
      <c r="D8048" s="5"/>
    </row>
    <row r="8049" spans="4:4" x14ac:dyDescent="0.2">
      <c r="D8049" s="5"/>
    </row>
    <row r="8050" spans="4:4" x14ac:dyDescent="0.2">
      <c r="D8050" s="5"/>
    </row>
    <row r="8051" spans="4:4" x14ac:dyDescent="0.2">
      <c r="D8051" s="5"/>
    </row>
    <row r="8052" spans="4:4" x14ac:dyDescent="0.2">
      <c r="D8052" s="5"/>
    </row>
    <row r="8053" spans="4:4" x14ac:dyDescent="0.2">
      <c r="D8053" s="5"/>
    </row>
    <row r="8054" spans="4:4" x14ac:dyDescent="0.2">
      <c r="D8054" s="5"/>
    </row>
    <row r="8055" spans="4:4" x14ac:dyDescent="0.2">
      <c r="D8055" s="5"/>
    </row>
    <row r="8056" spans="4:4" x14ac:dyDescent="0.2">
      <c r="D8056" s="5"/>
    </row>
    <row r="8057" spans="4:4" x14ac:dyDescent="0.2">
      <c r="D8057" s="5"/>
    </row>
    <row r="8058" spans="4:4" x14ac:dyDescent="0.2">
      <c r="D8058" s="5"/>
    </row>
    <row r="8059" spans="4:4" x14ac:dyDescent="0.2">
      <c r="D8059" s="5"/>
    </row>
    <row r="8060" spans="4:4" x14ac:dyDescent="0.2">
      <c r="D8060" s="5"/>
    </row>
    <row r="8061" spans="4:4" x14ac:dyDescent="0.2">
      <c r="D8061" s="5"/>
    </row>
    <row r="8062" spans="4:4" x14ac:dyDescent="0.2">
      <c r="D8062" s="5"/>
    </row>
    <row r="8063" spans="4:4" x14ac:dyDescent="0.2">
      <c r="D8063" s="5"/>
    </row>
    <row r="8064" spans="4:4" x14ac:dyDescent="0.2">
      <c r="D8064" s="5"/>
    </row>
    <row r="8065" spans="4:4" x14ac:dyDescent="0.2">
      <c r="D8065" s="5"/>
    </row>
    <row r="8066" spans="4:4" x14ac:dyDescent="0.2">
      <c r="D8066" s="5"/>
    </row>
    <row r="8067" spans="4:4" x14ac:dyDescent="0.2">
      <c r="D8067" s="5"/>
    </row>
    <row r="8068" spans="4:4" x14ac:dyDescent="0.2">
      <c r="D8068" s="5"/>
    </row>
    <row r="8069" spans="4:4" x14ac:dyDescent="0.2">
      <c r="D8069" s="5"/>
    </row>
    <row r="8070" spans="4:4" x14ac:dyDescent="0.2">
      <c r="D8070" s="5"/>
    </row>
    <row r="8071" spans="4:4" x14ac:dyDescent="0.2">
      <c r="D8071" s="5"/>
    </row>
    <row r="8072" spans="4:4" x14ac:dyDescent="0.2">
      <c r="D8072" s="5"/>
    </row>
    <row r="8073" spans="4:4" x14ac:dyDescent="0.2">
      <c r="D8073" s="5"/>
    </row>
    <row r="8074" spans="4:4" x14ac:dyDescent="0.2">
      <c r="D8074" s="5"/>
    </row>
    <row r="8075" spans="4:4" x14ac:dyDescent="0.2">
      <c r="D8075" s="5"/>
    </row>
    <row r="8076" spans="4:4" x14ac:dyDescent="0.2">
      <c r="D8076" s="5"/>
    </row>
    <row r="8077" spans="4:4" x14ac:dyDescent="0.2">
      <c r="D8077" s="5"/>
    </row>
    <row r="8078" spans="4:4" x14ac:dyDescent="0.2">
      <c r="D8078" s="5"/>
    </row>
    <row r="8079" spans="4:4" x14ac:dyDescent="0.2">
      <c r="D8079" s="5"/>
    </row>
    <row r="8080" spans="4:4" x14ac:dyDescent="0.2">
      <c r="D8080" s="5"/>
    </row>
    <row r="8081" spans="4:4" x14ac:dyDescent="0.2">
      <c r="D8081" s="5"/>
    </row>
    <row r="8082" spans="4:4" x14ac:dyDescent="0.2">
      <c r="D8082" s="5"/>
    </row>
    <row r="8083" spans="4:4" x14ac:dyDescent="0.2">
      <c r="D8083" s="5"/>
    </row>
    <row r="8084" spans="4:4" x14ac:dyDescent="0.2">
      <c r="D8084" s="5"/>
    </row>
    <row r="8085" spans="4:4" x14ac:dyDescent="0.2">
      <c r="D8085" s="5"/>
    </row>
    <row r="8086" spans="4:4" x14ac:dyDescent="0.2">
      <c r="D8086" s="5"/>
    </row>
    <row r="8087" spans="4:4" x14ac:dyDescent="0.2">
      <c r="D8087" s="5"/>
    </row>
    <row r="8088" spans="4:4" x14ac:dyDescent="0.2">
      <c r="D8088" s="5"/>
    </row>
    <row r="8089" spans="4:4" x14ac:dyDescent="0.2">
      <c r="D8089" s="5"/>
    </row>
    <row r="8090" spans="4:4" x14ac:dyDescent="0.2">
      <c r="D8090" s="5"/>
    </row>
    <row r="8091" spans="4:4" x14ac:dyDescent="0.2">
      <c r="D8091" s="5"/>
    </row>
    <row r="8092" spans="4:4" x14ac:dyDescent="0.2">
      <c r="D8092" s="5"/>
    </row>
    <row r="8093" spans="4:4" x14ac:dyDescent="0.2">
      <c r="D8093" s="5"/>
    </row>
    <row r="8094" spans="4:4" x14ac:dyDescent="0.2">
      <c r="D8094" s="5"/>
    </row>
    <row r="8095" spans="4:4" x14ac:dyDescent="0.2">
      <c r="D8095" s="5"/>
    </row>
    <row r="8096" spans="4:4" x14ac:dyDescent="0.2">
      <c r="D8096" s="5"/>
    </row>
    <row r="8097" spans="4:4" x14ac:dyDescent="0.2">
      <c r="D8097" s="5"/>
    </row>
    <row r="8098" spans="4:4" x14ac:dyDescent="0.2">
      <c r="D8098" s="5"/>
    </row>
    <row r="8099" spans="4:4" x14ac:dyDescent="0.2">
      <c r="D8099" s="5"/>
    </row>
    <row r="8100" spans="4:4" x14ac:dyDescent="0.2">
      <c r="D8100" s="5"/>
    </row>
    <row r="8101" spans="4:4" x14ac:dyDescent="0.2">
      <c r="D8101" s="5"/>
    </row>
    <row r="8102" spans="4:4" x14ac:dyDescent="0.2">
      <c r="D8102" s="5"/>
    </row>
    <row r="8103" spans="4:4" x14ac:dyDescent="0.2">
      <c r="D8103" s="5"/>
    </row>
    <row r="8104" spans="4:4" x14ac:dyDescent="0.2">
      <c r="D8104" s="5"/>
    </row>
    <row r="8105" spans="4:4" x14ac:dyDescent="0.2">
      <c r="D8105" s="5"/>
    </row>
    <row r="8106" spans="4:4" x14ac:dyDescent="0.2">
      <c r="D8106" s="5"/>
    </row>
    <row r="8107" spans="4:4" x14ac:dyDescent="0.2">
      <c r="D8107" s="5"/>
    </row>
    <row r="8108" spans="4:4" x14ac:dyDescent="0.2">
      <c r="D8108" s="5"/>
    </row>
    <row r="8109" spans="4:4" x14ac:dyDescent="0.2">
      <c r="D8109" s="5"/>
    </row>
    <row r="8110" spans="4:4" x14ac:dyDescent="0.2">
      <c r="D8110" s="5"/>
    </row>
    <row r="8111" spans="4:4" x14ac:dyDescent="0.2">
      <c r="D8111" s="5"/>
    </row>
    <row r="8112" spans="4:4" x14ac:dyDescent="0.2">
      <c r="D8112" s="5"/>
    </row>
    <row r="8113" spans="4:4" x14ac:dyDescent="0.2">
      <c r="D8113" s="5"/>
    </row>
    <row r="8114" spans="4:4" x14ac:dyDescent="0.2">
      <c r="D8114" s="5"/>
    </row>
    <row r="8115" spans="4:4" x14ac:dyDescent="0.2">
      <c r="D8115" s="5"/>
    </row>
    <row r="8116" spans="4:4" x14ac:dyDescent="0.2">
      <c r="D8116" s="5"/>
    </row>
    <row r="8117" spans="4:4" x14ac:dyDescent="0.2">
      <c r="D8117" s="5"/>
    </row>
    <row r="8118" spans="4:4" x14ac:dyDescent="0.2">
      <c r="D8118" s="5"/>
    </row>
    <row r="8119" spans="4:4" x14ac:dyDescent="0.2">
      <c r="D8119" s="5"/>
    </row>
    <row r="8120" spans="4:4" x14ac:dyDescent="0.2">
      <c r="D8120" s="5"/>
    </row>
    <row r="8121" spans="4:4" x14ac:dyDescent="0.2">
      <c r="D8121" s="5"/>
    </row>
    <row r="8122" spans="4:4" x14ac:dyDescent="0.2">
      <c r="D8122" s="5"/>
    </row>
    <row r="8123" spans="4:4" x14ac:dyDescent="0.2">
      <c r="D8123" s="5"/>
    </row>
    <row r="8124" spans="4:4" x14ac:dyDescent="0.2">
      <c r="D8124" s="5"/>
    </row>
    <row r="8125" spans="4:4" x14ac:dyDescent="0.2">
      <c r="D8125" s="5"/>
    </row>
    <row r="8126" spans="4:4" x14ac:dyDescent="0.2">
      <c r="D8126" s="5"/>
    </row>
    <row r="8127" spans="4:4" x14ac:dyDescent="0.2">
      <c r="D8127" s="5"/>
    </row>
    <row r="8128" spans="4:4" x14ac:dyDescent="0.2">
      <c r="D8128" s="5"/>
    </row>
    <row r="8129" spans="4:4" x14ac:dyDescent="0.2">
      <c r="D8129" s="5"/>
    </row>
    <row r="8130" spans="4:4" x14ac:dyDescent="0.2">
      <c r="D8130" s="5"/>
    </row>
    <row r="8131" spans="4:4" x14ac:dyDescent="0.2">
      <c r="D8131" s="5"/>
    </row>
    <row r="8132" spans="4:4" x14ac:dyDescent="0.2">
      <c r="D8132" s="5"/>
    </row>
    <row r="8133" spans="4:4" x14ac:dyDescent="0.2">
      <c r="D8133" s="5"/>
    </row>
    <row r="8134" spans="4:4" x14ac:dyDescent="0.2">
      <c r="D8134" s="5"/>
    </row>
    <row r="8135" spans="4:4" x14ac:dyDescent="0.2">
      <c r="D8135" s="5"/>
    </row>
    <row r="8136" spans="4:4" x14ac:dyDescent="0.2">
      <c r="D8136" s="5"/>
    </row>
    <row r="8137" spans="4:4" x14ac:dyDescent="0.2">
      <c r="D8137" s="5"/>
    </row>
    <row r="8138" spans="4:4" x14ac:dyDescent="0.2">
      <c r="D8138" s="5"/>
    </row>
    <row r="8139" spans="4:4" x14ac:dyDescent="0.2">
      <c r="D8139" s="5"/>
    </row>
    <row r="8140" spans="4:4" x14ac:dyDescent="0.2">
      <c r="D8140" s="5"/>
    </row>
    <row r="8141" spans="4:4" x14ac:dyDescent="0.2">
      <c r="D8141" s="5"/>
    </row>
    <row r="8142" spans="4:4" x14ac:dyDescent="0.2">
      <c r="D8142" s="5"/>
    </row>
    <row r="8143" spans="4:4" x14ac:dyDescent="0.2">
      <c r="D8143" s="5"/>
    </row>
    <row r="8144" spans="4:4" x14ac:dyDescent="0.2">
      <c r="D8144" s="5"/>
    </row>
    <row r="8145" spans="4:4" x14ac:dyDescent="0.2">
      <c r="D8145" s="5"/>
    </row>
    <row r="8146" spans="4:4" x14ac:dyDescent="0.2">
      <c r="D8146" s="5"/>
    </row>
    <row r="8147" spans="4:4" x14ac:dyDescent="0.2">
      <c r="D8147" s="5"/>
    </row>
    <row r="8148" spans="4:4" x14ac:dyDescent="0.2">
      <c r="D8148" s="5"/>
    </row>
    <row r="8149" spans="4:4" x14ac:dyDescent="0.2">
      <c r="D8149" s="5"/>
    </row>
    <row r="8150" spans="4:4" x14ac:dyDescent="0.2">
      <c r="D8150" s="5"/>
    </row>
    <row r="8151" spans="4:4" x14ac:dyDescent="0.2">
      <c r="D8151" s="5"/>
    </row>
    <row r="8152" spans="4:4" x14ac:dyDescent="0.2">
      <c r="D8152" s="5"/>
    </row>
    <row r="8153" spans="4:4" x14ac:dyDescent="0.2">
      <c r="D8153" s="5"/>
    </row>
    <row r="8154" spans="4:4" x14ac:dyDescent="0.2">
      <c r="D8154" s="5"/>
    </row>
    <row r="8155" spans="4:4" x14ac:dyDescent="0.2">
      <c r="D8155" s="5"/>
    </row>
    <row r="8156" spans="4:4" x14ac:dyDescent="0.2">
      <c r="D8156" s="5"/>
    </row>
    <row r="8157" spans="4:4" x14ac:dyDescent="0.2">
      <c r="D8157" s="5"/>
    </row>
    <row r="8158" spans="4:4" x14ac:dyDescent="0.2">
      <c r="D8158" s="5"/>
    </row>
    <row r="8159" spans="4:4" x14ac:dyDescent="0.2">
      <c r="D8159" s="5"/>
    </row>
    <row r="8160" spans="4:4" x14ac:dyDescent="0.2">
      <c r="D8160" s="5"/>
    </row>
    <row r="8161" spans="4:4" x14ac:dyDescent="0.2">
      <c r="D8161" s="5"/>
    </row>
    <row r="8162" spans="4:4" x14ac:dyDescent="0.2">
      <c r="D8162" s="5"/>
    </row>
    <row r="8163" spans="4:4" x14ac:dyDescent="0.2">
      <c r="D8163" s="5"/>
    </row>
    <row r="8164" spans="4:4" x14ac:dyDescent="0.2">
      <c r="D8164" s="5"/>
    </row>
    <row r="8165" spans="4:4" x14ac:dyDescent="0.2">
      <c r="D8165" s="5"/>
    </row>
    <row r="8166" spans="4:4" x14ac:dyDescent="0.2">
      <c r="D8166" s="5"/>
    </row>
    <row r="8167" spans="4:4" x14ac:dyDescent="0.2">
      <c r="D8167" s="5"/>
    </row>
    <row r="8168" spans="4:4" x14ac:dyDescent="0.2">
      <c r="D8168" s="5"/>
    </row>
    <row r="8169" spans="4:4" x14ac:dyDescent="0.2">
      <c r="D8169" s="5"/>
    </row>
    <row r="8170" spans="4:4" x14ac:dyDescent="0.2">
      <c r="D8170" s="5"/>
    </row>
    <row r="8171" spans="4:4" x14ac:dyDescent="0.2">
      <c r="D8171" s="5"/>
    </row>
    <row r="8172" spans="4:4" x14ac:dyDescent="0.2">
      <c r="D8172" s="5"/>
    </row>
    <row r="8173" spans="4:4" x14ac:dyDescent="0.2">
      <c r="D8173" s="5"/>
    </row>
    <row r="8174" spans="4:4" x14ac:dyDescent="0.2">
      <c r="D8174" s="5"/>
    </row>
    <row r="8175" spans="4:4" x14ac:dyDescent="0.2">
      <c r="D8175" s="5"/>
    </row>
    <row r="8176" spans="4:4" x14ac:dyDescent="0.2">
      <c r="D8176" s="5"/>
    </row>
    <row r="8177" spans="4:4" x14ac:dyDescent="0.2">
      <c r="D8177" s="5"/>
    </row>
    <row r="8178" spans="4:4" x14ac:dyDescent="0.2">
      <c r="D8178" s="5"/>
    </row>
    <row r="8179" spans="4:4" x14ac:dyDescent="0.2">
      <c r="D8179" s="5"/>
    </row>
    <row r="8180" spans="4:4" x14ac:dyDescent="0.2">
      <c r="D8180" s="5"/>
    </row>
    <row r="8181" spans="4:4" x14ac:dyDescent="0.2">
      <c r="D8181" s="5"/>
    </row>
    <row r="8182" spans="4:4" x14ac:dyDescent="0.2">
      <c r="D8182" s="5"/>
    </row>
    <row r="8183" spans="4:4" x14ac:dyDescent="0.2">
      <c r="D8183" s="5"/>
    </row>
    <row r="8184" spans="4:4" x14ac:dyDescent="0.2">
      <c r="D8184" s="5"/>
    </row>
    <row r="8185" spans="4:4" x14ac:dyDescent="0.2">
      <c r="D8185" s="5"/>
    </row>
    <row r="8186" spans="4:4" x14ac:dyDescent="0.2">
      <c r="D8186" s="5"/>
    </row>
    <row r="8187" spans="4:4" x14ac:dyDescent="0.2">
      <c r="D8187" s="5"/>
    </row>
    <row r="8188" spans="4:4" x14ac:dyDescent="0.2">
      <c r="D8188" s="5"/>
    </row>
    <row r="8189" spans="4:4" x14ac:dyDescent="0.2">
      <c r="D8189" s="5"/>
    </row>
    <row r="8190" spans="4:4" x14ac:dyDescent="0.2">
      <c r="D8190" s="5"/>
    </row>
    <row r="8191" spans="4:4" x14ac:dyDescent="0.2">
      <c r="D8191" s="5"/>
    </row>
    <row r="8192" spans="4:4" x14ac:dyDescent="0.2">
      <c r="D8192" s="5"/>
    </row>
    <row r="8193" spans="4:4" x14ac:dyDescent="0.2">
      <c r="D8193" s="5"/>
    </row>
    <row r="8194" spans="4:4" x14ac:dyDescent="0.2">
      <c r="D8194" s="5"/>
    </row>
    <row r="8195" spans="4:4" x14ac:dyDescent="0.2">
      <c r="D8195" s="5"/>
    </row>
    <row r="8196" spans="4:4" x14ac:dyDescent="0.2">
      <c r="D8196" s="5"/>
    </row>
    <row r="8197" spans="4:4" x14ac:dyDescent="0.2">
      <c r="D8197" s="5"/>
    </row>
    <row r="8198" spans="4:4" x14ac:dyDescent="0.2">
      <c r="D8198" s="5"/>
    </row>
    <row r="8199" spans="4:4" x14ac:dyDescent="0.2">
      <c r="D8199" s="5"/>
    </row>
    <row r="8200" spans="4:4" x14ac:dyDescent="0.2">
      <c r="D8200" s="5"/>
    </row>
    <row r="8201" spans="4:4" x14ac:dyDescent="0.2">
      <c r="D8201" s="5"/>
    </row>
    <row r="8202" spans="4:4" x14ac:dyDescent="0.2">
      <c r="D8202" s="5"/>
    </row>
    <row r="8203" spans="4:4" x14ac:dyDescent="0.2">
      <c r="D8203" s="5"/>
    </row>
    <row r="8204" spans="4:4" x14ac:dyDescent="0.2">
      <c r="D8204" s="5"/>
    </row>
    <row r="8205" spans="4:4" x14ac:dyDescent="0.2">
      <c r="D8205" s="5"/>
    </row>
    <row r="8206" spans="4:4" x14ac:dyDescent="0.2">
      <c r="D8206" s="5"/>
    </row>
    <row r="8207" spans="4:4" x14ac:dyDescent="0.2">
      <c r="D8207" s="5"/>
    </row>
    <row r="8208" spans="4:4" x14ac:dyDescent="0.2">
      <c r="D8208" s="5"/>
    </row>
    <row r="8209" spans="4:4" x14ac:dyDescent="0.2">
      <c r="D8209" s="5"/>
    </row>
    <row r="8210" spans="4:4" x14ac:dyDescent="0.2">
      <c r="D8210" s="5"/>
    </row>
    <row r="8211" spans="4:4" x14ac:dyDescent="0.2">
      <c r="D8211" s="5"/>
    </row>
    <row r="8212" spans="4:4" x14ac:dyDescent="0.2">
      <c r="D8212" s="5"/>
    </row>
    <row r="8213" spans="4:4" x14ac:dyDescent="0.2">
      <c r="D8213" s="5"/>
    </row>
    <row r="8214" spans="4:4" x14ac:dyDescent="0.2">
      <c r="D8214" s="5"/>
    </row>
    <row r="8215" spans="4:4" x14ac:dyDescent="0.2">
      <c r="D8215" s="5"/>
    </row>
    <row r="8216" spans="4:4" x14ac:dyDescent="0.2">
      <c r="D8216" s="5"/>
    </row>
    <row r="8217" spans="4:4" x14ac:dyDescent="0.2">
      <c r="D8217" s="5"/>
    </row>
    <row r="8218" spans="4:4" x14ac:dyDescent="0.2">
      <c r="D8218" s="5"/>
    </row>
    <row r="8219" spans="4:4" x14ac:dyDescent="0.2">
      <c r="D8219" s="5"/>
    </row>
    <row r="8220" spans="4:4" x14ac:dyDescent="0.2">
      <c r="D8220" s="5"/>
    </row>
    <row r="8221" spans="4:4" x14ac:dyDescent="0.2">
      <c r="D8221" s="5"/>
    </row>
    <row r="8222" spans="4:4" x14ac:dyDescent="0.2">
      <c r="D8222" s="5"/>
    </row>
    <row r="8223" spans="4:4" x14ac:dyDescent="0.2">
      <c r="D8223" s="5"/>
    </row>
    <row r="8224" spans="4:4" x14ac:dyDescent="0.2">
      <c r="D8224" s="5"/>
    </row>
    <row r="8225" spans="4:4" x14ac:dyDescent="0.2">
      <c r="D8225" s="5"/>
    </row>
    <row r="8226" spans="4:4" x14ac:dyDescent="0.2">
      <c r="D8226" s="5"/>
    </row>
    <row r="8227" spans="4:4" x14ac:dyDescent="0.2">
      <c r="D8227" s="5"/>
    </row>
    <row r="8228" spans="4:4" x14ac:dyDescent="0.2">
      <c r="D8228" s="5"/>
    </row>
    <row r="8229" spans="4:4" x14ac:dyDescent="0.2">
      <c r="D8229" s="5"/>
    </row>
    <row r="8230" spans="4:4" x14ac:dyDescent="0.2">
      <c r="D8230" s="5"/>
    </row>
    <row r="8231" spans="4:4" x14ac:dyDescent="0.2">
      <c r="D8231" s="5"/>
    </row>
    <row r="8232" spans="4:4" x14ac:dyDescent="0.2">
      <c r="D8232" s="5"/>
    </row>
    <row r="8233" spans="4:4" x14ac:dyDescent="0.2">
      <c r="D8233" s="5"/>
    </row>
    <row r="8234" spans="4:4" x14ac:dyDescent="0.2">
      <c r="D8234" s="5"/>
    </row>
    <row r="8235" spans="4:4" x14ac:dyDescent="0.2">
      <c r="D8235" s="5"/>
    </row>
    <row r="8236" spans="4:4" x14ac:dyDescent="0.2">
      <c r="D8236" s="5"/>
    </row>
    <row r="8237" spans="4:4" x14ac:dyDescent="0.2">
      <c r="D8237" s="5"/>
    </row>
    <row r="8238" spans="4:4" x14ac:dyDescent="0.2">
      <c r="D8238" s="5"/>
    </row>
    <row r="8239" spans="4:4" x14ac:dyDescent="0.2">
      <c r="D8239" s="5"/>
    </row>
    <row r="8240" spans="4:4" x14ac:dyDescent="0.2">
      <c r="D8240" s="5"/>
    </row>
    <row r="8241" spans="4:4" x14ac:dyDescent="0.2">
      <c r="D8241" s="5"/>
    </row>
    <row r="8242" spans="4:4" x14ac:dyDescent="0.2">
      <c r="D8242" s="5"/>
    </row>
    <row r="8243" spans="4:4" x14ac:dyDescent="0.2">
      <c r="D8243" s="5"/>
    </row>
    <row r="8244" spans="4:4" x14ac:dyDescent="0.2">
      <c r="D8244" s="5"/>
    </row>
    <row r="8245" spans="4:4" x14ac:dyDescent="0.2">
      <c r="D8245" s="5"/>
    </row>
    <row r="8246" spans="4:4" x14ac:dyDescent="0.2">
      <c r="D8246" s="5"/>
    </row>
    <row r="8247" spans="4:4" x14ac:dyDescent="0.2">
      <c r="D8247" s="5"/>
    </row>
    <row r="8248" spans="4:4" x14ac:dyDescent="0.2">
      <c r="D8248" s="5"/>
    </row>
    <row r="8249" spans="4:4" x14ac:dyDescent="0.2">
      <c r="D8249" s="5"/>
    </row>
    <row r="8250" spans="4:4" x14ac:dyDescent="0.2">
      <c r="D8250" s="5"/>
    </row>
    <row r="8251" spans="4:4" x14ac:dyDescent="0.2">
      <c r="D8251" s="5"/>
    </row>
    <row r="8252" spans="4:4" x14ac:dyDescent="0.2">
      <c r="D8252" s="5"/>
    </row>
    <row r="8253" spans="4:4" x14ac:dyDescent="0.2">
      <c r="D8253" s="5"/>
    </row>
    <row r="8254" spans="4:4" x14ac:dyDescent="0.2">
      <c r="D8254" s="5"/>
    </row>
    <row r="8255" spans="4:4" x14ac:dyDescent="0.2">
      <c r="D8255" s="5"/>
    </row>
    <row r="8256" spans="4:4" x14ac:dyDescent="0.2">
      <c r="D8256" s="5"/>
    </row>
    <row r="8257" spans="4:4" x14ac:dyDescent="0.2">
      <c r="D8257" s="5"/>
    </row>
    <row r="8258" spans="4:4" x14ac:dyDescent="0.2">
      <c r="D8258" s="5"/>
    </row>
    <row r="8259" spans="4:4" x14ac:dyDescent="0.2">
      <c r="D8259" s="5"/>
    </row>
    <row r="8260" spans="4:4" x14ac:dyDescent="0.2">
      <c r="D8260" s="5"/>
    </row>
    <row r="8261" spans="4:4" x14ac:dyDescent="0.2">
      <c r="D8261" s="5"/>
    </row>
    <row r="8262" spans="4:4" x14ac:dyDescent="0.2">
      <c r="D8262" s="5"/>
    </row>
    <row r="8263" spans="4:4" x14ac:dyDescent="0.2">
      <c r="D8263" s="5"/>
    </row>
    <row r="8264" spans="4:4" x14ac:dyDescent="0.2">
      <c r="D8264" s="5"/>
    </row>
    <row r="8265" spans="4:4" x14ac:dyDescent="0.2">
      <c r="D8265" s="5"/>
    </row>
    <row r="8266" spans="4:4" x14ac:dyDescent="0.2">
      <c r="D8266" s="5"/>
    </row>
    <row r="8267" spans="4:4" x14ac:dyDescent="0.2">
      <c r="D8267" s="5"/>
    </row>
    <row r="8268" spans="4:4" x14ac:dyDescent="0.2">
      <c r="D8268" s="5"/>
    </row>
    <row r="8269" spans="4:4" x14ac:dyDescent="0.2">
      <c r="D8269" s="5"/>
    </row>
    <row r="8270" spans="4:4" x14ac:dyDescent="0.2">
      <c r="D8270" s="5"/>
    </row>
    <row r="8271" spans="4:4" x14ac:dyDescent="0.2">
      <c r="D8271" s="5"/>
    </row>
    <row r="8272" spans="4:4" x14ac:dyDescent="0.2">
      <c r="D8272" s="5"/>
    </row>
    <row r="8273" spans="4:4" x14ac:dyDescent="0.2">
      <c r="D8273" s="5"/>
    </row>
    <row r="8274" spans="4:4" x14ac:dyDescent="0.2">
      <c r="D8274" s="5"/>
    </row>
    <row r="8275" spans="4:4" x14ac:dyDescent="0.2">
      <c r="D8275" s="5"/>
    </row>
    <row r="8276" spans="4:4" x14ac:dyDescent="0.2">
      <c r="D8276" s="5"/>
    </row>
    <row r="8277" spans="4:4" x14ac:dyDescent="0.2">
      <c r="D8277" s="5"/>
    </row>
    <row r="8278" spans="4:4" x14ac:dyDescent="0.2">
      <c r="D8278" s="5"/>
    </row>
    <row r="8279" spans="4:4" x14ac:dyDescent="0.2">
      <c r="D8279" s="5"/>
    </row>
    <row r="8280" spans="4:4" x14ac:dyDescent="0.2">
      <c r="D8280" s="5"/>
    </row>
    <row r="8281" spans="4:4" x14ac:dyDescent="0.2">
      <c r="D8281" s="5"/>
    </row>
    <row r="8282" spans="4:4" x14ac:dyDescent="0.2">
      <c r="D8282" s="5"/>
    </row>
    <row r="8283" spans="4:4" x14ac:dyDescent="0.2">
      <c r="D8283" s="5"/>
    </row>
    <row r="8284" spans="4:4" x14ac:dyDescent="0.2">
      <c r="D8284" s="5"/>
    </row>
    <row r="8285" spans="4:4" x14ac:dyDescent="0.2">
      <c r="D8285" s="5"/>
    </row>
    <row r="8286" spans="4:4" x14ac:dyDescent="0.2">
      <c r="D8286" s="5"/>
    </row>
    <row r="8287" spans="4:4" x14ac:dyDescent="0.2">
      <c r="D8287" s="5"/>
    </row>
    <row r="8288" spans="4:4" x14ac:dyDescent="0.2">
      <c r="D8288" s="5"/>
    </row>
    <row r="8289" spans="4:4" x14ac:dyDescent="0.2">
      <c r="D8289" s="5"/>
    </row>
    <row r="8290" spans="4:4" x14ac:dyDescent="0.2">
      <c r="D8290" s="5"/>
    </row>
    <row r="8291" spans="4:4" x14ac:dyDescent="0.2">
      <c r="D8291" s="5"/>
    </row>
    <row r="8292" spans="4:4" x14ac:dyDescent="0.2">
      <c r="D8292" s="5"/>
    </row>
    <row r="8293" spans="4:4" x14ac:dyDescent="0.2">
      <c r="D8293" s="5"/>
    </row>
    <row r="8294" spans="4:4" x14ac:dyDescent="0.2">
      <c r="D8294" s="5"/>
    </row>
    <row r="8295" spans="4:4" x14ac:dyDescent="0.2">
      <c r="D8295" s="5"/>
    </row>
    <row r="8296" spans="4:4" x14ac:dyDescent="0.2">
      <c r="D8296" s="5"/>
    </row>
    <row r="8297" spans="4:4" x14ac:dyDescent="0.2">
      <c r="D8297" s="5"/>
    </row>
    <row r="8298" spans="4:4" x14ac:dyDescent="0.2">
      <c r="D8298" s="5"/>
    </row>
    <row r="8299" spans="4:4" x14ac:dyDescent="0.2">
      <c r="D8299" s="5"/>
    </row>
    <row r="8300" spans="4:4" x14ac:dyDescent="0.2">
      <c r="D8300" s="5"/>
    </row>
    <row r="8301" spans="4:4" x14ac:dyDescent="0.2">
      <c r="D8301" s="5"/>
    </row>
    <row r="8302" spans="4:4" x14ac:dyDescent="0.2">
      <c r="D8302" s="5"/>
    </row>
    <row r="8303" spans="4:4" x14ac:dyDescent="0.2">
      <c r="D8303" s="5"/>
    </row>
    <row r="8304" spans="4:4" x14ac:dyDescent="0.2">
      <c r="D8304" s="5"/>
    </row>
    <row r="8305" spans="4:4" x14ac:dyDescent="0.2">
      <c r="D8305" s="5"/>
    </row>
    <row r="8306" spans="4:4" x14ac:dyDescent="0.2">
      <c r="D8306" s="5"/>
    </row>
    <row r="8307" spans="4:4" x14ac:dyDescent="0.2">
      <c r="D8307" s="5"/>
    </row>
    <row r="8308" spans="4:4" x14ac:dyDescent="0.2">
      <c r="D8308" s="5"/>
    </row>
    <row r="8309" spans="4:4" x14ac:dyDescent="0.2">
      <c r="D8309" s="5"/>
    </row>
    <row r="8310" spans="4:4" x14ac:dyDescent="0.2">
      <c r="D8310" s="5"/>
    </row>
    <row r="8311" spans="4:4" x14ac:dyDescent="0.2">
      <c r="D8311" s="5"/>
    </row>
    <row r="8312" spans="4:4" x14ac:dyDescent="0.2">
      <c r="D8312" s="5"/>
    </row>
    <row r="8313" spans="4:4" x14ac:dyDescent="0.2">
      <c r="D8313" s="5"/>
    </row>
    <row r="8314" spans="4:4" x14ac:dyDescent="0.2">
      <c r="D8314" s="5"/>
    </row>
    <row r="8315" spans="4:4" x14ac:dyDescent="0.2">
      <c r="D8315" s="5"/>
    </row>
    <row r="8316" spans="4:4" x14ac:dyDescent="0.2">
      <c r="D8316" s="5"/>
    </row>
    <row r="8317" spans="4:4" x14ac:dyDescent="0.2">
      <c r="D8317" s="5"/>
    </row>
    <row r="8318" spans="4:4" x14ac:dyDescent="0.2">
      <c r="D8318" s="5"/>
    </row>
    <row r="8319" spans="4:4" x14ac:dyDescent="0.2">
      <c r="D8319" s="5"/>
    </row>
    <row r="8320" spans="4:4" x14ac:dyDescent="0.2">
      <c r="D8320" s="5"/>
    </row>
    <row r="8321" spans="4:4" x14ac:dyDescent="0.2">
      <c r="D8321" s="5"/>
    </row>
    <row r="8322" spans="4:4" x14ac:dyDescent="0.2">
      <c r="D8322" s="5"/>
    </row>
    <row r="8323" spans="4:4" x14ac:dyDescent="0.2">
      <c r="D8323" s="5"/>
    </row>
    <row r="8324" spans="4:4" x14ac:dyDescent="0.2">
      <c r="D8324" s="5"/>
    </row>
    <row r="8325" spans="4:4" x14ac:dyDescent="0.2">
      <c r="D8325" s="5"/>
    </row>
    <row r="8326" spans="4:4" x14ac:dyDescent="0.2">
      <c r="D8326" s="5"/>
    </row>
    <row r="8327" spans="4:4" x14ac:dyDescent="0.2">
      <c r="D8327" s="5"/>
    </row>
    <row r="8328" spans="4:4" x14ac:dyDescent="0.2">
      <c r="D8328" s="5"/>
    </row>
    <row r="8329" spans="4:4" x14ac:dyDescent="0.2">
      <c r="D8329" s="5"/>
    </row>
    <row r="8330" spans="4:4" x14ac:dyDescent="0.2">
      <c r="D8330" s="5"/>
    </row>
    <row r="8331" spans="4:4" x14ac:dyDescent="0.2">
      <c r="D8331" s="5"/>
    </row>
    <row r="8332" spans="4:4" x14ac:dyDescent="0.2">
      <c r="D8332" s="5"/>
    </row>
    <row r="8333" spans="4:4" x14ac:dyDescent="0.2">
      <c r="D8333" s="5"/>
    </row>
    <row r="8334" spans="4:4" x14ac:dyDescent="0.2">
      <c r="D8334" s="5"/>
    </row>
    <row r="8335" spans="4:4" x14ac:dyDescent="0.2">
      <c r="D8335" s="5"/>
    </row>
    <row r="8336" spans="4:4" x14ac:dyDescent="0.2">
      <c r="D8336" s="5"/>
    </row>
    <row r="8337" spans="4:4" x14ac:dyDescent="0.2">
      <c r="D8337" s="5"/>
    </row>
    <row r="8338" spans="4:4" x14ac:dyDescent="0.2">
      <c r="D8338" s="5"/>
    </row>
    <row r="8339" spans="4:4" x14ac:dyDescent="0.2">
      <c r="D8339" s="5"/>
    </row>
    <row r="8340" spans="4:4" x14ac:dyDescent="0.2">
      <c r="D8340" s="5"/>
    </row>
    <row r="8341" spans="4:4" x14ac:dyDescent="0.2">
      <c r="D8341" s="5"/>
    </row>
    <row r="8342" spans="4:4" x14ac:dyDescent="0.2">
      <c r="D8342" s="5"/>
    </row>
    <row r="8343" spans="4:4" x14ac:dyDescent="0.2">
      <c r="D8343" s="5"/>
    </row>
    <row r="8344" spans="4:4" x14ac:dyDescent="0.2">
      <c r="D8344" s="5"/>
    </row>
    <row r="8345" spans="4:4" x14ac:dyDescent="0.2">
      <c r="D8345" s="5"/>
    </row>
    <row r="8346" spans="4:4" x14ac:dyDescent="0.2">
      <c r="D8346" s="5"/>
    </row>
    <row r="8347" spans="4:4" x14ac:dyDescent="0.2">
      <c r="D8347" s="5"/>
    </row>
    <row r="8348" spans="4:4" x14ac:dyDescent="0.2">
      <c r="D8348" s="5"/>
    </row>
    <row r="8349" spans="4:4" x14ac:dyDescent="0.2">
      <c r="D8349" s="5"/>
    </row>
    <row r="8350" spans="4:4" x14ac:dyDescent="0.2">
      <c r="D8350" s="5"/>
    </row>
    <row r="8351" spans="4:4" x14ac:dyDescent="0.2">
      <c r="D8351" s="5"/>
    </row>
    <row r="8352" spans="4:4" x14ac:dyDescent="0.2">
      <c r="D8352" s="5"/>
    </row>
    <row r="8353" spans="4:4" x14ac:dyDescent="0.2">
      <c r="D8353" s="5"/>
    </row>
    <row r="8354" spans="4:4" x14ac:dyDescent="0.2">
      <c r="D8354" s="5"/>
    </row>
    <row r="8355" spans="4:4" x14ac:dyDescent="0.2">
      <c r="D8355" s="5"/>
    </row>
    <row r="8356" spans="4:4" x14ac:dyDescent="0.2">
      <c r="D8356" s="5"/>
    </row>
    <row r="8357" spans="4:4" x14ac:dyDescent="0.2">
      <c r="D8357" s="5"/>
    </row>
    <row r="8358" spans="4:4" x14ac:dyDescent="0.2">
      <c r="D8358" s="5"/>
    </row>
    <row r="8359" spans="4:4" x14ac:dyDescent="0.2">
      <c r="D8359" s="5"/>
    </row>
    <row r="8360" spans="4:4" x14ac:dyDescent="0.2">
      <c r="D8360" s="5"/>
    </row>
    <row r="8361" spans="4:4" x14ac:dyDescent="0.2">
      <c r="D8361" s="5"/>
    </row>
    <row r="8362" spans="4:4" x14ac:dyDescent="0.2">
      <c r="D8362" s="5"/>
    </row>
    <row r="8363" spans="4:4" x14ac:dyDescent="0.2">
      <c r="D8363" s="5"/>
    </row>
    <row r="8364" spans="4:4" x14ac:dyDescent="0.2">
      <c r="D8364" s="5"/>
    </row>
    <row r="8365" spans="4:4" x14ac:dyDescent="0.2">
      <c r="D8365" s="5"/>
    </row>
    <row r="8366" spans="4:4" x14ac:dyDescent="0.2">
      <c r="D8366" s="5"/>
    </row>
    <row r="8367" spans="4:4" x14ac:dyDescent="0.2">
      <c r="D8367" s="5"/>
    </row>
    <row r="8368" spans="4:4" x14ac:dyDescent="0.2">
      <c r="D8368" s="5"/>
    </row>
    <row r="8369" spans="4:4" x14ac:dyDescent="0.2">
      <c r="D8369" s="5"/>
    </row>
    <row r="8370" spans="4:4" x14ac:dyDescent="0.2">
      <c r="D8370" s="5"/>
    </row>
    <row r="8371" spans="4:4" x14ac:dyDescent="0.2">
      <c r="D8371" s="5"/>
    </row>
    <row r="8372" spans="4:4" x14ac:dyDescent="0.2">
      <c r="D8372" s="5"/>
    </row>
    <row r="8373" spans="4:4" x14ac:dyDescent="0.2">
      <c r="D8373" s="5"/>
    </row>
    <row r="8374" spans="4:4" x14ac:dyDescent="0.2">
      <c r="D8374" s="5"/>
    </row>
    <row r="8375" spans="4:4" x14ac:dyDescent="0.2">
      <c r="D8375" s="5"/>
    </row>
    <row r="8376" spans="4:4" x14ac:dyDescent="0.2">
      <c r="D8376" s="5"/>
    </row>
    <row r="8377" spans="4:4" x14ac:dyDescent="0.2">
      <c r="D8377" s="5"/>
    </row>
    <row r="8378" spans="4:4" x14ac:dyDescent="0.2">
      <c r="D8378" s="5"/>
    </row>
    <row r="8379" spans="4:4" x14ac:dyDescent="0.2">
      <c r="D8379" s="5"/>
    </row>
    <row r="8380" spans="4:4" x14ac:dyDescent="0.2">
      <c r="D8380" s="5"/>
    </row>
    <row r="8381" spans="4:4" x14ac:dyDescent="0.2">
      <c r="D8381" s="5"/>
    </row>
    <row r="8382" spans="4:4" x14ac:dyDescent="0.2">
      <c r="D8382" s="5"/>
    </row>
    <row r="8383" spans="4:4" x14ac:dyDescent="0.2">
      <c r="D8383" s="5"/>
    </row>
    <row r="8384" spans="4:4" x14ac:dyDescent="0.2">
      <c r="D8384" s="5"/>
    </row>
    <row r="8385" spans="4:4" x14ac:dyDescent="0.2">
      <c r="D8385" s="5"/>
    </row>
    <row r="8386" spans="4:4" x14ac:dyDescent="0.2">
      <c r="D8386" s="5"/>
    </row>
    <row r="8387" spans="4:4" x14ac:dyDescent="0.2">
      <c r="D8387" s="5"/>
    </row>
    <row r="8388" spans="4:4" x14ac:dyDescent="0.2">
      <c r="D8388" s="5"/>
    </row>
    <row r="8389" spans="4:4" x14ac:dyDescent="0.2">
      <c r="D8389" s="5"/>
    </row>
    <row r="8390" spans="4:4" x14ac:dyDescent="0.2">
      <c r="D8390" s="5"/>
    </row>
    <row r="8391" spans="4:4" x14ac:dyDescent="0.2">
      <c r="D8391" s="5"/>
    </row>
    <row r="8392" spans="4:4" x14ac:dyDescent="0.2">
      <c r="D8392" s="5"/>
    </row>
    <row r="8393" spans="4:4" x14ac:dyDescent="0.2">
      <c r="D8393" s="5"/>
    </row>
    <row r="8394" spans="4:4" x14ac:dyDescent="0.2">
      <c r="D8394" s="5"/>
    </row>
    <row r="8395" spans="4:4" x14ac:dyDescent="0.2">
      <c r="D8395" s="5"/>
    </row>
    <row r="8396" spans="4:4" x14ac:dyDescent="0.2">
      <c r="D8396" s="5"/>
    </row>
    <row r="8397" spans="4:4" x14ac:dyDescent="0.2">
      <c r="D8397" s="5"/>
    </row>
    <row r="8398" spans="4:4" x14ac:dyDescent="0.2">
      <c r="D8398" s="5"/>
    </row>
    <row r="8399" spans="4:4" x14ac:dyDescent="0.2">
      <c r="D8399" s="5"/>
    </row>
    <row r="8400" spans="4:4" x14ac:dyDescent="0.2">
      <c r="D8400" s="5"/>
    </row>
    <row r="8401" spans="4:4" x14ac:dyDescent="0.2">
      <c r="D8401" s="5"/>
    </row>
    <row r="8402" spans="4:4" x14ac:dyDescent="0.2">
      <c r="D8402" s="5"/>
    </row>
    <row r="8403" spans="4:4" x14ac:dyDescent="0.2">
      <c r="D8403" s="5"/>
    </row>
    <row r="8404" spans="4:4" x14ac:dyDescent="0.2">
      <c r="D8404" s="5"/>
    </row>
    <row r="8405" spans="4:4" x14ac:dyDescent="0.2">
      <c r="D8405" s="5"/>
    </row>
    <row r="8406" spans="4:4" x14ac:dyDescent="0.2">
      <c r="D8406" s="5"/>
    </row>
    <row r="8407" spans="4:4" x14ac:dyDescent="0.2">
      <c r="D8407" s="5"/>
    </row>
    <row r="8408" spans="4:4" x14ac:dyDescent="0.2">
      <c r="D8408" s="5"/>
    </row>
    <row r="8409" spans="4:4" x14ac:dyDescent="0.2">
      <c r="D8409" s="5"/>
    </row>
    <row r="8410" spans="4:4" x14ac:dyDescent="0.2">
      <c r="D8410" s="5"/>
    </row>
    <row r="8411" spans="4:4" x14ac:dyDescent="0.2">
      <c r="D8411" s="5"/>
    </row>
    <row r="8412" spans="4:4" x14ac:dyDescent="0.2">
      <c r="D8412" s="5"/>
    </row>
    <row r="8413" spans="4:4" x14ac:dyDescent="0.2">
      <c r="D8413" s="5"/>
    </row>
    <row r="8414" spans="4:4" x14ac:dyDescent="0.2">
      <c r="D8414" s="5"/>
    </row>
    <row r="8415" spans="4:4" x14ac:dyDescent="0.2">
      <c r="D8415" s="5"/>
    </row>
    <row r="8416" spans="4:4" x14ac:dyDescent="0.2">
      <c r="D8416" s="5"/>
    </row>
    <row r="8417" spans="4:4" x14ac:dyDescent="0.2">
      <c r="D8417" s="5"/>
    </row>
    <row r="8418" spans="4:4" x14ac:dyDescent="0.2">
      <c r="D8418" s="5"/>
    </row>
    <row r="8419" spans="4:4" x14ac:dyDescent="0.2">
      <c r="D8419" s="5"/>
    </row>
    <row r="8420" spans="4:4" x14ac:dyDescent="0.2">
      <c r="D8420" s="5"/>
    </row>
    <row r="8421" spans="4:4" x14ac:dyDescent="0.2">
      <c r="D8421" s="5"/>
    </row>
    <row r="8422" spans="4:4" x14ac:dyDescent="0.2">
      <c r="D8422" s="5"/>
    </row>
    <row r="8423" spans="4:4" x14ac:dyDescent="0.2">
      <c r="D8423" s="5"/>
    </row>
    <row r="8424" spans="4:4" x14ac:dyDescent="0.2">
      <c r="D8424" s="5"/>
    </row>
    <row r="8425" spans="4:4" x14ac:dyDescent="0.2">
      <c r="D8425" s="5"/>
    </row>
    <row r="8426" spans="4:4" x14ac:dyDescent="0.2">
      <c r="D8426" s="5"/>
    </row>
    <row r="8427" spans="4:4" x14ac:dyDescent="0.2">
      <c r="D8427" s="5"/>
    </row>
    <row r="8428" spans="4:4" x14ac:dyDescent="0.2">
      <c r="D8428" s="5"/>
    </row>
    <row r="8429" spans="4:4" x14ac:dyDescent="0.2">
      <c r="D8429" s="5"/>
    </row>
    <row r="8430" spans="4:4" x14ac:dyDescent="0.2">
      <c r="D8430" s="5"/>
    </row>
    <row r="8431" spans="4:4" x14ac:dyDescent="0.2">
      <c r="D8431" s="5"/>
    </row>
    <row r="8432" spans="4:4" x14ac:dyDescent="0.2">
      <c r="D8432" s="5"/>
    </row>
    <row r="8433" spans="4:4" x14ac:dyDescent="0.2">
      <c r="D8433" s="5"/>
    </row>
    <row r="8434" spans="4:4" x14ac:dyDescent="0.2">
      <c r="D8434" s="5"/>
    </row>
    <row r="8435" spans="4:4" x14ac:dyDescent="0.2">
      <c r="D8435" s="5"/>
    </row>
    <row r="8436" spans="4:4" x14ac:dyDescent="0.2">
      <c r="D8436" s="5"/>
    </row>
    <row r="8437" spans="4:4" x14ac:dyDescent="0.2">
      <c r="D8437" s="5"/>
    </row>
    <row r="8438" spans="4:4" x14ac:dyDescent="0.2">
      <c r="D8438" s="5"/>
    </row>
    <row r="8439" spans="4:4" x14ac:dyDescent="0.2">
      <c r="D8439" s="5"/>
    </row>
    <row r="8440" spans="4:4" x14ac:dyDescent="0.2">
      <c r="D8440" s="5"/>
    </row>
    <row r="8441" spans="4:4" x14ac:dyDescent="0.2">
      <c r="D8441" s="5"/>
    </row>
    <row r="8442" spans="4:4" x14ac:dyDescent="0.2">
      <c r="D8442" s="5"/>
    </row>
    <row r="8443" spans="4:4" x14ac:dyDescent="0.2">
      <c r="D8443" s="5"/>
    </row>
    <row r="8444" spans="4:4" x14ac:dyDescent="0.2">
      <c r="D8444" s="5"/>
    </row>
    <row r="8445" spans="4:4" x14ac:dyDescent="0.2">
      <c r="D8445" s="5"/>
    </row>
    <row r="8446" spans="4:4" x14ac:dyDescent="0.2">
      <c r="D8446" s="5"/>
    </row>
    <row r="8447" spans="4:4" x14ac:dyDescent="0.2">
      <c r="D8447" s="5"/>
    </row>
    <row r="8448" spans="4:4" x14ac:dyDescent="0.2">
      <c r="D8448" s="5"/>
    </row>
    <row r="8449" spans="4:4" x14ac:dyDescent="0.2">
      <c r="D8449" s="5"/>
    </row>
    <row r="8450" spans="4:4" x14ac:dyDescent="0.2">
      <c r="D8450" s="5"/>
    </row>
    <row r="8451" spans="4:4" x14ac:dyDescent="0.2">
      <c r="D8451" s="5"/>
    </row>
    <row r="8452" spans="4:4" x14ac:dyDescent="0.2">
      <c r="D8452" s="5"/>
    </row>
    <row r="8453" spans="4:4" x14ac:dyDescent="0.2">
      <c r="D8453" s="5"/>
    </row>
    <row r="8454" spans="4:4" x14ac:dyDescent="0.2">
      <c r="D8454" s="5"/>
    </row>
    <row r="8455" spans="4:4" x14ac:dyDescent="0.2">
      <c r="D8455" s="5"/>
    </row>
    <row r="8456" spans="4:4" x14ac:dyDescent="0.2">
      <c r="D8456" s="5"/>
    </row>
    <row r="8457" spans="4:4" x14ac:dyDescent="0.2">
      <c r="D8457" s="5"/>
    </row>
    <row r="8458" spans="4:4" x14ac:dyDescent="0.2">
      <c r="D8458" s="5"/>
    </row>
    <row r="8459" spans="4:4" x14ac:dyDescent="0.2">
      <c r="D8459" s="5"/>
    </row>
    <row r="8460" spans="4:4" x14ac:dyDescent="0.2">
      <c r="D8460" s="5"/>
    </row>
    <row r="8461" spans="4:4" x14ac:dyDescent="0.2">
      <c r="D8461" s="5"/>
    </row>
    <row r="8462" spans="4:4" x14ac:dyDescent="0.2">
      <c r="D8462" s="5"/>
    </row>
    <row r="8463" spans="4:4" x14ac:dyDescent="0.2">
      <c r="D8463" s="5"/>
    </row>
    <row r="8464" spans="4:4" x14ac:dyDescent="0.2">
      <c r="D8464" s="5"/>
    </row>
    <row r="8465" spans="4:4" x14ac:dyDescent="0.2">
      <c r="D8465" s="5"/>
    </row>
    <row r="8466" spans="4:4" x14ac:dyDescent="0.2">
      <c r="D8466" s="5"/>
    </row>
    <row r="8467" spans="4:4" x14ac:dyDescent="0.2">
      <c r="D8467" s="5"/>
    </row>
    <row r="8468" spans="4:4" x14ac:dyDescent="0.2">
      <c r="D8468" s="5"/>
    </row>
    <row r="8469" spans="4:4" x14ac:dyDescent="0.2">
      <c r="D8469" s="5"/>
    </row>
    <row r="8470" spans="4:4" x14ac:dyDescent="0.2">
      <c r="D8470" s="5"/>
    </row>
    <row r="8471" spans="4:4" x14ac:dyDescent="0.2">
      <c r="D8471" s="5"/>
    </row>
    <row r="8472" spans="4:4" x14ac:dyDescent="0.2">
      <c r="D8472" s="5"/>
    </row>
    <row r="8473" spans="4:4" x14ac:dyDescent="0.2">
      <c r="D8473" s="5"/>
    </row>
    <row r="8474" spans="4:4" x14ac:dyDescent="0.2">
      <c r="D8474" s="5"/>
    </row>
    <row r="8475" spans="4:4" x14ac:dyDescent="0.2">
      <c r="D8475" s="5"/>
    </row>
    <row r="8476" spans="4:4" x14ac:dyDescent="0.2">
      <c r="D8476" s="5"/>
    </row>
    <row r="8477" spans="4:4" x14ac:dyDescent="0.2">
      <c r="D8477" s="5"/>
    </row>
    <row r="8478" spans="4:4" x14ac:dyDescent="0.2">
      <c r="D8478" s="5"/>
    </row>
    <row r="8479" spans="4:4" x14ac:dyDescent="0.2">
      <c r="D8479" s="5"/>
    </row>
    <row r="8480" spans="4:4" x14ac:dyDescent="0.2">
      <c r="D8480" s="5"/>
    </row>
    <row r="8481" spans="4:4" x14ac:dyDescent="0.2">
      <c r="D8481" s="5"/>
    </row>
    <row r="8482" spans="4:4" x14ac:dyDescent="0.2">
      <c r="D8482" s="5"/>
    </row>
    <row r="8483" spans="4:4" x14ac:dyDescent="0.2">
      <c r="D8483" s="5"/>
    </row>
    <row r="8484" spans="4:4" x14ac:dyDescent="0.2">
      <c r="D8484" s="5"/>
    </row>
    <row r="8485" spans="4:4" x14ac:dyDescent="0.2">
      <c r="D8485" s="5"/>
    </row>
    <row r="8486" spans="4:4" x14ac:dyDescent="0.2">
      <c r="D8486" s="5"/>
    </row>
    <row r="8487" spans="4:4" x14ac:dyDescent="0.2">
      <c r="D8487" s="5"/>
    </row>
    <row r="8488" spans="4:4" x14ac:dyDescent="0.2">
      <c r="D8488" s="5"/>
    </row>
    <row r="8489" spans="4:4" x14ac:dyDescent="0.2">
      <c r="D8489" s="5"/>
    </row>
    <row r="8490" spans="4:4" x14ac:dyDescent="0.2">
      <c r="D8490" s="5"/>
    </row>
    <row r="8491" spans="4:4" x14ac:dyDescent="0.2">
      <c r="D8491" s="5"/>
    </row>
    <row r="8492" spans="4:4" x14ac:dyDescent="0.2">
      <c r="D8492" s="5"/>
    </row>
    <row r="8493" spans="4:4" x14ac:dyDescent="0.2">
      <c r="D8493" s="5"/>
    </row>
    <row r="8494" spans="4:4" x14ac:dyDescent="0.2">
      <c r="D8494" s="5"/>
    </row>
    <row r="8495" spans="4:4" x14ac:dyDescent="0.2">
      <c r="D8495" s="5"/>
    </row>
    <row r="8496" spans="4:4" x14ac:dyDescent="0.2">
      <c r="D8496" s="5"/>
    </row>
    <row r="8497" spans="4:4" x14ac:dyDescent="0.2">
      <c r="D8497" s="5"/>
    </row>
    <row r="8498" spans="4:4" x14ac:dyDescent="0.2">
      <c r="D8498" s="5"/>
    </row>
    <row r="8499" spans="4:4" x14ac:dyDescent="0.2">
      <c r="D8499" s="5"/>
    </row>
    <row r="8500" spans="4:4" x14ac:dyDescent="0.2">
      <c r="D8500" s="5"/>
    </row>
    <row r="8501" spans="4:4" x14ac:dyDescent="0.2">
      <c r="D8501" s="5"/>
    </row>
    <row r="8502" spans="4:4" x14ac:dyDescent="0.2">
      <c r="D8502" s="5"/>
    </row>
    <row r="8503" spans="4:4" x14ac:dyDescent="0.2">
      <c r="D8503" s="5"/>
    </row>
    <row r="8504" spans="4:4" x14ac:dyDescent="0.2">
      <c r="D8504" s="5"/>
    </row>
    <row r="8505" spans="4:4" x14ac:dyDescent="0.2">
      <c r="D8505" s="5"/>
    </row>
    <row r="8506" spans="4:4" x14ac:dyDescent="0.2">
      <c r="D8506" s="5"/>
    </row>
    <row r="8507" spans="4:4" x14ac:dyDescent="0.2">
      <c r="D8507" s="5"/>
    </row>
    <row r="8508" spans="4:4" x14ac:dyDescent="0.2">
      <c r="D8508" s="5"/>
    </row>
    <row r="8509" spans="4:4" x14ac:dyDescent="0.2">
      <c r="D8509" s="5"/>
    </row>
    <row r="8510" spans="4:4" x14ac:dyDescent="0.2">
      <c r="D8510" s="5"/>
    </row>
    <row r="8511" spans="4:4" x14ac:dyDescent="0.2">
      <c r="D8511" s="5"/>
    </row>
    <row r="8512" spans="4:4" x14ac:dyDescent="0.2">
      <c r="D8512" s="5"/>
    </row>
    <row r="8513" spans="4:4" x14ac:dyDescent="0.2">
      <c r="D8513" s="5"/>
    </row>
    <row r="8514" spans="4:4" x14ac:dyDescent="0.2">
      <c r="D8514" s="5"/>
    </row>
    <row r="8515" spans="4:4" x14ac:dyDescent="0.2">
      <c r="D8515" s="5"/>
    </row>
    <row r="8516" spans="4:4" x14ac:dyDescent="0.2">
      <c r="D8516" s="5"/>
    </row>
    <row r="8517" spans="4:4" x14ac:dyDescent="0.2">
      <c r="D8517" s="5"/>
    </row>
    <row r="8518" spans="4:4" x14ac:dyDescent="0.2">
      <c r="D8518" s="5"/>
    </row>
    <row r="8519" spans="4:4" x14ac:dyDescent="0.2">
      <c r="D8519" s="5"/>
    </row>
    <row r="8520" spans="4:4" x14ac:dyDescent="0.2">
      <c r="D8520" s="5"/>
    </row>
    <row r="8521" spans="4:4" x14ac:dyDescent="0.2">
      <c r="D8521" s="5"/>
    </row>
    <row r="8522" spans="4:4" x14ac:dyDescent="0.2">
      <c r="D8522" s="5"/>
    </row>
    <row r="8523" spans="4:4" x14ac:dyDescent="0.2">
      <c r="D8523" s="5"/>
    </row>
    <row r="8524" spans="4:4" x14ac:dyDescent="0.2">
      <c r="D8524" s="5"/>
    </row>
    <row r="8525" spans="4:4" x14ac:dyDescent="0.2">
      <c r="D8525" s="5"/>
    </row>
    <row r="8526" spans="4:4" x14ac:dyDescent="0.2">
      <c r="D8526" s="5"/>
    </row>
    <row r="8527" spans="4:4" x14ac:dyDescent="0.2">
      <c r="D8527" s="5"/>
    </row>
    <row r="8528" spans="4:4" x14ac:dyDescent="0.2">
      <c r="D8528" s="5"/>
    </row>
    <row r="8529" spans="4:4" x14ac:dyDescent="0.2">
      <c r="D8529" s="5"/>
    </row>
    <row r="8530" spans="4:4" x14ac:dyDescent="0.2">
      <c r="D8530" s="5"/>
    </row>
    <row r="8531" spans="4:4" x14ac:dyDescent="0.2">
      <c r="D8531" s="5"/>
    </row>
    <row r="8532" spans="4:4" x14ac:dyDescent="0.2">
      <c r="D8532" s="5"/>
    </row>
    <row r="8533" spans="4:4" x14ac:dyDescent="0.2">
      <c r="D8533" s="5"/>
    </row>
    <row r="8534" spans="4:4" x14ac:dyDescent="0.2">
      <c r="D8534" s="5"/>
    </row>
    <row r="8535" spans="4:4" x14ac:dyDescent="0.2">
      <c r="D8535" s="5"/>
    </row>
    <row r="8536" spans="4:4" x14ac:dyDescent="0.2">
      <c r="D8536" s="5"/>
    </row>
    <row r="8537" spans="4:4" x14ac:dyDescent="0.2">
      <c r="D8537" s="5"/>
    </row>
    <row r="8538" spans="4:4" x14ac:dyDescent="0.2">
      <c r="D8538" s="5"/>
    </row>
    <row r="8539" spans="4:4" x14ac:dyDescent="0.2">
      <c r="D8539" s="5"/>
    </row>
    <row r="8540" spans="4:4" x14ac:dyDescent="0.2">
      <c r="D8540" s="5"/>
    </row>
    <row r="8541" spans="4:4" x14ac:dyDescent="0.2">
      <c r="D8541" s="5"/>
    </row>
    <row r="8542" spans="4:4" x14ac:dyDescent="0.2">
      <c r="D8542" s="5"/>
    </row>
    <row r="8543" spans="4:4" x14ac:dyDescent="0.2">
      <c r="D8543" s="5"/>
    </row>
    <row r="8544" spans="4:4" x14ac:dyDescent="0.2">
      <c r="D8544" s="5"/>
    </row>
    <row r="8545" spans="4:4" x14ac:dyDescent="0.2">
      <c r="D8545" s="5"/>
    </row>
    <row r="8546" spans="4:4" x14ac:dyDescent="0.2">
      <c r="D8546" s="5"/>
    </row>
    <row r="8547" spans="4:4" x14ac:dyDescent="0.2">
      <c r="D8547" s="5"/>
    </row>
    <row r="8548" spans="4:4" x14ac:dyDescent="0.2">
      <c r="D8548" s="5"/>
    </row>
    <row r="8549" spans="4:4" x14ac:dyDescent="0.2">
      <c r="D8549" s="5"/>
    </row>
    <row r="8550" spans="4:4" x14ac:dyDescent="0.2">
      <c r="D8550" s="5"/>
    </row>
    <row r="8551" spans="4:4" x14ac:dyDescent="0.2">
      <c r="D8551" s="5"/>
    </row>
    <row r="8552" spans="4:4" x14ac:dyDescent="0.2">
      <c r="D8552" s="5"/>
    </row>
    <row r="8553" spans="4:4" x14ac:dyDescent="0.2">
      <c r="D8553" s="5"/>
    </row>
    <row r="8554" spans="4:4" x14ac:dyDescent="0.2">
      <c r="D8554" s="5"/>
    </row>
    <row r="8555" spans="4:4" x14ac:dyDescent="0.2">
      <c r="D8555" s="5"/>
    </row>
    <row r="8556" spans="4:4" x14ac:dyDescent="0.2">
      <c r="D8556" s="5"/>
    </row>
    <row r="8557" spans="4:4" x14ac:dyDescent="0.2">
      <c r="D8557" s="5"/>
    </row>
    <row r="8558" spans="4:4" x14ac:dyDescent="0.2">
      <c r="D8558" s="5"/>
    </row>
    <row r="8559" spans="4:4" x14ac:dyDescent="0.2">
      <c r="D8559" s="5"/>
    </row>
    <row r="8560" spans="4:4" x14ac:dyDescent="0.2">
      <c r="D8560" s="5"/>
    </row>
    <row r="8561" spans="4:4" x14ac:dyDescent="0.2">
      <c r="D8561" s="5"/>
    </row>
    <row r="8562" spans="4:4" x14ac:dyDescent="0.2">
      <c r="D8562" s="5"/>
    </row>
    <row r="8563" spans="4:4" x14ac:dyDescent="0.2">
      <c r="D8563" s="5"/>
    </row>
    <row r="8564" spans="4:4" x14ac:dyDescent="0.2">
      <c r="D8564" s="5"/>
    </row>
    <row r="8565" spans="4:4" x14ac:dyDescent="0.2">
      <c r="D8565" s="5"/>
    </row>
    <row r="8566" spans="4:4" x14ac:dyDescent="0.2">
      <c r="D8566" s="5"/>
    </row>
    <row r="8567" spans="4:4" x14ac:dyDescent="0.2">
      <c r="D8567" s="5"/>
    </row>
    <row r="8568" spans="4:4" x14ac:dyDescent="0.2">
      <c r="D8568" s="5"/>
    </row>
    <row r="8569" spans="4:4" x14ac:dyDescent="0.2">
      <c r="D8569" s="5"/>
    </row>
    <row r="8570" spans="4:4" x14ac:dyDescent="0.2">
      <c r="D8570" s="5"/>
    </row>
    <row r="8571" spans="4:4" x14ac:dyDescent="0.2">
      <c r="D8571" s="5"/>
    </row>
    <row r="8572" spans="4:4" x14ac:dyDescent="0.2">
      <c r="D8572" s="5"/>
    </row>
    <row r="8573" spans="4:4" x14ac:dyDescent="0.2">
      <c r="D8573" s="5"/>
    </row>
    <row r="8574" spans="4:4" x14ac:dyDescent="0.2">
      <c r="D8574" s="5"/>
    </row>
    <row r="8575" spans="4:4" x14ac:dyDescent="0.2">
      <c r="D8575" s="5"/>
    </row>
    <row r="8576" spans="4:4" x14ac:dyDescent="0.2">
      <c r="D8576" s="5"/>
    </row>
    <row r="8577" spans="4:4" x14ac:dyDescent="0.2">
      <c r="D8577" s="5"/>
    </row>
    <row r="8578" spans="4:4" x14ac:dyDescent="0.2">
      <c r="D8578" s="5"/>
    </row>
    <row r="8579" spans="4:4" x14ac:dyDescent="0.2">
      <c r="D8579" s="5"/>
    </row>
    <row r="8580" spans="4:4" x14ac:dyDescent="0.2">
      <c r="D8580" s="5"/>
    </row>
    <row r="8581" spans="4:4" x14ac:dyDescent="0.2">
      <c r="D8581" s="5"/>
    </row>
    <row r="8582" spans="4:4" x14ac:dyDescent="0.2">
      <c r="D8582" s="5"/>
    </row>
    <row r="8583" spans="4:4" x14ac:dyDescent="0.2">
      <c r="D8583" s="5"/>
    </row>
    <row r="8584" spans="4:4" x14ac:dyDescent="0.2">
      <c r="D8584" s="5"/>
    </row>
    <row r="8585" spans="4:4" x14ac:dyDescent="0.2">
      <c r="D8585" s="5"/>
    </row>
    <row r="8586" spans="4:4" x14ac:dyDescent="0.2">
      <c r="D8586" s="5"/>
    </row>
    <row r="8587" spans="4:4" x14ac:dyDescent="0.2">
      <c r="D8587" s="5"/>
    </row>
    <row r="8588" spans="4:4" x14ac:dyDescent="0.2">
      <c r="D8588" s="5"/>
    </row>
    <row r="8589" spans="4:4" x14ac:dyDescent="0.2">
      <c r="D8589" s="5"/>
    </row>
    <row r="8590" spans="4:4" x14ac:dyDescent="0.2">
      <c r="D8590" s="5"/>
    </row>
    <row r="8591" spans="4:4" x14ac:dyDescent="0.2">
      <c r="D8591" s="5"/>
    </row>
    <row r="8592" spans="4:4" x14ac:dyDescent="0.2">
      <c r="D8592" s="5"/>
    </row>
    <row r="8593" spans="4:4" x14ac:dyDescent="0.2">
      <c r="D8593" s="5"/>
    </row>
    <row r="8594" spans="4:4" x14ac:dyDescent="0.2">
      <c r="D8594" s="5"/>
    </row>
    <row r="8595" spans="4:4" x14ac:dyDescent="0.2">
      <c r="D8595" s="5"/>
    </row>
    <row r="8596" spans="4:4" x14ac:dyDescent="0.2">
      <c r="D8596" s="5"/>
    </row>
    <row r="8597" spans="4:4" x14ac:dyDescent="0.2">
      <c r="D8597" s="5"/>
    </row>
    <row r="8598" spans="4:4" x14ac:dyDescent="0.2">
      <c r="D8598" s="5"/>
    </row>
    <row r="8599" spans="4:4" x14ac:dyDescent="0.2">
      <c r="D8599" s="5"/>
    </row>
    <row r="8600" spans="4:4" x14ac:dyDescent="0.2">
      <c r="D8600" s="5"/>
    </row>
    <row r="8601" spans="4:4" x14ac:dyDescent="0.2">
      <c r="D8601" s="5"/>
    </row>
    <row r="8602" spans="4:4" x14ac:dyDescent="0.2">
      <c r="D8602" s="5"/>
    </row>
    <row r="8603" spans="4:4" x14ac:dyDescent="0.2">
      <c r="D8603" s="5"/>
    </row>
    <row r="8604" spans="4:4" x14ac:dyDescent="0.2">
      <c r="D8604" s="5"/>
    </row>
    <row r="8605" spans="4:4" x14ac:dyDescent="0.2">
      <c r="D8605" s="5"/>
    </row>
    <row r="8606" spans="4:4" x14ac:dyDescent="0.2">
      <c r="D8606" s="5"/>
    </row>
    <row r="8607" spans="4:4" x14ac:dyDescent="0.2">
      <c r="D8607" s="5"/>
    </row>
    <row r="8608" spans="4:4" x14ac:dyDescent="0.2">
      <c r="D8608" s="5"/>
    </row>
    <row r="8609" spans="4:4" x14ac:dyDescent="0.2">
      <c r="D8609" s="5"/>
    </row>
    <row r="8610" spans="4:4" x14ac:dyDescent="0.2">
      <c r="D8610" s="5"/>
    </row>
    <row r="8611" spans="4:4" x14ac:dyDescent="0.2">
      <c r="D8611" s="5"/>
    </row>
    <row r="8612" spans="4:4" x14ac:dyDescent="0.2">
      <c r="D8612" s="5"/>
    </row>
    <row r="8613" spans="4:4" x14ac:dyDescent="0.2">
      <c r="D8613" s="5"/>
    </row>
    <row r="8614" spans="4:4" x14ac:dyDescent="0.2">
      <c r="D8614" s="5"/>
    </row>
    <row r="8615" spans="4:4" x14ac:dyDescent="0.2">
      <c r="D8615" s="5"/>
    </row>
    <row r="8616" spans="4:4" x14ac:dyDescent="0.2">
      <c r="D8616" s="5"/>
    </row>
    <row r="8617" spans="4:4" x14ac:dyDescent="0.2">
      <c r="D8617" s="5"/>
    </row>
    <row r="8618" spans="4:4" x14ac:dyDescent="0.2">
      <c r="D8618" s="5"/>
    </row>
    <row r="8619" spans="4:4" x14ac:dyDescent="0.2">
      <c r="D8619" s="5"/>
    </row>
    <row r="8620" spans="4:4" x14ac:dyDescent="0.2">
      <c r="D8620" s="5"/>
    </row>
    <row r="8621" spans="4:4" x14ac:dyDescent="0.2">
      <c r="D8621" s="5"/>
    </row>
    <row r="8622" spans="4:4" x14ac:dyDescent="0.2">
      <c r="D8622" s="5"/>
    </row>
    <row r="8623" spans="4:4" x14ac:dyDescent="0.2">
      <c r="D8623" s="5"/>
    </row>
    <row r="8624" spans="4:4" x14ac:dyDescent="0.2">
      <c r="D8624" s="5"/>
    </row>
    <row r="8625" spans="4:4" x14ac:dyDescent="0.2">
      <c r="D8625" s="5"/>
    </row>
    <row r="8626" spans="4:4" x14ac:dyDescent="0.2">
      <c r="D8626" s="5"/>
    </row>
    <row r="8627" spans="4:4" x14ac:dyDescent="0.2">
      <c r="D8627" s="5"/>
    </row>
    <row r="8628" spans="4:4" x14ac:dyDescent="0.2">
      <c r="D8628" s="5"/>
    </row>
    <row r="8629" spans="4:4" x14ac:dyDescent="0.2">
      <c r="D8629" s="5"/>
    </row>
    <row r="8630" spans="4:4" x14ac:dyDescent="0.2">
      <c r="D8630" s="5"/>
    </row>
    <row r="8631" spans="4:4" x14ac:dyDescent="0.2">
      <c r="D8631" s="5"/>
    </row>
    <row r="8632" spans="4:4" x14ac:dyDescent="0.2">
      <c r="D8632" s="5"/>
    </row>
    <row r="8633" spans="4:4" x14ac:dyDescent="0.2">
      <c r="D8633" s="5"/>
    </row>
    <row r="8634" spans="4:4" x14ac:dyDescent="0.2">
      <c r="D8634" s="5"/>
    </row>
    <row r="8635" spans="4:4" x14ac:dyDescent="0.2">
      <c r="D8635" s="5"/>
    </row>
    <row r="8636" spans="4:4" x14ac:dyDescent="0.2">
      <c r="D8636" s="5"/>
    </row>
    <row r="8637" spans="4:4" x14ac:dyDescent="0.2">
      <c r="D8637" s="5"/>
    </row>
    <row r="8638" spans="4:4" x14ac:dyDescent="0.2">
      <c r="D8638" s="5"/>
    </row>
    <row r="8639" spans="4:4" x14ac:dyDescent="0.2">
      <c r="D8639" s="5"/>
    </row>
    <row r="8640" spans="4:4" x14ac:dyDescent="0.2">
      <c r="D8640" s="5"/>
    </row>
    <row r="8641" spans="4:4" x14ac:dyDescent="0.2">
      <c r="D8641" s="5"/>
    </row>
    <row r="8642" spans="4:4" x14ac:dyDescent="0.2">
      <c r="D8642" s="5"/>
    </row>
    <row r="8643" spans="4:4" x14ac:dyDescent="0.2">
      <c r="D8643" s="5"/>
    </row>
    <row r="8644" spans="4:4" x14ac:dyDescent="0.2">
      <c r="D8644" s="5"/>
    </row>
    <row r="8645" spans="4:4" x14ac:dyDescent="0.2">
      <c r="D8645" s="5"/>
    </row>
    <row r="8646" spans="4:4" x14ac:dyDescent="0.2">
      <c r="D8646" s="5"/>
    </row>
    <row r="8647" spans="4:4" x14ac:dyDescent="0.2">
      <c r="D8647" s="5"/>
    </row>
    <row r="8648" spans="4:4" x14ac:dyDescent="0.2">
      <c r="D8648" s="5"/>
    </row>
    <row r="8649" spans="4:4" x14ac:dyDescent="0.2">
      <c r="D8649" s="5"/>
    </row>
    <row r="8650" spans="4:4" x14ac:dyDescent="0.2">
      <c r="D8650" s="5"/>
    </row>
    <row r="8651" spans="4:4" x14ac:dyDescent="0.2">
      <c r="D8651" s="5"/>
    </row>
    <row r="8652" spans="4:4" x14ac:dyDescent="0.2">
      <c r="D8652" s="5"/>
    </row>
    <row r="8653" spans="4:4" x14ac:dyDescent="0.2">
      <c r="D8653" s="5"/>
    </row>
    <row r="8654" spans="4:4" x14ac:dyDescent="0.2">
      <c r="D8654" s="5"/>
    </row>
    <row r="8655" spans="4:4" x14ac:dyDescent="0.2">
      <c r="D8655" s="5"/>
    </row>
    <row r="8656" spans="4:4" x14ac:dyDescent="0.2">
      <c r="D8656" s="5"/>
    </row>
    <row r="8657" spans="4:4" x14ac:dyDescent="0.2">
      <c r="D8657" s="5"/>
    </row>
    <row r="8658" spans="4:4" x14ac:dyDescent="0.2">
      <c r="D8658" s="5"/>
    </row>
    <row r="8659" spans="4:4" x14ac:dyDescent="0.2">
      <c r="D8659" s="5"/>
    </row>
    <row r="8660" spans="4:4" x14ac:dyDescent="0.2">
      <c r="D8660" s="5"/>
    </row>
    <row r="8661" spans="4:4" x14ac:dyDescent="0.2">
      <c r="D8661" s="5"/>
    </row>
    <row r="8662" spans="4:4" x14ac:dyDescent="0.2">
      <c r="D8662" s="5"/>
    </row>
    <row r="8663" spans="4:4" x14ac:dyDescent="0.2">
      <c r="D8663" s="5"/>
    </row>
    <row r="8664" spans="4:4" x14ac:dyDescent="0.2">
      <c r="D8664" s="5"/>
    </row>
    <row r="8665" spans="4:4" x14ac:dyDescent="0.2">
      <c r="D8665" s="5"/>
    </row>
    <row r="8666" spans="4:4" x14ac:dyDescent="0.2">
      <c r="D8666" s="5"/>
    </row>
    <row r="8667" spans="4:4" x14ac:dyDescent="0.2">
      <c r="D8667" s="5"/>
    </row>
    <row r="8668" spans="4:4" x14ac:dyDescent="0.2">
      <c r="D8668" s="5"/>
    </row>
    <row r="8669" spans="4:4" x14ac:dyDescent="0.2">
      <c r="D8669" s="5"/>
    </row>
    <row r="8670" spans="4:4" x14ac:dyDescent="0.2">
      <c r="D8670" s="5"/>
    </row>
    <row r="8671" spans="4:4" x14ac:dyDescent="0.2">
      <c r="D8671" s="5"/>
    </row>
    <row r="8672" spans="4:4" x14ac:dyDescent="0.2">
      <c r="D8672" s="5"/>
    </row>
    <row r="8673" spans="4:4" x14ac:dyDescent="0.2">
      <c r="D8673" s="5"/>
    </row>
    <row r="8674" spans="4:4" x14ac:dyDescent="0.2">
      <c r="D8674" s="5"/>
    </row>
    <row r="8675" spans="4:4" x14ac:dyDescent="0.2">
      <c r="D8675" s="5"/>
    </row>
    <row r="8676" spans="4:4" x14ac:dyDescent="0.2">
      <c r="D8676" s="5"/>
    </row>
    <row r="8677" spans="4:4" x14ac:dyDescent="0.2">
      <c r="D8677" s="5"/>
    </row>
    <row r="8678" spans="4:4" x14ac:dyDescent="0.2">
      <c r="D8678" s="5"/>
    </row>
    <row r="8679" spans="4:4" x14ac:dyDescent="0.2">
      <c r="D8679" s="5"/>
    </row>
    <row r="8680" spans="4:4" x14ac:dyDescent="0.2">
      <c r="D8680" s="5"/>
    </row>
    <row r="8681" spans="4:4" x14ac:dyDescent="0.2">
      <c r="D8681" s="5"/>
    </row>
    <row r="8682" spans="4:4" x14ac:dyDescent="0.2">
      <c r="D8682" s="5"/>
    </row>
    <row r="8683" spans="4:4" x14ac:dyDescent="0.2">
      <c r="D8683" s="5"/>
    </row>
    <row r="8684" spans="4:4" x14ac:dyDescent="0.2">
      <c r="D8684" s="5"/>
    </row>
    <row r="8685" spans="4:4" x14ac:dyDescent="0.2">
      <c r="D8685" s="5"/>
    </row>
    <row r="8686" spans="4:4" x14ac:dyDescent="0.2">
      <c r="D8686" s="5"/>
    </row>
    <row r="8687" spans="4:4" x14ac:dyDescent="0.2">
      <c r="D8687" s="5"/>
    </row>
    <row r="8688" spans="4:4" x14ac:dyDescent="0.2">
      <c r="D8688" s="5"/>
    </row>
    <row r="8689" spans="4:4" x14ac:dyDescent="0.2">
      <c r="D8689" s="5"/>
    </row>
    <row r="8690" spans="4:4" x14ac:dyDescent="0.2">
      <c r="D8690" s="5"/>
    </row>
    <row r="8691" spans="4:4" x14ac:dyDescent="0.2">
      <c r="D8691" s="5"/>
    </row>
    <row r="8692" spans="4:4" x14ac:dyDescent="0.2">
      <c r="D8692" s="5"/>
    </row>
    <row r="8693" spans="4:4" x14ac:dyDescent="0.2">
      <c r="D8693" s="5"/>
    </row>
    <row r="8694" spans="4:4" x14ac:dyDescent="0.2">
      <c r="D8694" s="5"/>
    </row>
    <row r="8695" spans="4:4" x14ac:dyDescent="0.2">
      <c r="D8695" s="5"/>
    </row>
    <row r="8696" spans="4:4" x14ac:dyDescent="0.2">
      <c r="D8696" s="5"/>
    </row>
    <row r="8697" spans="4:4" x14ac:dyDescent="0.2">
      <c r="D8697" s="5"/>
    </row>
    <row r="8698" spans="4:4" x14ac:dyDescent="0.2">
      <c r="D8698" s="5"/>
    </row>
    <row r="8699" spans="4:4" x14ac:dyDescent="0.2">
      <c r="D8699" s="5"/>
    </row>
    <row r="8700" spans="4:4" x14ac:dyDescent="0.2">
      <c r="D8700" s="5"/>
    </row>
    <row r="8701" spans="4:4" x14ac:dyDescent="0.2">
      <c r="D8701" s="5"/>
    </row>
    <row r="8702" spans="4:4" x14ac:dyDescent="0.2">
      <c r="D8702" s="5"/>
    </row>
    <row r="8703" spans="4:4" x14ac:dyDescent="0.2">
      <c r="D8703" s="5"/>
    </row>
    <row r="8704" spans="4:4" x14ac:dyDescent="0.2">
      <c r="D8704" s="5"/>
    </row>
    <row r="8705" spans="4:4" x14ac:dyDescent="0.2">
      <c r="D8705" s="5"/>
    </row>
    <row r="8706" spans="4:4" x14ac:dyDescent="0.2">
      <c r="D8706" s="5"/>
    </row>
    <row r="8707" spans="4:4" x14ac:dyDescent="0.2">
      <c r="D8707" s="5"/>
    </row>
    <row r="8708" spans="4:4" x14ac:dyDescent="0.2">
      <c r="D8708" s="5"/>
    </row>
    <row r="8709" spans="4:4" x14ac:dyDescent="0.2">
      <c r="D8709" s="5"/>
    </row>
    <row r="8710" spans="4:4" x14ac:dyDescent="0.2">
      <c r="D8710" s="5"/>
    </row>
    <row r="8711" spans="4:4" x14ac:dyDescent="0.2">
      <c r="D8711" s="5"/>
    </row>
    <row r="8712" spans="4:4" x14ac:dyDescent="0.2">
      <c r="D8712" s="5"/>
    </row>
    <row r="8713" spans="4:4" x14ac:dyDescent="0.2">
      <c r="D8713" s="5"/>
    </row>
    <row r="8714" spans="4:4" x14ac:dyDescent="0.2">
      <c r="D8714" s="5"/>
    </row>
    <row r="8715" spans="4:4" x14ac:dyDescent="0.2">
      <c r="D8715" s="5"/>
    </row>
    <row r="8716" spans="4:4" x14ac:dyDescent="0.2">
      <c r="D8716" s="5"/>
    </row>
    <row r="8717" spans="4:4" x14ac:dyDescent="0.2">
      <c r="D8717" s="5"/>
    </row>
    <row r="8718" spans="4:4" x14ac:dyDescent="0.2">
      <c r="D8718" s="5"/>
    </row>
    <row r="8719" spans="4:4" x14ac:dyDescent="0.2">
      <c r="D8719" s="5"/>
    </row>
    <row r="8720" spans="4:4" x14ac:dyDescent="0.2">
      <c r="D8720" s="5"/>
    </row>
    <row r="8721" spans="4:4" x14ac:dyDescent="0.2">
      <c r="D8721" s="5"/>
    </row>
    <row r="8722" spans="4:4" x14ac:dyDescent="0.2">
      <c r="D8722" s="5"/>
    </row>
    <row r="8723" spans="4:4" x14ac:dyDescent="0.2">
      <c r="D8723" s="5"/>
    </row>
    <row r="8724" spans="4:4" x14ac:dyDescent="0.2">
      <c r="D8724" s="5"/>
    </row>
    <row r="8725" spans="4:4" x14ac:dyDescent="0.2">
      <c r="D8725" s="5"/>
    </row>
    <row r="8726" spans="4:4" x14ac:dyDescent="0.2">
      <c r="D8726" s="5"/>
    </row>
    <row r="8727" spans="4:4" x14ac:dyDescent="0.2">
      <c r="D8727" s="5"/>
    </row>
    <row r="8728" spans="4:4" x14ac:dyDescent="0.2">
      <c r="D8728" s="5"/>
    </row>
    <row r="8729" spans="4:4" x14ac:dyDescent="0.2">
      <c r="D8729" s="5"/>
    </row>
    <row r="8730" spans="4:4" x14ac:dyDescent="0.2">
      <c r="D8730" s="5"/>
    </row>
    <row r="8731" spans="4:4" x14ac:dyDescent="0.2">
      <c r="D8731" s="5"/>
    </row>
    <row r="8732" spans="4:4" x14ac:dyDescent="0.2">
      <c r="D8732" s="5"/>
    </row>
    <row r="8733" spans="4:4" x14ac:dyDescent="0.2">
      <c r="D8733" s="5"/>
    </row>
    <row r="8734" spans="4:4" x14ac:dyDescent="0.2">
      <c r="D8734" s="5"/>
    </row>
    <row r="8735" spans="4:4" x14ac:dyDescent="0.2">
      <c r="D8735" s="5"/>
    </row>
    <row r="8736" spans="4:4" x14ac:dyDescent="0.2">
      <c r="D8736" s="5"/>
    </row>
    <row r="8737" spans="4:4" x14ac:dyDescent="0.2">
      <c r="D8737" s="5"/>
    </row>
    <row r="8738" spans="4:4" x14ac:dyDescent="0.2">
      <c r="D8738" s="5"/>
    </row>
    <row r="8739" spans="4:4" x14ac:dyDescent="0.2">
      <c r="D8739" s="5"/>
    </row>
    <row r="8740" spans="4:4" x14ac:dyDescent="0.2">
      <c r="D8740" s="5"/>
    </row>
    <row r="8741" spans="4:4" x14ac:dyDescent="0.2">
      <c r="D8741" s="5"/>
    </row>
    <row r="8742" spans="4:4" x14ac:dyDescent="0.2">
      <c r="D8742" s="5"/>
    </row>
    <row r="8743" spans="4:4" x14ac:dyDescent="0.2">
      <c r="D8743" s="5"/>
    </row>
    <row r="8744" spans="4:4" x14ac:dyDescent="0.2">
      <c r="D8744" s="5"/>
    </row>
    <row r="8745" spans="4:4" x14ac:dyDescent="0.2">
      <c r="D8745" s="5"/>
    </row>
    <row r="8746" spans="4:4" x14ac:dyDescent="0.2">
      <c r="D8746" s="5"/>
    </row>
    <row r="8747" spans="4:4" x14ac:dyDescent="0.2">
      <c r="D8747" s="5"/>
    </row>
    <row r="8748" spans="4:4" x14ac:dyDescent="0.2">
      <c r="D8748" s="5"/>
    </row>
    <row r="8749" spans="4:4" x14ac:dyDescent="0.2">
      <c r="D8749" s="5"/>
    </row>
    <row r="8750" spans="4:4" x14ac:dyDescent="0.2">
      <c r="D8750" s="5"/>
    </row>
    <row r="8751" spans="4:4" x14ac:dyDescent="0.2">
      <c r="D8751" s="5"/>
    </row>
    <row r="8752" spans="4:4" x14ac:dyDescent="0.2">
      <c r="D8752" s="5"/>
    </row>
    <row r="8753" spans="4:4" x14ac:dyDescent="0.2">
      <c r="D8753" s="5"/>
    </row>
    <row r="8754" spans="4:4" x14ac:dyDescent="0.2">
      <c r="D8754" s="5"/>
    </row>
    <row r="8755" spans="4:4" x14ac:dyDescent="0.2">
      <c r="D8755" s="5"/>
    </row>
    <row r="8756" spans="4:4" x14ac:dyDescent="0.2">
      <c r="D8756" s="5"/>
    </row>
    <row r="8757" spans="4:4" x14ac:dyDescent="0.2">
      <c r="D8757" s="5"/>
    </row>
    <row r="8758" spans="4:4" x14ac:dyDescent="0.2">
      <c r="D8758" s="5"/>
    </row>
    <row r="8759" spans="4:4" x14ac:dyDescent="0.2">
      <c r="D8759" s="5"/>
    </row>
    <row r="8760" spans="4:4" x14ac:dyDescent="0.2">
      <c r="D8760" s="5"/>
    </row>
    <row r="8761" spans="4:4" x14ac:dyDescent="0.2">
      <c r="D8761" s="5"/>
    </row>
    <row r="8762" spans="4:4" x14ac:dyDescent="0.2">
      <c r="D8762" s="5"/>
    </row>
    <row r="8763" spans="4:4" x14ac:dyDescent="0.2">
      <c r="D8763" s="5"/>
    </row>
    <row r="8764" spans="4:4" x14ac:dyDescent="0.2">
      <c r="D8764" s="5"/>
    </row>
    <row r="8765" spans="4:4" x14ac:dyDescent="0.2">
      <c r="D8765" s="5"/>
    </row>
    <row r="8766" spans="4:4" x14ac:dyDescent="0.2">
      <c r="D8766" s="5"/>
    </row>
    <row r="8767" spans="4:4" x14ac:dyDescent="0.2">
      <c r="D8767" s="5"/>
    </row>
    <row r="8768" spans="4:4" x14ac:dyDescent="0.2">
      <c r="D8768" s="5"/>
    </row>
    <row r="8769" spans="4:4" x14ac:dyDescent="0.2">
      <c r="D8769" s="5"/>
    </row>
    <row r="8770" spans="4:4" x14ac:dyDescent="0.2">
      <c r="D8770" s="5"/>
    </row>
    <row r="8771" spans="4:4" x14ac:dyDescent="0.2">
      <c r="D8771" s="5"/>
    </row>
    <row r="8772" spans="4:4" x14ac:dyDescent="0.2">
      <c r="D8772" s="5"/>
    </row>
    <row r="8773" spans="4:4" x14ac:dyDescent="0.2">
      <c r="D8773" s="5"/>
    </row>
    <row r="8774" spans="4:4" x14ac:dyDescent="0.2">
      <c r="D8774" s="5"/>
    </row>
    <row r="8775" spans="4:4" x14ac:dyDescent="0.2">
      <c r="D8775" s="5"/>
    </row>
    <row r="8776" spans="4:4" x14ac:dyDescent="0.2">
      <c r="D8776" s="5"/>
    </row>
    <row r="8777" spans="4:4" x14ac:dyDescent="0.2">
      <c r="D8777" s="5"/>
    </row>
    <row r="8778" spans="4:4" x14ac:dyDescent="0.2">
      <c r="D8778" s="5"/>
    </row>
    <row r="8779" spans="4:4" x14ac:dyDescent="0.2">
      <c r="D8779" s="5"/>
    </row>
    <row r="8780" spans="4:4" x14ac:dyDescent="0.2">
      <c r="D8780" s="5"/>
    </row>
    <row r="8781" spans="4:4" x14ac:dyDescent="0.2">
      <c r="D8781" s="5"/>
    </row>
    <row r="8782" spans="4:4" x14ac:dyDescent="0.2">
      <c r="D8782" s="5"/>
    </row>
    <row r="8783" spans="4:4" x14ac:dyDescent="0.2">
      <c r="D8783" s="5"/>
    </row>
    <row r="8784" spans="4:4" x14ac:dyDescent="0.2">
      <c r="D8784" s="5"/>
    </row>
    <row r="8785" spans="4:4" x14ac:dyDescent="0.2">
      <c r="D8785" s="5"/>
    </row>
    <row r="8786" spans="4:4" x14ac:dyDescent="0.2">
      <c r="D8786" s="5"/>
    </row>
    <row r="8787" spans="4:4" x14ac:dyDescent="0.2">
      <c r="D8787" s="5"/>
    </row>
    <row r="8788" spans="4:4" x14ac:dyDescent="0.2">
      <c r="D8788" s="5"/>
    </row>
    <row r="8789" spans="4:4" x14ac:dyDescent="0.2">
      <c r="D8789" s="5"/>
    </row>
    <row r="8790" spans="4:4" x14ac:dyDescent="0.2">
      <c r="D8790" s="5"/>
    </row>
    <row r="8791" spans="4:4" x14ac:dyDescent="0.2">
      <c r="D8791" s="5"/>
    </row>
    <row r="8792" spans="4:4" x14ac:dyDescent="0.2">
      <c r="D8792" s="5"/>
    </row>
    <row r="8793" spans="4:4" x14ac:dyDescent="0.2">
      <c r="D8793" s="5"/>
    </row>
    <row r="8794" spans="4:4" x14ac:dyDescent="0.2">
      <c r="D8794" s="5"/>
    </row>
    <row r="8795" spans="4:4" x14ac:dyDescent="0.2">
      <c r="D8795" s="5"/>
    </row>
    <row r="8796" spans="4:4" x14ac:dyDescent="0.2">
      <c r="D8796" s="5"/>
    </row>
    <row r="8797" spans="4:4" x14ac:dyDescent="0.2">
      <c r="D8797" s="5"/>
    </row>
    <row r="8798" spans="4:4" x14ac:dyDescent="0.2">
      <c r="D8798" s="5"/>
    </row>
    <row r="8799" spans="4:4" x14ac:dyDescent="0.2">
      <c r="D8799" s="5"/>
    </row>
    <row r="8800" spans="4:4" x14ac:dyDescent="0.2">
      <c r="D8800" s="5"/>
    </row>
    <row r="8801" spans="4:4" x14ac:dyDescent="0.2">
      <c r="D8801" s="5"/>
    </row>
    <row r="8802" spans="4:4" x14ac:dyDescent="0.2">
      <c r="D8802" s="5"/>
    </row>
    <row r="8803" spans="4:4" x14ac:dyDescent="0.2">
      <c r="D8803" s="5"/>
    </row>
    <row r="8804" spans="4:4" x14ac:dyDescent="0.2">
      <c r="D8804" s="5"/>
    </row>
    <row r="8805" spans="4:4" x14ac:dyDescent="0.2">
      <c r="D8805" s="5"/>
    </row>
    <row r="8806" spans="4:4" x14ac:dyDescent="0.2">
      <c r="D8806" s="5"/>
    </row>
    <row r="8807" spans="4:4" x14ac:dyDescent="0.2">
      <c r="D8807" s="5"/>
    </row>
    <row r="8808" spans="4:4" x14ac:dyDescent="0.2">
      <c r="D8808" s="5"/>
    </row>
    <row r="8809" spans="4:4" x14ac:dyDescent="0.2">
      <c r="D8809" s="5"/>
    </row>
    <row r="8810" spans="4:4" x14ac:dyDescent="0.2">
      <c r="D8810" s="5"/>
    </row>
    <row r="8811" spans="4:4" x14ac:dyDescent="0.2">
      <c r="D8811" s="5"/>
    </row>
    <row r="8812" spans="4:4" x14ac:dyDescent="0.2">
      <c r="D8812" s="5"/>
    </row>
    <row r="8813" spans="4:4" x14ac:dyDescent="0.2">
      <c r="D8813" s="5"/>
    </row>
    <row r="8814" spans="4:4" x14ac:dyDescent="0.2">
      <c r="D8814" s="5"/>
    </row>
    <row r="8815" spans="4:4" x14ac:dyDescent="0.2">
      <c r="D8815" s="5"/>
    </row>
    <row r="8816" spans="4:4" x14ac:dyDescent="0.2">
      <c r="D8816" s="5"/>
    </row>
    <row r="8817" spans="4:4" x14ac:dyDescent="0.2">
      <c r="D8817" s="5"/>
    </row>
    <row r="8818" spans="4:4" x14ac:dyDescent="0.2">
      <c r="D8818" s="5"/>
    </row>
    <row r="8819" spans="4:4" x14ac:dyDescent="0.2">
      <c r="D8819" s="5"/>
    </row>
    <row r="8820" spans="4:4" x14ac:dyDescent="0.2">
      <c r="D8820" s="5"/>
    </row>
    <row r="8821" spans="4:4" x14ac:dyDescent="0.2">
      <c r="D8821" s="5"/>
    </row>
    <row r="8822" spans="4:4" x14ac:dyDescent="0.2">
      <c r="D8822" s="5"/>
    </row>
    <row r="8823" spans="4:4" x14ac:dyDescent="0.2">
      <c r="D8823" s="5"/>
    </row>
    <row r="8824" spans="4:4" x14ac:dyDescent="0.2">
      <c r="D8824" s="5"/>
    </row>
    <row r="8825" spans="4:4" x14ac:dyDescent="0.2">
      <c r="D8825" s="5"/>
    </row>
    <row r="8826" spans="4:4" x14ac:dyDescent="0.2">
      <c r="D8826" s="5"/>
    </row>
    <row r="8827" spans="4:4" x14ac:dyDescent="0.2">
      <c r="D8827" s="5"/>
    </row>
    <row r="8828" spans="4:4" x14ac:dyDescent="0.2">
      <c r="D8828" s="5"/>
    </row>
    <row r="8829" spans="4:4" x14ac:dyDescent="0.2">
      <c r="D8829" s="5"/>
    </row>
    <row r="8830" spans="4:4" x14ac:dyDescent="0.2">
      <c r="D8830" s="5"/>
    </row>
    <row r="8831" spans="4:4" x14ac:dyDescent="0.2">
      <c r="D8831" s="5"/>
    </row>
    <row r="8832" spans="4:4" x14ac:dyDescent="0.2">
      <c r="D8832" s="5"/>
    </row>
    <row r="8833" spans="4:4" x14ac:dyDescent="0.2">
      <c r="D8833" s="5"/>
    </row>
    <row r="8834" spans="4:4" x14ac:dyDescent="0.2">
      <c r="D8834" s="5"/>
    </row>
    <row r="8835" spans="4:4" x14ac:dyDescent="0.2">
      <c r="D8835" s="5"/>
    </row>
    <row r="8836" spans="4:4" x14ac:dyDescent="0.2">
      <c r="D8836" s="5"/>
    </row>
    <row r="8837" spans="4:4" x14ac:dyDescent="0.2">
      <c r="D8837" s="5"/>
    </row>
    <row r="8838" spans="4:4" x14ac:dyDescent="0.2">
      <c r="D8838" s="5"/>
    </row>
    <row r="8839" spans="4:4" x14ac:dyDescent="0.2">
      <c r="D8839" s="5"/>
    </row>
    <row r="8840" spans="4:4" x14ac:dyDescent="0.2">
      <c r="D8840" s="5"/>
    </row>
    <row r="8841" spans="4:4" x14ac:dyDescent="0.2">
      <c r="D8841" s="5"/>
    </row>
    <row r="8842" spans="4:4" x14ac:dyDescent="0.2">
      <c r="D8842" s="5"/>
    </row>
    <row r="8843" spans="4:4" x14ac:dyDescent="0.2">
      <c r="D8843" s="5"/>
    </row>
    <row r="8844" spans="4:4" x14ac:dyDescent="0.2">
      <c r="D8844" s="5"/>
    </row>
    <row r="8845" spans="4:4" x14ac:dyDescent="0.2">
      <c r="D8845" s="5"/>
    </row>
    <row r="8846" spans="4:4" x14ac:dyDescent="0.2">
      <c r="D8846" s="5"/>
    </row>
    <row r="8847" spans="4:4" x14ac:dyDescent="0.2">
      <c r="D8847" s="5"/>
    </row>
    <row r="8848" spans="4:4" x14ac:dyDescent="0.2">
      <c r="D8848" s="5"/>
    </row>
    <row r="8849" spans="4:4" x14ac:dyDescent="0.2">
      <c r="D8849" s="5"/>
    </row>
    <row r="8850" spans="4:4" x14ac:dyDescent="0.2">
      <c r="D8850" s="5"/>
    </row>
    <row r="8851" spans="4:4" x14ac:dyDescent="0.2">
      <c r="D8851" s="5"/>
    </row>
    <row r="8852" spans="4:4" x14ac:dyDescent="0.2">
      <c r="D8852" s="5"/>
    </row>
    <row r="8853" spans="4:4" x14ac:dyDescent="0.2">
      <c r="D8853" s="5"/>
    </row>
    <row r="8854" spans="4:4" x14ac:dyDescent="0.2">
      <c r="D8854" s="5"/>
    </row>
    <row r="8855" spans="4:4" x14ac:dyDescent="0.2">
      <c r="D8855" s="5"/>
    </row>
    <row r="8856" spans="4:4" x14ac:dyDescent="0.2">
      <c r="D8856" s="5"/>
    </row>
    <row r="8857" spans="4:4" x14ac:dyDescent="0.2">
      <c r="D8857" s="5"/>
    </row>
    <row r="8858" spans="4:4" x14ac:dyDescent="0.2">
      <c r="D8858" s="5"/>
    </row>
    <row r="8859" spans="4:4" x14ac:dyDescent="0.2">
      <c r="D8859" s="5"/>
    </row>
    <row r="8860" spans="4:4" x14ac:dyDescent="0.2">
      <c r="D8860" s="5"/>
    </row>
    <row r="8861" spans="4:4" x14ac:dyDescent="0.2">
      <c r="D8861" s="5"/>
    </row>
    <row r="8862" spans="4:4" x14ac:dyDescent="0.2">
      <c r="D8862" s="5"/>
    </row>
    <row r="8863" spans="4:4" x14ac:dyDescent="0.2">
      <c r="D8863" s="5"/>
    </row>
    <row r="8864" spans="4:4" x14ac:dyDescent="0.2">
      <c r="D8864" s="5"/>
    </row>
    <row r="8865" spans="4:4" x14ac:dyDescent="0.2">
      <c r="D8865" s="5"/>
    </row>
    <row r="8866" spans="4:4" x14ac:dyDescent="0.2">
      <c r="D8866" s="5"/>
    </row>
    <row r="8867" spans="4:4" x14ac:dyDescent="0.2">
      <c r="D8867" s="5"/>
    </row>
    <row r="8868" spans="4:4" x14ac:dyDescent="0.2">
      <c r="D8868" s="5"/>
    </row>
    <row r="8869" spans="4:4" x14ac:dyDescent="0.2">
      <c r="D8869" s="5"/>
    </row>
    <row r="8870" spans="4:4" x14ac:dyDescent="0.2">
      <c r="D8870" s="5"/>
    </row>
    <row r="8871" spans="4:4" x14ac:dyDescent="0.2">
      <c r="D8871" s="5"/>
    </row>
    <row r="8872" spans="4:4" x14ac:dyDescent="0.2">
      <c r="D8872" s="5"/>
    </row>
    <row r="8873" spans="4:4" x14ac:dyDescent="0.2">
      <c r="D8873" s="5"/>
    </row>
    <row r="8874" spans="4:4" x14ac:dyDescent="0.2">
      <c r="D8874" s="5"/>
    </row>
    <row r="8875" spans="4:4" x14ac:dyDescent="0.2">
      <c r="D8875" s="5"/>
    </row>
    <row r="8876" spans="4:4" x14ac:dyDescent="0.2">
      <c r="D8876" s="5"/>
    </row>
    <row r="8877" spans="4:4" x14ac:dyDescent="0.2">
      <c r="D8877" s="5"/>
    </row>
    <row r="8878" spans="4:4" x14ac:dyDescent="0.2">
      <c r="D8878" s="5"/>
    </row>
    <row r="8879" spans="4:4" x14ac:dyDescent="0.2">
      <c r="D8879" s="5"/>
    </row>
    <row r="8880" spans="4:4" x14ac:dyDescent="0.2">
      <c r="D8880" s="5"/>
    </row>
    <row r="8881" spans="4:4" x14ac:dyDescent="0.2">
      <c r="D8881" s="5"/>
    </row>
    <row r="8882" spans="4:4" x14ac:dyDescent="0.2">
      <c r="D8882" s="5"/>
    </row>
    <row r="8883" spans="4:4" x14ac:dyDescent="0.2">
      <c r="D8883" s="5"/>
    </row>
    <row r="8884" spans="4:4" x14ac:dyDescent="0.2">
      <c r="D8884" s="5"/>
    </row>
    <row r="8885" spans="4:4" x14ac:dyDescent="0.2">
      <c r="D8885" s="5"/>
    </row>
    <row r="8886" spans="4:4" x14ac:dyDescent="0.2">
      <c r="D8886" s="5"/>
    </row>
    <row r="8887" spans="4:4" x14ac:dyDescent="0.2">
      <c r="D8887" s="5"/>
    </row>
    <row r="8888" spans="4:4" x14ac:dyDescent="0.2">
      <c r="D8888" s="5"/>
    </row>
    <row r="8889" spans="4:4" x14ac:dyDescent="0.2">
      <c r="D8889" s="5"/>
    </row>
    <row r="8890" spans="4:4" x14ac:dyDescent="0.2">
      <c r="D8890" s="5"/>
    </row>
    <row r="8891" spans="4:4" x14ac:dyDescent="0.2">
      <c r="D8891" s="5"/>
    </row>
    <row r="8892" spans="4:4" x14ac:dyDescent="0.2">
      <c r="D8892" s="5"/>
    </row>
    <row r="8893" spans="4:4" x14ac:dyDescent="0.2">
      <c r="D8893" s="5"/>
    </row>
    <row r="8894" spans="4:4" x14ac:dyDescent="0.2">
      <c r="D8894" s="5"/>
    </row>
    <row r="8895" spans="4:4" x14ac:dyDescent="0.2">
      <c r="D8895" s="5"/>
    </row>
    <row r="8896" spans="4:4" x14ac:dyDescent="0.2">
      <c r="D8896" s="5"/>
    </row>
    <row r="8897" spans="4:4" x14ac:dyDescent="0.2">
      <c r="D8897" s="5"/>
    </row>
    <row r="8898" spans="4:4" x14ac:dyDescent="0.2">
      <c r="D8898" s="5"/>
    </row>
    <row r="8899" spans="4:4" x14ac:dyDescent="0.2">
      <c r="D8899" s="5"/>
    </row>
    <row r="8900" spans="4:4" x14ac:dyDescent="0.2">
      <c r="D8900" s="5"/>
    </row>
    <row r="8901" spans="4:4" x14ac:dyDescent="0.2">
      <c r="D8901" s="5"/>
    </row>
    <row r="8902" spans="4:4" x14ac:dyDescent="0.2">
      <c r="D8902" s="5"/>
    </row>
    <row r="8903" spans="4:4" x14ac:dyDescent="0.2">
      <c r="D8903" s="5"/>
    </row>
    <row r="8904" spans="4:4" x14ac:dyDescent="0.2">
      <c r="D8904" s="5"/>
    </row>
    <row r="8905" spans="4:4" x14ac:dyDescent="0.2">
      <c r="D8905" s="5"/>
    </row>
    <row r="8906" spans="4:4" x14ac:dyDescent="0.2">
      <c r="D8906" s="5"/>
    </row>
    <row r="8907" spans="4:4" x14ac:dyDescent="0.2">
      <c r="D8907" s="5"/>
    </row>
    <row r="8908" spans="4:4" x14ac:dyDescent="0.2">
      <c r="D8908" s="5"/>
    </row>
    <row r="8909" spans="4:4" x14ac:dyDescent="0.2">
      <c r="D8909" s="5"/>
    </row>
    <row r="8910" spans="4:4" x14ac:dyDescent="0.2">
      <c r="D8910" s="5"/>
    </row>
    <row r="8911" spans="4:4" x14ac:dyDescent="0.2">
      <c r="D8911" s="5"/>
    </row>
    <row r="8912" spans="4:4" x14ac:dyDescent="0.2">
      <c r="D8912" s="5"/>
    </row>
    <row r="8913" spans="4:4" x14ac:dyDescent="0.2">
      <c r="D8913" s="5"/>
    </row>
    <row r="8914" spans="4:4" x14ac:dyDescent="0.2">
      <c r="D8914" s="5"/>
    </row>
    <row r="8915" spans="4:4" x14ac:dyDescent="0.2">
      <c r="D8915" s="5"/>
    </row>
    <row r="8916" spans="4:4" x14ac:dyDescent="0.2">
      <c r="D8916" s="5"/>
    </row>
    <row r="8917" spans="4:4" x14ac:dyDescent="0.2">
      <c r="D8917" s="5"/>
    </row>
    <row r="8918" spans="4:4" x14ac:dyDescent="0.2">
      <c r="D8918" s="5"/>
    </row>
    <row r="8919" spans="4:4" x14ac:dyDescent="0.2">
      <c r="D8919" s="5"/>
    </row>
    <row r="8920" spans="4:4" x14ac:dyDescent="0.2">
      <c r="D8920" s="5"/>
    </row>
    <row r="8921" spans="4:4" x14ac:dyDescent="0.2">
      <c r="D8921" s="5"/>
    </row>
    <row r="8922" spans="4:4" x14ac:dyDescent="0.2">
      <c r="D8922" s="5"/>
    </row>
    <row r="8923" spans="4:4" x14ac:dyDescent="0.2">
      <c r="D8923" s="5"/>
    </row>
    <row r="8924" spans="4:4" x14ac:dyDescent="0.2">
      <c r="D8924" s="5"/>
    </row>
    <row r="8925" spans="4:4" x14ac:dyDescent="0.2">
      <c r="D8925" s="5"/>
    </row>
    <row r="8926" spans="4:4" x14ac:dyDescent="0.2">
      <c r="D8926" s="5"/>
    </row>
    <row r="8927" spans="4:4" x14ac:dyDescent="0.2">
      <c r="D8927" s="5"/>
    </row>
    <row r="8928" spans="4:4" x14ac:dyDescent="0.2">
      <c r="D8928" s="5"/>
    </row>
    <row r="8929" spans="4:4" x14ac:dyDescent="0.2">
      <c r="D8929" s="5"/>
    </row>
    <row r="8930" spans="4:4" x14ac:dyDescent="0.2">
      <c r="D8930" s="5"/>
    </row>
    <row r="8931" spans="4:4" x14ac:dyDescent="0.2">
      <c r="D8931" s="5"/>
    </row>
    <row r="8932" spans="4:4" x14ac:dyDescent="0.2">
      <c r="D8932" s="5"/>
    </row>
    <row r="8933" spans="4:4" x14ac:dyDescent="0.2">
      <c r="D8933" s="5"/>
    </row>
    <row r="8934" spans="4:4" x14ac:dyDescent="0.2">
      <c r="D8934" s="5"/>
    </row>
    <row r="8935" spans="4:4" x14ac:dyDescent="0.2">
      <c r="D8935" s="5"/>
    </row>
    <row r="8936" spans="4:4" x14ac:dyDescent="0.2">
      <c r="D8936" s="5"/>
    </row>
    <row r="8937" spans="4:4" x14ac:dyDescent="0.2">
      <c r="D8937" s="5"/>
    </row>
    <row r="8938" spans="4:4" x14ac:dyDescent="0.2">
      <c r="D8938" s="5"/>
    </row>
    <row r="8939" spans="4:4" x14ac:dyDescent="0.2">
      <c r="D8939" s="5"/>
    </row>
    <row r="8940" spans="4:4" x14ac:dyDescent="0.2">
      <c r="D8940" s="5"/>
    </row>
    <row r="8941" spans="4:4" x14ac:dyDescent="0.2">
      <c r="D8941" s="5"/>
    </row>
    <row r="8942" spans="4:4" x14ac:dyDescent="0.2">
      <c r="D8942" s="5"/>
    </row>
    <row r="8943" spans="4:4" x14ac:dyDescent="0.2">
      <c r="D8943" s="5"/>
    </row>
    <row r="8944" spans="4:4" x14ac:dyDescent="0.2">
      <c r="D8944" s="5"/>
    </row>
    <row r="8945" spans="4:4" x14ac:dyDescent="0.2">
      <c r="D8945" s="5"/>
    </row>
    <row r="8946" spans="4:4" x14ac:dyDescent="0.2">
      <c r="D8946" s="5"/>
    </row>
    <row r="8947" spans="4:4" x14ac:dyDescent="0.2">
      <c r="D8947" s="5"/>
    </row>
    <row r="8948" spans="4:4" x14ac:dyDescent="0.2">
      <c r="D8948" s="5"/>
    </row>
    <row r="8949" spans="4:4" x14ac:dyDescent="0.2">
      <c r="D8949" s="5"/>
    </row>
    <row r="8950" spans="4:4" x14ac:dyDescent="0.2">
      <c r="D8950" s="5"/>
    </row>
    <row r="8951" spans="4:4" x14ac:dyDescent="0.2">
      <c r="D8951" s="5"/>
    </row>
    <row r="8952" spans="4:4" x14ac:dyDescent="0.2">
      <c r="D8952" s="5"/>
    </row>
    <row r="8953" spans="4:4" x14ac:dyDescent="0.2">
      <c r="D8953" s="5"/>
    </row>
    <row r="8954" spans="4:4" x14ac:dyDescent="0.2">
      <c r="D8954" s="5"/>
    </row>
    <row r="8955" spans="4:4" x14ac:dyDescent="0.2">
      <c r="D8955" s="5"/>
    </row>
    <row r="8956" spans="4:4" x14ac:dyDescent="0.2">
      <c r="D8956" s="5"/>
    </row>
    <row r="8957" spans="4:4" x14ac:dyDescent="0.2">
      <c r="D8957" s="5"/>
    </row>
    <row r="8958" spans="4:4" x14ac:dyDescent="0.2">
      <c r="D8958" s="5"/>
    </row>
    <row r="8959" spans="4:4" x14ac:dyDescent="0.2">
      <c r="D8959" s="5"/>
    </row>
    <row r="8960" spans="4:4" x14ac:dyDescent="0.2">
      <c r="D8960" s="5"/>
    </row>
    <row r="8961" spans="4:4" x14ac:dyDescent="0.2">
      <c r="D8961" s="5"/>
    </row>
    <row r="8962" spans="4:4" x14ac:dyDescent="0.2">
      <c r="D8962" s="5"/>
    </row>
    <row r="8963" spans="4:4" x14ac:dyDescent="0.2">
      <c r="D8963" s="5"/>
    </row>
    <row r="8964" spans="4:4" x14ac:dyDescent="0.2">
      <c r="D8964" s="5"/>
    </row>
    <row r="8965" spans="4:4" x14ac:dyDescent="0.2">
      <c r="D8965" s="5"/>
    </row>
    <row r="8966" spans="4:4" x14ac:dyDescent="0.2">
      <c r="D8966" s="5"/>
    </row>
    <row r="8967" spans="4:4" x14ac:dyDescent="0.2">
      <c r="D8967" s="5"/>
    </row>
    <row r="8968" spans="4:4" x14ac:dyDescent="0.2">
      <c r="D8968" s="5"/>
    </row>
    <row r="8969" spans="4:4" x14ac:dyDescent="0.2">
      <c r="D8969" s="5"/>
    </row>
    <row r="8970" spans="4:4" x14ac:dyDescent="0.2">
      <c r="D8970" s="5"/>
    </row>
    <row r="8971" spans="4:4" x14ac:dyDescent="0.2">
      <c r="D8971" s="5"/>
    </row>
    <row r="8972" spans="4:4" x14ac:dyDescent="0.2">
      <c r="D8972" s="5"/>
    </row>
    <row r="8973" spans="4:4" x14ac:dyDescent="0.2">
      <c r="D8973" s="5"/>
    </row>
    <row r="8974" spans="4:4" x14ac:dyDescent="0.2">
      <c r="D8974" s="5"/>
    </row>
    <row r="8975" spans="4:4" x14ac:dyDescent="0.2">
      <c r="D8975" s="5"/>
    </row>
    <row r="8976" spans="4:4" x14ac:dyDescent="0.2">
      <c r="D8976" s="5"/>
    </row>
    <row r="8977" spans="4:4" x14ac:dyDescent="0.2">
      <c r="D8977" s="5"/>
    </row>
    <row r="8978" spans="4:4" x14ac:dyDescent="0.2">
      <c r="D8978" s="5"/>
    </row>
    <row r="8979" spans="4:4" x14ac:dyDescent="0.2">
      <c r="D8979" s="5"/>
    </row>
    <row r="8980" spans="4:4" x14ac:dyDescent="0.2">
      <c r="D8980" s="5"/>
    </row>
    <row r="8981" spans="4:4" x14ac:dyDescent="0.2">
      <c r="D8981" s="5"/>
    </row>
    <row r="8982" spans="4:4" x14ac:dyDescent="0.2">
      <c r="D8982" s="5"/>
    </row>
    <row r="8983" spans="4:4" x14ac:dyDescent="0.2">
      <c r="D8983" s="5"/>
    </row>
    <row r="8984" spans="4:4" x14ac:dyDescent="0.2">
      <c r="D8984" s="5"/>
    </row>
    <row r="8985" spans="4:4" x14ac:dyDescent="0.2">
      <c r="D8985" s="5"/>
    </row>
    <row r="8986" spans="4:4" x14ac:dyDescent="0.2">
      <c r="D8986" s="5"/>
    </row>
    <row r="8987" spans="4:4" x14ac:dyDescent="0.2">
      <c r="D8987" s="5"/>
    </row>
    <row r="8988" spans="4:4" x14ac:dyDescent="0.2">
      <c r="D8988" s="5"/>
    </row>
    <row r="8989" spans="4:4" x14ac:dyDescent="0.2">
      <c r="D8989" s="5"/>
    </row>
    <row r="8990" spans="4:4" x14ac:dyDescent="0.2">
      <c r="D8990" s="5"/>
    </row>
    <row r="8991" spans="4:4" x14ac:dyDescent="0.2">
      <c r="D8991" s="5"/>
    </row>
    <row r="8992" spans="4:4" x14ac:dyDescent="0.2">
      <c r="D8992" s="5"/>
    </row>
    <row r="8993" spans="4:4" x14ac:dyDescent="0.2">
      <c r="D8993" s="5"/>
    </row>
    <row r="8994" spans="4:4" x14ac:dyDescent="0.2">
      <c r="D8994" s="5"/>
    </row>
    <row r="8995" spans="4:4" x14ac:dyDescent="0.2">
      <c r="D8995" s="5"/>
    </row>
    <row r="8996" spans="4:4" x14ac:dyDescent="0.2">
      <c r="D8996" s="5"/>
    </row>
    <row r="8997" spans="4:4" x14ac:dyDescent="0.2">
      <c r="D8997" s="5"/>
    </row>
    <row r="8998" spans="4:4" x14ac:dyDescent="0.2">
      <c r="D8998" s="5"/>
    </row>
    <row r="8999" spans="4:4" x14ac:dyDescent="0.2">
      <c r="D8999" s="5"/>
    </row>
    <row r="9000" spans="4:4" x14ac:dyDescent="0.2">
      <c r="D9000" s="5"/>
    </row>
    <row r="9001" spans="4:4" x14ac:dyDescent="0.2">
      <c r="D9001" s="5"/>
    </row>
    <row r="9002" spans="4:4" x14ac:dyDescent="0.2">
      <c r="D9002" s="5"/>
    </row>
    <row r="9003" spans="4:4" x14ac:dyDescent="0.2">
      <c r="D9003" s="5"/>
    </row>
    <row r="9004" spans="4:4" x14ac:dyDescent="0.2">
      <c r="D9004" s="5"/>
    </row>
    <row r="9005" spans="4:4" x14ac:dyDescent="0.2">
      <c r="D9005" s="5"/>
    </row>
    <row r="9006" spans="4:4" x14ac:dyDescent="0.2">
      <c r="D9006" s="5"/>
    </row>
    <row r="9007" spans="4:4" x14ac:dyDescent="0.2">
      <c r="D9007" s="5"/>
    </row>
    <row r="9008" spans="4:4" x14ac:dyDescent="0.2">
      <c r="D9008" s="5"/>
    </row>
    <row r="9009" spans="4:4" x14ac:dyDescent="0.2">
      <c r="D9009" s="5"/>
    </row>
    <row r="9010" spans="4:4" x14ac:dyDescent="0.2">
      <c r="D9010" s="5"/>
    </row>
    <row r="9011" spans="4:4" x14ac:dyDescent="0.2">
      <c r="D9011" s="5"/>
    </row>
    <row r="9012" spans="4:4" x14ac:dyDescent="0.2">
      <c r="D9012" s="5"/>
    </row>
    <row r="9013" spans="4:4" x14ac:dyDescent="0.2">
      <c r="D9013" s="5"/>
    </row>
    <row r="9014" spans="4:4" x14ac:dyDescent="0.2">
      <c r="D9014" s="5"/>
    </row>
    <row r="9015" spans="4:4" x14ac:dyDescent="0.2">
      <c r="D9015" s="5"/>
    </row>
    <row r="9016" spans="4:4" x14ac:dyDescent="0.2">
      <c r="D9016" s="5"/>
    </row>
    <row r="9017" spans="4:4" x14ac:dyDescent="0.2">
      <c r="D9017" s="5"/>
    </row>
    <row r="9018" spans="4:4" x14ac:dyDescent="0.2">
      <c r="D9018" s="5"/>
    </row>
    <row r="9019" spans="4:4" x14ac:dyDescent="0.2">
      <c r="D9019" s="5"/>
    </row>
    <row r="9020" spans="4:4" x14ac:dyDescent="0.2">
      <c r="D9020" s="5"/>
    </row>
    <row r="9021" spans="4:4" x14ac:dyDescent="0.2">
      <c r="D9021" s="5"/>
    </row>
    <row r="9022" spans="4:4" x14ac:dyDescent="0.2">
      <c r="D9022" s="5"/>
    </row>
    <row r="9023" spans="4:4" x14ac:dyDescent="0.2">
      <c r="D9023" s="5"/>
    </row>
    <row r="9024" spans="4:4" x14ac:dyDescent="0.2">
      <c r="D9024" s="5"/>
    </row>
    <row r="9025" spans="4:4" x14ac:dyDescent="0.2">
      <c r="D9025" s="5"/>
    </row>
    <row r="9026" spans="4:4" x14ac:dyDescent="0.2">
      <c r="D9026" s="5"/>
    </row>
    <row r="9027" spans="4:4" x14ac:dyDescent="0.2">
      <c r="D9027" s="5"/>
    </row>
    <row r="9028" spans="4:4" x14ac:dyDescent="0.2">
      <c r="D9028" s="5"/>
    </row>
    <row r="9029" spans="4:4" x14ac:dyDescent="0.2">
      <c r="D9029" s="5"/>
    </row>
    <row r="9030" spans="4:4" x14ac:dyDescent="0.2">
      <c r="D9030" s="5"/>
    </row>
    <row r="9031" spans="4:4" x14ac:dyDescent="0.2">
      <c r="D9031" s="5"/>
    </row>
    <row r="9032" spans="4:4" x14ac:dyDescent="0.2">
      <c r="D9032" s="5"/>
    </row>
    <row r="9033" spans="4:4" x14ac:dyDescent="0.2">
      <c r="D9033" s="5"/>
    </row>
    <row r="9034" spans="4:4" x14ac:dyDescent="0.2">
      <c r="D9034" s="5"/>
    </row>
    <row r="9035" spans="4:4" x14ac:dyDescent="0.2">
      <c r="D9035" s="5"/>
    </row>
    <row r="9036" spans="4:4" x14ac:dyDescent="0.2">
      <c r="D9036" s="5"/>
    </row>
    <row r="9037" spans="4:4" x14ac:dyDescent="0.2">
      <c r="D9037" s="5"/>
    </row>
    <row r="9038" spans="4:4" x14ac:dyDescent="0.2">
      <c r="D9038" s="5"/>
    </row>
    <row r="9039" spans="4:4" x14ac:dyDescent="0.2">
      <c r="D9039" s="5"/>
    </row>
    <row r="9040" spans="4:4" x14ac:dyDescent="0.2">
      <c r="D9040" s="5"/>
    </row>
    <row r="9041" spans="4:4" x14ac:dyDescent="0.2">
      <c r="D9041" s="5"/>
    </row>
    <row r="9042" spans="4:4" x14ac:dyDescent="0.2">
      <c r="D9042" s="5"/>
    </row>
    <row r="9043" spans="4:4" x14ac:dyDescent="0.2">
      <c r="D9043" s="5"/>
    </row>
    <row r="9044" spans="4:4" x14ac:dyDescent="0.2">
      <c r="D9044" s="5"/>
    </row>
    <row r="9045" spans="4:4" x14ac:dyDescent="0.2">
      <c r="D9045" s="5"/>
    </row>
    <row r="9046" spans="4:4" x14ac:dyDescent="0.2">
      <c r="D9046" s="5"/>
    </row>
    <row r="9047" spans="4:4" x14ac:dyDescent="0.2">
      <c r="D9047" s="5"/>
    </row>
    <row r="9048" spans="4:4" x14ac:dyDescent="0.2">
      <c r="D9048" s="5"/>
    </row>
    <row r="9049" spans="4:4" x14ac:dyDescent="0.2">
      <c r="D9049" s="5"/>
    </row>
    <row r="9050" spans="4:4" x14ac:dyDescent="0.2">
      <c r="D9050" s="5"/>
    </row>
    <row r="9051" spans="4:4" x14ac:dyDescent="0.2">
      <c r="D9051" s="5"/>
    </row>
    <row r="9052" spans="4:4" x14ac:dyDescent="0.2">
      <c r="D9052" s="5"/>
    </row>
    <row r="9053" spans="4:4" x14ac:dyDescent="0.2">
      <c r="D9053" s="5"/>
    </row>
    <row r="9054" spans="4:4" x14ac:dyDescent="0.2">
      <c r="D9054" s="5"/>
    </row>
    <row r="9055" spans="4:4" x14ac:dyDescent="0.2">
      <c r="D9055" s="5"/>
    </row>
    <row r="9056" spans="4:4" x14ac:dyDescent="0.2">
      <c r="D9056" s="5"/>
    </row>
    <row r="9057" spans="4:4" x14ac:dyDescent="0.2">
      <c r="D9057" s="5"/>
    </row>
    <row r="9058" spans="4:4" x14ac:dyDescent="0.2">
      <c r="D9058" s="5"/>
    </row>
    <row r="9059" spans="4:4" x14ac:dyDescent="0.2">
      <c r="D9059" s="5"/>
    </row>
    <row r="9060" spans="4:4" x14ac:dyDescent="0.2">
      <c r="D9060" s="5"/>
    </row>
    <row r="9061" spans="4:4" x14ac:dyDescent="0.2">
      <c r="D9061" s="5"/>
    </row>
    <row r="9062" spans="4:4" x14ac:dyDescent="0.2">
      <c r="D9062" s="5"/>
    </row>
    <row r="9063" spans="4:4" x14ac:dyDescent="0.2">
      <c r="D9063" s="5"/>
    </row>
    <row r="9064" spans="4:4" x14ac:dyDescent="0.2">
      <c r="D9064" s="5"/>
    </row>
    <row r="9065" spans="4:4" x14ac:dyDescent="0.2">
      <c r="D9065" s="5"/>
    </row>
    <row r="9066" spans="4:4" x14ac:dyDescent="0.2">
      <c r="D9066" s="5"/>
    </row>
    <row r="9067" spans="4:4" x14ac:dyDescent="0.2">
      <c r="D9067" s="5"/>
    </row>
    <row r="9068" spans="4:4" x14ac:dyDescent="0.2">
      <c r="D9068" s="5"/>
    </row>
    <row r="9069" spans="4:4" x14ac:dyDescent="0.2">
      <c r="D9069" s="5"/>
    </row>
    <row r="9070" spans="4:4" x14ac:dyDescent="0.2">
      <c r="D9070" s="5"/>
    </row>
    <row r="9071" spans="4:4" x14ac:dyDescent="0.2">
      <c r="D9071" s="5"/>
    </row>
    <row r="9072" spans="4:4" x14ac:dyDescent="0.2">
      <c r="D9072" s="5"/>
    </row>
    <row r="9073" spans="4:4" x14ac:dyDescent="0.2">
      <c r="D9073" s="5"/>
    </row>
    <row r="9074" spans="4:4" x14ac:dyDescent="0.2">
      <c r="D9074" s="5"/>
    </row>
    <row r="9075" spans="4:4" x14ac:dyDescent="0.2">
      <c r="D9075" s="5"/>
    </row>
    <row r="9076" spans="4:4" x14ac:dyDescent="0.2">
      <c r="D9076" s="5"/>
    </row>
    <row r="9077" spans="4:4" x14ac:dyDescent="0.2">
      <c r="D9077" s="5"/>
    </row>
    <row r="9078" spans="4:4" x14ac:dyDescent="0.2">
      <c r="D9078" s="5"/>
    </row>
    <row r="9079" spans="4:4" x14ac:dyDescent="0.2">
      <c r="D9079" s="5"/>
    </row>
    <row r="9080" spans="4:4" x14ac:dyDescent="0.2">
      <c r="D9080" s="5"/>
    </row>
    <row r="9081" spans="4:4" x14ac:dyDescent="0.2">
      <c r="D9081" s="5"/>
    </row>
    <row r="9082" spans="4:4" x14ac:dyDescent="0.2">
      <c r="D9082" s="5"/>
    </row>
    <row r="9083" spans="4:4" x14ac:dyDescent="0.2">
      <c r="D9083" s="5"/>
    </row>
    <row r="9084" spans="4:4" x14ac:dyDescent="0.2">
      <c r="D9084" s="5"/>
    </row>
    <row r="9085" spans="4:4" x14ac:dyDescent="0.2">
      <c r="D9085" s="5"/>
    </row>
    <row r="9086" spans="4:4" x14ac:dyDescent="0.2">
      <c r="D9086" s="5"/>
    </row>
    <row r="9087" spans="4:4" x14ac:dyDescent="0.2">
      <c r="D9087" s="5"/>
    </row>
    <row r="9088" spans="4:4" x14ac:dyDescent="0.2">
      <c r="D9088" s="5"/>
    </row>
    <row r="9089" spans="4:4" x14ac:dyDescent="0.2">
      <c r="D9089" s="5"/>
    </row>
    <row r="9090" spans="4:4" x14ac:dyDescent="0.2">
      <c r="D9090" s="5"/>
    </row>
    <row r="9091" spans="4:4" x14ac:dyDescent="0.2">
      <c r="D9091" s="5"/>
    </row>
    <row r="9092" spans="4:4" x14ac:dyDescent="0.2">
      <c r="D9092" s="5"/>
    </row>
    <row r="9093" spans="4:4" x14ac:dyDescent="0.2">
      <c r="D9093" s="5"/>
    </row>
    <row r="9094" spans="4:4" x14ac:dyDescent="0.2">
      <c r="D9094" s="5"/>
    </row>
    <row r="9095" spans="4:4" x14ac:dyDescent="0.2">
      <c r="D9095" s="5"/>
    </row>
    <row r="9096" spans="4:4" x14ac:dyDescent="0.2">
      <c r="D9096" s="5"/>
    </row>
    <row r="9097" spans="4:4" x14ac:dyDescent="0.2">
      <c r="D9097" s="5"/>
    </row>
    <row r="9098" spans="4:4" x14ac:dyDescent="0.2">
      <c r="D9098" s="5"/>
    </row>
    <row r="9099" spans="4:4" x14ac:dyDescent="0.2">
      <c r="D9099" s="5"/>
    </row>
    <row r="9100" spans="4:4" x14ac:dyDescent="0.2">
      <c r="D9100" s="5"/>
    </row>
    <row r="9101" spans="4:4" x14ac:dyDescent="0.2">
      <c r="D9101" s="5"/>
    </row>
    <row r="9102" spans="4:4" x14ac:dyDescent="0.2">
      <c r="D9102" s="5"/>
    </row>
    <row r="9103" spans="4:4" x14ac:dyDescent="0.2">
      <c r="D9103" s="5"/>
    </row>
    <row r="9104" spans="4:4" x14ac:dyDescent="0.2">
      <c r="D9104" s="5"/>
    </row>
    <row r="9105" spans="4:4" x14ac:dyDescent="0.2">
      <c r="D9105" s="5"/>
    </row>
    <row r="9106" spans="4:4" x14ac:dyDescent="0.2">
      <c r="D9106" s="5"/>
    </row>
    <row r="9107" spans="4:4" x14ac:dyDescent="0.2">
      <c r="D9107" s="5"/>
    </row>
    <row r="9108" spans="4:4" x14ac:dyDescent="0.2">
      <c r="D9108" s="5"/>
    </row>
    <row r="9109" spans="4:4" x14ac:dyDescent="0.2">
      <c r="D9109" s="5"/>
    </row>
    <row r="9110" spans="4:4" x14ac:dyDescent="0.2">
      <c r="D9110" s="5"/>
    </row>
    <row r="9111" spans="4:4" x14ac:dyDescent="0.2">
      <c r="D9111" s="5"/>
    </row>
    <row r="9112" spans="4:4" x14ac:dyDescent="0.2">
      <c r="D9112" s="5"/>
    </row>
    <row r="9113" spans="4:4" x14ac:dyDescent="0.2">
      <c r="D9113" s="5"/>
    </row>
    <row r="9114" spans="4:4" x14ac:dyDescent="0.2">
      <c r="D9114" s="5"/>
    </row>
    <row r="9115" spans="4:4" x14ac:dyDescent="0.2">
      <c r="D9115" s="5"/>
    </row>
    <row r="9116" spans="4:4" x14ac:dyDescent="0.2">
      <c r="D9116" s="5"/>
    </row>
    <row r="9117" spans="4:4" x14ac:dyDescent="0.2">
      <c r="D9117" s="5"/>
    </row>
    <row r="9118" spans="4:4" x14ac:dyDescent="0.2">
      <c r="D9118" s="5"/>
    </row>
    <row r="9119" spans="4:4" x14ac:dyDescent="0.2">
      <c r="D9119" s="5"/>
    </row>
    <row r="9120" spans="4:4" x14ac:dyDescent="0.2">
      <c r="D9120" s="5"/>
    </row>
    <row r="9121" spans="4:4" x14ac:dyDescent="0.2">
      <c r="D9121" s="5"/>
    </row>
    <row r="9122" spans="4:4" x14ac:dyDescent="0.2">
      <c r="D9122" s="5"/>
    </row>
    <row r="9123" spans="4:4" x14ac:dyDescent="0.2">
      <c r="D9123" s="5"/>
    </row>
    <row r="9124" spans="4:4" x14ac:dyDescent="0.2">
      <c r="D9124" s="5"/>
    </row>
    <row r="9125" spans="4:4" x14ac:dyDescent="0.2">
      <c r="D9125" s="5"/>
    </row>
    <row r="9126" spans="4:4" x14ac:dyDescent="0.2">
      <c r="D9126" s="5"/>
    </row>
    <row r="9127" spans="4:4" x14ac:dyDescent="0.2">
      <c r="D9127" s="5"/>
    </row>
    <row r="9128" spans="4:4" x14ac:dyDescent="0.2">
      <c r="D9128" s="5"/>
    </row>
    <row r="9129" spans="4:4" x14ac:dyDescent="0.2">
      <c r="D9129" s="5"/>
    </row>
    <row r="9130" spans="4:4" x14ac:dyDescent="0.2">
      <c r="D9130" s="5"/>
    </row>
    <row r="9131" spans="4:4" x14ac:dyDescent="0.2">
      <c r="D9131" s="5"/>
    </row>
    <row r="9132" spans="4:4" x14ac:dyDescent="0.2">
      <c r="D9132" s="5"/>
    </row>
    <row r="9133" spans="4:4" x14ac:dyDescent="0.2">
      <c r="D9133" s="5"/>
    </row>
    <row r="9134" spans="4:4" x14ac:dyDescent="0.2">
      <c r="D9134" s="5"/>
    </row>
    <row r="9135" spans="4:4" x14ac:dyDescent="0.2">
      <c r="D9135" s="5"/>
    </row>
    <row r="9136" spans="4:4" x14ac:dyDescent="0.2">
      <c r="D9136" s="5"/>
    </row>
    <row r="9137" spans="4:4" x14ac:dyDescent="0.2">
      <c r="D9137" s="5"/>
    </row>
    <row r="9138" spans="4:4" x14ac:dyDescent="0.2">
      <c r="D9138" s="5"/>
    </row>
    <row r="9139" spans="4:4" x14ac:dyDescent="0.2">
      <c r="D9139" s="5"/>
    </row>
    <row r="9140" spans="4:4" x14ac:dyDescent="0.2">
      <c r="D9140" s="5"/>
    </row>
    <row r="9141" spans="4:4" x14ac:dyDescent="0.2">
      <c r="D9141" s="5"/>
    </row>
    <row r="9142" spans="4:4" x14ac:dyDescent="0.2">
      <c r="D9142" s="5"/>
    </row>
    <row r="9143" spans="4:4" x14ac:dyDescent="0.2">
      <c r="D9143" s="5"/>
    </row>
    <row r="9144" spans="4:4" x14ac:dyDescent="0.2">
      <c r="D9144" s="5"/>
    </row>
    <row r="9145" spans="4:4" x14ac:dyDescent="0.2">
      <c r="D9145" s="5"/>
    </row>
    <row r="9146" spans="4:4" x14ac:dyDescent="0.2">
      <c r="D9146" s="5"/>
    </row>
    <row r="9147" spans="4:4" x14ac:dyDescent="0.2">
      <c r="D9147" s="5"/>
    </row>
    <row r="9148" spans="4:4" x14ac:dyDescent="0.2">
      <c r="D9148" s="5"/>
    </row>
    <row r="9149" spans="4:4" x14ac:dyDescent="0.2">
      <c r="D9149" s="5"/>
    </row>
    <row r="9150" spans="4:4" x14ac:dyDescent="0.2">
      <c r="D9150" s="5"/>
    </row>
    <row r="9151" spans="4:4" x14ac:dyDescent="0.2">
      <c r="D9151" s="5"/>
    </row>
    <row r="9152" spans="4:4" x14ac:dyDescent="0.2">
      <c r="D9152" s="5"/>
    </row>
    <row r="9153" spans="4:4" x14ac:dyDescent="0.2">
      <c r="D9153" s="5"/>
    </row>
    <row r="9154" spans="4:4" x14ac:dyDescent="0.2">
      <c r="D9154" s="5"/>
    </row>
    <row r="9155" spans="4:4" x14ac:dyDescent="0.2">
      <c r="D9155" s="5"/>
    </row>
    <row r="9156" spans="4:4" x14ac:dyDescent="0.2">
      <c r="D9156" s="5"/>
    </row>
    <row r="9157" spans="4:4" x14ac:dyDescent="0.2">
      <c r="D9157" s="5"/>
    </row>
    <row r="9158" spans="4:4" x14ac:dyDescent="0.2">
      <c r="D9158" s="5"/>
    </row>
    <row r="9159" spans="4:4" x14ac:dyDescent="0.2">
      <c r="D9159" s="5"/>
    </row>
    <row r="9160" spans="4:4" x14ac:dyDescent="0.2">
      <c r="D9160" s="5"/>
    </row>
    <row r="9161" spans="4:4" x14ac:dyDescent="0.2">
      <c r="D9161" s="5"/>
    </row>
    <row r="9162" spans="4:4" x14ac:dyDescent="0.2">
      <c r="D9162" s="5"/>
    </row>
    <row r="9163" spans="4:4" x14ac:dyDescent="0.2">
      <c r="D9163" s="5"/>
    </row>
    <row r="9164" spans="4:4" x14ac:dyDescent="0.2">
      <c r="D9164" s="5"/>
    </row>
    <row r="9165" spans="4:4" x14ac:dyDescent="0.2">
      <c r="D9165" s="5"/>
    </row>
    <row r="9166" spans="4:4" x14ac:dyDescent="0.2">
      <c r="D9166" s="5"/>
    </row>
    <row r="9167" spans="4:4" x14ac:dyDescent="0.2">
      <c r="D9167" s="5"/>
    </row>
    <row r="9168" spans="4:4" x14ac:dyDescent="0.2">
      <c r="D9168" s="5"/>
    </row>
    <row r="9169" spans="4:4" x14ac:dyDescent="0.2">
      <c r="D9169" s="5"/>
    </row>
    <row r="9170" spans="4:4" x14ac:dyDescent="0.2">
      <c r="D9170" s="5"/>
    </row>
    <row r="9171" spans="4:4" x14ac:dyDescent="0.2">
      <c r="D9171" s="5"/>
    </row>
    <row r="9172" spans="4:4" x14ac:dyDescent="0.2">
      <c r="D9172" s="5"/>
    </row>
    <row r="9173" spans="4:4" x14ac:dyDescent="0.2">
      <c r="D9173" s="5"/>
    </row>
    <row r="9174" spans="4:4" x14ac:dyDescent="0.2">
      <c r="D9174" s="5"/>
    </row>
    <row r="9175" spans="4:4" x14ac:dyDescent="0.2">
      <c r="D9175" s="5"/>
    </row>
    <row r="9176" spans="4:4" x14ac:dyDescent="0.2">
      <c r="D9176" s="5"/>
    </row>
    <row r="9177" spans="4:4" x14ac:dyDescent="0.2">
      <c r="D9177" s="5"/>
    </row>
    <row r="9178" spans="4:4" x14ac:dyDescent="0.2">
      <c r="D9178" s="5"/>
    </row>
    <row r="9179" spans="4:4" x14ac:dyDescent="0.2">
      <c r="D9179" s="5"/>
    </row>
    <row r="9180" spans="4:4" x14ac:dyDescent="0.2">
      <c r="D9180" s="5"/>
    </row>
    <row r="9181" spans="4:4" x14ac:dyDescent="0.2">
      <c r="D9181" s="5"/>
    </row>
    <row r="9182" spans="4:4" x14ac:dyDescent="0.2">
      <c r="D9182" s="5"/>
    </row>
    <row r="9183" spans="4:4" x14ac:dyDescent="0.2">
      <c r="D9183" s="5"/>
    </row>
    <row r="9184" spans="4:4" x14ac:dyDescent="0.2">
      <c r="D9184" s="5"/>
    </row>
    <row r="9185" spans="4:4" x14ac:dyDescent="0.2">
      <c r="D9185" s="5"/>
    </row>
    <row r="9186" spans="4:4" x14ac:dyDescent="0.2">
      <c r="D9186" s="5"/>
    </row>
    <row r="9187" spans="4:4" x14ac:dyDescent="0.2">
      <c r="D9187" s="5"/>
    </row>
    <row r="9188" spans="4:4" x14ac:dyDescent="0.2">
      <c r="D9188" s="5"/>
    </row>
    <row r="9189" spans="4:4" x14ac:dyDescent="0.2">
      <c r="D9189" s="5"/>
    </row>
    <row r="9190" spans="4:4" x14ac:dyDescent="0.2">
      <c r="D9190" s="5"/>
    </row>
    <row r="9191" spans="4:4" x14ac:dyDescent="0.2">
      <c r="D9191" s="5"/>
    </row>
    <row r="9192" spans="4:4" x14ac:dyDescent="0.2">
      <c r="D9192" s="5"/>
    </row>
    <row r="9193" spans="4:4" x14ac:dyDescent="0.2">
      <c r="D9193" s="5"/>
    </row>
    <row r="9194" spans="4:4" x14ac:dyDescent="0.2">
      <c r="D9194" s="5"/>
    </row>
    <row r="9195" spans="4:4" x14ac:dyDescent="0.2">
      <c r="D9195" s="5"/>
    </row>
    <row r="9196" spans="4:4" x14ac:dyDescent="0.2">
      <c r="D9196" s="5"/>
    </row>
    <row r="9197" spans="4:4" x14ac:dyDescent="0.2">
      <c r="D9197" s="5"/>
    </row>
    <row r="9198" spans="4:4" x14ac:dyDescent="0.2">
      <c r="D9198" s="5"/>
    </row>
    <row r="9199" spans="4:4" x14ac:dyDescent="0.2">
      <c r="D9199" s="5"/>
    </row>
    <row r="9200" spans="4:4" x14ac:dyDescent="0.2">
      <c r="D9200" s="5"/>
    </row>
    <row r="9201" spans="4:4" x14ac:dyDescent="0.2">
      <c r="D9201" s="5"/>
    </row>
    <row r="9202" spans="4:4" x14ac:dyDescent="0.2">
      <c r="D9202" s="5"/>
    </row>
    <row r="9203" spans="4:4" x14ac:dyDescent="0.2">
      <c r="D9203" s="5"/>
    </row>
    <row r="9204" spans="4:4" x14ac:dyDescent="0.2">
      <c r="D9204" s="5"/>
    </row>
    <row r="9205" spans="4:4" x14ac:dyDescent="0.2">
      <c r="D9205" s="5"/>
    </row>
    <row r="9206" spans="4:4" x14ac:dyDescent="0.2">
      <c r="D9206" s="5"/>
    </row>
    <row r="9207" spans="4:4" x14ac:dyDescent="0.2">
      <c r="D9207" s="5"/>
    </row>
    <row r="9208" spans="4:4" x14ac:dyDescent="0.2">
      <c r="D9208" s="5"/>
    </row>
    <row r="9209" spans="4:4" x14ac:dyDescent="0.2">
      <c r="D9209" s="5"/>
    </row>
    <row r="9210" spans="4:4" x14ac:dyDescent="0.2">
      <c r="D9210" s="5"/>
    </row>
    <row r="9211" spans="4:4" x14ac:dyDescent="0.2">
      <c r="D9211" s="5"/>
    </row>
    <row r="9212" spans="4:4" x14ac:dyDescent="0.2">
      <c r="D9212" s="5"/>
    </row>
    <row r="9213" spans="4:4" x14ac:dyDescent="0.2">
      <c r="D9213" s="5"/>
    </row>
    <row r="9214" spans="4:4" x14ac:dyDescent="0.2">
      <c r="D9214" s="5"/>
    </row>
    <row r="9215" spans="4:4" x14ac:dyDescent="0.2">
      <c r="D9215" s="5"/>
    </row>
    <row r="9216" spans="4:4" x14ac:dyDescent="0.2">
      <c r="D9216" s="5"/>
    </row>
    <row r="9217" spans="4:4" x14ac:dyDescent="0.2">
      <c r="D9217" s="5"/>
    </row>
    <row r="9218" spans="4:4" x14ac:dyDescent="0.2">
      <c r="D9218" s="5"/>
    </row>
    <row r="9219" spans="4:4" x14ac:dyDescent="0.2">
      <c r="D9219" s="5"/>
    </row>
    <row r="9220" spans="4:4" x14ac:dyDescent="0.2">
      <c r="D9220" s="5"/>
    </row>
    <row r="9221" spans="4:4" x14ac:dyDescent="0.2">
      <c r="D9221" s="5"/>
    </row>
    <row r="9222" spans="4:4" x14ac:dyDescent="0.2">
      <c r="D9222" s="5"/>
    </row>
    <row r="9223" spans="4:4" x14ac:dyDescent="0.2">
      <c r="D9223" s="5"/>
    </row>
    <row r="9224" spans="4:4" x14ac:dyDescent="0.2">
      <c r="D9224" s="5"/>
    </row>
    <row r="9225" spans="4:4" x14ac:dyDescent="0.2">
      <c r="D9225" s="5"/>
    </row>
    <row r="9226" spans="4:4" x14ac:dyDescent="0.2">
      <c r="D9226" s="5"/>
    </row>
    <row r="9227" spans="4:4" x14ac:dyDescent="0.2">
      <c r="D9227" s="5"/>
    </row>
    <row r="9228" spans="4:4" x14ac:dyDescent="0.2">
      <c r="D9228" s="5"/>
    </row>
    <row r="9229" spans="4:4" x14ac:dyDescent="0.2">
      <c r="D9229" s="5"/>
    </row>
    <row r="9230" spans="4:4" x14ac:dyDescent="0.2">
      <c r="D9230" s="5"/>
    </row>
    <row r="9231" spans="4:4" x14ac:dyDescent="0.2">
      <c r="D9231" s="5"/>
    </row>
    <row r="9232" spans="4:4" x14ac:dyDescent="0.2">
      <c r="D9232" s="5"/>
    </row>
    <row r="9233" spans="4:4" x14ac:dyDescent="0.2">
      <c r="D9233" s="5"/>
    </row>
    <row r="9234" spans="4:4" x14ac:dyDescent="0.2">
      <c r="D9234" s="5"/>
    </row>
    <row r="9235" spans="4:4" x14ac:dyDescent="0.2">
      <c r="D9235" s="5"/>
    </row>
    <row r="9236" spans="4:4" x14ac:dyDescent="0.2">
      <c r="D9236" s="5"/>
    </row>
    <row r="9237" spans="4:4" x14ac:dyDescent="0.2">
      <c r="D9237" s="5"/>
    </row>
    <row r="9238" spans="4:4" x14ac:dyDescent="0.2">
      <c r="D9238" s="5"/>
    </row>
    <row r="9239" spans="4:4" x14ac:dyDescent="0.2">
      <c r="D9239" s="5"/>
    </row>
    <row r="9240" spans="4:4" x14ac:dyDescent="0.2">
      <c r="D9240" s="5"/>
    </row>
    <row r="9241" spans="4:4" x14ac:dyDescent="0.2">
      <c r="D9241" s="5"/>
    </row>
    <row r="9242" spans="4:4" x14ac:dyDescent="0.2">
      <c r="D9242" s="5"/>
    </row>
    <row r="9243" spans="4:4" x14ac:dyDescent="0.2">
      <c r="D9243" s="5"/>
    </row>
    <row r="9244" spans="4:4" x14ac:dyDescent="0.2">
      <c r="D9244" s="5"/>
    </row>
    <row r="9245" spans="4:4" x14ac:dyDescent="0.2">
      <c r="D9245" s="5"/>
    </row>
    <row r="9246" spans="4:4" x14ac:dyDescent="0.2">
      <c r="D9246" s="5"/>
    </row>
    <row r="9247" spans="4:4" x14ac:dyDescent="0.2">
      <c r="D9247" s="5"/>
    </row>
    <row r="9248" spans="4:4" x14ac:dyDescent="0.2">
      <c r="D9248" s="5"/>
    </row>
    <row r="9249" spans="4:4" x14ac:dyDescent="0.2">
      <c r="D9249" s="5"/>
    </row>
    <row r="9250" spans="4:4" x14ac:dyDescent="0.2">
      <c r="D9250" s="5"/>
    </row>
    <row r="9251" spans="4:4" x14ac:dyDescent="0.2">
      <c r="D9251" s="5"/>
    </row>
    <row r="9252" spans="4:4" x14ac:dyDescent="0.2">
      <c r="D9252" s="5"/>
    </row>
    <row r="9253" spans="4:4" x14ac:dyDescent="0.2">
      <c r="D9253" s="5"/>
    </row>
    <row r="9254" spans="4:4" x14ac:dyDescent="0.2">
      <c r="D9254" s="5"/>
    </row>
    <row r="9255" spans="4:4" x14ac:dyDescent="0.2">
      <c r="D9255" s="5"/>
    </row>
    <row r="9256" spans="4:4" x14ac:dyDescent="0.2">
      <c r="D9256" s="5"/>
    </row>
    <row r="9257" spans="4:4" x14ac:dyDescent="0.2">
      <c r="D9257" s="5"/>
    </row>
    <row r="9258" spans="4:4" x14ac:dyDescent="0.2">
      <c r="D9258" s="5"/>
    </row>
    <row r="9259" spans="4:4" x14ac:dyDescent="0.2">
      <c r="D9259" s="5"/>
    </row>
    <row r="9260" spans="4:4" x14ac:dyDescent="0.2">
      <c r="D9260" s="5"/>
    </row>
    <row r="9261" spans="4:4" x14ac:dyDescent="0.2">
      <c r="D9261" s="5"/>
    </row>
    <row r="9262" spans="4:4" x14ac:dyDescent="0.2">
      <c r="D9262" s="5"/>
    </row>
    <row r="9263" spans="4:4" x14ac:dyDescent="0.2">
      <c r="D9263" s="5"/>
    </row>
    <row r="9264" spans="4:4" x14ac:dyDescent="0.2">
      <c r="D9264" s="5"/>
    </row>
    <row r="9265" spans="4:4" x14ac:dyDescent="0.2">
      <c r="D9265" s="5"/>
    </row>
    <row r="9266" spans="4:4" x14ac:dyDescent="0.2">
      <c r="D9266" s="5"/>
    </row>
    <row r="9267" spans="4:4" x14ac:dyDescent="0.2">
      <c r="D9267" s="5"/>
    </row>
    <row r="9268" spans="4:4" x14ac:dyDescent="0.2">
      <c r="D9268" s="5"/>
    </row>
    <row r="9269" spans="4:4" x14ac:dyDescent="0.2">
      <c r="D9269" s="5"/>
    </row>
    <row r="9270" spans="4:4" x14ac:dyDescent="0.2">
      <c r="D9270" s="5"/>
    </row>
    <row r="9271" spans="4:4" x14ac:dyDescent="0.2">
      <c r="D9271" s="5"/>
    </row>
    <row r="9272" spans="4:4" x14ac:dyDescent="0.2">
      <c r="D9272" s="5"/>
    </row>
    <row r="9273" spans="4:4" x14ac:dyDescent="0.2">
      <c r="D9273" s="5"/>
    </row>
    <row r="9274" spans="4:4" x14ac:dyDescent="0.2">
      <c r="D9274" s="5"/>
    </row>
    <row r="9275" spans="4:4" x14ac:dyDescent="0.2">
      <c r="D9275" s="5"/>
    </row>
    <row r="9276" spans="4:4" x14ac:dyDescent="0.2">
      <c r="D9276" s="5"/>
    </row>
    <row r="9277" spans="4:4" x14ac:dyDescent="0.2">
      <c r="D9277" s="5"/>
    </row>
    <row r="9278" spans="4:4" x14ac:dyDescent="0.2">
      <c r="D9278" s="5"/>
    </row>
    <row r="9279" spans="4:4" x14ac:dyDescent="0.2">
      <c r="D9279" s="5"/>
    </row>
    <row r="9280" spans="4:4" x14ac:dyDescent="0.2">
      <c r="D9280" s="5"/>
    </row>
    <row r="9281" spans="4:4" x14ac:dyDescent="0.2">
      <c r="D9281" s="5"/>
    </row>
    <row r="9282" spans="4:4" x14ac:dyDescent="0.2">
      <c r="D9282" s="5"/>
    </row>
    <row r="9283" spans="4:4" x14ac:dyDescent="0.2">
      <c r="D9283" s="5"/>
    </row>
    <row r="9284" spans="4:4" x14ac:dyDescent="0.2">
      <c r="D9284" s="5"/>
    </row>
    <row r="9285" spans="4:4" x14ac:dyDescent="0.2">
      <c r="D9285" s="5"/>
    </row>
    <row r="9286" spans="4:4" x14ac:dyDescent="0.2">
      <c r="D9286" s="5"/>
    </row>
    <row r="9287" spans="4:4" x14ac:dyDescent="0.2">
      <c r="D9287" s="5"/>
    </row>
    <row r="9288" spans="4:4" x14ac:dyDescent="0.2">
      <c r="D9288" s="5"/>
    </row>
    <row r="9289" spans="4:4" x14ac:dyDescent="0.2">
      <c r="D9289" s="5"/>
    </row>
    <row r="9290" spans="4:4" x14ac:dyDescent="0.2">
      <c r="D9290" s="5"/>
    </row>
    <row r="9291" spans="4:4" x14ac:dyDescent="0.2">
      <c r="D9291" s="5"/>
    </row>
    <row r="9292" spans="4:4" x14ac:dyDescent="0.2">
      <c r="D9292" s="5"/>
    </row>
    <row r="9293" spans="4:4" x14ac:dyDescent="0.2">
      <c r="D9293" s="5"/>
    </row>
    <row r="9294" spans="4:4" x14ac:dyDescent="0.2">
      <c r="D9294" s="5"/>
    </row>
    <row r="9295" spans="4:4" x14ac:dyDescent="0.2">
      <c r="D9295" s="5"/>
    </row>
    <row r="9296" spans="4:4" x14ac:dyDescent="0.2">
      <c r="D9296" s="5"/>
    </row>
    <row r="9297" spans="4:4" x14ac:dyDescent="0.2">
      <c r="D9297" s="5"/>
    </row>
    <row r="9298" spans="4:4" x14ac:dyDescent="0.2">
      <c r="D9298" s="5"/>
    </row>
    <row r="9299" spans="4:4" x14ac:dyDescent="0.2">
      <c r="D9299" s="5"/>
    </row>
    <row r="9300" spans="4:4" x14ac:dyDescent="0.2">
      <c r="D9300" s="5"/>
    </row>
    <row r="9301" spans="4:4" x14ac:dyDescent="0.2">
      <c r="D9301" s="5"/>
    </row>
    <row r="9302" spans="4:4" x14ac:dyDescent="0.2">
      <c r="D9302" s="5"/>
    </row>
    <row r="9303" spans="4:4" x14ac:dyDescent="0.2">
      <c r="D9303" s="5"/>
    </row>
    <row r="9304" spans="4:4" x14ac:dyDescent="0.2">
      <c r="D9304" s="5"/>
    </row>
    <row r="9305" spans="4:4" x14ac:dyDescent="0.2">
      <c r="D9305" s="5"/>
    </row>
    <row r="9306" spans="4:4" x14ac:dyDescent="0.2">
      <c r="D9306" s="5"/>
    </row>
    <row r="9307" spans="4:4" x14ac:dyDescent="0.2">
      <c r="D9307" s="5"/>
    </row>
    <row r="9308" spans="4:4" x14ac:dyDescent="0.2">
      <c r="D9308" s="5"/>
    </row>
    <row r="9309" spans="4:4" x14ac:dyDescent="0.2">
      <c r="D9309" s="5"/>
    </row>
    <row r="9310" spans="4:4" x14ac:dyDescent="0.2">
      <c r="D9310" s="5"/>
    </row>
    <row r="9311" spans="4:4" x14ac:dyDescent="0.2">
      <c r="D9311" s="5"/>
    </row>
    <row r="9312" spans="4:4" x14ac:dyDescent="0.2">
      <c r="D9312" s="5"/>
    </row>
    <row r="9313" spans="4:4" x14ac:dyDescent="0.2">
      <c r="D9313" s="5"/>
    </row>
    <row r="9314" spans="4:4" x14ac:dyDescent="0.2">
      <c r="D9314" s="5"/>
    </row>
    <row r="9315" spans="4:4" x14ac:dyDescent="0.2">
      <c r="D9315" s="5"/>
    </row>
    <row r="9316" spans="4:4" x14ac:dyDescent="0.2">
      <c r="D9316" s="5"/>
    </row>
    <row r="9317" spans="4:4" x14ac:dyDescent="0.2">
      <c r="D9317" s="5"/>
    </row>
    <row r="9318" spans="4:4" x14ac:dyDescent="0.2">
      <c r="D9318" s="5"/>
    </row>
    <row r="9319" spans="4:4" x14ac:dyDescent="0.2">
      <c r="D9319" s="5"/>
    </row>
    <row r="9320" spans="4:4" x14ac:dyDescent="0.2">
      <c r="D9320" s="5"/>
    </row>
    <row r="9321" spans="4:4" x14ac:dyDescent="0.2">
      <c r="D9321" s="5"/>
    </row>
    <row r="9322" spans="4:4" x14ac:dyDescent="0.2">
      <c r="D9322" s="5"/>
    </row>
    <row r="9323" spans="4:4" x14ac:dyDescent="0.2">
      <c r="D9323" s="5"/>
    </row>
    <row r="9324" spans="4:4" x14ac:dyDescent="0.2">
      <c r="D9324" s="5"/>
    </row>
    <row r="9325" spans="4:4" x14ac:dyDescent="0.2">
      <c r="D9325" s="5"/>
    </row>
    <row r="9326" spans="4:4" x14ac:dyDescent="0.2">
      <c r="D9326" s="5"/>
    </row>
    <row r="9327" spans="4:4" x14ac:dyDescent="0.2">
      <c r="D9327" s="5"/>
    </row>
    <row r="9328" spans="4:4" x14ac:dyDescent="0.2">
      <c r="D9328" s="5"/>
    </row>
    <row r="9329" spans="4:4" x14ac:dyDescent="0.2">
      <c r="D9329" s="5"/>
    </row>
    <row r="9330" spans="4:4" x14ac:dyDescent="0.2">
      <c r="D9330" s="5"/>
    </row>
    <row r="9331" spans="4:4" x14ac:dyDescent="0.2">
      <c r="D9331" s="5"/>
    </row>
    <row r="9332" spans="4:4" x14ac:dyDescent="0.2">
      <c r="D9332" s="5"/>
    </row>
    <row r="9333" spans="4:4" x14ac:dyDescent="0.2">
      <c r="D9333" s="5"/>
    </row>
    <row r="9334" spans="4:4" x14ac:dyDescent="0.2">
      <c r="D9334" s="5"/>
    </row>
    <row r="9335" spans="4:4" x14ac:dyDescent="0.2">
      <c r="D9335" s="5"/>
    </row>
    <row r="9336" spans="4:4" x14ac:dyDescent="0.2">
      <c r="D9336" s="5"/>
    </row>
    <row r="9337" spans="4:4" x14ac:dyDescent="0.2">
      <c r="D9337" s="5"/>
    </row>
    <row r="9338" spans="4:4" x14ac:dyDescent="0.2">
      <c r="D9338" s="5"/>
    </row>
    <row r="9339" spans="4:4" x14ac:dyDescent="0.2">
      <c r="D9339" s="5"/>
    </row>
    <row r="9340" spans="4:4" x14ac:dyDescent="0.2">
      <c r="D9340" s="5"/>
    </row>
    <row r="9341" spans="4:4" x14ac:dyDescent="0.2">
      <c r="D9341" s="5"/>
    </row>
    <row r="9342" spans="4:4" x14ac:dyDescent="0.2">
      <c r="D9342" s="5"/>
    </row>
    <row r="9343" spans="4:4" x14ac:dyDescent="0.2">
      <c r="D9343" s="5"/>
    </row>
    <row r="9344" spans="4:4" x14ac:dyDescent="0.2">
      <c r="D9344" s="5"/>
    </row>
    <row r="9345" spans="4:4" x14ac:dyDescent="0.2">
      <c r="D9345" s="5"/>
    </row>
    <row r="9346" spans="4:4" x14ac:dyDescent="0.2">
      <c r="D9346" s="5"/>
    </row>
    <row r="9347" spans="4:4" x14ac:dyDescent="0.2">
      <c r="D9347" s="5"/>
    </row>
    <row r="9348" spans="4:4" x14ac:dyDescent="0.2">
      <c r="D9348" s="5"/>
    </row>
    <row r="9349" spans="4:4" x14ac:dyDescent="0.2">
      <c r="D9349" s="5"/>
    </row>
    <row r="9350" spans="4:4" x14ac:dyDescent="0.2">
      <c r="D9350" s="5"/>
    </row>
    <row r="9351" spans="4:4" x14ac:dyDescent="0.2">
      <c r="D9351" s="5"/>
    </row>
    <row r="9352" spans="4:4" x14ac:dyDescent="0.2">
      <c r="D9352" s="5"/>
    </row>
    <row r="9353" spans="4:4" x14ac:dyDescent="0.2">
      <c r="D9353" s="5"/>
    </row>
    <row r="9354" spans="4:4" x14ac:dyDescent="0.2">
      <c r="D9354" s="5"/>
    </row>
    <row r="9355" spans="4:4" x14ac:dyDescent="0.2">
      <c r="D9355" s="5"/>
    </row>
    <row r="9356" spans="4:4" x14ac:dyDescent="0.2">
      <c r="D9356" s="5"/>
    </row>
    <row r="9357" spans="4:4" x14ac:dyDescent="0.2">
      <c r="D9357" s="5"/>
    </row>
    <row r="9358" spans="4:4" x14ac:dyDescent="0.2">
      <c r="D9358" s="5"/>
    </row>
    <row r="9359" spans="4:4" x14ac:dyDescent="0.2">
      <c r="D9359" s="5"/>
    </row>
    <row r="9360" spans="4:4" x14ac:dyDescent="0.2">
      <c r="D9360" s="5"/>
    </row>
    <row r="9361" spans="4:4" x14ac:dyDescent="0.2">
      <c r="D9361" s="5"/>
    </row>
    <row r="9362" spans="4:4" x14ac:dyDescent="0.2">
      <c r="D9362" s="5"/>
    </row>
    <row r="9363" spans="4:4" x14ac:dyDescent="0.2">
      <c r="D9363" s="5"/>
    </row>
    <row r="9364" spans="4:4" x14ac:dyDescent="0.2">
      <c r="D9364" s="5"/>
    </row>
    <row r="9365" spans="4:4" x14ac:dyDescent="0.2">
      <c r="D9365" s="5"/>
    </row>
    <row r="9366" spans="4:4" x14ac:dyDescent="0.2">
      <c r="D9366" s="5"/>
    </row>
    <row r="9367" spans="4:4" x14ac:dyDescent="0.2">
      <c r="D9367" s="5"/>
    </row>
    <row r="9368" spans="4:4" x14ac:dyDescent="0.2">
      <c r="D9368" s="5"/>
    </row>
    <row r="9369" spans="4:4" x14ac:dyDescent="0.2">
      <c r="D9369" s="5"/>
    </row>
    <row r="9370" spans="4:4" x14ac:dyDescent="0.2">
      <c r="D9370" s="5"/>
    </row>
    <row r="9371" spans="4:4" x14ac:dyDescent="0.2">
      <c r="D9371" s="5"/>
    </row>
    <row r="9372" spans="4:4" x14ac:dyDescent="0.2">
      <c r="D9372" s="5"/>
    </row>
    <row r="9373" spans="4:4" x14ac:dyDescent="0.2">
      <c r="D9373" s="5"/>
    </row>
    <row r="9374" spans="4:4" x14ac:dyDescent="0.2">
      <c r="D9374" s="5"/>
    </row>
    <row r="9375" spans="4:4" x14ac:dyDescent="0.2">
      <c r="D9375" s="5"/>
    </row>
    <row r="9376" spans="4:4" x14ac:dyDescent="0.2">
      <c r="D9376" s="5"/>
    </row>
    <row r="9377" spans="4:4" x14ac:dyDescent="0.2">
      <c r="D9377" s="5"/>
    </row>
    <row r="9378" spans="4:4" x14ac:dyDescent="0.2">
      <c r="D9378" s="5"/>
    </row>
    <row r="9379" spans="4:4" x14ac:dyDescent="0.2">
      <c r="D9379" s="5"/>
    </row>
    <row r="9380" spans="4:4" x14ac:dyDescent="0.2">
      <c r="D9380" s="5"/>
    </row>
    <row r="9381" spans="4:4" x14ac:dyDescent="0.2">
      <c r="D9381" s="5"/>
    </row>
    <row r="9382" spans="4:4" x14ac:dyDescent="0.2">
      <c r="D9382" s="5"/>
    </row>
    <row r="9383" spans="4:4" x14ac:dyDescent="0.2">
      <c r="D9383" s="5"/>
    </row>
    <row r="9384" spans="4:4" x14ac:dyDescent="0.2">
      <c r="D9384" s="5"/>
    </row>
    <row r="9385" spans="4:4" x14ac:dyDescent="0.2">
      <c r="D9385" s="5"/>
    </row>
    <row r="9386" spans="4:4" x14ac:dyDescent="0.2">
      <c r="D9386" s="5"/>
    </row>
    <row r="9387" spans="4:4" x14ac:dyDescent="0.2">
      <c r="D9387" s="5"/>
    </row>
    <row r="9388" spans="4:4" x14ac:dyDescent="0.2">
      <c r="D9388" s="5"/>
    </row>
    <row r="9389" spans="4:4" x14ac:dyDescent="0.2">
      <c r="D9389" s="5"/>
    </row>
    <row r="9390" spans="4:4" x14ac:dyDescent="0.2">
      <c r="D9390" s="5"/>
    </row>
    <row r="9391" spans="4:4" x14ac:dyDescent="0.2">
      <c r="D9391" s="5"/>
    </row>
    <row r="9392" spans="4:4" x14ac:dyDescent="0.2">
      <c r="D9392" s="5"/>
    </row>
    <row r="9393" spans="4:4" x14ac:dyDescent="0.2">
      <c r="D9393" s="5"/>
    </row>
    <row r="9394" spans="4:4" x14ac:dyDescent="0.2">
      <c r="D9394" s="5"/>
    </row>
    <row r="9395" spans="4:4" x14ac:dyDescent="0.2">
      <c r="D9395" s="5"/>
    </row>
    <row r="9396" spans="4:4" x14ac:dyDescent="0.2">
      <c r="D9396" s="5"/>
    </row>
    <row r="9397" spans="4:4" x14ac:dyDescent="0.2">
      <c r="D9397" s="5"/>
    </row>
    <row r="9398" spans="4:4" x14ac:dyDescent="0.2">
      <c r="D9398" s="5"/>
    </row>
    <row r="9399" spans="4:4" x14ac:dyDescent="0.2">
      <c r="D9399" s="5"/>
    </row>
    <row r="9400" spans="4:4" x14ac:dyDescent="0.2">
      <c r="D9400" s="5"/>
    </row>
    <row r="9401" spans="4:4" x14ac:dyDescent="0.2">
      <c r="D9401" s="5"/>
    </row>
    <row r="9402" spans="4:4" x14ac:dyDescent="0.2">
      <c r="D9402" s="5"/>
    </row>
    <row r="9403" spans="4:4" x14ac:dyDescent="0.2">
      <c r="D9403" s="5"/>
    </row>
    <row r="9404" spans="4:4" x14ac:dyDescent="0.2">
      <c r="D9404" s="5"/>
    </row>
    <row r="9405" spans="4:4" x14ac:dyDescent="0.2">
      <c r="D9405" s="5"/>
    </row>
    <row r="9406" spans="4:4" x14ac:dyDescent="0.2">
      <c r="D9406" s="5"/>
    </row>
    <row r="9407" spans="4:4" x14ac:dyDescent="0.2">
      <c r="D9407" s="5"/>
    </row>
    <row r="9408" spans="4:4" x14ac:dyDescent="0.2">
      <c r="D9408" s="5"/>
    </row>
    <row r="9409" spans="4:4" x14ac:dyDescent="0.2">
      <c r="D9409" s="5"/>
    </row>
    <row r="9410" spans="4:4" x14ac:dyDescent="0.2">
      <c r="D9410" s="5"/>
    </row>
    <row r="9411" spans="4:4" x14ac:dyDescent="0.2">
      <c r="D9411" s="5"/>
    </row>
    <row r="9412" spans="4:4" x14ac:dyDescent="0.2">
      <c r="D9412" s="5"/>
    </row>
    <row r="9413" spans="4:4" x14ac:dyDescent="0.2">
      <c r="D9413" s="5"/>
    </row>
    <row r="9414" spans="4:4" x14ac:dyDescent="0.2">
      <c r="D9414" s="5"/>
    </row>
    <row r="9415" spans="4:4" x14ac:dyDescent="0.2">
      <c r="D9415" s="5"/>
    </row>
    <row r="9416" spans="4:4" x14ac:dyDescent="0.2">
      <c r="D9416" s="5"/>
    </row>
    <row r="9417" spans="4:4" x14ac:dyDescent="0.2">
      <c r="D9417" s="5"/>
    </row>
    <row r="9418" spans="4:4" x14ac:dyDescent="0.2">
      <c r="D9418" s="5"/>
    </row>
    <row r="9419" spans="4:4" x14ac:dyDescent="0.2">
      <c r="D9419" s="5"/>
    </row>
    <row r="9420" spans="4:4" x14ac:dyDescent="0.2">
      <c r="D9420" s="5"/>
    </row>
    <row r="9421" spans="4:4" x14ac:dyDescent="0.2">
      <c r="D9421" s="5"/>
    </row>
    <row r="9422" spans="4:4" x14ac:dyDescent="0.2">
      <c r="D9422" s="5"/>
    </row>
    <row r="9423" spans="4:4" x14ac:dyDescent="0.2">
      <c r="D9423" s="5"/>
    </row>
    <row r="9424" spans="4:4" x14ac:dyDescent="0.2">
      <c r="D9424" s="5"/>
    </row>
    <row r="9425" spans="4:4" x14ac:dyDescent="0.2">
      <c r="D9425" s="5"/>
    </row>
    <row r="9426" spans="4:4" x14ac:dyDescent="0.2">
      <c r="D9426" s="5"/>
    </row>
    <row r="9427" spans="4:4" x14ac:dyDescent="0.2">
      <c r="D9427" s="5"/>
    </row>
    <row r="9428" spans="4:4" x14ac:dyDescent="0.2">
      <c r="D9428" s="5"/>
    </row>
    <row r="9429" spans="4:4" x14ac:dyDescent="0.2">
      <c r="D9429" s="5"/>
    </row>
    <row r="9430" spans="4:4" x14ac:dyDescent="0.2">
      <c r="D9430" s="5"/>
    </row>
    <row r="9431" spans="4:4" x14ac:dyDescent="0.2">
      <c r="D9431" s="5"/>
    </row>
    <row r="9432" spans="4:4" x14ac:dyDescent="0.2">
      <c r="D9432" s="5"/>
    </row>
    <row r="9433" spans="4:4" x14ac:dyDescent="0.2">
      <c r="D9433" s="5"/>
    </row>
    <row r="9434" spans="4:4" x14ac:dyDescent="0.2">
      <c r="D9434" s="5"/>
    </row>
    <row r="9435" spans="4:4" x14ac:dyDescent="0.2">
      <c r="D9435" s="5"/>
    </row>
    <row r="9436" spans="4:4" x14ac:dyDescent="0.2">
      <c r="D9436" s="5"/>
    </row>
    <row r="9437" spans="4:4" x14ac:dyDescent="0.2">
      <c r="D9437" s="5"/>
    </row>
    <row r="9438" spans="4:4" x14ac:dyDescent="0.2">
      <c r="D9438" s="5"/>
    </row>
    <row r="9439" spans="4:4" x14ac:dyDescent="0.2">
      <c r="D9439" s="5"/>
    </row>
    <row r="9440" spans="4:4" x14ac:dyDescent="0.2">
      <c r="D9440" s="5"/>
    </row>
    <row r="9441" spans="4:4" x14ac:dyDescent="0.2">
      <c r="D9441" s="5"/>
    </row>
    <row r="9442" spans="4:4" x14ac:dyDescent="0.2">
      <c r="D9442" s="5"/>
    </row>
    <row r="9443" spans="4:4" x14ac:dyDescent="0.2">
      <c r="D9443" s="5"/>
    </row>
    <row r="9444" spans="4:4" x14ac:dyDescent="0.2">
      <c r="D9444" s="5"/>
    </row>
    <row r="9445" spans="4:4" x14ac:dyDescent="0.2">
      <c r="D9445" s="5"/>
    </row>
    <row r="9446" spans="4:4" x14ac:dyDescent="0.2">
      <c r="D9446" s="5"/>
    </row>
    <row r="9447" spans="4:4" x14ac:dyDescent="0.2">
      <c r="D9447" s="5"/>
    </row>
    <row r="9448" spans="4:4" x14ac:dyDescent="0.2">
      <c r="D9448" s="5"/>
    </row>
    <row r="9449" spans="4:4" x14ac:dyDescent="0.2">
      <c r="D9449" s="5"/>
    </row>
    <row r="9450" spans="4:4" x14ac:dyDescent="0.2">
      <c r="D9450" s="5"/>
    </row>
    <row r="9451" spans="4:4" x14ac:dyDescent="0.2">
      <c r="D9451" s="5"/>
    </row>
    <row r="9452" spans="4:4" x14ac:dyDescent="0.2">
      <c r="D9452" s="5"/>
    </row>
    <row r="9453" spans="4:4" x14ac:dyDescent="0.2">
      <c r="D9453" s="5"/>
    </row>
    <row r="9454" spans="4:4" x14ac:dyDescent="0.2">
      <c r="D9454" s="5"/>
    </row>
    <row r="9455" spans="4:4" x14ac:dyDescent="0.2">
      <c r="D9455" s="5"/>
    </row>
    <row r="9456" spans="4:4" x14ac:dyDescent="0.2">
      <c r="D9456" s="5"/>
    </row>
    <row r="9457" spans="4:4" x14ac:dyDescent="0.2">
      <c r="D9457" s="5"/>
    </row>
    <row r="9458" spans="4:4" x14ac:dyDescent="0.2">
      <c r="D9458" s="5"/>
    </row>
    <row r="9459" spans="4:4" x14ac:dyDescent="0.2">
      <c r="D9459" s="5"/>
    </row>
    <row r="9460" spans="4:4" x14ac:dyDescent="0.2">
      <c r="D9460" s="5"/>
    </row>
    <row r="9461" spans="4:4" x14ac:dyDescent="0.2">
      <c r="D9461" s="5"/>
    </row>
    <row r="9462" spans="4:4" x14ac:dyDescent="0.2">
      <c r="D9462" s="5"/>
    </row>
    <row r="9463" spans="4:4" x14ac:dyDescent="0.2">
      <c r="D9463" s="5"/>
    </row>
    <row r="9464" spans="4:4" x14ac:dyDescent="0.2">
      <c r="D9464" s="5"/>
    </row>
    <row r="9465" spans="4:4" x14ac:dyDescent="0.2">
      <c r="D9465" s="5"/>
    </row>
    <row r="9466" spans="4:4" x14ac:dyDescent="0.2">
      <c r="D9466" s="5"/>
    </row>
    <row r="9467" spans="4:4" x14ac:dyDescent="0.2">
      <c r="D9467" s="5"/>
    </row>
    <row r="9468" spans="4:4" x14ac:dyDescent="0.2">
      <c r="D9468" s="5"/>
    </row>
    <row r="9469" spans="4:4" x14ac:dyDescent="0.2">
      <c r="D9469" s="5"/>
    </row>
    <row r="9470" spans="4:4" x14ac:dyDescent="0.2">
      <c r="D9470" s="5"/>
    </row>
    <row r="9471" spans="4:4" x14ac:dyDescent="0.2">
      <c r="D9471" s="5"/>
    </row>
    <row r="9472" spans="4:4" x14ac:dyDescent="0.2">
      <c r="D9472" s="5"/>
    </row>
    <row r="9473" spans="4:4" x14ac:dyDescent="0.2">
      <c r="D9473" s="5"/>
    </row>
    <row r="9474" spans="4:4" x14ac:dyDescent="0.2">
      <c r="D9474" s="5"/>
    </row>
    <row r="9475" spans="4:4" x14ac:dyDescent="0.2">
      <c r="D9475" s="5"/>
    </row>
    <row r="9476" spans="4:4" x14ac:dyDescent="0.2">
      <c r="D9476" s="5"/>
    </row>
    <row r="9477" spans="4:4" x14ac:dyDescent="0.2">
      <c r="D9477" s="5"/>
    </row>
    <row r="9478" spans="4:4" x14ac:dyDescent="0.2">
      <c r="D9478" s="5"/>
    </row>
    <row r="9479" spans="4:4" x14ac:dyDescent="0.2">
      <c r="D9479" s="5"/>
    </row>
    <row r="9480" spans="4:4" x14ac:dyDescent="0.2">
      <c r="D9480" s="5"/>
    </row>
    <row r="9481" spans="4:4" x14ac:dyDescent="0.2">
      <c r="D9481" s="5"/>
    </row>
    <row r="9482" spans="4:4" x14ac:dyDescent="0.2">
      <c r="D9482" s="5"/>
    </row>
    <row r="9483" spans="4:4" x14ac:dyDescent="0.2">
      <c r="D9483" s="5"/>
    </row>
    <row r="9484" spans="4:4" x14ac:dyDescent="0.2">
      <c r="D9484" s="5"/>
    </row>
    <row r="9485" spans="4:4" x14ac:dyDescent="0.2">
      <c r="D9485" s="5"/>
    </row>
    <row r="9486" spans="4:4" x14ac:dyDescent="0.2">
      <c r="D9486" s="5"/>
    </row>
    <row r="9487" spans="4:4" x14ac:dyDescent="0.2">
      <c r="D9487" s="5"/>
    </row>
    <row r="9488" spans="4:4" x14ac:dyDescent="0.2">
      <c r="D9488" s="5"/>
    </row>
    <row r="9489" spans="4:4" x14ac:dyDescent="0.2">
      <c r="D9489" s="5"/>
    </row>
    <row r="9490" spans="4:4" x14ac:dyDescent="0.2">
      <c r="D9490" s="5"/>
    </row>
    <row r="9491" spans="4:4" x14ac:dyDescent="0.2">
      <c r="D9491" s="5"/>
    </row>
    <row r="9492" spans="4:4" x14ac:dyDescent="0.2">
      <c r="D9492" s="5"/>
    </row>
    <row r="9493" spans="4:4" x14ac:dyDescent="0.2">
      <c r="D9493" s="5"/>
    </row>
    <row r="9494" spans="4:4" x14ac:dyDescent="0.2">
      <c r="D9494" s="5"/>
    </row>
    <row r="9495" spans="4:4" x14ac:dyDescent="0.2">
      <c r="D9495" s="5"/>
    </row>
    <row r="9496" spans="4:4" x14ac:dyDescent="0.2">
      <c r="D9496" s="5"/>
    </row>
    <row r="9497" spans="4:4" x14ac:dyDescent="0.2">
      <c r="D9497" s="5"/>
    </row>
    <row r="9498" spans="4:4" x14ac:dyDescent="0.2">
      <c r="D9498" s="5"/>
    </row>
    <row r="9499" spans="4:4" x14ac:dyDescent="0.2">
      <c r="D9499" s="5"/>
    </row>
    <row r="9500" spans="4:4" x14ac:dyDescent="0.2">
      <c r="D9500" s="5"/>
    </row>
    <row r="9501" spans="4:4" x14ac:dyDescent="0.2">
      <c r="D9501" s="5"/>
    </row>
    <row r="9502" spans="4:4" x14ac:dyDescent="0.2">
      <c r="D9502" s="5"/>
    </row>
    <row r="9503" spans="4:4" x14ac:dyDescent="0.2">
      <c r="D9503" s="5"/>
    </row>
    <row r="9504" spans="4:4" x14ac:dyDescent="0.2">
      <c r="D9504" s="5"/>
    </row>
    <row r="9505" spans="4:4" x14ac:dyDescent="0.2">
      <c r="D9505" s="5"/>
    </row>
    <row r="9506" spans="4:4" x14ac:dyDescent="0.2">
      <c r="D9506" s="5"/>
    </row>
    <row r="9507" spans="4:4" x14ac:dyDescent="0.2">
      <c r="D9507" s="5"/>
    </row>
    <row r="9508" spans="4:4" x14ac:dyDescent="0.2">
      <c r="D9508" s="5"/>
    </row>
    <row r="9509" spans="4:4" x14ac:dyDescent="0.2">
      <c r="D9509" s="5"/>
    </row>
    <row r="9510" spans="4:4" x14ac:dyDescent="0.2">
      <c r="D9510" s="5"/>
    </row>
    <row r="9511" spans="4:4" x14ac:dyDescent="0.2">
      <c r="D9511" s="5"/>
    </row>
    <row r="9512" spans="4:4" x14ac:dyDescent="0.2">
      <c r="D9512" s="5"/>
    </row>
    <row r="9513" spans="4:4" x14ac:dyDescent="0.2">
      <c r="D9513" s="5"/>
    </row>
    <row r="9514" spans="4:4" x14ac:dyDescent="0.2">
      <c r="D9514" s="5"/>
    </row>
    <row r="9515" spans="4:4" x14ac:dyDescent="0.2">
      <c r="D9515" s="5"/>
    </row>
    <row r="9516" spans="4:4" x14ac:dyDescent="0.2">
      <c r="D9516" s="5"/>
    </row>
    <row r="9517" spans="4:4" x14ac:dyDescent="0.2">
      <c r="D9517" s="5"/>
    </row>
    <row r="9518" spans="4:4" x14ac:dyDescent="0.2">
      <c r="D9518" s="5"/>
    </row>
    <row r="9519" spans="4:4" x14ac:dyDescent="0.2">
      <c r="D9519" s="5"/>
    </row>
    <row r="9520" spans="4:4" x14ac:dyDescent="0.2">
      <c r="D9520" s="5"/>
    </row>
    <row r="9521" spans="4:4" x14ac:dyDescent="0.2">
      <c r="D9521" s="5"/>
    </row>
    <row r="9522" spans="4:4" x14ac:dyDescent="0.2">
      <c r="D9522" s="5"/>
    </row>
    <row r="9523" spans="4:4" x14ac:dyDescent="0.2">
      <c r="D9523" s="5"/>
    </row>
    <row r="9524" spans="4:4" x14ac:dyDescent="0.2">
      <c r="D9524" s="5"/>
    </row>
    <row r="9525" spans="4:4" x14ac:dyDescent="0.2">
      <c r="D9525" s="5"/>
    </row>
    <row r="9526" spans="4:4" x14ac:dyDescent="0.2">
      <c r="D9526" s="5"/>
    </row>
    <row r="9527" spans="4:4" x14ac:dyDescent="0.2">
      <c r="D9527" s="5"/>
    </row>
    <row r="9528" spans="4:4" x14ac:dyDescent="0.2">
      <c r="D9528" s="5"/>
    </row>
    <row r="9529" spans="4:4" x14ac:dyDescent="0.2">
      <c r="D9529" s="5"/>
    </row>
    <row r="9530" spans="4:4" x14ac:dyDescent="0.2">
      <c r="D9530" s="5"/>
    </row>
    <row r="9531" spans="4:4" x14ac:dyDescent="0.2">
      <c r="D9531" s="5"/>
    </row>
    <row r="9532" spans="4:4" x14ac:dyDescent="0.2">
      <c r="D9532" s="5"/>
    </row>
    <row r="9533" spans="4:4" x14ac:dyDescent="0.2">
      <c r="D9533" s="5"/>
    </row>
    <row r="9534" spans="4:4" x14ac:dyDescent="0.2">
      <c r="D9534" s="5"/>
    </row>
    <row r="9535" spans="4:4" x14ac:dyDescent="0.2">
      <c r="D9535" s="5"/>
    </row>
    <row r="9536" spans="4:4" x14ac:dyDescent="0.2">
      <c r="D9536" s="5"/>
    </row>
    <row r="9537" spans="4:4" x14ac:dyDescent="0.2">
      <c r="D9537" s="5"/>
    </row>
    <row r="9538" spans="4:4" x14ac:dyDescent="0.2">
      <c r="D9538" s="5"/>
    </row>
    <row r="9539" spans="4:4" x14ac:dyDescent="0.2">
      <c r="D9539" s="5"/>
    </row>
    <row r="9540" spans="4:4" x14ac:dyDescent="0.2">
      <c r="D9540" s="5"/>
    </row>
    <row r="9541" spans="4:4" x14ac:dyDescent="0.2">
      <c r="D9541" s="5"/>
    </row>
    <row r="9542" spans="4:4" x14ac:dyDescent="0.2">
      <c r="D9542" s="5"/>
    </row>
    <row r="9543" spans="4:4" x14ac:dyDescent="0.2">
      <c r="D9543" s="5"/>
    </row>
    <row r="9544" spans="4:4" x14ac:dyDescent="0.2">
      <c r="D9544" s="5"/>
    </row>
    <row r="9545" spans="4:4" x14ac:dyDescent="0.2">
      <c r="D9545" s="5"/>
    </row>
    <row r="9546" spans="4:4" x14ac:dyDescent="0.2">
      <c r="D9546" s="5"/>
    </row>
    <row r="9547" spans="4:4" x14ac:dyDescent="0.2">
      <c r="D9547" s="5"/>
    </row>
    <row r="9548" spans="4:4" x14ac:dyDescent="0.2">
      <c r="D9548" s="5"/>
    </row>
    <row r="9549" spans="4:4" x14ac:dyDescent="0.2">
      <c r="D9549" s="5"/>
    </row>
    <row r="9550" spans="4:4" x14ac:dyDescent="0.2">
      <c r="D9550" s="5"/>
    </row>
    <row r="9551" spans="4:4" x14ac:dyDescent="0.2">
      <c r="D9551" s="5"/>
    </row>
    <row r="9552" spans="4:4" x14ac:dyDescent="0.2">
      <c r="D9552" s="5"/>
    </row>
    <row r="9553" spans="4:4" x14ac:dyDescent="0.2">
      <c r="D9553" s="5"/>
    </row>
    <row r="9554" spans="4:4" x14ac:dyDescent="0.2">
      <c r="D9554" s="5"/>
    </row>
    <row r="9555" spans="4:4" x14ac:dyDescent="0.2">
      <c r="D9555" s="5"/>
    </row>
    <row r="9556" spans="4:4" x14ac:dyDescent="0.2">
      <c r="D9556" s="5"/>
    </row>
    <row r="9557" spans="4:4" x14ac:dyDescent="0.2">
      <c r="D9557" s="5"/>
    </row>
    <row r="9558" spans="4:4" x14ac:dyDescent="0.2">
      <c r="D9558" s="5"/>
    </row>
    <row r="9559" spans="4:4" x14ac:dyDescent="0.2">
      <c r="D9559" s="5"/>
    </row>
    <row r="9560" spans="4:4" x14ac:dyDescent="0.2">
      <c r="D9560" s="5"/>
    </row>
    <row r="9561" spans="4:4" x14ac:dyDescent="0.2">
      <c r="D9561" s="5"/>
    </row>
    <row r="9562" spans="4:4" x14ac:dyDescent="0.2">
      <c r="D9562" s="5"/>
    </row>
    <row r="9563" spans="4:4" x14ac:dyDescent="0.2">
      <c r="D9563" s="5"/>
    </row>
    <row r="9564" spans="4:4" x14ac:dyDescent="0.2">
      <c r="D9564" s="5"/>
    </row>
    <row r="9565" spans="4:4" x14ac:dyDescent="0.2">
      <c r="D9565" s="5"/>
    </row>
    <row r="9566" spans="4:4" x14ac:dyDescent="0.2">
      <c r="D9566" s="5"/>
    </row>
    <row r="9567" spans="4:4" x14ac:dyDescent="0.2">
      <c r="D9567" s="5"/>
    </row>
    <row r="9568" spans="4:4" x14ac:dyDescent="0.2">
      <c r="D9568" s="5"/>
    </row>
    <row r="9569" spans="4:4" x14ac:dyDescent="0.2">
      <c r="D9569" s="5"/>
    </row>
    <row r="9570" spans="4:4" x14ac:dyDescent="0.2">
      <c r="D9570" s="5"/>
    </row>
    <row r="9571" spans="4:4" x14ac:dyDescent="0.2">
      <c r="D9571" s="5"/>
    </row>
    <row r="9572" spans="4:4" x14ac:dyDescent="0.2">
      <c r="D9572" s="5"/>
    </row>
    <row r="9573" spans="4:4" x14ac:dyDescent="0.2">
      <c r="D9573" s="5"/>
    </row>
    <row r="9574" spans="4:4" x14ac:dyDescent="0.2">
      <c r="D9574" s="5"/>
    </row>
    <row r="9575" spans="4:4" x14ac:dyDescent="0.2">
      <c r="D9575" s="5"/>
    </row>
    <row r="9576" spans="4:4" x14ac:dyDescent="0.2">
      <c r="D9576" s="5"/>
    </row>
    <row r="9577" spans="4:4" x14ac:dyDescent="0.2">
      <c r="D9577" s="5"/>
    </row>
    <row r="9578" spans="4:4" x14ac:dyDescent="0.2">
      <c r="D9578" s="5"/>
    </row>
    <row r="9579" spans="4:4" x14ac:dyDescent="0.2">
      <c r="D9579" s="5"/>
    </row>
    <row r="9580" spans="4:4" x14ac:dyDescent="0.2">
      <c r="D9580" s="5"/>
    </row>
    <row r="9581" spans="4:4" x14ac:dyDescent="0.2">
      <c r="D9581" s="5"/>
    </row>
    <row r="9582" spans="4:4" x14ac:dyDescent="0.2">
      <c r="D9582" s="5"/>
    </row>
    <row r="9583" spans="4:4" x14ac:dyDescent="0.2">
      <c r="D9583" s="5"/>
    </row>
    <row r="9584" spans="4:4" x14ac:dyDescent="0.2">
      <c r="D9584" s="5"/>
    </row>
    <row r="9585" spans="4:4" x14ac:dyDescent="0.2">
      <c r="D9585" s="5"/>
    </row>
    <row r="9586" spans="4:4" x14ac:dyDescent="0.2">
      <c r="D9586" s="5"/>
    </row>
    <row r="9587" spans="4:4" x14ac:dyDescent="0.2">
      <c r="D9587" s="5"/>
    </row>
    <row r="9588" spans="4:4" x14ac:dyDescent="0.2">
      <c r="D9588" s="5"/>
    </row>
    <row r="9589" spans="4:4" x14ac:dyDescent="0.2">
      <c r="D9589" s="5"/>
    </row>
    <row r="9590" spans="4:4" x14ac:dyDescent="0.2">
      <c r="D9590" s="5"/>
    </row>
    <row r="9591" spans="4:4" x14ac:dyDescent="0.2">
      <c r="D9591" s="5"/>
    </row>
    <row r="9592" spans="4:4" x14ac:dyDescent="0.2">
      <c r="D9592" s="5"/>
    </row>
    <row r="9593" spans="4:4" x14ac:dyDescent="0.2">
      <c r="D9593" s="5"/>
    </row>
    <row r="9594" spans="4:4" x14ac:dyDescent="0.2">
      <c r="D9594" s="5"/>
    </row>
    <row r="9595" spans="4:4" x14ac:dyDescent="0.2">
      <c r="D9595" s="5"/>
    </row>
    <row r="9596" spans="4:4" x14ac:dyDescent="0.2">
      <c r="D9596" s="5"/>
    </row>
    <row r="9597" spans="4:4" x14ac:dyDescent="0.2">
      <c r="D9597" s="5"/>
    </row>
    <row r="9598" spans="4:4" x14ac:dyDescent="0.2">
      <c r="D9598" s="5"/>
    </row>
    <row r="9599" spans="4:4" x14ac:dyDescent="0.2">
      <c r="D9599" s="5"/>
    </row>
    <row r="9600" spans="4:4" x14ac:dyDescent="0.2">
      <c r="D9600" s="5"/>
    </row>
    <row r="9601" spans="4:4" x14ac:dyDescent="0.2">
      <c r="D9601" s="5"/>
    </row>
    <row r="9602" spans="4:4" x14ac:dyDescent="0.2">
      <c r="D9602" s="5"/>
    </row>
    <row r="9603" spans="4:4" x14ac:dyDescent="0.2">
      <c r="D9603" s="5"/>
    </row>
    <row r="9604" spans="4:4" x14ac:dyDescent="0.2">
      <c r="D9604" s="5"/>
    </row>
    <row r="9605" spans="4:4" x14ac:dyDescent="0.2">
      <c r="D9605" s="5"/>
    </row>
    <row r="9606" spans="4:4" x14ac:dyDescent="0.2">
      <c r="D9606" s="5"/>
    </row>
    <row r="9607" spans="4:4" x14ac:dyDescent="0.2">
      <c r="D9607" s="5"/>
    </row>
    <row r="9608" spans="4:4" x14ac:dyDescent="0.2">
      <c r="D9608" s="5"/>
    </row>
    <row r="9609" spans="4:4" x14ac:dyDescent="0.2">
      <c r="D9609" s="5"/>
    </row>
    <row r="9610" spans="4:4" x14ac:dyDescent="0.2">
      <c r="D9610" s="5"/>
    </row>
    <row r="9611" spans="4:4" x14ac:dyDescent="0.2">
      <c r="D9611" s="5"/>
    </row>
    <row r="9612" spans="4:4" x14ac:dyDescent="0.2">
      <c r="D9612" s="5"/>
    </row>
    <row r="9613" spans="4:4" x14ac:dyDescent="0.2">
      <c r="D9613" s="5"/>
    </row>
    <row r="9614" spans="4:4" x14ac:dyDescent="0.2">
      <c r="D9614" s="5"/>
    </row>
    <row r="9615" spans="4:4" x14ac:dyDescent="0.2">
      <c r="D9615" s="5"/>
    </row>
    <row r="9616" spans="4:4" x14ac:dyDescent="0.2">
      <c r="D9616" s="5"/>
    </row>
    <row r="9617" spans="4:4" x14ac:dyDescent="0.2">
      <c r="D9617" s="5"/>
    </row>
    <row r="9618" spans="4:4" x14ac:dyDescent="0.2">
      <c r="D9618" s="5"/>
    </row>
    <row r="9619" spans="4:4" x14ac:dyDescent="0.2">
      <c r="D9619" s="5"/>
    </row>
    <row r="9620" spans="4:4" x14ac:dyDescent="0.2">
      <c r="D9620" s="5"/>
    </row>
    <row r="9621" spans="4:4" x14ac:dyDescent="0.2">
      <c r="D9621" s="5"/>
    </row>
    <row r="9622" spans="4:4" x14ac:dyDescent="0.2">
      <c r="D9622" s="5"/>
    </row>
    <row r="9623" spans="4:4" x14ac:dyDescent="0.2">
      <c r="D9623" s="5"/>
    </row>
    <row r="9624" spans="4:4" x14ac:dyDescent="0.2">
      <c r="D9624" s="5"/>
    </row>
    <row r="9625" spans="4:4" x14ac:dyDescent="0.2">
      <c r="D9625" s="5"/>
    </row>
    <row r="9626" spans="4:4" x14ac:dyDescent="0.2">
      <c r="D9626" s="5"/>
    </row>
    <row r="9627" spans="4:4" x14ac:dyDescent="0.2">
      <c r="D9627" s="5"/>
    </row>
    <row r="9628" spans="4:4" x14ac:dyDescent="0.2">
      <c r="D9628" s="5"/>
    </row>
    <row r="9629" spans="4:4" x14ac:dyDescent="0.2">
      <c r="D9629" s="5"/>
    </row>
    <row r="9630" spans="4:4" x14ac:dyDescent="0.2">
      <c r="D9630" s="5"/>
    </row>
    <row r="9631" spans="4:4" x14ac:dyDescent="0.2">
      <c r="D9631" s="5"/>
    </row>
    <row r="9632" spans="4:4" x14ac:dyDescent="0.2">
      <c r="D9632" s="5"/>
    </row>
    <row r="9633" spans="4:4" x14ac:dyDescent="0.2">
      <c r="D9633" s="5"/>
    </row>
    <row r="9634" spans="4:4" x14ac:dyDescent="0.2">
      <c r="D9634" s="5"/>
    </row>
    <row r="9635" spans="4:4" x14ac:dyDescent="0.2">
      <c r="D9635" s="5"/>
    </row>
    <row r="9636" spans="4:4" x14ac:dyDescent="0.2">
      <c r="D9636" s="5"/>
    </row>
    <row r="9637" spans="4:4" x14ac:dyDescent="0.2">
      <c r="D9637" s="5"/>
    </row>
    <row r="9638" spans="4:4" x14ac:dyDescent="0.2">
      <c r="D9638" s="5"/>
    </row>
    <row r="9639" spans="4:4" x14ac:dyDescent="0.2">
      <c r="D9639" s="5"/>
    </row>
    <row r="9640" spans="4:4" x14ac:dyDescent="0.2">
      <c r="D9640" s="5"/>
    </row>
    <row r="9641" spans="4:4" x14ac:dyDescent="0.2">
      <c r="D9641" s="5"/>
    </row>
    <row r="9642" spans="4:4" x14ac:dyDescent="0.2">
      <c r="D9642" s="5"/>
    </row>
    <row r="9643" spans="4:4" x14ac:dyDescent="0.2">
      <c r="D9643" s="5"/>
    </row>
    <row r="9644" spans="4:4" x14ac:dyDescent="0.2">
      <c r="D9644" s="5"/>
    </row>
    <row r="9645" spans="4:4" x14ac:dyDescent="0.2">
      <c r="D9645" s="5"/>
    </row>
    <row r="9646" spans="4:4" x14ac:dyDescent="0.2">
      <c r="D9646" s="5"/>
    </row>
    <row r="9647" spans="4:4" x14ac:dyDescent="0.2">
      <c r="D9647" s="5"/>
    </row>
    <row r="9648" spans="4:4" x14ac:dyDescent="0.2">
      <c r="D9648" s="5"/>
    </row>
    <row r="9649" spans="4:4" x14ac:dyDescent="0.2">
      <c r="D9649" s="5"/>
    </row>
    <row r="9650" spans="4:4" x14ac:dyDescent="0.2">
      <c r="D9650" s="5"/>
    </row>
    <row r="9651" spans="4:4" x14ac:dyDescent="0.2">
      <c r="D9651" s="5"/>
    </row>
    <row r="9652" spans="4:4" x14ac:dyDescent="0.2">
      <c r="D9652" s="5"/>
    </row>
    <row r="9653" spans="4:4" x14ac:dyDescent="0.2">
      <c r="D9653" s="5"/>
    </row>
    <row r="9654" spans="4:4" x14ac:dyDescent="0.2">
      <c r="D9654" s="5"/>
    </row>
    <row r="9655" spans="4:4" x14ac:dyDescent="0.2">
      <c r="D9655" s="5"/>
    </row>
    <row r="9656" spans="4:4" x14ac:dyDescent="0.2">
      <c r="D9656" s="5"/>
    </row>
    <row r="9657" spans="4:4" x14ac:dyDescent="0.2">
      <c r="D9657" s="5"/>
    </row>
    <row r="9658" spans="4:4" x14ac:dyDescent="0.2">
      <c r="D9658" s="5"/>
    </row>
    <row r="9659" spans="4:4" x14ac:dyDescent="0.2">
      <c r="D9659" s="5"/>
    </row>
    <row r="9660" spans="4:4" x14ac:dyDescent="0.2">
      <c r="D9660" s="5"/>
    </row>
    <row r="9661" spans="4:4" x14ac:dyDescent="0.2">
      <c r="D9661" s="5"/>
    </row>
    <row r="9662" spans="4:4" x14ac:dyDescent="0.2">
      <c r="D9662" s="5"/>
    </row>
    <row r="9663" spans="4:4" x14ac:dyDescent="0.2">
      <c r="D9663" s="5"/>
    </row>
    <row r="9664" spans="4:4" x14ac:dyDescent="0.2">
      <c r="D9664" s="5"/>
    </row>
    <row r="9665" spans="4:4" x14ac:dyDescent="0.2">
      <c r="D9665" s="5"/>
    </row>
    <row r="9666" spans="4:4" x14ac:dyDescent="0.2">
      <c r="D9666" s="5"/>
    </row>
    <row r="9667" spans="4:4" x14ac:dyDescent="0.2">
      <c r="D9667" s="5"/>
    </row>
    <row r="9668" spans="4:4" x14ac:dyDescent="0.2">
      <c r="D9668" s="5"/>
    </row>
    <row r="9669" spans="4:4" x14ac:dyDescent="0.2">
      <c r="D9669" s="5"/>
    </row>
    <row r="9670" spans="4:4" x14ac:dyDescent="0.2">
      <c r="D9670" s="5"/>
    </row>
    <row r="9671" spans="4:4" x14ac:dyDescent="0.2">
      <c r="D9671" s="5"/>
    </row>
    <row r="9672" spans="4:4" x14ac:dyDescent="0.2">
      <c r="D9672" s="5"/>
    </row>
    <row r="9673" spans="4:4" x14ac:dyDescent="0.2">
      <c r="D9673" s="5"/>
    </row>
    <row r="9674" spans="4:4" x14ac:dyDescent="0.2">
      <c r="D9674" s="5"/>
    </row>
    <row r="9675" spans="4:4" x14ac:dyDescent="0.2">
      <c r="D9675" s="5"/>
    </row>
    <row r="9676" spans="4:4" x14ac:dyDescent="0.2">
      <c r="D9676" s="5"/>
    </row>
    <row r="9677" spans="4:4" x14ac:dyDescent="0.2">
      <c r="D9677" s="5"/>
    </row>
    <row r="9678" spans="4:4" x14ac:dyDescent="0.2">
      <c r="D9678" s="5"/>
    </row>
    <row r="9679" spans="4:4" x14ac:dyDescent="0.2">
      <c r="D9679" s="5"/>
    </row>
    <row r="9680" spans="4:4" x14ac:dyDescent="0.2">
      <c r="D9680" s="5"/>
    </row>
    <row r="9681" spans="4:4" x14ac:dyDescent="0.2">
      <c r="D9681" s="5"/>
    </row>
    <row r="9682" spans="4:4" x14ac:dyDescent="0.2">
      <c r="D9682" s="5"/>
    </row>
    <row r="9683" spans="4:4" x14ac:dyDescent="0.2">
      <c r="D9683" s="5"/>
    </row>
    <row r="9684" spans="4:4" x14ac:dyDescent="0.2">
      <c r="D9684" s="5"/>
    </row>
    <row r="9685" spans="4:4" x14ac:dyDescent="0.2">
      <c r="D9685" s="5"/>
    </row>
    <row r="9686" spans="4:4" x14ac:dyDescent="0.2">
      <c r="D9686" s="5"/>
    </row>
    <row r="9687" spans="4:4" x14ac:dyDescent="0.2">
      <c r="D9687" s="5"/>
    </row>
    <row r="9688" spans="4:4" x14ac:dyDescent="0.2">
      <c r="D9688" s="5"/>
    </row>
    <row r="9689" spans="4:4" x14ac:dyDescent="0.2">
      <c r="D9689" s="5"/>
    </row>
    <row r="9690" spans="4:4" x14ac:dyDescent="0.2">
      <c r="D9690" s="5"/>
    </row>
    <row r="9691" spans="4:4" x14ac:dyDescent="0.2">
      <c r="D9691" s="5"/>
    </row>
    <row r="9692" spans="4:4" x14ac:dyDescent="0.2">
      <c r="D9692" s="5"/>
    </row>
    <row r="9693" spans="4:4" x14ac:dyDescent="0.2">
      <c r="D9693" s="5"/>
    </row>
    <row r="9694" spans="4:4" x14ac:dyDescent="0.2">
      <c r="D9694" s="5"/>
    </row>
    <row r="9695" spans="4:4" x14ac:dyDescent="0.2">
      <c r="D9695" s="5"/>
    </row>
    <row r="9696" spans="4:4" x14ac:dyDescent="0.2">
      <c r="D9696" s="5"/>
    </row>
    <row r="9697" spans="4:4" x14ac:dyDescent="0.2">
      <c r="D9697" s="5"/>
    </row>
    <row r="9698" spans="4:4" x14ac:dyDescent="0.2">
      <c r="D9698" s="5"/>
    </row>
    <row r="9699" spans="4:4" x14ac:dyDescent="0.2">
      <c r="D9699" s="5"/>
    </row>
    <row r="9700" spans="4:4" x14ac:dyDescent="0.2">
      <c r="D9700" s="5"/>
    </row>
    <row r="9701" spans="4:4" x14ac:dyDescent="0.2">
      <c r="D9701" s="5"/>
    </row>
    <row r="9702" spans="4:4" x14ac:dyDescent="0.2">
      <c r="D9702" s="5"/>
    </row>
    <row r="9703" spans="4:4" x14ac:dyDescent="0.2">
      <c r="D9703" s="5"/>
    </row>
    <row r="9704" spans="4:4" x14ac:dyDescent="0.2">
      <c r="D9704" s="5"/>
    </row>
    <row r="9705" spans="4:4" x14ac:dyDescent="0.2">
      <c r="D9705" s="5"/>
    </row>
    <row r="9706" spans="4:4" x14ac:dyDescent="0.2">
      <c r="D9706" s="5"/>
    </row>
    <row r="9707" spans="4:4" x14ac:dyDescent="0.2">
      <c r="D9707" s="5"/>
    </row>
    <row r="9708" spans="4:4" x14ac:dyDescent="0.2">
      <c r="D9708" s="5"/>
    </row>
    <row r="9709" spans="4:4" x14ac:dyDescent="0.2">
      <c r="D9709" s="5"/>
    </row>
    <row r="9710" spans="4:4" x14ac:dyDescent="0.2">
      <c r="D9710" s="5"/>
    </row>
    <row r="9711" spans="4:4" x14ac:dyDescent="0.2">
      <c r="D9711" s="5"/>
    </row>
    <row r="9712" spans="4:4" x14ac:dyDescent="0.2">
      <c r="D9712" s="5"/>
    </row>
    <row r="9713" spans="4:4" x14ac:dyDescent="0.2">
      <c r="D9713" s="5"/>
    </row>
    <row r="9714" spans="4:4" x14ac:dyDescent="0.2">
      <c r="D9714" s="5"/>
    </row>
    <row r="9715" spans="4:4" x14ac:dyDescent="0.2">
      <c r="D9715" s="5"/>
    </row>
    <row r="9716" spans="4:4" x14ac:dyDescent="0.2">
      <c r="D9716" s="5"/>
    </row>
    <row r="9717" spans="4:4" x14ac:dyDescent="0.2">
      <c r="D9717" s="5"/>
    </row>
    <row r="9718" spans="4:4" x14ac:dyDescent="0.2">
      <c r="D9718" s="5"/>
    </row>
    <row r="9719" spans="4:4" x14ac:dyDescent="0.2">
      <c r="D9719" s="5"/>
    </row>
    <row r="9720" spans="4:4" x14ac:dyDescent="0.2">
      <c r="D9720" s="5"/>
    </row>
    <row r="9721" spans="4:4" x14ac:dyDescent="0.2">
      <c r="D9721" s="5"/>
    </row>
    <row r="9722" spans="4:4" x14ac:dyDescent="0.2">
      <c r="D9722" s="5"/>
    </row>
    <row r="9723" spans="4:4" x14ac:dyDescent="0.2">
      <c r="D9723" s="5"/>
    </row>
    <row r="9724" spans="4:4" x14ac:dyDescent="0.2">
      <c r="D9724" s="5"/>
    </row>
    <row r="9725" spans="4:4" x14ac:dyDescent="0.2">
      <c r="D9725" s="5"/>
    </row>
    <row r="9726" spans="4:4" x14ac:dyDescent="0.2">
      <c r="D9726" s="5"/>
    </row>
    <row r="9727" spans="4:4" x14ac:dyDescent="0.2">
      <c r="D9727" s="5"/>
    </row>
    <row r="9728" spans="4:4" x14ac:dyDescent="0.2">
      <c r="D9728" s="5"/>
    </row>
    <row r="9729" spans="4:4" x14ac:dyDescent="0.2">
      <c r="D9729" s="5"/>
    </row>
    <row r="9730" spans="4:4" x14ac:dyDescent="0.2">
      <c r="D9730" s="5"/>
    </row>
    <row r="9731" spans="4:4" x14ac:dyDescent="0.2">
      <c r="D9731" s="5"/>
    </row>
    <row r="9732" spans="4:4" x14ac:dyDescent="0.2">
      <c r="D9732" s="5"/>
    </row>
    <row r="9733" spans="4:4" x14ac:dyDescent="0.2">
      <c r="D9733" s="5"/>
    </row>
    <row r="9734" spans="4:4" x14ac:dyDescent="0.2">
      <c r="D9734" s="5"/>
    </row>
    <row r="9735" spans="4:4" x14ac:dyDescent="0.2">
      <c r="D9735" s="5"/>
    </row>
    <row r="9736" spans="4:4" x14ac:dyDescent="0.2">
      <c r="D9736" s="5"/>
    </row>
    <row r="9737" spans="4:4" x14ac:dyDescent="0.2">
      <c r="D9737" s="5"/>
    </row>
    <row r="9738" spans="4:4" x14ac:dyDescent="0.2">
      <c r="D9738" s="5"/>
    </row>
    <row r="9739" spans="4:4" x14ac:dyDescent="0.2">
      <c r="D9739" s="5"/>
    </row>
    <row r="9740" spans="4:4" x14ac:dyDescent="0.2">
      <c r="D9740" s="5"/>
    </row>
    <row r="9741" spans="4:4" x14ac:dyDescent="0.2">
      <c r="D9741" s="5"/>
    </row>
    <row r="9742" spans="4:4" x14ac:dyDescent="0.2">
      <c r="D9742" s="5"/>
    </row>
    <row r="9743" spans="4:4" x14ac:dyDescent="0.2">
      <c r="D9743" s="5"/>
    </row>
    <row r="9744" spans="4:4" x14ac:dyDescent="0.2">
      <c r="D9744" s="5"/>
    </row>
    <row r="9745" spans="4:4" x14ac:dyDescent="0.2">
      <c r="D9745" s="5"/>
    </row>
    <row r="9746" spans="4:4" x14ac:dyDescent="0.2">
      <c r="D9746" s="5"/>
    </row>
    <row r="9747" spans="4:4" x14ac:dyDescent="0.2">
      <c r="D9747" s="5"/>
    </row>
    <row r="9748" spans="4:4" x14ac:dyDescent="0.2">
      <c r="D9748" s="5"/>
    </row>
    <row r="9749" spans="4:4" x14ac:dyDescent="0.2">
      <c r="D9749" s="5"/>
    </row>
    <row r="9750" spans="4:4" x14ac:dyDescent="0.2">
      <c r="D9750" s="5"/>
    </row>
    <row r="9751" spans="4:4" x14ac:dyDescent="0.2">
      <c r="D9751" s="5"/>
    </row>
    <row r="9752" spans="4:4" x14ac:dyDescent="0.2">
      <c r="D9752" s="5"/>
    </row>
    <row r="9753" spans="4:4" x14ac:dyDescent="0.2">
      <c r="D9753" s="5"/>
    </row>
    <row r="9754" spans="4:4" x14ac:dyDescent="0.2">
      <c r="D9754" s="5"/>
    </row>
    <row r="9755" spans="4:4" x14ac:dyDescent="0.2">
      <c r="D9755" s="5"/>
    </row>
    <row r="9756" spans="4:4" x14ac:dyDescent="0.2">
      <c r="D9756" s="5"/>
    </row>
    <row r="9757" spans="4:4" x14ac:dyDescent="0.2">
      <c r="D9757" s="5"/>
    </row>
    <row r="9758" spans="4:4" x14ac:dyDescent="0.2">
      <c r="D9758" s="5"/>
    </row>
    <row r="9759" spans="4:4" x14ac:dyDescent="0.2">
      <c r="D9759" s="5"/>
    </row>
    <row r="9760" spans="4:4" x14ac:dyDescent="0.2">
      <c r="D9760" s="5"/>
    </row>
    <row r="9761" spans="4:4" x14ac:dyDescent="0.2">
      <c r="D9761" s="5"/>
    </row>
    <row r="9762" spans="4:4" x14ac:dyDescent="0.2">
      <c r="D9762" s="5"/>
    </row>
    <row r="9763" spans="4:4" x14ac:dyDescent="0.2">
      <c r="D9763" s="5"/>
    </row>
    <row r="9764" spans="4:4" x14ac:dyDescent="0.2">
      <c r="D9764" s="5"/>
    </row>
    <row r="9765" spans="4:4" x14ac:dyDescent="0.2">
      <c r="D9765" s="5"/>
    </row>
    <row r="9766" spans="4:4" x14ac:dyDescent="0.2">
      <c r="D9766" s="5"/>
    </row>
    <row r="9767" spans="4:4" x14ac:dyDescent="0.2">
      <c r="D9767" s="5"/>
    </row>
    <row r="9768" spans="4:4" x14ac:dyDescent="0.2">
      <c r="D9768" s="5"/>
    </row>
    <row r="9769" spans="4:4" x14ac:dyDescent="0.2">
      <c r="D9769" s="5"/>
    </row>
    <row r="9770" spans="4:4" x14ac:dyDescent="0.2">
      <c r="D9770" s="5"/>
    </row>
    <row r="9771" spans="4:4" x14ac:dyDescent="0.2">
      <c r="D9771" s="5"/>
    </row>
    <row r="9772" spans="4:4" x14ac:dyDescent="0.2">
      <c r="D9772" s="5"/>
    </row>
    <row r="9773" spans="4:4" x14ac:dyDescent="0.2">
      <c r="D9773" s="5"/>
    </row>
    <row r="9774" spans="4:4" x14ac:dyDescent="0.2">
      <c r="D9774" s="5"/>
    </row>
    <row r="9775" spans="4:4" x14ac:dyDescent="0.2">
      <c r="D9775" s="5"/>
    </row>
    <row r="9776" spans="4:4" x14ac:dyDescent="0.2">
      <c r="D9776" s="5"/>
    </row>
    <row r="9777" spans="4:4" x14ac:dyDescent="0.2">
      <c r="D9777" s="5"/>
    </row>
    <row r="9778" spans="4:4" x14ac:dyDescent="0.2">
      <c r="D9778" s="5"/>
    </row>
    <row r="9779" spans="4:4" x14ac:dyDescent="0.2">
      <c r="D9779" s="5"/>
    </row>
    <row r="9780" spans="4:4" x14ac:dyDescent="0.2">
      <c r="D9780" s="5"/>
    </row>
    <row r="9781" spans="4:4" x14ac:dyDescent="0.2">
      <c r="D9781" s="5"/>
    </row>
    <row r="9782" spans="4:4" x14ac:dyDescent="0.2">
      <c r="D9782" s="5"/>
    </row>
    <row r="9783" spans="4:4" x14ac:dyDescent="0.2">
      <c r="D9783" s="5"/>
    </row>
    <row r="9784" spans="4:4" x14ac:dyDescent="0.2">
      <c r="D9784" s="5"/>
    </row>
    <row r="9785" spans="4:4" x14ac:dyDescent="0.2">
      <c r="D9785" s="5"/>
    </row>
    <row r="9786" spans="4:4" x14ac:dyDescent="0.2">
      <c r="D9786" s="5"/>
    </row>
    <row r="9787" spans="4:4" x14ac:dyDescent="0.2">
      <c r="D9787" s="5"/>
    </row>
    <row r="9788" spans="4:4" x14ac:dyDescent="0.2">
      <c r="D9788" s="5"/>
    </row>
    <row r="9789" spans="4:4" x14ac:dyDescent="0.2">
      <c r="D9789" s="5"/>
    </row>
    <row r="9790" spans="4:4" x14ac:dyDescent="0.2">
      <c r="D9790" s="5"/>
    </row>
    <row r="9791" spans="4:4" x14ac:dyDescent="0.2">
      <c r="D9791" s="5"/>
    </row>
    <row r="9792" spans="4:4" x14ac:dyDescent="0.2">
      <c r="D9792" s="5"/>
    </row>
    <row r="9793" spans="4:4" x14ac:dyDescent="0.2">
      <c r="D9793" s="5"/>
    </row>
    <row r="9794" spans="4:4" x14ac:dyDescent="0.2">
      <c r="D9794" s="5"/>
    </row>
    <row r="9795" spans="4:4" x14ac:dyDescent="0.2">
      <c r="D9795" s="5"/>
    </row>
    <row r="9796" spans="4:4" x14ac:dyDescent="0.2">
      <c r="D9796" s="5"/>
    </row>
    <row r="9797" spans="4:4" x14ac:dyDescent="0.2">
      <c r="D9797" s="5"/>
    </row>
    <row r="9798" spans="4:4" x14ac:dyDescent="0.2">
      <c r="D9798" s="5"/>
    </row>
    <row r="9799" spans="4:4" x14ac:dyDescent="0.2">
      <c r="D9799" s="5"/>
    </row>
    <row r="9800" spans="4:4" x14ac:dyDescent="0.2">
      <c r="D9800" s="5"/>
    </row>
    <row r="9801" spans="4:4" x14ac:dyDescent="0.2">
      <c r="D9801" s="5"/>
    </row>
    <row r="9802" spans="4:4" x14ac:dyDescent="0.2">
      <c r="D9802" s="5"/>
    </row>
    <row r="9803" spans="4:4" x14ac:dyDescent="0.2">
      <c r="D9803" s="5"/>
    </row>
    <row r="9804" spans="4:4" x14ac:dyDescent="0.2">
      <c r="D9804" s="5"/>
    </row>
    <row r="9805" spans="4:4" x14ac:dyDescent="0.2">
      <c r="D9805" s="5"/>
    </row>
    <row r="9806" spans="4:4" x14ac:dyDescent="0.2">
      <c r="D9806" s="5"/>
    </row>
    <row r="9807" spans="4:4" x14ac:dyDescent="0.2">
      <c r="D9807" s="5"/>
    </row>
    <row r="9808" spans="4:4" x14ac:dyDescent="0.2">
      <c r="D9808" s="5"/>
    </row>
    <row r="9809" spans="4:4" x14ac:dyDescent="0.2">
      <c r="D9809" s="5"/>
    </row>
    <row r="9810" spans="4:4" x14ac:dyDescent="0.2">
      <c r="D9810" s="5"/>
    </row>
    <row r="9811" spans="4:4" x14ac:dyDescent="0.2">
      <c r="D9811" s="5"/>
    </row>
    <row r="9812" spans="4:4" x14ac:dyDescent="0.2">
      <c r="D9812" s="5"/>
    </row>
    <row r="9813" spans="4:4" x14ac:dyDescent="0.2">
      <c r="D9813" s="5"/>
    </row>
    <row r="9814" spans="4:4" x14ac:dyDescent="0.2">
      <c r="D9814" s="5"/>
    </row>
    <row r="9815" spans="4:4" x14ac:dyDescent="0.2">
      <c r="D9815" s="5"/>
    </row>
    <row r="9816" spans="4:4" x14ac:dyDescent="0.2">
      <c r="D9816" s="5"/>
    </row>
    <row r="9817" spans="4:4" x14ac:dyDescent="0.2">
      <c r="D9817" s="5"/>
    </row>
    <row r="9818" spans="4:4" x14ac:dyDescent="0.2">
      <c r="D9818" s="5"/>
    </row>
    <row r="9819" spans="4:4" x14ac:dyDescent="0.2">
      <c r="D9819" s="5"/>
    </row>
    <row r="9820" spans="4:4" x14ac:dyDescent="0.2">
      <c r="D9820" s="5"/>
    </row>
    <row r="9821" spans="4:4" x14ac:dyDescent="0.2">
      <c r="D9821" s="5"/>
    </row>
    <row r="9822" spans="4:4" x14ac:dyDescent="0.2">
      <c r="D9822" s="5"/>
    </row>
    <row r="9823" spans="4:4" x14ac:dyDescent="0.2">
      <c r="D9823" s="5"/>
    </row>
    <row r="9824" spans="4:4" x14ac:dyDescent="0.2">
      <c r="D9824" s="5"/>
    </row>
    <row r="9825" spans="4:4" x14ac:dyDescent="0.2">
      <c r="D9825" s="5"/>
    </row>
    <row r="9826" spans="4:4" x14ac:dyDescent="0.2">
      <c r="D9826" s="5"/>
    </row>
    <row r="9827" spans="4:4" x14ac:dyDescent="0.2">
      <c r="D9827" s="5"/>
    </row>
    <row r="9828" spans="4:4" x14ac:dyDescent="0.2">
      <c r="D9828" s="5"/>
    </row>
    <row r="9829" spans="4:4" x14ac:dyDescent="0.2">
      <c r="D9829" s="5"/>
    </row>
    <row r="9830" spans="4:4" x14ac:dyDescent="0.2">
      <c r="D9830" s="5"/>
    </row>
    <row r="9831" spans="4:4" x14ac:dyDescent="0.2">
      <c r="D9831" s="5"/>
    </row>
    <row r="9832" spans="4:4" x14ac:dyDescent="0.2">
      <c r="D9832" s="5"/>
    </row>
    <row r="9833" spans="4:4" x14ac:dyDescent="0.2">
      <c r="D9833" s="5"/>
    </row>
    <row r="9834" spans="4:4" x14ac:dyDescent="0.2">
      <c r="D9834" s="5"/>
    </row>
    <row r="9835" spans="4:4" x14ac:dyDescent="0.2">
      <c r="D9835" s="5"/>
    </row>
    <row r="9836" spans="4:4" x14ac:dyDescent="0.2">
      <c r="D9836" s="5"/>
    </row>
    <row r="9837" spans="4:4" x14ac:dyDescent="0.2">
      <c r="D9837" s="5"/>
    </row>
    <row r="9838" spans="4:4" x14ac:dyDescent="0.2">
      <c r="D9838" s="5"/>
    </row>
    <row r="9839" spans="4:4" x14ac:dyDescent="0.2">
      <c r="D9839" s="5"/>
    </row>
    <row r="9840" spans="4:4" x14ac:dyDescent="0.2">
      <c r="D9840" s="5"/>
    </row>
    <row r="9841" spans="4:4" x14ac:dyDescent="0.2">
      <c r="D9841" s="5"/>
    </row>
    <row r="9842" spans="4:4" x14ac:dyDescent="0.2">
      <c r="D9842" s="5"/>
    </row>
    <row r="9843" spans="4:4" x14ac:dyDescent="0.2">
      <c r="D9843" s="5"/>
    </row>
    <row r="9844" spans="4:4" x14ac:dyDescent="0.2">
      <c r="D9844" s="5"/>
    </row>
    <row r="9845" spans="4:4" x14ac:dyDescent="0.2">
      <c r="D9845" s="5"/>
    </row>
    <row r="9846" spans="4:4" x14ac:dyDescent="0.2">
      <c r="D9846" s="5"/>
    </row>
    <row r="9847" spans="4:4" x14ac:dyDescent="0.2">
      <c r="D9847" s="5"/>
    </row>
    <row r="9848" spans="4:4" x14ac:dyDescent="0.2">
      <c r="D9848" s="5"/>
    </row>
    <row r="9849" spans="4:4" x14ac:dyDescent="0.2">
      <c r="D9849" s="5"/>
    </row>
    <row r="9850" spans="4:4" x14ac:dyDescent="0.2">
      <c r="D9850" s="5"/>
    </row>
    <row r="9851" spans="4:4" x14ac:dyDescent="0.2">
      <c r="D9851" s="5"/>
    </row>
    <row r="9852" spans="4:4" x14ac:dyDescent="0.2">
      <c r="D9852" s="5"/>
    </row>
    <row r="9853" spans="4:4" x14ac:dyDescent="0.2">
      <c r="D9853" s="5"/>
    </row>
    <row r="9854" spans="4:4" x14ac:dyDescent="0.2">
      <c r="D9854" s="5"/>
    </row>
    <row r="9855" spans="4:4" x14ac:dyDescent="0.2">
      <c r="D9855" s="5"/>
    </row>
    <row r="9856" spans="4:4" x14ac:dyDescent="0.2">
      <c r="D9856" s="5"/>
    </row>
    <row r="9857" spans="4:4" x14ac:dyDescent="0.2">
      <c r="D9857" s="5"/>
    </row>
    <row r="9858" spans="4:4" x14ac:dyDescent="0.2">
      <c r="D9858" s="5"/>
    </row>
    <row r="9859" spans="4:4" x14ac:dyDescent="0.2">
      <c r="D9859" s="5"/>
    </row>
    <row r="9860" spans="4:4" x14ac:dyDescent="0.2">
      <c r="D9860" s="5"/>
    </row>
    <row r="9861" spans="4:4" x14ac:dyDescent="0.2">
      <c r="D9861" s="5"/>
    </row>
    <row r="9862" spans="4:4" x14ac:dyDescent="0.2">
      <c r="D9862" s="5"/>
    </row>
    <row r="9863" spans="4:4" x14ac:dyDescent="0.2">
      <c r="D9863" s="5"/>
    </row>
    <row r="9864" spans="4:4" x14ac:dyDescent="0.2">
      <c r="D9864" s="5"/>
    </row>
    <row r="9865" spans="4:4" x14ac:dyDescent="0.2">
      <c r="D9865" s="5"/>
    </row>
    <row r="9866" spans="4:4" x14ac:dyDescent="0.2">
      <c r="D9866" s="5"/>
    </row>
    <row r="9867" spans="4:4" x14ac:dyDescent="0.2">
      <c r="D9867" s="5"/>
    </row>
    <row r="9868" spans="4:4" x14ac:dyDescent="0.2">
      <c r="D9868" s="5"/>
    </row>
    <row r="9869" spans="4:4" x14ac:dyDescent="0.2">
      <c r="D9869" s="5"/>
    </row>
    <row r="9870" spans="4:4" x14ac:dyDescent="0.2">
      <c r="D9870" s="5"/>
    </row>
    <row r="9871" spans="4:4" x14ac:dyDescent="0.2">
      <c r="D9871" s="5"/>
    </row>
    <row r="9872" spans="4:4" x14ac:dyDescent="0.2">
      <c r="D9872" s="5"/>
    </row>
    <row r="9873" spans="4:4" x14ac:dyDescent="0.2">
      <c r="D9873" s="5"/>
    </row>
    <row r="9874" spans="4:4" x14ac:dyDescent="0.2">
      <c r="D9874" s="5"/>
    </row>
    <row r="9875" spans="4:4" x14ac:dyDescent="0.2">
      <c r="D9875" s="5"/>
    </row>
    <row r="9876" spans="4:4" x14ac:dyDescent="0.2">
      <c r="D9876" s="5"/>
    </row>
    <row r="9877" spans="4:4" x14ac:dyDescent="0.2">
      <c r="D9877" s="5"/>
    </row>
    <row r="9878" spans="4:4" x14ac:dyDescent="0.2">
      <c r="D9878" s="5"/>
    </row>
    <row r="9879" spans="4:4" x14ac:dyDescent="0.2">
      <c r="D9879" s="5"/>
    </row>
    <row r="9880" spans="4:4" x14ac:dyDescent="0.2">
      <c r="D9880" s="5"/>
    </row>
    <row r="9881" spans="4:4" x14ac:dyDescent="0.2">
      <c r="D9881" s="5"/>
    </row>
    <row r="9882" spans="4:4" x14ac:dyDescent="0.2">
      <c r="D9882" s="5"/>
    </row>
    <row r="9883" spans="4:4" x14ac:dyDescent="0.2">
      <c r="D9883" s="5"/>
    </row>
    <row r="9884" spans="4:4" x14ac:dyDescent="0.2">
      <c r="D9884" s="5"/>
    </row>
    <row r="9885" spans="4:4" x14ac:dyDescent="0.2">
      <c r="D9885" s="5"/>
    </row>
    <row r="9886" spans="4:4" x14ac:dyDescent="0.2">
      <c r="D9886" s="5"/>
    </row>
    <row r="9887" spans="4:4" x14ac:dyDescent="0.2">
      <c r="D9887" s="5"/>
    </row>
    <row r="9888" spans="4:4" x14ac:dyDescent="0.2">
      <c r="D9888" s="5"/>
    </row>
    <row r="9889" spans="4:4" x14ac:dyDescent="0.2">
      <c r="D9889" s="5"/>
    </row>
    <row r="9890" spans="4:4" x14ac:dyDescent="0.2">
      <c r="D9890" s="5"/>
    </row>
    <row r="9891" spans="4:4" x14ac:dyDescent="0.2">
      <c r="D9891" s="5"/>
    </row>
    <row r="9892" spans="4:4" x14ac:dyDescent="0.2">
      <c r="D9892" s="5"/>
    </row>
    <row r="9893" spans="4:4" x14ac:dyDescent="0.2">
      <c r="D9893" s="5"/>
    </row>
    <row r="9894" spans="4:4" x14ac:dyDescent="0.2">
      <c r="D9894" s="5"/>
    </row>
    <row r="9895" spans="4:4" x14ac:dyDescent="0.2">
      <c r="D9895" s="5"/>
    </row>
    <row r="9896" spans="4:4" x14ac:dyDescent="0.2">
      <c r="D9896" s="5"/>
    </row>
    <row r="9897" spans="4:4" x14ac:dyDescent="0.2">
      <c r="D9897" s="5"/>
    </row>
    <row r="9898" spans="4:4" x14ac:dyDescent="0.2">
      <c r="D9898" s="5"/>
    </row>
    <row r="9899" spans="4:4" x14ac:dyDescent="0.2">
      <c r="D9899" s="5"/>
    </row>
    <row r="9900" spans="4:4" x14ac:dyDescent="0.2">
      <c r="D9900" s="5"/>
    </row>
    <row r="9901" spans="4:4" x14ac:dyDescent="0.2">
      <c r="D9901" s="5"/>
    </row>
    <row r="9902" spans="4:4" x14ac:dyDescent="0.2">
      <c r="D9902" s="5"/>
    </row>
    <row r="9903" spans="4:4" x14ac:dyDescent="0.2">
      <c r="D9903" s="5"/>
    </row>
    <row r="9904" spans="4:4" x14ac:dyDescent="0.2">
      <c r="D9904" s="5"/>
    </row>
    <row r="9905" spans="4:4" x14ac:dyDescent="0.2">
      <c r="D9905" s="5"/>
    </row>
    <row r="9906" spans="4:4" x14ac:dyDescent="0.2">
      <c r="D9906" s="5"/>
    </row>
    <row r="9907" spans="4:4" x14ac:dyDescent="0.2">
      <c r="D9907" s="5"/>
    </row>
    <row r="9908" spans="4:4" x14ac:dyDescent="0.2">
      <c r="D9908" s="5"/>
    </row>
    <row r="9909" spans="4:4" x14ac:dyDescent="0.2">
      <c r="D9909" s="5"/>
    </row>
    <row r="9910" spans="4:4" x14ac:dyDescent="0.2">
      <c r="D9910" s="5"/>
    </row>
    <row r="9911" spans="4:4" x14ac:dyDescent="0.2">
      <c r="D9911" s="5"/>
    </row>
    <row r="9912" spans="4:4" x14ac:dyDescent="0.2">
      <c r="D9912" s="5"/>
    </row>
    <row r="9913" spans="4:4" x14ac:dyDescent="0.2">
      <c r="D9913" s="5"/>
    </row>
    <row r="9914" spans="4:4" x14ac:dyDescent="0.2">
      <c r="D9914" s="5"/>
    </row>
    <row r="9915" spans="4:4" x14ac:dyDescent="0.2">
      <c r="D9915" s="5"/>
    </row>
    <row r="9916" spans="4:4" x14ac:dyDescent="0.2">
      <c r="D9916" s="5"/>
    </row>
    <row r="9917" spans="4:4" x14ac:dyDescent="0.2">
      <c r="D9917" s="5"/>
    </row>
    <row r="9918" spans="4:4" x14ac:dyDescent="0.2">
      <c r="D9918" s="5"/>
    </row>
    <row r="9919" spans="4:4" x14ac:dyDescent="0.2">
      <c r="D9919" s="5"/>
    </row>
    <row r="9920" spans="4:4" x14ac:dyDescent="0.2">
      <c r="D9920" s="5"/>
    </row>
    <row r="9921" spans="4:4" x14ac:dyDescent="0.2">
      <c r="D9921" s="5"/>
    </row>
    <row r="9922" spans="4:4" x14ac:dyDescent="0.2">
      <c r="D9922" s="5"/>
    </row>
    <row r="9923" spans="4:4" x14ac:dyDescent="0.2">
      <c r="D9923" s="5"/>
    </row>
    <row r="9924" spans="4:4" x14ac:dyDescent="0.2">
      <c r="D9924" s="5"/>
    </row>
    <row r="9925" spans="4:4" x14ac:dyDescent="0.2">
      <c r="D9925" s="5"/>
    </row>
    <row r="9926" spans="4:4" x14ac:dyDescent="0.2">
      <c r="D9926" s="5"/>
    </row>
    <row r="9927" spans="4:4" x14ac:dyDescent="0.2">
      <c r="D9927" s="5"/>
    </row>
    <row r="9928" spans="4:4" x14ac:dyDescent="0.2">
      <c r="D9928" s="5"/>
    </row>
    <row r="9929" spans="4:4" x14ac:dyDescent="0.2">
      <c r="D9929" s="5"/>
    </row>
    <row r="9930" spans="4:4" x14ac:dyDescent="0.2">
      <c r="D9930" s="5"/>
    </row>
    <row r="9931" spans="4:4" x14ac:dyDescent="0.2">
      <c r="D9931" s="5"/>
    </row>
    <row r="9932" spans="4:4" x14ac:dyDescent="0.2">
      <c r="D9932" s="5"/>
    </row>
    <row r="9933" spans="4:4" x14ac:dyDescent="0.2">
      <c r="D9933" s="5"/>
    </row>
    <row r="9934" spans="4:4" x14ac:dyDescent="0.2">
      <c r="D9934" s="5"/>
    </row>
    <row r="9935" spans="4:4" x14ac:dyDescent="0.2">
      <c r="D9935" s="5"/>
    </row>
    <row r="9936" spans="4:4" x14ac:dyDescent="0.2">
      <c r="D9936" s="5"/>
    </row>
    <row r="9937" spans="4:4" x14ac:dyDescent="0.2">
      <c r="D9937" s="5"/>
    </row>
    <row r="9938" spans="4:4" x14ac:dyDescent="0.2">
      <c r="D9938" s="5"/>
    </row>
    <row r="9939" spans="4:4" x14ac:dyDescent="0.2">
      <c r="D9939" s="5"/>
    </row>
    <row r="9940" spans="4:4" x14ac:dyDescent="0.2">
      <c r="D9940" s="5"/>
    </row>
    <row r="9941" spans="4:4" x14ac:dyDescent="0.2">
      <c r="D9941" s="5"/>
    </row>
    <row r="9942" spans="4:4" x14ac:dyDescent="0.2">
      <c r="D9942" s="5"/>
    </row>
    <row r="9943" spans="4:4" x14ac:dyDescent="0.2">
      <c r="D9943" s="5"/>
    </row>
    <row r="9944" spans="4:4" x14ac:dyDescent="0.2">
      <c r="D9944" s="5"/>
    </row>
    <row r="9945" spans="4:4" x14ac:dyDescent="0.2">
      <c r="D9945" s="5"/>
    </row>
    <row r="9946" spans="4:4" x14ac:dyDescent="0.2">
      <c r="D9946" s="5"/>
    </row>
    <row r="9947" spans="4:4" x14ac:dyDescent="0.2">
      <c r="D9947" s="5"/>
    </row>
    <row r="9948" spans="4:4" x14ac:dyDescent="0.2">
      <c r="D9948" s="5"/>
    </row>
    <row r="9949" spans="4:4" x14ac:dyDescent="0.2">
      <c r="D9949" s="5"/>
    </row>
    <row r="9950" spans="4:4" x14ac:dyDescent="0.2">
      <c r="D9950" s="5"/>
    </row>
    <row r="9951" spans="4:4" x14ac:dyDescent="0.2">
      <c r="D9951" s="5"/>
    </row>
    <row r="9952" spans="4:4" x14ac:dyDescent="0.2">
      <c r="D9952" s="5"/>
    </row>
    <row r="9953" spans="4:4" x14ac:dyDescent="0.2">
      <c r="D9953" s="5"/>
    </row>
    <row r="9954" spans="4:4" x14ac:dyDescent="0.2">
      <c r="D9954" s="5"/>
    </row>
    <row r="9955" spans="4:4" x14ac:dyDescent="0.2">
      <c r="D9955" s="5"/>
    </row>
    <row r="9956" spans="4:4" x14ac:dyDescent="0.2">
      <c r="D9956" s="5"/>
    </row>
    <row r="9957" spans="4:4" x14ac:dyDescent="0.2">
      <c r="D9957" s="5"/>
    </row>
    <row r="9958" spans="4:4" x14ac:dyDescent="0.2">
      <c r="D9958" s="5"/>
    </row>
    <row r="9959" spans="4:4" x14ac:dyDescent="0.2">
      <c r="D9959" s="5"/>
    </row>
    <row r="9960" spans="4:4" x14ac:dyDescent="0.2">
      <c r="D9960" s="5"/>
    </row>
    <row r="9961" spans="4:4" x14ac:dyDescent="0.2">
      <c r="D9961" s="5"/>
    </row>
    <row r="9962" spans="4:4" x14ac:dyDescent="0.2">
      <c r="D9962" s="5"/>
    </row>
    <row r="9963" spans="4:4" x14ac:dyDescent="0.2">
      <c r="D9963" s="5"/>
    </row>
    <row r="9964" spans="4:4" x14ac:dyDescent="0.2">
      <c r="D9964" s="5"/>
    </row>
    <row r="9965" spans="4:4" x14ac:dyDescent="0.2">
      <c r="D9965" s="5"/>
    </row>
    <row r="9966" spans="4:4" x14ac:dyDescent="0.2">
      <c r="D9966" s="5"/>
    </row>
    <row r="9967" spans="4:4" x14ac:dyDescent="0.2">
      <c r="D9967" s="5"/>
    </row>
    <row r="9968" spans="4:4" x14ac:dyDescent="0.2">
      <c r="D9968" s="5"/>
    </row>
    <row r="9969" spans="4:4" x14ac:dyDescent="0.2">
      <c r="D9969" s="5"/>
    </row>
    <row r="9970" spans="4:4" x14ac:dyDescent="0.2">
      <c r="D9970" s="5"/>
    </row>
    <row r="9971" spans="4:4" x14ac:dyDescent="0.2">
      <c r="D9971" s="5"/>
    </row>
    <row r="9972" spans="4:4" x14ac:dyDescent="0.2">
      <c r="D9972" s="5"/>
    </row>
    <row r="9973" spans="4:4" x14ac:dyDescent="0.2">
      <c r="D9973" s="5"/>
    </row>
    <row r="9974" spans="4:4" x14ac:dyDescent="0.2">
      <c r="D9974" s="5"/>
    </row>
    <row r="9975" spans="4:4" x14ac:dyDescent="0.2">
      <c r="D9975" s="5"/>
    </row>
    <row r="9976" spans="4:4" x14ac:dyDescent="0.2">
      <c r="D9976" s="5"/>
    </row>
    <row r="9977" spans="4:4" x14ac:dyDescent="0.2">
      <c r="D9977" s="5"/>
    </row>
    <row r="9978" spans="4:4" x14ac:dyDescent="0.2">
      <c r="D9978" s="5"/>
    </row>
    <row r="9979" spans="4:4" x14ac:dyDescent="0.2">
      <c r="D9979" s="5"/>
    </row>
    <row r="9980" spans="4:4" x14ac:dyDescent="0.2">
      <c r="D9980" s="5"/>
    </row>
    <row r="9981" spans="4:4" x14ac:dyDescent="0.2">
      <c r="D9981" s="5"/>
    </row>
    <row r="9982" spans="4:4" x14ac:dyDescent="0.2">
      <c r="D9982" s="5"/>
    </row>
    <row r="9983" spans="4:4" x14ac:dyDescent="0.2">
      <c r="D9983" s="5"/>
    </row>
    <row r="9984" spans="4:4" x14ac:dyDescent="0.2">
      <c r="D9984" s="5"/>
    </row>
    <row r="9985" spans="4:4" x14ac:dyDescent="0.2">
      <c r="D9985" s="5"/>
    </row>
    <row r="9986" spans="4:4" x14ac:dyDescent="0.2">
      <c r="D9986" s="5"/>
    </row>
    <row r="9987" spans="4:4" x14ac:dyDescent="0.2">
      <c r="D9987" s="5"/>
    </row>
    <row r="9988" spans="4:4" x14ac:dyDescent="0.2">
      <c r="D9988" s="5"/>
    </row>
    <row r="9989" spans="4:4" x14ac:dyDescent="0.2">
      <c r="D9989" s="5"/>
    </row>
    <row r="9990" spans="4:4" x14ac:dyDescent="0.2">
      <c r="D9990" s="5"/>
    </row>
    <row r="9991" spans="4:4" x14ac:dyDescent="0.2">
      <c r="D9991" s="5"/>
    </row>
    <row r="9992" spans="4:4" x14ac:dyDescent="0.2">
      <c r="D9992" s="5"/>
    </row>
    <row r="9993" spans="4:4" x14ac:dyDescent="0.2">
      <c r="D9993" s="5"/>
    </row>
    <row r="9994" spans="4:4" x14ac:dyDescent="0.2">
      <c r="D9994" s="5"/>
    </row>
    <row r="9995" spans="4:4" x14ac:dyDescent="0.2">
      <c r="D9995" s="5"/>
    </row>
    <row r="9996" spans="4:4" x14ac:dyDescent="0.2">
      <c r="D9996" s="5"/>
    </row>
    <row r="9997" spans="4:4" x14ac:dyDescent="0.2">
      <c r="D9997" s="5"/>
    </row>
    <row r="9998" spans="4:4" x14ac:dyDescent="0.2">
      <c r="D9998" s="5"/>
    </row>
    <row r="9999" spans="4:4" x14ac:dyDescent="0.2">
      <c r="D9999" s="5"/>
    </row>
    <row r="10000" spans="4:4" x14ac:dyDescent="0.2">
      <c r="D10000" s="5"/>
    </row>
  </sheetData>
  <dataConsolidate/>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통합목록</vt:lpstr>
      <vt:lpstr>관련법령</vt:lpstr>
      <vt:lpstr>기출빈도</vt: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2026-09-16T00:20:23Z</dcterms:modified>
</cp:coreProperties>
</file>