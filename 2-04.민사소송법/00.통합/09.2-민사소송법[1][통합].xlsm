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4.민사소송법\00.통합\"/>
    </mc:Choice>
  </mc:AlternateContent>
  <xr:revisionPtr revIDLastSave="0" documentId="13_ncr:1_{CF0A9891-443E-4BFC-9439-99BE1C7CC701}" xr6:coauthVersionLast="47" xr6:coauthVersionMax="47" xr10:uidLastSave="{00000000-0000-0000-0000-000000000000}"/>
  <bookViews>
    <workbookView xWindow="-120" yWindow="-120" windowWidth="29040" windowHeight="15720" tabRatio="963" activeTab="6" xr2:uid="{4D92634D-11C4-4052-A5A5-28E583E4E652}"/>
  </bookViews>
  <sheets>
    <sheet name="설정" sheetId="77" r:id="rId1"/>
    <sheet name="기본교재" sheetId="79" r:id="rId2"/>
    <sheet name="용어・개념" sheetId="65" r:id="rId3"/>
    <sheet name="관련법령" sheetId="81" r:id="rId4"/>
    <sheet name="기출빈도" sheetId="83" r:id="rId5"/>
    <sheet name="문제목록" sheetId="80" r:id="rId6"/>
    <sheet name="통합목록" sheetId="85" r:id="rId7"/>
  </sheets>
  <definedNames>
    <definedName name="_xlnm._FilterDatabase" localSheetId="4" hidden="1">기출빈도!$B$4:$J$91</definedName>
    <definedName name="_xlnm._FilterDatabase" localSheetId="5" hidden="1">문제목록!$B$3:$T$122</definedName>
    <definedName name="_xlnm._FilterDatabase" localSheetId="2" hidden="1">용어・개념!$B$3:$G$3</definedName>
    <definedName name="_xlnm._FilterDatabase" localSheetId="6" hidden="1">통합목록!$B$3:$M$584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N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584" i="85" l="1"/>
  <c r="M583" i="85"/>
  <c r="M582" i="85"/>
  <c r="M581" i="85"/>
  <c r="M580" i="85"/>
  <c r="M579" i="85"/>
  <c r="M578" i="85"/>
  <c r="M577" i="85"/>
  <c r="M576" i="85"/>
  <c r="M575" i="85"/>
  <c r="M574" i="85"/>
  <c r="M573" i="85"/>
  <c r="M572" i="85"/>
  <c r="M571" i="85"/>
  <c r="M570" i="85"/>
  <c r="M569" i="85"/>
  <c r="M568" i="85"/>
  <c r="M567" i="85"/>
  <c r="M566" i="85"/>
  <c r="M565" i="85"/>
  <c r="M564" i="85"/>
  <c r="M563" i="85"/>
  <c r="M562" i="85"/>
  <c r="M561" i="85"/>
  <c r="M560" i="85"/>
  <c r="M559" i="85"/>
  <c r="M558" i="85"/>
  <c r="M557" i="85"/>
  <c r="M556" i="85"/>
  <c r="M555" i="85"/>
  <c r="M554" i="85"/>
  <c r="M553" i="85"/>
  <c r="M552" i="85"/>
  <c r="M551" i="85"/>
  <c r="M550" i="85"/>
  <c r="M549" i="85"/>
  <c r="M548" i="85"/>
  <c r="M547" i="85"/>
  <c r="M546" i="85"/>
  <c r="M545" i="85"/>
  <c r="M544" i="85"/>
  <c r="M543" i="85"/>
  <c r="M542" i="85"/>
  <c r="M541" i="85"/>
  <c r="M540" i="85"/>
  <c r="M539" i="85"/>
  <c r="M538" i="85"/>
  <c r="M537" i="85"/>
  <c r="M536" i="85"/>
  <c r="M535" i="85"/>
  <c r="M534" i="85"/>
  <c r="M533" i="85"/>
  <c r="M532" i="85"/>
  <c r="M531" i="85"/>
  <c r="M530" i="85"/>
  <c r="M529" i="85"/>
  <c r="M528" i="85"/>
  <c r="M527" i="85"/>
  <c r="M526" i="85"/>
  <c r="M525" i="85"/>
  <c r="M524" i="85"/>
  <c r="M523" i="85"/>
  <c r="M522" i="85"/>
  <c r="M521" i="85"/>
  <c r="M520" i="85"/>
  <c r="M519" i="85"/>
  <c r="M518" i="85"/>
  <c r="M517" i="85"/>
  <c r="M516" i="85"/>
  <c r="M515" i="85"/>
  <c r="M514" i="85"/>
  <c r="M513" i="85"/>
  <c r="M512" i="85"/>
  <c r="M511" i="85"/>
  <c r="M510" i="85"/>
  <c r="M509" i="85"/>
  <c r="M508" i="85"/>
  <c r="M507" i="85"/>
  <c r="M506" i="85"/>
  <c r="M505" i="85"/>
  <c r="M504" i="85"/>
  <c r="M503" i="85"/>
  <c r="M502" i="85"/>
  <c r="M501" i="85"/>
  <c r="M500" i="85"/>
  <c r="M499" i="85"/>
  <c r="M498" i="85"/>
  <c r="M497" i="85"/>
  <c r="M496" i="85"/>
  <c r="M495" i="85"/>
  <c r="M494" i="85"/>
  <c r="M493" i="85"/>
  <c r="M492" i="85"/>
  <c r="M491" i="85"/>
  <c r="M490" i="85"/>
  <c r="M489" i="85"/>
  <c r="M488" i="85"/>
  <c r="M487" i="85"/>
  <c r="M486" i="85"/>
  <c r="M485" i="85"/>
  <c r="M484" i="85"/>
  <c r="M483" i="85"/>
  <c r="M482" i="85"/>
  <c r="M481" i="85"/>
  <c r="M480" i="85"/>
  <c r="M479" i="85"/>
  <c r="M478" i="85"/>
  <c r="M477" i="85"/>
  <c r="M476" i="85"/>
  <c r="M475" i="85"/>
  <c r="M474" i="85"/>
  <c r="M473" i="85"/>
  <c r="M472" i="85"/>
  <c r="M471" i="85"/>
  <c r="M470" i="85"/>
  <c r="M469" i="85"/>
  <c r="M468" i="85"/>
  <c r="M467" i="85"/>
  <c r="M466" i="85"/>
  <c r="M465" i="85"/>
  <c r="M464" i="85"/>
  <c r="M463" i="85"/>
  <c r="M462" i="85"/>
  <c r="M461" i="85"/>
  <c r="M460" i="85"/>
  <c r="M459" i="85"/>
  <c r="M458" i="85"/>
  <c r="M457" i="85"/>
  <c r="M456" i="85"/>
  <c r="M455" i="85"/>
  <c r="M454" i="85"/>
  <c r="M453" i="85"/>
  <c r="M452" i="85"/>
  <c r="M451" i="85"/>
  <c r="M450" i="85"/>
  <c r="M449" i="85"/>
  <c r="M448" i="85"/>
  <c r="M447" i="85"/>
  <c r="M446" i="85"/>
  <c r="M445" i="85"/>
  <c r="M444" i="85"/>
  <c r="M443" i="85"/>
  <c r="M442" i="85"/>
  <c r="M441" i="85"/>
  <c r="M440" i="85"/>
  <c r="M439" i="85"/>
  <c r="M438" i="85"/>
  <c r="M437" i="85"/>
  <c r="M436" i="85"/>
  <c r="M435" i="85"/>
  <c r="M434" i="85"/>
  <c r="M433" i="85"/>
  <c r="M432" i="85"/>
  <c r="M431" i="85"/>
  <c r="M430" i="85"/>
  <c r="M429" i="85"/>
  <c r="M428" i="85"/>
  <c r="M427" i="85"/>
  <c r="M426" i="85"/>
  <c r="M425" i="85"/>
  <c r="M424" i="85"/>
  <c r="M423" i="85"/>
  <c r="M422" i="85"/>
  <c r="M421" i="85"/>
  <c r="M420" i="85"/>
  <c r="M419" i="85"/>
  <c r="M418" i="85"/>
  <c r="M417" i="85"/>
  <c r="M416" i="85"/>
  <c r="M415" i="85"/>
  <c r="M414" i="85"/>
  <c r="M413" i="85"/>
  <c r="M412" i="85"/>
  <c r="M411" i="85"/>
  <c r="M410" i="85"/>
  <c r="M409" i="85"/>
  <c r="M408" i="85"/>
  <c r="M407" i="85"/>
  <c r="M406" i="85"/>
  <c r="M405" i="85"/>
  <c r="M404" i="85"/>
  <c r="M403" i="85"/>
  <c r="M402" i="85"/>
  <c r="M401" i="85"/>
  <c r="M400" i="85"/>
  <c r="M399" i="85"/>
  <c r="M398" i="85"/>
  <c r="M397" i="85"/>
  <c r="M396" i="85"/>
  <c r="M395" i="85"/>
  <c r="M394" i="85"/>
  <c r="M393" i="85"/>
  <c r="M392" i="85"/>
  <c r="M391" i="85"/>
  <c r="M390" i="85"/>
  <c r="M389" i="85"/>
  <c r="M388" i="85"/>
  <c r="M387" i="85"/>
  <c r="M386" i="85"/>
  <c r="M385" i="85"/>
  <c r="M384" i="85"/>
  <c r="M383" i="85"/>
  <c r="M382" i="85"/>
  <c r="M381" i="85"/>
  <c r="M380" i="85"/>
  <c r="M379" i="85"/>
  <c r="M378" i="85"/>
  <c r="M377" i="85"/>
  <c r="M376" i="85"/>
  <c r="M375" i="85"/>
  <c r="M374" i="85"/>
  <c r="M373" i="85"/>
  <c r="M372" i="85"/>
  <c r="M371" i="85"/>
  <c r="M370" i="85"/>
  <c r="M369" i="85"/>
  <c r="M368" i="85"/>
  <c r="M367" i="85"/>
  <c r="M366" i="85"/>
  <c r="M365" i="85"/>
  <c r="M364" i="85"/>
  <c r="M363" i="85"/>
  <c r="M362" i="85"/>
  <c r="M361" i="85"/>
  <c r="M360" i="85"/>
  <c r="M359" i="85"/>
  <c r="M358" i="85"/>
  <c r="M357" i="85"/>
  <c r="M356" i="85"/>
  <c r="M355" i="85"/>
  <c r="M354" i="85"/>
  <c r="M353" i="85"/>
  <c r="M352" i="85"/>
  <c r="M351" i="85"/>
  <c r="M350" i="85"/>
  <c r="M349" i="85"/>
  <c r="M348" i="85"/>
  <c r="M347" i="85"/>
  <c r="M346" i="85"/>
  <c r="M345" i="85"/>
  <c r="M344" i="85"/>
  <c r="M343" i="85"/>
  <c r="M342" i="85"/>
  <c r="M341" i="85"/>
  <c r="M340" i="85"/>
  <c r="M339" i="85"/>
  <c r="M338" i="85"/>
  <c r="M337" i="85"/>
  <c r="M336" i="85"/>
  <c r="M335" i="85"/>
  <c r="M334" i="85"/>
  <c r="M333" i="85"/>
  <c r="M332" i="85"/>
  <c r="M331" i="85"/>
  <c r="M330" i="85"/>
  <c r="M329" i="85"/>
  <c r="M328" i="85"/>
  <c r="M327" i="85"/>
  <c r="M326" i="85"/>
  <c r="M325" i="85"/>
  <c r="M324" i="85"/>
  <c r="M323" i="85"/>
  <c r="M322" i="85"/>
  <c r="M321" i="85"/>
  <c r="M320" i="85"/>
  <c r="M319" i="85"/>
  <c r="M318" i="85"/>
  <c r="M317" i="85"/>
  <c r="M316" i="85"/>
  <c r="M315" i="85"/>
  <c r="M314" i="85"/>
  <c r="M313" i="85"/>
  <c r="M312" i="85"/>
  <c r="M311" i="85"/>
  <c r="M310" i="85"/>
  <c r="M309" i="85"/>
  <c r="M308" i="85"/>
  <c r="M307" i="85"/>
  <c r="M306" i="85"/>
  <c r="M305" i="85"/>
  <c r="M304" i="85"/>
  <c r="M303" i="85"/>
  <c r="M302" i="85"/>
  <c r="M301" i="85"/>
  <c r="M300" i="85"/>
  <c r="M299" i="85"/>
  <c r="M298" i="85"/>
  <c r="M297" i="85"/>
  <c r="M296" i="85"/>
  <c r="M295" i="85"/>
  <c r="M294" i="85"/>
  <c r="M293" i="85"/>
  <c r="M292" i="85"/>
  <c r="M291" i="85"/>
  <c r="M290" i="85"/>
  <c r="M289" i="85"/>
  <c r="M288" i="85"/>
  <c r="M287" i="85"/>
  <c r="M286" i="85"/>
  <c r="M285" i="85"/>
  <c r="M284" i="85"/>
  <c r="M283" i="85"/>
  <c r="M282" i="85"/>
  <c r="M281" i="85"/>
  <c r="M280" i="85"/>
  <c r="M279" i="85"/>
  <c r="M278" i="85"/>
  <c r="M277" i="85"/>
  <c r="M276" i="85"/>
  <c r="M275" i="85"/>
  <c r="M274" i="85"/>
  <c r="M273" i="85"/>
  <c r="M272" i="85"/>
  <c r="M271" i="85"/>
  <c r="M270" i="85"/>
  <c r="M269" i="85"/>
  <c r="M268" i="85"/>
  <c r="M267" i="85"/>
  <c r="M266" i="85"/>
  <c r="M265" i="85"/>
  <c r="M264" i="85"/>
  <c r="M263" i="85"/>
  <c r="M262" i="85"/>
  <c r="M261" i="85"/>
  <c r="M260" i="85"/>
  <c r="M259" i="85"/>
  <c r="M258" i="85"/>
  <c r="M257" i="85"/>
  <c r="M256" i="85"/>
  <c r="M255" i="85"/>
  <c r="M254" i="85"/>
  <c r="M253" i="85"/>
  <c r="M252" i="85"/>
  <c r="M251" i="85"/>
  <c r="M250" i="85"/>
  <c r="M249" i="85"/>
  <c r="M248" i="85"/>
  <c r="M247" i="85"/>
  <c r="M246" i="85"/>
  <c r="M245" i="85"/>
  <c r="M244" i="85"/>
  <c r="M243" i="85"/>
  <c r="M242" i="85"/>
  <c r="M241" i="85"/>
  <c r="M240" i="85"/>
  <c r="M239" i="85"/>
  <c r="M238" i="85"/>
  <c r="M237" i="85"/>
  <c r="M236" i="85"/>
  <c r="M235" i="85"/>
  <c r="M234" i="85"/>
  <c r="M233" i="85"/>
  <c r="M232" i="85"/>
  <c r="M231" i="85"/>
  <c r="M230" i="85"/>
  <c r="M229" i="85"/>
  <c r="M228" i="85"/>
  <c r="M227" i="85"/>
  <c r="M226" i="85"/>
  <c r="M225" i="85"/>
  <c r="M224" i="85"/>
  <c r="M223" i="85"/>
  <c r="M222" i="85"/>
  <c r="M221" i="85"/>
  <c r="M220" i="85"/>
  <c r="M219" i="85"/>
  <c r="M218" i="85"/>
  <c r="M217" i="85"/>
  <c r="M216" i="85"/>
  <c r="M215" i="85"/>
  <c r="M214" i="85"/>
  <c r="M213" i="85"/>
  <c r="M212" i="85"/>
  <c r="M211" i="85"/>
  <c r="M210" i="85"/>
  <c r="M209" i="85"/>
  <c r="M208" i="85"/>
  <c r="M207" i="85"/>
  <c r="M206" i="85"/>
  <c r="M205" i="85"/>
  <c r="M204" i="85"/>
  <c r="M203" i="85"/>
  <c r="M202" i="85"/>
  <c r="M201" i="85"/>
  <c r="M200" i="85"/>
  <c r="M199" i="85"/>
  <c r="M198" i="85"/>
  <c r="M197" i="85"/>
  <c r="M196" i="85"/>
  <c r="M195" i="85"/>
  <c r="M194" i="85"/>
  <c r="M193" i="85"/>
  <c r="M192" i="85"/>
  <c r="M191" i="85"/>
  <c r="M190" i="85"/>
  <c r="M189" i="85"/>
  <c r="M188" i="85"/>
  <c r="M187" i="85"/>
  <c r="M186" i="85"/>
  <c r="M185" i="85"/>
  <c r="M184" i="85"/>
  <c r="M183" i="85"/>
  <c r="M182" i="85"/>
  <c r="M181" i="85"/>
  <c r="M180" i="85"/>
  <c r="M179" i="85"/>
  <c r="M178" i="85"/>
  <c r="M177" i="85"/>
  <c r="M176" i="85"/>
  <c r="M175" i="85"/>
  <c r="M174" i="85"/>
  <c r="M173" i="85"/>
  <c r="M172" i="85"/>
  <c r="M171" i="85"/>
  <c r="M170" i="85"/>
  <c r="M169" i="85"/>
  <c r="M168" i="85"/>
  <c r="M167" i="85"/>
  <c r="M166" i="85"/>
  <c r="M165" i="85"/>
  <c r="M164" i="85"/>
  <c r="M163" i="85"/>
  <c r="M162" i="85"/>
  <c r="M161" i="85"/>
  <c r="M160" i="85"/>
  <c r="M159" i="85"/>
  <c r="M158" i="85"/>
  <c r="M157" i="85"/>
  <c r="M156" i="85"/>
  <c r="M155" i="85"/>
  <c r="M154" i="85"/>
  <c r="M153" i="85"/>
  <c r="M152" i="85"/>
  <c r="M151" i="85"/>
  <c r="M150" i="85"/>
  <c r="M149" i="85"/>
  <c r="M148" i="85"/>
  <c r="M147" i="85"/>
  <c r="M146" i="85"/>
  <c r="M145" i="85"/>
  <c r="M144" i="85"/>
  <c r="M143" i="85"/>
  <c r="M142" i="85"/>
  <c r="M141" i="85"/>
  <c r="M140" i="85"/>
  <c r="M139" i="85"/>
  <c r="M138" i="85"/>
  <c r="M137" i="85"/>
  <c r="M136" i="85"/>
  <c r="M135" i="85"/>
  <c r="M134" i="85"/>
  <c r="M133" i="85"/>
  <c r="M132" i="85"/>
  <c r="M131" i="85"/>
  <c r="M130" i="85"/>
  <c r="M129" i="85"/>
  <c r="M128" i="85"/>
  <c r="M127" i="85"/>
  <c r="M126" i="85"/>
  <c r="M125" i="85"/>
  <c r="M124" i="85"/>
  <c r="M123" i="85"/>
  <c r="M122" i="85"/>
  <c r="M121" i="85"/>
  <c r="M120" i="85"/>
  <c r="M119" i="85"/>
  <c r="M118" i="85"/>
  <c r="M117" i="85"/>
  <c r="M116" i="85"/>
  <c r="M115" i="85"/>
  <c r="M114" i="85"/>
  <c r="M113" i="85"/>
  <c r="M112" i="85"/>
  <c r="M111" i="85"/>
  <c r="M110" i="85"/>
  <c r="M109" i="85"/>
  <c r="M108" i="85"/>
  <c r="M107" i="85"/>
  <c r="M106" i="85"/>
  <c r="M105" i="85"/>
  <c r="M104" i="85"/>
  <c r="M103" i="85"/>
  <c r="M102" i="85"/>
  <c r="M101" i="85"/>
  <c r="M100" i="85"/>
  <c r="M99" i="85"/>
  <c r="M98" i="85"/>
  <c r="M97" i="85"/>
  <c r="M96" i="85"/>
  <c r="M95" i="85"/>
  <c r="M94" i="85"/>
  <c r="M93" i="85"/>
  <c r="M92" i="85"/>
  <c r="M91" i="85"/>
  <c r="M90" i="85"/>
  <c r="M89" i="85"/>
  <c r="M88" i="85"/>
  <c r="M87" i="85"/>
  <c r="M86" i="85"/>
  <c r="M85" i="85"/>
  <c r="M84" i="85"/>
  <c r="M83" i="85"/>
  <c r="M82" i="85"/>
  <c r="M81" i="85"/>
  <c r="M80" i="85"/>
  <c r="M79" i="85"/>
  <c r="M78" i="85"/>
  <c r="M77" i="85"/>
  <c r="M76" i="85"/>
  <c r="M75" i="85"/>
  <c r="M74" i="85"/>
  <c r="M73" i="85"/>
  <c r="M72" i="85"/>
  <c r="M71" i="85"/>
  <c r="M70" i="85"/>
  <c r="M69" i="85"/>
  <c r="M68" i="85"/>
  <c r="M67" i="85"/>
  <c r="M66" i="85"/>
  <c r="M65" i="85"/>
  <c r="M64" i="85"/>
  <c r="M63" i="85"/>
  <c r="M62" i="85"/>
  <c r="M61" i="85"/>
  <c r="M60" i="85"/>
  <c r="M59" i="85"/>
  <c r="M58" i="85"/>
  <c r="M57" i="85"/>
  <c r="M56" i="85"/>
  <c r="M55" i="85"/>
  <c r="M54" i="85"/>
  <c r="M53" i="85"/>
  <c r="M52" i="85"/>
  <c r="M51" i="85"/>
  <c r="M50" i="85"/>
  <c r="M49" i="85"/>
  <c r="M48" i="85"/>
  <c r="M47" i="85"/>
  <c r="M46" i="85"/>
  <c r="M45" i="85"/>
  <c r="M44" i="85"/>
  <c r="M43" i="85"/>
  <c r="M42" i="85"/>
  <c r="M41" i="85"/>
  <c r="M40" i="85"/>
  <c r="M39" i="85"/>
  <c r="M38" i="85"/>
  <c r="M37" i="85"/>
  <c r="M36" i="85"/>
  <c r="M35" i="85"/>
  <c r="M34" i="85"/>
  <c r="M33" i="85"/>
  <c r="M32" i="85"/>
  <c r="M31" i="85"/>
  <c r="M30" i="85"/>
  <c r="M29" i="85"/>
  <c r="M28" i="85"/>
  <c r="M27" i="85"/>
  <c r="M26" i="85"/>
  <c r="M25" i="85"/>
  <c r="M24" i="85"/>
  <c r="M23" i="85"/>
  <c r="M22" i="85"/>
  <c r="M21" i="85"/>
  <c r="M20" i="85"/>
  <c r="M19" i="85"/>
  <c r="M18" i="85"/>
  <c r="M17" i="85"/>
  <c r="M16" i="85"/>
  <c r="M15" i="85"/>
  <c r="M14" i="85"/>
  <c r="M13" i="85"/>
  <c r="M12" i="85"/>
  <c r="M11" i="85"/>
  <c r="M10" i="85"/>
  <c r="M9" i="85"/>
  <c r="M8" i="85"/>
  <c r="M7" i="85"/>
  <c r="M6" i="85"/>
  <c r="M5" i="85"/>
  <c r="M4" i="85"/>
  <c r="B21" i="80" l="1"/>
  <c r="B22" i="80"/>
  <c r="P21" i="80"/>
  <c r="Q21" i="80"/>
  <c r="R21" i="80"/>
  <c r="S21" i="80"/>
  <c r="T21" i="80"/>
  <c r="B56" i="80" l="1"/>
  <c r="B26" i="80"/>
  <c r="B27" i="80"/>
  <c r="B28" i="80"/>
  <c r="B29" i="80"/>
  <c r="B98" i="80"/>
  <c r="B96" i="80"/>
  <c r="B78" i="80"/>
  <c r="B99" i="80"/>
  <c r="B25" i="80"/>
  <c r="B104" i="80"/>
  <c r="B85" i="80"/>
  <c r="B80" i="80"/>
  <c r="B72" i="80"/>
  <c r="B59" i="80"/>
  <c r="B24" i="80"/>
  <c r="B23" i="80"/>
  <c r="B91" i="80"/>
  <c r="B81" i="80"/>
  <c r="B67" i="80"/>
  <c r="B19" i="80"/>
  <c r="B20" i="80"/>
  <c r="B121" i="80"/>
  <c r="B112" i="80"/>
  <c r="B90" i="80"/>
  <c r="B17" i="80"/>
  <c r="B18" i="80"/>
  <c r="B15" i="80"/>
  <c r="B16" i="80"/>
  <c r="B13" i="80"/>
  <c r="B14" i="80"/>
  <c r="B110" i="80"/>
  <c r="B75" i="80"/>
  <c r="B64" i="80"/>
  <c r="B100" i="80"/>
  <c r="B94" i="80"/>
  <c r="B73" i="80"/>
  <c r="B61" i="80"/>
  <c r="B11" i="80"/>
  <c r="B12" i="80"/>
  <c r="B65" i="80"/>
  <c r="B108" i="80"/>
  <c r="B87" i="80"/>
  <c r="B117" i="80"/>
  <c r="B82" i="80"/>
  <c r="B77" i="80"/>
  <c r="B9" i="80"/>
  <c r="B10" i="80"/>
  <c r="B118" i="80"/>
  <c r="B7" i="80"/>
  <c r="B8" i="80"/>
  <c r="B102" i="80"/>
  <c r="B88" i="80"/>
  <c r="B63" i="80"/>
  <c r="B93" i="80"/>
  <c r="B71" i="80"/>
  <c r="B58" i="80"/>
  <c r="B119" i="80"/>
  <c r="B6" i="80"/>
  <c r="B122" i="80"/>
  <c r="B116" i="80"/>
  <c r="B79" i="80"/>
  <c r="B4" i="80"/>
  <c r="B5" i="80"/>
  <c r="B70" i="80"/>
  <c r="B111" i="80"/>
  <c r="B109" i="80"/>
  <c r="B95" i="80"/>
  <c r="B89" i="80"/>
  <c r="B120" i="80"/>
  <c r="B106" i="80"/>
  <c r="B83" i="80"/>
  <c r="B105" i="80"/>
  <c r="B66" i="80"/>
  <c r="B55" i="80"/>
  <c r="B114" i="80"/>
  <c r="B107" i="80"/>
  <c r="B103" i="80"/>
  <c r="B101" i="80"/>
  <c r="B76" i="80"/>
  <c r="B68" i="80"/>
  <c r="B69" i="80"/>
  <c r="B60" i="80"/>
  <c r="B53" i="80"/>
  <c r="B54" i="80"/>
  <c r="B97" i="80"/>
  <c r="B92" i="80"/>
  <c r="B84" i="80"/>
  <c r="B62" i="80"/>
  <c r="B86" i="80"/>
  <c r="B51" i="80"/>
  <c r="B52" i="80"/>
  <c r="B115" i="80"/>
  <c r="B113" i="80"/>
  <c r="B49" i="80"/>
  <c r="B50" i="80"/>
  <c r="B47" i="80"/>
  <c r="B48" i="80"/>
  <c r="B45" i="80"/>
  <c r="B46" i="80"/>
  <c r="B43" i="80"/>
  <c r="B44" i="80"/>
  <c r="B41" i="80"/>
  <c r="B42" i="80"/>
  <c r="B39" i="80"/>
  <c r="B40" i="80"/>
  <c r="B37" i="80"/>
  <c r="B38" i="80"/>
  <c r="B34" i="80"/>
  <c r="B35" i="80"/>
  <c r="B36" i="80"/>
  <c r="B32" i="80"/>
  <c r="B33" i="80"/>
  <c r="B30" i="80"/>
  <c r="B31" i="80"/>
  <c r="P36" i="80"/>
  <c r="Q36" i="80"/>
  <c r="R36" i="80"/>
  <c r="S36" i="80"/>
  <c r="T36" i="80"/>
  <c r="P54" i="80"/>
  <c r="Q54" i="80"/>
  <c r="R54" i="80"/>
  <c r="S54" i="80"/>
  <c r="T54" i="80"/>
  <c r="P55" i="80"/>
  <c r="Q55" i="80"/>
  <c r="R55" i="80"/>
  <c r="S55" i="80"/>
  <c r="T55" i="80"/>
  <c r="P6" i="80"/>
  <c r="Q6" i="80"/>
  <c r="R6" i="80"/>
  <c r="S6" i="80"/>
  <c r="T6" i="80"/>
  <c r="P11" i="80"/>
  <c r="Q11" i="80"/>
  <c r="R11" i="80"/>
  <c r="S11" i="80"/>
  <c r="T11" i="80"/>
  <c r="P12" i="80"/>
  <c r="Q12" i="80"/>
  <c r="R12" i="80"/>
  <c r="S12" i="80"/>
  <c r="T12" i="80"/>
  <c r="P22" i="80"/>
  <c r="Q22" i="80"/>
  <c r="R22" i="80"/>
  <c r="S22" i="80"/>
  <c r="T22" i="80"/>
  <c r="P23" i="80"/>
  <c r="Q23" i="80"/>
  <c r="R23" i="80"/>
  <c r="S23" i="80"/>
  <c r="T23" i="80"/>
  <c r="P29" i="80"/>
  <c r="Q29" i="80"/>
  <c r="R29" i="80"/>
  <c r="S29" i="80"/>
  <c r="T29" i="80"/>
  <c r="P56" i="80"/>
  <c r="Q56" i="80"/>
  <c r="R56" i="80"/>
  <c r="S56" i="80"/>
  <c r="T56" i="80"/>
  <c r="E35" i="83" l="1"/>
  <c r="F35" i="83"/>
  <c r="G35" i="83"/>
  <c r="H35" i="83"/>
  <c r="H49" i="83"/>
  <c r="H48" i="83"/>
  <c r="G49" i="83"/>
  <c r="G48" i="83"/>
  <c r="F49" i="83"/>
  <c r="F48" i="83"/>
  <c r="E49" i="83"/>
  <c r="E48" i="83"/>
  <c r="H89" i="83"/>
  <c r="H88" i="83"/>
  <c r="H87" i="83"/>
  <c r="H86" i="83"/>
  <c r="H85" i="83"/>
  <c r="H82" i="83"/>
  <c r="H81" i="83"/>
  <c r="H79" i="83"/>
  <c r="H78" i="83"/>
  <c r="H77" i="83"/>
  <c r="H76" i="83"/>
  <c r="H74" i="83"/>
  <c r="H73" i="83"/>
  <c r="H72" i="83"/>
  <c r="H71" i="83"/>
  <c r="H69" i="83"/>
  <c r="H68" i="83"/>
  <c r="H67" i="83"/>
  <c r="H64" i="83"/>
  <c r="H63" i="83"/>
  <c r="H62" i="83"/>
  <c r="H60" i="83"/>
  <c r="H59" i="83"/>
  <c r="H56" i="83"/>
  <c r="H55" i="83"/>
  <c r="H53" i="83"/>
  <c r="H52" i="83"/>
  <c r="H51" i="83"/>
  <c r="H45" i="83"/>
  <c r="H44" i="83"/>
  <c r="H43" i="83"/>
  <c r="H42" i="83"/>
  <c r="H41" i="83"/>
  <c r="H40" i="83"/>
  <c r="H38" i="83"/>
  <c r="H37" i="83"/>
  <c r="H36" i="83"/>
  <c r="H34" i="83"/>
  <c r="H33" i="83"/>
  <c r="H32" i="83"/>
  <c r="H31" i="83"/>
  <c r="H29" i="83"/>
  <c r="H28" i="83"/>
  <c r="H27" i="83"/>
  <c r="H26" i="83"/>
  <c r="H25" i="83"/>
  <c r="H24" i="83"/>
  <c r="H23" i="83"/>
  <c r="H22" i="83"/>
  <c r="H19" i="83"/>
  <c r="H18" i="83"/>
  <c r="H17" i="83"/>
  <c r="H15" i="83"/>
  <c r="H14" i="83"/>
  <c r="H13" i="83"/>
  <c r="H10" i="83"/>
  <c r="H9" i="83"/>
  <c r="H7" i="83"/>
  <c r="H6" i="83"/>
  <c r="H5" i="83"/>
  <c r="F89" i="83"/>
  <c r="F88" i="83"/>
  <c r="F87" i="83"/>
  <c r="F86" i="83"/>
  <c r="F85" i="83"/>
  <c r="F82" i="83"/>
  <c r="F81" i="83"/>
  <c r="F79" i="83"/>
  <c r="F78" i="83"/>
  <c r="F77" i="83"/>
  <c r="F76" i="83"/>
  <c r="F74" i="83"/>
  <c r="F73" i="83"/>
  <c r="F72" i="83"/>
  <c r="F71" i="83"/>
  <c r="F69" i="83"/>
  <c r="F68" i="83"/>
  <c r="F67" i="83"/>
  <c r="F64" i="83"/>
  <c r="F63" i="83"/>
  <c r="F62" i="83"/>
  <c r="F60" i="83"/>
  <c r="F59" i="83"/>
  <c r="F56" i="83"/>
  <c r="F55" i="83"/>
  <c r="F53" i="83"/>
  <c r="F52" i="83"/>
  <c r="F51" i="83"/>
  <c r="F45" i="83"/>
  <c r="F44" i="83"/>
  <c r="F43" i="83"/>
  <c r="F42" i="83"/>
  <c r="F41" i="83"/>
  <c r="F40" i="83"/>
  <c r="F38" i="83"/>
  <c r="F37" i="83"/>
  <c r="F36" i="83"/>
  <c r="F34" i="83"/>
  <c r="F33" i="83"/>
  <c r="F32" i="83"/>
  <c r="F31" i="83"/>
  <c r="F29" i="83"/>
  <c r="F28" i="83"/>
  <c r="F27" i="83"/>
  <c r="F26" i="83"/>
  <c r="F25" i="83"/>
  <c r="F24" i="83"/>
  <c r="F23" i="83"/>
  <c r="F22" i="83"/>
  <c r="F19" i="83"/>
  <c r="F18" i="83"/>
  <c r="F17" i="83"/>
  <c r="F15" i="83"/>
  <c r="F14" i="83"/>
  <c r="F13" i="83"/>
  <c r="F10" i="83"/>
  <c r="F9" i="83"/>
  <c r="F7" i="83"/>
  <c r="F6" i="83"/>
  <c r="F5" i="83"/>
  <c r="G89" i="83"/>
  <c r="G88" i="83"/>
  <c r="G87" i="83"/>
  <c r="G86" i="83"/>
  <c r="G85" i="83"/>
  <c r="G82" i="83"/>
  <c r="G81" i="83"/>
  <c r="G79" i="83"/>
  <c r="G78" i="83"/>
  <c r="G77" i="83"/>
  <c r="G76" i="83"/>
  <c r="G74" i="83"/>
  <c r="G73" i="83"/>
  <c r="G72" i="83"/>
  <c r="G71" i="83"/>
  <c r="G69" i="83"/>
  <c r="G68" i="83"/>
  <c r="G67" i="83"/>
  <c r="G64" i="83"/>
  <c r="G63" i="83"/>
  <c r="G62" i="83"/>
  <c r="G60" i="83"/>
  <c r="G59" i="83"/>
  <c r="G56" i="83"/>
  <c r="G55" i="83"/>
  <c r="G57" i="83" s="1"/>
  <c r="G53" i="83"/>
  <c r="G52" i="83"/>
  <c r="G51" i="83"/>
  <c r="G45" i="83"/>
  <c r="G44" i="83"/>
  <c r="G43" i="83"/>
  <c r="G42" i="83"/>
  <c r="G41" i="83"/>
  <c r="G40" i="83"/>
  <c r="G38" i="83"/>
  <c r="G37" i="83"/>
  <c r="G36" i="83"/>
  <c r="G34" i="83"/>
  <c r="G33" i="83"/>
  <c r="G32" i="83"/>
  <c r="G31" i="83"/>
  <c r="G29" i="83"/>
  <c r="G28" i="83"/>
  <c r="G27" i="83"/>
  <c r="G26" i="83"/>
  <c r="G25" i="83"/>
  <c r="G24" i="83"/>
  <c r="G23" i="83"/>
  <c r="G22" i="83"/>
  <c r="G19" i="83"/>
  <c r="G18" i="83"/>
  <c r="G17" i="83"/>
  <c r="G15" i="83"/>
  <c r="G14" i="83"/>
  <c r="G13" i="83"/>
  <c r="G10" i="83"/>
  <c r="G9" i="83"/>
  <c r="G7" i="83"/>
  <c r="G6" i="83"/>
  <c r="G5" i="83"/>
  <c r="G30" i="83" l="1"/>
  <c r="H50" i="83"/>
  <c r="F57" i="83"/>
  <c r="H57" i="83"/>
  <c r="G50" i="83"/>
  <c r="E50" i="83"/>
  <c r="F50" i="83"/>
  <c r="H83" i="83"/>
  <c r="F83" i="83"/>
  <c r="F61" i="83"/>
  <c r="H61" i="83"/>
  <c r="G83" i="83"/>
  <c r="G61" i="83"/>
  <c r="G80" i="83"/>
  <c r="F11" i="83"/>
  <c r="F65" i="83"/>
  <c r="H11" i="83"/>
  <c r="H65" i="83"/>
  <c r="G8" i="83"/>
  <c r="F8" i="83"/>
  <c r="H8" i="83"/>
  <c r="G11" i="83"/>
  <c r="G16" i="83"/>
  <c r="F16" i="83"/>
  <c r="H16" i="83"/>
  <c r="G70" i="83"/>
  <c r="F70" i="83"/>
  <c r="H70" i="83"/>
  <c r="F30" i="83"/>
  <c r="H30" i="83"/>
  <c r="G46" i="83"/>
  <c r="F46" i="83"/>
  <c r="H46" i="83"/>
  <c r="G65" i="83"/>
  <c r="G39" i="83"/>
  <c r="G90" i="83"/>
  <c r="G91" i="83" s="1"/>
  <c r="F39" i="83"/>
  <c r="F90" i="83"/>
  <c r="F91" i="83" s="1"/>
  <c r="H39" i="83"/>
  <c r="H90" i="83"/>
  <c r="H91" i="83" s="1"/>
  <c r="G20" i="83"/>
  <c r="G54" i="83"/>
  <c r="F20" i="83"/>
  <c r="F54" i="83"/>
  <c r="H20" i="83"/>
  <c r="H54" i="83"/>
  <c r="G75" i="83"/>
  <c r="F75" i="83"/>
  <c r="H75" i="83"/>
  <c r="F80" i="83"/>
  <c r="H80" i="83"/>
  <c r="E6" i="83"/>
  <c r="E7" i="83"/>
  <c r="E9" i="83"/>
  <c r="E10" i="83"/>
  <c r="E13" i="83"/>
  <c r="E14" i="83"/>
  <c r="E15" i="83"/>
  <c r="E17" i="83"/>
  <c r="E18" i="83"/>
  <c r="E19" i="83"/>
  <c r="E22" i="83"/>
  <c r="E23" i="83"/>
  <c r="E24" i="83"/>
  <c r="E25" i="83"/>
  <c r="E26" i="83"/>
  <c r="E27" i="83"/>
  <c r="E28" i="83"/>
  <c r="E29" i="83"/>
  <c r="E31" i="83"/>
  <c r="E32" i="83"/>
  <c r="E33" i="83"/>
  <c r="E34" i="83"/>
  <c r="E36" i="83"/>
  <c r="E37" i="83"/>
  <c r="E38" i="83"/>
  <c r="E40" i="83"/>
  <c r="E41" i="83"/>
  <c r="E42" i="83"/>
  <c r="E43" i="83"/>
  <c r="E44" i="83"/>
  <c r="E45" i="83"/>
  <c r="E51" i="83"/>
  <c r="E52" i="83"/>
  <c r="E53" i="83"/>
  <c r="E55" i="83"/>
  <c r="E56" i="83"/>
  <c r="E59" i="83"/>
  <c r="E60" i="83"/>
  <c r="E62" i="83"/>
  <c r="E63" i="83"/>
  <c r="E64" i="83"/>
  <c r="E67" i="83"/>
  <c r="E68" i="83"/>
  <c r="E69" i="83"/>
  <c r="E71" i="83"/>
  <c r="E72" i="83"/>
  <c r="E73" i="83"/>
  <c r="E74" i="83"/>
  <c r="E76" i="83"/>
  <c r="E77" i="83"/>
  <c r="E78" i="83"/>
  <c r="E79" i="83"/>
  <c r="E81" i="83"/>
  <c r="E82" i="83"/>
  <c r="E85" i="83"/>
  <c r="E86" i="83"/>
  <c r="E87" i="83"/>
  <c r="E88" i="83"/>
  <c r="E89" i="83"/>
  <c r="E5" i="83"/>
  <c r="E8" i="83" s="1"/>
  <c r="Q57" i="80"/>
  <c r="Q98" i="80"/>
  <c r="Q104" i="80"/>
  <c r="Q99" i="80"/>
  <c r="Q96" i="80"/>
  <c r="Q91" i="80"/>
  <c r="Q78" i="80"/>
  <c r="Q26" i="80"/>
  <c r="Q85" i="80"/>
  <c r="Q80" i="80"/>
  <c r="Q27" i="80"/>
  <c r="Q81" i="80"/>
  <c r="Q28" i="80"/>
  <c r="Q72" i="80"/>
  <c r="Q67" i="80"/>
  <c r="Q59" i="80"/>
  <c r="Q25" i="80"/>
  <c r="Q24" i="80"/>
  <c r="Q118" i="80"/>
  <c r="Q121" i="80"/>
  <c r="Q117" i="80"/>
  <c r="Q110" i="80"/>
  <c r="Q119" i="80"/>
  <c r="Q108" i="80"/>
  <c r="Q102" i="80"/>
  <c r="Q112" i="80"/>
  <c r="Q100" i="80"/>
  <c r="Q90" i="80"/>
  <c r="Q94" i="80"/>
  <c r="Q93" i="80"/>
  <c r="Q87" i="80"/>
  <c r="Q88" i="80"/>
  <c r="Q75" i="80"/>
  <c r="Q64" i="80"/>
  <c r="Q82" i="80"/>
  <c r="Q71" i="80"/>
  <c r="Q19" i="80"/>
  <c r="Q77" i="80"/>
  <c r="Q63" i="80"/>
  <c r="Q58" i="80"/>
  <c r="Q73" i="80"/>
  <c r="Q20" i="80"/>
  <c r="Q17" i="80"/>
  <c r="Q7" i="80"/>
  <c r="Q65" i="80"/>
  <c r="Q61" i="80"/>
  <c r="Q18" i="80"/>
  <c r="Q8" i="80"/>
  <c r="Q15" i="80"/>
  <c r="Q9" i="80"/>
  <c r="Q16" i="80"/>
  <c r="Q10" i="80"/>
  <c r="Q13" i="80"/>
  <c r="Q14" i="80"/>
  <c r="Q111" i="80"/>
  <c r="Q122" i="80"/>
  <c r="Q116" i="80"/>
  <c r="Q109" i="80"/>
  <c r="Q95" i="80"/>
  <c r="Q79" i="80"/>
  <c r="Q70" i="80"/>
  <c r="Q89" i="80"/>
  <c r="Q4" i="80"/>
  <c r="Q5" i="80"/>
  <c r="Q114" i="80"/>
  <c r="Q120" i="80"/>
  <c r="Q106" i="80"/>
  <c r="Q107" i="80"/>
  <c r="Q103" i="80"/>
  <c r="Q105" i="80"/>
  <c r="Q83" i="80"/>
  <c r="Q101" i="80"/>
  <c r="Q66" i="80"/>
  <c r="Q97" i="80"/>
  <c r="Q92" i="80"/>
  <c r="Q84" i="80"/>
  <c r="Q86" i="80"/>
  <c r="Q76" i="80"/>
  <c r="Q68" i="80"/>
  <c r="Q69" i="80"/>
  <c r="Q62" i="80"/>
  <c r="Q60" i="80"/>
  <c r="Q53" i="80"/>
  <c r="Q45" i="80"/>
  <c r="Q39" i="80"/>
  <c r="Q115" i="80"/>
  <c r="Q113" i="80"/>
  <c r="Q51" i="80"/>
  <c r="Q49" i="80"/>
  <c r="Q46" i="80"/>
  <c r="Q40" i="80"/>
  <c r="Q43" i="80"/>
  <c r="Q52" i="80"/>
  <c r="Q50" i="80"/>
  <c r="Q47" i="80"/>
  <c r="Q44" i="80"/>
  <c r="Q41" i="80"/>
  <c r="Q48" i="80"/>
  <c r="Q42" i="80"/>
  <c r="Q37" i="80"/>
  <c r="Q38" i="80"/>
  <c r="Q34" i="80"/>
  <c r="Q35" i="80"/>
  <c r="Q32" i="80"/>
  <c r="Q33" i="80"/>
  <c r="Q30" i="80"/>
  <c r="Q31" i="80"/>
  <c r="Q74" i="80"/>
  <c r="P74" i="80"/>
  <c r="R57" i="80"/>
  <c r="R98" i="80"/>
  <c r="R104" i="80"/>
  <c r="R99" i="80"/>
  <c r="R96" i="80"/>
  <c r="R91" i="80"/>
  <c r="R78" i="80"/>
  <c r="R26" i="80"/>
  <c r="R85" i="80"/>
  <c r="R80" i="80"/>
  <c r="R27" i="80"/>
  <c r="R81" i="80"/>
  <c r="R28" i="80"/>
  <c r="R72" i="80"/>
  <c r="R67" i="80"/>
  <c r="R59" i="80"/>
  <c r="R25" i="80"/>
  <c r="R24" i="80"/>
  <c r="R118" i="80"/>
  <c r="R121" i="80"/>
  <c r="R117" i="80"/>
  <c r="R110" i="80"/>
  <c r="R119" i="80"/>
  <c r="R108" i="80"/>
  <c r="R102" i="80"/>
  <c r="R112" i="80"/>
  <c r="R100" i="80"/>
  <c r="R90" i="80"/>
  <c r="R94" i="80"/>
  <c r="R93" i="80"/>
  <c r="R87" i="80"/>
  <c r="R88" i="80"/>
  <c r="R75" i="80"/>
  <c r="R64" i="80"/>
  <c r="R82" i="80"/>
  <c r="R71" i="80"/>
  <c r="R19" i="80"/>
  <c r="R77" i="80"/>
  <c r="R63" i="80"/>
  <c r="R58" i="80"/>
  <c r="R73" i="80"/>
  <c r="R20" i="80"/>
  <c r="R17" i="80"/>
  <c r="R7" i="80"/>
  <c r="R65" i="80"/>
  <c r="R61" i="80"/>
  <c r="R18" i="80"/>
  <c r="R8" i="80"/>
  <c r="R15" i="80"/>
  <c r="R9" i="80"/>
  <c r="R16" i="80"/>
  <c r="R10" i="80"/>
  <c r="R13" i="80"/>
  <c r="R14" i="80"/>
  <c r="R111" i="80"/>
  <c r="R122" i="80"/>
  <c r="R116" i="80"/>
  <c r="R109" i="80"/>
  <c r="R95" i="80"/>
  <c r="R79" i="80"/>
  <c r="R70" i="80"/>
  <c r="R89" i="80"/>
  <c r="R4" i="80"/>
  <c r="R5" i="80"/>
  <c r="R114" i="80"/>
  <c r="R120" i="80"/>
  <c r="R106" i="80"/>
  <c r="R107" i="80"/>
  <c r="R103" i="80"/>
  <c r="R105" i="80"/>
  <c r="R83" i="80"/>
  <c r="R101" i="80"/>
  <c r="R66" i="80"/>
  <c r="R97" i="80"/>
  <c r="R92" i="80"/>
  <c r="R84" i="80"/>
  <c r="R86" i="80"/>
  <c r="R76" i="80"/>
  <c r="R68" i="80"/>
  <c r="R69" i="80"/>
  <c r="R62" i="80"/>
  <c r="R60" i="80"/>
  <c r="R53" i="80"/>
  <c r="R45" i="80"/>
  <c r="R39" i="80"/>
  <c r="R115" i="80"/>
  <c r="R113" i="80"/>
  <c r="R51" i="80"/>
  <c r="R49" i="80"/>
  <c r="R46" i="80"/>
  <c r="R40" i="80"/>
  <c r="R43" i="80"/>
  <c r="R52" i="80"/>
  <c r="R50" i="80"/>
  <c r="R47" i="80"/>
  <c r="R44" i="80"/>
  <c r="R41" i="80"/>
  <c r="R48" i="80"/>
  <c r="R42" i="80"/>
  <c r="R37" i="80"/>
  <c r="R38" i="80"/>
  <c r="R34" i="80"/>
  <c r="R35" i="80"/>
  <c r="R32" i="80"/>
  <c r="R33" i="80"/>
  <c r="R30" i="80"/>
  <c r="R31" i="80"/>
  <c r="R74" i="80"/>
  <c r="P57" i="80"/>
  <c r="P98" i="80"/>
  <c r="P104" i="80"/>
  <c r="P99" i="80"/>
  <c r="P96" i="80"/>
  <c r="P91" i="80"/>
  <c r="P78" i="80"/>
  <c r="P26" i="80"/>
  <c r="P85" i="80"/>
  <c r="P80" i="80"/>
  <c r="P27" i="80"/>
  <c r="P81" i="80"/>
  <c r="P28" i="80"/>
  <c r="P72" i="80"/>
  <c r="P67" i="80"/>
  <c r="P59" i="80"/>
  <c r="P25" i="80"/>
  <c r="P24" i="80"/>
  <c r="P118" i="80"/>
  <c r="P121" i="80"/>
  <c r="P117" i="80"/>
  <c r="P110" i="80"/>
  <c r="P119" i="80"/>
  <c r="P108" i="80"/>
  <c r="P102" i="80"/>
  <c r="P112" i="80"/>
  <c r="P100" i="80"/>
  <c r="P90" i="80"/>
  <c r="P94" i="80"/>
  <c r="P93" i="80"/>
  <c r="P87" i="80"/>
  <c r="P88" i="80"/>
  <c r="P75" i="80"/>
  <c r="P64" i="80"/>
  <c r="P82" i="80"/>
  <c r="P71" i="80"/>
  <c r="P19" i="80"/>
  <c r="P77" i="80"/>
  <c r="P63" i="80"/>
  <c r="P58" i="80"/>
  <c r="P73" i="80"/>
  <c r="P20" i="80"/>
  <c r="P17" i="80"/>
  <c r="P7" i="80"/>
  <c r="P65" i="80"/>
  <c r="P61" i="80"/>
  <c r="P18" i="80"/>
  <c r="P8" i="80"/>
  <c r="P15" i="80"/>
  <c r="P9" i="80"/>
  <c r="P16" i="80"/>
  <c r="P10" i="80"/>
  <c r="P13" i="80"/>
  <c r="P14" i="80"/>
  <c r="P111" i="80"/>
  <c r="P122" i="80"/>
  <c r="P116" i="80"/>
  <c r="P109" i="80"/>
  <c r="P95" i="80"/>
  <c r="P79" i="80"/>
  <c r="P70" i="80"/>
  <c r="P89" i="80"/>
  <c r="P4" i="80"/>
  <c r="P5" i="80"/>
  <c r="P114" i="80"/>
  <c r="P120" i="80"/>
  <c r="P106" i="80"/>
  <c r="P107" i="80"/>
  <c r="P103" i="80"/>
  <c r="P105" i="80"/>
  <c r="P83" i="80"/>
  <c r="P101" i="80"/>
  <c r="P66" i="80"/>
  <c r="P97" i="80"/>
  <c r="P92" i="80"/>
  <c r="P84" i="80"/>
  <c r="P86" i="80"/>
  <c r="P76" i="80"/>
  <c r="P68" i="80"/>
  <c r="P69" i="80"/>
  <c r="P62" i="80"/>
  <c r="P60" i="80"/>
  <c r="P53" i="80"/>
  <c r="P45" i="80"/>
  <c r="P39" i="80"/>
  <c r="P115" i="80"/>
  <c r="P113" i="80"/>
  <c r="P51" i="80"/>
  <c r="P49" i="80"/>
  <c r="P46" i="80"/>
  <c r="P40" i="80"/>
  <c r="P43" i="80"/>
  <c r="P52" i="80"/>
  <c r="P50" i="80"/>
  <c r="P47" i="80"/>
  <c r="P44" i="80"/>
  <c r="P41" i="80"/>
  <c r="P48" i="80"/>
  <c r="P42" i="80"/>
  <c r="P37" i="80"/>
  <c r="P38" i="80"/>
  <c r="P34" i="80"/>
  <c r="P35" i="80"/>
  <c r="P32" i="80"/>
  <c r="P33" i="80"/>
  <c r="P30" i="80"/>
  <c r="P31" i="80"/>
  <c r="T53" i="80"/>
  <c r="S53" i="80"/>
  <c r="S25" i="80"/>
  <c r="T25" i="80"/>
  <c r="S24" i="80"/>
  <c r="T24" i="80"/>
  <c r="S59" i="80"/>
  <c r="T59" i="80"/>
  <c r="S60" i="80"/>
  <c r="T60" i="80"/>
  <c r="S61" i="80"/>
  <c r="T61" i="80"/>
  <c r="S62" i="80"/>
  <c r="T62" i="80"/>
  <c r="S63" i="80"/>
  <c r="T63" i="80"/>
  <c r="S64" i="80"/>
  <c r="T64" i="80"/>
  <c r="S65" i="80"/>
  <c r="T65" i="80"/>
  <c r="S66" i="80"/>
  <c r="T66" i="80"/>
  <c r="S67" i="80"/>
  <c r="T67" i="80"/>
  <c r="S68" i="80"/>
  <c r="T68" i="80"/>
  <c r="S69" i="80"/>
  <c r="T69" i="80"/>
  <c r="S70" i="80"/>
  <c r="T70" i="80"/>
  <c r="S71" i="80"/>
  <c r="T71" i="80"/>
  <c r="S72" i="80"/>
  <c r="T72" i="80"/>
  <c r="S73" i="80"/>
  <c r="T73" i="80"/>
  <c r="S74" i="80"/>
  <c r="T74" i="80"/>
  <c r="S75" i="80"/>
  <c r="T75" i="80"/>
  <c r="S76" i="80"/>
  <c r="T76" i="80"/>
  <c r="S77" i="80"/>
  <c r="T77" i="80"/>
  <c r="S78" i="80"/>
  <c r="T78" i="80"/>
  <c r="S79" i="80"/>
  <c r="T79" i="80"/>
  <c r="S80" i="80"/>
  <c r="T80" i="80"/>
  <c r="S81" i="80"/>
  <c r="T81" i="80"/>
  <c r="S82" i="80"/>
  <c r="T82" i="80"/>
  <c r="S83" i="80"/>
  <c r="T83" i="80"/>
  <c r="S84" i="80"/>
  <c r="T84" i="80"/>
  <c r="S85" i="80"/>
  <c r="T85" i="80"/>
  <c r="S86" i="80"/>
  <c r="T86" i="80"/>
  <c r="S87" i="80"/>
  <c r="T87" i="80"/>
  <c r="S88" i="80"/>
  <c r="T88" i="80"/>
  <c r="S89" i="80"/>
  <c r="T89" i="80"/>
  <c r="S90" i="80"/>
  <c r="T90" i="80"/>
  <c r="S91" i="80"/>
  <c r="T91" i="80"/>
  <c r="S92" i="80"/>
  <c r="T92" i="80"/>
  <c r="S93" i="80"/>
  <c r="T93" i="80"/>
  <c r="S94" i="80"/>
  <c r="T94" i="80"/>
  <c r="S95" i="80"/>
  <c r="T95" i="80"/>
  <c r="S96" i="80"/>
  <c r="T96" i="80"/>
  <c r="S97" i="80"/>
  <c r="T97" i="80"/>
  <c r="S98" i="80"/>
  <c r="T98" i="80"/>
  <c r="S99" i="80"/>
  <c r="T99" i="80"/>
  <c r="S100" i="80"/>
  <c r="T100" i="80"/>
  <c r="S101" i="80"/>
  <c r="T101" i="80"/>
  <c r="S102" i="80"/>
  <c r="T102" i="80"/>
  <c r="S103" i="80"/>
  <c r="T103" i="80"/>
  <c r="S104" i="80"/>
  <c r="T104" i="80"/>
  <c r="S105" i="80"/>
  <c r="T105" i="80"/>
  <c r="S106" i="80"/>
  <c r="T106" i="80"/>
  <c r="S107" i="80"/>
  <c r="T107" i="80"/>
  <c r="S108" i="80"/>
  <c r="T108" i="80"/>
  <c r="S109" i="80"/>
  <c r="T109" i="80"/>
  <c r="S110" i="80"/>
  <c r="T110" i="80"/>
  <c r="S111" i="80"/>
  <c r="T111" i="80"/>
  <c r="S112" i="80"/>
  <c r="T112" i="80"/>
  <c r="S113" i="80"/>
  <c r="T113" i="80"/>
  <c r="S114" i="80"/>
  <c r="T114" i="80"/>
  <c r="S115" i="80"/>
  <c r="T115" i="80"/>
  <c r="S116" i="80"/>
  <c r="T116" i="80"/>
  <c r="S117" i="80"/>
  <c r="T117" i="80"/>
  <c r="S118" i="80"/>
  <c r="T118" i="80"/>
  <c r="S119" i="80"/>
  <c r="T119" i="80"/>
  <c r="S120" i="80"/>
  <c r="T120" i="80"/>
  <c r="S121" i="80"/>
  <c r="T121" i="80"/>
  <c r="S122" i="80"/>
  <c r="T122" i="80"/>
  <c r="T26" i="80"/>
  <c r="T27" i="80"/>
  <c r="T28" i="80"/>
  <c r="T19" i="80"/>
  <c r="T20" i="80"/>
  <c r="T17" i="80"/>
  <c r="T18" i="80"/>
  <c r="T15" i="80"/>
  <c r="T16" i="80"/>
  <c r="T13" i="80"/>
  <c r="T14" i="80"/>
  <c r="T9" i="80"/>
  <c r="T10" i="80"/>
  <c r="T7" i="80"/>
  <c r="T8" i="80"/>
  <c r="T4" i="80"/>
  <c r="T5" i="80"/>
  <c r="T51" i="80"/>
  <c r="T52" i="80"/>
  <c r="T49" i="80"/>
  <c r="T50" i="80"/>
  <c r="T47" i="80"/>
  <c r="T48" i="80"/>
  <c r="T45" i="80"/>
  <c r="T46" i="80"/>
  <c r="T43" i="80"/>
  <c r="T44" i="80"/>
  <c r="T41" i="80"/>
  <c r="T42" i="80"/>
  <c r="T39" i="80"/>
  <c r="T40" i="80"/>
  <c r="T37" i="80"/>
  <c r="T38" i="80"/>
  <c r="T34" i="80"/>
  <c r="T35" i="80"/>
  <c r="T32" i="80"/>
  <c r="T33" i="80"/>
  <c r="T30" i="80"/>
  <c r="T31" i="80"/>
  <c r="T58" i="80"/>
  <c r="T57" i="80"/>
  <c r="S26" i="80"/>
  <c r="S27" i="80"/>
  <c r="S28" i="80"/>
  <c r="S19" i="80"/>
  <c r="S20" i="80"/>
  <c r="S17" i="80"/>
  <c r="S18" i="80"/>
  <c r="S15" i="80"/>
  <c r="S16" i="80"/>
  <c r="S13" i="80"/>
  <c r="S14" i="80"/>
  <c r="S9" i="80"/>
  <c r="S10" i="80"/>
  <c r="S7" i="80"/>
  <c r="S8" i="80"/>
  <c r="S4" i="80"/>
  <c r="S5" i="80"/>
  <c r="S51" i="80"/>
  <c r="S52" i="80"/>
  <c r="S49" i="80"/>
  <c r="S50" i="80"/>
  <c r="S47" i="80"/>
  <c r="S48" i="80"/>
  <c r="S45" i="80"/>
  <c r="S46" i="80"/>
  <c r="S43" i="80"/>
  <c r="S44" i="80"/>
  <c r="S41" i="80"/>
  <c r="S42" i="80"/>
  <c r="S39" i="80"/>
  <c r="S40" i="80"/>
  <c r="S37" i="80"/>
  <c r="S38" i="80"/>
  <c r="S34" i="80"/>
  <c r="S35" i="80"/>
  <c r="S32" i="80"/>
  <c r="S33" i="80"/>
  <c r="S30" i="80"/>
  <c r="S31" i="80"/>
  <c r="S58" i="80"/>
  <c r="S57" i="80"/>
  <c r="F66" i="83" l="1"/>
  <c r="H58" i="83"/>
  <c r="G58" i="83"/>
  <c r="F58" i="83"/>
  <c r="H66" i="83"/>
  <c r="F12" i="83"/>
  <c r="F84" i="83"/>
  <c r="G84" i="83"/>
  <c r="F21" i="83"/>
  <c r="G47" i="83"/>
  <c r="G12" i="83"/>
  <c r="G66" i="83"/>
  <c r="H47" i="83"/>
  <c r="G21" i="83"/>
  <c r="H12" i="83"/>
  <c r="H21" i="83"/>
  <c r="H84" i="83"/>
  <c r="F47" i="83"/>
  <c r="E11" i="83"/>
  <c r="E12" i="83" s="1"/>
  <c r="E65" i="83"/>
  <c r="E46" i="83"/>
  <c r="E57" i="83"/>
  <c r="E30" i="83"/>
  <c r="E75" i="83"/>
  <c r="E54" i="83"/>
  <c r="E20" i="83"/>
  <c r="E90" i="83"/>
  <c r="E91" i="83" s="1"/>
  <c r="E39" i="83"/>
  <c r="E70" i="83"/>
  <c r="E83" i="83"/>
  <c r="E16" i="83"/>
  <c r="E80" i="83"/>
  <c r="E61" i="83"/>
  <c r="B57" i="80"/>
  <c r="E58" i="83" l="1"/>
  <c r="E66" i="83"/>
  <c r="E84" i="83"/>
  <c r="E47" i="83"/>
  <c r="E21" i="83"/>
  <c r="B74" i="80"/>
</calcChain>
</file>

<file path=xl/sharedStrings.xml><?xml version="1.0" encoding="utf-8"?>
<sst xmlns="http://schemas.openxmlformats.org/spreadsheetml/2006/main" count="10072" uniqueCount="4096">
  <si>
    <t>장</t>
    <phoneticPr fontId="3" type="noConversion"/>
  </si>
  <si>
    <t>절</t>
    <phoneticPr fontId="3" type="noConversion"/>
  </si>
  <si>
    <t>목차</t>
    <phoneticPr fontId="3" type="noConversion"/>
  </si>
  <si>
    <t>용어</t>
    <phoneticPr fontId="3" type="noConversion"/>
  </si>
  <si>
    <t>정의</t>
    <phoneticPr fontId="3" type="noConversion"/>
  </si>
  <si>
    <t>관련 정보</t>
    <phoneticPr fontId="3" type="noConversion"/>
  </si>
  <si>
    <t>유형</t>
    <phoneticPr fontId="3" type="noConversion"/>
  </si>
  <si>
    <t>요약</t>
  </si>
  <si>
    <t>계획</t>
    <phoneticPr fontId="3" type="noConversion"/>
  </si>
  <si>
    <t>실행</t>
    <phoneticPr fontId="3" type="noConversion"/>
  </si>
  <si>
    <t>기능</t>
    <phoneticPr fontId="3" type="noConversion"/>
  </si>
  <si>
    <t>사용여부</t>
    <phoneticPr fontId="3" type="noConversion"/>
  </si>
  <si>
    <t>행 하이라이트</t>
    <phoneticPr fontId="3" type="noConversion"/>
  </si>
  <si>
    <t>제1절 민사소송법의 의의와 성격</t>
  </si>
  <si>
    <t>제2절 민사소송법규의 종류</t>
  </si>
  <si>
    <t>제1절 민사재판권</t>
  </si>
  <si>
    <t>제2절 법관의 제척・기피・회피</t>
  </si>
  <si>
    <t>제3절 관할</t>
  </si>
  <si>
    <t>제1절 당사자의 확정</t>
  </si>
  <si>
    <t>제2절 당사자의 자격</t>
    <phoneticPr fontId="3" type="noConversion"/>
  </si>
  <si>
    <t>제3절 소송상의 대리인</t>
    <phoneticPr fontId="3" type="noConversion"/>
  </si>
  <si>
    <t>제1절 소송의 개시</t>
  </si>
  <si>
    <t>제2절 소송요건</t>
  </si>
  <si>
    <t>제3절 소의 이익</t>
    <phoneticPr fontId="3" type="noConversion"/>
  </si>
  <si>
    <t>제4절 소송물</t>
  </si>
  <si>
    <t>제5절 소의 제기</t>
  </si>
  <si>
    <t>제6절 재판장의 소장심사와 그 후의 조치</t>
  </si>
  <si>
    <t>제7절 소제기의 효과</t>
    <phoneticPr fontId="3" type="noConversion"/>
  </si>
  <si>
    <t>제8절 채권자대위소송에 대한 주요논점</t>
    <phoneticPr fontId="3" type="noConversion"/>
  </si>
  <si>
    <t>제1절 변론의 의의와 종류</t>
  </si>
  <si>
    <t>제2절 심리에 관한 제 원칙</t>
    <phoneticPr fontId="3" type="noConversion"/>
  </si>
  <si>
    <t>제3절 변론의 준비</t>
    <phoneticPr fontId="3" type="noConversion"/>
  </si>
  <si>
    <t>제4절 변론</t>
  </si>
  <si>
    <t>제5절 변론의 실시</t>
  </si>
  <si>
    <t>제7절 기일・기간 및 송달</t>
  </si>
  <si>
    <t>제8절 소송절차의 정지</t>
  </si>
  <si>
    <t>제1절 총설</t>
  </si>
  <si>
    <t>제2절 증명의 대상</t>
  </si>
  <si>
    <t>제3절 불요증사실</t>
    <phoneticPr fontId="3" type="noConversion"/>
  </si>
  <si>
    <t>제4절 증거조사의 개시와 실시</t>
    <phoneticPr fontId="3" type="noConversion"/>
  </si>
  <si>
    <t>제5절 자유심증주의</t>
    <phoneticPr fontId="3" type="noConversion"/>
  </si>
  <si>
    <t>제6절 증명책임</t>
  </si>
  <si>
    <t>제1절 소송종료사유</t>
  </si>
  <si>
    <t>제2절 소송종료선언</t>
  </si>
  <si>
    <t>제1절 소의 취하와 재소금지</t>
    <phoneticPr fontId="3" type="noConversion"/>
  </si>
  <si>
    <t>제2절 청구의 포기・인낙</t>
  </si>
  <si>
    <t>제3절 재판상 화해</t>
    <phoneticPr fontId="3" type="noConversion"/>
  </si>
  <si>
    <t>제2절 판결</t>
  </si>
  <si>
    <t>제1절 청구의 원시적 병합</t>
  </si>
  <si>
    <t>제2절 청구의 후발적 병합</t>
    <phoneticPr fontId="3" type="noConversion"/>
  </si>
  <si>
    <t>제1절 공동소송</t>
    <phoneticPr fontId="3" type="noConversion"/>
  </si>
  <si>
    <t>제2절 제3자의 소송참가</t>
    <phoneticPr fontId="3" type="noConversion"/>
  </si>
  <si>
    <t>제3절 당사자의 변경</t>
  </si>
  <si>
    <t>제1절 상소의 의의</t>
  </si>
  <si>
    <t>제2절 상소의 적법요건</t>
  </si>
  <si>
    <t>제3절 상소의 효력</t>
    <phoneticPr fontId="3" type="noConversion"/>
  </si>
  <si>
    <t>제1절 개관</t>
  </si>
  <si>
    <t>제2절 항소의 제기</t>
  </si>
  <si>
    <t>제3절 항소심의 심리</t>
  </si>
  <si>
    <t>제4절 항소심의 종국재판</t>
  </si>
  <si>
    <t>제1절 상고의 의의</t>
  </si>
  <si>
    <t>제2절 상고이유</t>
  </si>
  <si>
    <t>제4절 상고심의 종국재판</t>
  </si>
  <si>
    <t>제1절 항고의 의의</t>
  </si>
  <si>
    <t>제2절 항고의 절차</t>
  </si>
  <si>
    <t>제1절 재심의 개념</t>
  </si>
  <si>
    <t>제2절 재심의 소송물</t>
  </si>
  <si>
    <t>제3절 적법요건</t>
  </si>
  <si>
    <t>제4절 재심절차</t>
  </si>
  <si>
    <t>제5절 준재심</t>
  </si>
  <si>
    <t>총설-민사소송</t>
    <phoneticPr fontId="3" type="noConversion"/>
  </si>
  <si>
    <t>총설-민사소송법</t>
    <phoneticPr fontId="3" type="noConversion"/>
  </si>
  <si>
    <t>소송의 주체-법원</t>
    <phoneticPr fontId="3" type="noConversion"/>
  </si>
  <si>
    <t>소송의 주체-당사자</t>
    <phoneticPr fontId="3" type="noConversion"/>
  </si>
  <si>
    <t>소송의 종료-총설</t>
    <phoneticPr fontId="3" type="noConversion"/>
  </si>
  <si>
    <t>소송의 종료-종국판결에 의한 종료</t>
    <phoneticPr fontId="3" type="noConversion"/>
  </si>
  <si>
    <t>병합소송-병합청구소송</t>
    <phoneticPr fontId="3" type="noConversion"/>
  </si>
  <si>
    <t>병합소송-다수당사자소송</t>
    <phoneticPr fontId="3" type="noConversion"/>
  </si>
  <si>
    <t>상소심절차-총설</t>
  </si>
  <si>
    <t>상소심절차-총설</t>
    <phoneticPr fontId="3" type="noConversion"/>
  </si>
  <si>
    <t>상소심절차-항소</t>
  </si>
  <si>
    <t>상소심절차-항소</t>
    <phoneticPr fontId="3" type="noConversion"/>
  </si>
  <si>
    <t>상소심절차-상고</t>
  </si>
  <si>
    <t>상소심절차-상고</t>
    <phoneticPr fontId="3" type="noConversion"/>
  </si>
  <si>
    <t>상소심절차-항고</t>
  </si>
  <si>
    <t>상소심절차-항고</t>
    <phoneticPr fontId="3" type="noConversion"/>
  </si>
  <si>
    <t>재심절차</t>
  </si>
  <si>
    <t>재심절차</t>
    <phoneticPr fontId="3" type="noConversion"/>
  </si>
  <si>
    <t>민사소송의 이상과 신의성실의 원칙</t>
  </si>
  <si>
    <t>민사소송법의 의의와 성격</t>
  </si>
  <si>
    <t>민사소송법규의 종류</t>
  </si>
  <si>
    <t>민사재판권</t>
  </si>
  <si>
    <t>법관의 제척・기피・회피</t>
  </si>
  <si>
    <t>관할</t>
  </si>
  <si>
    <t>당사자의 자격</t>
  </si>
  <si>
    <t>소송상의 대리인</t>
  </si>
  <si>
    <t>소송의 개시</t>
  </si>
  <si>
    <t>소송요건</t>
  </si>
  <si>
    <t>소의 이익</t>
  </si>
  <si>
    <t>소송물</t>
  </si>
  <si>
    <t>소의 제기</t>
  </si>
  <si>
    <t>재판장의 소장심사와 그 후의 조치</t>
  </si>
  <si>
    <t>소제기의 효과</t>
  </si>
  <si>
    <t>채권자대위소송에 대한 주요논점</t>
  </si>
  <si>
    <t>변론의 의의와 종류</t>
  </si>
  <si>
    <t>심리에 관한 제 원칙</t>
  </si>
  <si>
    <t>변론의 준비</t>
  </si>
  <si>
    <t>변론</t>
  </si>
  <si>
    <t>변론의 실시</t>
  </si>
  <si>
    <t>기일・기간 및 송달</t>
  </si>
  <si>
    <t>소송절차의 정지</t>
  </si>
  <si>
    <t>증명의 대상</t>
  </si>
  <si>
    <t>불요증사실</t>
  </si>
  <si>
    <t>증거조사의 개시와 실시</t>
  </si>
  <si>
    <t>자유심증주의</t>
  </si>
  <si>
    <t>증명책임</t>
  </si>
  <si>
    <t>소송종료사유</t>
  </si>
  <si>
    <t>소송종료선언</t>
  </si>
  <si>
    <t>소의 취하와 재소금지</t>
  </si>
  <si>
    <t>재판상 화해</t>
  </si>
  <si>
    <t>판결</t>
  </si>
  <si>
    <t>청구의 원시적 병합</t>
  </si>
  <si>
    <t>청구의 후발적 병합</t>
  </si>
  <si>
    <t>공동소송</t>
  </si>
  <si>
    <t>제3자의 소송참가</t>
  </si>
  <si>
    <t>당사자의 변경</t>
  </si>
  <si>
    <t>상소의 의의</t>
  </si>
  <si>
    <t>상소의 적법요건</t>
  </si>
  <si>
    <t>상소의 효력</t>
  </si>
  <si>
    <t>항소의 제기</t>
  </si>
  <si>
    <t>항소심의 심리</t>
  </si>
  <si>
    <t>항소심의 종국재판</t>
  </si>
  <si>
    <t>상고의 의의</t>
  </si>
  <si>
    <t>상고이유</t>
  </si>
  <si>
    <t>항고의 의의</t>
  </si>
  <si>
    <t>항고의 절차</t>
  </si>
  <si>
    <t>재심의 개념</t>
  </si>
  <si>
    <t>재심의 소송물</t>
  </si>
  <si>
    <t>적법요건</t>
  </si>
  <si>
    <t>준재심</t>
  </si>
  <si>
    <t>제6절 변론기일에서의 당사자의 결석</t>
    <phoneticPr fontId="3" type="noConversion"/>
  </si>
  <si>
    <t>변론기일에서의 당사자의 결석</t>
    <phoneticPr fontId="3" type="noConversion"/>
  </si>
  <si>
    <t>상고심절차의 개시와 심리</t>
    <phoneticPr fontId="3" type="noConversion"/>
  </si>
  <si>
    <t>상고심의 종국재판</t>
    <phoneticPr fontId="3" type="noConversion"/>
  </si>
  <si>
    <t>소송의 종료-당사자 행위에 의한 종료</t>
  </si>
  <si>
    <t>해고 후 임금 등을 수령하고 3년이 경과하여 제기한 소송의 실효 여부</t>
    <phoneticPr fontId="3" type="noConversion"/>
  </si>
  <si>
    <t>당사자표시정정 후의 관할권 인정 여부와 변론관할의 성립</t>
  </si>
  <si>
    <t>2020-1-1</t>
    <phoneticPr fontId="3" type="noConversion"/>
  </si>
  <si>
    <t>2015-2</t>
    <phoneticPr fontId="3" type="noConversion"/>
  </si>
  <si>
    <t>소제기 전 사망자를 피고로 한 경우 당사자표시정정의 적법성 여부</t>
    <phoneticPr fontId="3" type="noConversion"/>
  </si>
  <si>
    <t>소송계속 중 당사자 사망을 간과한 판결의 효력과 상속인에 대한 승계 여부</t>
  </si>
  <si>
    <t>2017-1-1</t>
    <phoneticPr fontId="3" type="noConversion"/>
  </si>
  <si>
    <t>2016-1-1</t>
    <phoneticPr fontId="3" type="noConversion"/>
  </si>
  <si>
    <t>2017-1-2</t>
    <phoneticPr fontId="3" type="noConversion"/>
  </si>
  <si>
    <t>2014-1-2</t>
    <phoneticPr fontId="3" type="noConversion"/>
  </si>
  <si>
    <t>2010-2-1</t>
    <phoneticPr fontId="3" type="noConversion"/>
  </si>
  <si>
    <t>배우자 및 공인노무사의 소송대리권 인정 여부</t>
  </si>
  <si>
    <t>2018-1-2</t>
    <phoneticPr fontId="3" type="noConversion"/>
  </si>
  <si>
    <t>2013-1-1</t>
    <phoneticPr fontId="3" type="noConversion"/>
  </si>
  <si>
    <t>2025-2</t>
    <phoneticPr fontId="3" type="noConversion"/>
  </si>
  <si>
    <t>2018-1-1</t>
    <phoneticPr fontId="3" type="noConversion"/>
  </si>
  <si>
    <t>2014-3</t>
    <phoneticPr fontId="3" type="noConversion"/>
  </si>
  <si>
    <t>채권자대위소송의 판결이 확정된 경우 그 기판력이 채무자에게 미치는지 여부</t>
    <phoneticPr fontId="3" type="noConversion"/>
  </si>
  <si>
    <t>교통사고 손해배상청구에서 개별 항목별 청구액을 초과하여 인정한 판결의 적법성 여부</t>
  </si>
  <si>
    <t>2020-2</t>
    <phoneticPr fontId="3" type="noConversion"/>
  </si>
  <si>
    <t>2011-1</t>
    <phoneticPr fontId="3" type="noConversion"/>
  </si>
  <si>
    <t>준비서면을 제출하지 않았을 때의 효과</t>
    <phoneticPr fontId="3" type="noConversion"/>
  </si>
  <si>
    <t>공시송달의 의의, 요건, 절차 및 효력</t>
  </si>
  <si>
    <t>2024-3</t>
    <phoneticPr fontId="3" type="noConversion"/>
  </si>
  <si>
    <t>2015-1-2</t>
    <phoneticPr fontId="3" type="noConversion"/>
  </si>
  <si>
    <t>2021-1-1</t>
    <phoneticPr fontId="3" type="noConversion"/>
  </si>
  <si>
    <t>재판상 자백의 성립과 취소 및 공동소송인 독립의 원칙에 따른 판결의 가부</t>
  </si>
  <si>
    <t>재판상 자백의 성립요건과 그에 따른 주관적・객관적 구속력 및 철회</t>
  </si>
  <si>
    <t>요약</t>
    <phoneticPr fontId="3" type="noConversion"/>
  </si>
  <si>
    <t>2011-2-2</t>
    <phoneticPr fontId="3" type="noConversion"/>
  </si>
  <si>
    <t>2018-3</t>
    <phoneticPr fontId="3" type="noConversion"/>
  </si>
  <si>
    <t>대여금청구소송에서 금전대여사실의 존부 판단에 적용되는 자유심증주의의 원칙</t>
    <phoneticPr fontId="3" type="noConversion"/>
  </si>
  <si>
    <t>2025-3</t>
    <phoneticPr fontId="3" type="noConversion"/>
  </si>
  <si>
    <t>2015-3</t>
    <phoneticPr fontId="3" type="noConversion"/>
  </si>
  <si>
    <t>확정판결의 기판력과 표준시 이후의 상계권 행사 가능성</t>
  </si>
  <si>
    <t>2023-1-2</t>
    <phoneticPr fontId="3" type="noConversion"/>
  </si>
  <si>
    <t>2019-1-2</t>
    <phoneticPr fontId="3" type="noConversion"/>
  </si>
  <si>
    <t>2017-3</t>
    <phoneticPr fontId="3" type="noConversion"/>
  </si>
  <si>
    <t>예비적 병합에서 일부 판결의 적법성 및 누락된 청구에 대한 불복방법</t>
  </si>
  <si>
    <t>2025-1-2</t>
    <phoneticPr fontId="3" type="noConversion"/>
  </si>
  <si>
    <t>2016-3</t>
    <phoneticPr fontId="3" type="noConversion"/>
  </si>
  <si>
    <t>2021-3</t>
    <phoneticPr fontId="3" type="noConversion"/>
  </si>
  <si>
    <t>공동선정당사자 중 1인의 진술이 가지는 소송상 효력</t>
  </si>
  <si>
    <t>공동소송인 독립의 원칙과 증거공통의 원칙에 따른 청구기각 판결의 적법성</t>
  </si>
  <si>
    <t>유사필수적 공동소송의 의의, 성립요건 및 소송수행상의 특징</t>
  </si>
  <si>
    <t>피고를 특정하여 소를 제기한 후 예비적으로 피고를 추가한 소송형태의 적법 여부와 법원의 조치</t>
  </si>
  <si>
    <t>공동피고 중 1인의 선정당사자 선정 가능성 및 그 판결의 효력이 선정자에게 미치는지 여부</t>
  </si>
  <si>
    <t>통상공동소송에서의 공동소송인 독립의 원칙과 그 한계 및 예외</t>
  </si>
  <si>
    <t>2024-1-1</t>
    <phoneticPr fontId="3" type="noConversion"/>
  </si>
  <si>
    <t>2021-1-2</t>
    <phoneticPr fontId="3" type="noConversion"/>
  </si>
  <si>
    <t>2020-3</t>
    <phoneticPr fontId="3" type="noConversion"/>
  </si>
  <si>
    <t>2015-1-1</t>
    <phoneticPr fontId="3" type="noConversion"/>
  </si>
  <si>
    <t>2013-1-2</t>
    <phoneticPr fontId="3" type="noConversion"/>
  </si>
  <si>
    <t>2010-2-2</t>
    <phoneticPr fontId="3" type="noConversion"/>
  </si>
  <si>
    <t>공동소송참가의 의의, 성립요건 및 소송수행상의 효력</t>
  </si>
  <si>
    <t>보조참가인에 대한 재판의 효력의 의의 및 성질과 범위</t>
  </si>
  <si>
    <t>2019-3</t>
    <phoneticPr fontId="3" type="noConversion"/>
  </si>
  <si>
    <t>2011-2-1</t>
    <phoneticPr fontId="3" type="noConversion"/>
  </si>
  <si>
    <t>원고만이 항소한 경우 항소심 법원이 상계항변을 받아들여 청구 전부를 기각한 판결의 적법성</t>
    <phoneticPr fontId="3" type="noConversion"/>
  </si>
  <si>
    <t>2014-1-1</t>
    <phoneticPr fontId="3" type="noConversion"/>
  </si>
  <si>
    <t>기피원인인 재판의 공정성을 기대하기 어려운 사정의 객관적 기준과 기피신청 시 소송절차의 정지 여부</t>
    <phoneticPr fontId="3" type="noConversion"/>
  </si>
  <si>
    <t>제척사유가 있는 법관이 스스로 직무집행을 피하는 회피의 절차와 효과</t>
    <phoneticPr fontId="3" type="noConversion"/>
  </si>
  <si>
    <t>구실체법설에 따른 전후소 소송물의 동일성 여부 및 후소의 적법성 판단</t>
    <phoneticPr fontId="3" type="noConversion"/>
  </si>
  <si>
    <t>불법행위책임과 자배법상 책임의 소송물 관계 및 법원의 법적 근거 선택 권한</t>
    <phoneticPr fontId="3" type="noConversion"/>
  </si>
  <si>
    <t>채무부존재확인의 소의 중복소제기 금지 위반 여부 및 판결의 형식</t>
    <phoneticPr fontId="3" type="noConversion"/>
  </si>
  <si>
    <t>일부청구임을 명시하지 않은 별소 제기의 중복소제기 해당 여부 및 효과</t>
    <phoneticPr fontId="3" type="noConversion"/>
  </si>
  <si>
    <t>보정기한 도과 후 각하명령 송달 전 흠결 보정 시 소장각하명령의 효력</t>
    <phoneticPr fontId="3" type="noConversion"/>
  </si>
  <si>
    <t>소장 부본 송달불능 시 재판장의 조치인 소장각하명령과 소각하판결의 차이점</t>
    <phoneticPr fontId="3" type="noConversion"/>
  </si>
  <si>
    <t>소송대리인이 있는 경우의 소송절차 중단 예외와 판결의 효력 및 수계절차</t>
    <phoneticPr fontId="3" type="noConversion"/>
  </si>
  <si>
    <t>원고의 파산선고에 따른 소송절차 중단과 수계 및 판결의 효력</t>
    <phoneticPr fontId="3" type="noConversion"/>
  </si>
  <si>
    <t>재판상 자백의 성립 요건과 자백 취소의 허용 여부 및 요건</t>
    <phoneticPr fontId="3" type="noConversion"/>
  </si>
  <si>
    <t>현저한 사실의 의의와 범위 및 이를 근거로 한 판결의 절차적 요건</t>
    <phoneticPr fontId="3" type="noConversion"/>
  </si>
  <si>
    <t>청구의 포기・인낙</t>
    <phoneticPr fontId="3" type="noConversion"/>
  </si>
  <si>
    <t>강박에 의한 청구인낙에 대한 불복 방법 및 그 요건</t>
    <phoneticPr fontId="3" type="noConversion"/>
  </si>
  <si>
    <t>서면에 의한 청구인낙의 성립 요건 및 기판력의 범위와 효력 부인</t>
    <phoneticPr fontId="3" type="noConversion"/>
  </si>
  <si>
    <t>항소기간 도과와 소송행위의 추후보완 요건 및 절차</t>
    <phoneticPr fontId="3" type="noConversion"/>
  </si>
  <si>
    <t>상소권 포기의 효력 및 형식적 불복설에 따른 상소의 이익 인정 여부</t>
    <phoneticPr fontId="3" type="noConversion"/>
  </si>
  <si>
    <t>항소심의 속심제 구조와 소멸시효 항변의 적시제출의무 위반 여부</t>
    <phoneticPr fontId="3" type="noConversion"/>
  </si>
  <si>
    <t>항소심 변론의 범위와 상계항변의 적시제출주의 위반 여부 및 판례의 태도</t>
    <phoneticPr fontId="3" type="noConversion"/>
  </si>
  <si>
    <t>제1심의 소각하판결이 부당한 경우 항소심 법원의 환송 및 자판 여부</t>
    <phoneticPr fontId="3" type="noConversion"/>
  </si>
  <si>
    <t>상고이유서 제출기한 도과 후 제출된 절대적 상고이유의 심리 가능성 여부</t>
    <phoneticPr fontId="3" type="noConversion"/>
  </si>
  <si>
    <t>상고이유서 제출기한 도과에 따른 대법원의 조치와 직권조사사항 포함 시 재판 결과의 변화</t>
    <phoneticPr fontId="3" type="noConversion"/>
  </si>
  <si>
    <t>심리불속행 제도의 취지 및 범위와 상고심에서 새로운 사실 및 증거 제출의 허용 여부</t>
    <phoneticPr fontId="3" type="noConversion"/>
  </si>
  <si>
    <t>파기환송 판결의 기속력 및 범위와 사실관계 변동 시 기속력의 한계</t>
    <phoneticPr fontId="3" type="noConversion"/>
  </si>
  <si>
    <t>파기자판의 요건 및 상고기각 판결 확정 후의 불복 방법</t>
    <phoneticPr fontId="3" type="noConversion"/>
  </si>
  <si>
    <t>소장각하명령에 대한 항고절차 및 항고법원의 조치</t>
    <phoneticPr fontId="3" type="noConversion"/>
  </si>
  <si>
    <t>즉시항고의 항고이유서 제출 기한의 성질과 효과 및 각하 가능성</t>
    <phoneticPr fontId="3" type="noConversion"/>
  </si>
  <si>
    <t>재심의 소송물 이론에 따른 재심사유의 관계 및 본안 심리 절차의 구조</t>
    <phoneticPr fontId="3" type="noConversion"/>
  </si>
  <si>
    <t>재심제기기간의 기산점 판단 및 재심판결에 대한 재심의 소송물 확정</t>
    <phoneticPr fontId="3" type="noConversion"/>
  </si>
  <si>
    <t>재심사유의 보충성 원칙 위배 여부 및 재심대상의 확정 원칙</t>
    <phoneticPr fontId="3" type="noConversion"/>
  </si>
  <si>
    <t>재심제기기간의 적법성 판단 및 준재심의 요건과 절차</t>
    <phoneticPr fontId="3" type="noConversion"/>
  </si>
  <si>
    <t>재심절차의 본안심리에서 새로운 공격방어방법 제출 가능성 및 심판 범위</t>
    <phoneticPr fontId="3" type="noConversion"/>
  </si>
  <si>
    <t>재심대상판결의 취소에 따른 강제집행 결과의 원상회복청구 방법 및 요건</t>
    <phoneticPr fontId="3" type="noConversion"/>
  </si>
  <si>
    <t>확정된 화해권고결정에 대한 준재심의 소의 요건과 재심 규정의 준용 범위</t>
    <phoneticPr fontId="3" type="noConversion"/>
  </si>
  <si>
    <t>재판</t>
    <phoneticPr fontId="3" type="noConversion"/>
  </si>
  <si>
    <t>세부 사항</t>
    <phoneticPr fontId="3" type="noConversion"/>
  </si>
  <si>
    <t>글자수</t>
    <phoneticPr fontId="3" type="noConversion"/>
  </si>
  <si>
    <t>민사소송법의 법적 성격</t>
    <phoneticPr fontId="3" type="noConversion"/>
  </si>
  <si>
    <t>제1장 총설-민사소송</t>
  </si>
  <si>
    <t>제1절 민사소송의 의의와 목적</t>
  </si>
  <si>
    <t>Ⅰ. 민사소송의 의의</t>
    <phoneticPr fontId="3" type="noConversion"/>
  </si>
  <si>
    <t>Ⅱ. 민사소송의 목적</t>
    <phoneticPr fontId="3" type="noConversion"/>
  </si>
  <si>
    <t>제2절 민사소송의 이상과 신의성실의 원칙</t>
  </si>
  <si>
    <t>Ⅰ. 의의</t>
    <phoneticPr fontId="3" type="noConversion"/>
  </si>
  <si>
    <t>Ⅱ. 적용범위</t>
    <phoneticPr fontId="3" type="noConversion"/>
  </si>
  <si>
    <t>1. 적용여부</t>
  </si>
  <si>
    <t>2. 적용범위</t>
  </si>
  <si>
    <t>Ⅲ. 적용모습</t>
    <phoneticPr fontId="3" type="noConversion"/>
  </si>
  <si>
    <t>1. 소송상태의 부당형성의 금지</t>
  </si>
  <si>
    <t>2. 선행행위와 모순되는 거동의 금지</t>
  </si>
  <si>
    <t>3. 소권의 실요</t>
  </si>
  <si>
    <t>4. 소권의 남용금지</t>
  </si>
  <si>
    <t>Ⅳ. 위반의 조사 및 효과</t>
    <phoneticPr fontId="3" type="noConversion"/>
  </si>
  <si>
    <t>1. 직권조사사항</t>
  </si>
  <si>
    <t>2. 신의칙을 위반한 경우의 처리</t>
  </si>
  <si>
    <t>3. 간과판결과 그 구제</t>
  </si>
  <si>
    <t>제2장 총설-민사소송법</t>
  </si>
  <si>
    <t>Ⅰ. 훈시규정과 효력규정</t>
    <phoneticPr fontId="3" type="noConversion"/>
  </si>
  <si>
    <t>Ⅱ. 강행규정과 임의규정</t>
    <phoneticPr fontId="3" type="noConversion"/>
  </si>
  <si>
    <t>1. 강행규정</t>
  </si>
  <si>
    <t>2. 임의규정</t>
  </si>
  <si>
    <t>제3장 소송의 주체-법원</t>
  </si>
  <si>
    <t>Ⅰ. 민사재판권의 대인적 범위</t>
    <phoneticPr fontId="3" type="noConversion"/>
  </si>
  <si>
    <t>1. 의의</t>
  </si>
  <si>
    <t>2. 외국 주권국가에 대한 재판권의 존부</t>
  </si>
  <si>
    <t>3. 관련 판례 - 외국국가가 국내부동산을 점유하는 경우 국내재판권이 미치는지 여부</t>
  </si>
  <si>
    <t>Ⅱ. 민사재판권의 대물적 범위(국제재판관할권)</t>
    <phoneticPr fontId="3" type="noConversion"/>
  </si>
  <si>
    <t>2. 결정기준</t>
  </si>
  <si>
    <t>3. 개정국제사법에 의한 국제재판관할권의 유무</t>
  </si>
  <si>
    <t>4. 국제재판관할권 흠결의 효과</t>
  </si>
  <si>
    <t>Ⅲ. 민사재판권의 장소적 범위</t>
    <phoneticPr fontId="3" type="noConversion"/>
  </si>
  <si>
    <t>Ⅳ. 재판권 흠결의 효과</t>
    <phoneticPr fontId="3" type="noConversion"/>
  </si>
  <si>
    <t>Ⅰ. 법관의 제척</t>
    <phoneticPr fontId="3" type="noConversion"/>
  </si>
  <si>
    <t>2. 제척이유[민소법 제41조]</t>
  </si>
  <si>
    <t>3. 제척효과</t>
  </si>
  <si>
    <t>4. 관련판례</t>
  </si>
  <si>
    <t>Ⅱ. 법관의 기피</t>
    <phoneticPr fontId="3" type="noConversion"/>
  </si>
  <si>
    <t>2. 기피이유</t>
  </si>
  <si>
    <t>3. 기피절차</t>
  </si>
  <si>
    <t>4. 기피신청의 효과</t>
  </si>
  <si>
    <t>5. 기피결정의 효과</t>
  </si>
  <si>
    <t>Ⅲ. 법관의 회피</t>
    <phoneticPr fontId="3" type="noConversion"/>
  </si>
  <si>
    <t>Ⅰ. 관할의 개관</t>
    <phoneticPr fontId="3" type="noConversion"/>
  </si>
  <si>
    <t>1. 관할의 의의</t>
    <phoneticPr fontId="3" type="noConversion"/>
  </si>
  <si>
    <t>2. 관할의 종류</t>
    <phoneticPr fontId="3" type="noConversion"/>
  </si>
  <si>
    <t>Ⅱ. 직분관할</t>
    <phoneticPr fontId="3" type="noConversion"/>
  </si>
  <si>
    <t>Ⅲ. 사물관할</t>
    <phoneticPr fontId="3" type="noConversion"/>
  </si>
  <si>
    <t>1. 의의</t>
    <phoneticPr fontId="3" type="noConversion"/>
  </si>
  <si>
    <t>2. 합의부 관할</t>
    <phoneticPr fontId="3" type="noConversion"/>
  </si>
  <si>
    <t>(1) 재정합의 관할</t>
    <phoneticPr fontId="3" type="noConversion"/>
  </si>
  <si>
    <t>(2) 소송목적의 값이 5억원을 초과하는 민사사건</t>
    <phoneticPr fontId="3" type="noConversion"/>
  </si>
  <si>
    <t>(3) 재산권에 관한 소로서 그 소송목적의 값을 계산할 수 없는 것과 비재산권을 목적으로 하는 소송</t>
    <phoneticPr fontId="3" type="noConversion"/>
  </si>
  <si>
    <t>(4) 관련 청구</t>
    <phoneticPr fontId="3" type="noConversion"/>
  </si>
  <si>
    <t>(5) 제척・기피사건</t>
    <phoneticPr fontId="3" type="noConversion"/>
  </si>
  <si>
    <t>3. 단독판사 관할</t>
    <phoneticPr fontId="3" type="noConversion"/>
  </si>
  <si>
    <t>(1) 재정단독사건</t>
    <phoneticPr fontId="3" type="noConversion"/>
  </si>
  <si>
    <t>(2) 소송목적의 값이 5억원 이하의 민사사건</t>
    <phoneticPr fontId="3" type="noConversion"/>
  </si>
  <si>
    <t>(3) 사안이 단순한 사건</t>
    <phoneticPr fontId="3" type="noConversion"/>
  </si>
  <si>
    <t>4. 소가</t>
    <phoneticPr fontId="3" type="noConversion"/>
  </si>
  <si>
    <t>(1) 소가의 의의</t>
    <phoneticPr fontId="3" type="noConversion"/>
  </si>
  <si>
    <t>(2) 소가의 산정방법</t>
    <phoneticPr fontId="3" type="noConversion"/>
  </si>
  <si>
    <t>(3) 병합청구의 소가</t>
    <phoneticPr fontId="3" type="noConversion"/>
  </si>
  <si>
    <t>Ⅳ. 토지관할</t>
    <phoneticPr fontId="3" type="noConversion"/>
  </si>
  <si>
    <t>2. 재판적의 종류와 경합</t>
    <phoneticPr fontId="3" type="noConversion"/>
  </si>
  <si>
    <t>(1) 재판적의 종류</t>
    <phoneticPr fontId="3" type="noConversion"/>
  </si>
  <si>
    <t>(2) 재판적의 경합</t>
    <phoneticPr fontId="3" type="noConversion"/>
  </si>
  <si>
    <t>(3) 관련재판적</t>
    <phoneticPr fontId="3" type="noConversion"/>
  </si>
  <si>
    <t>Ⅴ. 재정관할</t>
    <phoneticPr fontId="3" type="noConversion"/>
  </si>
  <si>
    <t>Ⅵ. 합의관할</t>
    <phoneticPr fontId="3" type="noConversion"/>
  </si>
  <si>
    <t>1. 관할합의의 의의[민소법 제29조]</t>
    <phoneticPr fontId="3" type="noConversion"/>
  </si>
  <si>
    <t>2. 관할합의의 법적 성질</t>
    <phoneticPr fontId="3" type="noConversion"/>
  </si>
  <si>
    <t>3. 관할합의의 요건</t>
    <phoneticPr fontId="3" type="noConversion"/>
  </si>
  <si>
    <t>(1) 제1심법원의 임의관할[민소법 제29조 제1항]</t>
    <phoneticPr fontId="3" type="noConversion"/>
  </si>
  <si>
    <t>(2) 일정한 법률관계로 특정되었을 것[민소법 제29조 제2항]</t>
    <phoneticPr fontId="3" type="noConversion"/>
  </si>
  <si>
    <t>(3) 관할법원이 특정되었을 것</t>
    <phoneticPr fontId="3" type="noConversion"/>
  </si>
  <si>
    <t>(4) 합의 방식과 시기</t>
    <phoneticPr fontId="3" type="noConversion"/>
  </si>
  <si>
    <t>(5) 특별법상 요건을 갖출 것</t>
    <phoneticPr fontId="3" type="noConversion"/>
  </si>
  <si>
    <t>4. 관할합의의 종류</t>
    <phoneticPr fontId="3" type="noConversion"/>
  </si>
  <si>
    <t>(1) 문제점</t>
    <phoneticPr fontId="3" type="noConversion"/>
  </si>
  <si>
    <t>(2) 학설</t>
    <phoneticPr fontId="3" type="noConversion"/>
  </si>
  <si>
    <t>(3) 판례</t>
    <phoneticPr fontId="3" type="noConversion"/>
  </si>
  <si>
    <t>(4) 검토</t>
    <phoneticPr fontId="3" type="noConversion"/>
  </si>
  <si>
    <t>5. 관할합의의 효력</t>
    <phoneticPr fontId="3" type="noConversion"/>
  </si>
  <si>
    <t>(1) 관할의 변동</t>
    <phoneticPr fontId="3" type="noConversion"/>
  </si>
  <si>
    <t>(2) 효력의 주관적 범위</t>
    <phoneticPr fontId="3" type="noConversion"/>
  </si>
  <si>
    <t>Ⅶ. 변론관할</t>
    <phoneticPr fontId="3" type="noConversion"/>
  </si>
  <si>
    <t>1. 변론관할의 의의[민소법 제30조]</t>
    <phoneticPr fontId="3" type="noConversion"/>
  </si>
  <si>
    <t>2. 변론관할의 요건</t>
    <phoneticPr fontId="3" type="noConversion"/>
  </si>
  <si>
    <t>(1) 임의관할 없는 제1심법원에 소기 제기되었을 것</t>
    <phoneticPr fontId="3" type="noConversion"/>
  </si>
  <si>
    <t>(2) 피고의 관할위반의 항변이 없을 것</t>
    <phoneticPr fontId="3" type="noConversion"/>
  </si>
  <si>
    <t>(3) 피고가 이의 없이 본안변론을 구술하였을 것</t>
    <phoneticPr fontId="3" type="noConversion"/>
  </si>
  <si>
    <t>3. 변론관할의 효과</t>
    <phoneticPr fontId="3" type="noConversion"/>
  </si>
  <si>
    <t>Ⅷ. 소송의 이송</t>
    <phoneticPr fontId="3" type="noConversion"/>
  </si>
  <si>
    <t>1. 서설</t>
    <phoneticPr fontId="3" type="noConversion"/>
  </si>
  <si>
    <t>(1) 의의</t>
    <phoneticPr fontId="3" type="noConversion"/>
  </si>
  <si>
    <t>(2) 구별개념</t>
    <phoneticPr fontId="3" type="noConversion"/>
  </si>
  <si>
    <t>2. 이송의 원인</t>
    <phoneticPr fontId="3" type="noConversion"/>
  </si>
  <si>
    <t>(1) 관할위반에 의한 이송[민소법 제34조]</t>
    <phoneticPr fontId="3" type="noConversion"/>
  </si>
  <si>
    <t>(2) 심판평의에 의한 이송[민소법 제35조]</t>
    <phoneticPr fontId="3" type="noConversion"/>
  </si>
  <si>
    <t>(3) 반소제기에 의한 이송</t>
    <phoneticPr fontId="3" type="noConversion"/>
  </si>
  <si>
    <t>3. 이송의 절차</t>
    <phoneticPr fontId="3" type="noConversion"/>
  </si>
  <si>
    <t>4. 이송의 효과[민소법 제38조]</t>
    <phoneticPr fontId="3" type="noConversion"/>
  </si>
  <si>
    <t>(1) 이송결정의 구속력</t>
    <phoneticPr fontId="3" type="noConversion"/>
  </si>
  <si>
    <t>(2) 소송계속의 이전</t>
    <phoneticPr fontId="3" type="noConversion"/>
  </si>
  <si>
    <t>(3) 소송기록의 송부</t>
    <phoneticPr fontId="3" type="noConversion"/>
  </si>
  <si>
    <t>제4장 소송의 주체-당사자</t>
    <phoneticPr fontId="3" type="noConversion"/>
  </si>
  <si>
    <t>Ⅰ. 당사자특정의 의의</t>
    <phoneticPr fontId="3" type="noConversion"/>
  </si>
  <si>
    <t>Ⅱ. 당사자확정의 의의</t>
    <phoneticPr fontId="3" type="noConversion"/>
  </si>
  <si>
    <t>Ⅲ. 당사자확정의 기준</t>
    <phoneticPr fontId="3" type="noConversion"/>
  </si>
  <si>
    <t>1. 학설</t>
    <phoneticPr fontId="3" type="noConversion"/>
  </si>
  <si>
    <t>2. 판례</t>
    <phoneticPr fontId="3" type="noConversion"/>
  </si>
  <si>
    <t>3. 검토</t>
    <phoneticPr fontId="3" type="noConversion"/>
  </si>
  <si>
    <t>Ⅳ. 당사자확정 후 당사자적격 판단과 흠결 시 보정방법</t>
    <phoneticPr fontId="3" type="noConversion"/>
  </si>
  <si>
    <t>1. 당사자자격 판단 및 보정</t>
    <phoneticPr fontId="3" type="noConversion"/>
  </si>
  <si>
    <t>2. 보정조치</t>
    <phoneticPr fontId="3" type="noConversion"/>
  </si>
  <si>
    <t>3. 보정방법</t>
    <phoneticPr fontId="3" type="noConversion"/>
  </si>
  <si>
    <t>Ⅴ. 당사자표시정정</t>
    <phoneticPr fontId="3" type="noConversion"/>
  </si>
  <si>
    <t>2. 요건</t>
    <phoneticPr fontId="3" type="noConversion"/>
  </si>
  <si>
    <t>3. 절차</t>
    <phoneticPr fontId="3" type="noConversion"/>
  </si>
  <si>
    <t>4. 효력</t>
    <phoneticPr fontId="3" type="noConversion"/>
  </si>
  <si>
    <t>Ⅵ. 성명모용소송</t>
    <phoneticPr fontId="3" type="noConversion"/>
  </si>
  <si>
    <t>2. 당사자의 확정</t>
    <phoneticPr fontId="3" type="noConversion"/>
  </si>
  <si>
    <t>3. 발견 시 법원의 조치</t>
    <phoneticPr fontId="3" type="noConversion"/>
  </si>
  <si>
    <t>4. 간과판결의 효력 및 피모용자의 구제책</t>
    <phoneticPr fontId="3" type="noConversion"/>
  </si>
  <si>
    <t>5. 송달과정에서 피고모용</t>
    <phoneticPr fontId="3" type="noConversion"/>
  </si>
  <si>
    <t>Ⅶ. 사자상대소송</t>
    <phoneticPr fontId="3" type="noConversion"/>
  </si>
  <si>
    <t>1. 제소 전에 사망한 경우</t>
    <phoneticPr fontId="3" type="noConversion"/>
  </si>
  <si>
    <t>2. 소제기 후 소장부본 송달 전에 피고가 사망한 경우</t>
    <phoneticPr fontId="3" type="noConversion"/>
  </si>
  <si>
    <t>3. 소송대리인에게 소송위임 후 제소 전 사망한 경우의 법률관계</t>
    <phoneticPr fontId="3" type="noConversion"/>
  </si>
  <si>
    <t>4. 소송계속 후 변론종결 전에 사망한 경우[민소법 제233조]</t>
    <phoneticPr fontId="3" type="noConversion"/>
  </si>
  <si>
    <t>5. 변론종결 뒤에 사망한 경우</t>
    <phoneticPr fontId="3" type="noConversion"/>
  </si>
  <si>
    <t>Ⅷ. 법인격부인</t>
    <phoneticPr fontId="3" type="noConversion"/>
  </si>
  <si>
    <t>1. 법인격부인의 법리</t>
    <phoneticPr fontId="3" type="noConversion"/>
  </si>
  <si>
    <t>2. 법인격이 부인되는 법인에 대한 소제기가 적법한지 여부</t>
    <phoneticPr fontId="3" type="noConversion"/>
  </si>
  <si>
    <t>3. 발견 시 채권자의 조치</t>
    <phoneticPr fontId="3" type="noConversion"/>
  </si>
  <si>
    <t>Ⅰ. 당사자능력</t>
    <phoneticPr fontId="3" type="noConversion"/>
  </si>
  <si>
    <t>2. 실질적 당사자능력</t>
    <phoneticPr fontId="3" type="noConversion"/>
  </si>
  <si>
    <t>3. 형식적 당사자능력</t>
    <phoneticPr fontId="3" type="noConversion"/>
  </si>
  <si>
    <t>(1) 비법인사단의 소송수행방안</t>
    <phoneticPr fontId="3" type="noConversion"/>
  </si>
  <si>
    <t>(2) 조합의 소송수행방안</t>
    <phoneticPr fontId="3" type="noConversion"/>
  </si>
  <si>
    <t>4. 당사자능력 조사와 그 흠결의 효과</t>
    <phoneticPr fontId="3" type="noConversion"/>
  </si>
  <si>
    <t>(1) 소제기 시 흠결</t>
    <phoneticPr fontId="3" type="noConversion"/>
  </si>
  <si>
    <t>(2) 소송계속 중 흠결</t>
    <phoneticPr fontId="3" type="noConversion"/>
  </si>
  <si>
    <t>(3) 당사자능력에 대하여 다툼이 있는 경우</t>
    <phoneticPr fontId="3" type="noConversion"/>
  </si>
  <si>
    <t>(4) 간과판결의 효력</t>
    <phoneticPr fontId="3" type="noConversion"/>
  </si>
  <si>
    <t>Ⅱ. 당사자적격</t>
    <phoneticPr fontId="3" type="noConversion"/>
  </si>
  <si>
    <t>2. 일반적 당사자적격자</t>
    <phoneticPr fontId="3" type="noConversion"/>
  </si>
  <si>
    <t>(1) 이행의 소</t>
    <phoneticPr fontId="3" type="noConversion"/>
  </si>
  <si>
    <t>(2) 확인의 소</t>
    <phoneticPr fontId="3" type="noConversion"/>
  </si>
  <si>
    <t>(3) 형성의 소</t>
    <phoneticPr fontId="3" type="noConversion"/>
  </si>
  <si>
    <t>(4) 고유필수적 공동소송</t>
    <phoneticPr fontId="3" type="noConversion"/>
  </si>
  <si>
    <t>3. 제3자 소송담당</t>
    <phoneticPr fontId="3" type="noConversion"/>
  </si>
  <si>
    <t>(2) 법정 소송담당</t>
    <phoneticPr fontId="3" type="noConversion"/>
  </si>
  <si>
    <t>(3) 임의적 소송담당</t>
    <phoneticPr fontId="3" type="noConversion"/>
  </si>
  <si>
    <t>(4) 제3자 소송담당과 기판력</t>
    <phoneticPr fontId="3" type="noConversion"/>
  </si>
  <si>
    <t>4. 당사자적격 흠결의 효과</t>
    <phoneticPr fontId="3" type="noConversion"/>
  </si>
  <si>
    <t>(1) 소제기 흠결</t>
    <phoneticPr fontId="3" type="noConversion"/>
  </si>
  <si>
    <t>(3) 당사자적격에 관하여 다툼이 있는 경우</t>
    <phoneticPr fontId="3" type="noConversion"/>
  </si>
  <si>
    <t>Ⅲ. 소송능력</t>
    <phoneticPr fontId="3" type="noConversion"/>
  </si>
  <si>
    <t>(2) 소송능력자</t>
    <phoneticPr fontId="3" type="noConversion"/>
  </si>
  <si>
    <t>2. 소송무능력자[민소법 제55조]</t>
    <phoneticPr fontId="3" type="noConversion"/>
  </si>
  <si>
    <t>(1) 민법상 제한능력자</t>
    <phoneticPr fontId="3" type="noConversion"/>
  </si>
  <si>
    <t>(2) 법인 또는 비법인사단・재단</t>
    <phoneticPr fontId="3" type="noConversion"/>
  </si>
  <si>
    <t>3. 소송법적 효과</t>
    <phoneticPr fontId="3" type="noConversion"/>
  </si>
  <si>
    <t>(1) 소송행위의 유효요건</t>
    <phoneticPr fontId="3" type="noConversion"/>
  </si>
  <si>
    <t>(2) 소송능력흠결의 효과</t>
    <phoneticPr fontId="3" type="noConversion"/>
  </si>
  <si>
    <t>Ⅳ. 변론능력</t>
    <phoneticPr fontId="3" type="noConversion"/>
  </si>
  <si>
    <t>2. 변론무능력자</t>
    <phoneticPr fontId="3" type="noConversion"/>
  </si>
  <si>
    <t>3. 변론능력흠결의 효과</t>
    <phoneticPr fontId="3" type="noConversion"/>
  </si>
  <si>
    <t>(2) 변호사선임명령 불응 시 소・상소의 각하</t>
    <phoneticPr fontId="3" type="noConversion"/>
  </si>
  <si>
    <t>(3) 변론능력 흠결을 간과한 판결의 효력</t>
    <phoneticPr fontId="3" type="noConversion"/>
  </si>
  <si>
    <t>Ⅰ. 서설</t>
    <phoneticPr fontId="3" type="noConversion"/>
  </si>
  <si>
    <t>1. 소송상의 대리인의 의의</t>
    <phoneticPr fontId="3" type="noConversion"/>
  </si>
  <si>
    <t>2. 소송상의 대리인의 종류</t>
    <phoneticPr fontId="3" type="noConversion"/>
  </si>
  <si>
    <t>Ⅱ. 법정대리인</t>
    <phoneticPr fontId="3" type="noConversion"/>
  </si>
  <si>
    <t>2. 법정대리권의 발생</t>
    <phoneticPr fontId="3" type="noConversion"/>
  </si>
  <si>
    <t>(1) 실체법상 법정대리인</t>
    <phoneticPr fontId="3" type="noConversion"/>
  </si>
  <si>
    <t>(2) 소송법상 특별대리인</t>
    <phoneticPr fontId="3" type="noConversion"/>
  </si>
  <si>
    <t>(3) 법인 등 대표자</t>
    <phoneticPr fontId="3" type="noConversion"/>
  </si>
  <si>
    <t>3. 법정대리권의 범위[민소법 제56조]</t>
    <phoneticPr fontId="3" type="noConversion"/>
  </si>
  <si>
    <t>(3) 법인등 대표자</t>
    <phoneticPr fontId="3" type="noConversion"/>
  </si>
  <si>
    <t>(4) 공동대리</t>
    <phoneticPr fontId="3" type="noConversion"/>
  </si>
  <si>
    <t>4. 법정대리인의 지위</t>
    <phoneticPr fontId="3" type="noConversion"/>
  </si>
  <si>
    <t>(1) 제3자의 지위</t>
    <phoneticPr fontId="3" type="noConversion"/>
  </si>
  <si>
    <t>(2) 본인에 유사한 지위</t>
    <phoneticPr fontId="3" type="noConversion"/>
  </si>
  <si>
    <t>5. 법정대리권의 소멸</t>
    <phoneticPr fontId="3" type="noConversion"/>
  </si>
  <si>
    <t>(1) 대리권 소멸원인</t>
    <phoneticPr fontId="3" type="noConversion"/>
  </si>
  <si>
    <t>(2) 대리・대표권소멸통지</t>
    <phoneticPr fontId="3" type="noConversion"/>
  </si>
  <si>
    <t>Ⅲ. 임의대리인</t>
    <phoneticPr fontId="3" type="noConversion"/>
  </si>
  <si>
    <t>2. 법률상의 소송대리인</t>
    <phoneticPr fontId="3" type="noConversion"/>
  </si>
  <si>
    <t>3. 소송위임에 의한 소송대리인</t>
    <phoneticPr fontId="3" type="noConversion"/>
  </si>
  <si>
    <t>(2) 소송대리인의 자격</t>
    <phoneticPr fontId="3" type="noConversion"/>
  </si>
  <si>
    <t>(3) 소송대리권의 발생</t>
    <phoneticPr fontId="3" type="noConversion"/>
  </si>
  <si>
    <t>(4) 소송대리권의 범위[민소법 제90조]</t>
    <phoneticPr fontId="3" type="noConversion"/>
  </si>
  <si>
    <t>(5) 소송대리인의 지위</t>
    <phoneticPr fontId="3" type="noConversion"/>
  </si>
  <si>
    <t>(6) 소송대리권의 소멸</t>
    <phoneticPr fontId="3" type="noConversion"/>
  </si>
  <si>
    <t>Ⅳ. 무권대리인</t>
    <phoneticPr fontId="3" type="noConversion"/>
  </si>
  <si>
    <t>2. 소송상 취급</t>
    <phoneticPr fontId="3" type="noConversion"/>
  </si>
  <si>
    <t>(1) 소송요건</t>
    <phoneticPr fontId="3" type="noConversion"/>
  </si>
  <si>
    <t>(2) 소송행위의 유효요건</t>
    <phoneticPr fontId="3" type="noConversion"/>
  </si>
  <si>
    <t>3. 쌍방대리의 금지</t>
    <phoneticPr fontId="3" type="noConversion"/>
  </si>
  <si>
    <t>(1) 쌍방대리행위</t>
    <phoneticPr fontId="3" type="noConversion"/>
  </si>
  <si>
    <t>(2) 변호사법 제31조 제1항 위반의 대리행위</t>
    <phoneticPr fontId="3" type="noConversion"/>
  </si>
  <si>
    <t>4. 표현대리의 법리적용 여부</t>
    <phoneticPr fontId="3" type="noConversion"/>
  </si>
  <si>
    <t>(1) 학설</t>
    <phoneticPr fontId="3" type="noConversion"/>
  </si>
  <si>
    <t>(2) 판례</t>
    <phoneticPr fontId="3" type="noConversion"/>
  </si>
  <si>
    <t>(3) 검토</t>
    <phoneticPr fontId="3" type="noConversion"/>
  </si>
  <si>
    <t>제5장 제1심 소송절차-소송 개시와 심리 대상</t>
    <phoneticPr fontId="3" type="noConversion"/>
  </si>
  <si>
    <t>Ⅰ. 소의 의의</t>
    <phoneticPr fontId="3" type="noConversion"/>
  </si>
  <si>
    <t>Ⅱ. 소의 종류</t>
    <phoneticPr fontId="3" type="noConversion"/>
  </si>
  <si>
    <t>1. 청구의 성질・내용에 따른 분류</t>
    <phoneticPr fontId="3" type="noConversion"/>
  </si>
  <si>
    <t>2. 소제기의 모습・시기에 따른 분류</t>
    <phoneticPr fontId="3" type="noConversion"/>
  </si>
  <si>
    <t>Ⅰ. 승소판결을 받기 위한 요건</t>
    <phoneticPr fontId="3" type="noConversion"/>
  </si>
  <si>
    <t>1. 소장의 적식심사</t>
    <phoneticPr fontId="3" type="noConversion"/>
  </si>
  <si>
    <t>2. 소의 적법심사</t>
    <phoneticPr fontId="3" type="noConversion"/>
  </si>
  <si>
    <t>3. 주장 자체의 정당성</t>
    <phoneticPr fontId="3" type="noConversion"/>
  </si>
  <si>
    <t>4. 주장사실의 증명</t>
    <phoneticPr fontId="3" type="noConversion"/>
  </si>
  <si>
    <t>Ⅱ. 소송요건</t>
    <phoneticPr fontId="3" type="noConversion"/>
  </si>
  <si>
    <t>1. 서설 - 소송요건의 의의</t>
    <phoneticPr fontId="3" type="noConversion"/>
  </si>
  <si>
    <t>2. 소송요견의 종류</t>
    <phoneticPr fontId="3" type="noConversion"/>
  </si>
  <si>
    <t>(1) 법원에 관한 것</t>
    <phoneticPr fontId="3" type="noConversion"/>
  </si>
  <si>
    <t>(2) 당사자에 관한 것</t>
    <phoneticPr fontId="3" type="noConversion"/>
  </si>
  <si>
    <t>(3) 소송물에 관한 것</t>
    <phoneticPr fontId="3" type="noConversion"/>
  </si>
  <si>
    <t>(4) 특수소송에 관한 것</t>
    <phoneticPr fontId="3" type="noConversion"/>
  </si>
  <si>
    <t>3. 소송요건의 모습</t>
    <phoneticPr fontId="3" type="noConversion"/>
  </si>
  <si>
    <t>(1) 적극적 요건과 소극적 요건</t>
    <phoneticPr fontId="3" type="noConversion"/>
  </si>
  <si>
    <t>(2) 직권조사사항과 항변사항</t>
    <phoneticPr fontId="3" type="noConversion"/>
  </si>
  <si>
    <t>4. 소송요건의 조사</t>
    <phoneticPr fontId="3" type="noConversion"/>
  </si>
  <si>
    <t>(1) 직권조사사항에 대한 조사</t>
    <phoneticPr fontId="3" type="noConversion"/>
  </si>
  <si>
    <t>(2) 항변사항에 대한 조사</t>
    <phoneticPr fontId="3" type="noConversion"/>
  </si>
  <si>
    <t>5. 소송요건의 증명</t>
    <phoneticPr fontId="3" type="noConversion"/>
  </si>
  <si>
    <t>(1) 증명방법</t>
    <phoneticPr fontId="3" type="noConversion"/>
  </si>
  <si>
    <t>(2) 증명책임</t>
    <phoneticPr fontId="3" type="noConversion"/>
  </si>
  <si>
    <t>(3) 존재의 판단시기</t>
    <phoneticPr fontId="3" type="noConversion"/>
  </si>
  <si>
    <t>6. 조사의 순서</t>
    <phoneticPr fontId="3" type="noConversion"/>
  </si>
  <si>
    <t>(3) 판례(소송요건심리의 선순위성 인정)</t>
    <phoneticPr fontId="3" type="noConversion"/>
  </si>
  <si>
    <t>7. 조사 후 법원의 조치</t>
    <phoneticPr fontId="3" type="noConversion"/>
  </si>
  <si>
    <t>(1) 소송요건이 구비된 경우</t>
    <phoneticPr fontId="3" type="noConversion"/>
  </si>
  <si>
    <t>(2) 소송요건에 흠이 있는 경우</t>
    <phoneticPr fontId="3" type="noConversion"/>
  </si>
  <si>
    <t>(3) 흠결을 간과한 판결</t>
    <phoneticPr fontId="3" type="noConversion"/>
  </si>
  <si>
    <t>(4) 소송요건이 구비되었음에도 소각하판결을 한 경우</t>
    <phoneticPr fontId="3" type="noConversion"/>
  </si>
  <si>
    <t>Ⅰ. 소의 이익의 의의</t>
    <phoneticPr fontId="3" type="noConversion"/>
  </si>
  <si>
    <t>Ⅱ. 권리보호의 자격</t>
    <phoneticPr fontId="3" type="noConversion"/>
  </si>
  <si>
    <t>1. 청구가 소구할 수 있는 구체적인 권리 또는 법률관계일 것</t>
    <phoneticPr fontId="3" type="noConversion"/>
  </si>
  <si>
    <t>(1) 소구할 수 있는 것</t>
    <phoneticPr fontId="3" type="noConversion"/>
  </si>
  <si>
    <t>(2) 구체적인 권리 또는 법률관계의 주장일 것</t>
    <phoneticPr fontId="3" type="noConversion"/>
  </si>
  <si>
    <t>(3) 법원의 권한에 속하는 법률상 쟁송일 것</t>
    <phoneticPr fontId="3" type="noConversion"/>
  </si>
  <si>
    <t>2. 법률상・계약상 소제기 금지사유가 없을 것</t>
    <phoneticPr fontId="3" type="noConversion"/>
  </si>
  <si>
    <t>(1) 법률상 소제기 금지사유가 없을 것</t>
    <phoneticPr fontId="3" type="noConversion"/>
  </si>
  <si>
    <t>(2) 계약상 소제기 금지사유가 없을 것</t>
    <phoneticPr fontId="3" type="noConversion"/>
  </si>
  <si>
    <t>3. 재소장애사유가 없을 것</t>
    <phoneticPr fontId="3" type="noConversion"/>
  </si>
  <si>
    <t>(1) 국・공유재산 관련 판례</t>
    <phoneticPr fontId="3" type="noConversion"/>
  </si>
  <si>
    <t>(2) 부기등기 관련 판례</t>
    <phoneticPr fontId="3" type="noConversion"/>
  </si>
  <si>
    <t>4. 원고가 동일한 청구에 대하여 승소확정판결을 받은 경우가 아닐 것</t>
    <phoneticPr fontId="3" type="noConversion"/>
  </si>
  <si>
    <t>(1) 원칙</t>
    <phoneticPr fontId="3" type="noConversion"/>
  </si>
  <si>
    <t>(2) 예외</t>
    <phoneticPr fontId="3" type="noConversion"/>
  </si>
  <si>
    <t>5. 신의칙 위반의 제소가 아닐 것</t>
    <phoneticPr fontId="3" type="noConversion"/>
  </si>
  <si>
    <t>Ⅲ. 권리보호의 이익</t>
    <phoneticPr fontId="3" type="noConversion"/>
  </si>
  <si>
    <t>1. 이행의 소</t>
    <phoneticPr fontId="3" type="noConversion"/>
  </si>
  <si>
    <t>(1) 현재이행의 소</t>
    <phoneticPr fontId="3" type="noConversion"/>
  </si>
  <si>
    <t>(2) 장래이행의 소</t>
    <phoneticPr fontId="3" type="noConversion"/>
  </si>
  <si>
    <t>2. 확인의 소</t>
    <phoneticPr fontId="3" type="noConversion"/>
  </si>
  <si>
    <t>(1) 서설</t>
    <phoneticPr fontId="3" type="noConversion"/>
  </si>
  <si>
    <t>(2) 대상적격(권리보호자격)</t>
    <phoneticPr fontId="3" type="noConversion"/>
  </si>
  <si>
    <t>(3) 확인의 이익(권리보호이익)</t>
    <phoneticPr fontId="3" type="noConversion"/>
  </si>
  <si>
    <t>(4) 증서의 진부 여부를 확인하는 소[민소법 제250조]</t>
    <phoneticPr fontId="3" type="noConversion"/>
  </si>
  <si>
    <t>3. 형성의 소</t>
    <phoneticPr fontId="3" type="noConversion"/>
  </si>
  <si>
    <t>Ⅰ. 소송물 일반</t>
    <phoneticPr fontId="3" type="noConversion"/>
  </si>
  <si>
    <t>(1) 소송물의 의의</t>
    <phoneticPr fontId="3" type="noConversion"/>
  </si>
  <si>
    <t>(2) 소송물이론</t>
    <phoneticPr fontId="3" type="noConversion"/>
  </si>
  <si>
    <t>2. 소송물의 특징</t>
    <phoneticPr fontId="3" type="noConversion"/>
  </si>
  <si>
    <t>Ⅱ. 일부청구에 대한 주요논점</t>
    <phoneticPr fontId="3" type="noConversion"/>
  </si>
  <si>
    <t>1. 일부청구의 의의</t>
    <phoneticPr fontId="3" type="noConversion"/>
  </si>
  <si>
    <t>2. 일부청구한 경우의 소송물</t>
    <phoneticPr fontId="3" type="noConversion"/>
  </si>
  <si>
    <t>3. 일부청구의 소의 이익</t>
    <phoneticPr fontId="3" type="noConversion"/>
  </si>
  <si>
    <t>4. 잔부청구 시 중복제소 여부</t>
    <phoneticPr fontId="3" type="noConversion"/>
  </si>
  <si>
    <t>5. 잔부청구 시 기판력 작용 여부</t>
    <phoneticPr fontId="3" type="noConversion"/>
  </si>
  <si>
    <t>6. 일부청구 시 시효중단범위</t>
    <phoneticPr fontId="3" type="noConversion"/>
  </si>
  <si>
    <t>7. 일부청구 시 과실상계</t>
    <phoneticPr fontId="3" type="noConversion"/>
  </si>
  <si>
    <t>8. 청구취지의 확장의 소의 변경 여부</t>
    <phoneticPr fontId="3" type="noConversion"/>
  </si>
  <si>
    <t>9. 전부승소자의 상소 가부</t>
    <phoneticPr fontId="3" type="noConversion"/>
  </si>
  <si>
    <t>Ⅰ. 소제기의 방식</t>
    <phoneticPr fontId="3" type="noConversion"/>
  </si>
  <si>
    <t>1. 소장제출주의</t>
    <phoneticPr fontId="3" type="noConversion"/>
  </si>
  <si>
    <t>2. 소제기의 간주</t>
    <phoneticPr fontId="3" type="noConversion"/>
  </si>
  <si>
    <t>Ⅱ. 소장의 기재사항</t>
    <phoneticPr fontId="3" type="noConversion"/>
  </si>
  <si>
    <t>1. 필요적 기재사항[민소법 제249조]</t>
    <phoneticPr fontId="3" type="noConversion"/>
  </si>
  <si>
    <t>2. 임의적 기재사항</t>
    <phoneticPr fontId="3" type="noConversion"/>
  </si>
  <si>
    <t>Ⅰ. 재판장의 소장심사[민소법 제254조]</t>
    <phoneticPr fontId="3" type="noConversion"/>
  </si>
  <si>
    <t>2. 심사의 대상</t>
    <phoneticPr fontId="3" type="noConversion"/>
  </si>
  <si>
    <t>3. 보정명령[민소법 제265조]</t>
    <phoneticPr fontId="3" type="noConversion"/>
  </si>
  <si>
    <t>4. 소장각하명령과 즉시항고</t>
    <phoneticPr fontId="3" type="noConversion"/>
  </si>
  <si>
    <t>Ⅱ. 피고의 답변제출의무와 무변론판결[민소법 제257조]</t>
    <phoneticPr fontId="3" type="noConversion"/>
  </si>
  <si>
    <t>1. 피고의 답변서제출의무</t>
    <phoneticPr fontId="3" type="noConversion"/>
  </si>
  <si>
    <t>2. 무변론판결</t>
    <phoneticPr fontId="3" type="noConversion"/>
  </si>
  <si>
    <t>Ⅲ. 변론준비절차회부와 변론기일의 지정</t>
    <phoneticPr fontId="3" type="noConversion"/>
  </si>
  <si>
    <t>Ⅰ. 소송계속</t>
    <phoneticPr fontId="3" type="noConversion"/>
  </si>
  <si>
    <t>2. 소송계속의 발생시기</t>
    <phoneticPr fontId="3" type="noConversion"/>
  </si>
  <si>
    <t>3. 효과</t>
    <phoneticPr fontId="3" type="noConversion"/>
  </si>
  <si>
    <t>Ⅱ. 중복된 소제기의 금지</t>
    <phoneticPr fontId="3" type="noConversion"/>
  </si>
  <si>
    <t>1. 의의[민소법 제259조]</t>
    <phoneticPr fontId="3" type="noConversion"/>
  </si>
  <si>
    <t>2. 중복소제기의 요건</t>
    <phoneticPr fontId="3" type="noConversion"/>
  </si>
  <si>
    <t>(1) 당사자의 동일</t>
    <phoneticPr fontId="3" type="noConversion"/>
  </si>
  <si>
    <t>(2) 청구의 동일</t>
    <phoneticPr fontId="3" type="noConversion"/>
  </si>
  <si>
    <t>(3) 전소의 소송계속 중 후소를 제기하였을 것</t>
    <phoneticPr fontId="3" type="noConversion"/>
  </si>
  <si>
    <t>3. 소송법상 효과</t>
    <phoneticPr fontId="3" type="noConversion"/>
  </si>
  <si>
    <t>(1) 직권조사사항</t>
    <phoneticPr fontId="3" type="noConversion"/>
  </si>
  <si>
    <t>(2) 중복소제기임을 간과한 판결</t>
    <phoneticPr fontId="3" type="noConversion"/>
  </si>
  <si>
    <t>4. 국제적 중복소제기</t>
    <phoneticPr fontId="3" type="noConversion"/>
  </si>
  <si>
    <t>(2) 견해의 대립</t>
    <phoneticPr fontId="3" type="noConversion"/>
  </si>
  <si>
    <t>(3) 개정 국제사법의 태도</t>
    <phoneticPr fontId="3" type="noConversion"/>
  </si>
  <si>
    <t>Ⅲ. 실체법상 효과</t>
    <phoneticPr fontId="3" type="noConversion"/>
  </si>
  <si>
    <t>2. 시효중단의 대상[민소법 제170조, 제265조]</t>
    <phoneticPr fontId="3" type="noConversion"/>
  </si>
  <si>
    <t>(1) 중단의 대상이 되는 소</t>
    <phoneticPr fontId="3" type="noConversion"/>
  </si>
  <si>
    <t>(2) 중단의 범위</t>
    <phoneticPr fontId="3" type="noConversion"/>
  </si>
  <si>
    <t>(3) 응소와 시효중단</t>
    <phoneticPr fontId="3" type="noConversion"/>
  </si>
  <si>
    <t>3. 법률상 기간의 준수</t>
    <phoneticPr fontId="3" type="noConversion"/>
  </si>
  <si>
    <t>(2) 효과</t>
    <phoneticPr fontId="3" type="noConversion"/>
  </si>
  <si>
    <t>Ⅱ. 채권자대위소송의 법적 성질</t>
    <phoneticPr fontId="3" type="noConversion"/>
  </si>
  <si>
    <t>1. 법적 성질</t>
    <phoneticPr fontId="3" type="noConversion"/>
  </si>
  <si>
    <t>2. 대위소송의 요건흠결 시 처리</t>
    <phoneticPr fontId="3" type="noConversion"/>
  </si>
  <si>
    <t>Ⅲ. 채권자대위소송과 중복소제기</t>
    <phoneticPr fontId="3" type="noConversion"/>
  </si>
  <si>
    <t>1. 채권자대위소송 계속 중 채무자가 소를 제기한 경우</t>
    <phoneticPr fontId="3" type="noConversion"/>
  </si>
  <si>
    <t>2. 채무자의 제3자에 대한 소송 중 채권자대위소송이 제기된 경우</t>
    <phoneticPr fontId="3" type="noConversion"/>
  </si>
  <si>
    <t>3. 채권자대위소송 계속 중 다른 채권자가 다시 대위소송을 제기한 경우</t>
    <phoneticPr fontId="3" type="noConversion"/>
  </si>
  <si>
    <t>4. 압류채권자의 추심소송 중 채무자가 별소를 제기한 경우</t>
    <phoneticPr fontId="3" type="noConversion"/>
  </si>
  <si>
    <t>5. 채무자가 제소한 후 압류채권자가 추심소송을 제기한 경우</t>
    <phoneticPr fontId="3" type="noConversion"/>
  </si>
  <si>
    <t>Ⅳ. 피대위자의 재소금지 여부</t>
    <phoneticPr fontId="3" type="noConversion"/>
  </si>
  <si>
    <t>1. 문제점</t>
    <phoneticPr fontId="3" type="noConversion"/>
  </si>
  <si>
    <t>2. 학설</t>
    <phoneticPr fontId="3" type="noConversion"/>
  </si>
  <si>
    <t>3. 판례</t>
    <phoneticPr fontId="3" type="noConversion"/>
  </si>
  <si>
    <t>4. 검토</t>
    <phoneticPr fontId="3" type="noConversion"/>
  </si>
  <si>
    <t>Ⅴ. 채권자대위소송과 기판력의 확장</t>
    <phoneticPr fontId="3" type="noConversion"/>
  </si>
  <si>
    <t>1. 채권자대위소송 확정판결의 효력이 채무자에게 미치는지 여부</t>
    <phoneticPr fontId="3" type="noConversion"/>
  </si>
  <si>
    <t>2. 채무자의 제3채무자에 대한 확정판결의 효력이 대위채권자에게 미치는지 여부</t>
    <phoneticPr fontId="3" type="noConversion"/>
  </si>
  <si>
    <t>3. 채권자대위소송 확정판결의 효력이 다른 채권자에게 미치는지 여부</t>
    <phoneticPr fontId="3" type="noConversion"/>
  </si>
  <si>
    <t>4. 채권자의 채무자를 상대로 한 소송의 확정판결의 효력이 제3채무자를 상대로 한 채권자대위소송에 미치는지 여부</t>
    <phoneticPr fontId="3" type="noConversion"/>
  </si>
  <si>
    <t>5. 채권자의 제3채무자를 상대로 한 채권자대위소송 확정판결의 효력이 채권자의 채무자를 상대로 한 소송에 미치는지 여부</t>
    <phoneticPr fontId="3" type="noConversion"/>
  </si>
  <si>
    <t>Ⅵ. 원시적 공동소송의 가부</t>
    <phoneticPr fontId="3" type="noConversion"/>
  </si>
  <si>
    <t>1. 대위채권자와 채무자의 공동소송</t>
    <phoneticPr fontId="3" type="noConversion"/>
  </si>
  <si>
    <t>2. 수인의 대위채권자의 공동소송</t>
    <phoneticPr fontId="3" type="noConversion"/>
  </si>
  <si>
    <t>Ⅶ. 공동소송참가와 보조참가의 가부</t>
    <phoneticPr fontId="3" type="noConversion"/>
  </si>
  <si>
    <t>1. 채권자대위소송 계속 중 채무자가 참가하는 경우</t>
    <phoneticPr fontId="3" type="noConversion"/>
  </si>
  <si>
    <t>2. 채무자의 제3자에 대한 소송 중 채권자가 참가하는 경우</t>
    <phoneticPr fontId="3" type="noConversion"/>
  </si>
  <si>
    <t>3. 채권자대위소송 계속 중 다른 채권자가 참가하는 경우</t>
    <phoneticPr fontId="3" type="noConversion"/>
  </si>
  <si>
    <t>제6장 제1심 소송절차-변론</t>
    <phoneticPr fontId="3" type="noConversion"/>
  </si>
  <si>
    <t>Ⅱ. 필요적 변론</t>
    <phoneticPr fontId="3" type="noConversion"/>
  </si>
  <si>
    <t>Ⅲ. 임의적 변론</t>
    <phoneticPr fontId="3" type="noConversion"/>
  </si>
  <si>
    <t>Ⅰ. 개관</t>
    <phoneticPr fontId="3" type="noConversion"/>
  </si>
  <si>
    <t>Ⅱ. 처분권주의</t>
    <phoneticPr fontId="3" type="noConversion"/>
  </si>
  <si>
    <t>1. 의의[민소법 제203조]</t>
    <phoneticPr fontId="3" type="noConversion"/>
  </si>
  <si>
    <t>2. 절차의 개시</t>
    <phoneticPr fontId="3" type="noConversion"/>
  </si>
  <si>
    <t>3. 심판의 대상과 범위</t>
    <phoneticPr fontId="3" type="noConversion"/>
  </si>
  <si>
    <t>(1) 내용</t>
    <phoneticPr fontId="3" type="noConversion"/>
  </si>
  <si>
    <t>(2) 질적 동일</t>
    <phoneticPr fontId="3" type="noConversion"/>
  </si>
  <si>
    <t>(3) 양적 동일</t>
    <phoneticPr fontId="3" type="noConversion"/>
  </si>
  <si>
    <t>4. 절차의 종결</t>
    <phoneticPr fontId="3" type="noConversion"/>
  </si>
  <si>
    <t>(2) 제한</t>
    <phoneticPr fontId="3" type="noConversion"/>
  </si>
  <si>
    <t>5. 처분권주의 위반의 효과</t>
    <phoneticPr fontId="3" type="noConversion"/>
  </si>
  <si>
    <t>Ⅲ. 변론주의</t>
    <phoneticPr fontId="3" type="noConversion"/>
  </si>
  <si>
    <t>2. 변론주의의 내용</t>
    <phoneticPr fontId="3" type="noConversion"/>
  </si>
  <si>
    <t>(1) 사실의 주장책임</t>
    <phoneticPr fontId="3" type="noConversion"/>
  </si>
  <si>
    <t>(2) 자백의 구속력</t>
    <phoneticPr fontId="3" type="noConversion"/>
  </si>
  <si>
    <t>(3) 증거제출책임</t>
    <phoneticPr fontId="3" type="noConversion"/>
  </si>
  <si>
    <t>3. 변론주의의 적용범위</t>
    <phoneticPr fontId="3" type="noConversion"/>
  </si>
  <si>
    <t>(1) 변론주의의 적용범위</t>
    <phoneticPr fontId="3" type="noConversion"/>
  </si>
  <si>
    <t>(2) 변론주의의 위반</t>
    <phoneticPr fontId="3" type="noConversion"/>
  </si>
  <si>
    <t>4. 변론주의의 한계와 보완</t>
    <phoneticPr fontId="3" type="noConversion"/>
  </si>
  <si>
    <t>(1) 변론주의의 한계</t>
    <phoneticPr fontId="3" type="noConversion"/>
  </si>
  <si>
    <t>(2) 변론주의의 보완</t>
    <phoneticPr fontId="3" type="noConversion"/>
  </si>
  <si>
    <t>5. 변론주의의 예외</t>
    <phoneticPr fontId="3" type="noConversion"/>
  </si>
  <si>
    <t>(1) 직권탐지주의</t>
    <phoneticPr fontId="3" type="noConversion"/>
  </si>
  <si>
    <t>(2) 직권조사사항</t>
    <phoneticPr fontId="3" type="noConversion"/>
  </si>
  <si>
    <t>6. 석명권</t>
    <phoneticPr fontId="3" type="noConversion"/>
  </si>
  <si>
    <t>(1) 의의[민소법 제136조]</t>
    <phoneticPr fontId="3" type="noConversion"/>
  </si>
  <si>
    <t>(2) 석명의무</t>
    <phoneticPr fontId="3" type="noConversion"/>
  </si>
  <si>
    <t>(3) 석명의 범위</t>
    <phoneticPr fontId="3" type="noConversion"/>
  </si>
  <si>
    <t>(4) 석명의 대상</t>
    <phoneticPr fontId="3" type="noConversion"/>
  </si>
  <si>
    <t>(5) 석명권의 행사</t>
    <phoneticPr fontId="3" type="noConversion"/>
  </si>
  <si>
    <t>(6) 석명처분</t>
    <phoneticPr fontId="3" type="noConversion"/>
  </si>
  <si>
    <t>Ⅳ. 적시제출주의</t>
    <phoneticPr fontId="3" type="noConversion"/>
  </si>
  <si>
    <t>1. 의의[민소법 제146조]</t>
    <phoneticPr fontId="3" type="noConversion"/>
  </si>
  <si>
    <t>2. 적시제출주의의 내용</t>
    <phoneticPr fontId="3" type="noConversion"/>
  </si>
  <si>
    <t>(1) 재정기간제도</t>
    <phoneticPr fontId="3" type="noConversion"/>
  </si>
  <si>
    <t>(2) 실기한 공격방어방법의 각하[민소법 제149조]</t>
    <phoneticPr fontId="3" type="noConversion"/>
  </si>
  <si>
    <t>(3) 적시제출주의의 확보를 위한 기타의 수단</t>
    <phoneticPr fontId="3" type="noConversion"/>
  </si>
  <si>
    <t>3. 적시제출주의의 예외</t>
    <phoneticPr fontId="3" type="noConversion"/>
  </si>
  <si>
    <t>Ⅰ. 준비서면</t>
    <phoneticPr fontId="3" type="noConversion"/>
  </si>
  <si>
    <t>2. 준비서면의 판단기준</t>
    <phoneticPr fontId="3" type="noConversion"/>
  </si>
  <si>
    <t>3. 준비서면의 기재사항</t>
    <phoneticPr fontId="3" type="noConversion"/>
  </si>
  <si>
    <t>4. 준비서면의 제출・교환</t>
    <phoneticPr fontId="3" type="noConversion"/>
  </si>
  <si>
    <t>5. 준비서면의 제출・부제출의 효과</t>
    <phoneticPr fontId="3" type="noConversion"/>
  </si>
  <si>
    <t>(1) 준비서면의 제출의 효과</t>
    <phoneticPr fontId="3" type="noConversion"/>
  </si>
  <si>
    <t>(2) 준비서면의 부제출의 효과</t>
    <phoneticPr fontId="3" type="noConversion"/>
  </si>
  <si>
    <t>Ⅱ. 변론준비절차</t>
    <phoneticPr fontId="3" type="noConversion"/>
  </si>
  <si>
    <t>2. 변론준비절차의 진행</t>
    <phoneticPr fontId="3" type="noConversion"/>
  </si>
  <si>
    <t>3. 변론준비절차의 종결</t>
    <phoneticPr fontId="3" type="noConversion"/>
  </si>
  <si>
    <t>(1) 종결의 원인</t>
    <phoneticPr fontId="3" type="noConversion"/>
  </si>
  <si>
    <t>(2) 종결의 효과</t>
    <phoneticPr fontId="3" type="noConversion"/>
  </si>
  <si>
    <t>Ⅰ. 변론의 내용</t>
    <phoneticPr fontId="3" type="noConversion"/>
  </si>
  <si>
    <t>1. 본안의 신청</t>
    <phoneticPr fontId="3" type="noConversion"/>
  </si>
  <si>
    <t>(2) 상대방의 태도 - 반대신청</t>
    <phoneticPr fontId="3" type="noConversion"/>
  </si>
  <si>
    <t>2. 공격방어방법</t>
    <phoneticPr fontId="3" type="noConversion"/>
  </si>
  <si>
    <t>(2) 주장</t>
    <phoneticPr fontId="3" type="noConversion"/>
  </si>
  <si>
    <t>3. 증거신청</t>
    <phoneticPr fontId="3" type="noConversion"/>
  </si>
  <si>
    <t>(2) 상대방의 태도</t>
    <phoneticPr fontId="3" type="noConversion"/>
  </si>
  <si>
    <t>4. 항변</t>
    <phoneticPr fontId="3" type="noConversion"/>
  </si>
  <si>
    <t>(1) 항변의 의의</t>
    <phoneticPr fontId="3" type="noConversion"/>
  </si>
  <si>
    <t>(2) 소송상의 항변</t>
    <phoneticPr fontId="3" type="noConversion"/>
  </si>
  <si>
    <t>(3) 본안의 항변</t>
    <phoneticPr fontId="3" type="noConversion"/>
  </si>
  <si>
    <t>5. 부인과 항변의 구별</t>
    <phoneticPr fontId="3" type="noConversion"/>
  </si>
  <si>
    <t>(1) 부인과 항변의 의의</t>
    <phoneticPr fontId="3" type="noConversion"/>
  </si>
  <si>
    <t>(2) 부인과 항변의 구별</t>
    <phoneticPr fontId="3" type="noConversion"/>
  </si>
  <si>
    <t>(3) 간접부인과 항변의 구별</t>
    <phoneticPr fontId="3" type="noConversion"/>
  </si>
  <si>
    <t>(4) 구별의 실익</t>
    <phoneticPr fontId="3" type="noConversion"/>
  </si>
  <si>
    <t>6. 소송상 형성권의 행사</t>
    <phoneticPr fontId="3" type="noConversion"/>
  </si>
  <si>
    <t>7. 상계항변에 대한 재항변의 가부</t>
    <phoneticPr fontId="3" type="noConversion"/>
  </si>
  <si>
    <t>(2) 소송상 상계의 재항변에 허용되는지 여부</t>
    <phoneticPr fontId="3" type="noConversion"/>
  </si>
  <si>
    <t>Ⅱ. 소송행위</t>
    <phoneticPr fontId="3" type="noConversion"/>
  </si>
  <si>
    <t>1. 소송행위의 의의</t>
    <phoneticPr fontId="3" type="noConversion"/>
  </si>
  <si>
    <t>2. 소송상 합의</t>
    <phoneticPr fontId="3" type="noConversion"/>
  </si>
  <si>
    <t>(1) 소송상 합의의 의의</t>
    <phoneticPr fontId="3" type="noConversion"/>
  </si>
  <si>
    <t>(2) 소송상 합의의 허용 여부</t>
    <phoneticPr fontId="3" type="noConversion"/>
  </si>
  <si>
    <t>(3) 소송상 합의의 방식</t>
    <phoneticPr fontId="3" type="noConversion"/>
  </si>
  <si>
    <t>(4) 소송상 합의가 미치는 범위</t>
    <phoneticPr fontId="3" type="noConversion"/>
  </si>
  <si>
    <t>(5) 개별적 검토</t>
    <phoneticPr fontId="3" type="noConversion"/>
  </si>
  <si>
    <t>3. 소송행위의 의사표시의 하자와 철회</t>
    <phoneticPr fontId="3" type="noConversion"/>
  </si>
  <si>
    <t>(1) 의사표시의 하자와 소송행위의 취소</t>
    <phoneticPr fontId="3" type="noConversion"/>
  </si>
  <si>
    <t>(2) 소송행위의 철회의 자유</t>
    <phoneticPr fontId="3" type="noConversion"/>
  </si>
  <si>
    <t>(3) 소송행위의 효력을 다투는 방법</t>
    <phoneticPr fontId="3" type="noConversion"/>
  </si>
  <si>
    <t>4. 소송행위의 하자와 치유</t>
    <phoneticPr fontId="3" type="noConversion"/>
  </si>
  <si>
    <t>(1) 소송행위의 하자</t>
    <phoneticPr fontId="3" type="noConversion"/>
  </si>
  <si>
    <t>(2) 하자의 치유</t>
    <phoneticPr fontId="3" type="noConversion"/>
  </si>
  <si>
    <t>Ⅰ. 변론의 경과</t>
    <phoneticPr fontId="3" type="noConversion"/>
  </si>
  <si>
    <t>Ⅱ. 변론의 정리</t>
    <phoneticPr fontId="3" type="noConversion"/>
  </si>
  <si>
    <t>Ⅲ. 변론조서</t>
    <phoneticPr fontId="3" type="noConversion"/>
  </si>
  <si>
    <t>Ⅰ. 당사자 결석의 요건</t>
    <phoneticPr fontId="3" type="noConversion"/>
  </si>
  <si>
    <t>1. 필요적 변론기일일 것</t>
    <phoneticPr fontId="3" type="noConversion"/>
  </si>
  <si>
    <t>2. 적법한 기일통지를 받고도 불출석할 것</t>
    <phoneticPr fontId="3" type="noConversion"/>
  </si>
  <si>
    <t>3. 불출석하거나 출석하여도 변론하지 않을 것</t>
    <phoneticPr fontId="3" type="noConversion"/>
  </si>
  <si>
    <t>Ⅱ. 당사자 쌍방의 결석</t>
    <phoneticPr fontId="3" type="noConversion"/>
  </si>
  <si>
    <t>1. 의의[민소법 제268조]</t>
    <phoneticPr fontId="3" type="noConversion"/>
  </si>
  <si>
    <t>2. 취하간주의 요건</t>
    <phoneticPr fontId="3" type="noConversion"/>
  </si>
  <si>
    <t>3. 취하간주의 효과</t>
    <phoneticPr fontId="3" type="noConversion"/>
  </si>
  <si>
    <t>4. 변론준비기일에서의 쌍방 불출석의 효과가 변론기일에 승계되는지 여부</t>
    <phoneticPr fontId="3" type="noConversion"/>
  </si>
  <si>
    <t>Ⅲ. 당사자 일방의 결석</t>
    <phoneticPr fontId="3" type="noConversion"/>
  </si>
  <si>
    <t>2. 진술간주[민소법 제148조]</t>
    <phoneticPr fontId="3" type="noConversion"/>
  </si>
  <si>
    <t>3. 자백간주[민소법 제150조, 제276조]</t>
    <phoneticPr fontId="3" type="noConversion"/>
  </si>
  <si>
    <t>Ⅰ. 기일</t>
    <phoneticPr fontId="3" type="noConversion"/>
  </si>
  <si>
    <t>Ⅱ. 기간</t>
    <phoneticPr fontId="3" type="noConversion"/>
  </si>
  <si>
    <t>2. 법정기간과 재정기간</t>
    <phoneticPr fontId="3" type="noConversion"/>
  </si>
  <si>
    <t>3. 불변기간</t>
    <phoneticPr fontId="3" type="noConversion"/>
  </si>
  <si>
    <t>(2) 유형</t>
    <phoneticPr fontId="3" type="noConversion"/>
  </si>
  <si>
    <t>Ⅲ. 기간의 부준수와 소송행위의 추후보완</t>
    <phoneticPr fontId="3" type="noConversion"/>
  </si>
  <si>
    <t>1. 의의[민소법 제173조]</t>
    <phoneticPr fontId="3" type="noConversion"/>
  </si>
  <si>
    <t>2. 소송행위의 추후보완의 요건</t>
    <phoneticPr fontId="3" type="noConversion"/>
  </si>
  <si>
    <t>(1) 추후보완사유</t>
    <phoneticPr fontId="3" type="noConversion"/>
  </si>
  <si>
    <t>(2) 추후보완대상 - 불견기간</t>
    <phoneticPr fontId="3" type="noConversion"/>
  </si>
  <si>
    <t>(3) 추후보완기간</t>
    <phoneticPr fontId="3" type="noConversion"/>
  </si>
  <si>
    <t>3. 추후보완의 절차</t>
    <phoneticPr fontId="3" type="noConversion"/>
  </si>
  <si>
    <t>(1) 서면신청</t>
    <phoneticPr fontId="3" type="noConversion"/>
  </si>
  <si>
    <t>(2) 항소를 추완항소로 보는 경우</t>
    <phoneticPr fontId="3" type="noConversion"/>
  </si>
  <si>
    <t>(3) 추완항소를 항소로 보는 경우</t>
    <phoneticPr fontId="3" type="noConversion"/>
  </si>
  <si>
    <t>4. 추후보완의 효과</t>
    <phoneticPr fontId="3" type="noConversion"/>
  </si>
  <si>
    <t>(1) 형식적 확정력과 판결의 집행정지</t>
    <phoneticPr fontId="3" type="noConversion"/>
  </si>
  <si>
    <t>(2) 심급의 이익과 반소제기</t>
    <phoneticPr fontId="3" type="noConversion"/>
  </si>
  <si>
    <t>5. 추후보완상소와 재심의 소와의 관계</t>
    <phoneticPr fontId="3" type="noConversion"/>
  </si>
  <si>
    <t>(1) 구제방법의 선택</t>
    <phoneticPr fontId="3" type="noConversion"/>
  </si>
  <si>
    <t>(2) 구제방법의 차이</t>
    <phoneticPr fontId="3" type="noConversion"/>
  </si>
  <si>
    <t>Ⅳ. 송달</t>
    <phoneticPr fontId="3" type="noConversion"/>
  </si>
  <si>
    <t>2. 송달기간 및 송달서류[민소법 제175조, 제176조]</t>
    <phoneticPr fontId="3" type="noConversion"/>
  </si>
  <si>
    <t>(1) 송달사무담당기관</t>
    <phoneticPr fontId="3" type="noConversion"/>
  </si>
  <si>
    <t>(2) 송달실시기관</t>
    <phoneticPr fontId="3" type="noConversion"/>
  </si>
  <si>
    <t>(3) 송달서류</t>
    <phoneticPr fontId="3" type="noConversion"/>
  </si>
  <si>
    <t>3. 송달받을 사람</t>
    <phoneticPr fontId="3" type="noConversion"/>
  </si>
  <si>
    <t>4. 송달실시의 방법</t>
    <phoneticPr fontId="3" type="noConversion"/>
  </si>
  <si>
    <t>(1) 교부송달[민소법 제178조, 제183조]</t>
    <phoneticPr fontId="3" type="noConversion"/>
  </si>
  <si>
    <t>(2) 보충송달[민소법 제186조]</t>
    <phoneticPr fontId="3" type="noConversion"/>
  </si>
  <si>
    <t>(3) 유치송달[민소법 제186조]</t>
    <phoneticPr fontId="3" type="noConversion"/>
  </si>
  <si>
    <t>(4) 우편송달</t>
    <phoneticPr fontId="3" type="noConversion"/>
  </si>
  <si>
    <t>5. 공시송달[민소법 제194조]</t>
    <phoneticPr fontId="3" type="noConversion"/>
  </si>
  <si>
    <t>(1) 공시송달의 의의</t>
    <phoneticPr fontId="3" type="noConversion"/>
  </si>
  <si>
    <t>(2) 공시송달의 요건</t>
    <phoneticPr fontId="3" type="noConversion"/>
  </si>
  <si>
    <t>(3) 공시송달의 절차</t>
    <phoneticPr fontId="3" type="noConversion"/>
  </si>
  <si>
    <t>(4) 공시송달의 효력</t>
    <phoneticPr fontId="3" type="noConversion"/>
  </si>
  <si>
    <t>6. 송달의 하자와 치유</t>
    <phoneticPr fontId="3" type="noConversion"/>
  </si>
  <si>
    <t>(1) 송달의 하자</t>
    <phoneticPr fontId="3" type="noConversion"/>
  </si>
  <si>
    <t>Ⅰ. 소송절차의 정지의 의의 및 종류</t>
    <phoneticPr fontId="3" type="noConversion"/>
  </si>
  <si>
    <t>Ⅱ. 소송절차의 중단</t>
    <phoneticPr fontId="3" type="noConversion"/>
  </si>
  <si>
    <t>2. 중단사유</t>
    <phoneticPr fontId="3" type="noConversion"/>
  </si>
  <si>
    <t>(1) 당사자의 사망[민소법 제233조]</t>
    <phoneticPr fontId="3" type="noConversion"/>
  </si>
  <si>
    <t>(2) 법인의 합병[민소법 제234조]</t>
    <phoneticPr fontId="3" type="noConversion"/>
  </si>
  <si>
    <t>(3) 소송능력의 상실, 법정대리권의 소멸로 인한 중단[민소법 제235조]</t>
    <phoneticPr fontId="3" type="noConversion"/>
  </si>
  <si>
    <t>(4) 자격상실로 인한 중단[민소법 제237조]</t>
    <phoneticPr fontId="3" type="noConversion"/>
  </si>
  <si>
    <t>3. 중단의 예외</t>
    <phoneticPr fontId="3" type="noConversion"/>
  </si>
  <si>
    <t>(1) 소송대리인이 있는 경우[민소법 제238조]</t>
    <phoneticPr fontId="3" type="noConversion"/>
  </si>
  <si>
    <t>(2) 상소의 특별수권이 없는 경우(판결정본 송달시 중단)</t>
    <phoneticPr fontId="3" type="noConversion"/>
  </si>
  <si>
    <t>(3) 상소의 특별수권이 있는 경우(상소제기시 중단)</t>
    <phoneticPr fontId="3" type="noConversion"/>
  </si>
  <si>
    <t>4. 중단의 해소</t>
    <phoneticPr fontId="3" type="noConversion"/>
  </si>
  <si>
    <t>(1) 수계신청</t>
    <phoneticPr fontId="3" type="noConversion"/>
  </si>
  <si>
    <t>(2) 속행명령</t>
    <phoneticPr fontId="3" type="noConversion"/>
  </si>
  <si>
    <t>5. 중단의 효과</t>
    <phoneticPr fontId="3" type="noConversion"/>
  </si>
  <si>
    <t>(1) 중단 중 소송행위 가부와 효력</t>
    <phoneticPr fontId="3" type="noConversion"/>
  </si>
  <si>
    <t>(2) 중단을 간과한 판결의 효력</t>
    <phoneticPr fontId="3" type="noConversion"/>
  </si>
  <si>
    <t>Ⅲ. 소송절차의 중지</t>
    <phoneticPr fontId="3" type="noConversion"/>
  </si>
  <si>
    <t>제7장 제1심 소송절차-증거</t>
    <phoneticPr fontId="3" type="noConversion"/>
  </si>
  <si>
    <t>Ⅰ. 증거의 의의</t>
    <phoneticPr fontId="3" type="noConversion"/>
  </si>
  <si>
    <t>1. 개념</t>
    <phoneticPr fontId="3" type="noConversion"/>
  </si>
  <si>
    <t>2. 필요성</t>
    <phoneticPr fontId="3" type="noConversion"/>
  </si>
  <si>
    <t>Ⅱ. 증거능력과 증거력</t>
    <phoneticPr fontId="3" type="noConversion"/>
  </si>
  <si>
    <t>1. 증거능력</t>
    <phoneticPr fontId="3" type="noConversion"/>
  </si>
  <si>
    <t>2. 증거력</t>
    <phoneticPr fontId="3" type="noConversion"/>
  </si>
  <si>
    <t>Ⅲ. 증거의 종류</t>
    <phoneticPr fontId="3" type="noConversion"/>
  </si>
  <si>
    <t>1. 본증과 반증</t>
    <phoneticPr fontId="3" type="noConversion"/>
  </si>
  <si>
    <t>2. 직접증거와 간접증거</t>
    <phoneticPr fontId="3" type="noConversion"/>
  </si>
  <si>
    <t>Ⅳ. 증명과 소명</t>
    <phoneticPr fontId="3" type="noConversion"/>
  </si>
  <si>
    <t>1. 증명</t>
    <phoneticPr fontId="3" type="noConversion"/>
  </si>
  <si>
    <t>2. 소명</t>
    <phoneticPr fontId="3" type="noConversion"/>
  </si>
  <si>
    <t>Ⅰ. 사실</t>
    <phoneticPr fontId="3" type="noConversion"/>
  </si>
  <si>
    <t>Ⅱ. 경험법칙</t>
    <phoneticPr fontId="3" type="noConversion"/>
  </si>
  <si>
    <t>2. 증명의 요부</t>
    <phoneticPr fontId="3" type="noConversion"/>
  </si>
  <si>
    <t>3. 경험법칙 위반과 상고이유</t>
    <phoneticPr fontId="3" type="noConversion"/>
  </si>
  <si>
    <t>Ⅲ. 법규</t>
    <phoneticPr fontId="3" type="noConversion"/>
  </si>
  <si>
    <t>Ⅰ. 의의[민소법 제288조]</t>
    <phoneticPr fontId="3" type="noConversion"/>
  </si>
  <si>
    <t>Ⅱ. 재판상 자백</t>
    <phoneticPr fontId="3" type="noConversion"/>
  </si>
  <si>
    <t>1. 재판상 자백의 의의</t>
    <phoneticPr fontId="3" type="noConversion"/>
  </si>
  <si>
    <t>2. 재판상 자백의 요건</t>
    <phoneticPr fontId="3" type="noConversion"/>
  </si>
  <si>
    <t>3. 재판산 자백의 효력</t>
    <phoneticPr fontId="3" type="noConversion"/>
  </si>
  <si>
    <t>Ⅲ. 자백간주</t>
    <phoneticPr fontId="3" type="noConversion"/>
  </si>
  <si>
    <t>1. 자백간주의 의의</t>
    <phoneticPr fontId="3" type="noConversion"/>
  </si>
  <si>
    <t>2. 자백간주의 요건[민소법 제150조, 제257조]</t>
    <phoneticPr fontId="3" type="noConversion"/>
  </si>
  <si>
    <t>3. 자백간주의 효력</t>
    <phoneticPr fontId="3" type="noConversion"/>
  </si>
  <si>
    <t>Ⅳ. 현저한 사실</t>
    <phoneticPr fontId="3" type="noConversion"/>
  </si>
  <si>
    <t>1. 현저한 사실의 의의</t>
    <phoneticPr fontId="3" type="noConversion"/>
  </si>
  <si>
    <t>2. 현저한 사실의 유형</t>
    <phoneticPr fontId="3" type="noConversion"/>
  </si>
  <si>
    <t>Ⅰ. 증거조사의 개시</t>
    <phoneticPr fontId="3" type="noConversion"/>
  </si>
  <si>
    <t>1. 증거신청</t>
    <phoneticPr fontId="3" type="noConversion"/>
  </si>
  <si>
    <t>(1) 증거신청의 의의</t>
    <phoneticPr fontId="3" type="noConversion"/>
  </si>
  <si>
    <t>(2) 증거신청의 절차</t>
    <phoneticPr fontId="3" type="noConversion"/>
  </si>
  <si>
    <t>(3) 증거신청의 철회</t>
    <phoneticPr fontId="3" type="noConversion"/>
  </si>
  <si>
    <t>2. 증거신청에 대한 채부결정</t>
    <phoneticPr fontId="3" type="noConversion"/>
  </si>
  <si>
    <t>(1) 증거신청의 채부결정[민소법 제290조]</t>
    <phoneticPr fontId="3" type="noConversion"/>
  </si>
  <si>
    <t>(2) 유일한 증거</t>
    <phoneticPr fontId="3" type="noConversion"/>
  </si>
  <si>
    <t>(3) 증거결정</t>
    <phoneticPr fontId="3" type="noConversion"/>
  </si>
  <si>
    <t>3. 직권증거조사[민소법 제292조]</t>
    <phoneticPr fontId="3" type="noConversion"/>
  </si>
  <si>
    <t>Ⅱ. 증거조사의 실시</t>
    <phoneticPr fontId="3" type="noConversion"/>
  </si>
  <si>
    <t>2. 증인신문</t>
    <phoneticPr fontId="3" type="noConversion"/>
  </si>
  <si>
    <t>(2) 증인능력</t>
    <phoneticPr fontId="3" type="noConversion"/>
  </si>
  <si>
    <t>(3) 증인의무</t>
    <phoneticPr fontId="3" type="noConversion"/>
  </si>
  <si>
    <t>(4) 증인조사방식</t>
    <phoneticPr fontId="3" type="noConversion"/>
  </si>
  <si>
    <t>(6) 유도신문</t>
    <phoneticPr fontId="3" type="noConversion"/>
  </si>
  <si>
    <t>3. 감정</t>
    <phoneticPr fontId="3" type="noConversion"/>
  </si>
  <si>
    <t>(2) 감정결과의 증거력</t>
    <phoneticPr fontId="3" type="noConversion"/>
  </si>
  <si>
    <t>(3) 감정결과의 채택 여부</t>
    <phoneticPr fontId="3" type="noConversion"/>
  </si>
  <si>
    <t>4. 당사자 신문[민소법 제367조, 제372조]</t>
    <phoneticPr fontId="3" type="noConversion"/>
  </si>
  <si>
    <t>(2) 보충성의 폐지</t>
    <phoneticPr fontId="3" type="noConversion"/>
  </si>
  <si>
    <t>(3) 당사자신문의 절차</t>
    <phoneticPr fontId="3" type="noConversion"/>
  </si>
  <si>
    <t>(4) 당사자신문의 효과</t>
    <phoneticPr fontId="3" type="noConversion"/>
  </si>
  <si>
    <t>(5) 관련 문제</t>
    <phoneticPr fontId="3" type="noConversion"/>
  </si>
  <si>
    <t>5. 서증</t>
    <phoneticPr fontId="3" type="noConversion"/>
  </si>
  <si>
    <t>(2) 문서의 증거능력</t>
    <phoneticPr fontId="3" type="noConversion"/>
  </si>
  <si>
    <t>(3) 문서의 증거력</t>
    <phoneticPr fontId="3" type="noConversion"/>
  </si>
  <si>
    <t>(4) 서증의 신청절차[민소법 제343조]</t>
    <phoneticPr fontId="3" type="noConversion"/>
  </si>
  <si>
    <t>6. 검증</t>
    <phoneticPr fontId="3" type="noConversion"/>
  </si>
  <si>
    <t>(2) 검증의 대상</t>
    <phoneticPr fontId="3" type="noConversion"/>
  </si>
  <si>
    <t>7. 증거보전</t>
    <phoneticPr fontId="3" type="noConversion"/>
  </si>
  <si>
    <t>(1) 증거보전의 의의</t>
    <phoneticPr fontId="3" type="noConversion"/>
  </si>
  <si>
    <t>(2) 증거보전의 요건</t>
    <phoneticPr fontId="3" type="noConversion"/>
  </si>
  <si>
    <t>(3) 증거보전의 절차</t>
    <phoneticPr fontId="3" type="noConversion"/>
  </si>
  <si>
    <t>(4) 증거보전의 효력</t>
    <phoneticPr fontId="3" type="noConversion"/>
  </si>
  <si>
    <t>Ⅰ. 의의[민소법 제202조]</t>
    <phoneticPr fontId="3" type="noConversion"/>
  </si>
  <si>
    <t>Ⅱ. 증거원인</t>
    <phoneticPr fontId="3" type="noConversion"/>
  </si>
  <si>
    <t>1. 변론 전체의 취지</t>
    <phoneticPr fontId="3" type="noConversion"/>
  </si>
  <si>
    <t>2. 증거조사의 결과</t>
    <phoneticPr fontId="3" type="noConversion"/>
  </si>
  <si>
    <t>Ⅲ. 자유심증의 정도</t>
    <phoneticPr fontId="3" type="noConversion"/>
  </si>
  <si>
    <t>1. 자의의 금지</t>
    <phoneticPr fontId="3" type="noConversion"/>
  </si>
  <si>
    <t>2. 사실인정에 필요한 확신의 정도</t>
    <phoneticPr fontId="3" type="noConversion"/>
  </si>
  <si>
    <t>Ⅳ. 자유심증주의의 예외</t>
    <phoneticPr fontId="3" type="noConversion"/>
  </si>
  <si>
    <t>1. 명문규정에 의한 예외</t>
    <phoneticPr fontId="3" type="noConversion"/>
  </si>
  <si>
    <t>2. 증명방해</t>
    <phoneticPr fontId="3" type="noConversion"/>
  </si>
  <si>
    <t>3. 증거계약</t>
    <phoneticPr fontId="3" type="noConversion"/>
  </si>
  <si>
    <t>Ⅴ. 자유심증주의의 한계</t>
    <phoneticPr fontId="3" type="noConversion"/>
  </si>
  <si>
    <t>Ⅰ. 서설 - 증명책임의 의의</t>
    <phoneticPr fontId="3" type="noConversion"/>
  </si>
  <si>
    <t>2. 구별</t>
    <phoneticPr fontId="3" type="noConversion"/>
  </si>
  <si>
    <t>Ⅱ. 증명책임의 분배</t>
    <phoneticPr fontId="3" type="noConversion"/>
  </si>
  <si>
    <t>1. 증명책임의 분배의 의의</t>
    <phoneticPr fontId="3" type="noConversion"/>
  </si>
  <si>
    <t>2. 법률요건분류설의 내용과 비판</t>
    <phoneticPr fontId="3" type="noConversion"/>
  </si>
  <si>
    <t>3. 증명책임의 분배에 대한 신설의 내용과 비판</t>
    <phoneticPr fontId="3" type="noConversion"/>
  </si>
  <si>
    <t>Ⅲ. 증명책임의 전환</t>
    <phoneticPr fontId="3" type="noConversion"/>
  </si>
  <si>
    <t>1. 증명책임의 전환의 의의</t>
    <phoneticPr fontId="3" type="noConversion"/>
  </si>
  <si>
    <t>2. 증명책임의 전환의 유형</t>
    <phoneticPr fontId="3" type="noConversion"/>
  </si>
  <si>
    <t>Ⅳ. 증명책임의 완화</t>
    <phoneticPr fontId="3" type="noConversion"/>
  </si>
  <si>
    <t>1. 증명책임의 완화의 의의</t>
    <phoneticPr fontId="3" type="noConversion"/>
  </si>
  <si>
    <t>2. 법률상 추정</t>
    <phoneticPr fontId="3" type="noConversion"/>
  </si>
  <si>
    <t>3. 일응의 추정</t>
    <phoneticPr fontId="3" type="noConversion"/>
  </si>
  <si>
    <t>4. 간접반증</t>
    <phoneticPr fontId="3" type="noConversion"/>
  </si>
  <si>
    <t>Ⅴ. 주장책임</t>
    <phoneticPr fontId="3" type="noConversion"/>
  </si>
  <si>
    <t>1. 주장책임의 의의</t>
    <phoneticPr fontId="3" type="noConversion"/>
  </si>
  <si>
    <t>2. 주장책임의 적용범위</t>
    <phoneticPr fontId="3" type="noConversion"/>
  </si>
  <si>
    <t>3. 주장책임의 분배</t>
    <phoneticPr fontId="3" type="noConversion"/>
  </si>
  <si>
    <t>제8장 소송의 종료-총설</t>
  </si>
  <si>
    <t>Ⅱ. 소송종료선언의 사유</t>
    <phoneticPr fontId="3" type="noConversion"/>
  </si>
  <si>
    <t>1. 기일지정신청이 이유 없는 경우</t>
    <phoneticPr fontId="3" type="noConversion"/>
  </si>
  <si>
    <t>2. 소송종료를 간과한 것이 발견된 경우</t>
    <phoneticPr fontId="3" type="noConversion"/>
  </si>
  <si>
    <t>3. 당사자대립구조가 소멸한 경우</t>
    <phoneticPr fontId="3" type="noConversion"/>
  </si>
  <si>
    <t>Ⅲ. 소송종료선언의 효력</t>
    <phoneticPr fontId="3" type="noConversion"/>
  </si>
  <si>
    <t>제9장 소송의 종료-당사자 행위에 의한 종료</t>
    <phoneticPr fontId="3" type="noConversion"/>
  </si>
  <si>
    <t>Ⅰ. 소의 취하</t>
    <phoneticPr fontId="3" type="noConversion"/>
  </si>
  <si>
    <t>(1) 당사자에 대한 요건</t>
    <phoneticPr fontId="3" type="noConversion"/>
  </si>
  <si>
    <t>(2) 소송물에 대한 요건</t>
    <phoneticPr fontId="3" type="noConversion"/>
  </si>
  <si>
    <t>(3) 시기</t>
    <phoneticPr fontId="3" type="noConversion"/>
  </si>
  <si>
    <t>(4) 방식</t>
    <phoneticPr fontId="3" type="noConversion"/>
  </si>
  <si>
    <t>(5) 피고의 동의</t>
    <phoneticPr fontId="3" type="noConversion"/>
  </si>
  <si>
    <t>3. 소취하의 효과</t>
    <phoneticPr fontId="3" type="noConversion"/>
  </si>
  <si>
    <t>(1) 소송법상 효과</t>
    <phoneticPr fontId="3" type="noConversion"/>
  </si>
  <si>
    <t>(2) 사법상 효과</t>
    <phoneticPr fontId="3" type="noConversion"/>
  </si>
  <si>
    <t>4. 소취하 간주</t>
    <phoneticPr fontId="3" type="noConversion"/>
  </si>
  <si>
    <t>5. 소취하의 효력을 다투는 절차</t>
    <phoneticPr fontId="3" type="noConversion"/>
  </si>
  <si>
    <t>Ⅱ. 재소금지</t>
    <phoneticPr fontId="3" type="noConversion"/>
  </si>
  <si>
    <t>(2) 취지</t>
    <phoneticPr fontId="3" type="noConversion"/>
  </si>
  <si>
    <t>2. 재소금지의 요건</t>
    <phoneticPr fontId="3" type="noConversion"/>
  </si>
  <si>
    <t>(1) 당사자동일</t>
    <phoneticPr fontId="3" type="noConversion"/>
  </si>
  <si>
    <t>(2) 소송물의 동일</t>
    <phoneticPr fontId="3" type="noConversion"/>
  </si>
  <si>
    <t>(3) 권리보호이익의 동일</t>
    <phoneticPr fontId="3" type="noConversion"/>
  </si>
  <si>
    <t>(4) 본안에 대한 종국판결 후 소취하</t>
    <phoneticPr fontId="3" type="noConversion"/>
  </si>
  <si>
    <t>3. 재소금지의 효과</t>
    <phoneticPr fontId="3" type="noConversion"/>
  </si>
  <si>
    <t>(2) 실체법상 효과</t>
    <phoneticPr fontId="3" type="noConversion"/>
  </si>
  <si>
    <t>Ⅰ. 의의[민소법 제220조]</t>
    <phoneticPr fontId="3" type="noConversion"/>
  </si>
  <si>
    <t>Ⅱ. 법적 성질</t>
    <phoneticPr fontId="3" type="noConversion"/>
  </si>
  <si>
    <t>Ⅲ. 요건</t>
    <phoneticPr fontId="3" type="noConversion"/>
  </si>
  <si>
    <t>1. 당사자에 대한 요건</t>
    <phoneticPr fontId="3" type="noConversion"/>
  </si>
  <si>
    <t>2. 소송률에 대한 요건</t>
    <phoneticPr fontId="3" type="noConversion"/>
  </si>
  <si>
    <t>3. 시기와 방식</t>
    <phoneticPr fontId="3" type="noConversion"/>
  </si>
  <si>
    <t>Ⅳ. 효과</t>
    <phoneticPr fontId="3" type="noConversion"/>
  </si>
  <si>
    <t>1. 소송종료효</t>
    <phoneticPr fontId="3" type="noConversion"/>
  </si>
  <si>
    <t>2. 확정판결과 동일한 효력</t>
    <phoneticPr fontId="3" type="noConversion"/>
  </si>
  <si>
    <t>3. 인낙불이행으로 인한 손해배상청구 또는 해제 가부</t>
    <phoneticPr fontId="3" type="noConversion"/>
  </si>
  <si>
    <t>Ⅴ. 청구의 포기・인낙의 효력을 다투는 절차</t>
    <phoneticPr fontId="3" type="noConversion"/>
  </si>
  <si>
    <t>1. 조서 작성 전</t>
    <phoneticPr fontId="3" type="noConversion"/>
  </si>
  <si>
    <t>2. 조서 작성 후</t>
    <phoneticPr fontId="3" type="noConversion"/>
  </si>
  <si>
    <t>Ⅰ. 소송상 화해</t>
    <phoneticPr fontId="3" type="noConversion"/>
  </si>
  <si>
    <t>2. 법적 성질</t>
    <phoneticPr fontId="3" type="noConversion"/>
  </si>
  <si>
    <t>(4) 논의의 실익</t>
    <phoneticPr fontId="3" type="noConversion"/>
  </si>
  <si>
    <t>3. 성립요건</t>
    <phoneticPr fontId="3" type="noConversion"/>
  </si>
  <si>
    <t>4. 효과</t>
    <phoneticPr fontId="3" type="noConversion"/>
  </si>
  <si>
    <t>(1) 소송종료효</t>
    <phoneticPr fontId="3" type="noConversion"/>
  </si>
  <si>
    <t>(2) 확정판결과 동일한 효력 - 기판력</t>
    <phoneticPr fontId="3" type="noConversion"/>
  </si>
  <si>
    <t>(3) 확정판결과 동일한 효력 - 집행력과 형성력</t>
    <phoneticPr fontId="3" type="noConversion"/>
  </si>
  <si>
    <t>(4) 실체법상 화해의 창설적 효력인정 여부</t>
    <phoneticPr fontId="3" type="noConversion"/>
  </si>
  <si>
    <t>5. 소송상 화해의 효력을 다투는 절차</t>
    <phoneticPr fontId="3" type="noConversion"/>
  </si>
  <si>
    <t>(1) 기속력을 다투는 방법</t>
    <phoneticPr fontId="3" type="noConversion"/>
  </si>
  <si>
    <t>(2) 기판력을 다투는 방법</t>
    <phoneticPr fontId="3" type="noConversion"/>
  </si>
  <si>
    <t>(3) 화해조서상 의무불이행을 이유로 하는 화해해제 가부</t>
    <phoneticPr fontId="3" type="noConversion"/>
  </si>
  <si>
    <t>6. 화해권고결정[민소법 제225조]</t>
    <phoneticPr fontId="3" type="noConversion"/>
  </si>
  <si>
    <t>(2) 요건</t>
    <phoneticPr fontId="3" type="noConversion"/>
  </si>
  <si>
    <t>(3) 절차</t>
    <phoneticPr fontId="3" type="noConversion"/>
  </si>
  <si>
    <t>(4) 효과</t>
    <phoneticPr fontId="3" type="noConversion"/>
  </si>
  <si>
    <t>Ⅱ. 제소 전 화해</t>
    <phoneticPr fontId="3" type="noConversion"/>
  </si>
  <si>
    <t>4. 절차</t>
    <phoneticPr fontId="3" type="noConversion"/>
  </si>
  <si>
    <t>5. 화해조서의 효력</t>
    <phoneticPr fontId="3" type="noConversion"/>
  </si>
  <si>
    <t>6. 제소 전 화해를 다투는 방법 - 소송상 화해와 동일</t>
    <phoneticPr fontId="3" type="noConversion"/>
  </si>
  <si>
    <t>7. 제소 전 화해의 채무불이행을 원인으로 한 해제와 취소 가부 - 소송상 화해와 동일</t>
    <phoneticPr fontId="3" type="noConversion"/>
  </si>
  <si>
    <t>제10장 소송의 종료-종국판결에 의한 종료</t>
  </si>
  <si>
    <t>제1절 재판 개관</t>
  </si>
  <si>
    <t>Ⅰ. 재판의 의의</t>
    <phoneticPr fontId="3" type="noConversion"/>
  </si>
  <si>
    <t>Ⅱ. 재판의 종류</t>
    <phoneticPr fontId="3" type="noConversion"/>
  </si>
  <si>
    <t>Ⅰ. 판결의 종류</t>
    <phoneticPr fontId="3" type="noConversion"/>
  </si>
  <si>
    <t>1. 중간판결[민소법 제201조]</t>
    <phoneticPr fontId="3" type="noConversion"/>
  </si>
  <si>
    <t>(2) 중간판결사항</t>
    <phoneticPr fontId="3" type="noConversion"/>
  </si>
  <si>
    <t>2. 종국판결[민소법 제198조]</t>
    <phoneticPr fontId="3" type="noConversion"/>
  </si>
  <si>
    <t>Ⅱ. 기판력 개관</t>
    <phoneticPr fontId="3" type="noConversion"/>
  </si>
  <si>
    <t>(1) 기판력의 의의</t>
    <phoneticPr fontId="3" type="noConversion"/>
  </si>
  <si>
    <t>(2) 정당성의 근거</t>
    <phoneticPr fontId="3" type="noConversion"/>
  </si>
  <si>
    <t>(3) 직권조사사항 및 소송요건</t>
    <phoneticPr fontId="3" type="noConversion"/>
  </si>
  <si>
    <t>2. 기판력 있는 재판</t>
    <phoneticPr fontId="3" type="noConversion"/>
  </si>
  <si>
    <t>(1) 유효하게 확정된 판결</t>
    <phoneticPr fontId="3" type="noConversion"/>
  </si>
  <si>
    <t>(2) 결정・명령</t>
    <phoneticPr fontId="3" type="noConversion"/>
  </si>
  <si>
    <t>(3) 확정판결과 동일한 효력이 있는 조서</t>
    <phoneticPr fontId="3" type="noConversion"/>
  </si>
  <si>
    <t>(4) 외국법원의 확정판결[민소법 제217조]</t>
    <phoneticPr fontId="3" type="noConversion"/>
  </si>
  <si>
    <t>(5) 소송물에 대한 실질적 판단</t>
    <phoneticPr fontId="3" type="noConversion"/>
  </si>
  <si>
    <t>3. 기판력의 본질</t>
    <phoneticPr fontId="3" type="noConversion"/>
  </si>
  <si>
    <t>Ⅲ. 기판력의 범위</t>
    <phoneticPr fontId="3" type="noConversion"/>
  </si>
  <si>
    <t>1. 기판력의 주관적 범위</t>
    <phoneticPr fontId="3" type="noConversion"/>
  </si>
  <si>
    <t>(1) 당사자</t>
    <phoneticPr fontId="3" type="noConversion"/>
  </si>
  <si>
    <t>(2) 당사자와 같이 볼 제3자[민소법 제218조]</t>
    <phoneticPr fontId="3" type="noConversion"/>
  </si>
  <si>
    <t>(3) 일반 제3자에의 확장</t>
    <phoneticPr fontId="3" type="noConversion"/>
  </si>
  <si>
    <t>2. 기판력의 객관적 범위</t>
    <phoneticPr fontId="3" type="noConversion"/>
  </si>
  <si>
    <t>(1) 판결주문에서의 판단[민소법 제216조]</t>
    <phoneticPr fontId="3" type="noConversion"/>
  </si>
  <si>
    <t>(2) 판결이유 중의 판단</t>
    <phoneticPr fontId="3" type="noConversion"/>
  </si>
  <si>
    <t>3. 기판력의 시적 범위</t>
    <phoneticPr fontId="3" type="noConversion"/>
  </si>
  <si>
    <t>(1) 기판력의 표준시</t>
    <phoneticPr fontId="3" type="noConversion"/>
  </si>
  <si>
    <t>(2) 변론종결 전에 존재한 사유</t>
    <phoneticPr fontId="3" type="noConversion"/>
  </si>
  <si>
    <t>(3) 변론종결 뒤에 발생한 새로운 사유</t>
    <phoneticPr fontId="3" type="noConversion"/>
  </si>
  <si>
    <t>(4) 변론종결 뒤의 형성권 행사</t>
    <phoneticPr fontId="3" type="noConversion"/>
  </si>
  <si>
    <t>(5) 정기금판결에 대한 변경의 소[민소법 제252조]</t>
    <phoneticPr fontId="3" type="noConversion"/>
  </si>
  <si>
    <t>Ⅳ. 채권자취소소송의 주요논점</t>
    <phoneticPr fontId="3" type="noConversion"/>
  </si>
  <si>
    <t>1. 채권자취소권의 요건사실</t>
    <phoneticPr fontId="3" type="noConversion"/>
  </si>
  <si>
    <t>2. 채권자취소소송의 법적 성질</t>
    <phoneticPr fontId="3" type="noConversion"/>
  </si>
  <si>
    <t>3. 채권자취소소송의 피고적격</t>
    <phoneticPr fontId="3" type="noConversion"/>
  </si>
  <si>
    <t>4. 채권자취소소송 중 채권자취소소송의 제기의 중복소제기 여부</t>
    <phoneticPr fontId="3" type="noConversion"/>
  </si>
  <si>
    <t>(1) 수인의 채권자가 채권자취소소송을 행사하는 경우</t>
    <phoneticPr fontId="3" type="noConversion"/>
  </si>
  <si>
    <t>(2) 채권자가 수익자를 피고로 채권자취소의 소를 이중으로 행사하는 경우</t>
    <phoneticPr fontId="3" type="noConversion"/>
  </si>
  <si>
    <t>5. 채권자취소소송에서의 기판력의 범위</t>
    <phoneticPr fontId="3" type="noConversion"/>
  </si>
  <si>
    <t>(1) 채무자 또는 채무자와 수익자와의 관계에서 기판력의 저촉 여부</t>
    <phoneticPr fontId="3" type="noConversion"/>
  </si>
  <si>
    <t>(2) 각 채권자가 채권자취소 및 원상회복소송을 제기한 경우</t>
    <phoneticPr fontId="3" type="noConversion"/>
  </si>
  <si>
    <t>(3) 한 명의 취소채권자가 피보전권리를 달리하여 채권자취소권을 이중으로 행사하는 경우</t>
    <phoneticPr fontId="3" type="noConversion"/>
  </si>
  <si>
    <t>(4) 채권자가 사해행위의 취소 및 원상회복으로 원물반환 청구를 하여 승소판결이 확정된 후에 다시 가액배상을 청구하는 것이 가능한지 여부</t>
    <phoneticPr fontId="3" type="noConversion"/>
  </si>
  <si>
    <t>(5) 선행소송에 따른 가액반환 종료 후 동일 부동산에 대한 증가된 시가상당의 가액반환을 구하는 후행소송의 경우</t>
    <phoneticPr fontId="3" type="noConversion"/>
  </si>
  <si>
    <t>6. 채권자취소소송에서 피보전채권의 추가・교환・승계</t>
    <phoneticPr fontId="3" type="noConversion"/>
  </si>
  <si>
    <t>(1) 피보전채권의 추가・교환이 소변경인지 여부</t>
    <phoneticPr fontId="3" type="noConversion"/>
  </si>
  <si>
    <t>(2) 피보전채권의 추가・교환의 경우 제소기간의 준수 여부</t>
    <phoneticPr fontId="3" type="noConversion"/>
  </si>
  <si>
    <t>(3) 다른 채권자의 피보전채권을 승계하여 소송하는 경우</t>
    <phoneticPr fontId="3" type="noConversion"/>
  </si>
  <si>
    <t>Ⅴ. 판결의 무효</t>
    <phoneticPr fontId="3" type="noConversion"/>
  </si>
  <si>
    <t>1. 판결의 부존재</t>
    <phoneticPr fontId="3" type="noConversion"/>
  </si>
  <si>
    <t>2. 무효의 판결</t>
    <phoneticPr fontId="3" type="noConversion"/>
  </si>
  <si>
    <t>(2) 무효사유</t>
    <phoneticPr fontId="3" type="noConversion"/>
  </si>
  <si>
    <t>(3) 효력</t>
    <phoneticPr fontId="3" type="noConversion"/>
  </si>
  <si>
    <t>3. 판결의 편취</t>
    <phoneticPr fontId="3" type="noConversion"/>
  </si>
  <si>
    <t>(1) 편취판결의 의의</t>
    <phoneticPr fontId="3" type="noConversion"/>
  </si>
  <si>
    <t>(2) 편취판결의 유형</t>
    <phoneticPr fontId="3" type="noConversion"/>
  </si>
  <si>
    <t>(3) 편취판결의 효력</t>
    <phoneticPr fontId="3" type="noConversion"/>
  </si>
  <si>
    <t>(4) 구제수단</t>
    <phoneticPr fontId="3" type="noConversion"/>
  </si>
  <si>
    <t>제11장 병합소송-병합청구소송</t>
    <phoneticPr fontId="3" type="noConversion"/>
  </si>
  <si>
    <t>Ⅰ. 청구의 객관적 병합</t>
    <phoneticPr fontId="3" type="noConversion"/>
  </si>
  <si>
    <t>(1) 의의[민소법 제253조]</t>
    <phoneticPr fontId="3" type="noConversion"/>
  </si>
  <si>
    <t>(2) 공격방법의 복수와의 구별</t>
    <phoneticPr fontId="3" type="noConversion"/>
  </si>
  <si>
    <t>2. 객관적 병합의 요건</t>
    <phoneticPr fontId="3" type="noConversion"/>
  </si>
  <si>
    <t>(1) 동종절차</t>
    <phoneticPr fontId="3" type="noConversion"/>
  </si>
  <si>
    <t>(2) 공통관할</t>
    <phoneticPr fontId="3" type="noConversion"/>
  </si>
  <si>
    <t>(3) 청구 관련성</t>
    <phoneticPr fontId="3" type="noConversion"/>
  </si>
  <si>
    <t>Ⅱ. 객관적 병합의 태양</t>
    <phoneticPr fontId="3" type="noConversion"/>
  </si>
  <si>
    <t>1. 단순병합</t>
    <phoneticPr fontId="3" type="noConversion"/>
  </si>
  <si>
    <t>(3) 심판</t>
    <phoneticPr fontId="3" type="noConversion"/>
  </si>
  <si>
    <t>(4) 상소</t>
    <phoneticPr fontId="3" type="noConversion"/>
  </si>
  <si>
    <t>2. 선택적 병합</t>
    <phoneticPr fontId="3" type="noConversion"/>
  </si>
  <si>
    <t>3. 예비적 병합</t>
    <phoneticPr fontId="3" type="noConversion"/>
  </si>
  <si>
    <t>4. 부진정예비적 병합</t>
    <phoneticPr fontId="3" type="noConversion"/>
  </si>
  <si>
    <t>(2) 허용 여부</t>
    <phoneticPr fontId="3" type="noConversion"/>
  </si>
  <si>
    <t>(3) 병합요건</t>
    <phoneticPr fontId="3" type="noConversion"/>
  </si>
  <si>
    <t>(4) 인정범위</t>
    <phoneticPr fontId="3" type="noConversion"/>
  </si>
  <si>
    <t>(5) 심판방법</t>
    <phoneticPr fontId="3" type="noConversion"/>
  </si>
  <si>
    <t>Ⅰ. 청구의 변경</t>
    <phoneticPr fontId="3" type="noConversion"/>
  </si>
  <si>
    <t>1. 의의[민소법 제262조]</t>
    <phoneticPr fontId="3" type="noConversion"/>
  </si>
  <si>
    <t>2. 청구변경의 범위</t>
    <phoneticPr fontId="3" type="noConversion"/>
  </si>
  <si>
    <t>(1) 청구취지의 변경</t>
    <phoneticPr fontId="3" type="noConversion"/>
  </si>
  <si>
    <t>(2) 청구원인의 변경</t>
    <phoneticPr fontId="3" type="noConversion"/>
  </si>
  <si>
    <t>(3) 공격방어방법의 변경</t>
    <phoneticPr fontId="3" type="noConversion"/>
  </si>
  <si>
    <t>3. 청구변경의 모습</t>
    <phoneticPr fontId="3" type="noConversion"/>
  </si>
  <si>
    <t>(1) 교환적 변경</t>
    <phoneticPr fontId="3" type="noConversion"/>
  </si>
  <si>
    <t>(2) 추가적 변경</t>
    <phoneticPr fontId="3" type="noConversion"/>
  </si>
  <si>
    <t>(3) 변경형태가 불분명한 경우</t>
    <phoneticPr fontId="3" type="noConversion"/>
  </si>
  <si>
    <t>4. 청구변경의 요건</t>
    <phoneticPr fontId="3" type="noConversion"/>
  </si>
  <si>
    <t>(1) 동종의 소송절차</t>
    <phoneticPr fontId="3" type="noConversion"/>
  </si>
  <si>
    <t>(2) 공통의 관할권</t>
    <phoneticPr fontId="3" type="noConversion"/>
  </si>
  <si>
    <t>(3) 청구기초의 동일성</t>
    <phoneticPr fontId="3" type="noConversion"/>
  </si>
  <si>
    <t>(4) 소송절차를 현저히 지연시키지 않을 것</t>
    <phoneticPr fontId="3" type="noConversion"/>
  </si>
  <si>
    <t>(5) 사실심에 계속되고 변론종결 전일 것</t>
    <phoneticPr fontId="3" type="noConversion"/>
  </si>
  <si>
    <t>5. 청구변경의 절차</t>
    <phoneticPr fontId="3" type="noConversion"/>
  </si>
  <si>
    <t>6. 청구변경의 심판[민소법 제263조]</t>
    <phoneticPr fontId="3" type="noConversion"/>
  </si>
  <si>
    <t>(1) 청구변경의 적법성 심사와 신청구심판</t>
    <phoneticPr fontId="3" type="noConversion"/>
  </si>
  <si>
    <t>(2) 청구변경의 간과판결</t>
    <phoneticPr fontId="3" type="noConversion"/>
  </si>
  <si>
    <t>(3) 항소심의 판결주문</t>
    <phoneticPr fontId="3" type="noConversion"/>
  </si>
  <si>
    <t>Ⅱ. 중간확인의 소</t>
    <phoneticPr fontId="3" type="noConversion"/>
  </si>
  <si>
    <t>1. 의의[민소법 제264조]</t>
    <phoneticPr fontId="3" type="noConversion"/>
  </si>
  <si>
    <t>(3) 다툼이 있는 선결적 법률관계의 확인</t>
    <phoneticPr fontId="3" type="noConversion"/>
  </si>
  <si>
    <t>(4) 다른 법원의 전소관할에 속하지 않을 것</t>
    <phoneticPr fontId="3" type="noConversion"/>
  </si>
  <si>
    <t>(5) 본래의 소가 사실심에 계속되고 변론종결 전일 것</t>
    <phoneticPr fontId="3" type="noConversion"/>
  </si>
  <si>
    <t>4. 심판</t>
    <phoneticPr fontId="3" type="noConversion"/>
  </si>
  <si>
    <t>Ⅲ. 반소</t>
    <phoneticPr fontId="3" type="noConversion"/>
  </si>
  <si>
    <t>1. 반소의 의의</t>
    <phoneticPr fontId="3" type="noConversion"/>
  </si>
  <si>
    <t>(1) 개념[민소법 제269조]</t>
    <phoneticPr fontId="3" type="noConversion"/>
  </si>
  <si>
    <t>(2) 인정취지</t>
    <phoneticPr fontId="3" type="noConversion"/>
  </si>
  <si>
    <t>2. 반소의 법적 성질</t>
    <phoneticPr fontId="3" type="noConversion"/>
  </si>
  <si>
    <t>(1) 독립한 소</t>
    <phoneticPr fontId="3" type="noConversion"/>
  </si>
  <si>
    <t>(2) 반소의 당사자</t>
    <phoneticPr fontId="3" type="noConversion"/>
  </si>
  <si>
    <t>3. 반소의 모습</t>
    <phoneticPr fontId="3" type="noConversion"/>
  </si>
  <si>
    <t>(1) 단순반소와 예비적 반소</t>
    <phoneticPr fontId="3" type="noConversion"/>
  </si>
  <si>
    <t>(2) 재반소</t>
    <phoneticPr fontId="3" type="noConversion"/>
  </si>
  <si>
    <t>4. 반소의 요건</t>
    <phoneticPr fontId="3" type="noConversion"/>
  </si>
  <si>
    <t>(2) 공통의 관할</t>
    <phoneticPr fontId="3" type="noConversion"/>
  </si>
  <si>
    <t>(3) 상호관련성</t>
    <phoneticPr fontId="3" type="noConversion"/>
  </si>
  <si>
    <t>(4) 본소절차를 현저히 지연시키지 않을 것</t>
    <phoneticPr fontId="3" type="noConversion"/>
  </si>
  <si>
    <t>(5) 본소가 사실심에 계속되고 변론종결 전일 것</t>
    <phoneticPr fontId="3" type="noConversion"/>
  </si>
  <si>
    <t>5. 반소의 절차</t>
    <phoneticPr fontId="3" type="noConversion"/>
  </si>
  <si>
    <t>(1) 반소의 제기</t>
    <phoneticPr fontId="3" type="noConversion"/>
  </si>
  <si>
    <t>(2) 반소요건과 일반소송요건의 조사</t>
    <phoneticPr fontId="3" type="noConversion"/>
  </si>
  <si>
    <t>6. 반소의 심판</t>
    <phoneticPr fontId="3" type="noConversion"/>
  </si>
  <si>
    <t>(1) 본안심판</t>
    <phoneticPr fontId="3" type="noConversion"/>
  </si>
  <si>
    <t>(2) 반소의 취하</t>
    <phoneticPr fontId="3" type="noConversion"/>
  </si>
  <si>
    <t>(3) 채권자취소권과 반소와의 관계</t>
    <phoneticPr fontId="3" type="noConversion"/>
  </si>
  <si>
    <t>제12장 병합소송-다수당사자소송</t>
    <phoneticPr fontId="3" type="noConversion"/>
  </si>
  <si>
    <t>Ⅰ. 공동소송의 개관</t>
    <phoneticPr fontId="3" type="noConversion"/>
  </si>
  <si>
    <t>(1) 개념</t>
    <phoneticPr fontId="3" type="noConversion"/>
  </si>
  <si>
    <t>(3) 구별</t>
    <phoneticPr fontId="3" type="noConversion"/>
  </si>
  <si>
    <t>2. 공동소송의 일반요건[민소법 제65조, 제253조]</t>
    <phoneticPr fontId="3" type="noConversion"/>
  </si>
  <si>
    <t>Ⅱ. 통상의 공동소송</t>
    <phoneticPr fontId="3" type="noConversion"/>
  </si>
  <si>
    <t>1. 통상공동소송의 의의</t>
    <phoneticPr fontId="3" type="noConversion"/>
  </si>
  <si>
    <t>2. 공동소송인 독립의 원칙</t>
    <phoneticPr fontId="3" type="noConversion"/>
  </si>
  <si>
    <t>(2) 내용</t>
    <phoneticPr fontId="3" type="noConversion"/>
  </si>
  <si>
    <t>3. 공동소송인 독립의 원칙의 수정</t>
    <phoneticPr fontId="3" type="noConversion"/>
  </si>
  <si>
    <t>(1) 수정의 원리</t>
    <phoneticPr fontId="3" type="noConversion"/>
  </si>
  <si>
    <t>(2) 주장공통의 원칙</t>
    <phoneticPr fontId="3" type="noConversion"/>
  </si>
  <si>
    <t>(3) 증거공통의 원칙</t>
    <phoneticPr fontId="3" type="noConversion"/>
  </si>
  <si>
    <t>Ⅲ. 필수적 공동소송</t>
    <phoneticPr fontId="3" type="noConversion"/>
  </si>
  <si>
    <t>2. 고유필수적 공동소송</t>
    <phoneticPr fontId="3" type="noConversion"/>
  </si>
  <si>
    <t>(2) 인정 여부</t>
    <phoneticPr fontId="3" type="noConversion"/>
  </si>
  <si>
    <t>(3) 심판방법</t>
    <phoneticPr fontId="3" type="noConversion"/>
  </si>
  <si>
    <t>3. 유사필수적 공동소송</t>
    <phoneticPr fontId="3" type="noConversion"/>
  </si>
  <si>
    <t>Ⅳ. 예비적・선택적 공동소송</t>
    <phoneticPr fontId="3" type="noConversion"/>
  </si>
  <si>
    <t>(1) 개념[민소법 제70조]</t>
    <phoneticPr fontId="3" type="noConversion"/>
  </si>
  <si>
    <t>2. 소송의 유형</t>
    <phoneticPr fontId="3" type="noConversion"/>
  </si>
  <si>
    <t>(1) 수동형과 능동형</t>
    <phoneticPr fontId="3" type="noConversion"/>
  </si>
  <si>
    <t>(2) 예비형과 선택형</t>
    <phoneticPr fontId="3" type="noConversion"/>
  </si>
  <si>
    <t>(3) 원시형과 후발형</t>
    <phoneticPr fontId="3" type="noConversion"/>
  </si>
  <si>
    <t>3. 요건</t>
    <phoneticPr fontId="3" type="noConversion"/>
  </si>
  <si>
    <t>(1) 법률상 양립 불가능</t>
    <phoneticPr fontId="3" type="noConversion"/>
  </si>
  <si>
    <t>(2) 공동소송인의 일반요건</t>
    <phoneticPr fontId="3" type="noConversion"/>
  </si>
  <si>
    <t>4. 심판방법</t>
    <phoneticPr fontId="3" type="noConversion"/>
  </si>
  <si>
    <t>(1) 소송요건의 심사</t>
    <phoneticPr fontId="3" type="noConversion"/>
  </si>
  <si>
    <t>(2) 소송자료의 통일</t>
    <phoneticPr fontId="3" type="noConversion"/>
  </si>
  <si>
    <t>(3) 소송진행의 통일</t>
    <phoneticPr fontId="3" type="noConversion"/>
  </si>
  <si>
    <t>(4) 본안재판의 통일</t>
    <phoneticPr fontId="3" type="noConversion"/>
  </si>
  <si>
    <t>(5) 상소심에서의 소송진행의 통일</t>
    <phoneticPr fontId="3" type="noConversion"/>
  </si>
  <si>
    <t>Ⅴ. 추가적 공동소송</t>
    <phoneticPr fontId="3" type="noConversion"/>
  </si>
  <si>
    <t>2. 해석상 추가적・주관적 공동소송 인정 여부</t>
    <phoneticPr fontId="3" type="noConversion"/>
  </si>
  <si>
    <t>Ⅵ. 선정당사자</t>
    <phoneticPr fontId="3" type="noConversion"/>
  </si>
  <si>
    <t>1. 의의[민소법 제53조]</t>
    <phoneticPr fontId="3" type="noConversion"/>
  </si>
  <si>
    <t>2. 요건[민소법 제65조]</t>
    <phoneticPr fontId="3" type="noConversion"/>
  </si>
  <si>
    <t>(1) 공동소송을 할 여러 사람이 있을 것</t>
    <phoneticPr fontId="3" type="noConversion"/>
  </si>
  <si>
    <t>(2) 공동의 이해관계가 있을 것</t>
    <phoneticPr fontId="3" type="noConversion"/>
  </si>
  <si>
    <t>(3) 공동의 이해관계가 있는 자 중에서 선정할 것</t>
    <phoneticPr fontId="3" type="noConversion"/>
  </si>
  <si>
    <t>3. 선정의 방법</t>
    <phoneticPr fontId="3" type="noConversion"/>
  </si>
  <si>
    <t>(2) 선정의 성질</t>
    <phoneticPr fontId="3" type="noConversion"/>
  </si>
  <si>
    <t>4. 선정의 효과</t>
    <phoneticPr fontId="3" type="noConversion"/>
  </si>
  <si>
    <t>(1) 선정당사자의 지위</t>
    <phoneticPr fontId="3" type="noConversion"/>
  </si>
  <si>
    <t>(2) 선정자의 지위</t>
    <phoneticPr fontId="3" type="noConversion"/>
  </si>
  <si>
    <t>5. 선정당사자의 자격흠결의 효과</t>
    <phoneticPr fontId="3" type="noConversion"/>
  </si>
  <si>
    <t>(2) 간과판결</t>
    <phoneticPr fontId="3" type="noConversion"/>
  </si>
  <si>
    <t>6. 선정당사자의 기타 논점</t>
    <phoneticPr fontId="3" type="noConversion"/>
  </si>
  <si>
    <t>(1) 공동의 이해관계가 없는 선정당사자가 인낙한 인낙조서에 대한 재심 가부</t>
    <phoneticPr fontId="3" type="noConversion"/>
  </si>
  <si>
    <t>(2) 선정당사자의 부재소합의</t>
    <phoneticPr fontId="3" type="noConversion"/>
  </si>
  <si>
    <t>(3) 선정당사자의 자격상실</t>
    <phoneticPr fontId="3" type="noConversion"/>
  </si>
  <si>
    <t>Ⅰ. 통상의 보조참가</t>
    <phoneticPr fontId="3" type="noConversion"/>
  </si>
  <si>
    <t>1. 의의[민소법 제71조]</t>
    <phoneticPr fontId="3" type="noConversion"/>
  </si>
  <si>
    <t>(1) 타인 사이의 소송이 계속 중일 것</t>
    <phoneticPr fontId="3" type="noConversion"/>
  </si>
  <si>
    <t>(2) 소송결과에 대하여 이해관계가 있을 것(참가이유)</t>
    <phoneticPr fontId="3" type="noConversion"/>
  </si>
  <si>
    <t>(3) 소송절차의 현저한 지연이 없을 것</t>
    <phoneticPr fontId="3" type="noConversion"/>
  </si>
  <si>
    <t>(4) 소송행위로서의 유효요건을 갖출 것</t>
    <phoneticPr fontId="3" type="noConversion"/>
  </si>
  <si>
    <t>(5) 참가의 보충성 요부</t>
    <phoneticPr fontId="3" type="noConversion"/>
  </si>
  <si>
    <t>3. 보조참가절차</t>
    <phoneticPr fontId="3" type="noConversion"/>
  </si>
  <si>
    <t>(1) 참가신청</t>
    <phoneticPr fontId="3" type="noConversion"/>
  </si>
  <si>
    <t>(2) 참가의 허부</t>
    <phoneticPr fontId="3" type="noConversion"/>
  </si>
  <si>
    <t>(3) 참가의 종료</t>
    <phoneticPr fontId="3" type="noConversion"/>
  </si>
  <si>
    <t>4. 참가인의 소송상 지위</t>
    <phoneticPr fontId="3" type="noConversion"/>
  </si>
  <si>
    <t>(1) 종속적 지위</t>
    <phoneticPr fontId="3" type="noConversion"/>
  </si>
  <si>
    <t>(2) 독립적 지위</t>
    <phoneticPr fontId="3" type="noConversion"/>
  </si>
  <si>
    <t>5. 참가적 효력[민소법 제77조]</t>
    <phoneticPr fontId="3" type="noConversion"/>
  </si>
  <si>
    <t>(2) 발생요건</t>
    <phoneticPr fontId="3" type="noConversion"/>
  </si>
  <si>
    <t>(3) 범위</t>
    <phoneticPr fontId="3" type="noConversion"/>
  </si>
  <si>
    <t>(4) 참가적 효력의 배제</t>
    <phoneticPr fontId="3" type="noConversion"/>
  </si>
  <si>
    <t>Ⅱ. 소송고지</t>
    <phoneticPr fontId="3" type="noConversion"/>
  </si>
  <si>
    <t>1. 의의[민소법 제84조]</t>
    <phoneticPr fontId="3" type="noConversion"/>
  </si>
  <si>
    <t>2. 소송고지의 요건[민소법 제85조]</t>
    <phoneticPr fontId="3" type="noConversion"/>
  </si>
  <si>
    <t>3. 소송고지의 효과</t>
    <phoneticPr fontId="3" type="noConversion"/>
  </si>
  <si>
    <t>(1) 소송법상의 효과[민소법 제86조]</t>
    <phoneticPr fontId="3" type="noConversion"/>
  </si>
  <si>
    <t>Ⅲ. 공동소송적 보조참가</t>
    <phoneticPr fontId="3" type="noConversion"/>
  </si>
  <si>
    <t>1. 의의[민소법 제78조]</t>
    <phoneticPr fontId="3" type="noConversion"/>
  </si>
  <si>
    <t>(2) 당사자적격이 없을 것</t>
    <phoneticPr fontId="3" type="noConversion"/>
  </si>
  <si>
    <t>(3) 판결의 효력이 미칠 것</t>
    <phoneticPr fontId="3" type="noConversion"/>
  </si>
  <si>
    <t>3. 참가절차</t>
    <phoneticPr fontId="3" type="noConversion"/>
  </si>
  <si>
    <t>(1) 필수적 공동소송 규정준용</t>
    <phoneticPr fontId="3" type="noConversion"/>
  </si>
  <si>
    <t>(3) 종속적 지위</t>
    <phoneticPr fontId="3" type="noConversion"/>
  </si>
  <si>
    <t>5. 피참가인의 소송상 지위[민소법 제78조, 제67조, 제69조]</t>
    <phoneticPr fontId="3" type="noConversion"/>
  </si>
  <si>
    <t>(1) 유사필수적 공동소송에 준하는 지위</t>
    <phoneticPr fontId="3" type="noConversion"/>
  </si>
  <si>
    <t>(2) 피참가인이 할 수 있는 소송행위</t>
    <phoneticPr fontId="3" type="noConversion"/>
  </si>
  <si>
    <t>(3) 피참가인이 할 수 없는 소송행위</t>
    <phoneticPr fontId="3" type="noConversion"/>
  </si>
  <si>
    <t>6. 참가인에 미치는 판결의 효력</t>
    <phoneticPr fontId="3" type="noConversion"/>
  </si>
  <si>
    <t>Ⅳ. 공동소송참가</t>
    <phoneticPr fontId="3" type="noConversion"/>
  </si>
  <si>
    <t>1. 의의[민소법 제83조]</t>
    <phoneticPr fontId="3" type="noConversion"/>
  </si>
  <si>
    <t>(2) 당사자적격이 있을 것</t>
    <phoneticPr fontId="3" type="noConversion"/>
  </si>
  <si>
    <t>(3) 합일확정의 효력이 있을 것</t>
    <phoneticPr fontId="3" type="noConversion"/>
  </si>
  <si>
    <t>Ⅴ. 독립당사자참가</t>
    <phoneticPr fontId="3" type="noConversion"/>
  </si>
  <si>
    <t>1. 의의[민소법 제79조]</t>
    <phoneticPr fontId="3" type="noConversion"/>
  </si>
  <si>
    <t>2. 소송의 구조</t>
    <phoneticPr fontId="3" type="noConversion"/>
  </si>
  <si>
    <t>3. 참가요건</t>
    <phoneticPr fontId="3" type="noConversion"/>
  </si>
  <si>
    <t>(2) 참가이유</t>
    <phoneticPr fontId="3" type="noConversion"/>
  </si>
  <si>
    <t>(3) 참가취지</t>
    <phoneticPr fontId="3" type="noConversion"/>
  </si>
  <si>
    <t>(4) 청구병합의 요건 및 소송요건을 갖출 것</t>
    <phoneticPr fontId="3" type="noConversion"/>
  </si>
  <si>
    <t>4. 참가절차[민소법 제79조, 제72조]</t>
    <phoneticPr fontId="3" type="noConversion"/>
  </si>
  <si>
    <t>(2) 독립당사자참가를 하면서 예비적으로 보조참가를 할 수 있는지 여부</t>
    <phoneticPr fontId="3" type="noConversion"/>
  </si>
  <si>
    <t>(3) 참가신청의 효과</t>
    <phoneticPr fontId="3" type="noConversion"/>
  </si>
  <si>
    <t>5. 참가심판</t>
    <phoneticPr fontId="3" type="noConversion"/>
  </si>
  <si>
    <t>(1) 참가요건과 소송요건 조사</t>
    <phoneticPr fontId="3" type="noConversion"/>
  </si>
  <si>
    <t>(2) 본안심판</t>
    <phoneticPr fontId="3" type="noConversion"/>
  </si>
  <si>
    <t>(3) 본안판결</t>
    <phoneticPr fontId="3" type="noConversion"/>
  </si>
  <si>
    <t>(4) 판결에 대한 상소</t>
    <phoneticPr fontId="3" type="noConversion"/>
  </si>
  <si>
    <t>6. 3면 소송의 붕괴</t>
    <phoneticPr fontId="3" type="noConversion"/>
  </si>
  <si>
    <t>(1) 본소 취하・각하</t>
    <phoneticPr fontId="3" type="noConversion"/>
  </si>
  <si>
    <t>(2) 참가의 취하・각하</t>
    <phoneticPr fontId="3" type="noConversion"/>
  </si>
  <si>
    <t>(3) 소송탈퇴[민소법 제80조]</t>
    <phoneticPr fontId="3" type="noConversion"/>
  </si>
  <si>
    <t>Ⅰ. 임의적 당사자변경</t>
    <phoneticPr fontId="3" type="noConversion"/>
  </si>
  <si>
    <t>2. 허용 여부</t>
    <phoneticPr fontId="3" type="noConversion"/>
  </si>
  <si>
    <t>3. 법적 성질</t>
    <phoneticPr fontId="3" type="noConversion"/>
  </si>
  <si>
    <t>4. 민사소송법상 임의적 당사자변경</t>
    <phoneticPr fontId="3" type="noConversion"/>
  </si>
  <si>
    <t>(1) 피고의 경정[민소법 제260조]</t>
    <phoneticPr fontId="3" type="noConversion"/>
  </si>
  <si>
    <t>(2) 고유필수적 공동소송인의 추가[민소법 제68조]</t>
    <phoneticPr fontId="3" type="noConversion"/>
  </si>
  <si>
    <t>Ⅱ. 소송승계</t>
    <phoneticPr fontId="3" type="noConversion"/>
  </si>
  <si>
    <t>(3) 유형</t>
    <phoneticPr fontId="3" type="noConversion"/>
  </si>
  <si>
    <t>2. 당연승계</t>
    <phoneticPr fontId="3" type="noConversion"/>
  </si>
  <si>
    <t>(3) 당연승계의 사유</t>
    <phoneticPr fontId="3" type="noConversion"/>
  </si>
  <si>
    <t>(4) 당연승계의 효과</t>
    <phoneticPr fontId="3" type="noConversion"/>
  </si>
  <si>
    <t>3. 특정승계</t>
    <phoneticPr fontId="3" type="noConversion"/>
  </si>
  <si>
    <t>(3) 변론종결 뒤의 승계인과의 관계</t>
    <phoneticPr fontId="3" type="noConversion"/>
  </si>
  <si>
    <t>(4) 소송승계인의 범위</t>
    <phoneticPr fontId="3" type="noConversion"/>
  </si>
  <si>
    <t>4. 참가승계</t>
    <phoneticPr fontId="3" type="noConversion"/>
  </si>
  <si>
    <t>(1) 참가승계의 의의[민소법 제81조]</t>
    <phoneticPr fontId="3" type="noConversion"/>
  </si>
  <si>
    <t>(2) 참가승계의 요건</t>
    <phoneticPr fontId="3" type="noConversion"/>
  </si>
  <si>
    <t>(3) 참가승계의 절차</t>
    <phoneticPr fontId="3" type="noConversion"/>
  </si>
  <si>
    <t>(4) 참가승계의 효과</t>
    <phoneticPr fontId="3" type="noConversion"/>
  </si>
  <si>
    <t>5. 인수승계</t>
    <phoneticPr fontId="3" type="noConversion"/>
  </si>
  <si>
    <t>(1) 인수승계의 의의</t>
    <phoneticPr fontId="3" type="noConversion"/>
  </si>
  <si>
    <t>(2) 인수승계의 요건</t>
    <phoneticPr fontId="3" type="noConversion"/>
  </si>
  <si>
    <t>(3) 인수승계의 절차</t>
    <phoneticPr fontId="3" type="noConversion"/>
  </si>
  <si>
    <t>(4) 인수승계의 효과[민소법 제82조, 제81조, 제80조]</t>
    <phoneticPr fontId="3" type="noConversion"/>
  </si>
  <si>
    <t>제13장 상소심절차-총설</t>
  </si>
  <si>
    <t>Ⅰ. 개념</t>
    <phoneticPr fontId="3" type="noConversion"/>
  </si>
  <si>
    <t>Ⅱ. 구별</t>
    <phoneticPr fontId="3" type="noConversion"/>
  </si>
  <si>
    <t>Ⅰ. 대상적격</t>
    <phoneticPr fontId="3" type="noConversion"/>
  </si>
  <si>
    <t>1. 유효한 판결일 것</t>
    <phoneticPr fontId="3" type="noConversion"/>
  </si>
  <si>
    <t>2. 선고 후 확정 전의 종국판결일 것</t>
    <phoneticPr fontId="3" type="noConversion"/>
  </si>
  <si>
    <t>Ⅱ. 적식의 상소제기[민소법 제396조, 제397조, 제425조]</t>
    <phoneticPr fontId="3" type="noConversion"/>
  </si>
  <si>
    <t>1. 법정방식에 따른 상소제기</t>
    <phoneticPr fontId="3" type="noConversion"/>
  </si>
  <si>
    <t>2. 상소기간의 준수</t>
    <phoneticPr fontId="3" type="noConversion"/>
  </si>
  <si>
    <t>Ⅲ. 당사자적격</t>
    <phoneticPr fontId="3" type="noConversion"/>
  </si>
  <si>
    <t>Ⅳ. 상소의 이익</t>
    <phoneticPr fontId="3" type="noConversion"/>
  </si>
  <si>
    <t>2. 판단기준</t>
    <phoneticPr fontId="3" type="noConversion"/>
  </si>
  <si>
    <t>3. 상소의 이익 유무의 구체적 검토</t>
    <phoneticPr fontId="3" type="noConversion"/>
  </si>
  <si>
    <t>Ⅴ. 상소권 포기・불상소합의 등 상소장애사유가 없을 것[민소법 제394조, 제395조, 제425조, 제390조]</t>
    <phoneticPr fontId="3" type="noConversion"/>
  </si>
  <si>
    <t>1. 상소권 포기가 없을 것</t>
    <phoneticPr fontId="3" type="noConversion"/>
  </si>
  <si>
    <t>2. 불상소합의가 없을 것</t>
    <phoneticPr fontId="3" type="noConversion"/>
  </si>
  <si>
    <t>Ⅵ. 소송행위의 유효요건을 구비할 것</t>
    <phoneticPr fontId="3" type="noConversion"/>
  </si>
  <si>
    <t>1. 신의칙에 위반되지 않을 것</t>
    <phoneticPr fontId="3" type="noConversion"/>
  </si>
  <si>
    <t>2. 소송절차 중단 중의 소송행위가 아닐 것</t>
    <phoneticPr fontId="3" type="noConversion"/>
  </si>
  <si>
    <t>Ⅰ. 확정차단과 이심의 효력[민소법 제498조]</t>
    <phoneticPr fontId="3" type="noConversion"/>
  </si>
  <si>
    <t>Ⅱ. 상소불가분의 원칙(이심의 범위)</t>
    <phoneticPr fontId="3" type="noConversion"/>
  </si>
  <si>
    <t>2. 이심의 범위</t>
    <phoneticPr fontId="3" type="noConversion"/>
  </si>
  <si>
    <t>3. 단순병합 또는 한 청구에서 불복하지 않은 패소 부분의 확정시기</t>
    <phoneticPr fontId="3" type="noConversion"/>
  </si>
  <si>
    <t>Ⅲ. 상소심의 심판범위(불이익변경금지의 원칙)[민소법 제415조]</t>
    <phoneticPr fontId="3" type="noConversion"/>
  </si>
  <si>
    <t>2. 법적 근거</t>
    <phoneticPr fontId="3" type="noConversion"/>
  </si>
  <si>
    <t>3. 판단기준</t>
    <phoneticPr fontId="3" type="noConversion"/>
  </si>
  <si>
    <t>4. 원칙의 내용</t>
    <phoneticPr fontId="3" type="noConversion"/>
  </si>
  <si>
    <t>5. 원칙의 예외</t>
    <phoneticPr fontId="3" type="noConversion"/>
  </si>
  <si>
    <t>6. 위반의 효과</t>
    <phoneticPr fontId="3" type="noConversion"/>
  </si>
  <si>
    <t>제14장 상소심절차-항소</t>
  </si>
  <si>
    <t>Ⅰ. 항소의 의의</t>
    <phoneticPr fontId="3" type="noConversion"/>
  </si>
  <si>
    <t>Ⅱ. 항소심의 구조</t>
    <phoneticPr fontId="3" type="noConversion"/>
  </si>
  <si>
    <t>Ⅰ. 항소제기의 방식</t>
    <phoneticPr fontId="3" type="noConversion"/>
  </si>
  <si>
    <t>Ⅱ. 재판장의 항소장심사권</t>
    <phoneticPr fontId="3" type="noConversion"/>
  </si>
  <si>
    <t>Ⅲ. 항소의 취하</t>
    <phoneticPr fontId="3" type="noConversion"/>
  </si>
  <si>
    <t>1. 의의[민소법 제393조]</t>
    <phoneticPr fontId="3" type="noConversion"/>
  </si>
  <si>
    <t>4. 항소취하간주</t>
    <phoneticPr fontId="3" type="noConversion"/>
  </si>
  <si>
    <t>5. 항소취하의 합의</t>
    <phoneticPr fontId="3" type="noConversion"/>
  </si>
  <si>
    <t>6. 항소의 일부취하의 가부</t>
    <phoneticPr fontId="3" type="noConversion"/>
  </si>
  <si>
    <t>Ⅳ. 부대항소</t>
    <phoneticPr fontId="3" type="noConversion"/>
  </si>
  <si>
    <t>1. 의의[민소법 제403조]</t>
    <phoneticPr fontId="3" type="noConversion"/>
  </si>
  <si>
    <t>2. 인정취지</t>
    <phoneticPr fontId="3" type="noConversion"/>
  </si>
  <si>
    <t>3. 법적 성질</t>
  </si>
  <si>
    <t>4. 요건</t>
  </si>
  <si>
    <t>5. 방식</t>
  </si>
  <si>
    <t>6. 효과</t>
  </si>
  <si>
    <t>Ⅰ. 항소의 적법성 심리</t>
    <phoneticPr fontId="3" type="noConversion"/>
  </si>
  <si>
    <t>Ⅱ. 본안심리</t>
    <phoneticPr fontId="3" type="noConversion"/>
  </si>
  <si>
    <t>Ⅰ. 항소장 각하명령</t>
    <phoneticPr fontId="3" type="noConversion"/>
  </si>
  <si>
    <t>Ⅱ. 항소각하결정[민소법 제402조의2, 제402조의3]</t>
    <phoneticPr fontId="3" type="noConversion"/>
  </si>
  <si>
    <t>Ⅲ. 항소각하판결</t>
    <phoneticPr fontId="3" type="noConversion"/>
  </si>
  <si>
    <t>Ⅳ. 항소기각판결</t>
    <phoneticPr fontId="3" type="noConversion"/>
  </si>
  <si>
    <t>Ⅴ. 항소인용판결[민소법 제416조, 제417조, 제418조, 제419조]</t>
    <phoneticPr fontId="3" type="noConversion"/>
  </si>
  <si>
    <t>1. 자판</t>
  </si>
  <si>
    <t>2. 환송</t>
  </si>
  <si>
    <t>3. 이송</t>
  </si>
  <si>
    <t>제15장 상소심절차-상고</t>
  </si>
  <si>
    <t>Ⅱ. 법률심으로서의 상고심</t>
    <phoneticPr fontId="3" type="noConversion"/>
  </si>
  <si>
    <t>Ⅰ. 일반적 상고이유</t>
  </si>
  <si>
    <t>Ⅱ. 절대적 상고이유[민소법 제424조]</t>
  </si>
  <si>
    <t>Ⅲ. 그 밖에 상고이유로서의 재심사유</t>
  </si>
  <si>
    <t>제3절 상고심절차의 개사와 심리</t>
  </si>
  <si>
    <t>Ⅰ. 상고장 각하명령</t>
  </si>
  <si>
    <t>Ⅱ. 상고각하판결</t>
  </si>
  <si>
    <t>Ⅲ. 상고기각판결</t>
  </si>
  <si>
    <t>Ⅳ. 상고인용판결[민소법 제436조, 제438조]</t>
  </si>
  <si>
    <t>1. 원판결의 파기</t>
  </si>
  <si>
    <t>2. 환송 또는 이송</t>
  </si>
  <si>
    <t>3. 자판</t>
  </si>
  <si>
    <t>제16장 상소심절차-항고</t>
  </si>
  <si>
    <t>Ⅰ. 항고의 개념</t>
  </si>
  <si>
    <t>Ⅱ. 항고의 유형</t>
  </si>
  <si>
    <t>Ⅲ. 항고의 적용범위</t>
  </si>
  <si>
    <t>Ⅰ. 항고의 제기</t>
  </si>
  <si>
    <t>1. 항고장의 제출</t>
  </si>
  <si>
    <t>2. 항고기간</t>
  </si>
  <si>
    <t>Ⅱ. 항고의 효력</t>
  </si>
  <si>
    <t>Ⅲ. 항고의 심판</t>
  </si>
  <si>
    <t>제17장 재심절차</t>
  </si>
  <si>
    <t>Ⅰ. 의의</t>
  </si>
  <si>
    <t>Ⅱ. 인정취지</t>
  </si>
  <si>
    <t>Ⅰ. 재심소송의 구조</t>
  </si>
  <si>
    <t>Ⅱ. 재심사유와 소송물</t>
  </si>
  <si>
    <t>Ⅰ. 재심의 대상적격</t>
  </si>
  <si>
    <t>1. 확정된 종국판결</t>
  </si>
  <si>
    <t>2. 대상적격 인정 여부에 대한 구체적 검토</t>
  </si>
  <si>
    <t>Ⅱ. 재심기간[민소법 제456조]</t>
  </si>
  <si>
    <t>1. 재심사유를 안 날로부터 30일</t>
  </si>
  <si>
    <t>2. 판결확정 후 5년</t>
  </si>
  <si>
    <t>Ⅲ. 재심의 이익</t>
  </si>
  <si>
    <t>Ⅳ. 재심당사자적격</t>
  </si>
  <si>
    <t>Ⅴ. 재심사유의 주작</t>
  </si>
  <si>
    <t>Ⅵ. 보충성</t>
  </si>
  <si>
    <t>Ⅶ. 개별적 재심사유[민소법 제451조]</t>
  </si>
  <si>
    <t>2. 재심사유</t>
  </si>
  <si>
    <t>Ⅰ. 관할법원</t>
  </si>
  <si>
    <t>1. 전속관할</t>
  </si>
  <si>
    <t>2. 상소각하판결의 확정</t>
  </si>
  <si>
    <t>3. 상소기각판결의 확정</t>
  </si>
  <si>
    <t>4. 재심의 소를 제기할 법원을 그르친 경우</t>
  </si>
  <si>
    <t>Ⅱ. 중간판결</t>
  </si>
  <si>
    <t>Ⅲ. 소송절차</t>
  </si>
  <si>
    <t>Ⅳ. 재심의 소에서 피참가인의 소의 취하</t>
  </si>
  <si>
    <t>Ⅰ. 의의[민소법 제461조]</t>
  </si>
  <si>
    <t>Ⅱ. 요건</t>
  </si>
  <si>
    <t>No</t>
    <phoneticPr fontId="3" type="noConversion"/>
  </si>
  <si>
    <t>년도</t>
    <phoneticPr fontId="3" type="noConversion"/>
  </si>
  <si>
    <t>번호</t>
    <phoneticPr fontId="3" type="noConversion"/>
  </si>
  <si>
    <t>문제 주제</t>
    <phoneticPr fontId="3" type="noConversion"/>
  </si>
  <si>
    <t>비고</t>
    <phoneticPr fontId="3" type="noConversion"/>
  </si>
  <si>
    <t>정렬 기준</t>
    <phoneticPr fontId="3" type="noConversion"/>
  </si>
  <si>
    <t>년↓</t>
    <phoneticPr fontId="3" type="noConversion"/>
  </si>
  <si>
    <t>년↑</t>
    <phoneticPr fontId="3" type="noConversion"/>
  </si>
  <si>
    <t>1-1</t>
    <phoneticPr fontId="3" type="noConversion"/>
  </si>
  <si>
    <t>5</t>
    <phoneticPr fontId="3" type="noConversion"/>
  </si>
  <si>
    <t>01</t>
    <phoneticPr fontId="3" type="noConversion"/>
  </si>
  <si>
    <t>4</t>
    <phoneticPr fontId="3" type="noConversion"/>
  </si>
  <si>
    <t>제06절 증명책임</t>
    <phoneticPr fontId="3" type="noConversion"/>
  </si>
  <si>
    <t>1-2</t>
    <phoneticPr fontId="3" type="noConversion"/>
  </si>
  <si>
    <t>3</t>
    <phoneticPr fontId="3" type="noConversion"/>
  </si>
  <si>
    <t>제01절 청구의 원시적 병합</t>
    <phoneticPr fontId="3" type="noConversion"/>
  </si>
  <si>
    <t>2</t>
    <phoneticPr fontId="3" type="noConversion"/>
  </si>
  <si>
    <t>제03절 소의 이익</t>
    <phoneticPr fontId="3" type="noConversion"/>
  </si>
  <si>
    <t>1</t>
    <phoneticPr fontId="3" type="noConversion"/>
  </si>
  <si>
    <t>제01절 소의 취하와 재소금지</t>
    <phoneticPr fontId="3" type="noConversion"/>
  </si>
  <si>
    <t>제01절 공동소송</t>
    <phoneticPr fontId="3" type="noConversion"/>
  </si>
  <si>
    <t>제03절 상소의 효력</t>
    <phoneticPr fontId="3" type="noConversion"/>
  </si>
  <si>
    <t>02</t>
    <phoneticPr fontId="3" type="noConversion"/>
  </si>
  <si>
    <t>제07절 기일・기간 및 송달</t>
    <phoneticPr fontId="3" type="noConversion"/>
  </si>
  <si>
    <t>제07절 소제기의 효과</t>
    <phoneticPr fontId="3" type="noConversion"/>
  </si>
  <si>
    <t>제02절 판결</t>
    <phoneticPr fontId="3" type="noConversion"/>
  </si>
  <si>
    <t>제02절 항소의 제기</t>
    <phoneticPr fontId="3" type="noConversion"/>
  </si>
  <si>
    <t>예비적 병합에서 일부 판결의 적법성 및 누락된 청구에 대한 불복방법</t>
    <phoneticPr fontId="3" type="noConversion"/>
  </si>
  <si>
    <t>공동선정당사자 중 1인의 진술이 가지는 소송상 효력</t>
    <phoneticPr fontId="3" type="noConversion"/>
  </si>
  <si>
    <t>제04절 변론</t>
    <phoneticPr fontId="3" type="noConversion"/>
  </si>
  <si>
    <t>제03절 불요증사실</t>
    <phoneticPr fontId="3" type="noConversion"/>
  </si>
  <si>
    <t>재판상 자백의 성립과 취소 및 공동소송인 독립의 원칙에 따른 판결의 가부</t>
    <phoneticPr fontId="3" type="noConversion"/>
  </si>
  <si>
    <t>03</t>
    <phoneticPr fontId="3" type="noConversion"/>
  </si>
  <si>
    <t>공동소송인 독립의 원칙과 증거공통의 원칙에 따른 청구기각 판결의 적법성</t>
    <phoneticPr fontId="3" type="noConversion"/>
  </si>
  <si>
    <t>제02절 당사자의 자격</t>
    <phoneticPr fontId="3" type="noConversion"/>
  </si>
  <si>
    <t>제02절 청구의 후발적 병합</t>
    <phoneticPr fontId="3" type="noConversion"/>
  </si>
  <si>
    <t>제03절 관할</t>
    <phoneticPr fontId="3" type="noConversion"/>
  </si>
  <si>
    <t>당사자표시정정 후의 관할권 인정 여부와 변론관할의 성립</t>
    <phoneticPr fontId="3" type="noConversion"/>
  </si>
  <si>
    <t>제02절 심리에 관한 제 원칙</t>
    <phoneticPr fontId="3" type="noConversion"/>
  </si>
  <si>
    <t>04</t>
    <phoneticPr fontId="3" type="noConversion"/>
  </si>
  <si>
    <t>유사필수적 공동소송의 의의, 성립요건 및 소송수행상의 특징</t>
    <phoneticPr fontId="3" type="noConversion"/>
  </si>
  <si>
    <t>확정판결의 기판력과 표준시 이후의 상계권 행사 가능성</t>
    <phoneticPr fontId="3" type="noConversion"/>
  </si>
  <si>
    <t>제02절 제3자의 소송참가</t>
    <phoneticPr fontId="3" type="noConversion"/>
  </si>
  <si>
    <t>공동소송참가의 의의, 성립요건 및 소송수행상의 효력</t>
    <phoneticPr fontId="3" type="noConversion"/>
  </si>
  <si>
    <t>제03절 소송상의 대리인</t>
    <phoneticPr fontId="3" type="noConversion"/>
  </si>
  <si>
    <t>배우자 및 공인노무사의 소송대리권 인정 여부</t>
    <phoneticPr fontId="3" type="noConversion"/>
  </si>
  <si>
    <t>제04절 증거조사의 개시와 실시</t>
    <phoneticPr fontId="3" type="noConversion"/>
  </si>
  <si>
    <t>소송계속 중 당사자 사망을 간과한 판결의 효력과 상속인에 대한 승계 여부</t>
    <phoneticPr fontId="3" type="noConversion"/>
  </si>
  <si>
    <t>제03절 당사자의 변경</t>
    <phoneticPr fontId="3" type="noConversion"/>
  </si>
  <si>
    <t>제06절 변론기일에서의 당사자의 결석</t>
    <phoneticPr fontId="3" type="noConversion"/>
  </si>
  <si>
    <t>공시송달의 의의, 요건, 절차 및 효력</t>
    <phoneticPr fontId="3" type="noConversion"/>
  </si>
  <si>
    <t>1-1</t>
  </si>
  <si>
    <t>05</t>
    <phoneticPr fontId="3" type="noConversion"/>
  </si>
  <si>
    <t>피고를 특정하여 소를 제기한 후 예비적으로 피고를 추가한 소송형태의 적법 여부와 법원의 조치</t>
    <phoneticPr fontId="3" type="noConversion"/>
  </si>
  <si>
    <t>1-2</t>
  </si>
  <si>
    <t>2</t>
  </si>
  <si>
    <t>3</t>
  </si>
  <si>
    <t>제03절 민사소송의 이상과 신의성실의 원칙</t>
    <phoneticPr fontId="3" type="noConversion"/>
  </si>
  <si>
    <t>06</t>
    <phoneticPr fontId="3" type="noConversion"/>
  </si>
  <si>
    <t>07</t>
    <phoneticPr fontId="3" type="noConversion"/>
  </si>
  <si>
    <t>공동피고 중 1인의 선정당사자 선정 가능성 및 그 판결의 효력이 선정자에게 미치는지 여부</t>
    <phoneticPr fontId="3" type="noConversion"/>
  </si>
  <si>
    <t>제03절 재판상 화해</t>
    <phoneticPr fontId="3" type="noConversion"/>
  </si>
  <si>
    <t>제08절 채권자대위소송에 대한 주요논점</t>
    <phoneticPr fontId="3" type="noConversion"/>
  </si>
  <si>
    <t>제03절 변론의 준비</t>
    <phoneticPr fontId="3" type="noConversion"/>
  </si>
  <si>
    <t>교통사고 손해배상청구에서 개별 항목별 청구액을 초과하여 인정한 판결의 적법성 여부</t>
    <phoneticPr fontId="3" type="noConversion"/>
  </si>
  <si>
    <t>2-1</t>
    <phoneticPr fontId="3" type="noConversion"/>
  </si>
  <si>
    <t>보조참가인에 대한 재판의 효력의 의의 및 성질과 범위</t>
    <phoneticPr fontId="3" type="noConversion"/>
  </si>
  <si>
    <t>2-2</t>
    <phoneticPr fontId="3" type="noConversion"/>
  </si>
  <si>
    <t>재판상 자백의 성립요건과 그에 따른 주관적・객관적 구속력 및 철회</t>
    <phoneticPr fontId="3" type="noConversion"/>
  </si>
  <si>
    <t>제05절 자유심증주의</t>
    <phoneticPr fontId="3" type="noConversion"/>
  </si>
  <si>
    <t>08</t>
    <phoneticPr fontId="3" type="noConversion"/>
  </si>
  <si>
    <t>통상공동소송에서의 공동소송인 독립의 원칙과 그 한계 및 예외</t>
    <phoneticPr fontId="3" type="noConversion"/>
  </si>
  <si>
    <t>제01절 개관</t>
    <phoneticPr fontId="3" type="noConversion"/>
  </si>
  <si>
    <t>1</t>
  </si>
  <si>
    <t>제02절 법관의 제척・기피・회피</t>
  </si>
  <si>
    <t>제02절 법관의 제척・기피・회피</t>
    <phoneticPr fontId="3" type="noConversion"/>
  </si>
  <si>
    <t>제02절 소송요건</t>
    <phoneticPr fontId="3" type="noConversion"/>
  </si>
  <si>
    <t>제05절 소의 제기</t>
    <phoneticPr fontId="3" type="noConversion"/>
  </si>
  <si>
    <t>제06절 재판장의 소장심사와 그 후의 조치</t>
    <phoneticPr fontId="3" type="noConversion"/>
  </si>
  <si>
    <t>제08절 소송절차의 정지</t>
    <phoneticPr fontId="3" type="noConversion"/>
  </si>
  <si>
    <t>제02절 증명의 대상</t>
    <phoneticPr fontId="3" type="noConversion"/>
  </si>
  <si>
    <t>제02절 청구의 포기・인낙</t>
    <phoneticPr fontId="3" type="noConversion"/>
  </si>
  <si>
    <t>제02절 상소의 적법요건</t>
    <phoneticPr fontId="3" type="noConversion"/>
  </si>
  <si>
    <t>제03절 항소심의 심리</t>
    <phoneticPr fontId="3" type="noConversion"/>
  </si>
  <si>
    <t>제04절 항소심의 종국재판</t>
    <phoneticPr fontId="3" type="noConversion"/>
  </si>
  <si>
    <t>제02절 상고이유</t>
    <phoneticPr fontId="3" type="noConversion"/>
  </si>
  <si>
    <t>제03절 상고심절차의 개시와 심리</t>
    <phoneticPr fontId="3" type="noConversion"/>
  </si>
  <si>
    <t>제04절 상고심의 종국재판</t>
    <phoneticPr fontId="3" type="noConversion"/>
  </si>
  <si>
    <t>제02절 항고의 절차</t>
    <phoneticPr fontId="3" type="noConversion"/>
  </si>
  <si>
    <t>제02절 재심의 소송물</t>
    <phoneticPr fontId="3" type="noConversion"/>
  </si>
  <si>
    <t>제03절 적법요건</t>
    <phoneticPr fontId="3" type="noConversion"/>
  </si>
  <si>
    <t>제04절 재심절차</t>
    <phoneticPr fontId="3" type="noConversion"/>
  </si>
  <si>
    <t>제05절 준재심</t>
    <phoneticPr fontId="3" type="noConversion"/>
  </si>
  <si>
    <t>09</t>
    <phoneticPr fontId="3" type="noConversion"/>
  </si>
  <si>
    <t>10</t>
    <phoneticPr fontId="3" type="noConversion"/>
  </si>
  <si>
    <t>11</t>
    <phoneticPr fontId="3" type="noConversion"/>
  </si>
  <si>
    <t>12</t>
    <phoneticPr fontId="3" type="noConversion"/>
  </si>
  <si>
    <t>13</t>
    <phoneticPr fontId="3" type="noConversion"/>
  </si>
  <si>
    <t>14</t>
    <phoneticPr fontId="3" type="noConversion"/>
  </si>
  <si>
    <t xml:space="preserve">2. 소취하의 요건[민소법 제266조, 제277조] </t>
    <phoneticPr fontId="3" type="noConversion"/>
  </si>
  <si>
    <t>법령</t>
    <phoneticPr fontId="3" type="noConversion"/>
  </si>
  <si>
    <t>파일</t>
    <phoneticPr fontId="3" type="noConversion"/>
  </si>
  <si>
    <t>법률</t>
    <phoneticPr fontId="3" type="noConversion"/>
  </si>
  <si>
    <t>민사소송법</t>
    <phoneticPr fontId="3" type="noConversion"/>
  </si>
  <si>
    <t>민사소송법의 정의</t>
    <phoneticPr fontId="3" type="noConversion"/>
  </si>
  <si>
    <t>법정관할</t>
    <phoneticPr fontId="3" type="noConversion"/>
  </si>
  <si>
    <t>합의관할</t>
    <phoneticPr fontId="3" type="noConversion"/>
  </si>
  <si>
    <t>변론관할</t>
    <phoneticPr fontId="3" type="noConversion"/>
  </si>
  <si>
    <t>제척</t>
    <phoneticPr fontId="3" type="noConversion"/>
  </si>
  <si>
    <t>기피</t>
    <phoneticPr fontId="3" type="noConversion"/>
  </si>
  <si>
    <t>회피</t>
    <phoneticPr fontId="3" type="noConversion"/>
  </si>
  <si>
    <t>당사자능력</t>
    <phoneticPr fontId="3" type="noConversion"/>
  </si>
  <si>
    <t>소송능력</t>
    <phoneticPr fontId="3" type="noConversion"/>
  </si>
  <si>
    <t>당사자적격</t>
    <phoneticPr fontId="3" type="noConversion"/>
  </si>
  <si>
    <t>처분권주의</t>
    <phoneticPr fontId="3" type="noConversion"/>
  </si>
  <si>
    <t>변론주의</t>
    <phoneticPr fontId="3" type="noConversion"/>
  </si>
  <si>
    <t>입증책임</t>
    <phoneticPr fontId="3" type="noConversion"/>
  </si>
  <si>
    <t>서증</t>
    <phoneticPr fontId="3" type="noConversion"/>
  </si>
  <si>
    <t>증인신문</t>
    <phoneticPr fontId="3" type="noConversion"/>
  </si>
  <si>
    <t>검증</t>
    <phoneticPr fontId="3" type="noConversion"/>
  </si>
  <si>
    <t>감정</t>
    <phoneticPr fontId="3" type="noConversion"/>
  </si>
  <si>
    <t>청구포기</t>
    <phoneticPr fontId="3" type="noConversion"/>
  </si>
  <si>
    <t>청구인낙</t>
    <phoneticPr fontId="3" type="noConversion"/>
  </si>
  <si>
    <t>기판력</t>
    <phoneticPr fontId="3" type="noConversion"/>
  </si>
  <si>
    <t>집행력</t>
    <phoneticPr fontId="3" type="noConversion"/>
  </si>
  <si>
    <t>형성력</t>
    <phoneticPr fontId="3" type="noConversion"/>
  </si>
  <si>
    <t>단순 병합</t>
    <phoneticPr fontId="3" type="noConversion"/>
  </si>
  <si>
    <t>예비적 병합</t>
    <phoneticPr fontId="3" type="noConversion"/>
  </si>
  <si>
    <t>통상 공동소송</t>
    <phoneticPr fontId="3" type="noConversion"/>
  </si>
  <si>
    <t>필수적 공동소송</t>
    <phoneticPr fontId="3" type="noConversion"/>
  </si>
  <si>
    <t>보조참가</t>
    <phoneticPr fontId="3" type="noConversion"/>
  </si>
  <si>
    <t>독립당사자참가</t>
    <phoneticPr fontId="3" type="noConversion"/>
  </si>
  <si>
    <t>부대항소</t>
    <phoneticPr fontId="3" type="noConversion"/>
  </si>
  <si>
    <t>민사소송</t>
    <phoneticPr fontId="3" type="noConversion"/>
  </si>
  <si>
    <t>사권보호설</t>
    <phoneticPr fontId="3" type="noConversion"/>
  </si>
  <si>
    <t>법질서유지설</t>
    <phoneticPr fontId="3" type="noConversion"/>
  </si>
  <si>
    <t>신속</t>
    <phoneticPr fontId="3" type="noConversion"/>
  </si>
  <si>
    <t>경제</t>
    <phoneticPr fontId="3" type="noConversion"/>
  </si>
  <si>
    <t>사적 분쟁을 국가의 재판권에 의해 강제적으로 해결하기 위한 절차를 규정한 법률이다.</t>
    <phoneticPr fontId="3" type="noConversion"/>
  </si>
  <si>
    <t>신의성실의 원칙</t>
    <phoneticPr fontId="3" type="noConversion"/>
  </si>
  <si>
    <t>소송 당사자와 소송 관계인은 신의에 따라 성실하게 소송을 수행해야 한다는 원칙이다.</t>
    <phoneticPr fontId="3" type="noConversion"/>
  </si>
  <si>
    <t>재판권을 행사하는 여러 법원 사이에서 특정 사건을 어느 법원이 담당하여 심판할 것인가를 정한 재판권의 배분을 의미한다.</t>
    <phoneticPr fontId="3" type="noConversion"/>
  </si>
  <si>
    <t>관할</t>
    <phoneticPr fontId="3" type="noConversion"/>
  </si>
  <si>
    <t>법률에 의해 직접 정해진 관할을 말한다.</t>
    <phoneticPr fontId="3" type="noConversion"/>
  </si>
  <si>
    <t>재정관할</t>
    <phoneticPr fontId="3" type="noConversion"/>
  </si>
  <si>
    <t>상급법원의 결정으로 정해지는 관할을 말한다.</t>
    <phoneticPr fontId="3" type="noConversion"/>
  </si>
  <si>
    <t>당사자의 합의에 의한 관할을 말한다.</t>
    <phoneticPr fontId="3" type="noConversion"/>
  </si>
  <si>
    <t>피고의 응소로 발생하는 관할을 말한다.</t>
    <phoneticPr fontId="3" type="noConversion"/>
  </si>
  <si>
    <t>법관이 사건과 특수한 관계가 있어 법률상 당연히 직무 집행에서 배제되는 제도이다.</t>
    <phoneticPr fontId="3" type="noConversion"/>
  </si>
  <si>
    <t>공정한 재판을 기대하기 어려운 경우 당사자의 신청으로 법관을 배제하는 것을 말한다.</t>
    <phoneticPr fontId="3" type="noConversion"/>
  </si>
  <si>
    <t>법관 스스로 물러나는 것을 말한다.</t>
    <phoneticPr fontId="3" type="noConversion"/>
  </si>
  <si>
    <t>민사소송의 이상</t>
    <phoneticPr fontId="3" type="noConversion"/>
  </si>
  <si>
    <t>소송상태 부당형성 금지</t>
    <phoneticPr fontId="3" type="noConversion"/>
  </si>
  <si>
    <t>선행행위와 모순 행동 금지</t>
    <phoneticPr fontId="3" type="noConversion"/>
  </si>
  <si>
    <t>소권의 실효</t>
    <phoneticPr fontId="3" type="noConversion"/>
  </si>
  <si>
    <t>소권 남용 금지</t>
    <phoneticPr fontId="3" type="noConversion"/>
  </si>
  <si>
    <t>소송의 주체가 될 수 있는 일반적 능력을 말한다.</t>
    <phoneticPr fontId="3" type="noConversion"/>
  </si>
  <si>
    <t>유효하게 소송 행위를 할 수 있는 지능적 능력을 말한다.</t>
    <phoneticPr fontId="3" type="noConversion"/>
  </si>
  <si>
    <t>특정 소송물에 대하여 원고로서 청구하거나 피고로서 판결을 받을 수 있는 구체적인 권능이다.</t>
    <phoneticPr fontId="3" type="noConversion"/>
  </si>
  <si>
    <t>소송의 개시, 심판 범위의 결정, 소송의 종료를 당사자의 의사에 맡기는 원칙이다.</t>
    <phoneticPr fontId="3" type="noConversion"/>
  </si>
  <si>
    <t>판결의 기초가 되는 주요 사실은 당사자가 주장해야 하며, 법원이 임의로 탐지할 수 없다는 원칙이다.</t>
    <phoneticPr fontId="3" type="noConversion"/>
  </si>
  <si>
    <t>사실의 존부가 불명확할 때 불이익을 받는 당사자의 부담을 의미한다.</t>
    <phoneticPr fontId="3" type="noConversion"/>
  </si>
  <si>
    <t>문서의 내용을 조사하는 증거조사 방법이다.</t>
    <phoneticPr fontId="3" type="noConversion"/>
  </si>
  <si>
    <t>사람의 진술을 듣는 증거조사 방법이다.</t>
    <phoneticPr fontId="3" type="noConversion"/>
  </si>
  <si>
    <t>법관이 직접 사물의 상태를 확인하는 증거조사 방법이다.</t>
    <phoneticPr fontId="3" type="noConversion"/>
  </si>
  <si>
    <t>전문가의 지식을 빌리는 증거조사 방법이다.</t>
    <phoneticPr fontId="3" type="noConversion"/>
  </si>
  <si>
    <t>원고가 청구권을 포기하는 행위이다.</t>
    <phoneticPr fontId="3" type="noConversion"/>
  </si>
  <si>
    <t>피고가 청구를 수용하는 행위이다.</t>
    <phoneticPr fontId="3" type="noConversion"/>
  </si>
  <si>
    <t>판결 내용을 강제적으로 실현할 수 있는 힘을 말한다.</t>
    <phoneticPr fontId="3" type="noConversion"/>
  </si>
  <si>
    <t>법률관계를 직접적으로 변경시키는 힘을 말한다.</t>
    <phoneticPr fontId="3" type="noConversion"/>
  </si>
  <si>
    <t>여러 청구를 병렬적으로 세워 모두에 대한 심판을 구하는 형태이다.</t>
    <phoneticPr fontId="3" type="noConversion"/>
  </si>
  <si>
    <t>주된 청구가 인용되지 않을 경우대비하여 차순위 청구를 하는 방식이다.</t>
    <phoneticPr fontId="3" type="noConversion"/>
  </si>
  <si>
    <t>여러 사람이 함께 소송하되 각자의 소송 행위가 서로에게 영향을 주지 않는 독립 원칙이 적용된다.</t>
    <phoneticPr fontId="3" type="noConversion"/>
  </si>
  <si>
    <t>소송물의 성질상 합일적으로 확정되어야 하여 전원이 함께 소송을 수행해야 하는 형태이다.</t>
    <phoneticPr fontId="3" type="noConversion"/>
  </si>
  <si>
    <t>소송 결과에 이해관계가 있는 제3자가 어느 한쪽을 돕기 위해 참여하는 제도이다.</t>
    <phoneticPr fontId="3" type="noConversion"/>
  </si>
  <si>
    <t>제3자가 소송 당사자 양쪽 또는 한쪽을 상대로 자신의 권리를 주장하며 소송에 개입하는 방식이다.</t>
    <phoneticPr fontId="3" type="noConversion"/>
  </si>
  <si>
    <t>상대방이 제기한 항소 절차 내에서 자신의 불복을 신청하는 제도로 항소권 소멸 후에도 가능하다.</t>
    <phoneticPr fontId="3" type="noConversion"/>
  </si>
  <si>
    <t>사법상의 권리관계에 관하여 다툼이 생겼을 때, 국가의 재판권에 의하여 법률적・강제적으로 그 분쟁을 해결하기 위한 절차를 의미한다.</t>
    <phoneticPr fontId="3" type="noConversion"/>
  </si>
  <si>
    <t>민사소송의 가장 일차적인 목적은 개인의 사법상 권리를 보호하는 데 있다.</t>
    <phoneticPr fontId="3" type="noConversion"/>
  </si>
  <si>
    <t>민사소송은 개별적인 권리 구제를 넘어, 국가 전체의 사법 법질서를 유지하고 확립하는 목적을 가진다.</t>
    <phoneticPr fontId="3" type="noConversion"/>
  </si>
  <si>
    <t>최근에는 권리 보호나 법질서 유지라는 관념적 목적보다는, 현실적인 분쟁의 해결 자체에 방점을 두는 견해가 강조되고 있다.</t>
    <phoneticPr fontId="3" type="noConversion"/>
  </si>
  <si>
    <t>분쟁해결설</t>
    <phoneticPr fontId="3" type="noConversion"/>
  </si>
  <si>
    <t>재판은 불필요한 지체 없이 신속하게 진행되어야 한다.</t>
    <phoneticPr fontId="3" type="noConversion"/>
  </si>
  <si>
    <t>적은 비용으로 최대의 효과를 거두는 경제성을 가져야 한다.</t>
    <phoneticPr fontId="3" type="noConversion"/>
  </si>
  <si>
    <t>공평</t>
    <phoneticPr fontId="3" type="noConversion"/>
  </si>
  <si>
    <t>적정</t>
    <phoneticPr fontId="3" type="noConversion"/>
  </si>
  <si>
    <t>재판은 실체적 진실에 부합하도록 적정해야한다.</t>
    <phoneticPr fontId="3" type="noConversion"/>
  </si>
  <si>
    <t>양 당사자에게 동등한 기회를 부여하여 공평해야 한다.</t>
    <phoneticPr fontId="3" type="noConversion"/>
  </si>
  <si>
    <t>훈시규정</t>
    <phoneticPr fontId="3" type="noConversion"/>
  </si>
  <si>
    <t>효력규정</t>
    <phoneticPr fontId="3" type="noConversion"/>
  </si>
  <si>
    <t>강행규정</t>
    <phoneticPr fontId="3" type="noConversion"/>
  </si>
  <si>
    <t>임의규정</t>
    <phoneticPr fontId="3" type="noConversion"/>
  </si>
  <si>
    <t>책문권의 상실</t>
    <phoneticPr fontId="3" type="noConversion"/>
  </si>
  <si>
    <t>대인적 범위</t>
    <phoneticPr fontId="3" type="noConversion"/>
  </si>
  <si>
    <t>대물적 범위</t>
    <phoneticPr fontId="3" type="noConversion"/>
  </si>
  <si>
    <t>장소적 범위</t>
    <phoneticPr fontId="3" type="noConversion"/>
  </si>
  <si>
    <t>법관의 제척</t>
    <phoneticPr fontId="3" type="noConversion"/>
  </si>
  <si>
    <t>법관의 기피</t>
    <phoneticPr fontId="3" type="noConversion"/>
  </si>
  <si>
    <t>법관의 회피</t>
    <phoneticPr fontId="3" type="noConversion"/>
  </si>
  <si>
    <t xml:space="preserve"> 재판 공정성 기대 결여 사정</t>
    <phoneticPr fontId="3" type="noConversion"/>
  </si>
  <si>
    <t xml:space="preserve"> 직분관할</t>
    <phoneticPr fontId="3" type="noConversion"/>
  </si>
  <si>
    <t xml:space="preserve"> 사물관할</t>
    <phoneticPr fontId="3" type="noConversion"/>
  </si>
  <si>
    <t xml:space="preserve"> 토지관할</t>
    <phoneticPr fontId="3" type="noConversion"/>
  </si>
  <si>
    <t xml:space="preserve"> 합의관할</t>
    <phoneticPr fontId="3" type="noConversion"/>
  </si>
  <si>
    <t>소가</t>
    <phoneticPr fontId="3" type="noConversion"/>
  </si>
  <si>
    <t>소송의 이송</t>
    <phoneticPr fontId="3" type="noConversion"/>
  </si>
  <si>
    <t xml:space="preserve">  특별재판적</t>
    <phoneticPr fontId="3" type="noConversion"/>
  </si>
  <si>
    <t xml:space="preserve">  관련재판적</t>
    <phoneticPr fontId="3" type="noConversion"/>
  </si>
  <si>
    <t>거동관할</t>
    <phoneticPr fontId="3" type="noConversion"/>
  </si>
  <si>
    <t>소송사건과 법원의 관할구역과의 관계를 결정하는 것으로 소송관계에서 당사자를 어느 법원의 재판권의 행사를 받게 하느냐를 정하는 근거가 되는 관계를 말한다.</t>
    <phoneticPr fontId="3" type="noConversion"/>
  </si>
  <si>
    <t xml:space="preserve"> 변론관할(응소관할)</t>
    <phoneticPr fontId="3" type="noConversion"/>
  </si>
  <si>
    <t>특정 사건에 대하여 재판권을 행사할 수 있는 권한을 여러 법원 사이에 배분한 것을 의미한다.</t>
    <phoneticPr fontId="3" type="noConversion"/>
  </si>
  <si>
    <t>법원이 담당하는 재판 사무의 성격에 따른 분담을 의미한다.</t>
    <phoneticPr fontId="3" type="noConversion"/>
  </si>
  <si>
    <t>법률의 규정에 의하여 직접 정해지는 관할을 의미한다.</t>
    <phoneticPr fontId="3" type="noConversion"/>
  </si>
  <si>
    <t>제1심 사건을 지방법원 합의부와 지방법원 단독판사 중 어디에 배분할 것인가에 관한 관할이다.</t>
    <phoneticPr fontId="3" type="noConversion"/>
  </si>
  <si>
    <t>소재지를 달리하는 같은 계급의 법원들 사이에서 사건의 토지적 연관성을 기준으로 재판권을 배분하는 것이다.</t>
    <phoneticPr fontId="3" type="noConversion"/>
  </si>
  <si>
    <t xml:space="preserve">  보통재판적</t>
    <phoneticPr fontId="3" type="noConversion"/>
  </si>
  <si>
    <t>피고의 주소지를 기준으로 한다.</t>
    <phoneticPr fontId="3" type="noConversion"/>
  </si>
  <si>
    <t>특정 사건의 성질과 연관된 지점을 근거로 한다.</t>
    <phoneticPr fontId="3" type="noConversion"/>
  </si>
  <si>
    <t>법률 규정에 의하여 직접 정해지는 것이 아니라, 상급법원의 재판(지정 또는 이전)에 의하여 비로소 정해지는 관할이다.</t>
    <phoneticPr fontId="3" type="noConversion"/>
  </si>
  <si>
    <t xml:space="preserve">   전속적 합의</t>
    <phoneticPr fontId="3" type="noConversion"/>
  </si>
  <si>
    <t xml:space="preserve">   부가적 합의</t>
    <phoneticPr fontId="3" type="noConversion"/>
  </si>
  <si>
    <t>원고가 관할권 없는 법원에 소를 제기했을 때, 피고가 관할 위반의 항변을 하지 않고 본안에 관하여 변론하거나 변론기일에서 진술함으로써 발생하는 관할이다.</t>
    <phoneticPr fontId="3" type="noConversion"/>
  </si>
  <si>
    <t>당사자 간의 합의에 의하여 발생하는 관할이다.</t>
    <phoneticPr fontId="3" type="noConversion"/>
  </si>
  <si>
    <t>당사자의 의사나 태도, 즉 거동에 의하여 성립하는 관할을 의미한다.</t>
    <phoneticPr fontId="3" type="noConversion"/>
  </si>
  <si>
    <t>법정관할 법원을 배제하고 합의한 법원에만 소를 제기하기로 하는 합의이다.</t>
    <phoneticPr fontId="3" type="noConversion"/>
  </si>
  <si>
    <t>법정관할 법원 외에 합의한 법원을 추가하는 합의이다.</t>
    <phoneticPr fontId="3" type="noConversion"/>
  </si>
  <si>
    <t>법원에 계속된 소송의 전부 또는 일부를 재판에 의해 다른 법원으로 이전하는 것을 의미한다.</t>
    <phoneticPr fontId="3" type="noConversion"/>
  </si>
  <si>
    <t>원고가 소로써 달성하려는 경제적 이익을 객관적으로 평가하여 금액으로 환산한 수치이다.</t>
    <phoneticPr fontId="3" type="noConversion"/>
  </si>
  <si>
    <t>소(訴)</t>
    <phoneticPr fontId="3" type="noConversion"/>
  </si>
  <si>
    <t>판결을 구하는 신청을 하는 행위를 말한다.</t>
    <phoneticPr fontId="3" type="noConversion"/>
  </si>
  <si>
    <t>소의 제기</t>
    <phoneticPr fontId="3" type="noConversion"/>
  </si>
  <si>
    <t>소송</t>
    <phoneticPr fontId="3" type="noConversion"/>
  </si>
  <si>
    <t>심리</t>
    <phoneticPr fontId="3" type="noConversion"/>
  </si>
  <si>
    <t>법원이 판결을 하기위한 자료를 수집하는 행위를 말한다.</t>
    <phoneticPr fontId="3" type="noConversion"/>
  </si>
  <si>
    <t>변론종결</t>
    <phoneticPr fontId="3" type="noConversion"/>
  </si>
  <si>
    <t>판결을 하기위한 자료수집이 완료되어 그 과정을 종료하는 것을 말한다.</t>
    <phoneticPr fontId="3" type="noConversion"/>
  </si>
  <si>
    <t>소송요건</t>
    <phoneticPr fontId="3" type="noConversion"/>
  </si>
  <si>
    <t>본안</t>
    <phoneticPr fontId="3" type="noConversion"/>
  </si>
  <si>
    <t>소가 적법하다고 인정받기 위한 요건을 말한다.</t>
    <phoneticPr fontId="3" type="noConversion"/>
  </si>
  <si>
    <t>원고가 주장하는 실체법적인 법률관계 내지 권리가 인정되는지 여부를 말한다.</t>
    <phoneticPr fontId="3" type="noConversion"/>
  </si>
  <si>
    <t>편</t>
    <phoneticPr fontId="3" type="noConversion"/>
  </si>
  <si>
    <t>항소의 개관</t>
    <phoneticPr fontId="3" type="noConversion"/>
  </si>
  <si>
    <t>항소</t>
    <phoneticPr fontId="3" type="noConversion"/>
  </si>
  <si>
    <t>이심의 효력</t>
    <phoneticPr fontId="3" type="noConversion"/>
  </si>
  <si>
    <t>확정차단의 효력</t>
    <phoneticPr fontId="3" type="noConversion"/>
  </si>
  <si>
    <t>복심주의</t>
    <phoneticPr fontId="3" type="noConversion"/>
  </si>
  <si>
    <t>속심주의</t>
    <phoneticPr fontId="3" type="noConversion"/>
  </si>
  <si>
    <t>사후심주의</t>
    <phoneticPr fontId="3" type="noConversion"/>
  </si>
  <si>
    <t>항소장제출주의</t>
    <phoneticPr fontId="3" type="noConversion"/>
  </si>
  <si>
    <t>갱신권</t>
    <phoneticPr fontId="3" type="noConversion"/>
  </si>
  <si>
    <t>상소불가분의 원칙</t>
    <phoneticPr fontId="3" type="noConversion"/>
  </si>
  <si>
    <t>불이익변경금지의 원칙</t>
    <phoneticPr fontId="3" type="noConversion"/>
  </si>
  <si>
    <t>항소각하결정</t>
    <phoneticPr fontId="3" type="noConversion"/>
  </si>
  <si>
    <t>항소인용판결</t>
    <phoneticPr fontId="3" type="noConversion"/>
  </si>
  <si>
    <t>상고</t>
    <phoneticPr fontId="3" type="noConversion"/>
  </si>
  <si>
    <t>법률심원칙</t>
    <phoneticPr fontId="3" type="noConversion"/>
  </si>
  <si>
    <t>상고심법원이 항소심이 확정한 사실관계에 구속되며, 오직 항소심 판결이 법령을 위반하였는지 여부만을 심판의 대상으로 삼는다</t>
    <phoneticPr fontId="3" type="noConversion"/>
  </si>
  <si>
    <t>심리불속행제도</t>
    <phoneticPr fontId="3" type="noConversion"/>
  </si>
  <si>
    <t>판결의 결론 영향</t>
    <phoneticPr fontId="3" type="noConversion"/>
  </si>
  <si>
    <t>절대적 상고 이유</t>
    <phoneticPr fontId="3" type="noConversion"/>
  </si>
  <si>
    <t>항소장 각하명령</t>
    <phoneticPr fontId="3" type="noConversion"/>
  </si>
  <si>
    <t>상고각하판결</t>
    <phoneticPr fontId="3" type="noConversion"/>
  </si>
  <si>
    <t>상고기각판결</t>
    <phoneticPr fontId="3" type="noConversion"/>
  </si>
  <si>
    <t xml:space="preserve"> 이유의 교체</t>
    <phoneticPr fontId="3" type="noConversion"/>
  </si>
  <si>
    <t>상고인용판결</t>
    <phoneticPr fontId="3" type="noConversion"/>
  </si>
  <si>
    <t xml:space="preserve"> 파기</t>
    <phoneticPr fontId="3" type="noConversion"/>
  </si>
  <si>
    <t xml:space="preserve"> 환송</t>
    <phoneticPr fontId="3" type="noConversion"/>
  </si>
  <si>
    <t xml:space="preserve"> 자판</t>
    <phoneticPr fontId="3" type="noConversion"/>
  </si>
  <si>
    <t>민사집행법</t>
    <phoneticPr fontId="3" type="noConversion"/>
  </si>
  <si>
    <t>시행령</t>
    <phoneticPr fontId="3" type="noConversion"/>
  </si>
  <si>
    <t>항고의 전심절차(자조적 교정)</t>
    <phoneticPr fontId="3" type="noConversion"/>
  </si>
  <si>
    <t>심사수권</t>
    <phoneticPr fontId="3" type="noConversion"/>
  </si>
  <si>
    <t>항고가 이유있다고 인정하여 원심법원 스스로 재판을 경정하는 것을 말한다.</t>
    <phoneticPr fontId="3" type="noConversion"/>
  </si>
  <si>
    <t>항고법원이 재판하기에 앞서 원심법원에 항고장을 제출함으로써 원심법원으로 하여금 스스로의 재판이 잘못되었는지 다시 한번 심사하도록 하는 절차를 의미한다.</t>
    <phoneticPr fontId="3" type="noConversion"/>
  </si>
  <si>
    <t>당사자의 개관</t>
    <phoneticPr fontId="3" type="noConversion"/>
  </si>
  <si>
    <t>장/문제No/판례번호</t>
    <phoneticPr fontId="3" type="noConversion"/>
  </si>
  <si>
    <t>절/문제주제/판례주제</t>
    <phoneticPr fontId="3" type="noConversion"/>
  </si>
  <si>
    <t>제1심의 소송절차-변론</t>
  </si>
  <si>
    <t>제1심의 소송절차-증거</t>
  </si>
  <si>
    <t>판례</t>
  </si>
  <si>
    <t>당사자</t>
    <phoneticPr fontId="3" type="noConversion"/>
  </si>
  <si>
    <t>당사자 확정</t>
    <phoneticPr fontId="3" type="noConversion"/>
  </si>
  <si>
    <t xml:space="preserve"> 의사설</t>
    <phoneticPr fontId="3" type="noConversion"/>
  </si>
  <si>
    <t xml:space="preserve"> 표시설</t>
    <phoneticPr fontId="3" type="noConversion"/>
  </si>
  <si>
    <t xml:space="preserve"> 규범설(실질적 표시설)</t>
    <phoneticPr fontId="3" type="noConversion"/>
  </si>
  <si>
    <t>당사자표시정정</t>
    <phoneticPr fontId="3" type="noConversion"/>
  </si>
  <si>
    <t>성명모용사용</t>
    <phoneticPr fontId="3" type="noConversion"/>
  </si>
  <si>
    <t>집행에 관한 이의</t>
    <phoneticPr fontId="3" type="noConversion"/>
  </si>
  <si>
    <t>피모용자 자신에게 판결의 효력이 없음을 주장하는 것을 말한다.</t>
    <phoneticPr fontId="3" type="noConversion"/>
  </si>
  <si>
    <t>법인격부인</t>
    <phoneticPr fontId="3" type="noConversion"/>
  </si>
  <si>
    <t xml:space="preserve"> 제3자 소송담당</t>
    <phoneticPr fontId="3" type="noConversion"/>
  </si>
  <si>
    <t>변론능력</t>
    <phoneticPr fontId="3" type="noConversion"/>
  </si>
  <si>
    <t>소송상의 대리인</t>
    <phoneticPr fontId="3" type="noConversion"/>
  </si>
  <si>
    <t>무권대리인</t>
    <phoneticPr fontId="3" type="noConversion"/>
  </si>
  <si>
    <t>항고</t>
    <phoneticPr fontId="3" type="noConversion"/>
  </si>
  <si>
    <t>재심</t>
    <phoneticPr fontId="3" type="noConversion"/>
  </si>
  <si>
    <t>재심 사유의 존부 심사 단계</t>
    <phoneticPr fontId="3" type="noConversion"/>
  </si>
  <si>
    <t>재심의 적법성 심사 단계</t>
    <phoneticPr fontId="3" type="noConversion"/>
  </si>
  <si>
    <t>본안의 재심판 단계</t>
    <phoneticPr fontId="3" type="noConversion"/>
  </si>
  <si>
    <t>확정의 시점</t>
    <phoneticPr fontId="3" type="noConversion"/>
  </si>
  <si>
    <t>재심사유를 안 날</t>
    <phoneticPr fontId="3" type="noConversion"/>
  </si>
  <si>
    <t>준재심</t>
    <phoneticPr fontId="3" type="noConversion"/>
  </si>
  <si>
    <t>자기의 이름으로 판결을 요구하는 사람과 그 사람에 의하여 상대방으로 지목된 사람이라고 할 수 있다. - 형식적 당사자 개념</t>
    <phoneticPr fontId="3" type="noConversion"/>
  </si>
  <si>
    <t>판결을 구하는 신청을 말한다. 즉, 절차의 시작을 의미한다. 소는 제기한다고 한다.</t>
  </si>
  <si>
    <t>소 제기 후 일련의 전체 절차를 의미한다. 소송은 진행한다고 한다.</t>
  </si>
  <si>
    <t>현실적으로 전개되고 있는 소송절차에서 누가 원고이고 누가 피고인가를 결정하는 작업을 말한다.</t>
  </si>
  <si>
    <t>소를 제기하는 원고나 법원의 주관적 의사를 기준으로 당사자를 결정해야 한다는 견해이다.</t>
  </si>
  <si>
    <t>소장의 당사자란의 기재 및 청구취지 등 외관상 나타난 표시를 기준으로 결정해야 한다는 견해이다.</t>
  </si>
  <si>
    <t>소장의 전체적인 기재와 소송의 전 과정을 통하여 합리적인 제3자가 객관적으로 판단하였을 때 누구를 당사자로 보고 있는가를 기준으로 결정해야 한다는 견해이다. (통설, 판례)</t>
  </si>
  <si>
    <t>소</t>
    <phoneticPr fontId="3" type="noConversion"/>
  </si>
  <si>
    <t>원고가 피고를 상대로 법원에 대하여 특정한 심판을 구하는 신청을 의미한다.</t>
    <phoneticPr fontId="3" type="noConversion"/>
  </si>
  <si>
    <t>청구의 병합</t>
    <phoneticPr fontId="3" type="noConversion"/>
  </si>
  <si>
    <t>반소</t>
    <phoneticPr fontId="3" type="noConversion"/>
  </si>
  <si>
    <t>소장의 적식심사</t>
    <phoneticPr fontId="3" type="noConversion"/>
  </si>
  <si>
    <t>소의 적법심사</t>
    <phoneticPr fontId="3" type="noConversion"/>
  </si>
  <si>
    <t>주장 자체의 정당성</t>
    <phoneticPr fontId="3" type="noConversion"/>
  </si>
  <si>
    <t>원고가 주장하는 사실이 모두 진실이라고 가정했을 때, 법률적으로 원고가 원하는 승소 판결을 얻을 수 있는 상태인지를 의미한다. (청구 이유 있음)</t>
    <phoneticPr fontId="3" type="noConversion"/>
  </si>
  <si>
    <t>확정된 판결의 내용이 후행 소송을 구속하여 동일한 쟁점으로 다시 다투지 못하게 하는 힘이다.</t>
    <phoneticPr fontId="3" type="noConversion"/>
  </si>
  <si>
    <t>소의 이익</t>
    <phoneticPr fontId="3" type="noConversion"/>
  </si>
  <si>
    <t xml:space="preserve"> 권리보호의 자격(대상적격)</t>
    <phoneticPr fontId="3" type="noConversion"/>
  </si>
  <si>
    <t>소구할 수 있는 권리</t>
    <phoneticPr fontId="3" type="noConversion"/>
  </si>
  <si>
    <t>부제소합의</t>
    <phoneticPr fontId="3" type="noConversion"/>
  </si>
  <si>
    <t xml:space="preserve"> 권리보호의 이익(협의의 소이익)</t>
    <phoneticPr fontId="3" type="noConversion"/>
  </si>
  <si>
    <t>채권자대위소송</t>
    <phoneticPr fontId="3" type="noConversion"/>
  </si>
  <si>
    <t>소송물</t>
    <phoneticPr fontId="3" type="noConversion"/>
  </si>
  <si>
    <t>일부청구</t>
    <phoneticPr fontId="3" type="noConversion"/>
  </si>
  <si>
    <t xml:space="preserve"> 전부설</t>
    <phoneticPr fontId="3" type="noConversion"/>
  </si>
  <si>
    <t xml:space="preserve"> 외측설</t>
    <phoneticPr fontId="3" type="noConversion"/>
  </si>
  <si>
    <t xml:space="preserve"> 내측설</t>
    <phoneticPr fontId="3" type="noConversion"/>
  </si>
  <si>
    <t xml:space="preserve"> 일부설(명시설)</t>
    <phoneticPr fontId="3" type="noConversion"/>
  </si>
  <si>
    <t>소장제출주의</t>
    <phoneticPr fontId="3" type="noConversion"/>
  </si>
  <si>
    <t>민사소송 제소의 방식으로, 원고가 법원에 소장을 제출함으로써 소가 제기되는 원칙을 말한다.</t>
    <phoneticPr fontId="3" type="noConversion"/>
  </si>
  <si>
    <t>필요적 기재사항</t>
    <phoneticPr fontId="3" type="noConversion"/>
  </si>
  <si>
    <t xml:space="preserve"> 당사자와 법정대리인</t>
    <phoneticPr fontId="3" type="noConversion"/>
  </si>
  <si>
    <t>당사자가 법인인 경우 주된 사무소의 소재기 기재, 소송무능력자인 경우 법정대리인을 반드시 기재하여야 한다.</t>
    <phoneticPr fontId="3" type="noConversion"/>
  </si>
  <si>
    <t xml:space="preserve"> 청구취지</t>
    <phoneticPr fontId="3" type="noConversion"/>
  </si>
  <si>
    <t xml:space="preserve"> 청구원인</t>
    <phoneticPr fontId="3" type="noConversion"/>
  </si>
  <si>
    <t>임의적 기재사항</t>
    <phoneticPr fontId="3" type="noConversion"/>
  </si>
  <si>
    <t xml:space="preserve"> 증거방법</t>
    <phoneticPr fontId="3" type="noConversion"/>
  </si>
  <si>
    <t xml:space="preserve"> 부속서류의 표시</t>
    <phoneticPr fontId="3" type="noConversion"/>
  </si>
  <si>
    <t xml:space="preserve"> 연락처 및 전자우편주소</t>
    <phoneticPr fontId="3" type="noConversion"/>
  </si>
  <si>
    <t>재판장의 소장심사</t>
    <phoneticPr fontId="3" type="noConversion"/>
  </si>
  <si>
    <t>무변론 판결</t>
    <phoneticPr fontId="3" type="noConversion"/>
  </si>
  <si>
    <t>소송계속</t>
    <phoneticPr fontId="3" type="noConversion"/>
  </si>
  <si>
    <t>중복소제기 금지</t>
    <phoneticPr fontId="3" type="noConversion"/>
  </si>
  <si>
    <t>시효중단・기간준수의 효과</t>
    <phoneticPr fontId="3" type="noConversion"/>
  </si>
  <si>
    <t>변론</t>
    <phoneticPr fontId="3" type="noConversion"/>
  </si>
  <si>
    <t>심리에 관한 제 원칙</t>
    <phoneticPr fontId="3" type="noConversion"/>
  </si>
  <si>
    <t xml:space="preserve"> 사실</t>
    <phoneticPr fontId="3" type="noConversion"/>
  </si>
  <si>
    <t xml:space="preserve"> 석명권</t>
    <phoneticPr fontId="3" type="noConversion"/>
  </si>
  <si>
    <t>적시제출주의</t>
    <phoneticPr fontId="3" type="noConversion"/>
  </si>
  <si>
    <t>판결의 기초가 될 소송자료(사실과 증거)의 수집 및 제출 책임을 당사자에게 지우고, 당사자가 제출한 소송자료만을 바탕으로 법원이 재판해야 한다는 원칙이다.</t>
    <phoneticPr fontId="3" type="noConversion"/>
  </si>
  <si>
    <t>준비서면</t>
    <phoneticPr fontId="3" type="noConversion"/>
  </si>
  <si>
    <t>변론준비절차</t>
    <phoneticPr fontId="3" type="noConversion"/>
  </si>
  <si>
    <t>본안의 신청</t>
    <phoneticPr fontId="3" type="noConversion"/>
  </si>
  <si>
    <t>공격방어방법</t>
    <phoneticPr fontId="3" type="noConversion"/>
  </si>
  <si>
    <t xml:space="preserve"> 공격방법</t>
    <phoneticPr fontId="3" type="noConversion"/>
  </si>
  <si>
    <t xml:space="preserve"> 방어방법</t>
    <phoneticPr fontId="3" type="noConversion"/>
  </si>
  <si>
    <t>증거신청</t>
    <phoneticPr fontId="3" type="noConversion"/>
  </si>
  <si>
    <t>항변</t>
    <phoneticPr fontId="3" type="noConversion"/>
  </si>
  <si>
    <t>부인</t>
    <phoneticPr fontId="3" type="noConversion"/>
  </si>
  <si>
    <t>간접부인</t>
    <phoneticPr fontId="3" type="noConversion"/>
  </si>
  <si>
    <t>상계항변</t>
    <phoneticPr fontId="3" type="noConversion"/>
  </si>
  <si>
    <t>피고가 원고의 채권청구소송과정에서 자신도 원고에게 받을 채권(자동채권)이 존재함을 주장하며 대등한 금액만큼 상쇄(상계)하여 줄 것을 주장하는 공격방어방법이다.</t>
    <phoneticPr fontId="3" type="noConversion"/>
  </si>
  <si>
    <t>소송행위</t>
    <phoneticPr fontId="3" type="noConversion"/>
  </si>
  <si>
    <t xml:space="preserve"> 소송상 합의</t>
    <phoneticPr fontId="3" type="noConversion"/>
  </si>
  <si>
    <t>변론조서</t>
    <phoneticPr fontId="3" type="noConversion"/>
  </si>
  <si>
    <t>변론조서의 배타적 증명령</t>
    <phoneticPr fontId="3" type="noConversion"/>
  </si>
  <si>
    <t>변론의 방식에 관한 규정이 준수되었는지 여부를 증명할 수 있는 효력을 말한다.</t>
    <phoneticPr fontId="3" type="noConversion"/>
  </si>
  <si>
    <t>당사자 쌍방 결석</t>
    <phoneticPr fontId="3" type="noConversion"/>
  </si>
  <si>
    <t>자백간주</t>
    <phoneticPr fontId="3" type="noConversion"/>
  </si>
  <si>
    <t>기일</t>
    <phoneticPr fontId="3" type="noConversion"/>
  </si>
  <si>
    <t>기간</t>
    <phoneticPr fontId="3" type="noConversion"/>
  </si>
  <si>
    <t xml:space="preserve"> 법정기간</t>
    <phoneticPr fontId="3" type="noConversion"/>
  </si>
  <si>
    <t xml:space="preserve"> 재정기간</t>
    <phoneticPr fontId="3" type="noConversion"/>
  </si>
  <si>
    <t xml:space="preserve"> 불변기간</t>
    <phoneticPr fontId="3" type="noConversion"/>
  </si>
  <si>
    <t>소송행위의 추후보완</t>
    <phoneticPr fontId="3" type="noConversion"/>
  </si>
  <si>
    <t xml:space="preserve"> 당사자가 책임질 수 없는 사유</t>
    <phoneticPr fontId="3" type="noConversion"/>
  </si>
  <si>
    <t>송달</t>
    <phoneticPr fontId="3" type="noConversion"/>
  </si>
  <si>
    <t xml:space="preserve"> 교부송달</t>
    <phoneticPr fontId="3" type="noConversion"/>
  </si>
  <si>
    <t xml:space="preserve"> 보충송달</t>
    <phoneticPr fontId="3" type="noConversion"/>
  </si>
  <si>
    <t xml:space="preserve"> 유치송달</t>
    <phoneticPr fontId="3" type="noConversion"/>
  </si>
  <si>
    <t xml:space="preserve"> 우편송달</t>
    <phoneticPr fontId="3" type="noConversion"/>
  </si>
  <si>
    <t>공시송달</t>
    <phoneticPr fontId="3" type="noConversion"/>
  </si>
  <si>
    <t>소송절차의 정지</t>
    <phoneticPr fontId="3" type="noConversion"/>
  </si>
  <si>
    <t xml:space="preserve"> 중단</t>
    <phoneticPr fontId="3" type="noConversion"/>
  </si>
  <si>
    <t xml:space="preserve"> 중지</t>
    <phoneticPr fontId="3" type="noConversion"/>
  </si>
  <si>
    <t>소송절차의 중단</t>
    <phoneticPr fontId="3" type="noConversion"/>
  </si>
  <si>
    <t xml:space="preserve"> 수계신청</t>
    <phoneticPr fontId="3" type="noConversion"/>
  </si>
  <si>
    <t xml:space="preserve"> 속행명령</t>
    <phoneticPr fontId="3" type="noConversion"/>
  </si>
  <si>
    <t>소송절차의 중지</t>
    <phoneticPr fontId="3" type="noConversion"/>
  </si>
  <si>
    <t xml:space="preserve"> 당연중지</t>
    <phoneticPr fontId="3" type="noConversion"/>
  </si>
  <si>
    <t xml:space="preserve"> 재판중지</t>
    <phoneticPr fontId="3" type="noConversion"/>
  </si>
  <si>
    <t>증거의 총설</t>
    <phoneticPr fontId="3" type="noConversion"/>
  </si>
  <si>
    <t>제01절 증거의 총설</t>
    <phoneticPr fontId="3" type="noConversion"/>
  </si>
  <si>
    <t>제01절 당사자의 개관</t>
    <phoneticPr fontId="3" type="noConversion"/>
  </si>
  <si>
    <t>증거</t>
    <phoneticPr fontId="3" type="noConversion"/>
  </si>
  <si>
    <t xml:space="preserve"> 증거자료</t>
    <phoneticPr fontId="3" type="noConversion"/>
  </si>
  <si>
    <t xml:space="preserve"> 증거원인</t>
    <phoneticPr fontId="3" type="noConversion"/>
  </si>
  <si>
    <t>증거능력</t>
    <phoneticPr fontId="3" type="noConversion"/>
  </si>
  <si>
    <t>증거력</t>
    <phoneticPr fontId="3" type="noConversion"/>
  </si>
  <si>
    <t>자유심증주의</t>
    <phoneticPr fontId="3" type="noConversion"/>
  </si>
  <si>
    <t>본증</t>
    <phoneticPr fontId="3" type="noConversion"/>
  </si>
  <si>
    <t>반증</t>
    <phoneticPr fontId="3" type="noConversion"/>
  </si>
  <si>
    <t>직접증거</t>
    <phoneticPr fontId="3" type="noConversion"/>
  </si>
  <si>
    <t>간접증거</t>
    <phoneticPr fontId="3" type="noConversion"/>
  </si>
  <si>
    <t>증명</t>
    <phoneticPr fontId="3" type="noConversion"/>
  </si>
  <si>
    <t>소명</t>
    <phoneticPr fontId="3" type="noConversion"/>
  </si>
  <si>
    <t>증명의 대상</t>
    <phoneticPr fontId="3" type="noConversion"/>
  </si>
  <si>
    <t>사실</t>
    <phoneticPr fontId="3" type="noConversion"/>
  </si>
  <si>
    <t xml:space="preserve"> 주요사실(요건사실)</t>
    <phoneticPr fontId="3" type="noConversion"/>
  </si>
  <si>
    <t xml:space="preserve"> 간접사실</t>
    <phoneticPr fontId="3" type="noConversion"/>
  </si>
  <si>
    <t xml:space="preserve"> 보조사실</t>
    <phoneticPr fontId="3" type="noConversion"/>
  </si>
  <si>
    <t>경험법칙</t>
    <phoneticPr fontId="3" type="noConversion"/>
  </si>
  <si>
    <t>법규</t>
    <phoneticPr fontId="3" type="noConversion"/>
  </si>
  <si>
    <t>불요증사실</t>
    <phoneticPr fontId="3" type="noConversion"/>
  </si>
  <si>
    <t>재판상자백</t>
    <phoneticPr fontId="3" type="noConversion"/>
  </si>
  <si>
    <t xml:space="preserve"> 선행자백</t>
    <phoneticPr fontId="3" type="noConversion"/>
  </si>
  <si>
    <t xml:space="preserve"> 자기에게 불리한 사실</t>
    <phoneticPr fontId="3" type="noConversion"/>
  </si>
  <si>
    <t>현저한 사실</t>
    <phoneticPr fontId="3" type="noConversion"/>
  </si>
  <si>
    <t xml:space="preserve"> 공지의 사실</t>
    <phoneticPr fontId="3" type="noConversion"/>
  </si>
  <si>
    <t xml:space="preserve"> 직무상 현저한 사실</t>
    <phoneticPr fontId="3" type="noConversion"/>
  </si>
  <si>
    <t>증거조사의 실시</t>
    <phoneticPr fontId="3" type="noConversion"/>
  </si>
  <si>
    <t>증거원인</t>
    <phoneticPr fontId="3" type="noConversion"/>
  </si>
  <si>
    <t xml:space="preserve"> 증거조사의 결과</t>
    <phoneticPr fontId="3" type="noConversion"/>
  </si>
  <si>
    <t>논리법칙</t>
    <phoneticPr fontId="3" type="noConversion"/>
  </si>
  <si>
    <t>고도의 개연성</t>
    <phoneticPr fontId="3" type="noConversion"/>
  </si>
  <si>
    <t>증명방해</t>
    <phoneticPr fontId="3" type="noConversion"/>
  </si>
  <si>
    <t>증거계약</t>
    <phoneticPr fontId="3" type="noConversion"/>
  </si>
  <si>
    <t>증명책임</t>
    <phoneticPr fontId="3" type="noConversion"/>
  </si>
  <si>
    <t xml:space="preserve"> 객관적 증명책임</t>
    <phoneticPr fontId="3" type="noConversion"/>
  </si>
  <si>
    <t>증명책임의 분배</t>
    <phoneticPr fontId="3" type="noConversion"/>
  </si>
  <si>
    <t xml:space="preserve"> 법률요건분류설</t>
    <phoneticPr fontId="3" type="noConversion"/>
  </si>
  <si>
    <t xml:space="preserve"> 증명책임의 분배에 대한 신설</t>
    <phoneticPr fontId="3" type="noConversion"/>
  </si>
  <si>
    <t>증명책임의 완화</t>
    <phoneticPr fontId="3" type="noConversion"/>
  </si>
  <si>
    <t xml:space="preserve"> 법률상 추정</t>
    <phoneticPr fontId="3" type="noConversion"/>
  </si>
  <si>
    <t xml:space="preserve"> 일응의 추정</t>
    <phoneticPr fontId="3" type="noConversion"/>
  </si>
  <si>
    <t xml:space="preserve"> 간접방증</t>
    <phoneticPr fontId="3" type="noConversion"/>
  </si>
  <si>
    <t>주장책임</t>
    <phoneticPr fontId="3" type="noConversion"/>
  </si>
  <si>
    <t>법관이 심증을 형성하는 기초가 되는 자료를 말한다.</t>
    <phoneticPr fontId="3" type="noConversion"/>
  </si>
  <si>
    <t>법원이 증거조사를 통해 얻은 확신이나 심증을 말한다.</t>
    <phoneticPr fontId="3" type="noConversion"/>
  </si>
  <si>
    <t>소송의 종료</t>
    <phoneticPr fontId="3" type="noConversion"/>
  </si>
  <si>
    <t>소의 취하</t>
    <phoneticPr fontId="3" type="noConversion"/>
  </si>
  <si>
    <t>청구의 포기</t>
    <phoneticPr fontId="3" type="noConversion"/>
  </si>
  <si>
    <t>청구의 인낙</t>
    <phoneticPr fontId="3" type="noConversion"/>
  </si>
  <si>
    <t>소송상의 화해</t>
    <phoneticPr fontId="3" type="noConversion"/>
  </si>
  <si>
    <t>종국판결</t>
    <phoneticPr fontId="3" type="noConversion"/>
  </si>
  <si>
    <t>상소권포기</t>
    <phoneticPr fontId="3" type="noConversion"/>
  </si>
  <si>
    <t>상소취하</t>
    <phoneticPr fontId="3" type="noConversion"/>
  </si>
  <si>
    <t>소송종료선언</t>
    <phoneticPr fontId="3" type="noConversion"/>
  </si>
  <si>
    <t>간과</t>
    <phoneticPr fontId="3" type="noConversion"/>
  </si>
  <si>
    <t>상불출에 의한 소취하 간주</t>
    <phoneticPr fontId="3" type="noConversion"/>
  </si>
  <si>
    <t>재소금지</t>
    <phoneticPr fontId="3" type="noConversion"/>
  </si>
  <si>
    <t>소송상 화해</t>
    <phoneticPr fontId="3" type="noConversion"/>
  </si>
  <si>
    <t>화해권고결정</t>
    <phoneticPr fontId="3" type="noConversion"/>
  </si>
  <si>
    <t>수소법원</t>
  </si>
  <si>
    <t>수명법관</t>
  </si>
  <si>
    <t>수탁법관</t>
  </si>
  <si>
    <t>제소 전 화해</t>
    <phoneticPr fontId="3" type="noConversion"/>
  </si>
  <si>
    <t>결정</t>
    <phoneticPr fontId="3" type="noConversion"/>
  </si>
  <si>
    <t>판결</t>
    <phoneticPr fontId="3" type="noConversion"/>
  </si>
  <si>
    <t>명령</t>
    <phoneticPr fontId="3" type="noConversion"/>
  </si>
  <si>
    <t>실체재판</t>
    <phoneticPr fontId="3" type="noConversion"/>
  </si>
  <si>
    <t>소송재판</t>
    <phoneticPr fontId="3" type="noConversion"/>
  </si>
  <si>
    <t>중간판결</t>
    <phoneticPr fontId="3" type="noConversion"/>
  </si>
  <si>
    <t>독립재판</t>
    <phoneticPr fontId="3" type="noConversion"/>
  </si>
  <si>
    <t>부수재판</t>
    <phoneticPr fontId="3" type="noConversion"/>
  </si>
  <si>
    <t>판결의 부존재</t>
    <phoneticPr fontId="3" type="noConversion"/>
  </si>
  <si>
    <t>확정된 종국판결에서 내린 공권적 판단에 부여되는 소송법상의 효력을 말한다.</t>
    <phoneticPr fontId="3" type="noConversion"/>
  </si>
  <si>
    <t>공격방법의 복수</t>
    <phoneticPr fontId="3" type="noConversion"/>
  </si>
  <si>
    <t>단순병합의 자유</t>
    <phoneticPr fontId="3" type="noConversion"/>
  </si>
  <si>
    <t>단순병합(독립적 청구 병합)</t>
    <phoneticPr fontId="3" type="noConversion"/>
  </si>
  <si>
    <t>선택적 병합(택일적 청구 병합)</t>
    <phoneticPr fontId="3" type="noConversion"/>
  </si>
  <si>
    <t>예비적 병합(배타적 청구 병합)</t>
    <phoneticPr fontId="3" type="noConversion"/>
  </si>
  <si>
    <t>부진정 예비적 병합</t>
    <phoneticPr fontId="3" type="noConversion"/>
  </si>
  <si>
    <t xml:space="preserve"> 방법-청구취지의 변경</t>
    <phoneticPr fontId="3" type="noConversion"/>
  </si>
  <si>
    <t xml:space="preserve"> 방법-청구원인의 변경</t>
    <phoneticPr fontId="3" type="noConversion"/>
  </si>
  <si>
    <t xml:space="preserve"> 형태-교환적 변경</t>
    <phoneticPr fontId="3" type="noConversion"/>
  </si>
  <si>
    <t xml:space="preserve"> 형태-추가적 변경</t>
    <phoneticPr fontId="3" type="noConversion"/>
  </si>
  <si>
    <t>중간확인의 소</t>
    <phoneticPr fontId="3" type="noConversion"/>
  </si>
  <si>
    <t xml:space="preserve"> 단순 반소</t>
    <phoneticPr fontId="3" type="noConversion"/>
  </si>
  <si>
    <t xml:space="preserve"> 예비적 반소</t>
    <phoneticPr fontId="3" type="noConversion"/>
  </si>
  <si>
    <t>현재 특정한 사건이 제기되어 그 사건을 실제로 담당하고 있는 법원을 의미한다.</t>
  </si>
  <si>
    <t>합의제 법원에서 재판장으로부터 특정한 소송행위를 하도록 명을 받은 그 합의체의 구성원인 법관을 말한다.</t>
  </si>
  <si>
    <t>수소법원의 소재지 외의 지역에서 소송행위를 할 필요가 있을 때, 그 지역을 관할하는 다른 법원의 법관에게 해당 사무를 촉탁하여 수행하게 된 법관을 의미한다.</t>
  </si>
  <si>
    <t>공동소송(주관적 병합)</t>
    <phoneticPr fontId="3" type="noConversion"/>
  </si>
  <si>
    <t>청구의 병합(객관적 병합)</t>
    <phoneticPr fontId="3" type="noConversion"/>
  </si>
  <si>
    <t>합일확정</t>
    <phoneticPr fontId="3" type="noConversion"/>
  </si>
  <si>
    <t>공동소송인들 사이에서 법원이 서로 모순되는 판결을 내리지 않고 하나의 결론으로 통일되게 판결해야 함을 의미한다.</t>
    <phoneticPr fontId="3" type="noConversion"/>
  </si>
  <si>
    <t>통상공동소송</t>
    <phoneticPr fontId="3" type="noConversion"/>
  </si>
  <si>
    <t xml:space="preserve"> 공동소송인 독립의 원칙</t>
    <phoneticPr fontId="3" type="noConversion"/>
  </si>
  <si>
    <t xml:space="preserve"> 주장공통의 원칙</t>
    <phoneticPr fontId="3" type="noConversion"/>
  </si>
  <si>
    <t xml:space="preserve"> 증거공통의 원칙</t>
    <phoneticPr fontId="3" type="noConversion"/>
  </si>
  <si>
    <t xml:space="preserve"> 고유필수적 공동소송</t>
    <phoneticPr fontId="3" type="noConversion"/>
  </si>
  <si>
    <t xml:space="preserve"> 유시필수적 공동소송</t>
    <phoneticPr fontId="3" type="noConversion"/>
  </si>
  <si>
    <t>예비적・선택적 공동소송</t>
    <phoneticPr fontId="3" type="noConversion"/>
  </si>
  <si>
    <t xml:space="preserve"> 수동형</t>
    <phoneticPr fontId="3" type="noConversion"/>
  </si>
  <si>
    <t xml:space="preserve"> 능동형</t>
    <phoneticPr fontId="3" type="noConversion"/>
  </si>
  <si>
    <t xml:space="preserve"> 예비형</t>
    <phoneticPr fontId="3" type="noConversion"/>
  </si>
  <si>
    <t xml:space="preserve"> 선택형</t>
    <phoneticPr fontId="3" type="noConversion"/>
  </si>
  <si>
    <t xml:space="preserve"> 원시형</t>
    <phoneticPr fontId="3" type="noConversion"/>
  </si>
  <si>
    <t xml:space="preserve"> 후발형</t>
    <phoneticPr fontId="3" type="noConversion"/>
  </si>
  <si>
    <t>추가적 공동소송</t>
    <phoneticPr fontId="3" type="noConversion"/>
  </si>
  <si>
    <t>선정당사자</t>
    <phoneticPr fontId="3" type="noConversion"/>
  </si>
  <si>
    <t>선정자</t>
    <phoneticPr fontId="3" type="noConversion"/>
  </si>
  <si>
    <t>소송고지</t>
    <phoneticPr fontId="3" type="noConversion"/>
  </si>
  <si>
    <t>공동소송적 보조참가</t>
    <phoneticPr fontId="3" type="noConversion"/>
  </si>
  <si>
    <t>공동소송참가</t>
    <phoneticPr fontId="3" type="noConversion"/>
  </si>
  <si>
    <t>독립당사자 참가</t>
    <phoneticPr fontId="3" type="noConversion"/>
  </si>
  <si>
    <t xml:space="preserve"> 권리취락참가</t>
    <phoneticPr fontId="3" type="noConversion"/>
  </si>
  <si>
    <t xml:space="preserve"> 사해방지참가</t>
    <phoneticPr fontId="3" type="noConversion"/>
  </si>
  <si>
    <t>임의적 당사자변경</t>
    <phoneticPr fontId="3" type="noConversion"/>
  </si>
  <si>
    <t>소송승계</t>
    <phoneticPr fontId="3" type="noConversion"/>
  </si>
  <si>
    <t xml:space="preserve"> 당연승계</t>
    <phoneticPr fontId="3" type="noConversion"/>
  </si>
  <si>
    <t xml:space="preserve"> 특정승계</t>
    <phoneticPr fontId="3" type="noConversion"/>
  </si>
  <si>
    <t xml:space="preserve">  참가승계</t>
    <phoneticPr fontId="3" type="noConversion"/>
  </si>
  <si>
    <t xml:space="preserve">  인수승계</t>
    <phoneticPr fontId="3" type="noConversion"/>
  </si>
  <si>
    <t>상소</t>
    <phoneticPr fontId="3" type="noConversion"/>
  </si>
  <si>
    <t xml:space="preserve"> 항소</t>
    <phoneticPr fontId="3" type="noConversion"/>
  </si>
  <si>
    <t xml:space="preserve"> 상고</t>
    <phoneticPr fontId="3" type="noConversion"/>
  </si>
  <si>
    <t xml:space="preserve"> 항고</t>
    <phoneticPr fontId="3" type="noConversion"/>
  </si>
  <si>
    <t>이의신청</t>
    <phoneticPr fontId="3" type="noConversion"/>
  </si>
  <si>
    <t>특별항고</t>
    <phoneticPr fontId="3" type="noConversion"/>
  </si>
  <si>
    <t>상소의 이익</t>
    <phoneticPr fontId="3" type="noConversion"/>
  </si>
  <si>
    <t>형식적 불복설</t>
    <phoneticPr fontId="3" type="noConversion"/>
  </si>
  <si>
    <t>상소권의 포기</t>
    <phoneticPr fontId="3" type="noConversion"/>
  </si>
  <si>
    <t>불상소합의</t>
    <phoneticPr fontId="3" type="noConversion"/>
  </si>
  <si>
    <t>상소가 제기되면 원심판결의 확정이 저지되는 효력을 의미한다.</t>
    <phoneticPr fontId="3" type="noConversion"/>
  </si>
  <si>
    <t>민사소송제도가 지향해야 할 최고지도원리를 의미한다. 3대 이상 : 적정・공평, 신속, 경제</t>
    <phoneticPr fontId="3" type="noConversion"/>
  </si>
  <si>
    <t xml:space="preserve"> 적정・공평</t>
    <phoneticPr fontId="3" type="noConversion"/>
  </si>
  <si>
    <t>재판의 내용이 실체적 진실에 부합하고 절차적으로 당사자에게 평등한 기회를 부여해야 한다는 원칙이다.</t>
    <phoneticPr fontId="3" type="noConversion"/>
  </si>
  <si>
    <t xml:space="preserve"> 신속</t>
    <phoneticPr fontId="3" type="noConversion"/>
  </si>
  <si>
    <t xml:space="preserve"> 경제</t>
    <phoneticPr fontId="3" type="noConversion"/>
  </si>
  <si>
    <t>`지연된 정의는 정의가 아니다`라는 격언처럼 적시에 판결을 내리는 것을 의미한다.</t>
    <phoneticPr fontId="3" type="noConversion"/>
  </si>
  <si>
    <t>최소한의 비용과 노력으로 최대의 분쟁 해결 효과를 내는 것을 목표로 한다.</t>
    <phoneticPr fontId="3" type="noConversion"/>
  </si>
  <si>
    <t>당사자가 소송상 권능을 행사하거나 의무를 이행할 때 상대방의 신뢰를 배반하지 않도록 성실히 행동해야 한다는 윤리적 법원칙이다.</t>
    <phoneticPr fontId="3" type="noConversion"/>
  </si>
  <si>
    <t>당사자가 자기에게 유리한 소송상태를 만들기 위해 부당한 수단을 사용하는 것을 금지하는 원칙이다.</t>
    <phoneticPr fontId="3" type="noConversion"/>
  </si>
  <si>
    <t>당사자가 이전에 행한 명시적・묵시적 거동과 모순되는 소송행위를 함으로써 상대방의 정당한 신뢰를 해치는 것을 금지한다. (금반언의 원칙)</t>
    <phoneticPr fontId="3" type="noConversion"/>
  </si>
  <si>
    <t>외형상으로는 소송상의 권리행사처럼 보이나, 실질적으로는 상대방에게 고통을 주거나 부당한 이익을 얻으려는 목적으로 소를 제기하는 경우 이를 허용하지 않는 것이다.</t>
    <phoneticPr fontId="3" type="noConversion"/>
  </si>
  <si>
    <t>사적 법률관계에서 발생하는 분쟁을 국가의 재판권에 의하여 강제적 ・종국적으로 해결하기 위한 절차를 규정하는 법률체계를 의미한다.</t>
    <phoneticPr fontId="3" type="noConversion"/>
  </si>
  <si>
    <t>법원이나 소송관계인에 대하여 일정한 행위를 하도록 지시하거나 기간을 정해두었으나, 이를 위반하더라도 그 행위의 법적 효력에는 영향이 없는 규정을 의미한다.</t>
    <phoneticPr fontId="3" type="noConversion"/>
  </si>
  <si>
    <t>그 규정에 정해진 방식이나 절차를 따르지 않을 경우 해당 소송행위의 효력이 부인되는 규정을 말한다.</t>
    <phoneticPr fontId="3" type="noConversion"/>
  </si>
  <si>
    <t>당사자의 합의나 의사에 관계없이 반드시 준수되어야 하며, 이를 위반할 경우 절차상의 하자가 발생하는 규정을 의미한다.</t>
    <phoneticPr fontId="3" type="noConversion"/>
  </si>
  <si>
    <t>법규의 내용이 당사자의 의사에 의하여 변경되거나 그 적용을 배제할 수 있는 규정을 의미한다.</t>
    <phoneticPr fontId="3" type="noConversion"/>
  </si>
  <si>
    <t>임의규정에 위반된 소송행위가 있더라도 상대방이 지체 없이 이의를 제기하지 않거나, 그 위반을 알고도 소송절차를 계속 진행한 경우에는 이의권이 상실된다.</t>
    <phoneticPr fontId="3" type="noConversion"/>
  </si>
  <si>
    <t>대한민국의 재판권이 어떠한 사람에게까지 미치는가의 문제이다.</t>
    <phoneticPr fontId="3" type="noConversion"/>
  </si>
  <si>
    <t xml:space="preserve"> 실질적 관련성</t>
    <phoneticPr fontId="3" type="noConversion"/>
  </si>
  <si>
    <t>대한민국 법원이 재판권을 행사하는 것이 당사자 간의 형평을 해치지 않고 재판의 실효성을 거둘 수 있는 관계를 의미한다.</t>
    <phoneticPr fontId="3" type="noConversion"/>
  </si>
  <si>
    <t>대한민국의 영토권이 미치는 범위와 일치한다.</t>
    <phoneticPr fontId="3" type="noConversion"/>
  </si>
  <si>
    <t>법관이 구체적인 사건과 특수한 관계가 있는 경우에 법률에 의하여 당연히 그 사건의 직무집행에서 배제되는 제도를 의미한다.</t>
    <phoneticPr fontId="3" type="noConversion"/>
  </si>
  <si>
    <t>법관에게 법정 제척 사유는 없으나 재판의 공정성을 기대하기 어려운 객관적 사정이 있는 경우, 당사자의 신청에 의하여 법관을 직무집해에서 배제시키는 제도를 말한다.</t>
    <phoneticPr fontId="3" type="noConversion"/>
  </si>
  <si>
    <t>통상적인 법관의 입장에서 당사자와의 친분 관계, 원한 관계, 특정 이해관계 등으로 인해 편파적인 재판을 할 염려가 있다고 객관적으로 인정될 만한 사유를 의미한다.</t>
    <phoneticPr fontId="3" type="noConversion"/>
  </si>
  <si>
    <t>법관 스스로 자신에게 제척 또는 기피의 사유가 있다고 판단하는 경우, 자발적으로 해당 사건의 직무집행에서 물러나는 것을 말한다.</t>
    <phoneticPr fontId="3" type="noConversion"/>
  </si>
  <si>
    <t>당사자의 동일성을 유지하면서 소장에 기재된 잘못된 명칭이나 주소 등을 바르게 고치는 것을 말한다.</t>
    <phoneticPr fontId="3" type="noConversion"/>
  </si>
  <si>
    <t>원고 또는 피고가 타인의 성명을 무단으로 사용하여 소송을 수행하는 것을 의미한다.</t>
    <phoneticPr fontId="3" type="noConversion"/>
  </si>
  <si>
    <t>특정한 사안에서 법인의 독립된 인격성을 부정하고 그 배후에 있는 개인이나 다른 회사에 책임을 묻는 이론이다.</t>
    <phoneticPr fontId="3" type="noConversion"/>
  </si>
  <si>
    <t>소송의 주체가 될 수 있는 일반적인 능력을 의미한다.</t>
    <phoneticPr fontId="3" type="noConversion"/>
  </si>
  <si>
    <t>특정한 소송물에 대하여 원고로서 소송을 수행하고 본안판결을 받을 수 있는 자격(정당한 원고) 또는 피고로서 소송을 수행당하고 판결을 받을 수 있는 자격(정당한 피고)을 의미한다.</t>
    <phoneticPr fontId="3" type="noConversion"/>
  </si>
  <si>
    <t>당사자로서 유효하게 소송행위를 하거나 상대방의 소송행위를 수령할 수 있는 능력을 말한다.</t>
    <phoneticPr fontId="3" type="noConversion"/>
  </si>
  <si>
    <t>법원에 출석하여 유효하게 구술로 변론을 할 수 있는 능력을 말한다.</t>
    <phoneticPr fontId="3" type="noConversion"/>
  </si>
  <si>
    <t>당사자의 이름으로 소송행위를 하거나 소송행위를 수령함으로써 그 효과를 직접 당사자에게 귀속시키는 제3자를 의미한다.</t>
    <phoneticPr fontId="3" type="noConversion"/>
  </si>
  <si>
    <t xml:space="preserve"> 법정대리인</t>
    <phoneticPr fontId="3" type="noConversion"/>
  </si>
  <si>
    <t xml:space="preserve"> 임의대리인</t>
    <phoneticPr fontId="3" type="noConversion"/>
  </si>
  <si>
    <t xml:space="preserve">  소송대리인</t>
    <phoneticPr fontId="3" type="noConversion"/>
  </si>
  <si>
    <t>본인의 의사에 의하지 않고 법률의 규정이나 법원의 선임 등에 의하여 대리권이 발생하는 소송대리인을 말한다.</t>
    <phoneticPr fontId="3" type="noConversion"/>
  </si>
  <si>
    <t>당사자 본인의 수권행위(소송위임 등)에 의하여 대리권을 취득하는 자를 말한다. 예 : 변호사</t>
    <phoneticPr fontId="3" type="noConversion"/>
  </si>
  <si>
    <t>당사자가 특정 소송을 수행하기 위하여 특정인을 대리인으로 선임하는 경우이다.</t>
    <phoneticPr fontId="3" type="noConversion"/>
  </si>
  <si>
    <t>대리권이 없음에도 불구하고 당사자의 이름으로 소송행위를 하는 자를 말한다.</t>
    <phoneticPr fontId="3" type="noConversion"/>
  </si>
  <si>
    <t>법원이 사건의 본안에 대하여 심리하고 판결하기 위하여 필요한 전제 조건을 말한다.</t>
    <phoneticPr fontId="3" type="noConversion"/>
  </si>
  <si>
    <t>원고가 제기한 소가 법원의 판결을 받을 만한 가치와 필요성이 있는지를 의미한다.</t>
    <phoneticPr fontId="3" type="noConversion"/>
  </si>
  <si>
    <t>구체적으로 판결을 얻을 필요가 있는지를 판단한다.</t>
    <phoneticPr fontId="3" type="noConversion"/>
  </si>
  <si>
    <t>소송물이 재판에 적합한 대상인지를 판단한다.</t>
    <phoneticPr fontId="3" type="noConversion"/>
  </si>
  <si>
    <t>법원에 의해 강제적으로 실현될 수 있는 성질을 가진 것이어야 한다.</t>
    <phoneticPr fontId="3" type="noConversion"/>
  </si>
  <si>
    <t>당사자 사이에 특정한 분쟁에 대하여 소를 제기하지 않기로 하는 합의이다.</t>
    <phoneticPr fontId="3" type="noConversion"/>
  </si>
  <si>
    <t>민사소송에서 심리의 대상이 되는 구체적인 권리 또는 법률관계를 의미한다.</t>
    <phoneticPr fontId="3" type="noConversion"/>
  </si>
  <si>
    <t>가분적인 채권(금전채권)의 일부분만을 소송상 청구하는 것을 말한다.</t>
    <phoneticPr fontId="3" type="noConversion"/>
  </si>
  <si>
    <t>[일부청구 시 소송물] 채권의 일부만을 청구하더라도 채권 전액이 소송물이 된다는 견해이다.</t>
    <phoneticPr fontId="3" type="noConversion"/>
  </si>
  <si>
    <t>[일부청구 시 소송물] 원고가 명시적으로 청구한 범위 내에서만 소송물이 성립한다 견해이다. (판례)</t>
    <phoneticPr fontId="3" type="noConversion"/>
  </si>
  <si>
    <t>[일부청구 시 과실상계] 전체 손해액에서 과실비율을 공제한 금액이 청구액보다 크면 청구액 전부를 인용해야 한다는 견해이다.</t>
    <phoneticPr fontId="3" type="noConversion"/>
  </si>
  <si>
    <t>[일부청구 시 과실상계] 청구액을 기준으로 과실상계를 적용해야 한다는 견해이다.</t>
    <phoneticPr fontId="3" type="noConversion"/>
  </si>
  <si>
    <t>소 제기 시 반드시 기재하여야 하는 사항을 말한다.</t>
    <phoneticPr fontId="3" type="noConversion"/>
  </si>
  <si>
    <t>소송절차의 원활한 진행을 위해 기재가 권장되나, 누락되어도 소장 자체가 부적법해지지는 않는 사항이다.</t>
    <phoneticPr fontId="3" type="noConversion"/>
  </si>
  <si>
    <t>원고의 주장을 뒷받침하는 서증, 증인 신청 등을 미리 기재할 수 있다. 소장에 서증의 사본을 첨부하는 것이 실무적인 관행이다.</t>
    <phoneticPr fontId="3" type="noConversion"/>
  </si>
  <si>
    <t>위임장, 법인 등기부 등본 등 소장에 첨부된 서류의 목록을 기재한다.</t>
    <phoneticPr fontId="3" type="noConversion"/>
  </si>
  <si>
    <t>신속한 송달과 연락을 위해 당사자의 전화번호나 이메일 주소를 기재하는 것이 권장된다.</t>
    <phoneticPr fontId="3" type="noConversion"/>
  </si>
  <si>
    <t>원고가 제출한 소장이 법률상 정해진 형식적 요건을 구비하였는지를 재판장이 단독으로 조사하는 절차를 의미한다.</t>
    <phoneticPr fontId="3" type="noConversion"/>
  </si>
  <si>
    <t>피고가 기한 내에 답변서를 제출하지 않거나 원고의 주장 사실을 자백하는 취지의 답변서를 제출한 경우, 법원은 변론기일을 열지 않고 바로 판결을 선고할 수 있다.</t>
    <phoneticPr fontId="3" type="noConversion"/>
  </si>
  <si>
    <t>특정한 사건이 법원에 제출되어 심판의 대상이 된 상태를 의미한다.</t>
    <phoneticPr fontId="3" type="noConversion"/>
  </si>
  <si>
    <t>이미 소송이 계속 중인 사건에 대하여 당사자는 다시 소를 제기하지 못한다.</t>
    <phoneticPr fontId="3" type="noConversion"/>
  </si>
  <si>
    <t>채권자가 자신의 채권을 보전하기 위하여 채무자의 제3채무자에 대한 권리를 채무자를 대신하여 행사하는 소송이다.</t>
    <phoneticPr fontId="3" type="noConversion"/>
  </si>
  <si>
    <t>소송의 주체인 당사자가 법원의 공개된 법정에서 판결의 기초가 될 소송자료, 즉 사실과 증거를 제출하는 구술활동을 의미한다.</t>
    <phoneticPr fontId="3" type="noConversion"/>
  </si>
  <si>
    <t xml:space="preserve"> 필요적 변론</t>
    <phoneticPr fontId="3" type="noConversion"/>
  </si>
  <si>
    <t xml:space="preserve"> 임의적 변론</t>
    <phoneticPr fontId="3" type="noConversion"/>
  </si>
  <si>
    <t>소송관계를 분명하게 하기 위하여 당사자에게 질문하거나 증명을 촉구하는 법원의 권한이자 의무이다.</t>
    <phoneticPr fontId="3" type="noConversion"/>
  </si>
  <si>
    <t>당사자가 변론기일에서 진술하고자 하는 사항을 기일 전에 미리 작성하여 법원에 제출하는 서면을 의미한다.</t>
    <phoneticPr fontId="3" type="noConversion"/>
  </si>
  <si>
    <t>변론기일에 앞서 당사자의 주장과 증거를 정리하여 변론이 집중적이고 효율적으로 이루어질 수 있도록 하는 예비적 절차이다.</t>
    <phoneticPr fontId="3" type="noConversion"/>
  </si>
  <si>
    <t>당사자가 법원에 대하여 어떠한 내용의 판결을 구하는가를 명시하는 의사표시이다.</t>
    <phoneticPr fontId="3" type="noConversion"/>
  </si>
  <si>
    <t>당사자가 자신의 본안 신청을 뒷받침하기 위해 제출하는 일체의 소송자료를 의미한다.</t>
    <phoneticPr fontId="3" type="noConversion"/>
  </si>
  <si>
    <t>원고가 청구를 근거 짓기 위해 제출하는 자료이다.</t>
    <phoneticPr fontId="3" type="noConversion"/>
  </si>
  <si>
    <t>피고가 청구를 배척하기 위해 제출하는 자료이다.</t>
    <phoneticPr fontId="3" type="noConversion"/>
  </si>
  <si>
    <t>다툼이 있는 사실의 존부를 확정하기 위하여 법원에 증거조사를 요구하는 행위이다.</t>
    <phoneticPr fontId="3" type="noConversion"/>
  </si>
  <si>
    <t>상대방의 주장 사실을 인정하면서도, 그 사실에 의한 법률효과를 배제하기 위해 별개의 사실을 주장하는 방어방법이다.</t>
    <phoneticPr fontId="3" type="noConversion"/>
  </si>
  <si>
    <t>상대방이 주장하는 사실 자체를 부정하는 것이다.</t>
    <phoneticPr fontId="3" type="noConversion"/>
  </si>
  <si>
    <t>상대방의 주장 사실과 양립할 수 없는 별개의 사실을 주장함으로써 결과적으로 상대방의 주장을 부정하는 것이다.</t>
    <phoneticPr fontId="3" type="noConversion"/>
  </si>
  <si>
    <t>소송절차를 조성하고 판결의 기초가 되는 효과를 발생시키는 법원과 당사자의 행위를 말한다.</t>
    <phoneticPr fontId="3" type="noConversion"/>
  </si>
  <si>
    <t>당사자 간의 합의로 소송법상의 효과를 발생시키는 것을 말한다.</t>
    <phoneticPr fontId="3" type="noConversion"/>
  </si>
  <si>
    <t>변론기일의 경과를 법원사무관 등이 기록한 공문서이다.</t>
    <phoneticPr fontId="3" type="noConversion"/>
  </si>
  <si>
    <t>양쪽 당사자가 모두 적법한 통지를 받고도 기일에 출석하지 않거나 출석하여도 변론하지 않는 경우를 의미한다.</t>
    <phoneticPr fontId="3" type="noConversion"/>
  </si>
  <si>
    <t>한쪽 당사자는 출석하여 변론 준비를 마쳤으나, 상대방이 적법한 기일통지를 받고도 출석하지 않거나 변론하지 않는 경우를 말한다.</t>
    <phoneticPr fontId="3" type="noConversion"/>
  </si>
  <si>
    <t xml:space="preserve"> 취하간주</t>
    <phoneticPr fontId="3" type="noConversion"/>
  </si>
  <si>
    <t>당사자 일방 결석</t>
    <phoneticPr fontId="3" type="noConversion"/>
  </si>
  <si>
    <t xml:space="preserve"> 진술간주</t>
    <phoneticPr fontId="3" type="noConversion"/>
  </si>
  <si>
    <t xml:space="preserve"> 자백간주</t>
    <phoneticPr fontId="3" type="noConversion"/>
  </si>
  <si>
    <t>2회 쌍방 불출석 후 1개월 이내에 어느 당사자도 기일지정신청을 하지 않거나, 기일지정신청에 의해 정해진 기일에 다시 양쪽이 불출석한 경우 소가 취하된 것으로 본다.</t>
    <phoneticPr fontId="3" type="noConversion"/>
  </si>
  <si>
    <t>출석하지 아니한 당사자가 미리 제출한 소장, 답변서 또는 준비서면이 있는 경우, 출석한 상대방이 변론을 하면 불출석한 당사자가 그 서면의 내용을 진술한 것으로 본다.</t>
    <phoneticPr fontId="3" type="noConversion"/>
  </si>
  <si>
    <t>당사자가 상대방의 주장 사실을 명백히 다투지 아니하거나 기일에 출석하지 아니한 경우, 그 사실을 자백한 것으로 보는 제도이다.</t>
    <phoneticPr fontId="3" type="noConversion"/>
  </si>
  <si>
    <t>법원, 당사자 기타 소송관계인이 회합하여 소송절차를 진행하기 위해 정해진 시간적 시점을 의미한다.</t>
    <phoneticPr fontId="3" type="noConversion"/>
  </si>
  <si>
    <t>소송절차에서 어떠한 소송행위를 하거나 법적 효과를 유지하기 위해 정해진 시간적 계속을 의미한다.</t>
    <phoneticPr fontId="3" type="noConversion"/>
  </si>
  <si>
    <t>법률에 의해 그 길이가 직접 정해져 있는 기간을 말한다.</t>
    <phoneticPr fontId="3" type="noConversion"/>
  </si>
  <si>
    <t>법원이나 재판장이 재량에 따라 정하는 기간을 의미한다.</t>
    <phoneticPr fontId="3" type="noConversion"/>
  </si>
  <si>
    <t>법정기간 중에서도 특히 법률에 의해 불변임이 명시된 기간을 말한다.</t>
    <phoneticPr fontId="3" type="noConversion"/>
  </si>
  <si>
    <t>당사자가 그 책임질 수 없는 사유로 인하여 불변기간을 지킬 수 없었던 경우, 그 사유가 없어진 후 일정한 기간 내에 게을리한 소송행위를 보완하여 수행할 수 있도록 하는 구제제도이다.</t>
    <phoneticPr fontId="3" type="noConversion"/>
  </si>
  <si>
    <t>당사자가 통상의 주의를 다하였음에도 불구하고 기간을 준수할 수 없었던 객관적 사정을 의미한다.</t>
    <phoneticPr fontId="3" type="noConversion"/>
  </si>
  <si>
    <t>소송절차의 공정성과 방어권 보장을 위하여 법원이 소송 당사자나 이해관계인에게 소송상의 서류 내용을 알 수 있는 기회를 부여하고 이를 공증하는 행위를 의미한다.</t>
    <phoneticPr fontId="3" type="noConversion"/>
  </si>
  <si>
    <t>송달받을 사람에게 직접 서류를 교부하는 방식이다. 이는 송달의 원칙적 방법이다.</t>
    <phoneticPr fontId="3" type="noConversion"/>
  </si>
  <si>
    <t>송달받을 사람을 만나지 못한 경우 그 사무원, 피용자 또는 동거인으로서 사리를 분별할 지능이 있는 사람에게 서류를 교부하는 방식이다.</t>
    <phoneticPr fontId="3" type="noConversion"/>
  </si>
  <si>
    <t>송달받을 사람이 정당한 사유 없이 송달받기를 거부하는 경우, 그 장소에 서류를 놓아둠으로써 송달의 효력을 발생시키는 방식이다.</t>
    <phoneticPr fontId="3" type="noConversion"/>
  </si>
  <si>
    <t>교부송달 등이 불가능한 경우 서류를 등기우편으로 발송하고, 발송한 때에 송달된 것으로 간주하는 방식이다.</t>
    <phoneticPr fontId="3" type="noConversion"/>
  </si>
  <si>
    <t>소송이 계속되는 동안 일정한 법정 사유의 발생으로 인하여 절차의 진행이 법률상 당연히 멈추거나, 법원의 결정에 의하여 멈추게 되는 상태를 말한다.</t>
    <phoneticPr fontId="3" type="noConversion"/>
  </si>
  <si>
    <t>당사자나 그 법정대리인에게 소송수행을 불가능하게 하는 사유가 발생하였을 때, 그를 대신하여 소송을 수행할 사람이 정해질 때까지 법률상 당연히 절차의 진행이 정지되는 것을 말한다.</t>
    <phoneticPr fontId="3" type="noConversion"/>
  </si>
  <si>
    <t>법률상 또는 사실상의 장해로 인하여 법원이나 당사자가 소송을 진행할 수 없는 상태를 의미한다.</t>
    <phoneticPr fontId="3" type="noConversion"/>
  </si>
  <si>
    <t>당사자 측에 소송을 수행할 수 없는 사유가 발생한 경우 새로운 수행자가 나타나 절차를 이어받을 때까지 당연히 정지되는 상태를 의미한다.</t>
    <phoneticPr fontId="3" type="noConversion"/>
  </si>
  <si>
    <t>법원이나 당사자의 외부적 장해로 인하여 사실상 소송을 진행하기 어려운 경우에 법률의 규정 또는 법원의 결정에 의하여 절차가 멈추는 것을 의미한다.</t>
    <phoneticPr fontId="3" type="noConversion"/>
  </si>
  <si>
    <t>소송절차가 중단된 경우 새로운 소송수행 권한을 가진 자(상속인, 합병 후 법인 등) 또는 상대방 당사자가 법원에 소송절차를 계속하겠다는 의사를 표시하는 것을 말한다.</t>
    <phoneticPr fontId="3" type="noConversion"/>
  </si>
  <si>
    <t>당사자가 수계신청을 게을리하는 경우 법원이 직권으로 소송절차를 진행하도록 명령하는 것을 말한다.</t>
    <phoneticPr fontId="3" type="noConversion"/>
  </si>
  <si>
    <t>천재지변 등으로 법원이 직무를 수행할 수 없게 된 경우 법률 규정에 의하여 당연히 발생하는 것을 말한다.</t>
    <phoneticPr fontId="3" type="noConversion"/>
  </si>
  <si>
    <t>법원이 그 내용을 조사하기 위하여 대하는 유체물을 의미하며, 증인・감정인・문서・검증물 등이 이에 해당한다.</t>
    <phoneticPr fontId="3" type="noConversion"/>
  </si>
  <si>
    <t>증거방법을 조사하여 얻은 내용, 즉 증인의 증언이나 감정 결과 등을 뜻한다.</t>
    <phoneticPr fontId="3" type="noConversion"/>
  </si>
  <si>
    <t>특정 증거방법이 법정의 증거조사 절차에 사용될 수 있는 법률상 자격을 의미한다.</t>
    <phoneticPr fontId="3" type="noConversion"/>
  </si>
  <si>
    <t>증거력의 판단은 전적으로 법관의 자유로운 판단에 맡겨져 있음을 말한다.</t>
    <phoneticPr fontId="3" type="noConversion"/>
  </si>
  <si>
    <t>입증책임을 지는 당사자가 자기의 주장사실을 확정하기 위해 제출하는 증거를 의미한다.</t>
    <phoneticPr fontId="3" type="noConversion"/>
  </si>
  <si>
    <t>본증에 의해 인정되는 사실을 부정하기 위하여 상대방이 제출하는 증거를 말한다. 반증은 본증이 주장하는 사실이 진실이 아닐 수도 있다는 의심을 일으키는 것 만으로 충분하다.</t>
    <phoneticPr fontId="3" type="noConversion"/>
  </si>
  <si>
    <t>요건사실인 주된 사실의 존부를 직접 증명하는 증거를 의미한다.</t>
    <phoneticPr fontId="3" type="noConversion"/>
  </si>
  <si>
    <t>요건사실을 직접 증명하지는 않지만, 요건사실의 존부를 추인하게 하는 사실(간접사실)을 증명하는 증거를 말한다.</t>
    <phoneticPr fontId="3" type="noConversion"/>
  </si>
  <si>
    <t>법관이 사실의 존부에 관하여 확신을 얻은 상태, 또는 그러한 상태에 이르도록 증거를 제시하는 활동을 의미한다.</t>
    <phoneticPr fontId="3" type="noConversion"/>
  </si>
  <si>
    <t>구체적인 권리나 법률관계의 발생・변경・소멸이라는 법률효과를 가져오는 법률요건에 해당하는 사실을 뜻한다.</t>
    <phoneticPr fontId="3" type="noConversion"/>
  </si>
  <si>
    <t>법률효과를 일으키는 법규의 구성요건에 직접 해당하는 사실을 의미하며, 이를 요건사실이라고도 한다.</t>
    <phoneticPr fontId="3" type="noConversion"/>
  </si>
  <si>
    <t>주요사실의 존부를 추인하게 하는 사실을 의미한다.</t>
    <phoneticPr fontId="3" type="noConversion"/>
  </si>
  <si>
    <t>증거방법의 신용력에 영향을 미치는 사실을 말한다.</t>
    <phoneticPr fontId="3" type="noConversion"/>
  </si>
  <si>
    <t>인간의 경험에서 얻어진 사물의 이치, 법칙, 공통된 판단의 기준을 의미한다.</t>
    <phoneticPr fontId="3" type="noConversion"/>
  </si>
  <si>
    <t>재판의 기준이 되는 법률 조항이나 성문법령을 의미한다.</t>
    <phoneticPr fontId="3" type="noConversion"/>
  </si>
  <si>
    <t>법원이 판결의 기초가 되는 사실을 인정함에 있어서 증거조사를 거칠 필요가 없는 사실을 의미한다.</t>
    <phoneticPr fontId="3" type="noConversion"/>
  </si>
  <si>
    <t>소송의 계속 중에 당사자가 자기에게 불리한 사실을 시인하는 진술을 말한다.</t>
    <phoneticPr fontId="3" type="noConversion"/>
  </si>
  <si>
    <t>상대방이 주장하지 않은 사실을 스스로 진술하는 것을 말한다.</t>
    <phoneticPr fontId="3" type="noConversion"/>
  </si>
  <si>
    <t>상대방이 증명책임을 지는 사실을 의미하는 것을 말한다.</t>
    <phoneticPr fontId="3" type="noConversion"/>
  </si>
  <si>
    <t>당사자가 명시적으로 자백하지는 않았으나, 소송상의 태도에 비추어 사실을 다투지 않는 것으로 보아 자백과 동일한 법적 효과를 부여하는 제도를 의미한다.</t>
    <phoneticPr fontId="3" type="noConversion"/>
  </si>
  <si>
    <t>법관이 이미 확실한 지식을 가지고 있어 증거조사를 통하여 그 존부를 확인할 필요가 없을 정도로 명백한 사실을 말한다.</t>
    <phoneticPr fontId="3" type="noConversion"/>
  </si>
  <si>
    <t>일반 사회 구성원이 보통의 지식과 경험에 의하여 의심 없이 알고 있는 사실을 의미한다.</t>
    <phoneticPr fontId="3" type="noConversion"/>
  </si>
  <si>
    <t>법관이 법원에서 직무를 수행하면서 알게 된 사실로서, 기록이나 과거의 경험을 통해 확신을 가지고 있는 사실이다.</t>
    <phoneticPr fontId="3" type="noConversion"/>
  </si>
  <si>
    <t>법원이 사실을 인정함에 있어서 증거방법의 선택과 증거력의 평가를 법관의 자유로운 판단에 맡기는 원칙을 말한다.</t>
    <phoneticPr fontId="3" type="noConversion"/>
  </si>
  <si>
    <t>당사자가 자기의 주장을 뒷받침하기 위하여 법원에 대하여 특정한 증거방법을 조사하여 줄 것을 요구하는 소송행위를 말한다.</t>
    <phoneticPr fontId="3" type="noConversion"/>
  </si>
  <si>
    <t>채택된 증거방법을 통해 증거자료를 획득하는 구체적인 절차를 의미한다.</t>
    <phoneticPr fontId="3" type="noConversion"/>
  </si>
  <si>
    <t>법원이 소송당사자 이외의 제3자로부터 그가 과거에 경험한 사실을 진술하게 하여 증거자료를 얻는 증거조사 방법이다.</t>
    <phoneticPr fontId="3" type="noConversion"/>
  </si>
  <si>
    <t>법관의 판단 능력을 보충하기 위하여 특별한 학식이나 경험을 가진 자로부터 그 전문적 지식을 활용한 판단을 보고받는 증거조사 방법이다.</t>
    <phoneticPr fontId="3" type="noConversion"/>
  </si>
  <si>
    <t xml:space="preserve"> 증인신문</t>
    <phoneticPr fontId="3" type="noConversion"/>
  </si>
  <si>
    <t xml:space="preserve"> 감정</t>
    <phoneticPr fontId="3" type="noConversion"/>
  </si>
  <si>
    <t xml:space="preserve"> 당사자신문</t>
    <phoneticPr fontId="3" type="noConversion"/>
  </si>
  <si>
    <t xml:space="preserve"> 서증</t>
    <phoneticPr fontId="3" type="noConversion"/>
  </si>
  <si>
    <t xml:space="preserve"> 검증</t>
    <phoneticPr fontId="3" type="noConversion"/>
  </si>
  <si>
    <t xml:space="preserve"> 증거보전</t>
    <phoneticPr fontId="3" type="noConversion"/>
  </si>
  <si>
    <t>법원이 당사자 본인을 신문하여 사실인정의 자료를 얻는 증거조사 방법이다.</t>
    <phoneticPr fontId="3" type="noConversion"/>
  </si>
  <si>
    <t>문서를 읽어 그 기재 내용을 증거자료로 삼는 증거조사 방법이다.</t>
    <phoneticPr fontId="3" type="noConversion"/>
  </si>
  <si>
    <t>법관이 자신의 오관(눈, 코, 귀 등)의 작용에 의해 사물의 성상이나 현상을 직접 관찰하여 증거자료를 얻는 조사 방법이다.</t>
    <phoneticPr fontId="3" type="noConversion"/>
  </si>
  <si>
    <t>미리 증거조사를 해 두지 아니하면 그 증거를 사용하기 곤란한 사정이 있는 경우, 본안 소송의 개시 전이나 소송 중에 미리 증거조사를 하는 제도이다.</t>
    <phoneticPr fontId="3" type="noConversion"/>
  </si>
  <si>
    <t>증거조사의 결과를 제외하고 기일에서의 변론 과정에서 나타난 모든 자료와 상태를 의미한다.</t>
    <phoneticPr fontId="3" type="noConversion"/>
  </si>
  <si>
    <t xml:space="preserve"> 변론 전체의 취지</t>
    <phoneticPr fontId="3" type="noConversion"/>
  </si>
  <si>
    <t>증인신문, 서증, 감정, 검증, 당사자신문 등 법정의 증거조사 절차를 통해 얻어진 증거자료를 말한다.</t>
    <phoneticPr fontId="3" type="noConversion"/>
  </si>
  <si>
    <t>사유의 타당한 형식을 의미한다.</t>
    <phoneticPr fontId="3" type="noConversion"/>
  </si>
  <si>
    <t>인간이 경험을 통해 얻게 되는 일반적인 인과관계나 상관관계에 관한 지식을 말한다.</t>
    <phoneticPr fontId="3" type="noConversion"/>
  </si>
  <si>
    <t>반대 사실이 존재할 가능성을 완전히 배제할 수 있는 절대적 진실까지는 아니더라도, 보통 사람이라면 누구나 의심을 품지 않을 정도의 확신을 의미한다.</t>
    <phoneticPr fontId="3" type="noConversion"/>
  </si>
  <si>
    <t>당사자 일방이 상대방의 증명을 곤란하게 할 목적으로 증거를 인멸하거나 사용을 방해하는 경우를 말한다.</t>
    <phoneticPr fontId="3" type="noConversion"/>
  </si>
  <si>
    <t>당사자 사이에서 특정한 증거방법만을 사용하기로 하거나, 특정한 사실에 대해 증거력을 제한하기로 하는 합의를 의미한다.</t>
    <phoneticPr fontId="3" type="noConversion"/>
  </si>
  <si>
    <t>법관이 증명책임의 원칙에 따라 그 사실이 존재하지 않는 것으로 취급하여 패소의 위험을 특정 당사자에게 부담시키는 것을 말한다.</t>
    <phoneticPr fontId="3" type="noConversion"/>
  </si>
  <si>
    <t>어떤 사실이 진위불명일 때 누가 패소의 불이익을 입을 것인가를 미리 정하는 기준을 말한다.</t>
    <phoneticPr fontId="3" type="noConversion"/>
  </si>
  <si>
    <t>소송의 진행 과정에서 당사자가 자기에게 유리한 심증을 형성하기 위해 증거를 제출하는 행위적 부담을 말한다.</t>
    <phoneticPr fontId="3" type="noConversion"/>
  </si>
  <si>
    <t xml:space="preserve"> 주관적 증명책임(거증책임)</t>
    <phoneticPr fontId="3" type="noConversion"/>
  </si>
  <si>
    <t>증명책임을 지는 당사자가 그 사실의 확신을 주기 위해 제출하는 증거를 말한다.</t>
    <phoneticPr fontId="3" type="noConversion"/>
  </si>
  <si>
    <t>상대방이 그 확신을 흔들어 다시 진위불명의 상태로 되돌리기 위해 제출하는 증거를 의미한다.</t>
    <phoneticPr fontId="3" type="noConversion"/>
  </si>
  <si>
    <t>각 당사자는 자기에게 유리한 법률효과를 발생시키는 법률규정의 요건사실에 대하여 증명책임을 진다는 학설이다.</t>
    <phoneticPr fontId="3" type="noConversion"/>
  </si>
  <si>
    <t>원칙적인 분배 기준에 따르면 일방이 증명해야 할 사실을, 특정한 사정으로 인해 타방이 그 반대 사실을 증명하도록 책임을 바꾸는 것을 말한다.</t>
    <phoneticPr fontId="3" type="noConversion"/>
  </si>
  <si>
    <t>증명책임의 전환</t>
    <phoneticPr fontId="3" type="noConversion"/>
  </si>
  <si>
    <t>증명책임의 분배 자체를 바꾸지는 않되, 증명의 정도를 낮추어 주거나 간접사실을 통해 주요사실을 추단하게 함으로써 증명책임자의 부담을 덜어주는 기법이다.</t>
    <phoneticPr fontId="3" type="noConversion"/>
  </si>
  <si>
    <t>법률에 규정된 전제사실이 증명되면 요건사실이 존재하는 것으로 법률이 인정하는 것이다.</t>
    <phoneticPr fontId="3" type="noConversion"/>
  </si>
  <si>
    <t>증명책임이 없는 상대방이 주요사실과 양립할 수 없는 별개의 간접사실을 증명함으로써, 본증에 의한 추인을 방해하는 방법이다.</t>
    <phoneticPr fontId="3" type="noConversion"/>
  </si>
  <si>
    <t>당사자가 자기에게 유리한 법률효과를 발생시키는 요건사실을 변론에서 주장하지 않으면, 그 사실이 없는 것으로 취급되어 법원이 판결의 기초로 삼을 수 없는 불이익을 말한다.</t>
    <phoneticPr fontId="3" type="noConversion"/>
  </si>
  <si>
    <t>주장책임과 증명책임의 일치 원칙</t>
    <phoneticPr fontId="3" type="noConversion"/>
  </si>
  <si>
    <t>특정 사실에 대해 증명책임을 지는 당사자가 그 사실에 대한 주장책임도 함께 부담하는 것이 원칙이다.</t>
    <phoneticPr fontId="3" type="noConversion"/>
  </si>
  <si>
    <t>제기된 소송사건이 계속 중에 어떤 사유로 인하여 법원의 심리・재판을 기다리지 않고 완결되는 상태를 의미한다.</t>
    <phoneticPr fontId="3" type="noConversion"/>
  </si>
  <si>
    <t>[당사자의 의사에 의한 종료] 원고가 제기한 소의 전체 또는 일부를 철회하여 소송계속을 소멸시키는 편면적 소송행위이다.</t>
    <phoneticPr fontId="3" type="noConversion"/>
  </si>
  <si>
    <t>[당사자의 의사에 의한 종료] 원고가 자기의 소송상의 청구가 이유 없음을 자인하는 단독적 소송행위이다.</t>
    <phoneticPr fontId="3" type="noConversion"/>
  </si>
  <si>
    <t>[당사자의 의사에 의한 종료] 피고가 원고의 소송상의 청구가 이유 있음을 인정하는 단독적 소송행위이다.</t>
    <phoneticPr fontId="3" type="noConversion"/>
  </si>
  <si>
    <t>[당사자의 의사에 의한 종료] 소송계속 중에 당사자 양쪽이 서로 양보하여 소송물인 권리관계에 관한 다툼을 그만두기로 합의하는 소송행위이다.</t>
    <phoneticPr fontId="3" type="noConversion"/>
  </si>
  <si>
    <t>[법원의 종국판결에 의한 종료] 하급심 법원이 해당 심급에서 소송의 전부 또는 일부를 완결하기 위하여 내리는 판결이다.</t>
    <phoneticPr fontId="3" type="noConversion"/>
  </si>
  <si>
    <t>[법원의 종국판결에 의한 종료] 판결 선고 후 아직 상소기간이 만료되지 않은 상태에서 상소하지 않겠다는 의사를 표시하는 것이다.</t>
    <phoneticPr fontId="3" type="noConversion"/>
  </si>
  <si>
    <t>[법원의 종국판결에 의한 종료] 상소를 제기한 자가 그 상소를 철회하는 소송행위이다.</t>
    <phoneticPr fontId="3" type="noConversion"/>
  </si>
  <si>
    <t>소송이 유효하게 종료되었음에도, 당사자가 종료 사실을 다투어 소송의 계속을 주장하며 기일지정신청 등을 하는 경우 법원이 심리 결과 소송이 이미 종료되었음을 확인하여 선고하는 종국판결이다.</t>
    <phoneticPr fontId="3" type="noConversion"/>
  </si>
  <si>
    <t>법원이 소송의 종료 사유가 발생하였음에도 불구하고 이를 알지 못한 채 본안 심리를 계속 진행하는 경우를 의미한다.</t>
    <phoneticPr fontId="3" type="noConversion"/>
  </si>
  <si>
    <t>원고가 제기한 소의 전체 또는 일부를 철회하여 소송계속을 소멸시키는 소송법상 의사표시를 의미한다.</t>
    <phoneticPr fontId="3" type="noConversion"/>
  </si>
  <si>
    <t>당사자 쌍방이 변론기일에 불출석하거나 출석하더라도 변론하지 아니한 경우, 1개월 이내에 기일지정신청을 하지 않거나 다시 열린 기일에서도 양쪽이 불출석하면 소를 취하한 것으로 본다.</t>
    <phoneticPr fontId="3" type="noConversion"/>
  </si>
  <si>
    <t>본안에 대한 종국판결이 있은 뒤에 소를 취하한 사람은 같은 소를 제기하지 못한다는 원칙을 의미한다. [민소법 제267조 제2항]</t>
    <phoneticPr fontId="3" type="noConversion"/>
  </si>
  <si>
    <t>원고가 변론이나 변론준비기일에서 소송물인 권리관계가 존재하지 않음을 자인하는 법원에 대한 일방적 의사표시를 말한다.</t>
    <phoneticPr fontId="3" type="noConversion"/>
  </si>
  <si>
    <t>피고가 원고의 청구내용이 정당함을 자인하는 법원에 대한 일방적 의사표시이다.</t>
    <phoneticPr fontId="3" type="noConversion"/>
  </si>
  <si>
    <t>소송계속 중 양 당사자가 소송물의 권리관계에 관하여 상호 양보하여 소송을 종료시키기로 하는 합의를 법원에 진술하고, 이를 조서에 기재함으로써 소송을 종료시키는 행위를 말한다.</t>
    <phoneticPr fontId="3" type="noConversion"/>
  </si>
  <si>
    <t>법원・수명법관 또는 수탁판사가 소송계속 중인 사건에 대하여 직권으로 당사자의 이익, 그 밖의 모든 사정을 참작하여 사건의 공평한 해결을 위해 내리는 결정을 말한다.</t>
    <phoneticPr fontId="3" type="noConversion"/>
  </si>
  <si>
    <t>일반 민사분쟁이 소송으로 이행되는 것을 방지하기 위하여 소 제기 전에 지방법원 판사 앞에서 화해를 성립시키는 절차를 말한다.</t>
    <phoneticPr fontId="3" type="noConversion"/>
  </si>
  <si>
    <t>법원 또는 법관이 소송사건에 대하여 일정한 절차를 거쳐 내리는 공권적인 판단이나 의사표시를 의미한다.</t>
    <phoneticPr fontId="3" type="noConversion"/>
  </si>
  <si>
    <t>관념적 판단을 말한다.</t>
    <phoneticPr fontId="3" type="noConversion"/>
  </si>
  <si>
    <t xml:space="preserve"> 판단적 요소</t>
    <phoneticPr fontId="3" type="noConversion"/>
  </si>
  <si>
    <t xml:space="preserve"> 선언적 요소</t>
    <phoneticPr fontId="3" type="noConversion"/>
  </si>
  <si>
    <t>외부에 표명되는 것을 말한다.</t>
    <phoneticPr fontId="3" type="noConversion"/>
  </si>
  <si>
    <t>소송의 진행을 목적으로 한다.</t>
    <phoneticPr fontId="3" type="noConversion"/>
  </si>
  <si>
    <t>사건의 실체에 대하여 판단한다.</t>
    <phoneticPr fontId="3" type="noConversion"/>
  </si>
  <si>
    <t xml:space="preserve"> 절차적 재판</t>
    <phoneticPr fontId="3" type="noConversion"/>
  </si>
  <si>
    <t xml:space="preserve"> 실체적 재판</t>
    <phoneticPr fontId="3" type="noConversion"/>
  </si>
  <si>
    <t>[재판의 형식에 따른 분류] 법원이 소송의 전부 또는 일부를 해결하기 위하여 변론을 거쳐 행하는 재판이다.</t>
    <phoneticPr fontId="3" type="noConversion"/>
  </si>
  <si>
    <t>[재판의 형식에 따른 분류] 법원이 변론을 거치지 않고 행하는 재판이다.</t>
    <phoneticPr fontId="3" type="noConversion"/>
  </si>
  <si>
    <t>[재판의 형식에 따른 분류] 법원이 아닌 재판장, 수명법관, 수임법관 등이 법관의 자격으로 행하는 재판이다.</t>
    <phoneticPr fontId="3" type="noConversion"/>
  </si>
  <si>
    <t>[재판의 내용에 따른 분류] 소송물인 권리관계의 존부에 대하여 판단하는 재판이다.</t>
    <phoneticPr fontId="3" type="noConversion"/>
  </si>
  <si>
    <t>[재판의 내용에 따른 분류] 소송 요건의 구비 여부 등 소송 절차상의 적법성에 대하여 판단하는 재판이다.</t>
    <phoneticPr fontId="3" type="noConversion"/>
  </si>
  <si>
    <t>[소송의 종료 여부에 따른 분류] 해당 심급에서 소송의 전부 또는 일부를 종료시키는 판결이다.</t>
    <phoneticPr fontId="3" type="noConversion"/>
  </si>
  <si>
    <t>[소송의 종료 여부에 따른 분류] 종국판결을 내리기에 앞서 소송의 전제가 되는 개별적인 쟁점을 미리 확정하여 심리를 정리하기 위한 판결이다.</t>
    <phoneticPr fontId="3" type="noConversion"/>
  </si>
  <si>
    <t>[기타 분류] 소송물 자체에 대한 판단을 주된 목적으로 하는 재판이다.</t>
    <phoneticPr fontId="3" type="noConversion"/>
  </si>
  <si>
    <t>[기타 분류] 소송비용의 부담이나 가집행 선고와 같이 주된 재판에 부수하여 행해지는 재판이다.</t>
    <phoneticPr fontId="3" type="noConversion"/>
  </si>
  <si>
    <t>종국판결을 내리기에 앞서 소송의 전제가 되는 개별적 쟁점에 대하여 미리 판단을 내려 심리 절차를 정리하고 확정하기 위한 판결이다.</t>
    <phoneticPr fontId="3" type="noConversion"/>
  </si>
  <si>
    <t>해당 심급에서 소송의 전부 또는 일부를 종료시키는 판결이다.</t>
    <phoneticPr fontId="3" type="noConversion"/>
  </si>
  <si>
    <t>재판의 형식적 외관조차 갖추지 못한 경우를 의미한다. 법관이 아닌 자가 선고하거나, 판결서 작성이 전혀 없는 경우 등이 이에 해당하며 소송법상 아무런 효력이 없다.</t>
    <phoneticPr fontId="3" type="noConversion"/>
  </si>
  <si>
    <t>하나의 소송절차에서 원고가 피고에 대하여 여러 개의 청구를 동시에 제기하는 것을 말한다.</t>
    <phoneticPr fontId="3" type="noConversion"/>
  </si>
  <si>
    <t>하나의 소송물(손해배상청구)을 뒷받침하기 위하여 여러 개의 사실관계나 법적 근거(불법행위와 채무불이행)를 주장하는 것을 말한다.</t>
    <phoneticPr fontId="3" type="noConversion"/>
  </si>
  <si>
    <t>당사자가 동일하다면 원칙적으로 아무런 관련이 없는 청구라도 병합하여 제기할 수 있는 것을 말한다.</t>
    <phoneticPr fontId="3" type="noConversion"/>
  </si>
  <si>
    <t>원고가 여러 개의 청구를 제기하면서 그 모두에 대하여 심판과 인용을 구하는 형태이다.</t>
    <phoneticPr fontId="3" type="noConversion"/>
  </si>
  <si>
    <t>원고가 여러 개의 청구를 하면서 그중 어느 하나만 인용되면 목적을 달성하는 형태이다.</t>
    <phoneticPr fontId="3" type="noConversion"/>
  </si>
  <si>
    <t>원고가 주위적 청구가 인용될 것을 조건으로 하여 예비적 청구에 대한 심판을 구하는 형태이다.</t>
    <phoneticPr fontId="3" type="noConversion"/>
  </si>
  <si>
    <t>청구 상호 간에 양립이 가능함에도 불구하고 원고가 임의로 순위를 붙여 심판을 구하는 형태를 말한다.</t>
    <phoneticPr fontId="3" type="noConversion"/>
  </si>
  <si>
    <t>원고가 소송계속 중에 소송물인 청구를 변경하는 것을 말한다.</t>
    <phoneticPr fontId="3" type="noConversion"/>
  </si>
  <si>
    <t>종전의 청구를 철회하고 새로운 청구로 갈음하는 것이다.</t>
    <phoneticPr fontId="3" type="noConversion"/>
  </si>
  <si>
    <t>종전의 청구를 유지하면서 새로운 청구를 덧붙이는 것이다.</t>
    <phoneticPr fontId="3" type="noConversion"/>
  </si>
  <si>
    <t>소송계속 중 본래의 청구의 당부와 관련하여 선결적 법률관계에 대하여 다툼이 있는 경우, 당사자가 그 법률관계의 확정을 위하여 추가로 제기하는 확인의 소를 말한다.</t>
    <phoneticPr fontId="3" type="noConversion"/>
  </si>
  <si>
    <t>소송계속 중에 피고가 원고를 상대로 동일한 소송절차 내에서 제기하는 독립된 소를 말한다.</t>
    <phoneticPr fontId="3" type="noConversion"/>
  </si>
  <si>
    <t>피고가 조건 없이 제기하는 것이다.</t>
    <phoneticPr fontId="3" type="noConversion"/>
  </si>
  <si>
    <t>본소가 인용될 것을 대비하거나 기각될 것을 대비하여 제기하는 것이다.</t>
    <phoneticPr fontId="3" type="noConversion"/>
  </si>
  <si>
    <t>한 개의 소송절차에 여러 사람의 원고 또는 여러 사람의 피고가 관여하는 소송 형태를 의미한다.</t>
    <phoneticPr fontId="3" type="noConversion"/>
  </si>
  <si>
    <t>공동소송인 1인의 소송행위나 1인에 대한 상대방의 소송행위, 1인에게 발생한 소송사항이 다른 공동소송인에게 영향을 미치지 않는다는 원칙이다.</t>
    <phoneticPr fontId="3" type="noConversion"/>
  </si>
  <si>
    <t>통상공동소송에서는 공동소송인 1인이 제출한 유리한 주장이 다른 공동소송인에게 미치지 않는다는 원칙이다. (판례)</t>
    <phoneticPr fontId="3" type="noConversion"/>
  </si>
  <si>
    <t>공동소송인 1인이 제출한 증거는 다른 공동소송인과의 관계에서도 사실인정의 자료로 삼을 수 있다는 원칙이다.</t>
    <phoneticPr fontId="3" type="noConversion"/>
  </si>
  <si>
    <t>소송물의 관리처분권이 공동차주나 공동상속인처럼 공동당사자 전원에게 귀속되어, 전원이 합쳐서 소송을 수행하지 않으면 부적법하게 되는 경우이다.</t>
    <phoneticPr fontId="3" type="noConversion"/>
  </si>
  <si>
    <t>공동소송인 각자가 단독으로 소를 제기할 권능이 있으나, 판결의 효력이 제3자에게 확장되는 결과 재판의 모순을 피하기 위해 합일확정이 강제되는 경우이다.</t>
    <phoneticPr fontId="3" type="noConversion"/>
  </si>
  <si>
    <t>공동소송인들 중 누구의 청구가 인용될지 불분명하거나, 누구에 대한 청구가 인정될지 불확실한 경우에 대비하여 서열을 붙여 청구하거나(예비적), 선택적으로 청구하는 형태를 말한다.</t>
    <phoneticPr fontId="3" type="noConversion"/>
  </si>
  <si>
    <t>여러 명의 피고를 상대로 하는 경우를 말한다.</t>
    <phoneticPr fontId="3" type="noConversion"/>
  </si>
  <si>
    <t>여러 명의 원고가 참여하는 경우를 말한다.</t>
    <phoneticPr fontId="3" type="noConversion"/>
  </si>
  <si>
    <t>주위적 피고와 예비적 피고를 구분하는 것을 말한다.</t>
    <phoneticPr fontId="3" type="noConversion"/>
  </si>
  <si>
    <t>순위 없이 어느 한 명에 대해서만 청구가 인용되기를 구하는 것을 말한다.</t>
    <phoneticPr fontId="3" type="noConversion"/>
  </si>
  <si>
    <t>소송 도중에 피고를 추가하는 방식이다.</t>
    <phoneticPr fontId="3" type="noConversion"/>
  </si>
  <si>
    <t>소 제기 당시부터 병합하는 방식이다.</t>
    <phoneticPr fontId="3" type="noConversion"/>
  </si>
  <si>
    <t>소송계속 중에 제3자가 공동소송인으로 가입하거나 기존 당사자가 제3자를 끌어들이는 것을 의미한다.</t>
    <phoneticPr fontId="3" type="noConversion"/>
  </si>
  <si>
    <t>공동의 이해관계를 가진 여러 사람이 그들 중에서 모두를 위하여 소송을 수행할 1인 또는 여러 명을 선임하는 제도에서 선정된 자를 말한다.</t>
    <phoneticPr fontId="3" type="noConversion"/>
  </si>
  <si>
    <t>선정당사자 제도에서 선정당사자를 선정한 자를 말한다.</t>
    <phoneticPr fontId="3" type="noConversion"/>
  </si>
  <si>
    <t>타인 사이의 소송계속 중 소송결과에 대하여 이해관계가 있는 제3자가 한쪽 당사자의 승소를 돕기 위하여 소송에 가입하는 형태를 말한다.</t>
    <phoneticPr fontId="3" type="noConversion"/>
  </si>
  <si>
    <t>소송계속 중 당사자가 그 소송에 참가할 수 있는 제3자에게 소송계속 사실을 법정의 절차에 따라 통지하는 것을 말한다.</t>
    <phoneticPr fontId="3" type="noConversion"/>
  </si>
  <si>
    <t>보조참가인에게 판결의 효력이 직접 미치는 경우의 참가를 말한다.</t>
    <phoneticPr fontId="3" type="noConversion"/>
  </si>
  <si>
    <t>소송목적이 한쪽 당사자와 제3자에게 합일적으로 확정되어야 할 경우, 그 제3자가 공동소송인으로서 소송에 가입하는 것을 말한다.</t>
    <phoneticPr fontId="3" type="noConversion"/>
  </si>
  <si>
    <t>타인 사이의 소송계속 중 제3자가 그 소송의 당사자 양쪽 또는 한쪽을 상대방으로 하여 자신의 청구를 병합하여 제기함으로써 3자 간의 분쟁을 한꺼번에 해결하는 제도이다.</t>
    <phoneticPr fontId="3" type="noConversion"/>
  </si>
  <si>
    <t>원고와 피고가 공모하여 참가인의 권리를 침해하려 한다고 주장하며 참가하는 것을 말한다.</t>
    <phoneticPr fontId="3" type="noConversion"/>
  </si>
  <si>
    <t>소송목적의 전부나 일부가 자기의 권리라고 주장하며 참가하는 것을 말한다.</t>
    <phoneticPr fontId="3" type="noConversion"/>
  </si>
  <si>
    <t>소송계속 중 원고의 신청에 의하여 종전의 당사자를 소송에서 물러나게 하고 새로운 당사자를 가입시키는 것을 말한다.</t>
    <phoneticPr fontId="3" type="noConversion"/>
  </si>
  <si>
    <t>소송계속 중 당사자의 지위가 제3자에게 포괄적 또는 특정적으로 이전되는 것을 말한다.</t>
    <phoneticPr fontId="3" type="noConversion"/>
  </si>
  <si>
    <t>당사자의 사망, 법인의 합병 등 포괄승계 사유가 발생하여 소송절차가 중단되었다가 새로운 승계인이 소송을 수계하는 것을 말한다.</t>
    <phoneticPr fontId="3" type="noConversion"/>
  </si>
  <si>
    <t>소송물인 권리 또는 의무의 일부나 전부가 특정하여 제3자에게 이전된 경우를 말한다.</t>
    <phoneticPr fontId="3" type="noConversion"/>
  </si>
  <si>
    <t>소송계속 중 제3자가 소송 목적인 권리의 전부 또는 일부를 승계하였다고 주장하며 스스로 소송에 가입하는 것을 말한다.</t>
    <phoneticPr fontId="3" type="noConversion"/>
  </si>
  <si>
    <t>소송계속 중 당사자가 소송 목적인 의무를 승계한 제3자를 소송에 강제로 가입시키기 위해 법원에 신청하는 제도이다.</t>
    <phoneticPr fontId="3" type="noConversion"/>
  </si>
  <si>
    <t>미확정의 재판에 대하여 하급법원의 판단에 불복하여 상급법원에 그 당부의 조사를 신청함으로써 재판의 취소 또는 변경을 구하는 불복신청방법을 말한다.</t>
    <phoneticPr fontId="3" type="noConversion"/>
  </si>
  <si>
    <t>제1심 종국판결에 대한 상소를 말한다.</t>
    <phoneticPr fontId="3" type="noConversion"/>
  </si>
  <si>
    <t>제2심 종국판결에 대한 상소를 말한다.</t>
    <phoneticPr fontId="3" type="noConversion"/>
  </si>
  <si>
    <t>결정이나 명령과 같은 부수적 재판에 대한 상소를 말한다.</t>
    <phoneticPr fontId="3" type="noConversion"/>
  </si>
  <si>
    <t>동일 심급 내에서의 재검토나 절차적 위법의 시정을 요구하는 방법이다.</t>
    <phoneticPr fontId="3" type="noConversion"/>
  </si>
  <si>
    <t>상소인에게 원심판결보다 유리한 판결을 받을 실질적 필요성이 있음을 의미한다.</t>
    <phoneticPr fontId="3" type="noConversion"/>
  </si>
  <si>
    <t>원심판결의 주문과 상소인의 신청(청구취지)을 비교하여, 신청한 것보다 불리한 주문이 선고된 경우에 상소의 이익을 인정하는 방식이다.</t>
    <phoneticPr fontId="3" type="noConversion"/>
  </si>
  <si>
    <t>상소권을 행사하지 않겠다는 의사표시를 말한다.</t>
    <phoneticPr fontId="3" type="noConversion"/>
  </si>
  <si>
    <t>당사자 쌍방이 특정한 소송에 대하여 상소하지 않기로 하는 합의를 의미한다.</t>
    <phoneticPr fontId="3" type="noConversion"/>
  </si>
  <si>
    <t>상소의 제기에 의하여 당해 사건이 원심법원의 수권으로부터 벗어나 상소법원의 심판권 아래로 옮겨지는 효력을 의미한다.</t>
    <phoneticPr fontId="3" type="noConversion"/>
  </si>
  <si>
    <t>상소의 제기가 있는 경우, 당사자가 상소장에 기재한 불복의 범위와 상관없이 당해 소송에 결합된 전체 청구가 일단 상소심으로 이심되는 원칙을 말한다.</t>
    <phoneticPr fontId="3" type="noConversion"/>
  </si>
  <si>
    <t>항소심 또는 상고심법원은 상소인의 불복범위를 넘어서 상소인에게 불리하게, 피상소인에게 유리하게 원심판결을 변경할 수 없다는 원칙이다.</t>
    <phoneticPr fontId="3" type="noConversion"/>
  </si>
  <si>
    <t>제1심 법원의 종국판결에 대하여 불복하는 당사자가 판결의 확정을 차단하고 사건을 상급법원인 항소법원에 이심시켜 다시 심판을 구하는 상소의 일종이다.</t>
    <phoneticPr fontId="3" type="noConversion"/>
  </si>
  <si>
    <t>사건을 하급심에서 상급심으로 이심시키는 것을 말한다.</t>
    <phoneticPr fontId="3" type="noConversion"/>
  </si>
  <si>
    <t>원심판결의 확정을 막는 것을 말한다.</t>
    <phoneticPr fontId="3" type="noConversion"/>
  </si>
  <si>
    <t>항소심을 제1심 판결의 당부만을 심사하는 절차로 한정하는 구조이다.</t>
    <phoneticPr fontId="3" type="noConversion"/>
  </si>
  <si>
    <t>항소제기에 의해 개시된 항소심 절차를 항소인이 스스로 종료시키기 위해 행하는 소송행위이다. [민소법 제393조]</t>
    <phoneticPr fontId="3" type="noConversion"/>
  </si>
  <si>
    <t>항소심 절차에 편승하여 피항소인이 항소인에 대하여 자기에게 유리하게 항소심판의 범위를 확장하기 위해 제기하는 공격적 소송행위이다. [민소법 제403조]</t>
    <phoneticPr fontId="3" type="noConversion"/>
  </si>
  <si>
    <t>항소의 취하</t>
    <phoneticPr fontId="3" type="noConversion"/>
  </si>
  <si>
    <t xml:space="preserve">  재판적</t>
    <phoneticPr fontId="3" type="noConversion"/>
  </si>
  <si>
    <t>당사자가 항소심 변론종결 전까지 새로운 주장과 증거를 제출할 수 있는 권리를 말한다.</t>
    <phoneticPr fontId="3" type="noConversion"/>
  </si>
  <si>
    <t>항소심의 본안심리는 당사자가 불복한 범위 내에서만 허용된다는 원칙이다.</t>
    <phoneticPr fontId="3" type="noConversion"/>
  </si>
  <si>
    <t>본안심리 결과 항소인의 주장이 이유 있다고 인정되더라도, 항소심 법원은 제1심 판결을 항소인에게 불리하게 변경할 수 없다는 원칙이다.</t>
    <phoneticPr fontId="3" type="noConversion"/>
  </si>
  <si>
    <t>항소심 재판장이 항소장의 필수적 기재사항에 결함이 있거나, 인지가 붙어 있지 않은 경우 상당한 기간을 정하여 보정을 명하였으나, 그 기간 내에 보정을 하지 않아 각하 명령을 내리는 것을 말한다.</t>
    <phoneticPr fontId="3" type="noConversion"/>
  </si>
  <si>
    <t>항소각하판결</t>
    <phoneticPr fontId="3" type="noConversion"/>
  </si>
  <si>
    <t>항소기각판결</t>
    <phoneticPr fontId="3" type="noConversion"/>
  </si>
  <si>
    <t>항소의 요건 중 흠결이 있으나 재판장의 명령이나 결정으로 처리할 수 없는 경우, 또는 변론을 거친 후에 항소가 부적법함이 드러난 경우에 법원이 판결로써 항소를 물리치는 재판이다.</t>
    <phoneticPr fontId="3" type="noConversion"/>
  </si>
  <si>
    <t>항소이유서 미제출 시 결정으로서 항소를 각하하는 것을 말한다.</t>
    <phoneticPr fontId="3" type="noConversion"/>
  </si>
  <si>
    <t>항소 자체는 적법하게 제기되었으나, 본안심리 결과 제1심 판결이 정당하다고 인정되는 경우에 항소인의 주장을 배척하고 원심판결을 유지하는 재판이다.</t>
    <phoneticPr fontId="3" type="noConversion"/>
  </si>
  <si>
    <t>제1심 판결의 이유가 다소 부당하더라도 다른 이유에 의하여 결론이 정당하다고 인정되는 경우에는 항소를 기각하여야 한다.</t>
    <phoneticPr fontId="3" type="noConversion"/>
  </si>
  <si>
    <t xml:space="preserve"> 이유교체에 의한 항소기각</t>
    <phoneticPr fontId="3" type="noConversion"/>
  </si>
  <si>
    <t>항소심 법원이 제1심 판결을 부당하다고 인정하여 이를 취소하고, 스스로 사건의 실체에 대하여 판단을 내리는 것을 의미한다.</t>
    <phoneticPr fontId="3" type="noConversion"/>
  </si>
  <si>
    <t>제2심 판결인 항소심 판결에 대하여 불복하여 대법원에 하는 상소를 의미한다.</t>
    <phoneticPr fontId="3" type="noConversion"/>
  </si>
  <si>
    <t>법령 위반이 없었더라면 판결의 결과가 달라졌을 가능성이 있는 경우를 의미한다.</t>
    <phoneticPr fontId="3" type="noConversion"/>
  </si>
  <si>
    <t>실체법 위반</t>
    <phoneticPr fontId="3" type="noConversion"/>
  </si>
  <si>
    <t>절차법 위반</t>
    <phoneticPr fontId="3" type="noConversion"/>
  </si>
  <si>
    <t>주로 법률관계의 발생, 변경, 소멸에 관한 법규의 해석이나 적용의 오류를 의미한다.</t>
    <phoneticPr fontId="3" type="noConversion"/>
  </si>
  <si>
    <t>소송의 진행 과정이나 판결의 성립 과정에서 소송법적 규정을 위반한 경우를 의미한다.</t>
    <phoneticPr fontId="3" type="noConversion"/>
  </si>
  <si>
    <t>판결의 결과에 영향을 미쳤는지 여부를 묻지 않고 무조건 판결을 파기해야 하는 중대한 절차적 하자를 말한다.</t>
    <phoneticPr fontId="3" type="noConversion"/>
  </si>
  <si>
    <t>상고심은 항소심판결 당시의 상태를 기준으로 그 판결의 당부를 사후적으로 심사하는 사후심의 성격을 갖는다.</t>
    <phoneticPr fontId="3" type="noConversion"/>
  </si>
  <si>
    <t>사후심원칙</t>
    <phoneticPr fontId="3" type="noConversion"/>
  </si>
  <si>
    <t>서면심리주의</t>
    <phoneticPr fontId="3" type="noConversion"/>
  </si>
  <si>
    <t>상고이유의 구속력</t>
    <phoneticPr fontId="3" type="noConversion"/>
  </si>
  <si>
    <t>상고심의 심리 범위는 원칙적으로 당사자가 주장한 상고이유에 한정된다.</t>
    <phoneticPr fontId="3" type="noConversion"/>
  </si>
  <si>
    <t>상고이유가 법령이 정한 특정한 사유(헌법 위반, 법률 해석의 중대한 오류, 대법원 판례와의 상반 등)를 포함하지 않는 경우, 대법원은 본안 심리를 하지 않고 결정으로 상고를 기각할 수 있다.</t>
    <phoneticPr fontId="3" type="noConversion"/>
  </si>
  <si>
    <t>상고이유가 법률이 정한 특정한 사유(헌법 위반, 법령 해석의 중대한 오해, 판례 상반 등)를 포함하지 않는 경우, 더 이상 심리를 하지 않고 결정으로 상고를 기각하는 제도이다.</t>
    <phoneticPr fontId="3" type="noConversion"/>
  </si>
  <si>
    <t>상고장 각하결정(원심재판장)</t>
    <phoneticPr fontId="3" type="noConversion"/>
  </si>
  <si>
    <t>상고장 각하명령(상고심재판장)</t>
    <phoneticPr fontId="3" type="noConversion"/>
  </si>
  <si>
    <t>원심재판장이 상고장 요건 불비(기재사항 누락, 규정 인지 미부착)로 보정을 명하였으나, 상고인이 기간 내 보정을 하지 않은 경우 결정으로 상고장을 각하하는 것을 말한다.</t>
    <phoneticPr fontId="3" type="noConversion"/>
  </si>
  <si>
    <t>상고장이 상고법원에 송달된 후 상고심재판장이 보정을 명하였으나, 기간 내 보정을 하지 않은 경우 명령으로서 상고장을 각하하는 것을 말한다.</t>
    <phoneticPr fontId="3" type="noConversion"/>
  </si>
  <si>
    <t>상고제기 자체가 부적법하여 본안에 관한 심리를 거절하는 재판이다. (상고권 유무, 상고기간 도과, 상고이익 부존재, 소송요건 불비 등)</t>
    <phoneticPr fontId="3" type="noConversion"/>
  </si>
  <si>
    <t>상고법원이 본안 심리를 수행한 결과, 상고인이 주장하는 상고이유가 인정되지 않거나 원심판결이 법령을 위반하지 않았다고 판단될 때 내리는 재판이다.</t>
    <phoneticPr fontId="3" type="noConversion"/>
  </si>
  <si>
    <t>원심판결이 판단 근거로 삼은 법리나 이유가 적절하지 않더라도, 다른 법리나 근거에 비추어 볼 때 결론적으로 원심의 주문이 정당하다고 인정되는 경우에는 상고를 기각한다.</t>
    <phoneticPr fontId="3" type="noConversion"/>
  </si>
  <si>
    <t>상고법원이 상고이유가 정당하다고 인정하여 원심판결을 취소하는 것을 말한다.</t>
    <phoneticPr fontId="3" type="noConversion"/>
  </si>
  <si>
    <t>상고이유가 정당하다고 판단하여, 원심을 파기하는 판결을 말한다.</t>
    <phoneticPr fontId="3" type="noConversion"/>
  </si>
  <si>
    <t>원판결을 파기하고, 상고법원이 사건을 다시 심리하도록 원심법원에 돌려보내는 것을 말한다.</t>
    <phoneticPr fontId="3" type="noConversion"/>
  </si>
  <si>
    <t>예외적으로 상고법원이 사건을 하급심으로 돌려보내지 않고 스스로 직접 판결하는 것을 말한다.</t>
    <phoneticPr fontId="3" type="noConversion"/>
  </si>
  <si>
    <t>[시기에 따른 분류] 결정이나 명령의 성질상 즉시 확정할 필요가 없는 경우에 허용되며 당해 절차가 존속하는 한 언제든지 제기할 수 있는 항고를 말한다.</t>
    <phoneticPr fontId="3" type="noConversion"/>
  </si>
  <si>
    <t xml:space="preserve"> 보통항고</t>
    <phoneticPr fontId="3" type="noConversion"/>
  </si>
  <si>
    <t xml:space="preserve"> 즉시항고</t>
    <phoneticPr fontId="3" type="noConversion"/>
  </si>
  <si>
    <t xml:space="preserve"> 일반항고</t>
    <phoneticPr fontId="3" type="noConversion"/>
  </si>
  <si>
    <t xml:space="preserve"> 재항고</t>
    <phoneticPr fontId="3" type="noConversion"/>
  </si>
  <si>
    <t>[시기에 따른 분류] 법률에 명문의 규정이 있는 경우에 한하여 허용되며 재판이 고지된 날부터 일정한 짧은 기간 내에 제기하여야 하는 항고이다.</t>
    <phoneticPr fontId="3" type="noConversion"/>
  </si>
  <si>
    <t>[심급에 따른 분류] 제1심 법원의 결정이나 명령에 대하여 항고법원에 불복하는 첫 번째 단계의 항고를 의미한다.</t>
    <phoneticPr fontId="3" type="noConversion"/>
  </si>
  <si>
    <t>[심금에 따른 분류] 항고법원・고등법원 또는 항고심으로서의 지방법원 합의부의 결정 및 명령에 대하여 다시 불복하는 절차를 의미한다.</t>
    <phoneticPr fontId="3" type="noConversion"/>
  </si>
  <si>
    <t>이미 확정된 종국판결에 대해 실체적 또는 절차적 하자가 있는 경우, 판결의 부당함을 시정하기 위해 당사자의 소제기로 그 판결을 취소하고 이미 종료된 사건을 다시 심판하는 비상한 구제방법이다.</t>
    <phoneticPr fontId="3" type="noConversion"/>
  </si>
  <si>
    <t>재심의 소가 적법한지 여부를 심사하는 단계이다.</t>
    <phoneticPr fontId="3" type="noConversion"/>
  </si>
  <si>
    <t>재심사유가 존재하는지를 확정하는 단계이다.</t>
    <phoneticPr fontId="3" type="noConversion"/>
  </si>
  <si>
    <t>재심사유가 인정될 경우 과거의 확정판결 이전 상태로 돌아가 사건을 다시 심리하는 단계이다.</t>
    <phoneticPr fontId="3" type="noConversion"/>
  </si>
  <si>
    <t>재심의 성격 중 이미 확정된 판결의 효력을 소급적으로 배제시키고자 하는 성격을 말한다.</t>
    <phoneticPr fontId="3" type="noConversion"/>
  </si>
  <si>
    <t>형성소송의 성격</t>
    <phoneticPr fontId="3" type="noConversion"/>
  </si>
  <si>
    <t>본안심판의 성격</t>
    <phoneticPr fontId="3" type="noConversion"/>
  </si>
  <si>
    <t>재심의 성격 중 판결의 기초가 된 원래의 사건을 다시 심리하는 성격을 말한다.</t>
    <phoneticPr fontId="3" type="noConversion"/>
  </si>
  <si>
    <t>재심의 소송물</t>
    <phoneticPr fontId="3" type="noConversion"/>
  </si>
  <si>
    <t>특정 사건이 대한민국 법원의 관할에 속하는가의 문제로, 이른바 국제재판관할권의 문제이다.</t>
  </si>
  <si>
    <t>하나의 소로 여러 명의 피고를 상대로 하거나 여러 개의 청구를 하는 경우, 그중 하나에 대해 관할권이 있는 법원에 전체 사건을 제기할 수 있는 제도이다.</t>
  </si>
  <si>
    <t>원고가 제출한 소장이 법률이 정한 형식적 요건을 갖추었는지를 심사하는 단계이다.</t>
  </si>
  <si>
    <t>소송요건을 구비하였는지를 판단하는 절차이다.</t>
  </si>
  <si>
    <t>원고가 법원에 대하여 구하는 판결의 내용과 범위를 결론적으로 기재한 것이다.</t>
  </si>
  <si>
    <t>원고가 청구취지와 같은 판결을 구하게 된 근거가 되는 구체적인 사실관계를 말한다.</t>
  </si>
  <si>
    <t>판결을 내리기에 앞서 반드시 당사자에게 구술로 변론할 기회를 주어야 하는 원칙을 말한다.</t>
  </si>
  <si>
    <t>법원이 판단을 내릴 때 변론을 거칠 것인지 여부를 자유로운 재량으로 결정할 수 있는 경우를 의미한다.</t>
  </si>
  <si>
    <t>법원이 소송사건을 심리하고 판결의 기초가 될 소송자료를 수집하는 과정에서 준수해야 할 기본 지침을 의미한다.</t>
  </si>
  <si>
    <t>권리의 발생・변경・소멸이라는 법률효과를 일으키는 주요사실에 한정된다.</t>
  </si>
  <si>
    <t>공격 또는 방어의 방법(사실주장 및 증거신청)을 소송의 진행 정도에 따라 적절한 시기에 제출해야 한다는 원칙이다.</t>
  </si>
  <si>
    <t>법관이 증거조사를 마친 후 그 증거자료를 통해 사실의 존부에 대하여 얻게 된 확신의 정도, 즉 증거의 실질적 가치를 의미한다.</t>
  </si>
  <si>
    <t>증명보다 낮은 단계의 확신을 의미한다. 즉, 법관이 일단 그럴 것이라고 추측할 수 있는 정도의 상태를 말한다.</t>
  </si>
  <si>
    <t>재판의 기초가 되는 요건사실의 존부를 확정하기 위하여 증거조사를 필요로 하는 대상을 의미한다.</t>
  </si>
  <si>
    <t>요건사실의 존부가 확정되지 않은 상태, 즉 진위불명의 상태로 인하여 판결에서 불이익을 입게 되는 당사자의 법률적 지위를 의미한다.</t>
  </si>
  <si>
    <t>법률요건분류설의 형식성을 극복하기 위해 등장한 견해들로, 증거거리설, 위험영역설, 증명곤란설 등이 있다.</t>
  </si>
  <si>
    <t>심판의 대상인 결론 부분을 변경하는 것이다.</t>
  </si>
  <si>
    <t>청구를 뒷받침하는 구체적인 사실관계나 법률적 근거를 변경하는 것이다.</t>
  </si>
  <si>
    <t>공동소송인 사이에 소송목적이 법률상 합일적으로 확정될 필요가 없는 공동소송을 말한다.</t>
  </si>
  <si>
    <t>공동소송인 사이에 소송목적이 법률상 합일적으로 확정될 필요가 있는 공동소송을 말한다.</t>
  </si>
  <si>
    <t>이미 확정된 재판의 효력을 사후적으로 배제하기 위한 비상구제수단이다.</t>
  </si>
  <si>
    <t>불복할 수 없는 결정이나 명령에 대하여 재판에 영향을 미친 헌법 위반이나 법률 위반이 있는 경우에 한하여 대법원에 제기하는 특수한 불복방법이다.</t>
  </si>
  <si>
    <t>항소심을 제1심과 완전히 독립된 새로운 재판으로 보는 견해이다.</t>
  </si>
  <si>
    <t>항소심을 제1심의 속행으로 보는 구조이다.</t>
  </si>
  <si>
    <t>상고심은 원심판결의 법령 위반 여부만을 심판하는 법률심이다. 원심이 적법하게 확정한 사실관계는 상고법원을 기속하며, 상고법원은 새로운 증거조사를 하거나 사실관계를 재확정할 수 없다.</t>
  </si>
  <si>
    <t>상고심은 원칙적으로 당사자의 변론 없이 상고장, 상고이유서, 답변서 등 기록에 나타난 서면만을 근거로 심리한다.</t>
  </si>
  <si>
    <t>판결 이외의 재판인 결정이나 명령에 대하여 불복을 신청하는 상소의 일종이다.</t>
  </si>
  <si>
    <t>결론적으로 재심의 소송물은 재심사유에 의한 취소권이라는 형성적 요소와 본안청구의 당부라는 실체적 요소가 단계적으로 연결된 구조를 취한다.</t>
  </si>
  <si>
    <t>상소기간의 경과, 상소권의 포기 또는 취하, 상고기각 판결의 선고 등으로 더 이상 통상의 방법으로 다툴 수 없게 된 때를 의미한다.</t>
  </si>
  <si>
    <t>확정된 판결이 아닌 조서나 결정・명령에 대하여 재심사유와 유사한 중대한 하자가 있는 경우, 그 효력을 다투기 위하여 제기하는 비상구제수단을 의미한다.</t>
  </si>
  <si>
    <t>권리자의 실체적 권리를 보호하는 강력한 수단이 된다. 특히 국제적 중복소제기와 관련한 논의는 현대 국제 거래의 증가에 발맞추어 절차 중지 등 유연한 해결책을 모색하는 방향으로 발전하고 있다.</t>
  </si>
  <si>
    <t>당사자의 주소나 소재를 알 수 없는 경우, 법원 게시판에 게시하거나 관보 등에 게재하여 일정한 기간이 지나면 송달된 것으로 간주하는 제도이다.</t>
  </si>
  <si>
    <t>법원의 결정에 의하여 절차를 멈추는 것이다.</t>
  </si>
  <si>
    <t>재판에서 사실인정의 근거가 되는 자료를 의미한다. 민사소송에서 법원은 당사자 사이에 다툼이 있는 사실에 대하여 판단을 내려야 하며, 이때 판단의 기초가 되는 지식이나 자료를 말한다.</t>
  </si>
  <si>
    <t>항소는 제1심 판결을 내린 법원에 항소장을 제출함으로써 제기하는 원칙을 말한다.</t>
  </si>
  <si>
    <t>단순히 판결에 하자가 있음을 의심하는 수준을 넘어, 민사소송법 제451조 각 호에서 정한 구체적인 사유가 발생하였음을 객관적으로 알게 된 날을 의미한다.</t>
  </si>
  <si>
    <t>표표적 증명이라고도 하며, 경험칙을 이용하여 특정 간접사실이 증명되면 그에 따른 주요사실을 추정하는 기법이다.</t>
    <phoneticPr fontId="3" type="noConversion"/>
  </si>
  <si>
    <t>열기2-04.민사소송법\02.문제\[기출][2014-2]해고 후 임금 등을 수령하고 3년이 경과하여 제기한 소송의 실효 여부.txt</t>
  </si>
  <si>
    <t>열기2-04.민사소송법\02.문제\[예상][03.02-2]기피원인인 재판의 공정성을 기대하기 어려운 사정의 객관적 기준과 기피신청 시 소송절차의 정지 여부.txt</t>
  </si>
  <si>
    <t>열기2-04.민사소송법\02.문제\[예상][03.02-3]제척사유가 있는 법관이 스스로 직무집행을 피하는 회피의 절차와 효과.txt</t>
  </si>
  <si>
    <t>열기2-04.민사소송법\02.문제\[기출][2020-1-1]당사자표시정정 후의 관할권 인정 여부와 변론관할의 성립.txt</t>
  </si>
  <si>
    <t>열기2-04.민사소송법\02.문제\[기출][2020-1-2]소제기 전 사망자를 피고로 한 경우 당사자표시정정의 적법성 여부.txt</t>
  </si>
  <si>
    <t>열기2-04.민사소송법\02.문제\[기출][2017-1-2]소송계속 중 당사자 사망을 간과한 판결의 효력과 상속인에 대한 승계 여부.txt</t>
  </si>
  <si>
    <t>열기2-04.민사소송법\02.문제\[기출][2018-1-2]배우자 및 공인노무사의 소송대리권 인정 여부.txt</t>
  </si>
  <si>
    <t>열기2-04.민사소송법\02.문제\[예상][05.04-1]구실체법설에 따른 전후소 소송물의 동일성 여부 및 후소의 적법성 판단.txt</t>
  </si>
  <si>
    <t>열기2-04.민사소송법\02.문제\[예상][05.04-2]불법행위책임과 자배법상 책임의 소송물 관계 및 법원의 법적 근거 선택 권한.txt</t>
  </si>
  <si>
    <t>열기2-04.민사소송법\02.문제\[예상][05.05-1]채무부존재확인의 소의 중복소제기 금지 위반 여부 및 판결의 형식.txt</t>
  </si>
  <si>
    <t>열기2-04.민사소송법\02.문제\[예상][05.05-2]일부청구임을 명시하지 않은 별소 제기의 중복소제기 해당 여부 및 효과.txt</t>
  </si>
  <si>
    <t>열기2-04.민사소송법\02.문제\[예상][05.06-1]보정기한 도과 후 각하명령 송달 전 흠결 보정 시 소장각하명령의 효력.txt</t>
  </si>
  <si>
    <t>열기2-04.민사소송법\02.문제\[예상][05.06-2]소장 부본 송달불능 시 재판장의 조치인 소장각하명령과 소각하판결의 차이점.txt</t>
  </si>
  <si>
    <t>열기2-04.민사소송법\02.문제\[기출][2012-1]채권자대위소송의 판결이 확정된 경우 그 기판력이 채무자에게 미치는지 여부.txt</t>
  </si>
  <si>
    <t>열기2-04.민사소송법\02.문제\[기출][2011-1]교통사고 손해배상청구에서 개별 항목별 청구액을 초과하여 인정한 판결의 적법성 여부.txt</t>
  </si>
  <si>
    <t>열기2-04.민사소송법\02.문제\[기출][2012-2]준비서면을 제출하지 않았을 때의 효과.txt</t>
  </si>
  <si>
    <t>열기2-04.민사소송법\02.문제\[기출][2016-2]공시송달의 의의, 요건, 절차 및 효력.txt</t>
  </si>
  <si>
    <t>열기2-04.민사소송법\02.문제\[예상][06.08-1]소송대리인이 있는 경우의 소송절차 중단 예외와 판결의 효력 및 수계절차.txt</t>
  </si>
  <si>
    <t>열기2-04.민사소송법\02.문제\[예상][06.08-2]원고의 파산선고에 따른 소송절차 중단과 수계 및 판결의 효력.txt</t>
  </si>
  <si>
    <t>열기2-04.민사소송법\02.문제\[예상][07.02-1]재판상 자백의 성립 요건과 자백 취소의 허용 여부 및 요건.txt</t>
  </si>
  <si>
    <t>열기2-04.민사소송법\02.문제\[예상][07.02-2]현저한 사실의 의의와 범위 및 이를 근거로 한 판결의 절차적 요건.txt</t>
  </si>
  <si>
    <t>열기2-04.민사소송법\02.문제\[기출][2021-1-1]재판상 자백의 성립과 취소 및 공동소송인 독립의 원칙에 따른 판결의 가부.txt</t>
  </si>
  <si>
    <t>열기2-04.민사소송법\02.문제\[기출][2011-2-2]재판상 자백의 성립요건과 그에 따른 주관적・객관적 구속력 및 철회.txt</t>
  </si>
  <si>
    <t>열기2-04.민사소송법\02.문제\[기출][2010-1]대여금청구소송에서 금전대여사실의 존부 판단에 적용되는 자유심증주의의 원칙.txt</t>
  </si>
  <si>
    <t>열기2-04.민사소송법\02.문제\[예상][09.02-1]강박에 의한 청구인낙에 대한 불복 방법 및 그 요건.txt</t>
  </si>
  <si>
    <t>열기2-04.민사소송법\02.문제\[예상][09.02-2]서면에 의한 청구인낙의 성립 요건 및 기판력의 범위와 효력 부인.txt</t>
  </si>
  <si>
    <t>열기2-04.민사소송법\02.문제\[기출][2019-1-2]확정판결의 기판력과 표준시 이후의 상계권 행사 가능성.txt</t>
  </si>
  <si>
    <t>열기2-04.민사소송법\02.문제\[기출][2022-1-1]예비적 병합에서 일부 판결의 적법성 및 누락된 청구에 대한 불복방법.txt</t>
  </si>
  <si>
    <t>열기2-04.민사소송법\02.문제\[기출][2022-1-2]공동선정당사자 중 1인의 진술이 가지는 소송상 효력.txt</t>
  </si>
  <si>
    <t>열기2-04.민사소송법\02.문제\[기출][2021-1-2]공동소송인 독립의 원칙과 증거공통의 원칙에 따른 청구기각 판결의 적법성.txt</t>
  </si>
  <si>
    <t>열기2-04.민사소송법\02.문제\[기출][2020-3]유사필수적 공동소송의 의의, 성립요건 및 소송수행상의 특징.txt</t>
  </si>
  <si>
    <t>열기2-04.민사소송법\02.문제\[기출][2015-1-1]피고를 특정하여 소를 제기한 후 예비적으로 피고를 추가한 소송형태의 적법 여부와 법원의 조치.txt</t>
  </si>
  <si>
    <t>열기2-04.민사소송법\02.문제\[기출][2013-1-2]공동피고 중 1인의 선정당사자 선정 가능성 및 그 판결의 효력이 선정자에게 미치는지 여부.txt</t>
  </si>
  <si>
    <t>열기2-04.민사소송법\02.문제\[기출][2010-2-2]통상공동소송에서의 공동소송인 독립의 원칙과 그 한계 및 예외.txt</t>
  </si>
  <si>
    <t>열기2-04.민사소송법\02.문제\[기출][2019-3]공동소송참가의 의의, 성립요건 및 소송수행상의 효력.txt</t>
  </si>
  <si>
    <t>열기2-04.민사소송법\02.문제\[기출][2011-2-1]보조참가인에 대한 재판의 효력의 의의 및 성질과 범위.txt</t>
  </si>
  <si>
    <t>열기2-04.민사소송법\02.문제\[예상][13.02-1]항소기간 도과와 소송행위의 추후보완 요건 및 절차.txt</t>
  </si>
  <si>
    <t>열기2-04.민사소송법\02.문제\[예상][13.02-2]상소권 포기의 효력 및 형식적 불복설에 따른 상소의 이익 인정 여부.txt</t>
  </si>
  <si>
    <t>열기2-04.민사소송법\02.문제\[기출][2024-1-2]원고만이 항소한 경우 항소심 법원이 상계항변을 받아들여 청구 전부를 기각한 판결의 적법성.txt</t>
  </si>
  <si>
    <t>열기2-04.민사소송법\02.문제\[예상][14.03-1]항소심의 속심제 구조와 소멸시효 항변의 적시제출의무 위반 여부.txt</t>
  </si>
  <si>
    <t>열기2-04.민사소송법\02.문제\[예상][14.03-2]항소심 변론의 범위와 상계항변의 적시제출주의 위반 여부 및 판례의 태도.txt</t>
  </si>
  <si>
    <t>열기2-04.민사소송법\02.문제\[예상][14.04-2]제1심의 소각하판결이 부당한 경우 항소심 법원의 환송 및 자판 여부.txt</t>
  </si>
  <si>
    <t>열기2-04.민사소송법\02.문제\[예상][15.02-1]상고이유서 제출기한 도과 후 제출된 절대적 상고이유의 심리 가능성 여부.txt</t>
  </si>
  <si>
    <t>열기2-04.민사소송법\02.문제\[예상][15.03-1]상고이유서 제출기한 도과에 따른 대법원의 조치와 직권조사사항 포함 시 재판 결과의 변화.txt</t>
  </si>
  <si>
    <t>열기2-04.민사소송법\02.문제\[예상][15.03-2]심리불속행 제도의 취지 및 범위와 상고심에서 새로운 사실 및 증거 제출의 허용 여부.txt</t>
  </si>
  <si>
    <t>열기2-04.민사소송법\02.문제\[예상][15.04-1]파기환송 판결의 기속력 및 범위와 사실관계 변동 시 기속력의 한계.txt</t>
  </si>
  <si>
    <t>열기2-04.민사소송법\02.문제\[예상][15.04-2]파기자판의 요건 및 상고기각 판결 확정 후의 불복 방법.txt</t>
  </si>
  <si>
    <t>열기2-04.민사소송법\02.문제\[예상][16.02-1]소장각하명령에 대한 항고절차 및 항고법원의 조치.txt</t>
  </si>
  <si>
    <t>열기2-04.민사소송법\02.문제\[예상][16.02-2]즉시항고의 항고이유서 제출 기한의 성질과 효과 및 각하 가능성.txt</t>
  </si>
  <si>
    <t>열기2-04.민사소송법\02.문제\[예상][17.02-1]재심의 소송물 이론에 따른 재심사유의 관계 및 본안 심리 절차의 구조.txt</t>
  </si>
  <si>
    <t>열기2-04.민사소송법\02.문제\[예상][17.02-2]재심제기기간의 기산점 판단 및 재심판결에 대한 재심의 소송물 확정.txt</t>
  </si>
  <si>
    <t>열기2-04.민사소송법\02.문제\[예상][17.03-1]재심사유의 보충성 원칙 위배 여부 및 재심대상의 확정 원칙.txt</t>
  </si>
  <si>
    <t>열기2-04.민사소송법\02.문제\[예상][17.03-2]재심제기기간의 적법성 판단 및 준재심의 요건과 절차.txt</t>
  </si>
  <si>
    <t>열기2-04.민사소송법\02.문제\[예상][17.04-1]재심절차의 본안심리에서 새로운 공격방어방법 제출 가능성 및 심판 범위.txt</t>
  </si>
  <si>
    <t>열기2-04.민사소송법\02.문제\[예상][17.04-2]재심대상판결의 취소에 따른 강제집행 결과의 원상회복청구 방법 및 요건.txt</t>
  </si>
  <si>
    <t>열기2-04.민사소송법\02.문제\[예상][17.05-1]확정된 화해권고결정에 대한 준재심의 소의 요건과 재심 규정의 준용 범위.txt</t>
  </si>
  <si>
    <t xml:space="preserve">(5) 증인신문방법[민소법 제327조] </t>
    <phoneticPr fontId="3" type="noConversion"/>
  </si>
  <si>
    <t>민사소송의 개관</t>
    <phoneticPr fontId="3" type="noConversion"/>
  </si>
  <si>
    <t>권리자가 상당한 기간 소권을 행사하지 않아 상대방이 더 이상 권리행사가 없을 것으로 믿을만한 정당한 사유가 생긴 경우, 그 소권의 행사를 허용하지 않는 원칙이다. (실효의 원칙)</t>
    <phoneticPr fontId="3" type="noConversion"/>
  </si>
  <si>
    <t>제1심의 소송절차-소송 개시와 심리 대상</t>
    <phoneticPr fontId="3" type="noConversion"/>
  </si>
  <si>
    <t>열기2-04.민사소송법\01.본문\제01편 총설.제01장 민사소송.제01절 민사소송의 개관.txt</t>
  </si>
  <si>
    <t>열기2-04.민사소송법\01.본문\제01편 총설.제01장 민사소송.제02절 민사소송의 의의와 목적.txt</t>
  </si>
  <si>
    <t>열기2-04.민사소송법\01.본문\제01편 총설.제01장 민사소송.제03절 민사소송의 이상과 신의성실의 원칙.txt</t>
  </si>
  <si>
    <t>열기2-04.민사소송법\01.본문\제01편 총설.제02장 민사소송법.제01절 민사소송법의 의의와 성격.txt</t>
  </si>
  <si>
    <t>열기2-04.민사소송법\01.본문\제01편 총설.제02장 민사소송법.제02절 민사소송법규의 종류.txt</t>
  </si>
  <si>
    <t>열기2-04.민사소송법\01.본문\제02편 소송의 주체.제03장 법원.제01절 민사재판권.txt</t>
  </si>
  <si>
    <t>열기2-04.민사소송법\01.본문\제02편 소송의 주체.제03장 법원.제02절 법관의 제척・기피・회피.txt</t>
  </si>
  <si>
    <t>열기2-04.민사소송법\01.본문\제02편 소송의 주체.제03장 법원.제03절 관할.txt</t>
  </si>
  <si>
    <t>열기2-04.민사소송법\01.본문\제02편 소송의 주체.제04장 당사자.제01절 당사자의 개관.txt</t>
  </si>
  <si>
    <t>열기2-04.민사소송법\01.본문\제02편 소송의 주체.제04장 당사자.제02절 당사자의 자격.txt</t>
  </si>
  <si>
    <t>열기2-04.민사소송법\01.본문\제02편 소송의 주체.제04장 당사자.제03절 소송상의 대리인.txt</t>
  </si>
  <si>
    <t>열기2-04.민사소송법\01.본문\제04편 소송의 종료.제08장 총설.제01절 소송종료사유.txt</t>
  </si>
  <si>
    <t>열기2-04.민사소송법\01.본문\제04편 소송의 종료.제08장 총설.제02절 소송종료선언.txt</t>
  </si>
  <si>
    <t>열기2-04.민사소송법\01.본문\제04편 소송의 종료.제09장 당사자 행위에 의한 종료.제01절 소의 취하와 재소금지.txt</t>
  </si>
  <si>
    <t>열기2-04.민사소송법\01.본문\제04편 소송의 종료.제09장 당사자 행위에 의한 종료.제02절 청구의 포기・인낙.txt</t>
  </si>
  <si>
    <t>열기2-04.민사소송법\01.본문\제04편 소송의 종료.제09장 당사자 행위에 의한 종료.제03절 재판상 화해.txt</t>
  </si>
  <si>
    <t>열기2-04.민사소송법\01.본문\제04편 소송의 종료.제10장 종국판결에 의한 종료.제01절 재판.txt</t>
  </si>
  <si>
    <t>열기2-04.민사소송법\01.본문\제04편 소송의 종료.제10장 종국판결에 의한 종료.제02절 판결.txt</t>
  </si>
  <si>
    <t>열기2-04.민사소송법\01.본문\제05편 병합소송.제11장 병합청구소송.제01절 청구의 원시적 병합.txt</t>
  </si>
  <si>
    <t>열기2-04.민사소송법\01.본문\제05편 병합소송.제11장 병합청구소송.제02절 청구의 후발적 병합.txt</t>
  </si>
  <si>
    <t>열기2-04.민사소송법\01.본문\제05편 병합소송.제12장 다수당사자소송.제01절 공동소송.txt</t>
  </si>
  <si>
    <t>열기2-04.민사소송법\01.본문\제05편 병합소송.제12장 다수당사자소송.제02절 제3자의 소송참가.txt</t>
  </si>
  <si>
    <t>열기2-04.민사소송법\01.본문\제05편 병합소송.제12장 다수당사자소송.제03절 당사자의 변경.txt</t>
  </si>
  <si>
    <t>열기2-04.민사소송법\01.본문\제06편 상소심절차.제13장 총설.제01절 상소의 의의.txt</t>
  </si>
  <si>
    <t>열기2-04.민사소송법\01.본문\제06편 상소심절차.제13장 총설.제02절 상소의 적법요건.txt</t>
  </si>
  <si>
    <t>열기2-04.민사소송법\01.본문\제06편 상소심절차.제13장 총설.제03절 상소의 효력.txt</t>
  </si>
  <si>
    <t>열기2-04.민사소송법\01.본문\제06편 상소심절차.제14장 항소.제01절 항소의 개관.txt</t>
  </si>
  <si>
    <t>열기2-04.민사소송법\01.본문\제06편 상소심절차.제14장 항소.제02절 항소의 제기.txt</t>
  </si>
  <si>
    <t>열기2-04.민사소송법\01.본문\제06편 상소심절차.제14장 항소.제03절 항소심의 심리.txt</t>
  </si>
  <si>
    <t>열기2-04.민사소송법\01.본문\제06편 상소심절차.제14장 항소.제04절 항소심의 종국재판.txt</t>
  </si>
  <si>
    <t>열기2-04.민사소송법\01.본문\제06편 상소심절차.제15장 상고.제01절 상고의 의의.txt</t>
  </si>
  <si>
    <t>열기2-04.민사소송법\01.본문\제06편 상소심절차.제15장 상고.제02절 상고이유.txt</t>
  </si>
  <si>
    <t>열기2-04.민사소송법\01.본문\제06편 상소심절차.제15장 상고.제03절 상고심절차의 개시와 심리.txt</t>
  </si>
  <si>
    <t>열기2-04.민사소송법\01.본문\제06편 상소심절차.제15장 상고.제04절 상고심의 종국재판.txt</t>
  </si>
  <si>
    <t>열기2-04.민사소송법\01.본문\제06편 상소심절차.제16장 항고.제01절 항고의 의의.txt</t>
  </si>
  <si>
    <t>열기2-04.민사소송법\01.본문\제06편 상소심절차.제16장 항고.제02절 항고의 절차.txt</t>
  </si>
  <si>
    <t>열기2-04.민사소송법\01.본문\제07편 재심절차.제17장 재심절차.제01절 재심의 개념.txt</t>
  </si>
  <si>
    <t>열기2-04.민사소송법\01.본문\제07편 재심절차.제17장 재심절차.제02절 재심의 소송물.txt</t>
  </si>
  <si>
    <t>열기2-04.민사소송법\01.본문\제07편 재심절차.제17장 재심절차.제03절 적법요건.txt</t>
  </si>
  <si>
    <t>열기2-04.민사소송법\01.본문\제07편 재심절차.제17장 재심절차.제04절 재심절차.txt</t>
  </si>
  <si>
    <t>열기2-04.민사소송법\01.본문\제07편 재심절차.제17장 재심절차.제05절 준재심.txt</t>
  </si>
  <si>
    <t>제1심의 소송절차-변론</t>
    <phoneticPr fontId="3" type="noConversion"/>
  </si>
  <si>
    <t>제1심의 소송절차-증거</t>
    <phoneticPr fontId="3" type="noConversion"/>
  </si>
  <si>
    <t>열기2-04.민사소송법\01.본문\제03편 제1심의 소송절차.제05장 소송 개시와 심리 대상.제01절 소송의 개시.txt</t>
  </si>
  <si>
    <t>열기2-04.민사소송법\01.본문\제03편 제1심의 소송절차.제05장 소송 개시와 심리 대상.제03절 소의 이익.txt</t>
  </si>
  <si>
    <t>열기2-04.민사소송법\01.본문\제03편 제1심의 소송절차.제05장 소송 개시와 심리 대상.제04절 소송물.txt</t>
  </si>
  <si>
    <t>열기2-04.민사소송법\01.본문\제03편 제1심의 소송절차.제05장 소송 개시와 심리 대상.제05절 소의 제기.txt</t>
  </si>
  <si>
    <t>열기2-04.민사소송법\01.본문\제03편 제1심의 소송절차.제05장 소송 개시와 심리 대상.제06절 재판장의 소장심사와 그 후의 조치.txt</t>
  </si>
  <si>
    <t>열기2-04.민사소송법\01.본문\제03편 제1심의 소송절차.제05장 소송 개시와 심리 대상.제07절 소제기의 효과.txt</t>
  </si>
  <si>
    <t>열기2-04.민사소송법\01.본문\제03편 제1심의 소송절차.제05장 소송 개시와 심리 대상.제08절 채권자대위소송에 대한 주요 논점.txt</t>
  </si>
  <si>
    <t>열기2-04.민사소송법\01.본문\제03편 제1심의 소송절차.제06장 변론.제01절 변론의 의의와 종류.txt</t>
  </si>
  <si>
    <t>열기2-04.민사소송법\01.본문\제03편 제1심의 소송절차.제06장 변론.제02절 심리에 관한 제 원칙.txt</t>
  </si>
  <si>
    <t>열기2-04.민사소송법\01.본문\제03편 제1심의 소송절차.제06장 변론.제03절 변론의 준비.txt</t>
  </si>
  <si>
    <t>열기2-04.민사소송법\01.본문\제03편 제1심의 소송절차.제06장 변론.제04절 변론.txt</t>
  </si>
  <si>
    <t>열기2-04.민사소송법\01.본문\제03편 제1심의 소송절차.제06장 변론.제05절 변론의 실시.txt</t>
  </si>
  <si>
    <t>열기2-04.민사소송법\01.본문\제03편 제1심의 소송절차.제06장 변론.제06절 변론기일에서의 당사자의 결석.txt</t>
  </si>
  <si>
    <t>열기2-04.민사소송법\01.본문\제03편 제1심의 소송절차.제06장 변론.제07절 기일・기간 및 송달.txt</t>
  </si>
  <si>
    <t>열기2-04.민사소송법\01.본문\제03편 제1심의 소송절차.제06장 변론.제08절 소송절차의 정지.txt</t>
  </si>
  <si>
    <t>열기2-04.민사소송법\01.본문\제03편 제1심의 소송절차.제07장 증거.제01절 증거의 총설.txt</t>
  </si>
  <si>
    <t>열기2-04.민사소송법\01.본문\제03편 제1심의 소송절차.제07장 증거.제02절 증명의 대상.txt</t>
  </si>
  <si>
    <t>열기2-04.민사소송법\01.본문\제03편 제1심의 소송절차.제07장 증거.제03절 불요증사실.txt</t>
  </si>
  <si>
    <t>열기2-04.민사소송법\01.본문\제03편 제1심의 소송절차.제07장 증거.제04절 증거조사의 개시와 실시.txt</t>
  </si>
  <si>
    <t>열기2-04.민사소송법\01.본문\제03편 제1심의 소송절차.제07장 증거.제05절 자유심증주의.txt</t>
  </si>
  <si>
    <t>열기2-04.민사소송법\01.본문\제03편 제1심의 소송절차.제07장 증거.제06절 증명책임.txt</t>
  </si>
  <si>
    <t>열기2-04.민사소송법\01.본문\제03편 제1심의 소송절차.제05장 소송 개시와 심리 대상.제02절 소송요건.txt</t>
    <phoneticPr fontId="3" type="noConversion"/>
  </si>
  <si>
    <t>소는 사적 자치의 원칙에 따라 당사자의 자발적인 의사에 의해서만 개시된다.</t>
    <phoneticPr fontId="3" type="noConversion"/>
  </si>
  <si>
    <t>소의 제기, 소송의 진행, 심판의 대상 및 범위, 소송의 종결에 대하여 당사자에게 주도권을 주고 그 처분에 맡기는 원칙을 말한다.</t>
    <phoneticPr fontId="3" type="noConversion"/>
  </si>
  <si>
    <t>부제소특약의 간과와 본안기각판결 선고의 적법성 및 그 효력</t>
    <phoneticPr fontId="3" type="noConversion"/>
  </si>
  <si>
    <t>열기2-04.민사소송법\02.문제\[예상][05.02-1]부제소특약의 간과와 본안기각판결 선고의 적법성 및 그 효력.txt</t>
    <phoneticPr fontId="3" type="noConversion"/>
  </si>
  <si>
    <t>당사자능력 등 소송요건의 존재를 판단하는 기준 시점과 증명방법 및 증명책임의 분배 원칙</t>
    <phoneticPr fontId="3" type="noConversion"/>
  </si>
  <si>
    <t>열기2-04.민사소송법\02.문제\[예상][05.02-2]당사자능력 등 소송요건의 존재를 판단하는 기준 시점과 증명방법 및 증명책임의 분배 원칙.txt</t>
    <phoneticPr fontId="3" type="noConversion"/>
  </si>
  <si>
    <t>법관이 제1심 판결 후 항소심 재판부 구성원으로 참여하는 것이 전심관여 제척사유에 해당하는지 여부</t>
    <phoneticPr fontId="3" type="noConversion"/>
  </si>
  <si>
    <t>열기2-04.민사소송법\02.문제\[예상][03.02-1]법관이 제1심 판결 후 항소심 재판부 구성원으로 참여하는 것이 전심관여 제척사유에 해당하는지 여부.txt</t>
    <phoneticPr fontId="3" type="noConversion"/>
  </si>
  <si>
    <t>노동조합이 조합원을 위하여 제기한 손해배상청구소송에서 노동조합의 당사자적격 여부</t>
    <phoneticPr fontId="3" type="noConversion"/>
  </si>
  <si>
    <t>열기2-04.민사소송법\02.문제\[기출][2016-1-1]노동조합이 조합원을 위하여 제기한 손해배상청구소송에서 노동조합의 당사자적격 여부.txt</t>
    <phoneticPr fontId="3" type="noConversion"/>
  </si>
  <si>
    <t>대법원의 파기환송판결에 의해 사건이 다시 계속된 경우 변호사의 소송대리권 부활 여부</t>
    <phoneticPr fontId="3" type="noConversion"/>
  </si>
  <si>
    <t>열기2-04.민사소송법\02.문제\[기출][2016-1-2]대법원의 파기환송판결에 의해 사건이 다시 계속된 경우 변호사의 소송대리권 부활 여부.txt</t>
    <phoneticPr fontId="3" type="noConversion"/>
  </si>
  <si>
    <t>민법상 조합인 회사를 상대로 한 해고무효 확인의 소 제기 가능성</t>
    <phoneticPr fontId="3" type="noConversion"/>
  </si>
  <si>
    <t>열기2-04.민사소송법\02.문제\[기출][2014-1-1]민법상 조합인 회사를 상대로 한 해고무효 확인의 소 제기 가능성.txt</t>
    <phoneticPr fontId="3" type="noConversion"/>
  </si>
  <si>
    <t>열기2-04.민사소송법\02.문제\[예상][01.01-1]민사소송법의 법적 성격.txt</t>
    <phoneticPr fontId="3" type="noConversion"/>
  </si>
  <si>
    <t>열기2-04.민사소송법\02.문제\[예상][04.01-1]성명모용소송에서 당사자 확정 기준 및 피모용자의 구제 수단.txt</t>
    <phoneticPr fontId="3" type="noConversion"/>
  </si>
  <si>
    <t>열기2-04.민사소송법\02.문제\[예상][12.01-1]민법상 조합의 당사자능력 및 선정당사자 제도의 요건과 효과.txt</t>
    <phoneticPr fontId="3" type="noConversion"/>
  </si>
  <si>
    <t>2014-2</t>
    <phoneticPr fontId="3" type="noConversion"/>
  </si>
  <si>
    <t>2019-2</t>
    <phoneticPr fontId="3" type="noConversion"/>
  </si>
  <si>
    <t>2020-1-2</t>
    <phoneticPr fontId="3" type="noConversion"/>
  </si>
  <si>
    <t>2021-2</t>
    <phoneticPr fontId="3" type="noConversion"/>
  </si>
  <si>
    <t>2016-1-2</t>
    <phoneticPr fontId="3" type="noConversion"/>
  </si>
  <si>
    <t>2023-2</t>
    <phoneticPr fontId="3" type="noConversion"/>
  </si>
  <si>
    <t>2023-1-1</t>
    <phoneticPr fontId="3" type="noConversion"/>
  </si>
  <si>
    <t>2012-1</t>
    <phoneticPr fontId="3" type="noConversion"/>
  </si>
  <si>
    <t>2019-1-1</t>
    <phoneticPr fontId="3" type="noConversion"/>
  </si>
  <si>
    <t>2012-2</t>
    <phoneticPr fontId="3" type="noConversion"/>
  </si>
  <si>
    <t>2022-2</t>
    <phoneticPr fontId="3" type="noConversion"/>
  </si>
  <si>
    <t>2017-2</t>
    <phoneticPr fontId="3" type="noConversion"/>
  </si>
  <si>
    <t>2016-2</t>
    <phoneticPr fontId="3" type="noConversion"/>
  </si>
  <si>
    <t>2025-1-1</t>
    <phoneticPr fontId="3" type="noConversion"/>
  </si>
  <si>
    <t>2013-3</t>
    <phoneticPr fontId="3" type="noConversion"/>
  </si>
  <si>
    <t>2010-1</t>
    <phoneticPr fontId="3" type="noConversion"/>
  </si>
  <si>
    <t>2024-2</t>
    <phoneticPr fontId="3" type="noConversion"/>
  </si>
  <si>
    <t>2013-2</t>
    <phoneticPr fontId="3" type="noConversion"/>
  </si>
  <si>
    <t>2022-3</t>
    <phoneticPr fontId="3" type="noConversion"/>
  </si>
  <si>
    <t>2022-1-1</t>
    <phoneticPr fontId="3" type="noConversion"/>
  </si>
  <si>
    <t>2012-3</t>
    <phoneticPr fontId="3" type="noConversion"/>
  </si>
  <si>
    <t>2022-1-2</t>
    <phoneticPr fontId="3" type="noConversion"/>
  </si>
  <si>
    <t>2018-2</t>
    <phoneticPr fontId="3" type="noConversion"/>
  </si>
  <si>
    <t>2024-1-2</t>
    <phoneticPr fontId="3" type="noConversion"/>
  </si>
  <si>
    <t>2023-3</t>
    <phoneticPr fontId="3" type="noConversion"/>
  </si>
  <si>
    <t>본문</t>
    <phoneticPr fontId="3" type="noConversion"/>
  </si>
  <si>
    <t>본문</t>
    <phoneticPr fontId="3" type="noConversion"/>
  </si>
  <si>
    <t>구분</t>
    <phoneticPr fontId="3" type="noConversion"/>
  </si>
  <si>
    <t>예상</t>
    <phoneticPr fontId="3" type="noConversion"/>
  </si>
  <si>
    <t>기출</t>
    <phoneticPr fontId="3" type="noConversion"/>
  </si>
  <si>
    <t>12.01-1</t>
    <phoneticPr fontId="3" type="noConversion"/>
  </si>
  <si>
    <t>13.02-1</t>
    <phoneticPr fontId="3" type="noConversion"/>
  </si>
  <si>
    <t>13.02-2</t>
    <phoneticPr fontId="3" type="noConversion"/>
  </si>
  <si>
    <t>14.03-1</t>
    <phoneticPr fontId="3" type="noConversion"/>
  </si>
  <si>
    <t>14.03-2</t>
    <phoneticPr fontId="3" type="noConversion"/>
  </si>
  <si>
    <t>14.04-1</t>
    <phoneticPr fontId="3" type="noConversion"/>
  </si>
  <si>
    <t>14.04-2</t>
    <phoneticPr fontId="3" type="noConversion"/>
  </si>
  <si>
    <t>15.02-1</t>
    <phoneticPr fontId="3" type="noConversion"/>
  </si>
  <si>
    <t>15.02-2</t>
    <phoneticPr fontId="3" type="noConversion"/>
  </si>
  <si>
    <t>15.03-1</t>
    <phoneticPr fontId="3" type="noConversion"/>
  </si>
  <si>
    <t>15.03-2</t>
    <phoneticPr fontId="3" type="noConversion"/>
  </si>
  <si>
    <t>15.04-1</t>
    <phoneticPr fontId="3" type="noConversion"/>
  </si>
  <si>
    <t>15.04-2</t>
    <phoneticPr fontId="3" type="noConversion"/>
  </si>
  <si>
    <t>16.02-1</t>
    <phoneticPr fontId="3" type="noConversion"/>
  </si>
  <si>
    <t>16.02-2</t>
    <phoneticPr fontId="3" type="noConversion"/>
  </si>
  <si>
    <t>17.02-1</t>
    <phoneticPr fontId="3" type="noConversion"/>
  </si>
  <si>
    <t>17.02-2</t>
    <phoneticPr fontId="3" type="noConversion"/>
  </si>
  <si>
    <t>17.03-1</t>
    <phoneticPr fontId="3" type="noConversion"/>
  </si>
  <si>
    <t>17.03-2</t>
    <phoneticPr fontId="3" type="noConversion"/>
  </si>
  <si>
    <t>17.04-1</t>
    <phoneticPr fontId="3" type="noConversion"/>
  </si>
  <si>
    <t>17.04-2</t>
    <phoneticPr fontId="3" type="noConversion"/>
  </si>
  <si>
    <t>근로자가 청구하지 않은 임금지급을 명한 판결의 적법성 여부</t>
    <phoneticPr fontId="3" type="noConversion"/>
  </si>
  <si>
    <t>열기2-04.민사소송법\02.문제\[기출][2014-1-2]근로자가 청구하지 않은 임금지급을 명한 판결의 적법성 여부.txt</t>
  </si>
  <si>
    <t>열기2-04.민사소송법\02.문제\[기출][2014-1-2]근로자가 청구하지 않은 임금지급을 명한 판결의 적법성 여부.txt</t>
    <phoneticPr fontId="3" type="noConversion"/>
  </si>
  <si>
    <t>피고 은행의 소장부본을 은행 사무원에게 우체국 창구에서 교부한 송달의 적법 여부</t>
    <phoneticPr fontId="3" type="noConversion"/>
  </si>
  <si>
    <t>열기2-04.민사소송법\02.문제\[기출][2015-1-2]피고 은행의 소장부본을 은행 사무원에게 우체국 창구에서 교부한 송달의 적법 여부.txt</t>
  </si>
  <si>
    <t>열기2-04.민사소송법\02.문제\[기출][2015-1-2]피고 은행의 소장부본을 은행 사무원에게 우체국 창구에서 교부한 송달의 적법 여부.txt</t>
    <phoneticPr fontId="3" type="noConversion"/>
  </si>
  <si>
    <t>원고가 제1심 소송계속 중 연대보증인을 예비적 피고로 추가한 행위의 적법성 여부</t>
    <phoneticPr fontId="3" type="noConversion"/>
  </si>
  <si>
    <t>열기2-04.민사소송법\02.문제\[기출][2024-1-1]원고가 제1심 소송계속 중 연대보증인을 예비적 피고로 추가한 행위의 적법성 여부.txt</t>
  </si>
  <si>
    <t>열기2-04.민사소송법\02.문제\[기출][2024-1-1]원고가 제1심 소송계속 중 연대보증인을 예비적 피고로 추가한 행위의 적법성 여부.txt</t>
    <phoneticPr fontId="3" type="noConversion"/>
  </si>
  <si>
    <t>보조참가인에 대한 전소 판결의 참가적 효력 인정 여부</t>
    <phoneticPr fontId="3" type="noConversion"/>
  </si>
  <si>
    <t>열기2-04.민사소송법\02.문제\[기출][2017-1-1]보조참가인에 대한 전소 판결의 참가적 효력 인정 여부.txt</t>
  </si>
  <si>
    <t>열기2-04.민사소송법\02.문제\[기출][2017-1-1]보조참가인에 대한 전소 판결의 참가적 효력 인정 여부.txt</t>
    <phoneticPr fontId="3" type="noConversion"/>
  </si>
  <si>
    <t>피고만이 항소한 경우 불이익변경금지의 원칙 적용 여부와 항소기각의 재판 형식</t>
    <phoneticPr fontId="3" type="noConversion"/>
  </si>
  <si>
    <t>열기2-04.민사소송법\02.문제\[예상][14.04-1]피고만이 항소한 경우 불이익변경금지의 원칙 적용 여부와 항소기각의 재판 형식.txt</t>
  </si>
  <si>
    <t>열기2-04.민사소송법\02.문제\[예상][14.04-1]피고만이 항소한 경우 불이익변경금지의 원칙 적용 여부와 항소기각의 재판 형식.txt</t>
    <phoneticPr fontId="3" type="noConversion"/>
  </si>
  <si>
    <t>근로자가 청구하지 않은 임금지급을 명한 판결의 적법성 여부</t>
    <phoneticPr fontId="3" type="noConversion"/>
  </si>
  <si>
    <t>피고 은행의 소장부본을 은행 사무원에게 우체국 창구에서 교부한 송달의 적법 여부</t>
    <phoneticPr fontId="3" type="noConversion"/>
  </si>
  <si>
    <t>원고가 제1심 소송계속 중 연대보증인을 예비적 피고로 추가한 행위의 적법성 여부</t>
    <phoneticPr fontId="3" type="noConversion"/>
  </si>
  <si>
    <t>보조참가인에 대한 전소 판결의 참가적 효력 인정 여부</t>
    <phoneticPr fontId="3" type="noConversion"/>
  </si>
  <si>
    <t>1</t>
    <phoneticPr fontId="3" type="noConversion"/>
  </si>
  <si>
    <t>10</t>
    <phoneticPr fontId="3" type="noConversion"/>
  </si>
  <si>
    <t>06</t>
    <phoneticPr fontId="3" type="noConversion"/>
  </si>
  <si>
    <t>02</t>
    <phoneticPr fontId="3" type="noConversion"/>
  </si>
  <si>
    <t>성명모용소송에서 당사자 확정 기준 및 피모용자의 구제 수단</t>
    <phoneticPr fontId="3" type="noConversion"/>
  </si>
  <si>
    <t>성명모용소송에서 당사자 확정 기준 및 피모용자의 구제 수단</t>
    <phoneticPr fontId="3" type="noConversion"/>
  </si>
  <si>
    <t>11</t>
    <phoneticPr fontId="3" type="noConversion"/>
  </si>
  <si>
    <t>제01절 공동소송</t>
    <phoneticPr fontId="3" type="noConversion"/>
  </si>
  <si>
    <t>민법상 조합의 당사자능력 및 선정당사자 제도의 요건과 효과</t>
    <phoneticPr fontId="3" type="noConversion"/>
  </si>
  <si>
    <t>민법상 조합의 당사자능력 및 선정당사자 제도의 요건과 효과</t>
    <phoneticPr fontId="3" type="noConversion"/>
  </si>
  <si>
    <t>열기2-04.민사소송법\02.문제\[예상][01.01-1]민사소송법의 법적 성격.txt</t>
  </si>
  <si>
    <t>열기2-04.민사소송법\02.문제\[예상][03.02-1]법관이 제1심 판결 후 항소심 재판부 구성원으로 참여하는 것이 전심관여 제척사유에 해당하는지 여부.txt</t>
  </si>
  <si>
    <t>열기2-04.민사소송법\02.문제\[예상][04.01-1]성명모용소송에서 당사자 확정 기준 및 피모용자의 구제 수단.txt</t>
  </si>
  <si>
    <t>열기2-04.민사소송법\02.문제\[기출][2016-1-1]노동조합이 조합원을 위하여 제기한 손해배상청구소송에서 노동조합의 당사자적격 여부.txt</t>
  </si>
  <si>
    <t>열기2-04.민사소송법\02.문제\[기출][2014-1-1]민법상 조합인 회사를 상대로 한 해고무효 확인의 소 제기 가능성.txt</t>
  </si>
  <si>
    <t>열기2-04.민사소송법\02.문제\[기출][2016-1-2]대법원의 파기환송판결에 의해 사건이 다시 계속된 경우 변호사의 소송대리권 부활 여부.txt</t>
  </si>
  <si>
    <t>열기2-04.민사소송법\02.문제\[예상][05.02-1]부제소특약의 간과와 본안기각판결 선고의 적법성 및 그 효력.txt</t>
  </si>
  <si>
    <t>열기2-04.민사소송법\02.문제\[예상][05.02-2]당사자능력 등 소송요건의 존재를 판단하는 기준 시점과 증명방법 및 증명책임의 분배 원칙.txt</t>
  </si>
  <si>
    <t>열기2-04.민사소송법\02.문제\[예상][12.01-1]민법상 조합의 당사자능력 및 선정당사자 제도의 요건과 효과.txt</t>
  </si>
  <si>
    <t>09</t>
    <phoneticPr fontId="3" type="noConversion"/>
  </si>
  <si>
    <t>14</t>
    <phoneticPr fontId="3" type="noConversion"/>
  </si>
  <si>
    <t xml:space="preserve"> 이행의 소</t>
    <phoneticPr fontId="3" type="noConversion"/>
  </si>
  <si>
    <t xml:space="preserve"> 확인의 소</t>
    <phoneticPr fontId="3" type="noConversion"/>
  </si>
  <si>
    <t xml:space="preserve"> 형성의 소</t>
    <phoneticPr fontId="3" type="noConversion"/>
  </si>
  <si>
    <t>소제기의 모습에 따른 분류</t>
    <phoneticPr fontId="3" type="noConversion"/>
  </si>
  <si>
    <t xml:space="preserve"> 독립의 소</t>
    <phoneticPr fontId="3" type="noConversion"/>
  </si>
  <si>
    <t xml:space="preserve"> 청구의 병합</t>
    <phoneticPr fontId="3" type="noConversion"/>
  </si>
  <si>
    <t xml:space="preserve"> 공동소송</t>
    <phoneticPr fontId="3" type="noConversion"/>
  </si>
  <si>
    <t xml:space="preserve"> 반소</t>
    <phoneticPr fontId="3" type="noConversion"/>
  </si>
  <si>
    <t xml:space="preserve"> 소송참가</t>
    <phoneticPr fontId="3" type="noConversion"/>
  </si>
  <si>
    <t>소제기의 시기에 따른 분류</t>
    <phoneticPr fontId="3" type="noConversion"/>
  </si>
  <si>
    <t xml:space="preserve"> 최초의 소</t>
    <phoneticPr fontId="3" type="noConversion"/>
  </si>
  <si>
    <t xml:space="preserve"> 청구의 변경</t>
    <phoneticPr fontId="3" type="noConversion"/>
  </si>
  <si>
    <t xml:space="preserve"> 부대항소</t>
    <phoneticPr fontId="3" type="noConversion"/>
  </si>
  <si>
    <t xml:space="preserve"> 재심의 소</t>
    <phoneticPr fontId="3" type="noConversion"/>
  </si>
  <si>
    <t>하나의 소장에 하나의 청구를 담아 제기하는 일반적인 소의 형태를 말한다.</t>
    <phoneticPr fontId="3" type="noConversion"/>
  </si>
  <si>
    <t>여러 당사자가 관련된 소송을 말한다.</t>
    <phoneticPr fontId="3" type="noConversion"/>
  </si>
  <si>
    <t>소송 도중 제3자가 개입하는 것을 의미한다.</t>
    <phoneticPr fontId="3" type="noConversion"/>
  </si>
  <si>
    <t>소송 절차가 처음 시작될 때 제기되는 소를 의미한다.</t>
    <phoneticPr fontId="3" type="noConversion"/>
  </si>
  <si>
    <t>이미 소송이 계속 중인 상태에서 청구의 내용을 변경하거나 추가하는 소를 의미한다.</t>
    <phoneticPr fontId="3" type="noConversion"/>
  </si>
  <si>
    <t>상소 절차에서 제기되는 소이다.</t>
    <phoneticPr fontId="3" type="noConversion"/>
  </si>
  <si>
    <t>판결 확정 후 예외적으로 허용되는 소의 형태이다.</t>
    <phoneticPr fontId="3" type="noConversion"/>
  </si>
  <si>
    <t>소 제기가 어떤 방식으로 이루어지는가에 따른 분류이다.</t>
    <phoneticPr fontId="3" type="noConversion"/>
  </si>
  <si>
    <t>소 제기가 소송 절차의 어느 단계에서 이루어지는가에 따른 분류이다.</t>
    <phoneticPr fontId="3" type="noConversion"/>
  </si>
  <si>
    <t>원고가 법원으로부터 어떠한 형태의 판결을 얻고자 하는가에 따른 구분이다.</t>
    <phoneticPr fontId="3" type="noConversion"/>
  </si>
  <si>
    <t>소송 경제를 도모하고, 심리 중복을 피하기 위해 여러 개의 청구를 하나의 소송 절차에서 처리하는 것을 말한다.</t>
    <phoneticPr fontId="3" type="noConversion"/>
  </si>
  <si>
    <t>피고가 원고의 청구에 대응하여 같은 절차 내에서 제기하는 소를 말한다.</t>
    <phoneticPr fontId="3" type="noConversion"/>
  </si>
  <si>
    <t>이론</t>
    <phoneticPr fontId="3" type="noConversion"/>
  </si>
  <si>
    <t>판례</t>
    <phoneticPr fontId="3" type="noConversion"/>
  </si>
  <si>
    <t>기출</t>
  </si>
  <si>
    <t>예상</t>
  </si>
  <si>
    <t>합의관할의 의의, 성립요건, 종류, 효력</t>
    <phoneticPr fontId="3" type="noConversion"/>
  </si>
  <si>
    <t>열기2-04.민사소송법\02.문제\[기출][2019-2]합의관할의 의의, 성립요건, 종류, 효력.txt</t>
    <phoneticPr fontId="3" type="noConversion"/>
  </si>
  <si>
    <t>장↑</t>
    <phoneticPr fontId="3" type="noConversion"/>
  </si>
  <si>
    <r>
      <t>장</t>
    </r>
    <r>
      <rPr>
        <b/>
        <sz val="8"/>
        <color theme="0"/>
        <rFont val="함초롬돋움"/>
        <family val="3"/>
        <charset val="129"/>
      </rPr>
      <t>2</t>
    </r>
    <r>
      <rPr>
        <b/>
        <sz val="10"/>
        <color theme="0"/>
        <rFont val="함초롬돋움"/>
        <family val="3"/>
        <charset val="129"/>
      </rPr>
      <t>↑</t>
    </r>
    <phoneticPr fontId="3" type="noConversion"/>
  </si>
  <si>
    <t>사물관할의 의의, 결정 기준, 구체적 범위</t>
    <phoneticPr fontId="3" type="noConversion"/>
  </si>
  <si>
    <t>열기2-04.민사소송법\02.문제\[기출][2015-2]사물관할의 의의, 결정 기준, 구체적 범위.txt</t>
    <phoneticPr fontId="3" type="noConversion"/>
  </si>
  <si>
    <t>사물관할의 의의, 결정 기준, 구체적 범위</t>
    <phoneticPr fontId="3" type="noConversion"/>
  </si>
  <si>
    <t>임의적 소송담당의 의의 및 유형, 허용 요건, 소송법적 효과</t>
    <phoneticPr fontId="3" type="noConversion"/>
  </si>
  <si>
    <t>열기2-04.민사소송법\02.문제\[기출][2010-2-1]임의적 소송담당의 의의 및 유형, 허용 요건, 소송법적 효과.txt</t>
    <phoneticPr fontId="3" type="noConversion"/>
  </si>
  <si>
    <t>임의적 소송담당의 의의 및 유형, 허용 요건, 소송법적 효과</t>
    <phoneticPr fontId="3" type="noConversion"/>
  </si>
  <si>
    <t>열기2-04.민사소송법\02.문제\[기출][2010-2-1]임의적 소송담당의 의의 및 유형, 허용 요건, 소송법적 효과.txt</t>
    <phoneticPr fontId="3" type="noConversion"/>
  </si>
  <si>
    <t>열기2-04.민사소송법\02.문제\[기출][2013-1-1]도급계약상 연대책임 관계인 공동 피고에 대한 임금청구소송에서 소송대리인의 대리권 범위.txt</t>
    <phoneticPr fontId="3" type="noConversion"/>
  </si>
  <si>
    <t>도급계약상 연대책임 관계인 공동 피고에 대한 임금청구소송에서 소송대리인의 대리권 범위</t>
    <phoneticPr fontId="3" type="noConversion"/>
  </si>
  <si>
    <t>열기2-04.민사소송법\02.문제\[기출][2013-1-1]도급계약상 연대책임 관계인 공동 피고에 대한 임금청구소송에서 소송대리인의 대리권 범위.txt</t>
    <phoneticPr fontId="3" type="noConversion"/>
  </si>
  <si>
    <t>확인의 이익의 의의, 일반 원칙, 요건, 구체적 양태</t>
    <phoneticPr fontId="3" type="noConversion"/>
  </si>
  <si>
    <t>열기2-04.민사소송법\02.문제\[기출][2025-2]확인의 이익의 의의, 일반 원칙, 요건, 구체적 양태.txt</t>
    <phoneticPr fontId="3" type="noConversion"/>
  </si>
  <si>
    <t>확인의 이익의 의의, 일반 원칙, 요건, 구체적 양태</t>
    <phoneticPr fontId="3" type="noConversion"/>
  </si>
  <si>
    <t>장래의 이행을 청구하는 소의 법리, 구체적 양태</t>
    <phoneticPr fontId="3" type="noConversion"/>
  </si>
  <si>
    <t>열기2-04.민사소송법\02.문제\[기출][2023-2]장래의 이행을 청구하는 소의 법리, 구체적 양태.txt</t>
    <phoneticPr fontId="3" type="noConversion"/>
  </si>
  <si>
    <t>장래의 이행을 청구하는 소의 법리, 구체적 양태</t>
    <phoneticPr fontId="3" type="noConversion"/>
  </si>
  <si>
    <t>조합규약상 소제기 금지규정의 유효성과 이를 위반한 소의 적법성</t>
    <phoneticPr fontId="3" type="noConversion"/>
  </si>
  <si>
    <t>열기2-04.민사소송법\02.문제\[기출][2018-1-1]조합규약상 소제기 금지규정의 유효성과 이를 위반한 소의 적법성.txt</t>
    <phoneticPr fontId="3" type="noConversion"/>
  </si>
  <si>
    <t>조합규약상 소제기 금지규정의 유효성과 이를 위반한 소의 적법성</t>
    <phoneticPr fontId="3" type="noConversion"/>
  </si>
  <si>
    <t>상계의 항변이 판단된 판결이 확정된 후 자동채권 소구의 적법성 및 기판력의 범위</t>
    <phoneticPr fontId="3" type="noConversion"/>
  </si>
  <si>
    <t>열기2-04.민사소송법\02.문제\[기출][2023-1-2]상계의 항변이 판단된 판결이 확정된 후 자동채권 소구의 적법성 및 기판력의 범위.txt</t>
    <phoneticPr fontId="3" type="noConversion"/>
  </si>
  <si>
    <t>상계의 항변이 판단된 판결이 확정된 후 자동채권 소구의 적법성 및 기판력의 범위</t>
    <phoneticPr fontId="3" type="noConversion"/>
  </si>
  <si>
    <t>중복된 소제기 금지의 의의, 요건, 형태, 법원의 조치 및 간과 판결의 효력</t>
    <phoneticPr fontId="3" type="noConversion"/>
  </si>
  <si>
    <t>열기2-04.민사소송법\02.문제\[기출][2014-3]중복된 소제기 금지의 의의, 요건, 형태, 법원의 조치 및 간과 판결의 효력.txt</t>
    <phoneticPr fontId="3" type="noConversion"/>
  </si>
  <si>
    <t>중복된 소제기 금지의 의의, 요건, 형태, 법원의 조치 및 간과 판결의 효력</t>
    <phoneticPr fontId="3" type="noConversion"/>
  </si>
  <si>
    <t>피고의 일부변제 미주장 시 법원이 원고 청구액 전액을 인용한 판결의 타당성 여부</t>
    <phoneticPr fontId="3" type="noConversion"/>
  </si>
  <si>
    <t>열기2-04.민사소송법\02.문제\[기출][2019-1-1]피고의 일부변제 미주장 시 법원이 원고 청구액 전액을 인용한 판결의 타당성 여부.txt</t>
    <phoneticPr fontId="3" type="noConversion"/>
  </si>
  <si>
    <t>피고의 일부변제 미주장 시 법원이 원고 청구액 전액을 인용한 판결의 타당성 여부</t>
    <phoneticPr fontId="3" type="noConversion"/>
  </si>
  <si>
    <t>열기2-04.민사소송법\02.문제\[기출][2019-1-1]피고의 일부변제 미주장 시 법원이 원고 청구액 전액을 인용한 판결의 타당성 여부.txt</t>
    <phoneticPr fontId="3" type="noConversion"/>
  </si>
  <si>
    <t>대여금 및 예비적 청구 소송에서 사문서의 진정성립 추정 및 예비적 병합의 심판순위에 따른 판결의 타당성</t>
    <phoneticPr fontId="3" type="noConversion"/>
  </si>
  <si>
    <t>열기2-04.민사소송법\02.문제\[기출][2025-1-2]대여금 및 예비적 청구 소송에서 사문서의 진정성립 추정 및 예비적 병합의 심판순위에 따른 판결의 타당성.txt</t>
    <phoneticPr fontId="3" type="noConversion"/>
  </si>
  <si>
    <t>재소의 금지의 요건, 적용 범위, 효과</t>
    <phoneticPr fontId="3" type="noConversion"/>
  </si>
  <si>
    <t>열기2-04.민사소송법\02.문제\[기출][2015-3]재소의 금지의 요건, 적용 범위, 효과.txt</t>
    <phoneticPr fontId="3" type="noConversion"/>
  </si>
  <si>
    <t>재소의 금지의 요건, 적용 범위, 효과</t>
    <phoneticPr fontId="3" type="noConversion"/>
  </si>
  <si>
    <t>소송상 화해의 의의, 요건, 효력, 하자 구제수단</t>
    <phoneticPr fontId="3" type="noConversion"/>
  </si>
  <si>
    <t>열기2-04.민사소송법\02.문제\[기출][2013-2]소송상 화해의 의의, 요건, 효력, 하자 구제수단.txt</t>
    <phoneticPr fontId="3" type="noConversion"/>
  </si>
  <si>
    <t>대여금 청구 소송에서 당사자 간 주장 및 증거 제출에 따른 법원의 판결 방향</t>
    <phoneticPr fontId="3" type="noConversion"/>
  </si>
  <si>
    <t>열기2-04.민사소송법\02.문제\[기출][2025-1-1]대여금 청구 소송에서 당사자 간 주장 및 증거 제출에 따른 법원의 판결 방향.txt</t>
    <phoneticPr fontId="3" type="noConversion"/>
  </si>
  <si>
    <t>열기2-04.민사소송법\02.문제\[기출][2025-1-1]대여금 청구 소송에서 당사자 간 주장 및 증거 제출에 따른 법원의 판결 방향.txt</t>
    <phoneticPr fontId="3" type="noConversion"/>
  </si>
  <si>
    <t>소송고지의 의의, 요건, 절차 및 방식, 효력</t>
    <phoneticPr fontId="3" type="noConversion"/>
  </si>
  <si>
    <t>열기2-04.민사소송법\02.문제\[기출][2018-2]소송고지의 의의, 요건, 절차 및 방식, 효력.txt</t>
    <phoneticPr fontId="3" type="noConversion"/>
  </si>
  <si>
    <t>소송고지의 의의, 요건, 절차 및 방식, 효력</t>
    <phoneticPr fontId="3" type="noConversion"/>
  </si>
  <si>
    <t>석명의무의 의의, 내용과 대상, 범위, 한계, 위반의 효과</t>
    <phoneticPr fontId="3" type="noConversion"/>
  </si>
  <si>
    <t>열기2-04.민사소송법\02.문제\[기출][2020-2]석명의무의 의의, 내용과 대상, 범위, 한계, 위반의 효과.txt</t>
    <phoneticPr fontId="3" type="noConversion"/>
  </si>
  <si>
    <t>석명의무의 의의, 내용과 대상, 범위, 한계, 위반의 효과</t>
    <phoneticPr fontId="3" type="noConversion"/>
  </si>
  <si>
    <t>소송상 항변의 의의, 부인과의 구별, 항변의 종류, 제출요건과 시기</t>
    <phoneticPr fontId="3" type="noConversion"/>
  </si>
  <si>
    <t>열기2-04.민사소송법\02.문제\[기출][2022-2]소송상 항변의 의의, 부인과의 구별, 항변의 종류, 제출요건과 시기.txt</t>
    <phoneticPr fontId="3" type="noConversion"/>
  </si>
  <si>
    <t>자백간주의 의의, 성립 요건, 효력, 적용 범위 및 제한</t>
    <phoneticPr fontId="3" type="noConversion"/>
  </si>
  <si>
    <t>열기2-04.민사소송법\02.문제\[기출][2017-2]자백간주의 의의, 성립 요건, 효력, 적용 범위 및 제한.txt</t>
    <phoneticPr fontId="3" type="noConversion"/>
  </si>
  <si>
    <t>보충송달의 의의, 요건, 제한과 예외, 효력 발생, 불능 시 조치</t>
    <phoneticPr fontId="3" type="noConversion"/>
  </si>
  <si>
    <t>열기2-04.민사소송법\02.문제\[기출][2024-3]보충송달의 의의, 요건, 제한과 예외, 효력 발생, 불능 시 조치.txt</t>
    <phoneticPr fontId="3" type="noConversion"/>
  </si>
  <si>
    <t>보충송달의 의의, 요건, 제한과 예외, 효력 발생, 불능 시 조치</t>
    <phoneticPr fontId="3" type="noConversion"/>
  </si>
  <si>
    <t>문서의 증거력(형식적 증거력, 실질적 증거력)</t>
    <phoneticPr fontId="3" type="noConversion"/>
  </si>
  <si>
    <t>열기2-04.민사소송법\02.문제\[기출][2018-3]문서의 증거력(형식적 증거력, 실질적 증거력).txt</t>
    <phoneticPr fontId="3" type="noConversion"/>
  </si>
  <si>
    <t>문서의 증거력(형식적 증거력, 실질적 증거력)</t>
    <phoneticPr fontId="3" type="noConversion"/>
  </si>
  <si>
    <t>문서제출명령의 의의, 대상과 범위, 신청과 심리, 불이행 효과</t>
    <phoneticPr fontId="3" type="noConversion"/>
  </si>
  <si>
    <t>열기2-04.민사소송법\02.문제\[기출][2013-3]문서제출명령의 의의, 대상과 범위, 신청과 심리, 불이행 효과.txt</t>
    <phoneticPr fontId="3" type="noConversion"/>
  </si>
  <si>
    <t>문서제출명령의 의의, 대상과 범위, 신청과 심리, 불이행 효과</t>
    <phoneticPr fontId="3" type="noConversion"/>
  </si>
  <si>
    <t>재소의 금지의 의의, 요건, 예외, 효과, 특수한 경우의 재소금지</t>
    <phoneticPr fontId="3" type="noConversion"/>
  </si>
  <si>
    <t>열기2-04.민사소송법\02.문제\[기출][2025-3]재소의 금지의 의의, 요건, 예외, 효과, 특수한 경우의 재소금지.txt</t>
    <phoneticPr fontId="3" type="noConversion"/>
  </si>
  <si>
    <t>재소의 금지의 의의, 요건, 예외, 효과, 특수한 경우의 재소금지</t>
    <phoneticPr fontId="3" type="noConversion"/>
  </si>
  <si>
    <t>당사자가 변론기일의 지정을 신청할 수 있는 구체적인 경우</t>
    <phoneticPr fontId="3" type="noConversion"/>
  </si>
  <si>
    <t>열기2-04.민사소송법\02.문제\[기출][2024-2]당사자가 변론기일의 지정을 신청할 수 있는 구체적인 경우.txt</t>
    <phoneticPr fontId="3" type="noConversion"/>
  </si>
  <si>
    <t>판결의 편취의 의의, 유형, 확정 전・후 구제수단</t>
    <phoneticPr fontId="3" type="noConversion"/>
  </si>
  <si>
    <t>열기2-04.민사소송법\02.문제\[기출][2022-3]판결의 편취의 의의, 유형, 확정 전・후 구제수단.txt</t>
    <phoneticPr fontId="3" type="noConversion"/>
  </si>
  <si>
    <t>판결의 편취의 의의, 유형, 확정 전・후 구제수단</t>
    <phoneticPr fontId="3" type="noConversion"/>
  </si>
  <si>
    <t>변론종결 뒤의 승계인의 의의 및 요건, 학설 및 판례, 기판력의 범위와 한계</t>
    <phoneticPr fontId="3" type="noConversion"/>
  </si>
  <si>
    <t>열기2-04.민사소송법\02.문제\[기출][2017-3]변론종결 뒤의 승계인의 의의 및 요건, 학설 및 판례, 기판력의 범위와 한계.txt</t>
    <phoneticPr fontId="3" type="noConversion"/>
  </si>
  <si>
    <t>변론종결 뒤의 승계인의 의의 및 요건, 학설 및 판례, 기판력의 범위와 한계</t>
    <phoneticPr fontId="3" type="noConversion"/>
  </si>
  <si>
    <t>청구의 선택적 병합의 의의, 요건, 심리, 판결과 상소</t>
    <phoneticPr fontId="3" type="noConversion"/>
  </si>
  <si>
    <t>열기2-04.민사소송법\02.문제\[기출][2016-3]청구의 선택적 병합의 의의, 요건, 심리, 판결과 상소.txt</t>
    <phoneticPr fontId="3" type="noConversion"/>
  </si>
  <si>
    <t>청구의 선택적 병합의 의의, 요건, 심리, 판결과 상소</t>
    <phoneticPr fontId="3" type="noConversion"/>
  </si>
  <si>
    <t>중간확인의 소의 의의, 요건, 절차, 효력</t>
    <phoneticPr fontId="3" type="noConversion"/>
  </si>
  <si>
    <t>열기2-04.민사소송법\02.문제\[기출][2021-3]중간확인의 소의 의의, 요건, 절차, 효력.txt</t>
    <phoneticPr fontId="3" type="noConversion"/>
  </si>
  <si>
    <t>중간확인의 소의 의의, 요건, 절차, 효력</t>
    <phoneticPr fontId="3" type="noConversion"/>
  </si>
  <si>
    <t>반소의 의의, 요건, 제기 및 절차, 효과</t>
    <phoneticPr fontId="3" type="noConversion"/>
  </si>
  <si>
    <t>열기2-04.민사소송법\02.문제\[기출][2012-3]반소의 의의, 요건, 제기 및 절차, 효과.txt</t>
    <phoneticPr fontId="3" type="noConversion"/>
  </si>
  <si>
    <t>반소의 의의, 요건, 제기 및 절차, 효과</t>
    <phoneticPr fontId="3" type="noConversion"/>
  </si>
  <si>
    <t>부대항소의 의의, 요건, 절차와 방식, 효력, 특수한 경우의 부대항소</t>
    <phoneticPr fontId="3" type="noConversion"/>
  </si>
  <si>
    <t>열기2-04.민사소송법\02.문제\[기출][2023-3]부대항소의 의의, 요건, 절차와 방식, 효력, 특수한 경우의 부대항소.txt</t>
    <phoneticPr fontId="3" type="noConversion"/>
  </si>
  <si>
    <t>열기2-04.민사소송법\02.문제\[기출][2025-1-2]대여금 및 예비적 청구 소송에서 사문서의 진정성립 추정 및 예비적 병합의 심판순위에 따른 판결의 타당성.txt</t>
    <phoneticPr fontId="3" type="noConversion"/>
  </si>
  <si>
    <t>★</t>
    <phoneticPr fontId="3" type="noConversion"/>
  </si>
  <si>
    <t>중요도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</si>
  <si>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</si>
  <si>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</si>
  <si>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</si>
  <si>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회독</t>
    <phoneticPr fontId="3" type="noConversion"/>
  </si>
  <si>
    <t>제01장 민사소송</t>
  </si>
  <si>
    <t>제01장 민사소송</t>
    <phoneticPr fontId="3" type="noConversion"/>
  </si>
  <si>
    <t>제02장 민사소송법</t>
  </si>
  <si>
    <t>제02장 민사소송법</t>
    <phoneticPr fontId="3" type="noConversion"/>
  </si>
  <si>
    <t>제03장 법원</t>
  </si>
  <si>
    <t>제03장 법원</t>
    <phoneticPr fontId="3" type="noConversion"/>
  </si>
  <si>
    <t>제04장 당사자</t>
  </si>
  <si>
    <t>제04장 당사자</t>
    <phoneticPr fontId="3" type="noConversion"/>
  </si>
  <si>
    <t>제06장 변론</t>
  </si>
  <si>
    <t>제06장 변론</t>
    <phoneticPr fontId="3" type="noConversion"/>
  </si>
  <si>
    <t>제07장 증거</t>
  </si>
  <si>
    <t>제07장 증거</t>
    <phoneticPr fontId="3" type="noConversion"/>
  </si>
  <si>
    <t>제08장 총설</t>
  </si>
  <si>
    <t>제08장 총설</t>
    <phoneticPr fontId="3" type="noConversion"/>
  </si>
  <si>
    <t>제01편 총설</t>
    <phoneticPr fontId="3" type="noConversion"/>
  </si>
  <si>
    <t>제02편 소송의 주체</t>
  </si>
  <si>
    <t>제04편 소송의 종료</t>
  </si>
  <si>
    <t>제05편 병합소송</t>
  </si>
  <si>
    <t>제06편 상소심절차</t>
  </si>
  <si>
    <t>제07편 재심절차</t>
  </si>
  <si>
    <t>제1편 총설</t>
  </si>
  <si>
    <t>제2편 소송의 주체</t>
  </si>
  <si>
    <t>제3편 제1심의 소송절차</t>
  </si>
  <si>
    <t>제4편 소송의 종료</t>
  </si>
  <si>
    <t>제5편 병합소송</t>
  </si>
  <si>
    <t>제6편 상소심절차</t>
  </si>
  <si>
    <t>제7편 재심절차</t>
  </si>
  <si>
    <t>제09장 당사자 행위에 의한 종료</t>
  </si>
  <si>
    <t>제09장 당사자 행위에 의한 종료</t>
    <phoneticPr fontId="3" type="noConversion"/>
  </si>
  <si>
    <t>제10장 종국판결에 의한 종료</t>
  </si>
  <si>
    <t>제10장 종국판결에 의한 종료</t>
    <phoneticPr fontId="3" type="noConversion"/>
  </si>
  <si>
    <t>제11장 병합청구소송</t>
  </si>
  <si>
    <t>제11장 병합청구소송</t>
    <phoneticPr fontId="3" type="noConversion"/>
  </si>
  <si>
    <t>제12장 다수당사자소송</t>
  </si>
  <si>
    <t>제12장 다수당사자소송</t>
    <phoneticPr fontId="3" type="noConversion"/>
  </si>
  <si>
    <t>제13장 총설</t>
  </si>
  <si>
    <t>제13장 총설</t>
    <phoneticPr fontId="3" type="noConversion"/>
  </si>
  <si>
    <t>제14장 항소</t>
  </si>
  <si>
    <t>제14장 항소</t>
    <phoneticPr fontId="3" type="noConversion"/>
  </si>
  <si>
    <t>제15장 상고</t>
  </si>
  <si>
    <t>제15장 상고</t>
    <phoneticPr fontId="3" type="noConversion"/>
  </si>
  <si>
    <t>제16장 항고</t>
  </si>
  <si>
    <t>제16장 항고</t>
    <phoneticPr fontId="3" type="noConversion"/>
  </si>
  <si>
    <t>제17장 재심</t>
  </si>
  <si>
    <t>제17장 재심</t>
    <phoneticPr fontId="3" type="noConversion"/>
  </si>
  <si>
    <t>장</t>
    <phoneticPr fontId="3" type="noConversion"/>
  </si>
  <si>
    <t>제05장 소송 개시와 심리 대상</t>
  </si>
  <si>
    <t>편↑</t>
    <phoneticPr fontId="3" type="noConversion"/>
  </si>
  <si>
    <t>01</t>
  </si>
  <si>
    <t>02</t>
  </si>
  <si>
    <t>03</t>
  </si>
  <si>
    <t>04</t>
  </si>
  <si>
    <t>01</t>
    <phoneticPr fontId="3" type="noConversion"/>
  </si>
  <si>
    <t>03</t>
    <phoneticPr fontId="3" type="noConversion"/>
  </si>
  <si>
    <t>02</t>
    <phoneticPr fontId="3" type="noConversion"/>
  </si>
  <si>
    <t>04</t>
    <phoneticPr fontId="3" type="noConversion"/>
  </si>
  <si>
    <t>05</t>
    <phoneticPr fontId="3" type="noConversion"/>
  </si>
  <si>
    <t>06</t>
    <phoneticPr fontId="3" type="noConversion"/>
  </si>
  <si>
    <t>07</t>
    <phoneticPr fontId="3" type="noConversion"/>
  </si>
  <si>
    <t>08</t>
    <phoneticPr fontId="3" type="noConversion"/>
  </si>
  <si>
    <t>09</t>
    <phoneticPr fontId="3" type="noConversion"/>
  </si>
  <si>
    <t>제03편 제1심 소송절차</t>
  </si>
  <si>
    <t>02</t>
    <phoneticPr fontId="3" type="noConversion"/>
  </si>
  <si>
    <t>03</t>
    <phoneticPr fontId="3" type="noConversion"/>
  </si>
  <si>
    <t>01</t>
    <phoneticPr fontId="3" type="noConversion"/>
  </si>
  <si>
    <t>04</t>
    <phoneticPr fontId="3" type="noConversion"/>
  </si>
  <si>
    <t>05</t>
    <phoneticPr fontId="3" type="noConversion"/>
  </si>
  <si>
    <t>06</t>
    <phoneticPr fontId="3" type="noConversion"/>
  </si>
  <si>
    <t>07</t>
    <phoneticPr fontId="3" type="noConversion"/>
  </si>
  <si>
    <t>08</t>
    <phoneticPr fontId="3" type="noConversion"/>
  </si>
  <si>
    <t>09</t>
    <phoneticPr fontId="3" type="noConversion"/>
  </si>
  <si>
    <t>상계의 항변과 중복소송의 관계 및 전소와 후소의 선후에 따른 대여금채권 소구의 적법성</t>
    <phoneticPr fontId="3" type="noConversion"/>
  </si>
  <si>
    <t>열기2-04.민사소송법\02.문제\[기출][2023-1-1]상계의 항변과 중복소송의 관계 및 전소와 후소의 선후에 따른 대여금채권 소구의 적법성.txt</t>
    <phoneticPr fontId="3" type="noConversion"/>
  </si>
  <si>
    <t>확정된 지급명령에 대한 준재심 제기 가능성 및 조서의 특수성에 따른 준재심 사유</t>
    <phoneticPr fontId="3" type="noConversion"/>
  </si>
  <si>
    <t>열기2-04.민사소송법\02.문제\[예상][17.05-2]확정된 지급명령에 대한 준재심 제기 가능성 및 조서의 특수성에 따른 준재심 사유.txt</t>
    <phoneticPr fontId="3" type="noConversion"/>
  </si>
  <si>
    <t>A</t>
  </si>
  <si>
    <t>C</t>
  </si>
  <si>
    <t>B</t>
  </si>
  <si>
    <t>제04절 소송물</t>
    <phoneticPr fontId="3" type="noConversion"/>
  </si>
  <si>
    <t>상고심의 직권조사사항의 근거와 한계</t>
    <phoneticPr fontId="3" type="noConversion"/>
  </si>
  <si>
    <t>열기2-04.민사소송법\02.문제\[예상][15.02-2]상고심의 직권조사사항의 근거와 한계.txt</t>
    <phoneticPr fontId="3" type="noConversion"/>
  </si>
  <si>
    <t>제7편 재심절차</t>
    <phoneticPr fontId="3" type="noConversion"/>
  </si>
  <si>
    <t>제1편 총설</t>
    <phoneticPr fontId="3" type="noConversion"/>
  </si>
  <si>
    <t>제2편 소송의 주체</t>
    <phoneticPr fontId="3" type="noConversion"/>
  </si>
  <si>
    <t>제3편 제1심의 소송절차</t>
    <phoneticPr fontId="3" type="noConversion"/>
  </si>
  <si>
    <t>제4편 소송의 종료</t>
    <phoneticPr fontId="3" type="noConversion"/>
  </si>
  <si>
    <t>제5편 병합소송</t>
    <phoneticPr fontId="3" type="noConversion"/>
  </si>
  <si>
    <t>열기2-04.민사소송법\03.판례\001. 소송상태의 부당형성.txt</t>
  </si>
  <si>
    <t>열기2-04.민사소송법\03.판례\002. 부제소 특약 위반과 금반언의 원칙.txt</t>
  </si>
  <si>
    <t>열기2-04.민사소송법\03.판례\003. 소송행위와 금반언의 원칙.txt</t>
  </si>
  <si>
    <t>열기2-04.민사소송법\03.판례\004. 소권의 실효(1).txt</t>
  </si>
  <si>
    <t>열기2-04.민사소송법\03.판례\005. 소권의 실효(2).txt</t>
  </si>
  <si>
    <t>열기2-04.민사소송법\03.판례\006. 소권의 남용(1).txt</t>
  </si>
  <si>
    <t>열기2-04.민사소송법\03.판례\007. 소권의 남용(2).txt</t>
  </si>
  <si>
    <t>열기2-04.민사소송법\03.판례\008. 강제집행절차와 신의칙.txt</t>
  </si>
  <si>
    <t>열기2-04.민사소송법\03.판례\009. 신의칙 위반과 직권판단.txt</t>
  </si>
  <si>
    <t>열기2-04.민사소송법\03.판례\010. 외국국가의 사법적(私法的) 행위에 대한 우리나라 법원의 재판권 유무.txt</t>
  </si>
  <si>
    <t>열기2-04.민사소송법\03.판례\011. 국제재판관할 유무의 판단 기준：대한민국과의 실질적 관련성.txt</t>
  </si>
  <si>
    <t>열기2-04.민사소송법\03.판례\012. 국제재판관할권：긴급 또는 보충관할.txt</t>
  </si>
  <si>
    <t>열기2-04.민사소송법\03.판례\013. 법관의 제척사유：당사자와 공동권리자・공동의무자의 관계에 있는 자.txt</t>
  </si>
  <si>
    <t>열기2-04.민사소송법\03.판례\014. 법관의 제척사유：전심재판 관여의 의미.txt</t>
  </si>
  <si>
    <t>열기2-04.민사소송법\03.판례\015. 법관의 제척사유：전심재판 관여의 취지 및 대상.txt</t>
  </si>
  <si>
    <t>열기2-04.민사소송법\03.판례\016. 법관의 기피：‘법관에게 공정한 재판을 기대하기 어려운 사정이 있는 때’의 의미.txt</t>
  </si>
  <si>
    <t>열기2-04.민사소송법\03.판례\017. 법관의 기피：기피신청에 불구하고 판결을 선고한 경우의 효과.txt</t>
  </si>
  <si>
    <t>열기2-04.민사소송법\03.판례\018. 제척・기피신청 중 소송절차를 정지하지 아니한 흠결.txt</t>
  </si>
  <si>
    <t>열기2-04.민사소송법\03.판례\019. 소송목적의 값(소가)의 산정：중복청구의 흡수.txt</t>
  </si>
  <si>
    <t>열기2-04.민사소송법\03.판례\020. 특별재판적：사해행위취소의 소에 있어서 의무이행지의 의미.txt</t>
  </si>
  <si>
    <t>열기2-04.민사소송법\03.판례\021. 합의관할：“당사자 일방이 지정하는 법원”을 관할법원으로 하는 합의의 유효성.txt</t>
  </si>
  <si>
    <t>열기2-04.민사소송법\03.판례\022. 관할합의의 주관적 범위(1)：물권의 승계인.txt</t>
  </si>
  <si>
    <t>열기2-04.민사소송법\03.판례\023. 관할합의의 주관적 범위(2)：채권의 승계인.txt</t>
  </si>
  <si>
    <t>열기2-04.민사소송법\03.판례\024. 변론관할：자백간주에 의한 경우.txt</t>
  </si>
  <si>
    <t>열기2-04.민사소송법\03.판례\025. 관할위반과 당사자의 이송신청권.txt</t>
  </si>
  <si>
    <t>열기2-04.민사소송법\03.판례\026. 반소제기에 의한 이송.txt</t>
  </si>
  <si>
    <t>열기2-04.민사소송법\03.판례\027. 이송결정의 기속력.txt</t>
  </si>
  <si>
    <t>열기2-04.민사소송법\03.판례\028. 당사자확정방법과 표시정정의 한계.txt</t>
  </si>
  <si>
    <t>열기2-04.민사소송법\03.판례\029. 당사자가 제소 전 사망한 경우 당사자 확정방법과 표시정정.txt</t>
  </si>
  <si>
    <t>열기2-04.민사소송법\03.판례\030. 당사자가 제소 전에 사망한 것을 알고 한 제소의 경우.txt</t>
  </si>
  <si>
    <t>열기2-04.민사소송법\03.판례\031. 성명모용소송.txt</t>
  </si>
  <si>
    <t>열기2-04.민사소송법\03.판례\032. 법인의 하부 조직이 당사자능력을 가지는 경우.txt</t>
  </si>
  <si>
    <t>열기2-04.민사소송법\03.판례\033. 비법인사단의 당사자능력.txt</t>
  </si>
  <si>
    <t>열기2-04.민사소송법\03.판례\034. 소유권이전등기말소청구소송의 당사자적격.txt</t>
  </si>
  <si>
    <t>열기2-04.민사소송법\03.판례\035. 추심명령을 받은 채무자의 당사자적격.txt</t>
  </si>
  <si>
    <t>열기2-04.민사소송법\03.판례\036. 단체 대표자 지위를 다투는 소송의 피고적격.txt</t>
  </si>
  <si>
    <t>열기2-04.민사소송법\03.판례\037. 회사관계소송의 당사자적격.txt</t>
  </si>
  <si>
    <t>열기2-04.민사소송법\03.판례\038. 당사자적격：채권자대위소송에서 피보전권리의 존부.txt</t>
  </si>
  <si>
    <t>열기2-04.민사소송법\03.판례\039. 당사자적격：임의적 소송담당의 허용 여부(1).txt</t>
  </si>
  <si>
    <t>열기2-04.민사소송법\03.판례\040. 당사자적격：임의적 소송담당의 허용 여부(2).txt</t>
  </si>
  <si>
    <t>열기2-04.민사소송법\03.판례\041. 소송무능력자의 소송행위의 효력.txt</t>
  </si>
  <si>
    <t>열기2-04.민사소송법\03.판례\042. 소송무능력자의 소송행위의 추인방법.txt</t>
  </si>
  <si>
    <t>열기2-04.민사소송법\03.판례\043. 소송상 특별대리인의 권한범위.txt</t>
  </si>
  <si>
    <t>열기2-04.민사소송법\03.판례\044. 법인 아닌 사단의 총유물에 관한 소송의 당사자적격.txt</t>
  </si>
  <si>
    <t>열기2-04.민사소송법\03.판례\045. 법정대리권(대표권)의 소멸통지.txt</t>
  </si>
  <si>
    <t>열기2-04.민사소송법\03.판례\046. 변호사의 소송대리권의 범위와 위임계약상의 의무.txt</t>
  </si>
  <si>
    <t>열기2-04.민사소송법\03.판례\047. 소송대리인의 특별수권의 내용과 대리권 종료 시기.txt</t>
  </si>
  <si>
    <t>열기2-04.민사소송법\03.판례\048. 심급대리의 원칙(1).txt</t>
  </si>
  <si>
    <t>열기2-04.민사소송법\03.판례\049. 심급대리의 원칙(2).txt</t>
  </si>
  <si>
    <t>열기2-04.민사소송법\03.판례\050. 당사자의 사망과 소송대리권의 소멸 여부.txt</t>
  </si>
  <si>
    <t>열기2-04.민사소송법\03.판례\051. 무권대리인의 소송행위 추인 방법.txt</t>
  </si>
  <si>
    <t>열기2-04.민사소송법\03.판례\052. 무권대리인의 소송행위 추인 거절 후 추인의 가부.txt</t>
  </si>
  <si>
    <t>열기2-04.민사소송법\03.판례\053. 소송상 표현대리의 가부.txt</t>
  </si>
  <si>
    <t>열기2-04.민사소송법\03.판례\054. 소송대리권의 존부에 대한 자백간주.txt</t>
  </si>
  <si>
    <t>열기2-04.민사소송법\03.판례\055. 쌍방대리의 금지：주관적 내지 객관적 범위.txt</t>
  </si>
  <si>
    <t>열기2-04.민사소송법\03.판례\056. 쌍방대리의 금지：위반행위의 효력.txt</t>
  </si>
  <si>
    <t>열기2-04.민사소송법\03.판례\057. 형성의 소 법정주의 원칙.txt</t>
  </si>
  <si>
    <t>열기2-04.민사소송법\03.판례\058. 형성의 소 법정주의 원칙의 예외.txt</t>
  </si>
  <si>
    <t>열기2-04.민사소송법\03.판례\059. 주주총회결의 부존재확인판결의 본질.txt</t>
  </si>
  <si>
    <t>열기2-04.민사소송법\03.판례\060. 소송요건의 판단 시기의 예외(1).txt</t>
  </si>
  <si>
    <t>열기2-04.민사소송법\03.판례\061. 소송요건의 판단 시기의 예외(2).txt</t>
  </si>
  <si>
    <t>열기2-04.민사소송법\03.판례\062. 소송요건인 확정판결의 존부에 대한 심사.txt</t>
  </si>
  <si>
    <t>열기2-04.민사소송법\03.판례\063. 시효중단을 위한 재소의 소의 이익.txt</t>
  </si>
  <si>
    <t>열기2-04.민사소송법\03.판례\064. 허가조건부 소유권이전등기청구의 소의 이익.txt</t>
  </si>
  <si>
    <t>열기2-04.민사소송법\03.판례\065. 의사의 진술이 법적 효과가 없는 경우의 소의 이익.txt</t>
  </si>
  <si>
    <t>열기2-04.민사소송법\03.판례\066. 부제소합의와 권리보호이익.txt</t>
  </si>
  <si>
    <t>열기2-04.민사소송법\03.판례\067. 장래이행청구에서 ‘미리 청구할 필요’의 인정.txt</t>
  </si>
  <si>
    <t>열기2-04.민사소송법\03.판례\068. 선이행 조건의 장래이행청구.txt</t>
  </si>
  <si>
    <t>열기2-04.민사소송법\03.판례\069. 확인의 소의 대상：구체적 권리 또는 법률관계.txt</t>
  </si>
  <si>
    <t>열기2-04.민사소송법\03.판례\070. 확인의 소：과거의 법률관계.txt</t>
  </si>
  <si>
    <t>열기2-04.민사소송법\03.판례\071. 새로운 방식의 확인청구.txt</t>
  </si>
  <si>
    <t>열기2-04.민사소송법\03.판례\072. 제3자 확인의소.txt</t>
  </si>
  <si>
    <t>열기2-04.민사소송법\03.판례\073. 국가를 상대로 한 토지소유권확인의 소의 이익.txt</t>
  </si>
  <si>
    <t>열기2-04.민사소송법\03.판례\074. 증서진부확인청구의 허용 여부.txt</t>
  </si>
  <si>
    <t>열기2-04.민사소송법\03.판례\075. 참칭채권자에 대한 채권확인청구의 소의 이익.txt</t>
  </si>
  <si>
    <t>열기2-04.민사소송법\03.판례\076. 확인청구의 보충성.txt</t>
  </si>
  <si>
    <t>열기2-04.민사소송법\03.판례\077. 확인의 소 계속 중 이행을 구하는 반소청구와 확인의 이익.txt</t>
  </si>
  <si>
    <t>열기2-04.민사소송법\03.판례\078. 대상인 법률관계가 종료한 형성소송의 권리보호이익.txt</t>
  </si>
  <si>
    <t>열기2-04.민사소송법\03.판례\079. 형식적 형성의 소의 권리보호이익.txt</t>
  </si>
  <si>
    <t>열기2-04.민사소송법\03.판례\080. 불법행위로 인한 손해배상청구와 채무불이행으로 인한 손해배상청구의 소송물 동일성 여부.txt</t>
  </si>
  <si>
    <t>열기2-04.민사소송법\03.판례\081. 신체상해와 소송물.txt</t>
  </si>
  <si>
    <t>열기2-04.민사소송법\03.판례\082. 손해배상 판결 후 발생한 후유증에 기한 추가적인 손해배상청구의 소송물.txt</t>
  </si>
  <si>
    <t>열기2-04.민사소송법\03.판례\083. 동일 건물에 대한 소유권과 점유권에 기한 반환청구의 소송물.txt</t>
  </si>
  <si>
    <t>열기2-04.민사소송법\03.판례\084. 등기원인을 달리하는 소유권이전등기청구소송의 소송물.txt</t>
  </si>
  <si>
    <t>열기2-04.민사소송법\03.판례\085. 가등기에 기한 본등기청구에서 가등기의 피담보채권을 달리하는 경우의 소송물.txt</t>
  </si>
  <si>
    <t>열기2-04.민사소송법\03.판례\086. 소유권이전등기의 말소등기청구소송의 소송물.txt</t>
  </si>
  <si>
    <t>열기2-04.민사소송법\03.판례\087. 근저당권설정등기의 말소등기청구소송의 소송물.txt</t>
  </si>
  <si>
    <t>열기2-04.민사소송법\03.판례\088. 소유권이전등기의 말소등기청구소송과 진정명의회복을 위한 소유권이전등기청구소송의 소송물.txt</t>
  </si>
  <si>
    <t>열기2-04.민사소송법\03.판례\089. 이혼소송의 소송물.txt</t>
  </si>
  <si>
    <t>열기2-04.민사소송법\03.판례\090. 사해행위취소소송에서 피보전채권과 소송물.txt</t>
  </si>
  <si>
    <t>열기2-04.민사소송법\03.판례\091. 사해행위취소소송에서 사해행위에 대한 법률적 평가와 소송물.txt</t>
  </si>
  <si>
    <t>열기2-04.민사소송법\03.판례\092. 재심소송의 소송물.txt</t>
  </si>
  <si>
    <t>열기2-04.민사소송법\03.판례\093. 채권자대위소송과 중복제소(1).txt</t>
  </si>
  <si>
    <t>열기2-04.민사소송법\03.판례\094. 채권자대위소송과 중복제소(2).txt</t>
  </si>
  <si>
    <t>열기2-04.민사소송법\03.판례\095. 추심의 소와 중복제소.txt</t>
  </si>
  <si>
    <t>열기2-04.민사소송법\03.판례\096. 채권자취소소송과 중복제소.txt</t>
  </si>
  <si>
    <t>열기2-04.민사소송법\03.판례\097. 상계항변과 중복제소.txt</t>
  </si>
  <si>
    <t>열기2-04.민사소송법\03.판례\098. 일부청구와 중복제소.txt</t>
  </si>
  <si>
    <t>열기2-04.민사소송법\03.판례\099. 중복제소의 판단 기준：청구취지와 청구원인.txt</t>
  </si>
  <si>
    <t>열기2-04.민사소송법\03.판례\100. 중복제소의 판단 기준 시점.txt</t>
  </si>
  <si>
    <t>열기2-04.민사소송법\03.판례\101. 지급명령의 신청과 시효중단.txt</t>
  </si>
  <si>
    <t>열기2-04.민사소송법\03.판례\102. 일부청구와 시효중단.txt</t>
  </si>
  <si>
    <t>열기2-04.민사소송법\03.판례\103. 추심의 소와 시효중단.txt</t>
  </si>
  <si>
    <t>열기2-04.민사소송법\03.판례\104. 응소와 시효중단.txt</t>
  </si>
  <si>
    <t>열기2-04.민사소송법\03.판례\105. 직접심리주의와 법관의 경질로 인한 증인의 재신문.txt</t>
  </si>
  <si>
    <t>열기2-04.민사소송법\03.판례\106. 법원의 심판 대상과 범위(1).txt</t>
  </si>
  <si>
    <t>열기2-04.민사소송법\03.판례\107. 법원의 심판 대상과 범위(2).txt</t>
  </si>
  <si>
    <t>열기2-04.민사소송법\03.판례\108. 법원의 심판 대상과 범위(3).txt</t>
  </si>
  <si>
    <t>열기2-04.민사소송법\03.판례\109. 처분권주의 위반：질적으로 다른 재판.txt</t>
  </si>
  <si>
    <t>열기2-04.민사소송법\03.판례\110. 처분권주의：형식적 형성의 소.txt</t>
  </si>
  <si>
    <t>열기2-04.민사소송법\03.판례\111. 처분권주의 위반：양적 상한 초과.txt</t>
  </si>
  <si>
    <t>열기2-04.민사소송법\03.판례\112. 일부청구와 과실상계.txt</t>
  </si>
  <si>
    <t>열기2-04.민사소송법\03.판례\113. 가분채무의 부존재확인청구와 처분권주의.txt</t>
  </si>
  <si>
    <t>열기2-04.민사소송법\03.판례\114. 단순이행청구에 대한 상환이행판결.txt</t>
  </si>
  <si>
    <t>열기2-04.민사소송법\03.판례\115. 등기말소청구에 대한 선이행판결.txt</t>
  </si>
  <si>
    <t>열기2-04.민사소송법\03.판례\116. 사해행위취소소송에서 청구취지의 해석.txt</t>
  </si>
  <si>
    <t>열기2-04.민사소송법\03.판례\117. 주요사실과 간접사실.txt</t>
  </si>
  <si>
    <t>열기2-04.민사소송법\03.판례\118. 주요사실의 묵시적 주장.txt</t>
  </si>
  <si>
    <t>열기2-04.민사소송법\03.판례\119. 주요사실에 대한 간접적 주장.txt</t>
  </si>
  <si>
    <t>열기2-04.민사소송법\03.판례\120. 소멸시효 항변과 시효기간의 주장.txt</t>
  </si>
  <si>
    <t>열기2-04.민사소송법\03.판례\121. 소멸시효기간의 기산일과 변론주의의 적용.txt</t>
  </si>
  <si>
    <t>열기2-04.민사소송법\03.판례\122. 대리권 주장과 변론주의.txt</t>
  </si>
  <si>
    <t>열기2-04.민사소송법\03.판례\123. 건물매수청구권 행사와 적극적 석명.txt</t>
  </si>
  <si>
    <t>열기2-04.민사소송법\03.판례\124. 손해액의 석명.txt</t>
  </si>
  <si>
    <t>열기2-04.민사소송법\03.판례\125. 석명의무：청구취지의 석명.txt</t>
  </si>
  <si>
    <t>열기2-04.민사소송법\03.판례\126. 과실상계의 직권참작.txt</t>
  </si>
  <si>
    <t>열기2-04.민사소송법\03.판례\127. 변론주의와 직권조사사항.txt</t>
  </si>
  <si>
    <t>열기2-04.민사소송법\03.판례\128. 실기한 공격방어방법의 각하：판단 기준.txt</t>
  </si>
  <si>
    <t>열기2-04.민사소송법\03.판례\129. 실기한 공격방어방법의 각하：유치권 항변.txt</t>
  </si>
  <si>
    <t>열기2-04.민사소송법\03.판례\130. 실기한 공격방어방법의 각하：유일한 증거.txt</t>
  </si>
  <si>
    <t>열기2-04.민사소송법\03.판례\131. 실기한 공격방어방법의 각하：상계항변.txt</t>
  </si>
  <si>
    <t>열기2-04.민사소송법\03.판례\132. 소송절차에 관한 이의권.txt</t>
  </si>
  <si>
    <t>열기2-04.민사소송법\03.판례\133. 준비서면제출의 효과.txt</t>
  </si>
  <si>
    <t>열기2-04.민사소송법\03.판례\134. 변론준비기일과 변론기일.txt</t>
  </si>
  <si>
    <t>열기2-04.민사소송법\03.판례\135. 주장과 항변.txt</t>
  </si>
  <si>
    <t>열기2-04.민사소송법\03.판례\136. 소송상 형성권의 행사와 사법상 효과.txt</t>
  </si>
  <si>
    <t>열기2-04.민사소송법\03.판례\137. 소송상 상계항변의 법적 성질.txt</t>
  </si>
  <si>
    <t>열기2-04.민사소송법\03.판례\138. 상계항변과 사법상 효과.txt</t>
  </si>
  <si>
    <t>열기2-04.민사소송법\03.판례\139. 조건부 소취하 합의와 소의 이익.txt</t>
  </si>
  <si>
    <t>열기2-04.민사소송법\03.판례\140. 상소취하 합의의 법적 성질.txt</t>
  </si>
  <si>
    <t>열기2-04.민사소송법\03.판례\141. 소송행위의 흠과 민법규정의 유추적용 여부.txt</t>
  </si>
  <si>
    <t>열기2-04.민사소송법\03.판례\142. 흠 있는 소송행위와 흠의 제거.txt</t>
  </si>
  <si>
    <t>열기2-04.민사소송법\03.판례\143. 소송행위에 재심사유에 해당하는 의사표시의 흠이 있는 경우 구제방법.txt</t>
  </si>
  <si>
    <t>열기2-04.민사소송법\03.판례\144. 변론조서의 증명력.txt</t>
  </si>
  <si>
    <t>열기2-04.민사소송법\03.판례\145. 변론재개신청과 변론재개의무.txt</t>
  </si>
  <si>
    <t>열기2-04.민사소송법\03.판례\146. 한쪽 당사자의 불출석과 진술간주.txt</t>
  </si>
  <si>
    <t>열기2-04.민사소송법\03.판례\147. 진술간주와 재판상 자백.txt</t>
  </si>
  <si>
    <t>열기2-04.민사소송법\03.판례\148. 민사소송법 제268조 제2항 소정의 1월의 기일지정신청기간과 불변기간.txt</t>
  </si>
  <si>
    <t>열기2-04.민사소송법\03.판례\149. 쌍방불출석과 소취하간주.txt</t>
  </si>
  <si>
    <t>열기2-04.민사소송법\03.판례\150. 소송행위의 추후보완 사유(1).txt</t>
  </si>
  <si>
    <t>열기2-04.민사소송법\03.판례\151. 소송행위의 추후보완 사유(2).txt</t>
  </si>
  <si>
    <t>열기2-04.민사소송법\03.판례\152. 소송행위의 추후보완을 할 수 있는 ‘당사자’의 범위.txt</t>
  </si>
  <si>
    <t>열기2-04.민사소송법\03.판례\153. 판결정본 송달의 무효와 항소행위 추완.txt</t>
  </si>
  <si>
    <t>열기2-04.민사소송법\03.판례\154. 보충송달：송달장소.txt</t>
  </si>
  <si>
    <t>열기2-04.민사소송법\03.판례\155. 보충송달：송달수령대행인.txt</t>
  </si>
  <si>
    <t>열기2-04.민사소송법\03.판례\156. 송달받을 사람：법인에 대한 송달.txt</t>
  </si>
  <si>
    <t>열기2-04.민사소송법\03.판례\157. 송달받을 사람：수감자에 대한 송달.txt</t>
  </si>
  <si>
    <t>열기2-04.민사소송법\03.판례\158. 수감자 주소 등에 대한 공시송달.txt</t>
  </si>
  <si>
    <t>열기2-04.민사소송법\03.판례\159. 요건불비의 공시송달의 효력.txt</t>
  </si>
  <si>
    <t>열기2-04.민사소송법\03.판례\160. 당사자의 사망과 상속인의 수계.txt</t>
  </si>
  <si>
    <t>열기2-04.민사소송법\03.판례\161. 소송대리인이 있는 당사자의 사망과 판결의 효력.txt</t>
  </si>
  <si>
    <t>열기2-04.민사소송법\03.판례\162. 당사자 사망 후 소송대리인이 잘못된 당사자 표시대로 한 상소의 효력.txt</t>
  </si>
  <si>
    <t>열기2-04.민사소송법\03.판례\163. 당사자의 사망을 간과한 판결의 효력.txt</t>
  </si>
  <si>
    <t>열기2-04.민사소송법\03.판례\164. 소송수계신청에 대한 재판.txt</t>
  </si>
  <si>
    <t>열기2-04.민사소송법\03.판례\165. 위법수집증거의 증거능력.txt</t>
  </si>
  <si>
    <t>열기2-04.민사소송법\03.판례\166. 경험법칙.txt</t>
  </si>
  <si>
    <t>열기2-04.민사소송법\03.판례\167. 외국법규 흠결 등의 경우 적용법규.txt</t>
  </si>
  <si>
    <t>열기2-04.민사소송법\03.판례\168. 권리자백：법정변제충당 순서.txt</t>
  </si>
  <si>
    <t>열기2-04.민사소송법\03.판례\169. 권리자백：이행불능 주장.txt</t>
  </si>
  <si>
    <t>열기2-04.민사소송법\03.판례\170. 법률용어를 사용한 진술과 자백.txt</t>
  </si>
  <si>
    <t>열기2-04.민사소송법\03.판례\171. 선결적 법률관계에 관한 자백.txt</t>
  </si>
  <si>
    <t>열기2-04.민사소송법\03.판례\172. 자백과 증명책임.txt</t>
  </si>
  <si>
    <t>열기2-04.민사소송법\03.판례\173. 선행자백의 성립요건.txt</t>
  </si>
  <si>
    <t>열기2-04.민사소송법\03.판례\174. 자백의 취소(1).txt</t>
  </si>
  <si>
    <t>열기2-04.민사소송법\03.판례\175. 자백의 취소(2).txt</t>
  </si>
  <si>
    <t>열기2-04.민사소송법\03.판례\176. 청구의 교환적 변경과 자백.txt</t>
  </si>
  <si>
    <t>열기2-04.민사소송법\03.판례\177. 법원에 현저한 사실(1).txt</t>
  </si>
  <si>
    <t>열기2-04.민사소송법\03.판례\178. 법원에 현저한 사실(2).txt</t>
  </si>
  <si>
    <t>열기2-04.민사소송법\03.판례\179. 감정 결과의 증명력.txt</t>
  </si>
  <si>
    <t>열기2-04.민사소송법\03.판례\180. 서증제출방법：사본에 의한 문서제출의 효과.txt</t>
  </si>
  <si>
    <t>열기2-04.민사소송법\03.판례\181. 사문서의 형식적 증거력：작성명의인 아닌 자의 날인 사실이 인정될 경우 증명책임의 소재.txt</t>
  </si>
  <si>
    <t>열기2-04.민사소송법\03.판례\182. 사문서의 형식적 증거력：백지문서 또는 미완성 부분의 보충에 대한 증명책임의 소재.txt</t>
  </si>
  <si>
    <t>열기2-04.민사소송법\03.판례\183. 처분문서의 실질적 증거력.txt</t>
  </si>
  <si>
    <t>열기2-04.민사소송법\03.판례\184. 선서하지 않은 감정인의 감정결과.txt</t>
  </si>
  <si>
    <t>열기2-04.민사소송법\03.판례\185. 문서제출명령：문서제출의무의 범위.txt</t>
  </si>
  <si>
    <t>열기2-04.민사소송법\03.판례\186. 문서제출명령：일부 훼손된 문서제출의 효과.txt</t>
  </si>
  <si>
    <t>열기2-04.민사소송법\03.판례\187. 문서제출명령：당사자가 문서를 제출하지 아니한 때의 효과.txt</t>
  </si>
  <si>
    <t>열기2-04.민사소송법\03.판례\188. 당사자신문：당사자의 불출석 등에 대한 제재.txt</t>
  </si>
  <si>
    <t>열기2-04.민사소송법\03.판례\189. 그 밖의 증거：동영상 파일에 대한 증거조사방법.txt</t>
  </si>
  <si>
    <t>열기2-04.민사소송법\03.판례\190. 변론 전체의 취지와 독립적 증거원인 여부.txt</t>
  </si>
  <si>
    <t>열기2-04.민사소송법\03.판례\191. 자유심증의 정도：손해배상소송.txt</t>
  </si>
  <si>
    <t>열기2-04.민사소송법\03.판례\192. 증명방해.txt</t>
  </si>
  <si>
    <t>열기2-04.민사소송법\03.판례\193. 법률상 추정과 증명책임.txt</t>
  </si>
  <si>
    <t>열기2-04.민사소송법\03.판례\194. 등기의 추정력：법률상 추정.txt</t>
  </si>
  <si>
    <t>열기2-04.민사소송법\03.판례\195. 등기의 추정력：확정판결에 기한 등기의 추정력.txt</t>
  </si>
  <si>
    <t>열기2-04.민사소송법\03.판례\196. 공해소송에서 인과관계에 관한 증명책임.txt</t>
  </si>
  <si>
    <t>열기2-04.민사소송법\03.판례\197. 의료과오소송에서 증명책임(1).txt</t>
  </si>
  <si>
    <t>열기2-04.민사소송법\03.판례\198. 의료과오소송에서 증명책임(2).txt</t>
  </si>
  <si>
    <t>열기2-04.민사소송법\03.판례\199. 확정된 지급명령에 대한 청구이의의 소와 증명책임.txt</t>
  </si>
  <si>
    <t>열기2-04.민사소송법\03.판례\200. 소송종료선언의 사유：기일지정신청이 이유 없는 때.txt</t>
  </si>
  <si>
    <t>열기2-04.민사소송법\03.판례\201. 소송종료선언의 사유：소송계속 중 당사자가 사망하였으나 소송물인 권리관계가 상속되지 않는 경우.txt</t>
  </si>
  <si>
    <t>열기2-04.민사소송법\03.판례\202. 소취하의 법적 성질.txt</t>
  </si>
  <si>
    <t>열기2-04.민사소송법\03.판례\203. 소취하 계약의 법적 성질.txt</t>
  </si>
  <si>
    <t>열기2-04.민사소송법\03.판례\204. 소취하의 임의 철회.txt</t>
  </si>
  <si>
    <t>열기2-04.민사소송법\03.판례\205. 소취하의 절차：상대방의 동의.txt</t>
  </si>
  <si>
    <t>열기2-04.민사소송법\03.판례\206. 본소 각하 후의 반소 취하.txt</t>
  </si>
  <si>
    <t>열기2-04.민사소송법\03.판례\207. 독립당사자참가 소송에서 본소 취하.txt</t>
  </si>
  <si>
    <t>열기2-04.민사소송법\03.판례\208. 소취하의 하자：표시주의.txt</t>
  </si>
  <si>
    <t>열기2-04.민사소송법\03.판례\209. 소취하의 하자：사기・강박에 의한 소취하의 취소.txt</t>
  </si>
  <si>
    <t>열기2-04.민사소송법\03.판례\210. 재소금지의 요건：당사자의 동일.txt</t>
  </si>
  <si>
    <t>열기2-04.민사소송법\03.판례\211. 재소금지의 요건：채권자대위소송.txt</t>
  </si>
  <si>
    <t>열기2-04.민사소송법\03.판례\212. 재소금지의 요건：소송물의 동일.txt</t>
  </si>
  <si>
    <t>열기2-04.민사소송법\03.판례\213. 재소금지의 요건：선결문제.txt</t>
  </si>
  <si>
    <t>열기2-04.민사소송법\03.판례\214. 재소금지의 요건：권리보호의 이익(1).txt</t>
  </si>
  <si>
    <t>열기2-04.민사소송법\03.판례\215. 재소금지의 요건：권리보호의 이익(2).txt</t>
  </si>
  <si>
    <t>열기2-04.민사소송법\03.판례\216. 재소금지의 요건：중복소송.txt</t>
  </si>
  <si>
    <t>열기2-04.민사소송법\03.판례\217. 재소금지의 요건：소취하 간주.txt</t>
  </si>
  <si>
    <t>열기2-04.민사소송법\03.판례\218. 재소금지의 요건：항소심에서 소의 교환적 변경.txt</t>
  </si>
  <si>
    <t>열기2-04.민사소송법\03.판례\219. 청구의 인낙：법적 성질.txt</t>
  </si>
  <si>
    <t>열기2-04.민사소송법\03.판례\220. 청구의 포기・인낙：주주총회 결의의 하자를 다투는 소.txt</t>
  </si>
  <si>
    <t>열기2-04.민사소송법\03.판례\221. 재판상의 화해：법적 성질.txt</t>
  </si>
  <si>
    <t>열기2-04.민사소송법\03.판례\222. 소송상 화해의 요건：처분할 수 있는 권리관계.txt</t>
  </si>
  <si>
    <t>열기2-04.민사소송법\03.판례\223. 소송상 화해의 요건：내용상의 적법성.txt</t>
  </si>
  <si>
    <t>열기2-04.민사소송법\03.판례\224. 실효조건부 화해.txt</t>
  </si>
  <si>
    <t>열기2-04.민사소송법\03.판례\225. 화해조서의 효력：기판력.txt</t>
  </si>
  <si>
    <t>열기2-04.민사소송법\03.판례\226. 화해권고결정의 효력：기판력.txt</t>
  </si>
  <si>
    <t>열기2-04.민사소송법\03.판례\227. 화해조서의 효력：형성력.txt</t>
  </si>
  <si>
    <t>열기2-04.민사소송법\03.판례\228. 화해조서의 효력：창설적 효력.txt</t>
  </si>
  <si>
    <t>열기2-04.민사소송법\03.판례\229. 화해조서의 효력：창설적 효력의 범위.txt</t>
  </si>
  <si>
    <t>열기2-04.민사소송법\03.판례\230. 화해조서의 효력：하자 주장 방법.txt</t>
  </si>
  <si>
    <t>열기2-04.민사소송법\03.판례\231. 화해조서의 효력：사기나 착오를 이유로 한 하자 주장.txt</t>
  </si>
  <si>
    <t>열기2-04.민사소송법\03.판례\232. 화해조서의 효력：선행 화해와 모순되는 화해조서의 효력.txt</t>
  </si>
  <si>
    <t>열기2-04.민사소송법\03.판례\233. 결정・명령에 대한 불복 시기.txt</t>
  </si>
  <si>
    <t>열기2-04.민사소송법\03.판례\234. 항소심 환송판결의 본질.txt</t>
  </si>
  <si>
    <t>열기2-04.민사소송법\03.판례\235. 중간판결의 효력.txt</t>
  </si>
  <si>
    <t>열기2-04.민사소송법\03.판례\236. 재판 누락：판결 주문과 이유의 불일치.txt</t>
  </si>
  <si>
    <t>열기2-04.민사소송법\03.판례\237. 재판 누락：재판의 탈루.txt</t>
  </si>
  <si>
    <t>열기2-04.민사소송법\03.판례\238. 판결의 경정：경정의 허용기준 및 명백한 잘못의 판단자료.txt</t>
  </si>
  <si>
    <t>열기2-04.민사소송법\03.판례\239. 형식적 확정력：일부불복의 경우(1).txt</t>
  </si>
  <si>
    <t>열기2-04.민사소송법\03.판례\240. 형식적 확정력：일부불복의 경우(2).txt</t>
  </si>
  <si>
    <t>열기2-04.민사소송법\03.판례\241. 기판력의 본질.txt</t>
  </si>
  <si>
    <t>열기2-04.민사소송법\03.판례\242. 기판력의 작용：소송물의 동일.txt</t>
  </si>
  <si>
    <t>열기2-04.민사소송법\03.판례\243. 기판력의 작용：후소의 선결관계(1).txt</t>
  </si>
  <si>
    <t>열기2-04.민사소송법\03.판례\244. 기판력의 작용：후소의 선결관계(2).txt</t>
  </si>
  <si>
    <t>열기2-04.민사소송법\03.판례\245. 기판력의 작용：모순관계(1).txt</t>
  </si>
  <si>
    <t>열기2-04.민사소송법\03.판례\246. 기판력의 작용：모순관계(2).txt</t>
  </si>
  <si>
    <t>열기2-04.민사소송법\03.판례\247. 소송판결의 기판력.txt</t>
  </si>
  <si>
    <t>열기2-04.민사소송법\03.판례\248. 기판력의 시적 범위：전소 변론종결 전 존재하던 공격방어방법의 주장.txt</t>
  </si>
  <si>
    <t>열기2-04.민사소송법\03.판례\249. 기판력의 시적 범위：표준시 후의 한정승인 또는 상속포기 주장.txt</t>
  </si>
  <si>
    <t>열기2-04.민사소송법\03.판례\250. 기판력의 시적 범위：표준시 전의 권리관계.txt</t>
  </si>
  <si>
    <t>열기2-04.민사소송법\03.판례\252. 기판력의 시적 범위：표준시 후에 발생한 사정변경(2).txt</t>
  </si>
  <si>
    <t>열기2-04.민사소송법\03.판례\253. 기판력의 시적 범위：표준시 후의 상계권 행사.txt</t>
  </si>
  <si>
    <t>열기2-04.민사소송법\03.판례\254. 정기금판결에 대한 변경의 소：현저한 사정변경.txt</t>
  </si>
  <si>
    <t>열기2-04.민사소송법\03.판례\255. 정기금판결에 대한 변경의 소：원고 적격.txt</t>
  </si>
  <si>
    <t>열기2-04.민사소송법\03.판례\256. 기판력의 객관적 범위：원칙.txt</t>
  </si>
  <si>
    <t>열기2-04.민사소송법\03.판례\257. 기판력의 객관적 범위：청구취지가 다른 경우.txt</t>
  </si>
  <si>
    <t>열기2-04.민사소송법\03.판례\258. 기판력의 객관적 범위：청구원인을 이루는 실체법상의 권리가 다른 경우.txt</t>
  </si>
  <si>
    <t>열기2-04.민사소송법\03.판례\259. 기판력의 객관적 범위：일부청구.txt</t>
  </si>
  <si>
    <t>열기2-04.민사소송법\03.판례\260. 기판력의 객관적 범위：상계항변.txt</t>
  </si>
  <si>
    <t>열기2-04.민사소송법\03.판례\261. 상계항변의 배척과 기판력.txt</t>
  </si>
  <si>
    <t>열기2-04.민사소송법\03.판례\262. 동시이행항변과 기판력.txt</t>
  </si>
  <si>
    <t>열기2-04.민사소송법\03.판례\263. 기판력의 주관적 범위：비법인 사단.txt</t>
  </si>
  <si>
    <t>열기2-04.민사소송법\03.판례\264. 기판력의 주관적 범위：법인격 남용.txt</t>
  </si>
  <si>
    <t>열기2-04.민사소송법\03.판례\265. 기판력의 주관적 범위：채권양수인의 변론종결 후 승계인 여부 판단의 기준 시기.txt</t>
  </si>
  <si>
    <t>열기2-04.민사소송법\03.판례\266. 기판력의 주관적 범위：승계집행문.txt</t>
  </si>
  <si>
    <t>열기2-04.민사소송법\03.판례\267. 기판력의 주관적 범위：물권적 청구권과 채권적 청구권의 승계인.txt</t>
  </si>
  <si>
    <t>열기2-04.민사소송법\03.판례\268. 기판력의 주관적 범위：부동산인도청구 패소 후 소유권을 취득한 제3자.txt</t>
  </si>
  <si>
    <t>열기2-04.민사소송법\03.판례\269. 기판력의 주관적 범위：추정승계인.txt</t>
  </si>
  <si>
    <t>열기2-04.민사소송법\03.판례\270. 기판력의 주관적 범위：청구의 목적물 소지자.txt</t>
  </si>
  <si>
    <t>열기2-04.민사소송법\03.판례\271. 기판력의 주관적 범위：제3자에 대한 확장.txt</t>
  </si>
  <si>
    <t>열기2-04.민사소송법\03.판례\272. 채권자대위소송의 확정판결과 채무자.txt</t>
  </si>
  <si>
    <t>열기2-04.민사소송법\03.판례\273. 채권자대위소송의 소각하 확정판결과 피보전채권.txt</t>
  </si>
  <si>
    <t>열기2-04.민사소송법\03.판례\274. 제3채무자를 상대로 한 채무자의 전소 확정판결의 효력이 채권자대위소송에 미치는 영향.txt</t>
  </si>
  <si>
    <t>열기2-04.민사소송법\03.판례\275. 채권자대위소송의 확정판결이 다른 채권자의 채권자대위소송에 미치는 영향.txt</t>
  </si>
  <si>
    <t>열기2-04.민사소송법\03.판례\276. 확정판결의 증명효：관련 민사사건에서 인정된 사실.txt</t>
  </si>
  <si>
    <t>열기2-04.민사소송법\03.판례\277. 기판력과 집행력의 범위.txt</t>
  </si>
  <si>
    <t>열기2-04.민사소송법\03.판례\278. 채권자대위소송에서 확정판결의 기판력과 집행력의 범위.txt</t>
  </si>
  <si>
    <t>열기2-04.민사소송법\03.판례\279. 판결의 무효：상소의 가부.txt</t>
  </si>
  <si>
    <t>열기2-04.민사소송법\03.판례\280. 판결의 편취：허위주소로의 송달.txt</t>
  </si>
  <si>
    <t>열기2-04.민사소송법\03.판례\281. 판결의 편취：공시송달.txt</t>
  </si>
  <si>
    <t>열기2-04.민사소송법\03.판례\282. 편취판결에 대한 구제：청구이의 가부.txt</t>
  </si>
  <si>
    <t>열기2-04.민사소송법\03.판례\283. 편취판결의 집행：손해배상청구의 가부.txt</t>
  </si>
  <si>
    <t>열기2-04.민사소송법\03.판례\284. 편취판결의 집행：부당이득반환청구의 가부.txt</t>
  </si>
  <si>
    <t>열기2-04.민사소송법\03.판례\285. 편취판결에 대한 구제：등기말소청구의 가부.txt</t>
  </si>
  <si>
    <t>열기2-04.민사소송법\03.판례\286. 현재 이행의 소와 장래 이행의 소의 병합.txt</t>
  </si>
  <si>
    <t>열기2-04.민사소송법\03.판례\287. 양립할 수 없는 청구와 선택적 병합.txt</t>
  </si>
  <si>
    <t>열기2-04.민사소송법\03.판례\288. 병합청구의 형태에 관한 판단 기준.txt</t>
  </si>
  <si>
    <t>열기2-04.민사소송법\03.판례\289. 선택적 병합과 일부 판결.txt</t>
  </si>
  <si>
    <t>열기2-04.민사소송법\03.판례\290. 선택적 병합과 항소심 판결.txt</t>
  </si>
  <si>
    <t>열기2-04.민사소송법\03.판례\291. 항소심에서의 선택적 병합.txt</t>
  </si>
  <si>
    <t>열기2-04.민사소송법\03.판례\292. 청구병합의 형태와 청구원인 변경.txt</t>
  </si>
  <si>
    <t>열기2-04.민사소송법\03.판례\293. 단순병합과 항소심의 심판범위.txt</t>
  </si>
  <si>
    <t>열기2-04.민사소송법\03.판례\294. 단순병합과 일부 판결.txt</t>
  </si>
  <si>
    <t>열기2-04.민사소송법\03.판례\295. 양립할 수 있는 청구의 병합.txt</t>
  </si>
  <si>
    <t>열기2-04.민사소송법\03.판례\296. 예비적 병합과 인낙.txt</t>
  </si>
  <si>
    <t>열기2-04.민사소송법\03.판례\297. 예비적 병합과 상소.txt</t>
  </si>
  <si>
    <t>열기2-04.민사소송법\03.판례\298. 항소심에서 청구취지의 확장.txt</t>
  </si>
  <si>
    <t>열기2-04.민사소송법\03.판례\299. 항소심에서의 교환적 변경과 항소 취하.txt</t>
  </si>
  <si>
    <t>열기2-04.민사소송법\03.판례\300. 교환적 변경의 법적 성질.txt</t>
  </si>
  <si>
    <t>열기2-04.민사소송법\03.판례\301. 제3자 반소.txt</t>
  </si>
  <si>
    <t>열기2-04.민사소송법\03.판례\302. 예비적 반소.txt</t>
  </si>
  <si>
    <t>열기2-04.민사소송법\03.판례\303. 점유권에 기한 본소와 본권에 기한 예비적 반소.txt</t>
  </si>
  <si>
    <t>열기2-04.민사소송법\03.판례\304. 사해행위 취소의 반소 판결을 이유로 본소 청구를 기각할 수 있는지 여부.txt</t>
  </si>
  <si>
    <t>열기2-04.민사소송법\03.판례\305. 공동소송인 독립의 원칙.txt</t>
  </si>
  <si>
    <t>열기2-04.민사소송법\03.판례\306. 통상공동소송과 주장공통의 원칙.txt</t>
  </si>
  <si>
    <t>열기2-04.민사소송법\03.판례\307. 고유필수적 공동소송과 공동소송인 독립의 원칙.txt</t>
  </si>
  <si>
    <t>열기2-04.민사소송법\03.판례\308. 수인의 매매예약완결권 행사와 소의 형태.txt</t>
  </si>
  <si>
    <t>열기2-04.민사소송법\03.판례\309. 동업체와 소의 형태.txt</t>
  </si>
  <si>
    <t>열기2-04.민사소송법\03.판례\310. 공동명의 예금반환청구의 소의 형태.txt</t>
  </si>
  <si>
    <t>열기2-04.민사소송법\03.판례\311. 총유재산 관련 소의 형태.txt</t>
  </si>
  <si>
    <t>열기2-04.민사소송법\03.판례\312. 공유관계와 공동소송.txt</t>
  </si>
  <si>
    <t>열기2-04.민사소송법\03.판례\313. 편면적 대세효 있는 회사관계소송과 공동소송.txt</t>
  </si>
  <si>
    <t>열기2-04.민사소송법\03.판례\314. 공유물분할청구의 소의 형태.txt</t>
  </si>
  <si>
    <t>열기2-04.민사소송법\03.판례\315. 공동상속인들 사이의 상속재산확인의 소의 형태.txt</t>
  </si>
  <si>
    <t>열기2-04.민사소송법\03.판례\316. 수인의 채권자대위소송과 공동소송.txt</t>
  </si>
  <si>
    <t>열기2-04.민사소송법\03.판례\317. 예비적・선택적 공동소송：법률상 양립 불가능.txt</t>
  </si>
  <si>
    <t>열기2-04.민사소송법\03.판례\318. 예비적・선택적 공동소송：소송법상 양립불가능.txt</t>
  </si>
  <si>
    <t>열기2-04.민사소송법\03.판례\319. 예비적・선택적 공동소송：부진정연대채무자를 공동피고로 한 소송의 형태.txt</t>
  </si>
  <si>
    <t>열기2-04.민사소송법\03.판례\320. 예비적・선택적 공동소송：일부․추가 판결과 상소심의 심판대상.txt</t>
  </si>
  <si>
    <t>열기2-04.민사소송법\03.판례\321. 예비적・선택적 공동소송：주관적・예비적 병합과 객관적・예비적 병합의 결합.txt</t>
  </si>
  <si>
    <t>열기2-04.민사소송법\03.판례\322. 예비적・선택적 공동소송：민사소송법 제70조 제1항 단서의 적용 한계.txt</t>
  </si>
  <si>
    <t>열기2-04.민사소송법\03.판례\323. 선정당사자의 선정 요건.txt</t>
  </si>
  <si>
    <t>열기2-04.민사소송법\03.판례\324. 보조참가：법률상 이해관계.txt</t>
  </si>
  <si>
    <t>열기2-04.민사소송법\03.판례\325. 보조참가：보조참가인의 지위.txt</t>
  </si>
  <si>
    <t>열기2-04.민사소송법\03.판례\326. 보조참가：예비적 보조참가.txt</t>
  </si>
  <si>
    <t>열기2-04.민사소송법\03.판례\327. 보조참가：피참가인의 소송행위에 어긋나는 참가인의 소송행위.txt</t>
  </si>
  <si>
    <t>열기2-04.민사소송법\03.판례\328. 보조참가：참가적 효력.txt</t>
  </si>
  <si>
    <t>열기2-04.민사소송법\03.판례\329. 소송고지의 효력.txt</t>
  </si>
  <si>
    <t>열기2-04.민사소송법\03.판례\330. 공동소송적 보조참가인의 소송상 지위.txt</t>
  </si>
  <si>
    <t>열기2-04.민사소송법\03.판례\331. 독립당사자참가：참가요건(1).txt</t>
  </si>
  <si>
    <t>열기2-04.민사소송법\03.판례\332. 독립당사자참가：참가요건(2).txt</t>
  </si>
  <si>
    <t>열기2-04.민사소송법\03.판례\333. 독립당사자참가：사해방지 참가.txt</t>
  </si>
  <si>
    <t>열기2-04.민사소송법\03.판례\334. 독립당사자참가：본소 취하.txt</t>
  </si>
  <si>
    <t>열기2-04.민사소송법\03.판례\335. 독립당사자참가：필수적 공동소송 규정의 준용.txt</t>
  </si>
  <si>
    <t>열기2-04.민사소송법\03.판례\336. 독립당사자참가：원・피고 사이의 재판상 화해.txt</t>
  </si>
  <si>
    <t>열기2-04.민사소송법\03.판례\337. 독립당사자참가：변론분리와 일부판결.txt</t>
  </si>
  <si>
    <t>열기2-04.민사소송법\03.판례\338. 독립당사자참가：이심의 효력과 항소심의 심판범위.txt</t>
  </si>
  <si>
    <t>열기2-04.민사소송법\03.판례\339. 독립당사자참가：참가인의 항소와 항소심의 재판.txt</t>
  </si>
  <si>
    <t>열기2-04.민사소송법\03.판례\340. 독립당사자참가：불이익변경금지의 원칙.txt</t>
  </si>
  <si>
    <t>열기2-04.민사소송법\03.판례\341. 공동소송참가：회사의 주주대표소송 참가.txt</t>
  </si>
  <si>
    <t>열기2-04.민사소송법\03.판례\342. 공동소송참가：다른 채권자의 채권자대위소송 참가.txt</t>
  </si>
  <si>
    <t>열기2-04.민사소송법\03.판례\343. 추가적 당사자변경.txt</t>
  </si>
  <si>
    <t>열기2-04.민사소송법\03.판례\344. 참가승계：승계적격.txt</t>
  </si>
  <si>
    <t>열기2-04.민사소송법\03.판례\345. 참가승계：부적법한 참가신청과 소송탈퇴.txt</t>
  </si>
  <si>
    <t>열기2-04.민사소송법\03.판례\346. 참가승계：소송탈퇴하지 않은 기존 당사자의 지위.txt</t>
  </si>
  <si>
    <t>열기2-04.민사소송법\03.판례\347. 인수승계.txt</t>
  </si>
  <si>
    <t>열기2-04.민사소송법\03.판례\348. 항소권 포기와 제1심판결 확정 시기.txt</t>
  </si>
  <si>
    <t>열기2-04.민사소송법\03.판례\349. 불항소합의의 효력과 항소권 포기약정 해제의 효력.txt</t>
  </si>
  <si>
    <t>열기2-04.민사소송법\03.판례\350. 불상소합의의 방식과 해석.txt</t>
  </si>
  <si>
    <t>열기2-04.민사소송법\03.판례\351. 상소이익의 판단기준：형식적 불복설 - 묵시적 일부청구의 전부 승소와 항소의 이익.txt</t>
  </si>
  <si>
    <t>열기2-04.민사소송법\03.판례\352. 불법행위로 인한 손해배상청구와 항소심에서의 청구취지 확장.txt</t>
  </si>
  <si>
    <t>열기2-04.민사소송법\03.판례\353. 상계항변에 대한 판단과 상소의 이익.txt</t>
  </si>
  <si>
    <t>열기2-04.민사소송법\03.판례\354. 판결이유와 상소의 이익.txt</t>
  </si>
  <si>
    <t>열기2-04.민사소송법\03.판례\355. 항소나 부대항소를 하지 않은 피고의 제1심판결의 원고 승소 부분에 관한 상고 제기.txt</t>
  </si>
  <si>
    <t>열기2-04.민사소송법\03.판례\356. 제1심판결에 대한 일부 불복과 항소심심판의 대상, 제1심판결 중 불복하지 아니한 부분의 확정 시기.txt</t>
  </si>
  <si>
    <t>열기2-04.민사소송법\03.판례\357. 항소심의 구조：속심제.txt</t>
  </si>
  <si>
    <t>열기2-04.민사소송법\03.판례\358. 항소기간 경과 후 항소취하와 제1심판결의 확정 시기.txt</t>
  </si>
  <si>
    <t>열기2-04.민사소송법\03.판례\359. 일부청구에 대한 불복신청 철회의 효과.txt</t>
  </si>
  <si>
    <t>열기2-04.민사소송법\03.판례\360. 부대항소의 방식.txt</t>
  </si>
  <si>
    <t>열기2-04.민사소송법\03.판례\361. 부대항소와 환송 후 항소취하.txt</t>
  </si>
  <si>
    <t>열기2-04.민사소송법\03.판례\362. 항소심 이심의 범위와 심판의 대상.txt</t>
  </si>
  <si>
    <t>열기2-04.민사소송법\03.판례\363. 이익변경금지의 원칙.txt</t>
  </si>
  <si>
    <t>열기2-04.민사소송법\03.판례\364. 불이익변경금지의 원칙.txt</t>
  </si>
  <si>
    <t>열기2-04.민사소송법\03.판례\365. 동시이행 판결과 불이익변경금지의 원칙.txt</t>
  </si>
  <si>
    <t>열기2-04.민사소송법\03.판례\366. 부대항소와 불이익변경금지의 원칙.txt</t>
  </si>
  <si>
    <t>열기2-04.민사소송법\03.판례\367. 소 각하한 항소심판결과 불이익변경금지의 원칙.txt</t>
  </si>
  <si>
    <t>열기2-04.민사소송법\03.판례\368. 불이익변경금지의 원칙과 직권조사사항.txt</t>
  </si>
  <si>
    <t>열기2-04.민사소송법\03.판례\369. 항소심 법원의 필수적 환송.txt</t>
  </si>
  <si>
    <t>열기2-04.민사소송법\03.판례\370. 법률심으로서 상고심에서의 주장과 증명 범위.txt</t>
  </si>
  <si>
    <t>열기2-04.민사소송법\03.판례\371. 일반적 상고이유로서 사실문제와 법률문제의 구별.txt</t>
  </si>
  <si>
    <t>열기2-04.민사소송법\03.판례\372. 절대적 상고이유 중 이유기재의 누락.txt</t>
  </si>
  <si>
    <t>열기2-04.민사소송법\03.판례\373. 재심사유와 상고이유의 관계.txt</t>
  </si>
  <si>
    <t>열기2-04.민사소송법\03.판례\374. 상고이유서 제출기간 도과와 재심사유 여부.txt</t>
  </si>
  <si>
    <t>열기2-04.민사소송법\03.판례\375. 상고심의 심리범위.txt</t>
  </si>
  <si>
    <t>열기2-04.민사소송법\03.판례\376. 환송 후 소송절차.txt</t>
  </si>
  <si>
    <t>열기2-04.민사소송법\03.판례\377. 환송판결의 기속력：적용대상.txt</t>
  </si>
  <si>
    <t>열기2-04.민사소송법\03.판례\378. 환송판결의 기속력：적용범위.txt</t>
  </si>
  <si>
    <t>열기2-04.민사소송법\03.판례\379. 환송판결의 기속력：상고법원이 파기이유로 한 법률상 판단.txt</t>
  </si>
  <si>
    <t>열기2-04.민사소송법\03.판례\380. 재항고의 의미.txt</t>
  </si>
  <si>
    <t>열기2-04.민사소송법\03.판례\381. 즉시항고와 재항고의 관계.txt</t>
  </si>
  <si>
    <t>열기2-04.민사소송법\03.판례\382. 재항고장의 원심법원 제출주의.txt</t>
  </si>
  <si>
    <t>열기2-04.민사소송법\03.판례\383. 특별항고사유.txt</t>
  </si>
  <si>
    <t>열기2-04.민사소송법\03.판례\384. 특별항고에서 ‘재도(再度)의 고안(考案)’.txt</t>
  </si>
  <si>
    <t>열기2-04.민사소송법\03.판례\385. 재심당사자.txt</t>
  </si>
  <si>
    <t>열기2-04.민사소송법\03.판례\386. 재심의 대상 적격：확정된 재심판결.txt</t>
  </si>
  <si>
    <t>열기2-04.민사소송법\03.판례\387. 재심의 대상 적격：대법원의 환송판결.txt</t>
  </si>
  <si>
    <t>열기2-04.민사소송법\03.판례\388. 재심기간.txt</t>
  </si>
  <si>
    <t>열기2-04.민사소송법\03.판례\389. 재심의 소의 보충성.txt</t>
  </si>
  <si>
    <t>열기2-04.민사소송법\03.판례\390. 재심사유：적법 요건.txt</t>
  </si>
  <si>
    <t>열기2-04.민사소송법\03.판례\391. 재심사유：참칭대표자.txt</t>
  </si>
  <si>
    <t>열기2-04.민사소송법\03.판례\392. 재심사유：형사상 처벌받을 타인의 행위로 인한 상소 취하.txt</t>
  </si>
  <si>
    <t>열기2-04.민사소송법\03.판례\393. 재심사유：판결법원 구성의 위법.txt</t>
  </si>
  <si>
    <t>열기2-04.민사소송법\03.판례\394. 재심절차.txt</t>
  </si>
  <si>
    <t>열기2-04.민사소송법\03.판례\395. 재심의 소에서 신청구의 병합.txt</t>
  </si>
  <si>
    <t>열기2-04.민사소송법\03.판례\396. 준재심：조정을 갈음하는 결정조서.txt</t>
  </si>
  <si>
    <t>열기2-04.민사소송법\03.판례\397. 준재심：제소전 화해조서.txt</t>
  </si>
  <si>
    <t>001. 소송상태의 부당형성</t>
  </si>
  <si>
    <t>002. 부제소 특약 위반과 금반언의 원칙</t>
  </si>
  <si>
    <t>003. 소송행위와 금반언의 원칙</t>
  </si>
  <si>
    <t>004. 소권의 실효(1)</t>
  </si>
  <si>
    <t>005. 소권의 실효(2)</t>
  </si>
  <si>
    <t>006. 소권의 남용(1)</t>
  </si>
  <si>
    <t>007. 소권의 남용(2)</t>
  </si>
  <si>
    <t>008. 강제집행절차와 신의칙</t>
  </si>
  <si>
    <t>009. 신의칙 위반과 직권판단</t>
  </si>
  <si>
    <t>010. 외국국가의 사법적(私法的) 행위에 대한 우리나라 법원의 재판권 유무</t>
  </si>
  <si>
    <t>011. 국제재판관할 유무의 판단 기준：대한민국과의 실질적 관련성</t>
  </si>
  <si>
    <t>012. 국제재판관할권：긴급 또는 보충관할</t>
  </si>
  <si>
    <t>013. 법관의 제척사유：당사자와 공동권리자・공동의무자의 관계에 있는 자</t>
  </si>
  <si>
    <t>014. 법관의 제척사유：전심재판 관여의 의미</t>
  </si>
  <si>
    <t>015. 법관의 제척사유：전심재판 관여의 취지 및 대상</t>
  </si>
  <si>
    <t>016. 법관의 기피：‘법관에게 공정한 재판을 기대하기 어려운 사정이 있는 때’의 의미</t>
  </si>
  <si>
    <t>017. 법관의 기피：기피신청에 불구하고 판결을 선고한 경우의 효과</t>
  </si>
  <si>
    <t>018. 제척・기피신청 중 소송절차를 정지하지 아니한 흠결</t>
  </si>
  <si>
    <t>019. 소송목적의 값(소가)의 산정：중복청구의 흡수</t>
  </si>
  <si>
    <t>020. 특별재판적：사해행위취소의 소에 있어서 의무이행지의 의미</t>
  </si>
  <si>
    <t>021. 합의관할：“당사자 일방이 지정하는 법원”을 관할법원으로 하는 합의의 유효성</t>
  </si>
  <si>
    <t>022. 관할합의의 주관적 범위(1)：물권의 승계인</t>
  </si>
  <si>
    <t>023. 관할합의의 주관적 범위(2)：채권의 승계인</t>
  </si>
  <si>
    <t>024. 변론관할：자백간주에 의한 경우</t>
  </si>
  <si>
    <t>025. 관할위반과 당사자의 이송신청권</t>
  </si>
  <si>
    <t>026. 반소제기에 의한 이송</t>
  </si>
  <si>
    <t>027. 이송결정의 기속력</t>
  </si>
  <si>
    <t>028. 당사자확정방법과 표시정정의 한계</t>
  </si>
  <si>
    <t>029. 당사자가 제소 전 사망한 경우 당사자 확정방법과 표시정정</t>
  </si>
  <si>
    <t>030. 당사자가 제소 전에 사망한 것을 알고 한 제소의 경우</t>
  </si>
  <si>
    <t>031. 성명모용소송</t>
  </si>
  <si>
    <t>032. 법인의 하부 조직이 당사자능력을 가지는 경우</t>
  </si>
  <si>
    <t>033. 비법인사단의 당사자능력</t>
  </si>
  <si>
    <t>034. 소유권이전등기말소청구소송의 당사자적격</t>
  </si>
  <si>
    <t>035. 추심명령을 받은 채무자의 당사자적격</t>
  </si>
  <si>
    <t>036. 단체 대표자 지위를 다투는 소송의 피고적격</t>
  </si>
  <si>
    <t>037. 회사관계소송의 당사자적격</t>
  </si>
  <si>
    <t>038. 당사자적격：채권자대위소송에서 피보전권리의 존부</t>
  </si>
  <si>
    <t>039. 당사자적격：임의적 소송담당의 허용 여부(1)</t>
  </si>
  <si>
    <t>040. 당사자적격：임의적 소송담당의 허용 여부(2)</t>
  </si>
  <si>
    <t>041. 소송무능력자의 소송행위의 효력</t>
  </si>
  <si>
    <t>042. 소송무능력자의 소송행위의 추인방법</t>
  </si>
  <si>
    <t>043. 소송상 특별대리인의 권한범위</t>
  </si>
  <si>
    <t>044. 법인 아닌 사단의 총유물에 관한 소송의 당사자적격</t>
  </si>
  <si>
    <t>045. 법정대리권(대표권)의 소멸통지</t>
  </si>
  <si>
    <t>046. 변호사의 소송대리권의 범위와 위임계약상의 의무</t>
  </si>
  <si>
    <t>047. 소송대리인의 특별수권의 내용과 대리권 종료 시기</t>
  </si>
  <si>
    <t>048. 심급대리의 원칙(1)</t>
  </si>
  <si>
    <t>049. 심급대리의 원칙(2)</t>
  </si>
  <si>
    <t>050. 당사자의 사망과 소송대리권의 소멸 여부</t>
  </si>
  <si>
    <t>051. 무권대리인의 소송행위 추인 방법</t>
  </si>
  <si>
    <t>052. 무권대리인의 소송행위 추인 거절 후 추인의 가부</t>
  </si>
  <si>
    <t>053. 소송상 표현대리의 가부</t>
  </si>
  <si>
    <t>054. 소송대리권의 존부에 대한 자백간주</t>
  </si>
  <si>
    <t>055. 쌍방대리의 금지：주관적 내지 객관적 범위</t>
  </si>
  <si>
    <t>056. 쌍방대리의 금지：위반행위의 효력</t>
  </si>
  <si>
    <t>057. 형성의 소 법정주의 원칙</t>
  </si>
  <si>
    <t>058. 형성의 소 법정주의 원칙의 예외</t>
  </si>
  <si>
    <t>059. 주주총회결의 부존재확인판결의 본질</t>
  </si>
  <si>
    <t>060. 소송요건의 판단 시기의 예외(1)</t>
  </si>
  <si>
    <t>061. 소송요건의 판단 시기의 예외(2)</t>
  </si>
  <si>
    <t>062. 소송요건인 확정판결의 존부에 대한 심사</t>
  </si>
  <si>
    <t>063. 시효중단을 위한 재소의 소의 이익</t>
  </si>
  <si>
    <t>064. 허가조건부 소유권이전등기청구의 소의 이익</t>
  </si>
  <si>
    <t>065. 의사의 진술이 법적 효과가 없는 경우의 소의 이익</t>
  </si>
  <si>
    <t>066. 부제소합의와 권리보호이익</t>
  </si>
  <si>
    <t>067. 장래이행청구에서 ‘미리 청구할 필요’의 인정</t>
  </si>
  <si>
    <t>068. 선이행 조건의 장래이행청구</t>
  </si>
  <si>
    <t>069. 확인의 소의 대상：구체적 권리 또는 법률관계</t>
  </si>
  <si>
    <t>070. 확인의 소：과거의 법률관계</t>
  </si>
  <si>
    <t>071. 새로운 방식의 확인청구</t>
  </si>
  <si>
    <t>072. 제3자 확인의소</t>
  </si>
  <si>
    <t>073. 국가를 상대로 한 토지소유권확인의 소의 이익</t>
  </si>
  <si>
    <t>074. 증서진부확인청구의 허용 여부</t>
  </si>
  <si>
    <t>075. 참칭채권자에 대한 채권확인청구의 소의 이익</t>
  </si>
  <si>
    <t>076. 확인청구의 보충성</t>
  </si>
  <si>
    <t>077. 확인의 소 계속 중 이행을 구하는 반소청구와 확인의 이익</t>
  </si>
  <si>
    <t>078. 대상인 법률관계가 종료한 형성소송의 권리보호이익</t>
  </si>
  <si>
    <t>079. 형식적 형성의 소의 권리보호이익</t>
  </si>
  <si>
    <t>080. 불법행위로 인한 손해배상청구와 채무불이행으로 인한 손해배상청구의 소송물 동일성 여부</t>
  </si>
  <si>
    <t>081. 신체상해와 소송물</t>
  </si>
  <si>
    <t>082. 손해배상 판결 후 발생한 후유증에 기한 추가적인 손해배상청구의 소송물</t>
  </si>
  <si>
    <t>083. 동일 건물에 대한 소유권과 점유권에 기한 반환청구의 소송물</t>
  </si>
  <si>
    <t>084. 등기원인을 달리하는 소유권이전등기청구소송의 소송물</t>
  </si>
  <si>
    <t>085. 가등기에 기한 본등기청구에서 가등기의 피담보채권을 달리하는 경우의 소송물</t>
  </si>
  <si>
    <t>086. 소유권이전등기의 말소등기청구소송의 소송물</t>
  </si>
  <si>
    <t>087. 근저당권설정등기의 말소등기청구소송의 소송물</t>
  </si>
  <si>
    <t>088. 소유권이전등기의 말소등기청구소송과 진정명의회복을 위한 소유권이전등기청구소송의 소송물</t>
  </si>
  <si>
    <t>089. 이혼소송의 소송물</t>
  </si>
  <si>
    <t>090. 사해행위취소소송에서 피보전채권과 소송물</t>
  </si>
  <si>
    <t>091. 사해행위취소소송에서 사해행위에 대한 법률적 평가와 소송물</t>
  </si>
  <si>
    <t>092. 재심소송의 소송물</t>
  </si>
  <si>
    <t>093. 채권자대위소송과 중복제소(1)</t>
  </si>
  <si>
    <t>094. 채권자대위소송과 중복제소(2)</t>
  </si>
  <si>
    <t>095. 추심의 소와 중복제소</t>
  </si>
  <si>
    <t>096. 채권자취소소송과 중복제소</t>
  </si>
  <si>
    <t>097. 상계항변과 중복제소</t>
  </si>
  <si>
    <t>098. 일부청구와 중복제소</t>
  </si>
  <si>
    <t>099. 중복제소의 판단 기준：청구취지와 청구원인</t>
  </si>
  <si>
    <t>100. 중복제소의 판단 기준 시점</t>
  </si>
  <si>
    <t>101. 지급명령의 신청과 시효중단</t>
  </si>
  <si>
    <t>102. 일부청구와 시효중단</t>
  </si>
  <si>
    <t>103. 추심의 소와 시효중단</t>
  </si>
  <si>
    <t>104. 응소와 시효중단</t>
  </si>
  <si>
    <t>105. 직접심리주의와 법관의 경질로 인한 증인의 재신문</t>
  </si>
  <si>
    <t>106. 법원의 심판 대상과 범위(1)</t>
  </si>
  <si>
    <t>107. 법원의 심판 대상과 범위(2)</t>
  </si>
  <si>
    <t>108. 법원의 심판 대상과 범위(3)</t>
  </si>
  <si>
    <t>109. 처분권주의 위반：질적으로 다른 재판</t>
  </si>
  <si>
    <t>110. 처분권주의：형식적 형성의 소</t>
  </si>
  <si>
    <t>111. 처분권주의 위반：양적 상한 초과</t>
  </si>
  <si>
    <t>112. 일부청구와 과실상계</t>
  </si>
  <si>
    <t>113. 가분채무의 부존재확인청구와 처분권주의</t>
  </si>
  <si>
    <t>114. 단순이행청구에 대한 상환이행판결</t>
  </si>
  <si>
    <t>115. 등기말소청구에 대한 선이행판결</t>
  </si>
  <si>
    <t>116. 사해행위취소소송에서 청구취지의 해석</t>
  </si>
  <si>
    <t>117. 주요사실과 간접사실</t>
  </si>
  <si>
    <t>118. 주요사실의 묵시적 주장</t>
  </si>
  <si>
    <t>119. 주요사실에 대한 간접적 주장</t>
  </si>
  <si>
    <t>120. 소멸시효 항변과 시효기간의 주장</t>
  </si>
  <si>
    <t>121. 소멸시효기간의 기산일과 변론주의의 적용</t>
  </si>
  <si>
    <t>122. 대리권 주장과 변론주의</t>
  </si>
  <si>
    <t>123. 건물매수청구권 행사와 적극적 석명</t>
  </si>
  <si>
    <t>124. 손해액의 석명</t>
  </si>
  <si>
    <t>125. 석명의무：청구취지의 석명</t>
  </si>
  <si>
    <t>126. 과실상계의 직권참작</t>
  </si>
  <si>
    <t>127. 변론주의와 직권조사사항</t>
  </si>
  <si>
    <t>128. 실기한 공격방어방법의 각하：판단 기준</t>
  </si>
  <si>
    <t>129. 실기한 공격방어방법의 각하：유치권 항변</t>
  </si>
  <si>
    <t>130. 실기한 공격방어방법의 각하：유일한 증거</t>
  </si>
  <si>
    <t>131. 실기한 공격방어방법의 각하：상계항변</t>
  </si>
  <si>
    <t>132. 소송절차에 관한 이의권</t>
  </si>
  <si>
    <t>133. 준비서면제출의 효과</t>
  </si>
  <si>
    <t>134. 변론준비기일과 변론기일</t>
  </si>
  <si>
    <t>135. 주장과 항변</t>
  </si>
  <si>
    <t>136. 소송상 형성권의 행사와 사법상 효과</t>
  </si>
  <si>
    <t>137. 소송상 상계항변의 법적 성질</t>
  </si>
  <si>
    <t>138. 상계항변과 사법상 효과</t>
  </si>
  <si>
    <t>139. 조건부 소취하 합의와 소의 이익</t>
  </si>
  <si>
    <t>140. 상소취하 합의의 법적 성질</t>
  </si>
  <si>
    <t>141. 소송행위의 흠과 민법규정의 유추적용 여부</t>
  </si>
  <si>
    <t>142. 흠 있는 소송행위와 흠의 제거</t>
  </si>
  <si>
    <t>143. 소송행위에 재심사유에 해당하는 의사표시의 흠이 있는 경우 구제방법</t>
  </si>
  <si>
    <t>144. 변론조서의 증명력</t>
  </si>
  <si>
    <t>145. 변론재개신청과 변론재개의무</t>
  </si>
  <si>
    <t>146. 한쪽 당사자의 불출석과 진술간주</t>
  </si>
  <si>
    <t>147. 진술간주와 재판상 자백</t>
  </si>
  <si>
    <t>148. 민사소송법 제268조 제2항 소정의 1월의 기일지정신청기간과 불변기간</t>
  </si>
  <si>
    <t>149. 쌍방불출석과 소취하간주</t>
  </si>
  <si>
    <t>150. 소송행위의 추후보완 사유(1)</t>
  </si>
  <si>
    <t>151. 소송행위의 추후보완 사유(2)</t>
  </si>
  <si>
    <t>152. 소송행위의 추후보완을 할 수 있는 ‘당사자’의 범위</t>
  </si>
  <si>
    <t>153. 판결정본 송달의 무효와 항소행위 추완</t>
  </si>
  <si>
    <t>154. 보충송달：송달장소</t>
  </si>
  <si>
    <t>155. 보충송달：송달수령대행인</t>
  </si>
  <si>
    <t>156. 송달받을 사람：법인에 대한 송달</t>
  </si>
  <si>
    <t>157. 송달받을 사람：수감자에 대한 송달</t>
  </si>
  <si>
    <t>158. 수감자 주소 등에 대한 공시송달</t>
  </si>
  <si>
    <t>159. 요건불비의 공시송달의 효력</t>
  </si>
  <si>
    <t>160. 당사자의 사망과 상속인의 수계</t>
  </si>
  <si>
    <t>161. 소송대리인이 있는 당사자의 사망과 판결의 효력</t>
  </si>
  <si>
    <t>162. 당사자 사망 후 소송대리인이 잘못된 당사자 표시대로 한 상소의 효력</t>
  </si>
  <si>
    <t>163. 당사자의 사망을 간과한 판결의 효력</t>
  </si>
  <si>
    <t>164. 소송수계신청에 대한 재판</t>
  </si>
  <si>
    <t>165. 위법수집증거의 증거능력</t>
  </si>
  <si>
    <t>166. 경험법칙</t>
  </si>
  <si>
    <t>167. 외국법규 흠결 등의 경우 적용법규</t>
  </si>
  <si>
    <t>168. 권리자백：법정변제충당 순서</t>
  </si>
  <si>
    <t>169. 권리자백：이행불능 주장</t>
  </si>
  <si>
    <t>170. 법률용어를 사용한 진술과 자백</t>
  </si>
  <si>
    <t>171. 선결적 법률관계에 관한 자백</t>
  </si>
  <si>
    <t>172. 자백과 증명책임</t>
  </si>
  <si>
    <t>173. 선행자백의 성립요건</t>
  </si>
  <si>
    <t>174. 자백의 취소(1)</t>
  </si>
  <si>
    <t>175. 자백의 취소(2)</t>
  </si>
  <si>
    <t>176. 청구의 교환적 변경과 자백</t>
  </si>
  <si>
    <t>177. 법원에 현저한 사실(1)</t>
  </si>
  <si>
    <t>178. 법원에 현저한 사실(2)</t>
  </si>
  <si>
    <t>179. 감정 결과의 증명력</t>
  </si>
  <si>
    <t>180. 서증제출방법：사본에 의한 문서제출의 효과</t>
  </si>
  <si>
    <t>181. 사문서의 형식적 증거력：작성명의인 아닌 자의 날인 사실이 인정될 경우 증명책임의 소재</t>
  </si>
  <si>
    <t>182. 사문서의 형식적 증거력：백지문서 또는 미완성 부분의 보충에 대한 증명책임의 소재</t>
  </si>
  <si>
    <t>183. 처분문서의 실질적 증거력</t>
  </si>
  <si>
    <t>184. 선서하지 않은 감정인의 감정결과</t>
  </si>
  <si>
    <t>185. 문서제출명령：문서제출의무의 범위</t>
  </si>
  <si>
    <t>186. 문서제출명령：일부 훼손된 문서제출의 효과</t>
  </si>
  <si>
    <t>187. 문서제출명령：당사자가 문서를 제출하지 아니한 때의 효과</t>
  </si>
  <si>
    <t>188. 당사자신문：당사자의 불출석 등에 대한 제재</t>
  </si>
  <si>
    <t>189. 그 밖의 증거：동영상 파일에 대한 증거조사방법</t>
  </si>
  <si>
    <t>190. 변론 전체의 취지와 독립적 증거원인 여부</t>
  </si>
  <si>
    <t>191. 자유심증의 정도：손해배상소송</t>
  </si>
  <si>
    <t>192. 증명방해</t>
  </si>
  <si>
    <t>193. 법률상 추정과 증명책임</t>
  </si>
  <si>
    <t>194. 등기의 추정력：법률상 추정</t>
  </si>
  <si>
    <t>195. 등기의 추정력：확정판결에 기한 등기의 추정력</t>
  </si>
  <si>
    <t>196. 공해소송에서 인과관계에 관한 증명책임</t>
  </si>
  <si>
    <t>197. 의료과오소송에서 증명책임(1)</t>
  </si>
  <si>
    <t>198. 의료과오소송에서 증명책임(2)</t>
  </si>
  <si>
    <t>199. 확정된 지급명령에 대한 청구이의의 소와 증명책임</t>
  </si>
  <si>
    <t>200. 소송종료선언의 사유：기일지정신청이 이유 없는 때</t>
  </si>
  <si>
    <t>201. 소송종료선언의 사유：소송계속 중 당사자가 사망하였으나 소송물인 권리관계가 상속되지 않는 경우</t>
  </si>
  <si>
    <t>202. 소취하의 법적 성질</t>
  </si>
  <si>
    <t>203. 소취하 계약의 법적 성질</t>
  </si>
  <si>
    <t>204. 소취하의 임의 철회</t>
  </si>
  <si>
    <t>205. 소취하의 절차：상대방의 동의</t>
  </si>
  <si>
    <t>206. 본소 각하 후의 반소 취하</t>
  </si>
  <si>
    <t>207. 독립당사자참가 소송에서 본소 취하</t>
  </si>
  <si>
    <t>208. 소취하의 하자：표시주의</t>
  </si>
  <si>
    <t>209. 소취하의 하자：사기・강박에 의한 소취하의 취소</t>
  </si>
  <si>
    <t>210. 재소금지의 요건：당사자의 동일</t>
  </si>
  <si>
    <t>211. 재소금지의 요건：채권자대위소송</t>
  </si>
  <si>
    <t>212. 재소금지의 요건：소송물의 동일</t>
  </si>
  <si>
    <t>213. 재소금지의 요건：선결문제</t>
  </si>
  <si>
    <t>214. 재소금지의 요건：권리보호의 이익(1)</t>
  </si>
  <si>
    <t>215. 재소금지의 요건：권리보호의 이익(2)</t>
  </si>
  <si>
    <t>216. 재소금지의 요건：중복소송</t>
  </si>
  <si>
    <t>217. 재소금지의 요건：소취하 간주</t>
  </si>
  <si>
    <t>218. 재소금지의 요건：항소심에서 소의 교환적 변경</t>
  </si>
  <si>
    <t>219. 청구의 인낙：법적 성질</t>
  </si>
  <si>
    <t>220. 청구의 포기・인낙：주주총회 결의의 하자를 다투는 소</t>
  </si>
  <si>
    <t>221. 재판상의 화해：법적 성질</t>
  </si>
  <si>
    <t>222. 소송상 화해의 요건：처분할 수 있는 권리관계</t>
  </si>
  <si>
    <t>223. 소송상 화해의 요건：내용상의 적법성</t>
  </si>
  <si>
    <t>224. 실효조건부 화해</t>
  </si>
  <si>
    <t>225. 화해조서의 효력：기판력</t>
  </si>
  <si>
    <t>226. 화해권고결정의 효력：기판력</t>
  </si>
  <si>
    <t>227. 화해조서의 효력：형성력</t>
  </si>
  <si>
    <t>228. 화해조서의 효력：창설적 효력</t>
  </si>
  <si>
    <t>229. 화해조서의 효력：창설적 효력의 범위</t>
  </si>
  <si>
    <t>230. 화해조서의 효력：하자 주장 방법</t>
  </si>
  <si>
    <t>231. 화해조서의 효력：사기나 착오를 이유로 한 하자 주장</t>
  </si>
  <si>
    <t>232. 화해조서의 효력：선행 화해와 모순되는 화해조서의 효력</t>
  </si>
  <si>
    <t>233. 결정・명령에 대한 불복 시기</t>
  </si>
  <si>
    <t>234. 항소심 환송판결의 본질</t>
  </si>
  <si>
    <t>235. 중간판결의 효력</t>
  </si>
  <si>
    <t>236. 재판 누락：판결 주문과 이유의 불일치</t>
  </si>
  <si>
    <t>237. 재판 누락：재판의 탈루</t>
  </si>
  <si>
    <t>238. 판결의 경정：경정의 허용기준 및 명백한 잘못의 판단자료</t>
  </si>
  <si>
    <t>239. 형식적 확정력：일부불복의 경우(1)</t>
  </si>
  <si>
    <t>240. 형식적 확정력：일부불복의 경우(2)</t>
  </si>
  <si>
    <t>241. 기판력의 본질</t>
  </si>
  <si>
    <t>242. 기판력의 작용：소송물의 동일</t>
  </si>
  <si>
    <t>243. 기판력의 작용：후소의 선결관계(1)</t>
  </si>
  <si>
    <t>244. 기판력의 작용：후소의 선결관계(2)</t>
  </si>
  <si>
    <t>245. 기판력의 작용：모순관계(1)</t>
  </si>
  <si>
    <t>246. 기판력의 작용：모순관계(2)</t>
  </si>
  <si>
    <t>247. 소송판결의 기판력</t>
  </si>
  <si>
    <t>248. 기판력의 시적 범위：전소 변론종결 전 존재하던 공격방어방법의 주장</t>
  </si>
  <si>
    <t>249. 기판력의 시적 범위：표준시 후의 한정승인 또는 상속포기 주장</t>
  </si>
  <si>
    <t>250. 기판력의 시적 범위：표준시 전의 권리관계</t>
  </si>
  <si>
    <t>252. 기판력의 시적 범위：표준시 후에 발생한 사정변경(2)</t>
  </si>
  <si>
    <t>253. 기판력의 시적 범위：표준시 후의 상계권 행사</t>
  </si>
  <si>
    <t>254. 정기금판결에 대한 변경의 소：현저한 사정변경</t>
  </si>
  <si>
    <t>255. 정기금판결에 대한 변경의 소：원고 적격</t>
  </si>
  <si>
    <t>256. 기판력의 객관적 범위：원칙</t>
  </si>
  <si>
    <t>257. 기판력의 객관적 범위：청구취지가 다른 경우</t>
  </si>
  <si>
    <t>258. 기판력의 객관적 범위：청구원인을 이루는 실체법상의 권리가 다른 경우</t>
  </si>
  <si>
    <t>259. 기판력의 객관적 범위：일부청구</t>
  </si>
  <si>
    <t>260. 기판력의 객관적 범위：상계항변</t>
  </si>
  <si>
    <t>261. 상계항변의 배척과 기판력</t>
  </si>
  <si>
    <t>262. 동시이행항변과 기판력</t>
  </si>
  <si>
    <t>263. 기판력의 주관적 범위：비법인 사단</t>
  </si>
  <si>
    <t>264. 기판력의 주관적 범위：법인격 남용</t>
  </si>
  <si>
    <t>265. 기판력의 주관적 범위：채권양수인의 변론종결 후 승계인 여부 판단의 기준 시기</t>
  </si>
  <si>
    <t>266. 기판력의 주관적 범위：승계집행문</t>
  </si>
  <si>
    <t>267. 기판력의 주관적 범위：물권적 청구권과 채권적 청구권의 승계인</t>
  </si>
  <si>
    <t>268. 기판력의 주관적 범위：부동산인도청구 패소 후 소유권을 취득한 제3자</t>
  </si>
  <si>
    <t>269. 기판력의 주관적 범위：추정승계인</t>
  </si>
  <si>
    <t>270. 기판력의 주관적 범위：청구의 목적물 소지자</t>
  </si>
  <si>
    <t>271. 기판력의 주관적 범위：제3자에 대한 확장</t>
  </si>
  <si>
    <t>272. 채권자대위소송의 확정판결과 채무자</t>
  </si>
  <si>
    <t>273. 채권자대위소송의 소각하 확정판결과 피보전채권</t>
  </si>
  <si>
    <t>274. 제3채무자를 상대로 한 채무자의 전소 확정판결의 효력이 채권자대위소송에 미치는 영향</t>
  </si>
  <si>
    <t>275. 채권자대위소송의 확정판결이 다른 채권자의 채권자대위소송에 미치는 영향</t>
  </si>
  <si>
    <t>276. 확정판결의 증명효：관련 민사사건에서 인정된 사실</t>
  </si>
  <si>
    <t>277. 기판력과 집행력의 범위</t>
  </si>
  <si>
    <t>278. 채권자대위소송에서 확정판결의 기판력과 집행력의 범위</t>
  </si>
  <si>
    <t>279. 판결의 무효：상소의 가부</t>
  </si>
  <si>
    <t>280. 판결의 편취：허위주소로의 송달</t>
  </si>
  <si>
    <t>281. 판결의 편취：공시송달</t>
  </si>
  <si>
    <t>282. 편취판결에 대한 구제：청구이의 가부</t>
  </si>
  <si>
    <t>283. 편취판결의 집행：손해배상청구의 가부</t>
  </si>
  <si>
    <t>284. 편취판결의 집행：부당이득반환청구의 가부</t>
  </si>
  <si>
    <t>285. 편취판결에 대한 구제：등기말소청구의 가부</t>
  </si>
  <si>
    <t>286. 현재 이행의 소와 장래 이행의 소의 병합</t>
  </si>
  <si>
    <t>287. 양립할 수 없는 청구와 선택적 병합</t>
  </si>
  <si>
    <t>288. 병합청구의 형태에 관한 판단 기준</t>
  </si>
  <si>
    <t>289. 선택적 병합과 일부 판결</t>
  </si>
  <si>
    <t>290. 선택적 병합과 항소심 판결</t>
  </si>
  <si>
    <t>291. 항소심에서의 선택적 병합</t>
  </si>
  <si>
    <t>292. 청구병합의 형태와 청구원인 변경</t>
  </si>
  <si>
    <t>293. 단순병합과 항소심의 심판범위</t>
  </si>
  <si>
    <t>294. 단순병합과 일부 판결</t>
  </si>
  <si>
    <t>295. 양립할 수 있는 청구의 병합</t>
  </si>
  <si>
    <t>296. 예비적 병합과 인낙</t>
  </si>
  <si>
    <t>297. 예비적 병합과 상소</t>
  </si>
  <si>
    <t>298. 항소심에서 청구취지의 확장</t>
  </si>
  <si>
    <t>299. 항소심에서의 교환적 변경과 항소 취하</t>
  </si>
  <si>
    <t>300. 교환적 변경의 법적 성질</t>
  </si>
  <si>
    <t>301. 제3자 반소</t>
  </si>
  <si>
    <t>302. 예비적 반소</t>
  </si>
  <si>
    <t>303. 점유권에 기한 본소와 본권에 기한 예비적 반소</t>
  </si>
  <si>
    <t>304. 사해행위 취소의 반소 판결을 이유로 본소 청구를 기각할 수 있는지 여부</t>
  </si>
  <si>
    <t>305. 공동소송인 독립의 원칙</t>
  </si>
  <si>
    <t>306. 통상공동소송과 주장공통의 원칙</t>
  </si>
  <si>
    <t>307. 고유필수적 공동소송과 공동소송인 독립의 원칙</t>
  </si>
  <si>
    <t>308. 수인의 매매예약완결권 행사와 소의 형태</t>
  </si>
  <si>
    <t>309. 동업체와 소의 형태</t>
  </si>
  <si>
    <t>310. 공동명의 예금반환청구의 소의 형태</t>
  </si>
  <si>
    <t>311. 총유재산 관련 소의 형태</t>
  </si>
  <si>
    <t>312. 공유관계와 공동소송</t>
  </si>
  <si>
    <t>313. 편면적 대세효 있는 회사관계소송과 공동소송</t>
  </si>
  <si>
    <t>314. 공유물분할청구의 소의 형태</t>
  </si>
  <si>
    <t>315. 공동상속인들 사이의 상속재산확인의 소의 형태</t>
  </si>
  <si>
    <t>316. 수인의 채권자대위소송과 공동소송</t>
  </si>
  <si>
    <t>317. 예비적・선택적 공동소송：법률상 양립 불가능</t>
  </si>
  <si>
    <t>318. 예비적・선택적 공동소송：소송법상 양립불가능</t>
  </si>
  <si>
    <t>319. 예비적・선택적 공동소송：부진정연대채무자를 공동피고로 한 소송의 형태</t>
  </si>
  <si>
    <t>320. 예비적・선택적 공동소송：일부․추가 판결과 상소심의 심판대상</t>
  </si>
  <si>
    <t>321. 예비적・선택적 공동소송：주관적・예비적 병합과 객관적・예비적 병합의 결합</t>
  </si>
  <si>
    <t>322. 예비적・선택적 공동소송：민사소송법 제70조 제1항 단서의 적용 한계</t>
  </si>
  <si>
    <t>323. 선정당사자의 선정 요건</t>
  </si>
  <si>
    <t>324. 보조참가：법률상 이해관계</t>
  </si>
  <si>
    <t>325. 보조참가：보조참가인의 지위</t>
  </si>
  <si>
    <t>326. 보조참가：예비적 보조참가</t>
  </si>
  <si>
    <t>327. 보조참가：피참가인의 소송행위에 어긋나는 참가인의 소송행위</t>
  </si>
  <si>
    <t>328. 보조참가：참가적 효력</t>
  </si>
  <si>
    <t>329. 소송고지의 효력</t>
  </si>
  <si>
    <t>330. 공동소송적 보조참가인의 소송상 지위</t>
  </si>
  <si>
    <t>331. 독립당사자참가：참가요건(1)</t>
  </si>
  <si>
    <t>332. 독립당사자참가：참가요건(2)</t>
  </si>
  <si>
    <t>333. 독립당사자참가：사해방지 참가</t>
  </si>
  <si>
    <t>334. 독립당사자참가：본소 취하</t>
  </si>
  <si>
    <t>335. 독립당사자참가：필수적 공동소송 규정의 준용</t>
  </si>
  <si>
    <t>336. 독립당사자참가：원・피고 사이의 재판상 화해</t>
  </si>
  <si>
    <t>337. 독립당사자참가：변론분리와 일부판결</t>
  </si>
  <si>
    <t>338. 독립당사자참가：이심의 효력과 항소심의 심판범위</t>
  </si>
  <si>
    <t>339. 독립당사자참가：참가인의 항소와 항소심의 재판</t>
  </si>
  <si>
    <t>340. 독립당사자참가：불이익변경금지의 원칙</t>
  </si>
  <si>
    <t>341. 공동소송참가：회사의 주주대표소송 참가</t>
  </si>
  <si>
    <t>342. 공동소송참가：다른 채권자의 채권자대위소송 참가</t>
  </si>
  <si>
    <t>343. 추가적 당사자변경</t>
  </si>
  <si>
    <t>344. 참가승계：승계적격</t>
  </si>
  <si>
    <t>345. 참가승계：부적법한 참가신청과 소송탈퇴</t>
  </si>
  <si>
    <t>346. 참가승계：소송탈퇴하지 않은 기존 당사자의 지위</t>
  </si>
  <si>
    <t>347. 인수승계</t>
  </si>
  <si>
    <t>348. 항소권 포기와 제1심판결 확정 시기</t>
  </si>
  <si>
    <t>349. 불항소합의의 효력과 항소권 포기약정 해제의 효력</t>
  </si>
  <si>
    <t>350. 불상소합의의 방식과 해석</t>
  </si>
  <si>
    <t>351. 상소이익의 판단기준：형식적 불복설 - 묵시적 일부청구의 전부 승소와 항소의 이익</t>
  </si>
  <si>
    <t>352. 불법행위로 인한 손해배상청구와 항소심에서의 청구취지 확장</t>
  </si>
  <si>
    <t>353. 상계항변에 대한 판단과 상소의 이익</t>
  </si>
  <si>
    <t>354. 판결이유와 상소의 이익</t>
  </si>
  <si>
    <t>355. 항소나 부대항소를 하지 않은 피고의 제1심판결의 원고 승소 부분에 관한 상고 제기</t>
  </si>
  <si>
    <t>356. 제1심판결에 대한 일부 불복과 항소심심판의 대상, 제1심판결 중 불복하지 아니한 부분의 확정 시기</t>
  </si>
  <si>
    <t>357. 항소심의 구조：속심제</t>
  </si>
  <si>
    <t>358. 항소기간 경과 후 항소취하와 제1심판결의 확정 시기</t>
  </si>
  <si>
    <t>359. 일부청구에 대한 불복신청 철회의 효과</t>
  </si>
  <si>
    <t>360. 부대항소의 방식</t>
  </si>
  <si>
    <t>361. 부대항소와 환송 후 항소취하</t>
  </si>
  <si>
    <t>362. 항소심 이심의 범위와 심판의 대상</t>
  </si>
  <si>
    <t>363. 이익변경금지의 원칙</t>
  </si>
  <si>
    <t>364. 불이익변경금지의 원칙</t>
  </si>
  <si>
    <t>365. 동시이행 판결과 불이익변경금지의 원칙</t>
  </si>
  <si>
    <t>366. 부대항소와 불이익변경금지의 원칙</t>
  </si>
  <si>
    <t>367. 소 각하한 항소심판결과 불이익변경금지의 원칙</t>
  </si>
  <si>
    <t>368. 불이익변경금지의 원칙과 직권조사사항</t>
  </si>
  <si>
    <t>369. 항소심 법원의 필수적 환송</t>
  </si>
  <si>
    <t>370. 법률심으로서 상고심에서의 주장과 증명 범위</t>
  </si>
  <si>
    <t>371. 일반적 상고이유로서 사실문제와 법률문제의 구별</t>
  </si>
  <si>
    <t>372. 절대적 상고이유 중 이유기재의 누락</t>
  </si>
  <si>
    <t>373. 재심사유와 상고이유의 관계</t>
  </si>
  <si>
    <t>374. 상고이유서 제출기간 도과와 재심사유 여부</t>
  </si>
  <si>
    <t>375. 상고심의 심리범위</t>
  </si>
  <si>
    <t>376. 환송 후 소송절차</t>
  </si>
  <si>
    <t>377. 환송판결의 기속력：적용대상</t>
  </si>
  <si>
    <t>378. 환송판결의 기속력：적용범위</t>
  </si>
  <si>
    <t>379. 환송판결의 기속력：상고법원이 파기이유로 한 법률상 판단</t>
  </si>
  <si>
    <t>380. 재항고의 의미</t>
  </si>
  <si>
    <t>381. 즉시항고와 재항고의 관계</t>
  </si>
  <si>
    <t>382. 재항고장의 원심법원 제출주의</t>
  </si>
  <si>
    <t>383. 특별항고사유</t>
  </si>
  <si>
    <t>384. 특별항고에서 ‘재도(再度)의 고안(考案)’</t>
  </si>
  <si>
    <t>385. 재심당사자</t>
  </si>
  <si>
    <t>386. 재심의 대상 적격：확정된 재심판결</t>
  </si>
  <si>
    <t>387. 재심의 대상 적격：대법원의 환송판결</t>
  </si>
  <si>
    <t>388. 재심기간</t>
  </si>
  <si>
    <t>389. 재심의 소의 보충성</t>
  </si>
  <si>
    <t>390. 재심사유：적법 요건</t>
  </si>
  <si>
    <t>391. 재심사유：참칭대표자</t>
  </si>
  <si>
    <t>392. 재심사유：형사상 처벌받을 타인의 행위로 인한 상소 취하</t>
  </si>
  <si>
    <t>393. 재심사유：판결법원 구성의 위법</t>
  </si>
  <si>
    <t>394. 재심절차</t>
  </si>
  <si>
    <t>395. 재심의 소에서 신청구의 병합</t>
  </si>
  <si>
    <t>396. 준재심：조정을 갈음하는 결정조서</t>
  </si>
  <si>
    <t>397. 준재심：제소전 화해조서</t>
  </si>
  <si>
    <t>제6편 상소심절차</t>
    <phoneticPr fontId="3" type="noConversion"/>
  </si>
  <si>
    <t>법원이 어떤 증거를 받아들이고(증거능력), 그 증거를 얼마나 믿을 것인지(증명력)를 판단하는 것을 의미한다.</t>
    <phoneticPr fontId="3" type="noConversion"/>
  </si>
  <si>
    <t>채증(採證)</t>
    <phoneticPr fontId="3" type="noConversion"/>
  </si>
  <si>
    <t xml:space="preserve"> 권리자백</t>
    <phoneticPr fontId="3" type="noConversion"/>
  </si>
  <si>
    <t>당사자가 소송의 변론이나 준비 절차에서, 자기에게 불리한 권리관계나 법률 효과의 존부(存否)에 대한 상대편의 진술을 인정하는 것을 말한다.</t>
    <phoneticPr fontId="3" type="noConversion"/>
  </si>
  <si>
    <t>17.05-1</t>
  </si>
  <si>
    <t>확정된 화해권고결정에 대한 준재심의 소의 요건과 재심 규정의 준용 범위</t>
  </si>
  <si>
    <t>17.05-2</t>
  </si>
  <si>
    <t>확정된 지급명령에 대한 준재심 제기 가능성 및 조서의 특수성에 따른 준재심 사유</t>
  </si>
  <si>
    <t>열기2-04.민사소송법\02.문제\[예상][17.05-2]확정된 지급명령에 대한 준재심 제기 가능성 및 조서의 특수성에 따른 준재심 사유.txt</t>
  </si>
  <si>
    <t>Y</t>
  </si>
  <si>
    <t>청구병합 연결</t>
    <phoneticPr fontId="3" type="noConversion"/>
  </si>
  <si>
    <t>소의 이익 연결</t>
    <phoneticPr fontId="3" type="noConversion"/>
  </si>
  <si>
    <t>변론 연결</t>
    <phoneticPr fontId="3" type="noConversion"/>
  </si>
  <si>
    <t>재심 연결</t>
    <phoneticPr fontId="3" type="noConversion"/>
  </si>
  <si>
    <t>2026년 현재(2010~2025)</t>
    <phoneticPr fontId="3" type="noConversion"/>
  </si>
  <si>
    <t>제01편 총설</t>
  </si>
  <si>
    <t>제03절 민사소송의 이상과 신의성실의 원칙</t>
  </si>
  <si>
    <t>제02절 당사자의 자격</t>
  </si>
  <si>
    <t>제03절 관할</t>
  </si>
  <si>
    <t>제01절 당사자의 개관</t>
  </si>
  <si>
    <t>제03절 소송상의 대리인</t>
  </si>
  <si>
    <t>제03절 소의 이익</t>
  </si>
  <si>
    <t>제01절 증거의 총설</t>
  </si>
  <si>
    <t>제06절 증명책임</t>
  </si>
  <si>
    <t>제07절 기일・기간 및 송달</t>
  </si>
  <si>
    <t>제07절 소제기의 효과</t>
  </si>
  <si>
    <t>제04절 변론</t>
  </si>
  <si>
    <t>제03절 불요증사실</t>
  </si>
  <si>
    <t>제02절 심리에 관한 제 원칙</t>
  </si>
  <si>
    <t>제04절 증거조사의 개시와 실시</t>
  </si>
  <si>
    <t>제06절 변론기일에서의 당사자의 결석</t>
  </si>
  <si>
    <t>제08절 채권자대위소송에 대한 주요논점</t>
  </si>
  <si>
    <t>제03절 변론의 준비</t>
  </si>
  <si>
    <t>제05절 자유심증주의</t>
  </si>
  <si>
    <t>제02절 소송요건</t>
  </si>
  <si>
    <t>제04절 소송물</t>
  </si>
  <si>
    <t>제05절 소의 제기</t>
  </si>
  <si>
    <t>제06절 재판장의 소장심사와 그 후의 조치</t>
  </si>
  <si>
    <t>제08절 소송절차의 정지</t>
  </si>
  <si>
    <t>제02절 증명의 대상</t>
  </si>
  <si>
    <t>제01절 소의 취하와 재소금지</t>
  </si>
  <si>
    <t>제02절 판결</t>
  </si>
  <si>
    <t>제03절 재판상 화해</t>
  </si>
  <si>
    <t>제02절 청구의 포기・인낙</t>
  </si>
  <si>
    <t>제01절 청구의 원시적 병합</t>
  </si>
  <si>
    <t>제01절 공동소송</t>
  </si>
  <si>
    <t>제02절 청구의 후발적 병합</t>
  </si>
  <si>
    <t>제02절 제3자의 소송참가</t>
  </si>
  <si>
    <t>제03절 당사자의 변경</t>
  </si>
  <si>
    <t>제03절 상소의 효력</t>
  </si>
  <si>
    <t>제02절 항소의 제기</t>
  </si>
  <si>
    <t>제02절 상소의 적법요건</t>
  </si>
  <si>
    <t>제03절 항소심의 심리</t>
  </si>
  <si>
    <t>제04절 항소심의 종국재판</t>
  </si>
  <si>
    <t>제02절 상고이유</t>
  </si>
  <si>
    <t>제03절 상고심절차의 개시와 심리</t>
  </si>
  <si>
    <t>제04절 상고심의 종국재판</t>
  </si>
  <si>
    <t>제02절 항고의 절차</t>
  </si>
  <si>
    <t>제02절 재심의 소송물</t>
  </si>
  <si>
    <t>제03절 적법요건</t>
  </si>
  <si>
    <t>제04절 재심절차</t>
  </si>
  <si>
    <t>제05절 준재심</t>
  </si>
  <si>
    <t>제01장 민사소송</t>
    <phoneticPr fontId="3" type="noConversion"/>
  </si>
  <si>
    <t>제03장 법원</t>
    <phoneticPr fontId="3" type="noConversion"/>
  </si>
  <si>
    <t>제04장 당사자</t>
    <phoneticPr fontId="3" type="noConversion"/>
  </si>
  <si>
    <t>제05장 소송 개시와 심리 대상</t>
    <phoneticPr fontId="3" type="noConversion"/>
  </si>
  <si>
    <t>제06장 변론</t>
    <phoneticPr fontId="3" type="noConversion"/>
  </si>
  <si>
    <t>제07장 증거</t>
    <phoneticPr fontId="3" type="noConversion"/>
  </si>
  <si>
    <t>제09장 당사자 행위에 의한 종료</t>
    <phoneticPr fontId="3" type="noConversion"/>
  </si>
  <si>
    <t>제10장 종국판결에 의한 종료</t>
    <phoneticPr fontId="3" type="noConversion"/>
  </si>
  <si>
    <t>제11장 병합청구소송</t>
    <phoneticPr fontId="3" type="noConversion"/>
  </si>
  <si>
    <t>제12장 다수당사자소송</t>
    <phoneticPr fontId="3" type="noConversion"/>
  </si>
  <si>
    <t>제13장 총설</t>
    <phoneticPr fontId="3" type="noConversion"/>
  </si>
  <si>
    <t>제14장 항소</t>
    <phoneticPr fontId="3" type="noConversion"/>
  </si>
  <si>
    <t>민사소송의 의의와 목적</t>
    <phoneticPr fontId="3" type="noConversion"/>
  </si>
  <si>
    <t>제02절 민사소송의 의의와 목적</t>
  </si>
  <si>
    <t>제02절 민사소송의 의의와 목적</t>
    <phoneticPr fontId="3" type="noConversion"/>
  </si>
  <si>
    <t>제01절 민사소송법의 의의와 성격</t>
  </si>
  <si>
    <t>제01절 민사소송법의 의의와 성격</t>
    <phoneticPr fontId="3" type="noConversion"/>
  </si>
  <si>
    <t>제02절 민사소송법규의 종류</t>
  </si>
  <si>
    <t>제02절 민사소송법규의 종류</t>
    <phoneticPr fontId="3" type="noConversion"/>
  </si>
  <si>
    <t>제01절 민사재판권</t>
  </si>
  <si>
    <t>제01절 민사재판권</t>
    <phoneticPr fontId="3" type="noConversion"/>
  </si>
  <si>
    <t>제01절 소송의 개시</t>
  </si>
  <si>
    <t>제01절 소송의 개시</t>
    <phoneticPr fontId="3" type="noConversion"/>
  </si>
  <si>
    <t>제01절 변론의 의의와 종류</t>
  </si>
  <si>
    <t>제01절 변론의 의의와 종류</t>
    <phoneticPr fontId="3" type="noConversion"/>
  </si>
  <si>
    <t>제01절 재판</t>
  </si>
  <si>
    <t>제01절 재판</t>
    <phoneticPr fontId="3" type="noConversion"/>
  </si>
  <si>
    <t>제01절 상소의 의의</t>
  </si>
  <si>
    <t>제01절 상소의 의의</t>
    <phoneticPr fontId="3" type="noConversion"/>
  </si>
  <si>
    <t>제01절 항소의 개관</t>
  </si>
  <si>
    <t>제01절 항소의 개관</t>
    <phoneticPr fontId="3" type="noConversion"/>
  </si>
  <si>
    <t>제01절 상고의 의의</t>
  </si>
  <si>
    <t>제01절 상고의 의의</t>
    <phoneticPr fontId="3" type="noConversion"/>
  </si>
  <si>
    <t>제01절 항고의 의의</t>
  </si>
  <si>
    <t>제01절 항고의 의의</t>
    <phoneticPr fontId="3" type="noConversion"/>
  </si>
  <si>
    <t>제01절 재심의 개념</t>
  </si>
  <si>
    <t>제01절 재심의 개념</t>
    <phoneticPr fontId="3" type="noConversion"/>
  </si>
  <si>
    <t>소계</t>
    <phoneticPr fontId="3" type="noConversion"/>
  </si>
  <si>
    <t>제01절 민사소송의 개관</t>
  </si>
  <si>
    <t>제01절 소송종료사유</t>
  </si>
  <si>
    <t>제02절 소송종료선언</t>
  </si>
  <si>
    <t>제05절 변론의 실시</t>
  </si>
  <si>
    <t>251. 기판력의 시적 범위：표준시 후에 발생한 사정변경(1)</t>
    <phoneticPr fontId="3" type="noConversion"/>
  </si>
  <si>
    <t>열기2-04.민사소송법\03.판례\251. 기판력의 시적 범위：표준시 후에 발생한 사정변경(1).txt</t>
    <phoneticPr fontId="3" type="noConversion"/>
  </si>
  <si>
    <t>실효</t>
    <phoneticPr fontId="3" type="noConversion"/>
  </si>
  <si>
    <t>6</t>
    <phoneticPr fontId="3" type="noConversion"/>
  </si>
  <si>
    <t>(2)</t>
    <phoneticPr fontId="3" type="noConversion"/>
  </si>
  <si>
    <t>열기2-04.민사소송법\02.문제\[예상][04.02-1]당사자능력과 당사자적격의 비교.txt</t>
    <phoneticPr fontId="3" type="noConversion"/>
  </si>
  <si>
    <t>당사자능력과 당사자적격의 비교</t>
    <phoneticPr fontId="3" type="noConversion"/>
  </si>
  <si>
    <t>열기2-04.민사소송법\02.문제\[예상][04.02-1]당사자능력과 당사자적격의 비교.txt</t>
    <phoneticPr fontId="3" type="noConversion"/>
  </si>
  <si>
    <t>당사자능력의 의의, 판정 기준, 비법인의 당사자능력, 당사자능력의 흠결과 효과</t>
    <phoneticPr fontId="3" type="noConversion"/>
  </si>
  <si>
    <t>열기2-04.민사소송법\02.문제\[기출][2021-2]당사자능력의 의의, 판정 기준, 비법인의 당사자능력, 당사자능력의 흠결과 효과.txt</t>
    <phoneticPr fontId="3" type="noConversion"/>
  </si>
  <si>
    <t>당사자능력의 의의, 판정 기준, 비법인의 당사자능력, 당사자능력의 흠결과 효과</t>
    <phoneticPr fontId="3" type="noConversion"/>
  </si>
  <si>
    <t>열기2-04.민사소송법\02.문제\[기출][2021-2]당사자능력의 의의, 판정 기준, 비법인의 당사자능력, 당사자능력의 흠결과 효과.txt</t>
    <phoneticPr fontId="3" type="noConversion"/>
  </si>
  <si>
    <t>권리관계의 주체인 당사자가 아닌 제3자가 자신의 이름으로 소송을 수행하고 그 판결의 효력이 권리 주체에게 미치는 경우를 의미한다. (임의적 소송담당)</t>
    <phoneticPr fontId="3" type="noConversion"/>
  </si>
  <si>
    <t>심급대리의 원칙</t>
    <phoneticPr fontId="3" type="noConversion"/>
  </si>
  <si>
    <t>소송대리권은 특별한 약정이 없는 한 해당 심급에 한하여 존속한다.</t>
    <phoneticPr fontId="3" type="noConversion"/>
  </si>
  <si>
    <t>소의 이익과 연관</t>
    <phoneticPr fontId="3" type="noConversion"/>
  </si>
  <si>
    <t>개념 문제</t>
    <phoneticPr fontId="3" type="noConversion"/>
  </si>
  <si>
    <t>열기2-04.민사소송법\02.문제\[기출][2024-2]당사자가 변론기일의 지정을 신청할 수 있는 구체적인 경우.txt</t>
    <phoneticPr fontId="3" type="noConversion"/>
  </si>
  <si>
    <t>빈도</t>
  </si>
  <si>
    <t>최근</t>
  </si>
  <si>
    <t>전체 문제</t>
    <phoneticPr fontId="3" type="noConversion"/>
  </si>
  <si>
    <t>개념 문제 : 합의관할, 사물관할</t>
    <phoneticPr fontId="3" type="noConversion"/>
  </si>
  <si>
    <t>개념 문제 : 당사자능력, 임의적 소송담당</t>
    <phoneticPr fontId="3" type="noConversion"/>
  </si>
  <si>
    <t>개념 문제 : 확인의 이익, 장래이행의 이익</t>
    <phoneticPr fontId="3" type="noConversion"/>
  </si>
  <si>
    <t>개념 문제 : 중복 소제기</t>
    <phoneticPr fontId="3" type="noConversion"/>
  </si>
  <si>
    <t>개념 문제 : 석명의무</t>
    <phoneticPr fontId="3" type="noConversion"/>
  </si>
  <si>
    <t>개념 문제 : 준비서면 미비</t>
    <phoneticPr fontId="3" type="noConversion"/>
  </si>
  <si>
    <t>개념 문제 : 소송상 항변</t>
    <phoneticPr fontId="3" type="noConversion"/>
  </si>
  <si>
    <t>개념 문제 : 자백간주</t>
    <phoneticPr fontId="3" type="noConversion"/>
  </si>
  <si>
    <t>개면 문제 : 보충송달, 공시송달</t>
    <phoneticPr fontId="3" type="noConversion"/>
  </si>
  <si>
    <t>개념 문제 : 자백간주, 재판상 자백</t>
    <phoneticPr fontId="3" type="noConversion"/>
  </si>
  <si>
    <t>개념 문제 : 문서의 증거력, 문서제출명령</t>
    <phoneticPr fontId="3" type="noConversion"/>
  </si>
  <si>
    <t>개념 문제 : 자유심증주의</t>
    <phoneticPr fontId="3" type="noConversion"/>
  </si>
  <si>
    <t>제04편 소송의 종료</t>
    <phoneticPr fontId="3" type="noConversion"/>
  </si>
  <si>
    <t>제08장 총설</t>
    <phoneticPr fontId="3" type="noConversion"/>
  </si>
  <si>
    <t>소계</t>
    <phoneticPr fontId="3" type="noConversion"/>
  </si>
  <si>
    <t>본문</t>
    <phoneticPr fontId="3" type="noConversion"/>
  </si>
  <si>
    <t>제05절 변론의 실시</t>
    <phoneticPr fontId="3" type="noConversion"/>
  </si>
  <si>
    <t>열기2-04.민사소송법\01.본문\제03편 제1심의 소송절차.제05장 소송 개시와 심리 대상.제02절 소송요건.txt</t>
  </si>
  <si>
    <t>제06장 변론</t>
    <phoneticPr fontId="3" type="noConversion"/>
  </si>
  <si>
    <t>1.03-1</t>
    <phoneticPr fontId="3" type="noConversion"/>
  </si>
  <si>
    <t>3.02-4</t>
    <phoneticPr fontId="3" type="noConversion"/>
  </si>
  <si>
    <t>3.02-1</t>
    <phoneticPr fontId="3" type="noConversion"/>
  </si>
  <si>
    <t>3.02-2</t>
    <phoneticPr fontId="3" type="noConversion"/>
  </si>
  <si>
    <t>3.02-3</t>
    <phoneticPr fontId="3" type="noConversion"/>
  </si>
  <si>
    <t>4.02-1</t>
    <phoneticPr fontId="3" type="noConversion"/>
  </si>
  <si>
    <t>4.02-2</t>
    <phoneticPr fontId="3" type="noConversion"/>
  </si>
  <si>
    <t>1.01-1</t>
    <phoneticPr fontId="3" type="noConversion"/>
  </si>
  <si>
    <t>4.01-1</t>
    <phoneticPr fontId="3" type="noConversion"/>
  </si>
  <si>
    <t>5.02-1</t>
    <phoneticPr fontId="3" type="noConversion"/>
  </si>
  <si>
    <t>5.02-2</t>
  </si>
  <si>
    <t>5.04-1</t>
  </si>
  <si>
    <t>5.04-2</t>
  </si>
  <si>
    <t>5.05-1</t>
  </si>
  <si>
    <t>5.05-2</t>
  </si>
  <si>
    <t>5.06-1</t>
  </si>
  <si>
    <t>5.06-2</t>
  </si>
  <si>
    <t>6.08-1</t>
  </si>
  <si>
    <t>6.08-2</t>
  </si>
  <si>
    <t>7.02-1</t>
  </si>
  <si>
    <t>7.02-2</t>
  </si>
  <si>
    <t>9.02-1</t>
    <phoneticPr fontId="3" type="noConversion"/>
  </si>
  <si>
    <t>9.02-2</t>
    <phoneticPr fontId="3" type="noConversion"/>
  </si>
  <si>
    <t>4.03-1</t>
    <phoneticPr fontId="3" type="noConversion"/>
  </si>
  <si>
    <t>6.02-1</t>
    <phoneticPr fontId="3" type="noConversion"/>
  </si>
  <si>
    <t>11.02-1</t>
    <phoneticPr fontId="3" type="noConversion"/>
  </si>
  <si>
    <t>12.01-2</t>
    <phoneticPr fontId="3" type="noConversion"/>
  </si>
  <si>
    <t>17.03-3</t>
    <phoneticPr fontId="3" type="noConversion"/>
  </si>
  <si>
    <t>7.06-1</t>
    <phoneticPr fontId="3" type="noConversion"/>
  </si>
  <si>
    <t>6.02-2</t>
    <phoneticPr fontId="3" type="noConversion"/>
  </si>
  <si>
    <t>법관의 기피제도의 의의 및 제척제도와의 구별, 기피사유, 절차 및 원칙, 남용과 간이각하결정</t>
    <phoneticPr fontId="3" type="noConversion"/>
  </si>
  <si>
    <t>특별수권사항의 의의, 구체적 범위, 특별수권없는 대리의 효력</t>
    <phoneticPr fontId="3" type="noConversion"/>
  </si>
  <si>
    <t>처분권주의의 의의 및 적용 영역, 제한 및 예외, 위반의 효과</t>
    <phoneticPr fontId="3" type="noConversion"/>
  </si>
  <si>
    <t>주요사실과 간접사실의 개념, 구별기준, 소송법상 실익</t>
    <phoneticPr fontId="3" type="noConversion"/>
  </si>
  <si>
    <t>법률상 추정의 의의 및 사실상 추정과의 구별, 분류, 효과</t>
    <phoneticPr fontId="3" type="noConversion"/>
  </si>
  <si>
    <t>소송상 당사자적격의 의의 및 당사자능력과의 구별, 권리주체, 소송법상 성질, 흠결 효과</t>
    <phoneticPr fontId="3" type="noConversion"/>
  </si>
  <si>
    <t>청구의 변경의 의의 및 허용 필요성, 적법요건, 소송절차 및 관할, 위반 시 조치</t>
    <phoneticPr fontId="3" type="noConversion"/>
  </si>
  <si>
    <t>필수적 공동소송의 의의 및 통상공동소송과의 구별, 분류 및 발생원인, 심리상 특징</t>
    <phoneticPr fontId="3" type="noConversion"/>
  </si>
  <si>
    <t>열기2-04.민사소송법\02.문제\[예상][03.02-4]법관의 기피제도의 의의 및 제척제도와의 구별, 기피사유, 절차 및 원칙, 남용과 간이각하결정.txt</t>
    <phoneticPr fontId="3" type="noConversion"/>
  </si>
  <si>
    <t>열기2-04.민사소송법\02.문제\[예상][04.02-2]소송상 당사자적격의 의의 및 당사자능력과의 구별, 권리주체, 소송법상 성질, 흠결 효과.txt</t>
    <phoneticPr fontId="3" type="noConversion"/>
  </si>
  <si>
    <t>열기2-04.민사소송법\02.문제\[예상][04.03-1]특별수권사항의 의의, 구체적 범위, 특별수권없는 대리의 효력.txt</t>
    <phoneticPr fontId="3" type="noConversion"/>
  </si>
  <si>
    <t>열기2-04.민사소송법\02.문제\[예상][06.02-1]처분권주의의 의의 및 적용 영역, 제한 및 예외, 위반의 효과.txt</t>
    <phoneticPr fontId="3" type="noConversion"/>
  </si>
  <si>
    <t>열기2-04.민사소송법\02.문제\[예상][06.02-2]주요사실과 간접사실의 개념, 구별기준, 소송법상 실익.txt</t>
    <phoneticPr fontId="3" type="noConversion"/>
  </si>
  <si>
    <t>열기2-04.민사소송법\02.문제\[예상][07.06-1]법률상 추정의 의의 및 사실상 추정과의 구별, 분류, 효과.txt</t>
    <phoneticPr fontId="3" type="noConversion"/>
  </si>
  <si>
    <t>열기2-04.민사소송법\02.문제\[예상][11.02-1]청구의 변경의 의의 및 허용 필요성, 적법요건, 소송절차 및 관할, 위반 시 조치.txt</t>
    <phoneticPr fontId="3" type="noConversion"/>
  </si>
  <si>
    <t>열기2-04.민사소송법\02.문제\[예상][12.01-2]필수적 공동소송의 의의 및 통상공동소송과의 구별, 분류 및 발생원인, 심리상 특징.txt</t>
    <phoneticPr fontId="3" type="noConversion"/>
  </si>
  <si>
    <t>소송법상 실효의 원칙의 의의, 신의칙과의 관계, 성립 요건, 적용 범위 및 소송법상 효과</t>
    <phoneticPr fontId="3" type="noConversion"/>
  </si>
  <si>
    <t>열기2-04.민사소송법\02.문제\[예상][01.03-1]소송법상 실효의 원칙의 의의, 신의칙과의 관계, 성립 요건, 적용 범위 및 소송법상 효과.txt</t>
    <phoneticPr fontId="3" type="noConversion"/>
  </si>
  <si>
    <t>제3자 재심청구의 의의 및 제도적 취지, 적법요건, 제소기간, 절차 및 결과 처리</t>
    <phoneticPr fontId="3" type="noConversion"/>
  </si>
  <si>
    <t>열기2-04.민사소송법\02.문제\[예상][17.03-3]제3자 재심청구의 의의 및 제도적 취지, 적법요건, 제소기간, 절차 및 결과 처리.txt</t>
    <phoneticPr fontId="3" type="noConversion"/>
  </si>
  <si>
    <t>1</t>
    <phoneticPr fontId="3" type="noConversion"/>
  </si>
  <si>
    <t>예상</t>
    <phoneticPr fontId="3" type="noConversion"/>
  </si>
  <si>
    <t>제01장 민사소송</t>
    <phoneticPr fontId="3" type="noConversion"/>
  </si>
  <si>
    <t>4</t>
    <phoneticPr fontId="3" type="noConversion"/>
  </si>
  <si>
    <t>제02편 소송의 주체</t>
    <phoneticPr fontId="3" type="noConversion"/>
  </si>
  <si>
    <t>제03장 법원</t>
    <phoneticPr fontId="3" type="noConversion"/>
  </si>
  <si>
    <t>2</t>
    <phoneticPr fontId="3" type="noConversion"/>
  </si>
  <si>
    <t>제03편 제1심 소송절차</t>
    <phoneticPr fontId="3" type="noConversion"/>
  </si>
  <si>
    <t>제07장 증거</t>
    <phoneticPr fontId="3" type="noConversion"/>
  </si>
  <si>
    <t>제05편 병합소송</t>
    <phoneticPr fontId="3" type="noConversion"/>
  </si>
  <si>
    <t>제07편 재심절차</t>
    <phoneticPr fontId="3" type="noConversion"/>
  </si>
  <si>
    <t>제17장 재심</t>
    <phoneticPr fontId="3" type="noConversion"/>
  </si>
  <si>
    <t>제03절 적법요건</t>
    <phoneticPr fontId="3" type="noConversion"/>
  </si>
  <si>
    <t>02</t>
    <phoneticPr fontId="3" type="noConversion"/>
  </si>
  <si>
    <t>03</t>
    <phoneticPr fontId="3" type="noConversion"/>
  </si>
  <si>
    <t>07</t>
    <phoneticPr fontId="3" type="noConversion"/>
  </si>
  <si>
    <t>04</t>
    <phoneticPr fontId="3" type="noConversion"/>
  </si>
  <si>
    <t>12</t>
    <phoneticPr fontId="3" type="noConversion"/>
  </si>
  <si>
    <t>3</t>
    <phoneticPr fontId="3" type="noConversion"/>
  </si>
  <si>
    <t>11</t>
    <phoneticPr fontId="3" type="noConversion"/>
  </si>
  <si>
    <t>05</t>
    <phoneticPr fontId="3" type="noConversion"/>
  </si>
  <si>
    <t>06</t>
    <phoneticPr fontId="3" type="noConversion"/>
  </si>
  <si>
    <t>10</t>
    <phoneticPr fontId="3" type="noConversion"/>
  </si>
  <si>
    <t>15</t>
    <phoneticPr fontId="3" type="noConversion"/>
  </si>
  <si>
    <t>08</t>
    <phoneticPr fontId="3" type="noConversion"/>
  </si>
  <si>
    <t>09</t>
    <phoneticPr fontId="3" type="noConversion"/>
  </si>
  <si>
    <t>13</t>
    <phoneticPr fontId="3" type="noConversion"/>
  </si>
  <si>
    <t>열기3-01.관련법령\06.민사소송법\01-1.민사소송법(법률).txt</t>
    <phoneticPr fontId="3" type="noConversion"/>
  </si>
  <si>
    <t>열기3-01.관련법령\06.민사소송법\02-1.민사소송규칙(대법원규칙).txt</t>
    <phoneticPr fontId="3" type="noConversion"/>
  </si>
  <si>
    <t>민사소송규칙</t>
    <phoneticPr fontId="3" type="noConversion"/>
  </si>
  <si>
    <t>대법원규칙</t>
    <phoneticPr fontId="3" type="noConversion"/>
  </si>
  <si>
    <t>열기3-01.관련법령\06.민사소송법\03-2.민사집행법(시행령).txt</t>
    <phoneticPr fontId="3" type="noConversion"/>
  </si>
  <si>
    <t>열기3-01.관련법령\06.민사소송법\03-1.민사집행법(법률).txt</t>
    <phoneticPr fontId="3" type="noConversion"/>
  </si>
  <si>
    <t>소취하(★)</t>
    <phoneticPr fontId="3" type="noConversion"/>
  </si>
  <si>
    <t>처분권주의, 변론주의</t>
    <phoneticPr fontId="3" type="noConversion"/>
  </si>
  <si>
    <t>제12장 다수당자사소송</t>
  </si>
  <si>
    <t>제12장 다수당자사소송</t>
    <phoneticPr fontId="3" type="noConversion"/>
  </si>
  <si>
    <t>제01절 개관</t>
  </si>
  <si>
    <t>중복소제기(★)</t>
    <phoneticPr fontId="3" type="noConversion"/>
  </si>
  <si>
    <t>청구의 성질・내용에 따른 분류</t>
    <phoneticPr fontId="3" type="noConversion"/>
  </si>
  <si>
    <t>84다카744 결정</t>
    <phoneticPr fontId="3" type="noConversion"/>
  </si>
  <si>
    <t>5.02-3</t>
    <phoneticPr fontId="3" type="noConversion"/>
  </si>
  <si>
    <t>열기2-04.민사소송법\02.문제\[예상][05.02-3]소송요건의 의의, 구체적 분류, 조사 심리 절차, 요건 흠결 시 소송법상 효과.txt</t>
    <phoneticPr fontId="3" type="noConversion"/>
  </si>
  <si>
    <t>예상</t>
    <phoneticPr fontId="3" type="noConversion"/>
  </si>
  <si>
    <t>3</t>
    <phoneticPr fontId="3" type="noConversion"/>
  </si>
  <si>
    <t>1</t>
    <phoneticPr fontId="3" type="noConversion"/>
  </si>
  <si>
    <t>09</t>
    <phoneticPr fontId="3" type="noConversion"/>
  </si>
  <si>
    <t>03</t>
    <phoneticPr fontId="3" type="noConversion"/>
  </si>
  <si>
    <t>소송요건의 의의, 구체적 분류, 조사 심리 절차, 요건 흠결 시 소송법상 효과</t>
    <phoneticPr fontId="3" type="noConversion"/>
  </si>
  <si>
    <t>법률관계를 발생, 변경, 소멸시킬 것을 구하는 소이다.</t>
    <phoneticPr fontId="3" type="noConversion"/>
  </si>
  <si>
    <t xml:space="preserve">특정한 법률행위(이행의무)를 이행할 것을 구하는 소이다. </t>
    <phoneticPr fontId="3" type="noConversion"/>
  </si>
  <si>
    <t>특정한 법률관계의 존재 또는 부존재를 확인해 줄 것을 법원에 구하는 소이다.</t>
    <phoneticPr fontId="3" type="noConversion"/>
  </si>
  <si>
    <t>정렬↑</t>
    <phoneticPr fontId="3" type="noConversion"/>
  </si>
  <si>
    <t>단문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</si>
  <si>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</si>
  <si>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</si>
  <si>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</si>
  <si>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</si>
  <si>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</si>
  <si>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</si>
  <si>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</si>
  <si>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</si>
  <si>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</si>
  <si>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</si>
  <si>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</si>
  <si>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</si>
  <si>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</si>
  <si>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</si>
  <si>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</si>
  <si>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</si>
  <si>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</si>
  <si>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</si>
  <si>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</si>
  <si>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</si>
  <si>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</si>
  <si>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</si>
  <si>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</si>
  <si>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</si>
  <si>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</si>
  <si>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</si>
  <si>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</si>
  <si>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</si>
  <si>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</si>
  <si>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</si>
  <si>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</si>
  <si>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</si>
  <si>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</si>
  <si>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</si>
  <si>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</si>
  <si>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</si>
  <si>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</si>
  <si>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</si>
  <si>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</si>
  <si>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</si>
  <si>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</si>
  <si>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</si>
  <si>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</si>
  <si>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</si>
  <si>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</si>
  <si>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</si>
  <si>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</si>
  <si>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</si>
  <si>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</si>
  <si>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</si>
  <si>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</si>
  <si>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</si>
  <si>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</si>
  <si>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</si>
  <si>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대법원 2011. 9. 29.자 2011마62 결정</t>
    <phoneticPr fontId="3" type="noConversion"/>
  </si>
  <si>
    <t>대법원 1993. 5. 14. 선고 92다21760 판결</t>
    <phoneticPr fontId="3" type="noConversion"/>
  </si>
  <si>
    <t>대법원 1995. 1. 24. 선고 93다25875 판결</t>
    <phoneticPr fontId="3" type="noConversion"/>
  </si>
  <si>
    <t>대법원 1996. 7. 30. 선고 94다51840 판결</t>
    <phoneticPr fontId="3" type="noConversion"/>
  </si>
  <si>
    <t>대법원 1992. 5. 26. 선고 92다3670 판결</t>
    <phoneticPr fontId="3" type="noConversion"/>
  </si>
  <si>
    <t>대법원 1997. 12. 23. 선고 96재다226 판결</t>
    <phoneticPr fontId="3" type="noConversion"/>
  </si>
  <si>
    <t>대법원 1988. 10. 11. 선고 87다카113 판결</t>
    <phoneticPr fontId="3" type="noConversion"/>
  </si>
  <si>
    <t>대법원 1992. 7. 28. 선고 92다7726 판결</t>
    <phoneticPr fontId="3" type="noConversion"/>
  </si>
  <si>
    <t>대법원 1989. 9. 29. 선고 88다카17181 판결</t>
    <phoneticPr fontId="3" type="noConversion"/>
  </si>
  <si>
    <t>대법원 2010. 5. 13. 선고 2009다102254 판결</t>
    <phoneticPr fontId="3" type="noConversion"/>
  </si>
  <si>
    <t>대법원 1997. 6. 13. 선고 96다56115 판결</t>
    <phoneticPr fontId="3" type="noConversion"/>
  </si>
  <si>
    <t>대법원 1988. 5. 10. 선고 87다카1979 판결</t>
    <phoneticPr fontId="3" type="noConversion"/>
  </si>
  <si>
    <t>대법원 2019. 1. 4.자 2018스563 결정</t>
    <phoneticPr fontId="3" type="noConversion"/>
  </si>
  <si>
    <t>대법원 2008. 5. 2.자 2008마427 결정</t>
    <phoneticPr fontId="3" type="noConversion"/>
  </si>
  <si>
    <t>대법원 2010. 2. 11. 선고 2009다78467,78474 판결</t>
    <phoneticPr fontId="3" type="noConversion"/>
  </si>
  <si>
    <t>대법원 1998. 12. 17. 선고 97다39216 전원합의체 판결</t>
    <phoneticPr fontId="3" type="noConversion"/>
  </si>
  <si>
    <t>대법원 2005. 1. 27. 선고 2002다59788 판결</t>
    <phoneticPr fontId="3" type="noConversion"/>
  </si>
  <si>
    <t>대법원 2008. 5. 29. 선고 2006다71908 판결</t>
    <phoneticPr fontId="3" type="noConversion"/>
  </si>
  <si>
    <t>대법원 1998. 7. 27.자 98마938 결정</t>
    <phoneticPr fontId="3" type="noConversion"/>
  </si>
  <si>
    <t>대법원 2002. 5. 10.자 2002마1156 결정</t>
    <phoneticPr fontId="3" type="noConversion"/>
  </si>
  <si>
    <t>대법원 1977. 11. 9.자 77마284 결정</t>
    <phoneticPr fontId="3" type="noConversion"/>
  </si>
  <si>
    <t>대법원 1994. 5. 26.자 94마536 결정</t>
    <phoneticPr fontId="3" type="noConversion"/>
  </si>
  <si>
    <t>대법원 2006. 3. 2.자 2005마902 결정</t>
    <phoneticPr fontId="3" type="noConversion"/>
  </si>
  <si>
    <t>대법원 1980. 9. 26.자 80마403 결정</t>
    <phoneticPr fontId="3" type="noConversion"/>
  </si>
  <si>
    <t>대법원 1993. 12. 6.자 93마524 전원합의체 결정</t>
    <phoneticPr fontId="3" type="noConversion"/>
  </si>
  <si>
    <t>대법원 2011. 7. 14.자 2011그65 결정</t>
    <phoneticPr fontId="3" type="noConversion"/>
  </si>
  <si>
    <t>대법원 1995. 5. 15.자 94마1059,1060 결정</t>
    <phoneticPr fontId="3" type="noConversion"/>
  </si>
  <si>
    <t>대법원 1986. 9. 23 선고 85누953 판결</t>
    <phoneticPr fontId="3" type="noConversion"/>
  </si>
  <si>
    <t>대법원 2006. 7. 4.자 2005마425 결정</t>
    <phoneticPr fontId="3" type="noConversion"/>
  </si>
  <si>
    <t>대법원 2011. 3. 10. 선고 2010다99040 판결</t>
    <phoneticPr fontId="3" type="noConversion"/>
  </si>
  <si>
    <t>대법원 1964. 3. 31. 선고 63다656 판결</t>
    <phoneticPr fontId="3" type="noConversion"/>
  </si>
  <si>
    <t>대법원 2009. 1. 30. 선고 2006다60908 판결</t>
    <phoneticPr fontId="3" type="noConversion"/>
  </si>
  <si>
    <t>대법원 1991. 11. 26. 선고 91다30675 판결</t>
    <phoneticPr fontId="3" type="noConversion"/>
  </si>
  <si>
    <t>대법원 1974. 6. 25. 선고 73다211 판결</t>
    <phoneticPr fontId="3" type="noConversion"/>
  </si>
  <si>
    <t>대법원 2000. 4. 11. 선고 99다23888 판결</t>
    <phoneticPr fontId="3" type="noConversion"/>
  </si>
  <si>
    <t>대법원 1973. 12. 11. 선고 73다1553 판결</t>
    <phoneticPr fontId="3" type="noConversion"/>
  </si>
  <si>
    <t>대법원 1982. 9. 14. 선고 80다2425 전원합의체 판결</t>
    <phoneticPr fontId="3" type="noConversion"/>
  </si>
  <si>
    <t>대법원 1988. 6. 14. 선고 87다카2753 판결</t>
    <phoneticPr fontId="3" type="noConversion"/>
  </si>
  <si>
    <t>대법원 1984. 2. 14. 선고 83다카1815 판결</t>
    <phoneticPr fontId="3" type="noConversion"/>
  </si>
  <si>
    <t>대법원 2016. 12. 15. 선고 2014다87885,87892 판결</t>
    <phoneticPr fontId="3" type="noConversion"/>
  </si>
  <si>
    <t>대법원 2020. 6. 11. 선고, 2020다8586 판결</t>
    <phoneticPr fontId="3" type="noConversion"/>
  </si>
  <si>
    <t>대법원 1980. 4. 22. 선고 80다308 판결</t>
    <phoneticPr fontId="3" type="noConversion"/>
  </si>
  <si>
    <t>대법원 1983. 2. 8. 선고 82므34 판결</t>
    <phoneticPr fontId="3" type="noConversion"/>
  </si>
  <si>
    <t>대법원 2005. 9. 15. 선고 2004다44971 전원합의체 판결</t>
    <phoneticPr fontId="3" type="noConversion"/>
  </si>
  <si>
    <t>대법원 1998. 2. 19. 선고 95다52710 전원합의체 판결</t>
    <phoneticPr fontId="3" type="noConversion"/>
  </si>
  <si>
    <t>대법원 1997. 12. 12. 선고 95다20775 판결</t>
    <phoneticPr fontId="3" type="noConversion"/>
  </si>
  <si>
    <t>대법원 2000. 1. 31. 자 99마6205 결정</t>
    <phoneticPr fontId="3" type="noConversion"/>
  </si>
  <si>
    <t>대법원 1984. 6. 14.자 84다카744 결정</t>
    <phoneticPr fontId="3" type="noConversion"/>
  </si>
  <si>
    <t>대법원 1996. 4. 4.자 96마148 결정</t>
    <phoneticPr fontId="3" type="noConversion"/>
  </si>
  <si>
    <t>대법원 2016. 4. 29. 선고 2014다210449 판결</t>
    <phoneticPr fontId="3" type="noConversion"/>
  </si>
  <si>
    <t>대법원 1973. 7. 24. 선고 69다60 판결</t>
    <phoneticPr fontId="3" type="noConversion"/>
  </si>
  <si>
    <t>대법원 2008. 8. 21. 선고 2007다79480 판결</t>
    <phoneticPr fontId="3" type="noConversion"/>
  </si>
  <si>
    <t>대법원 1983. 2. 8. 선고 81다카621 판결</t>
    <phoneticPr fontId="3" type="noConversion"/>
  </si>
  <si>
    <t>대법원 1999. 2. 24. 선고 97다38930 판결</t>
    <phoneticPr fontId="3" type="noConversion"/>
  </si>
  <si>
    <t>대법원 2003. 5. 30. 선고 2003다15556 판결</t>
    <phoneticPr fontId="3" type="noConversion"/>
  </si>
  <si>
    <t>대법원 1990. 11. 23. 선고 90다4037,4044 판결</t>
    <phoneticPr fontId="3" type="noConversion"/>
  </si>
  <si>
    <t>대법원 1993. 9. 14. 선고 92다35462 판결</t>
    <phoneticPr fontId="3" type="noConversion"/>
  </si>
  <si>
    <t>대법원 2009. 12. 24. 선고 2008다15520 판결</t>
    <phoneticPr fontId="3" type="noConversion"/>
  </si>
  <si>
    <t>대법원 1992. 8. 18. 선고 91다39924 판결</t>
    <phoneticPr fontId="3" type="noConversion"/>
  </si>
  <si>
    <t>대법원 1992. 8. 18. 선고 92다13875,13882,13899 판결</t>
    <phoneticPr fontId="3" type="noConversion"/>
  </si>
  <si>
    <t>대법원 2000. 5. 18. 선고 95재다199 전원합의체 판결</t>
    <phoneticPr fontId="3" type="noConversion"/>
  </si>
  <si>
    <t>대법원 2018. 10. 18. 선고 2015다232316 전원합의체 판결</t>
    <phoneticPr fontId="3" type="noConversion"/>
  </si>
  <si>
    <t>대법원 1994. 11. 8. 선고 94다23388 판결</t>
    <phoneticPr fontId="3" type="noConversion"/>
  </si>
  <si>
    <t>대법원 2007. 11. 29. 선고 2007다63362 판결</t>
    <phoneticPr fontId="3" type="noConversion"/>
  </si>
  <si>
    <t>대법원 2003. 1. 10. 선고 2002다57904 판결</t>
    <phoneticPr fontId="3" type="noConversion"/>
  </si>
  <si>
    <t>대법원 1989. 10. 10. 선고 89누1308 판결</t>
    <phoneticPr fontId="3" type="noConversion"/>
  </si>
  <si>
    <t>대법원 2018. 7. 19. 선고 2018다22008 전원합의체 판결</t>
    <phoneticPr fontId="3" type="noConversion"/>
  </si>
  <si>
    <t>대법원 1991. 12. 24. 선고 90다12243 전원합의체 판결</t>
    <phoneticPr fontId="3" type="noConversion"/>
  </si>
  <si>
    <t>대법원 2016. 9. 30. 선고 2016다200552 판결</t>
    <phoneticPr fontId="3" type="noConversion"/>
  </si>
  <si>
    <t>대법원 2013. 11. 28. 선고 2011다80449 판결</t>
    <phoneticPr fontId="3" type="noConversion"/>
  </si>
  <si>
    <t>대법원 1987. 9. 22. 선고 86다카2151 판결</t>
    <phoneticPr fontId="3" type="noConversion"/>
  </si>
  <si>
    <t>대법원 1981. 9. 22. 선고 80다2270 판결</t>
    <phoneticPr fontId="3" type="noConversion"/>
  </si>
  <si>
    <t>대법원 1979. 4. 10. 선고 78다2399 판결</t>
    <phoneticPr fontId="3" type="noConversion"/>
  </si>
  <si>
    <t>대법원 1991. 12. 10. 선고 91다15317 판결</t>
    <phoneticPr fontId="3" type="noConversion"/>
  </si>
  <si>
    <t>대법원 1988. 9. 27. 선고 87다카2269 판결</t>
    <phoneticPr fontId="3" type="noConversion"/>
  </si>
  <si>
    <t>대법원 1991. 10. 11. 선고 91다1264 판결</t>
    <phoneticPr fontId="3" type="noConversion"/>
  </si>
  <si>
    <t>대법원 1999. 6. 8. 선고 99다17401,17418 판결</t>
    <phoneticPr fontId="3" type="noConversion"/>
  </si>
  <si>
    <t>대법원 2020. 2. 20. 선고 2019두52386 전원합의체 판결</t>
    <phoneticPr fontId="3" type="noConversion"/>
  </si>
  <si>
    <t>대법원 1993. 11. 23. 선고 93다41792,41808 판결</t>
    <phoneticPr fontId="3" type="noConversion"/>
  </si>
  <si>
    <t>대법원 1963. 7. 25. 선고 63다241 판결</t>
    <phoneticPr fontId="3" type="noConversion"/>
  </si>
  <si>
    <t>대법원 1976. 10. 12. 선고 76다1313 판결</t>
    <phoneticPr fontId="3" type="noConversion"/>
  </si>
  <si>
    <t>대법원 2007. 4. 13. 선고 2006다78640 판결</t>
    <phoneticPr fontId="3" type="noConversion"/>
  </si>
  <si>
    <t>대법원 1996. 6. 14. 선고 94다53006 판결</t>
    <phoneticPr fontId="3" type="noConversion"/>
  </si>
  <si>
    <t>대법원 1997. 4. 25. 선고 96다32133 판결</t>
    <phoneticPr fontId="3" type="noConversion"/>
  </si>
  <si>
    <t>대법원 1992. 6. 12. 선고 92다11848 판결</t>
    <phoneticPr fontId="3" type="noConversion"/>
  </si>
  <si>
    <t>대법원 1981. 12. 22. 선고 80다1548 판결</t>
    <phoneticPr fontId="3" type="noConversion"/>
  </si>
  <si>
    <t>대법원 1986. 9. 23. 선고 85다353 판결</t>
    <phoneticPr fontId="3" type="noConversion"/>
  </si>
  <si>
    <t>대법원 2001. 9. 20. 선고 99다37894 전원합의체 판결</t>
    <phoneticPr fontId="3" type="noConversion"/>
  </si>
  <si>
    <t>대법원 1963. 1. 31. 선고 62다812 판결</t>
    <phoneticPr fontId="3" type="noConversion"/>
  </si>
  <si>
    <t>대법원 2003. 5. 27. 선고 2001다13532 판결</t>
    <phoneticPr fontId="3" type="noConversion"/>
  </si>
  <si>
    <t>대법원 2005. 3. 25. 선고 2004다10985,10992 판결</t>
    <phoneticPr fontId="3" type="noConversion"/>
  </si>
  <si>
    <t>대법원 2019. 10. 17. 선고 2018다300470 판결</t>
    <phoneticPr fontId="3" type="noConversion"/>
  </si>
  <si>
    <t>대법원 2013. 12. 18. 선고 2013다202120 전원합의체 판결</t>
    <phoneticPr fontId="3" type="noConversion"/>
  </si>
  <si>
    <t>대법원 2001. 4. 27. 선고 2000다4050 판결</t>
    <phoneticPr fontId="3" type="noConversion"/>
  </si>
  <si>
    <t>대법원 1985. 4. 9. 선고 84다552 판결</t>
    <phoneticPr fontId="3" type="noConversion"/>
  </si>
  <si>
    <t>대법원 2001. 7. 24. 선고 2001다22246 판결</t>
    <phoneticPr fontId="3" type="noConversion"/>
  </si>
  <si>
    <t>대법원 2017. 11. 14. 선고 2017다23066 판결</t>
    <phoneticPr fontId="3" type="noConversion"/>
  </si>
  <si>
    <t>대법원 2011. 11. 10. 선고 2011다54686 판결</t>
    <phoneticPr fontId="3" type="noConversion"/>
  </si>
  <si>
    <t>대법원 1992. 4. 10. 선고 91다43695 판결</t>
    <phoneticPr fontId="3" type="noConversion"/>
  </si>
  <si>
    <t>대법원 2019. 7. 25. 선고 2019다212945 판결</t>
    <phoneticPr fontId="3" type="noConversion"/>
  </si>
  <si>
    <t>대법원 2010. 8. 26. 선고 2008다42416,42423 판결</t>
    <phoneticPr fontId="3" type="noConversion"/>
  </si>
  <si>
    <t>대법원 1974. 1. 29. 선고 73다351 판결</t>
    <phoneticPr fontId="3" type="noConversion"/>
  </si>
  <si>
    <t>대법원 1988. 9. 27. 선고 87다카1618 판결</t>
    <phoneticPr fontId="3" type="noConversion"/>
  </si>
  <si>
    <t>대법원 2003. 7. 11. 선고 2003다19558 판결</t>
    <phoneticPr fontId="3" type="noConversion"/>
  </si>
  <si>
    <t>대법원 1992. 7. 14. 선고 92누2424 판결</t>
    <phoneticPr fontId="3" type="noConversion"/>
  </si>
  <si>
    <t>대법원 2020. 1. 30. 선고 2015다49422 판결</t>
    <phoneticPr fontId="3" type="noConversion"/>
  </si>
  <si>
    <t>대법원 1990. 11. 13. 선고 89다카12602 판결</t>
    <phoneticPr fontId="3" type="noConversion"/>
  </si>
  <si>
    <t>대법원 2013. 3. 14. 선고 2010다42624,42631 판결</t>
    <phoneticPr fontId="3" type="noConversion"/>
  </si>
  <si>
    <t>대법원 2012. 5. 17. 선고 2010다28604 전원합의체 판결</t>
    <phoneticPr fontId="3" type="noConversion"/>
  </si>
  <si>
    <t>대법원 1991. 11. 12. 선고 91다27228 판결</t>
    <phoneticPr fontId="3" type="noConversion"/>
  </si>
  <si>
    <t>대법원 2014. 7. 10. 선고 2012다89832 판결</t>
    <phoneticPr fontId="3" type="noConversion"/>
  </si>
  <si>
    <t>대법원 1976. 6. 22. 선고 75다819 판결</t>
    <phoneticPr fontId="3" type="noConversion"/>
  </si>
  <si>
    <t>대법원 1994. 1. 25. 선고 93다9422 판결</t>
    <phoneticPr fontId="3" type="noConversion"/>
  </si>
  <si>
    <t>대법원 1969. 11. 25. 선고 69다1592 판결</t>
    <phoneticPr fontId="3" type="noConversion"/>
  </si>
  <si>
    <t>대법원 1995. 7. 28. 선고 95다19829 판결</t>
    <phoneticPr fontId="3" type="noConversion"/>
  </si>
  <si>
    <t>대법원 2001. 6. 12. 선고 99다20612 판결</t>
    <phoneticPr fontId="3" type="noConversion"/>
  </si>
  <si>
    <t>대법원 1994. 11. 4. 선고 94다37868 판결</t>
    <phoneticPr fontId="3" type="noConversion"/>
  </si>
  <si>
    <t>대법원 1990. 6. 26. 선고 89다카15359 판결</t>
    <phoneticPr fontId="3" type="noConversion"/>
  </si>
  <si>
    <t>대법원 2002. 6. 28. 선고 2000다62254 판결</t>
    <phoneticPr fontId="3" type="noConversion"/>
  </si>
  <si>
    <t>대법원 2017. 3. 22. 선고 2016다258124 판결</t>
    <phoneticPr fontId="3" type="noConversion"/>
  </si>
  <si>
    <t>대법원 1995. 8. 25. 선고 94다35886 판결</t>
    <phoneticPr fontId="3" type="noConversion"/>
  </si>
  <si>
    <t>대법원 1983. 12. 13. 선고 83다카1489 전원합의체 판결</t>
    <phoneticPr fontId="3" type="noConversion"/>
  </si>
  <si>
    <t>대법원 1995. 7. 11. 선고 94다34265 전원합의체 판결</t>
    <phoneticPr fontId="3" type="noConversion"/>
  </si>
  <si>
    <t>대법원 1997. 12. 26. 선고 97다42892,42908 판결</t>
    <phoneticPr fontId="3" type="noConversion"/>
  </si>
  <si>
    <t>대법원 1987. 6. 9. 선고 86다카2600 판결</t>
    <phoneticPr fontId="3" type="noConversion"/>
  </si>
  <si>
    <t>대법원 1996. 10. 25. 선고 96다30113 판결</t>
    <phoneticPr fontId="3" type="noConversion"/>
  </si>
  <si>
    <t>대법원 1989. 9. 29. 선고 88다카17181 판결</t>
    <phoneticPr fontId="3" type="noConversion"/>
  </si>
  <si>
    <t>대법원 1983. 12. 27. 선고 80다1302 판결</t>
    <phoneticPr fontId="3" type="noConversion"/>
  </si>
  <si>
    <t>대법원 2017. 5. 17. 선고 2017다1097 판결</t>
    <phoneticPr fontId="3" type="noConversion"/>
  </si>
  <si>
    <t>대법원 1962. 4. 4. 선고 4294민상1122 판결</t>
    <phoneticPr fontId="3" type="noConversion"/>
  </si>
  <si>
    <t>대법원 1968. 1. 31. 선고 67다2628 판결</t>
    <phoneticPr fontId="3" type="noConversion"/>
  </si>
  <si>
    <t>대법원 2005. 10. 7. 선고 2003다44387,44394 판결</t>
    <phoneticPr fontId="3" type="noConversion"/>
  </si>
  <si>
    <t>대법원 1972. 5. 9. 선고 72다379 판결</t>
    <phoneticPr fontId="3" type="noConversion"/>
  </si>
  <si>
    <t>대법원 1997. 3. 25. 선고 96다42130 판결</t>
    <phoneticPr fontId="3" type="noConversion"/>
  </si>
  <si>
    <t>대법원 1982. 5. 11. 선고 80다916 판결</t>
    <phoneticPr fontId="3" type="noConversion"/>
  </si>
  <si>
    <t>대법원 2014. 6. 12. 선고 2013다95964 판결</t>
    <phoneticPr fontId="3" type="noConversion"/>
  </si>
  <si>
    <t>대법원 2013. 3. 28. 선고 2011다3329 판결</t>
    <phoneticPr fontId="3" type="noConversion"/>
  </si>
  <si>
    <t>대법원 2013. 7. 12. 선고 2013다19571 판결</t>
    <phoneticPr fontId="3" type="noConversion"/>
  </si>
  <si>
    <t>대법원 2018. 5. 30. 선고 2017다21411 판결</t>
    <phoneticPr fontId="3" type="noConversion"/>
  </si>
  <si>
    <t>대법원 1997. 10. 10. 선고 96다35484 판결</t>
    <phoneticPr fontId="3" type="noConversion"/>
  </si>
  <si>
    <t>대법원 2019. 9. 10. 선고 2019다208953 판결</t>
    <phoneticPr fontId="3" type="noConversion"/>
  </si>
  <si>
    <t>대법원 1984. 5. 29. 선고 82다카963 판결</t>
    <phoneticPr fontId="3" type="noConversion"/>
  </si>
  <si>
    <t>대법원 2001. 4. 13. 선고 2001다6367 판결</t>
    <phoneticPr fontId="3" type="noConversion"/>
  </si>
  <si>
    <t>대법원 2019. 11. 28. 선고 2017다244115 판결</t>
    <phoneticPr fontId="3" type="noConversion"/>
  </si>
  <si>
    <t>대법원 2006. 10. 27. 선고 2004다69581 판결</t>
    <phoneticPr fontId="3" type="noConversion"/>
  </si>
  <si>
    <t>대법원 2008. 5. 8. 선고 2008다2890 판결</t>
    <phoneticPr fontId="3" type="noConversion"/>
  </si>
  <si>
    <t>대법원 1992. 4. 21. 선고 92마175 판결</t>
    <phoneticPr fontId="3" type="noConversion"/>
  </si>
  <si>
    <t>대법원 2002. 7. 26. 선고 2001다60491 판결</t>
    <phoneticPr fontId="3" type="noConversion"/>
  </si>
  <si>
    <t>대법원 1987. 3. 10. 선고 86다카2224 판결</t>
    <phoneticPr fontId="3" type="noConversion"/>
  </si>
  <si>
    <t>대법원 2022. 4. 14. 선고 2021다305796 판결</t>
    <phoneticPr fontId="3" type="noConversion"/>
  </si>
  <si>
    <t>대법원 1999. 6. 11. 선고 99다9622 판결</t>
    <phoneticPr fontId="3" type="noConversion"/>
  </si>
  <si>
    <t>대법원 1970. 7. 24. 선고 70다1015 판결</t>
    <phoneticPr fontId="3" type="noConversion"/>
  </si>
  <si>
    <t>대법원 2001. 8. 31.자 2001마3790 결정</t>
    <phoneticPr fontId="3" type="noConversion"/>
  </si>
  <si>
    <t>대법원 2016. 11. 10. 선고 2014다54366 판결</t>
    <phoneticPr fontId="3" type="noConversion"/>
  </si>
  <si>
    <t>대법원 1997. 5. 19.자 97마600 결정</t>
    <phoneticPr fontId="3" type="noConversion"/>
  </si>
  <si>
    <t>대법원 1982. 12. 28. 선고 82다카349 전원합의체 판결</t>
    <phoneticPr fontId="3" type="noConversion"/>
  </si>
  <si>
    <t>대법원 2022. 1. 13. 선고 2019다220618 판결</t>
    <phoneticPr fontId="3" type="noConversion"/>
  </si>
  <si>
    <t>대법원 1984. 3. 15.자 84마20 전원합의체 결정</t>
    <phoneticPr fontId="3" type="noConversion"/>
  </si>
  <si>
    <t>대법원 1993. 2. 12 선고 92다29801 판결</t>
    <phoneticPr fontId="3" type="noConversion"/>
  </si>
  <si>
    <t>대법원 1992. 11. 5.자 91마342 결정</t>
    <phoneticPr fontId="3" type="noConversion"/>
  </si>
  <si>
    <t>대법원 2010. 12. 23. 선고 2007다22859 판결</t>
    <phoneticPr fontId="3" type="noConversion"/>
  </si>
  <si>
    <t>대법원 1995. 5. 23. 선고 94다28444 전원합의체 판결</t>
    <phoneticPr fontId="3" type="noConversion"/>
  </si>
  <si>
    <t>대법원 2006. 11. 23. 선고 2006재다171 판결</t>
    <phoneticPr fontId="3" type="noConversion"/>
  </si>
  <si>
    <t>대법원 2000. 6. 9. 선고 98다35037 판결</t>
    <phoneticPr fontId="3" type="noConversion"/>
  </si>
  <si>
    <t>대법원 2015. 2. 12. 선고 2014다229870 판결</t>
    <phoneticPr fontId="3" type="noConversion"/>
  </si>
  <si>
    <t>대법원 1998. 7. 10. 선고 98다6763 판결</t>
    <phoneticPr fontId="3" type="noConversion"/>
  </si>
  <si>
    <t>대법원 1990. 12. 11. 선고 90다7104 판결</t>
    <phoneticPr fontId="3" type="noConversion"/>
  </si>
  <si>
    <t>대법원 1984. 5. 29. 선고 84다122 판결</t>
    <phoneticPr fontId="3" type="noConversion"/>
  </si>
  <si>
    <t>대법원 1989. 5. 9. 선고 87다카749 판결</t>
    <phoneticPr fontId="3" type="noConversion"/>
  </si>
  <si>
    <t>대법원 1993. 9. 14. 선고 92다24899 판결</t>
    <phoneticPr fontId="3" type="noConversion"/>
  </si>
  <si>
    <t>대법원 2016. 6. 9. 선고 2014다64752 판결</t>
    <phoneticPr fontId="3" type="noConversion"/>
  </si>
  <si>
    <t>대법원 1990. 11. 27. 선고 90다카20548 판결</t>
    <phoneticPr fontId="3" type="noConversion"/>
  </si>
  <si>
    <t>대법원 2004. 6. 11. 선고 2004다13533 판결</t>
    <phoneticPr fontId="3" type="noConversion"/>
  </si>
  <si>
    <t>대법원 1997. 4. 22. 선고 95다10204 판결</t>
    <phoneticPr fontId="3" type="noConversion"/>
  </si>
  <si>
    <t>대법원 1996. 7. 18. 선고 94다20051 전원합의체 판결</t>
    <phoneticPr fontId="3" type="noConversion"/>
  </si>
  <si>
    <t>대법원 2019. 8. 9. 선고 2019다222140 판결</t>
    <phoneticPr fontId="3" type="noConversion"/>
  </si>
  <si>
    <t>대법원 1999. 4. 9. 선고 98다57198 판결</t>
    <phoneticPr fontId="3" type="noConversion"/>
  </si>
  <si>
    <t>대법원 2002. 8. 23. 선고 2000다66133 판결</t>
    <phoneticPr fontId="3" type="noConversion"/>
  </si>
  <si>
    <t>대법원 2009. 9. 24. 선고 2009다37831 판결</t>
    <phoneticPr fontId="3" type="noConversion"/>
  </si>
  <si>
    <t>대법원 2003. 4. 11. 선고 2001다11406 판결</t>
    <phoneticPr fontId="3" type="noConversion"/>
  </si>
  <si>
    <t>대법원 1988. 12. 13. 선고 87다카3147 판결</t>
    <phoneticPr fontId="3" type="noConversion"/>
  </si>
  <si>
    <t>대법원 2006. 5. 25. 선고 2005다77848 판결</t>
    <phoneticPr fontId="3" type="noConversion"/>
  </si>
  <si>
    <t>대법원 2017. 12. 28.자 2015무423 결정</t>
    <phoneticPr fontId="3" type="noConversion"/>
  </si>
  <si>
    <t>대법원 2015. 11. 17. 선고 2014다81542 판결</t>
    <phoneticPr fontId="3" type="noConversion"/>
  </si>
  <si>
    <t>대법원 1993. 6. 25. 선고 93다15991 판결</t>
    <phoneticPr fontId="3" type="noConversion"/>
  </si>
  <si>
    <t>대법원 1990. 4. 13. 선고 89다카1084 판결</t>
    <phoneticPr fontId="3" type="noConversion"/>
  </si>
  <si>
    <t>대법원 2010. 7. 14.자 2009마2105 결정</t>
    <phoneticPr fontId="3" type="noConversion"/>
  </si>
  <si>
    <t>대법원 1983. 7. 12. 선고 83다카308 판결</t>
    <phoneticPr fontId="3" type="noConversion"/>
  </si>
  <si>
    <t>대법원 1999. 5. 25. 선고 99다1789 판결</t>
    <phoneticPr fontId="3" type="noConversion"/>
  </si>
  <si>
    <t>대법원 2019. 2. 21. 선고 2018다248909 전원합의체 판결</t>
    <phoneticPr fontId="3" type="noConversion"/>
  </si>
  <si>
    <t>대법원 2010. 10. 28. 선고 2008다6755 판결</t>
    <phoneticPr fontId="3" type="noConversion"/>
  </si>
  <si>
    <t>대법원 2010. 5. 27. 선고 2007다25971 판결</t>
    <phoneticPr fontId="3" type="noConversion"/>
  </si>
  <si>
    <t>대법원 1998. 8. 21. 선고 98다8974 판결</t>
    <phoneticPr fontId="3" type="noConversion"/>
  </si>
  <si>
    <t>대법원 1992. 10. 27. 선고 92다30047 판결</t>
    <phoneticPr fontId="3" type="noConversion"/>
  </si>
  <si>
    <t>대법원 2002. 9. 24. 선고 2002다26252 판결</t>
    <phoneticPr fontId="3" type="noConversion"/>
  </si>
  <si>
    <t>대법원 2012. 1. 12. 선고 2009다84608,84615,84622,84639 판결</t>
    <phoneticPr fontId="3" type="noConversion"/>
  </si>
  <si>
    <t>대법원 1995. 2. 10. 선고 93다52402 판결</t>
    <phoneticPr fontId="3" type="noConversion"/>
  </si>
  <si>
    <t>대법원 2004. 10. 28. 선고 2002다45185 판결</t>
    <phoneticPr fontId="3" type="noConversion"/>
  </si>
  <si>
    <t>대법원 2010. 6. 24. 선고 2010다12852 판결</t>
    <phoneticPr fontId="3" type="noConversion"/>
  </si>
  <si>
    <t>대법원 2001. 3. 9. 선고 2000다58668 판결</t>
    <phoneticPr fontId="3" type="noConversion"/>
  </si>
  <si>
    <t>대법원 2019. 2. 14. 선고 2015다255258 판결</t>
    <phoneticPr fontId="3" type="noConversion"/>
  </si>
  <si>
    <t>대법원 1994. 12. 13. 선고 94다15486 판결</t>
    <phoneticPr fontId="3" type="noConversion"/>
  </si>
  <si>
    <t>대법원 1982. 3. 9. 선고 81다1312 판결</t>
    <phoneticPr fontId="3" type="noConversion"/>
  </si>
  <si>
    <t>대법원 1997. 6. 27. 선고 97다6124 판결</t>
    <phoneticPr fontId="3" type="noConversion"/>
  </si>
  <si>
    <t>대법원 1968. 4. 23. 선고 68다217 판결</t>
    <phoneticPr fontId="3" type="noConversion"/>
  </si>
  <si>
    <t>대법원 1984. 7. 10. 선고 84다카298 판결</t>
    <phoneticPr fontId="3" type="noConversion"/>
  </si>
  <si>
    <t>대법원 1972. 11. 30.자 72마787 결정</t>
    <phoneticPr fontId="3" type="noConversion"/>
  </si>
  <si>
    <t>대법원 1983. 4. 12. 선고 80다3251 판결</t>
    <phoneticPr fontId="3" type="noConversion"/>
  </si>
  <si>
    <t>대법원 1964. 9. 15. 선고 64다92 판결</t>
    <phoneticPr fontId="3" type="noConversion"/>
  </si>
  <si>
    <t>대법원 1981. 7. 14. 선고 81다64,65 판결</t>
    <phoneticPr fontId="3" type="noConversion"/>
  </si>
  <si>
    <t>대법원 1996. 9. 20. 선고 93다20177,20184 판결</t>
    <phoneticPr fontId="3" type="noConversion"/>
  </si>
  <si>
    <t>대법원 1991. 1. 15. 선고 90다카25970 판결</t>
    <phoneticPr fontId="3" type="noConversion"/>
  </si>
  <si>
    <t>대법원 1989. 10. 10. 선고 88다카18023 판결</t>
    <phoneticPr fontId="3" type="noConversion"/>
  </si>
  <si>
    <t>대법원 1993. 8. 24. 선고 93다22074 판결</t>
    <phoneticPr fontId="3" type="noConversion"/>
  </si>
  <si>
    <t>대법원 2022. 6. 30. 선고 2021다239301 판결</t>
    <phoneticPr fontId="3" type="noConversion"/>
  </si>
  <si>
    <t>대법원 1967. 7. 18. 선고 67다1042 판결</t>
    <phoneticPr fontId="3" type="noConversion"/>
  </si>
  <si>
    <t>헌법재판소 2012. 11. 29. 선고 2012헌바180 전원재판부 결정</t>
    <phoneticPr fontId="3" type="noConversion"/>
  </si>
  <si>
    <t>대법원 1987. 11. 10. 선고 87다카1405 판결</t>
    <phoneticPr fontId="3" type="noConversion"/>
  </si>
  <si>
    <t>대법원 2022. 3. 31. 선고 2020다271919 판결</t>
    <phoneticPr fontId="3" type="noConversion"/>
  </si>
  <si>
    <t>대법원 2004. 9. 24. 선고 2004다28047 판결</t>
    <phoneticPr fontId="3" type="noConversion"/>
  </si>
  <si>
    <t>대법원 1962. 5. 31. 선고 4293민재6 판결</t>
    <phoneticPr fontId="3" type="noConversion"/>
  </si>
  <si>
    <t>대법원 2012. 9. 13. 선고 2010다97846 판결</t>
    <phoneticPr fontId="3" type="noConversion"/>
  </si>
  <si>
    <t>대법원 1975. 11. 11. 선고 74다634 판결</t>
    <phoneticPr fontId="3" type="noConversion"/>
  </si>
  <si>
    <t>대법원 1965. 3. 2. 선고 64다1514 판결</t>
    <phoneticPr fontId="3" type="noConversion"/>
  </si>
  <si>
    <t>대법원 1962. 2. 1. 선고 4294민상914 전원합의체 판결</t>
    <phoneticPr fontId="3" type="noConversion"/>
  </si>
  <si>
    <t>대법원 2020. 10. 29. 선고 2016다35390 판결</t>
    <phoneticPr fontId="3" type="noConversion"/>
  </si>
  <si>
    <t>대법원 2013. 11. 21. 선고 2011두1917 전원합의체 판결</t>
    <phoneticPr fontId="3" type="noConversion"/>
  </si>
  <si>
    <t>대법원 2008. 2. 1. 선고 2005다42880 판결</t>
    <phoneticPr fontId="3" type="noConversion"/>
  </si>
  <si>
    <t>대법원 2013. 2. 28. 선고 2012다98225 판결</t>
    <phoneticPr fontId="3" type="noConversion"/>
  </si>
  <si>
    <t>대법원 1990. 3. 17.자 90그3 결정</t>
    <phoneticPr fontId="3" type="noConversion"/>
  </si>
  <si>
    <t>대법원 1979. 5. 15. 선고 78다1094 판결</t>
    <phoneticPr fontId="3" type="noConversion"/>
  </si>
  <si>
    <t>대법원 1994. 7. 29. 선고 92다25137 판결</t>
    <phoneticPr fontId="3" type="noConversion"/>
  </si>
  <si>
    <t>대법원 2014. 10. 8.자 2014마667 전원합의체 결정</t>
    <phoneticPr fontId="3" type="noConversion"/>
  </si>
  <si>
    <t>대법원 1981. 9. 8. 선고 80다3271 전원합의체 판결</t>
    <phoneticPr fontId="3" type="noConversion"/>
  </si>
  <si>
    <t>대법원 2011. 9. 29. 선고 2010다65818 판결</t>
    <phoneticPr fontId="3" type="noConversion"/>
  </si>
  <si>
    <t>대법원 2017. 12. 5. 선고 2017다237339 판결</t>
    <phoneticPr fontId="3" type="noConversion"/>
  </si>
  <si>
    <t>대법원 1996. 2. 9. 선고 94다50274 판결</t>
    <phoneticPr fontId="3" type="noConversion"/>
  </si>
  <si>
    <t>대법원 2000. 5. 24.자 98마1839 결정</t>
    <phoneticPr fontId="3" type="noConversion"/>
  </si>
  <si>
    <t>대법원 2008. 3. 14. 선고 2006다2940 판결</t>
    <phoneticPr fontId="3" type="noConversion"/>
  </si>
  <si>
    <t>대법원 2001. 12. 24. 선고 2001다62213 판결</t>
    <phoneticPr fontId="3" type="noConversion"/>
  </si>
  <si>
    <t>대법원 1989. 6. 27. 선고 87다카2478 판결</t>
    <phoneticPr fontId="3" type="noConversion"/>
  </si>
  <si>
    <t>대법원 2019. 1. 17. 선고 2018다24349 판결</t>
    <phoneticPr fontId="3" type="noConversion"/>
  </si>
  <si>
    <t>대법원 1994. 12. 27. 선고 94다4684 판결</t>
    <phoneticPr fontId="3" type="noConversion"/>
  </si>
  <si>
    <t>대법원 2000. 1. 21. 선고 99다3501 판결</t>
    <phoneticPr fontId="3" type="noConversion"/>
  </si>
  <si>
    <t>대법원 1987. 3. 24. 선고 86다카1958 판결</t>
    <phoneticPr fontId="3" type="noConversion"/>
  </si>
  <si>
    <t>대법원 1995. 3. 24. 선고 93다52488 판결</t>
    <phoneticPr fontId="3" type="noConversion"/>
  </si>
  <si>
    <t>대법원 2003. 4. 8. 선고 2002다70181 판결</t>
    <phoneticPr fontId="3" type="noConversion"/>
  </si>
  <si>
    <t>대법원 2014. 3. 27. 선고 2011다49981 판결</t>
    <phoneticPr fontId="3" type="noConversion"/>
  </si>
  <si>
    <t>대법원 2009. 5. 28. 선고 2008다79876 판결</t>
    <phoneticPr fontId="3" type="noConversion"/>
  </si>
  <si>
    <t>대법원 1976. 12. 14. 선고 76다1488 판결</t>
    <phoneticPr fontId="3" type="noConversion"/>
  </si>
  <si>
    <t>대법원 2014. 1. 23. 선고 2013다64793 판결</t>
    <phoneticPr fontId="3" type="noConversion"/>
  </si>
  <si>
    <t>대법원 1993. 12. 21. 선고 92다46226 전원합의체 판결</t>
    <phoneticPr fontId="3" type="noConversion"/>
  </si>
  <si>
    <t>대법원 1998. 11. 24. 선고 98다25344 판결</t>
    <phoneticPr fontId="3" type="noConversion"/>
  </si>
  <si>
    <t>대법원 2009. 12. 24. 선고 2009다64215 판결</t>
    <phoneticPr fontId="3" type="noConversion"/>
  </si>
  <si>
    <t>대법원 2016. 6. 28. 선고 2014다31721 판결</t>
    <phoneticPr fontId="3" type="noConversion"/>
  </si>
  <si>
    <t>대법원 2000. 2. 25. 선고 99다55472 판결</t>
    <phoneticPr fontId="3" type="noConversion"/>
  </si>
  <si>
    <t>대법원 1995. 4. 25. 선고 94다17956 전원합의체 판결</t>
    <phoneticPr fontId="3" type="noConversion"/>
  </si>
  <si>
    <t>대법원 2013. 9. 13. 선고 2013다45457 판결</t>
    <phoneticPr fontId="3" type="noConversion"/>
  </si>
  <si>
    <t>대법원 1993. 6. 25. 선고 92다33008 판결</t>
    <phoneticPr fontId="3" type="noConversion"/>
  </si>
  <si>
    <t>대법원 2005. 7. 22. 선고 2004다17207 판결</t>
    <phoneticPr fontId="3" type="noConversion"/>
  </si>
  <si>
    <t>대법원 1975. 10. 21. 선고 75다48 판결</t>
    <phoneticPr fontId="3" type="noConversion"/>
  </si>
  <si>
    <t>대법원 2021. 8. 12. 선고 2021다215497 판결</t>
    <phoneticPr fontId="3" type="noConversion"/>
  </si>
  <si>
    <t>대법원 2010. 12. 23. 선고 2010다58889 판결</t>
    <phoneticPr fontId="3" type="noConversion"/>
  </si>
  <si>
    <t>대법원 1995. 5. 12. 선고 93다44531 판결</t>
    <phoneticPr fontId="3" type="noConversion"/>
  </si>
  <si>
    <t>대법원 2020. 9. 3. 선고 2020다210747 판결</t>
    <phoneticPr fontId="3" type="noConversion"/>
  </si>
  <si>
    <t>대법원 2002. 10. 11. 선고 2002다43851 판결</t>
    <phoneticPr fontId="3" type="noConversion"/>
  </si>
  <si>
    <t>대법원 1991. 1. 15. 선고 90다9964 판결</t>
    <phoneticPr fontId="3" type="noConversion"/>
  </si>
  <si>
    <t>대법원 1984. 9. 25. 선고 84다카148 판결</t>
    <phoneticPr fontId="3" type="noConversion"/>
  </si>
  <si>
    <t>대법원 2005. 11. 10. 선고 2005다34667,34674 판결</t>
    <phoneticPr fontId="3" type="noConversion"/>
  </si>
  <si>
    <t>대법원 2001. 4. 27. 선고 2001다13983 판결</t>
    <phoneticPr fontId="3" type="noConversion"/>
  </si>
  <si>
    <t>대법원 1988. 4. 25. 선고 87누399 판결</t>
    <phoneticPr fontId="3" type="noConversion"/>
  </si>
  <si>
    <t>대법원 1975. 5. 13. 선고 74다1664 전원합의체 판결</t>
    <phoneticPr fontId="3" type="noConversion"/>
  </si>
  <si>
    <t>대법원 2014. 1. 23. 선고 2011다108095 판결</t>
    <phoneticPr fontId="3" type="noConversion"/>
  </si>
  <si>
    <t>대법원 1993. 3. 26. 선고 92다32876 판결</t>
    <phoneticPr fontId="3" type="noConversion"/>
  </si>
  <si>
    <t>대법원 1994. 8. 12. 선고 93다52808 판결</t>
    <phoneticPr fontId="3" type="noConversion"/>
  </si>
  <si>
    <t>대법원 1995. 6. 29. 선고 94다47292 판결</t>
    <phoneticPr fontId="3" type="noConversion"/>
  </si>
  <si>
    <t>대법원 2018. 9. 13. 선고 2018다231031 판결</t>
    <phoneticPr fontId="3" type="noConversion"/>
  </si>
  <si>
    <t>대법원 1979. 8. 10.자 79마232 결정</t>
    <phoneticPr fontId="3" type="noConversion"/>
  </si>
  <si>
    <t>대법원 2000. 10. 27. 선고 2000다33775 판결</t>
    <phoneticPr fontId="3" type="noConversion"/>
  </si>
  <si>
    <t>대법원 1978. 5. 9. 선고 75다634 전원합의체 판결</t>
    <phoneticPr fontId="3" type="noConversion"/>
  </si>
  <si>
    <t>대법원 1985. 7. 9. 선고 85므12 판결</t>
    <phoneticPr fontId="3" type="noConversion"/>
  </si>
  <si>
    <t>대법원 2001. 11. 13. 선고 99다32899 판결</t>
    <phoneticPr fontId="3" type="noConversion"/>
  </si>
  <si>
    <t>대법원 1995. 12. 5. 선고 95다21808 판결</t>
    <phoneticPr fontId="3" type="noConversion"/>
  </si>
  <si>
    <t>대법원 1995. 6. 29. 선고 94다41430 판결</t>
    <phoneticPr fontId="3" type="noConversion"/>
  </si>
  <si>
    <t>대법원 1981. 3. 24. 선고 80다2220 판결</t>
    <phoneticPr fontId="3" type="noConversion"/>
  </si>
  <si>
    <t>대법원 2011. 8. 18. 선고 2011다30666,30673 판결</t>
    <phoneticPr fontId="3" type="noConversion"/>
  </si>
  <si>
    <t>대법원 1982. 7. 13. 선고 81다카1120 판결</t>
    <phoneticPr fontId="3" type="noConversion"/>
  </si>
  <si>
    <t>대법원 2014. 5. 29. 선고 2013다96868 판결</t>
    <phoneticPr fontId="3" type="noConversion"/>
  </si>
  <si>
    <t>대법원 1998. 7. 24. 선고 96다99 판결</t>
    <phoneticPr fontId="3" type="noConversion"/>
  </si>
  <si>
    <t>대법원 1992. 9. 14. 선고 92다7023 판결</t>
    <phoneticPr fontId="3" type="noConversion"/>
  </si>
  <si>
    <t>대법원 1993. 10. 26. 선고 93다6669 판결</t>
    <phoneticPr fontId="3" type="noConversion"/>
  </si>
  <si>
    <t>대법원 2009. 5. 28. 선고 2007다354 판결</t>
    <phoneticPr fontId="3" type="noConversion"/>
  </si>
  <si>
    <t>대법원 2008. 12. 11. 선고 2005다51471 판결</t>
    <phoneticPr fontId="3" type="noConversion"/>
  </si>
  <si>
    <t>대법원 2008. 12. 11. 선고 2006다5550 판결</t>
    <phoneticPr fontId="3" type="noConversion"/>
  </si>
  <si>
    <t>대법원 2002. 2. 8. 선고 2001다17633 판결</t>
    <phoneticPr fontId="3" type="noConversion"/>
  </si>
  <si>
    <t>대법원 1995. 7. 25. 선고 94다62017 판결</t>
    <phoneticPr fontId="3" type="noConversion"/>
  </si>
  <si>
    <t>대법원 2000. 11. 16. 선고 98다22253 전원합의체 판결</t>
    <phoneticPr fontId="3" type="noConversion"/>
  </si>
  <si>
    <t>대법원 1971. 3. 31. 선고 71다8 판결</t>
    <phoneticPr fontId="3" type="noConversion"/>
  </si>
  <si>
    <t>대법원 2008. 7. 24. 선고 2008다18376 판결</t>
    <phoneticPr fontId="3" type="noConversion"/>
  </si>
  <si>
    <t>대법원 1995. 1. 24. 선고 93다25875 판결</t>
    <phoneticPr fontId="3" type="noConversion"/>
  </si>
  <si>
    <t>대법원 1980. 11. 11. 선고 80다1182 판결</t>
    <phoneticPr fontId="3" type="noConversion"/>
  </si>
  <si>
    <t>대법원 2015. 5. 29. 선고 2014다235042,235059,235066 판결</t>
    <phoneticPr fontId="3" type="noConversion"/>
  </si>
  <si>
    <t>대법원 2006. 6. 29. 선고 2006다19061,19078 판결</t>
    <phoneticPr fontId="3" type="noConversion"/>
  </si>
  <si>
    <t>대법원 2021. 2. 4. 선고 2019다202795,202801 판결</t>
    <phoneticPr fontId="3" type="noConversion"/>
  </si>
  <si>
    <t>대법원 2019. 3. 14. 선고 2018다277785,277792 판결</t>
    <phoneticPr fontId="3" type="noConversion"/>
  </si>
  <si>
    <t>대법원 2008. 6. 12. 선고 2007다36445 판결</t>
    <phoneticPr fontId="3" type="noConversion"/>
  </si>
  <si>
    <t>대법원 1994. 5. 10. 선고 93다47196 판결</t>
    <phoneticPr fontId="3" type="noConversion"/>
  </si>
  <si>
    <t>대법원 2011. 6. 24. 선고 2011다1323 판결</t>
    <phoneticPr fontId="3" type="noConversion"/>
  </si>
  <si>
    <t>대법원 2012. 2. 16. 선고 2010다82530 전원합의체 판결</t>
    <phoneticPr fontId="3" type="noConversion"/>
  </si>
  <si>
    <t>대법원 1994. 10. 25. 선고 93다54064 판결</t>
    <phoneticPr fontId="3" type="noConversion"/>
  </si>
  <si>
    <t>대법원 2008. 10. 9. 선고 2005다72430 판결</t>
    <phoneticPr fontId="3" type="noConversion"/>
  </si>
  <si>
    <t>대법원 2005. 9. 15. 선고 2004다44971 전원합의체 판결</t>
    <phoneticPr fontId="3" type="noConversion"/>
  </si>
  <si>
    <t>대법원 1994. 12. 27. 선고 93다32880,32897 판결</t>
    <phoneticPr fontId="3" type="noConversion"/>
  </si>
  <si>
    <t>대법원 2021. 7. 22. 선고 2020다284977 전원합의체 판결</t>
    <phoneticPr fontId="3" type="noConversion"/>
  </si>
  <si>
    <t>대법원 2003. 12. 12. 선고 2003다44615,44622 판결</t>
    <phoneticPr fontId="3" type="noConversion"/>
  </si>
  <si>
    <t>대법원 2007. 8. 24. 선고 2006다40980 판결</t>
    <phoneticPr fontId="3" type="noConversion"/>
  </si>
  <si>
    <t>대법원 1991. 12. 27. 선고 91다23486 판결</t>
    <phoneticPr fontId="3" type="noConversion"/>
  </si>
  <si>
    <t>대법원 2011. 9. 29. 선고 2009다7076 판결</t>
    <phoneticPr fontId="3" type="noConversion"/>
  </si>
  <si>
    <t>대법원 2007. 6. 26.자 2007마515 결정</t>
    <phoneticPr fontId="3" type="noConversion"/>
  </si>
  <si>
    <t>대법원 2012. 9. 27. 선고 2011다76747 판결</t>
    <phoneticPr fontId="3" type="noConversion"/>
  </si>
  <si>
    <t>대법원 2018. 12. 27. 선고 2016다202763 판결</t>
    <phoneticPr fontId="3" type="noConversion"/>
  </si>
  <si>
    <t>대법원 2015. 6. 11. 선고 2014다232913 판결</t>
    <phoneticPr fontId="3" type="noConversion"/>
  </si>
  <si>
    <t>대법원 2015. 3. 20. 선고 2014다75202 판결</t>
    <phoneticPr fontId="3" type="noConversion"/>
  </si>
  <si>
    <t>대법원 1997. 7. 25. 선고 97다362 판결</t>
    <phoneticPr fontId="3" type="noConversion"/>
  </si>
  <si>
    <t>대법원 1999. 7. 9. 선고 99다12796 판결</t>
    <phoneticPr fontId="3" type="noConversion"/>
  </si>
  <si>
    <t>대법원 2007. 2. 22. 선고 2006다75641 판결</t>
    <phoneticPr fontId="3" type="noConversion"/>
  </si>
  <si>
    <t>대법원 1994. 12. 27. 선고 92다22473,22480 판결</t>
    <phoneticPr fontId="3" type="noConversion"/>
  </si>
  <si>
    <t>대법원 2007. 11. 29. 선고 2007다53310 판결</t>
    <phoneticPr fontId="3" type="noConversion"/>
  </si>
  <si>
    <t>대법원 2015. 5. 28. 선고 2012다78184 판결</t>
    <phoneticPr fontId="3" type="noConversion"/>
  </si>
  <si>
    <t>대법원 2020. 1. 30. 선고 2019다268252 판결</t>
    <phoneticPr fontId="3" type="noConversion"/>
  </si>
  <si>
    <t>대법원 2015. 10. 29. 선고 2014다13044 판결</t>
    <phoneticPr fontId="3" type="noConversion"/>
  </si>
  <si>
    <t>대법원 2017. 4. 26. 선고 2014다221777,221784 판결</t>
    <phoneticPr fontId="3" type="noConversion"/>
  </si>
  <si>
    <t>대법원 2022. 10. 14. 선고 2022다241608, 241615 판결</t>
    <phoneticPr fontId="3" type="noConversion"/>
  </si>
  <si>
    <t>대법원 2014. 6. 12. 선고 2012다47548,47555 판결</t>
    <phoneticPr fontId="3" type="noConversion"/>
  </si>
  <si>
    <t>대법원 2007. 2. 8. 선고 2006다62188 판결</t>
    <phoneticPr fontId="3" type="noConversion"/>
  </si>
  <si>
    <t>대법원 2009. 1. 30. 선고 2007다9030,9047 판결</t>
    <phoneticPr fontId="3" type="noConversion"/>
  </si>
  <si>
    <t>대법원 2005. 5. 26. 선고 2004다25901,25918 판결</t>
    <phoneticPr fontId="3" type="noConversion"/>
  </si>
  <si>
    <t>대법원 1995. 12. 8. 선고 95다44191 판결</t>
    <phoneticPr fontId="3" type="noConversion"/>
  </si>
  <si>
    <t>대법원 2014. 11. 13. 선고 2009다71312,71329,71336,71343 판결</t>
    <phoneticPr fontId="3" type="noConversion"/>
  </si>
  <si>
    <t>대법원 2007. 12. 14. 선고 2007다37776,37783 판결</t>
    <phoneticPr fontId="3" type="noConversion"/>
  </si>
  <si>
    <t>대법원 2007. 10. 26. 선고 2006다86573,86580 판결</t>
    <phoneticPr fontId="3" type="noConversion"/>
  </si>
  <si>
    <t>대법원 2002. 3. 15. 선고 2000다9086 판결</t>
    <phoneticPr fontId="3" type="noConversion"/>
  </si>
  <si>
    <t>대법원 2015. 7. 23. 선고 2013다30301,30325 판결</t>
    <phoneticPr fontId="3" type="noConversion"/>
  </si>
  <si>
    <t>대법원 1998. 1. 23. 선고 96다41496 판결</t>
    <phoneticPr fontId="3" type="noConversion"/>
  </si>
  <si>
    <t>대법원 2014. 10. 27. 선고 2013다67105,67112 판결</t>
    <phoneticPr fontId="3" type="noConversion"/>
  </si>
  <si>
    <t>대법원 2012. 4. 26. 선고 2011다85789 판결</t>
    <phoneticPr fontId="3" type="noConversion"/>
  </si>
  <si>
    <t>대법원 2019. 10. 23. 선고 2012다46170 전원합의체 판결</t>
    <phoneticPr fontId="3" type="noConversion"/>
  </si>
  <si>
    <t>대법원 2005. 10. 27. 선고 2003다66691 판결</t>
    <phoneticPr fontId="3" type="noConversion"/>
  </si>
  <si>
    <t>대법원 2006. 5. 2.자 2005마933 결정</t>
    <phoneticPr fontId="3" type="noConversion"/>
  </si>
  <si>
    <t>대법원 1987. 6. 23. 선고 86다카2728 판결</t>
    <phoneticPr fontId="3" type="noConversion"/>
  </si>
  <si>
    <t>대법원 2007. 11. 29. 선고 2007다52317,52324 판결</t>
    <phoneticPr fontId="3" type="noConversion"/>
  </si>
  <si>
    <t>대법원 1997. 10. 24. 선고 96다12276 판결</t>
    <phoneticPr fontId="3" type="noConversion"/>
  </si>
  <si>
    <t>대법원 1994. 6. 28. 선고 94다3063 판결</t>
    <phoneticPr fontId="3" type="noConversion"/>
  </si>
  <si>
    <t>대법원 2018. 8. 30. 선고 2016다46338,46345 판결</t>
    <phoneticPr fontId="3" type="noConversion"/>
  </si>
  <si>
    <t>대법원 1992. 3. 27. 선고 91다40696 판결</t>
    <phoneticPr fontId="3" type="noConversion"/>
  </si>
  <si>
    <t>대법원 2015. 10. 29. 선고 2013다45037 판결</t>
    <phoneticPr fontId="3" type="noConversion"/>
  </si>
  <si>
    <t>대법원 2001. 4. 27. 선고 99다30312 판결</t>
    <phoneticPr fontId="3" type="noConversion"/>
  </si>
  <si>
    <t>대법원 1996. 4. 9. 선고 95다14572 판결</t>
    <phoneticPr fontId="3" type="noConversion"/>
  </si>
  <si>
    <t>대법원 2017. 9. 21. 선고 2017다233931 판결</t>
    <phoneticPr fontId="3" type="noConversion"/>
  </si>
  <si>
    <t>대법원 2017. 1. 12. 선고 2016다241249 판결</t>
    <phoneticPr fontId="3" type="noConversion"/>
  </si>
  <si>
    <t>대법원 2022. 10. 14. 선고 2022다252387 판결</t>
    <phoneticPr fontId="3" type="noConversion"/>
  </si>
  <si>
    <t>대법원 1995. 3. 10. 선고 94다51543 판결</t>
    <phoneticPr fontId="3" type="noConversion"/>
  </si>
  <si>
    <t>대법원 1994. 12. 23. 선고 94다44644 판결</t>
    <phoneticPr fontId="3" type="noConversion"/>
  </si>
  <si>
    <t>대법원 1980. 7. 8. 선고 80다1192 판결</t>
    <phoneticPr fontId="3" type="noConversion"/>
  </si>
  <si>
    <t>대법원 1983. 12. 27. 선고 83다카1503 판결</t>
    <phoneticPr fontId="3" type="noConversion"/>
  </si>
  <si>
    <t>대법원 2005. 8. 19. 선고 2004다8197,8203 판결</t>
    <phoneticPr fontId="3" type="noConversion"/>
  </si>
  <si>
    <t>대법원 2003. 9. 26. 선고 2001다68914 판결</t>
    <phoneticPr fontId="3" type="noConversion"/>
  </si>
  <si>
    <t>대법원 1995. 7. 25. 선고 95다14817 판결</t>
    <phoneticPr fontId="3" type="noConversion"/>
  </si>
  <si>
    <t>대법원 2013. 8. 23. 선고 2013다28971 판결</t>
    <phoneticPr fontId="3" type="noConversion"/>
  </si>
  <si>
    <t>대법원 2006. 10. 13. 선고 2004두10227 판결</t>
    <phoneticPr fontId="3" type="noConversion"/>
  </si>
  <si>
    <t>대법원 2011. 1. 13. 선고 2010다69940 판결</t>
    <phoneticPr fontId="3" type="noConversion"/>
  </si>
  <si>
    <t>대법원 2005. 1. 28. 선고 2004다38624 판결</t>
    <phoneticPr fontId="3" type="noConversion"/>
  </si>
  <si>
    <t>대법원 2001. 1. 16. 선고 2000다41349 판결</t>
    <phoneticPr fontId="3" type="noConversion"/>
  </si>
  <si>
    <t>대법원 1998. 12. 11. 선고 97재다445 판결</t>
    <phoneticPr fontId="3" type="noConversion"/>
  </si>
  <si>
    <t>대법원 2013. 2. 28. 선고 2011다31706 판결</t>
    <phoneticPr fontId="3" type="noConversion"/>
  </si>
  <si>
    <t>대법원 2014. 6. 12. 선고 2014다11376,11383 판결</t>
    <phoneticPr fontId="3" type="noConversion"/>
  </si>
  <si>
    <t>대법원 2001. 3. 15. 선고 98두15597 전원합의체 판결</t>
    <phoneticPr fontId="3" type="noConversion"/>
  </si>
  <si>
    <t>대법원 2012. 1. 12. 선고 2010다87757 판결</t>
    <phoneticPr fontId="3" type="noConversion"/>
  </si>
  <si>
    <t>대법원 2012. 3. 29. 선고 2011다106136 판결</t>
    <phoneticPr fontId="3" type="noConversion"/>
  </si>
  <si>
    <t>대법원 2004. 4. 28.자 2004스19 결정</t>
    <phoneticPr fontId="3" type="noConversion"/>
  </si>
  <si>
    <t>대법원 2007. 7. 2.자 2006마409 결정</t>
    <phoneticPr fontId="3" type="noConversion"/>
  </si>
  <si>
    <t>대법원 1984. 4. 28.자 84마251 결정</t>
    <phoneticPr fontId="3" type="noConversion"/>
  </si>
  <si>
    <t>대법원 2008. 1. 24.자 2007그18 결정</t>
    <phoneticPr fontId="3" type="noConversion"/>
  </si>
  <si>
    <t>대법원 2001. 2. 28.자 2001그4 결정</t>
    <phoneticPr fontId="3" type="noConversion"/>
  </si>
  <si>
    <t>대법원 2012. 12. 27. 선고 2012다75239 판결</t>
    <phoneticPr fontId="3" type="noConversion"/>
  </si>
  <si>
    <t>대법원 2015. 12. 23. 선고 2013다17124 판결</t>
    <phoneticPr fontId="3" type="noConversion"/>
  </si>
  <si>
    <t>대법원 1995. 2. 14. 선고 93재다27,34 전원합의체 판결</t>
    <phoneticPr fontId="3" type="noConversion"/>
  </si>
  <si>
    <t>대법원 1996. 5. 31. 선고 95다33993 판결</t>
    <phoneticPr fontId="3" type="noConversion"/>
  </si>
  <si>
    <t>대법원 1991. 11. 12. 선고 91다29057 판결</t>
    <phoneticPr fontId="3" type="noConversion"/>
  </si>
  <si>
    <t>대법원 1989. 10. 24. 선고 88다카29658 판결</t>
    <phoneticPr fontId="3" type="noConversion"/>
  </si>
  <si>
    <t>대법원 1999. 2. 26. 선고 98다47290 판결</t>
    <phoneticPr fontId="3" type="noConversion"/>
  </si>
  <si>
    <t>대법원 2012. 6. 14. 선고 2010다86112 판결</t>
    <phoneticPr fontId="3" type="noConversion"/>
  </si>
  <si>
    <t>대법원 2011. 7. 21. 선고 2011재다199 전원합의체 판결</t>
    <phoneticPr fontId="3" type="noConversion"/>
  </si>
  <si>
    <t>대법원 1984. 2. 28. 선고 83다카1981 전원합의체 판결</t>
    <phoneticPr fontId="3" type="noConversion"/>
  </si>
  <si>
    <t>대법원 2005. 6. 24. 선고 2003다55936 판결</t>
    <phoneticPr fontId="3" type="noConversion"/>
  </si>
  <si>
    <t>대법원 1998. 10. 9. 선고 96다44051 판결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</si>
</sst>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1" formatCode="_-* #,##0_-;\-* #,##0_-;_-* &quot;-&quot;_-;_-@_-"/>
    <numFmt numFmtId="176" formatCode="#,##0_ "/>
    <numFmt numFmtId="177" formatCode="mm\.dd"/>
    <numFmt numFmtId="178" formatCode="#,###_-"/>
    <numFmt numFmtId="179" formatCode="####_-"/>
    <numFmt numFmtId="180" formatCode="####"/>
    <numFmt numFmtId="181" formatCode="####.##"/>
  </numFmts>
  <fonts count="22" x14ac:knownFonts="1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함초롬돋움"/>
      <family val="3"/>
      <charset val="129"/>
    </font>
    <font>
      <b/>
      <sz val="10"/>
      <color theme="1"/>
      <name val="함초롬돋움"/>
      <family val="3"/>
      <charset val="129"/>
    </font>
    <font>
      <sz val="10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b/>
      <sz val="10"/>
      <name val="함초롬돋움"/>
      <family val="3"/>
      <charset val="129"/>
    </font>
    <font>
      <sz val="9"/>
      <color theme="1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b/>
      <sz val="10"/>
      <color rgb="FF000000"/>
      <name val="함초롬돋움"/>
      <family val="3"/>
      <charset val="129"/>
    </font>
    <font>
      <b/>
      <sz val="7"/>
      <color theme="1"/>
      <name val="함초롬돋움"/>
      <family val="3"/>
      <charset val="129"/>
    </font>
    <font>
      <b/>
      <sz val="7"/>
      <color rgb="FFFF0000"/>
      <name val="함초롬돋움"/>
      <family val="3"/>
      <charset val="129"/>
    </font>
    <font>
      <b/>
      <sz val="8"/>
      <color theme="1"/>
      <name val="함초롬돋움"/>
      <family val="3"/>
      <charset val="129"/>
    </font>
    <font>
      <b/>
      <sz val="8"/>
      <color theme="0"/>
      <name val="함초롬돋움"/>
      <family val="3"/>
      <charset val="129"/>
    </font>
    <font>
      <b/>
      <sz val="10"/>
      <color theme="8" tint="0.79998168889431442"/>
      <name val="함초롬돋움"/>
      <family val="3"/>
      <charset val="129"/>
    </font>
    <font>
      <b/>
      <sz val="10"/>
      <color theme="9" tint="0.79998168889431442"/>
      <name val="함초롬돋움"/>
      <family val="3"/>
      <charset val="129"/>
    </font>
    <font>
      <b/>
      <sz val="10"/>
      <color theme="0" tint="-0.14999847407452621"/>
      <name val="함초롬돋움"/>
      <family val="3"/>
      <charset val="129"/>
    </font>
    <font>
      <b/>
      <sz val="10"/>
      <color rgb="FFDDEBF7"/>
      <name val="함초롬돋움"/>
      <family val="3"/>
      <charset val="129"/>
    </font>
    <font>
      <b/>
      <sz val="10"/>
      <color rgb="FFD9D9D9"/>
      <name val="함초롬돋움"/>
      <family val="3"/>
      <charset val="129"/>
    </font>
  </fonts>
  <fills count="1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</fills>
  <borders count="9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/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/>
      <top style="medium">
        <color indexed="64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/>
      <diagonal/>
    </border>
    <border>
      <left style="thin">
        <color auto="1"/>
      </left>
      <right style="thin">
        <color auto="1"/>
      </right>
      <top style="dotted">
        <color rgb="FFA6A6A6"/>
      </top>
      <bottom/>
      <diagonal/>
    </border>
    <border>
      <left style="thin">
        <color auto="1"/>
      </left>
      <right style="medium">
        <color indexed="64"/>
      </right>
      <top style="dotted">
        <color rgb="FFA6A6A6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rgb="FFA6A6A6"/>
      </bottom>
      <diagonal/>
    </border>
    <border>
      <left/>
      <right style="thin">
        <color auto="1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/>
      <top style="thin">
        <color auto="1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/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/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/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/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thin">
        <color indexed="64"/>
      </bottom>
      <diagonal/>
    </border>
    <border>
      <left/>
      <right style="thin">
        <color auto="1"/>
      </right>
      <top style="dotted">
        <color rgb="FFA6A6A6"/>
      </top>
      <bottom style="thin">
        <color indexed="64"/>
      </bottom>
      <diagonal/>
    </border>
    <border>
      <left style="thin">
        <color auto="1"/>
      </left>
      <right/>
      <top style="dotted">
        <color rgb="FFA6A6A6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</borders>
  <cellStyleXfs count="13">
    <xf numFmtId="0" fontId="0" fillId="0" borderId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  <xf numFmtId="0" fontId="11" fillId="0" borderId="0"/>
    <xf numFmtId="41" fontId="1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1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  <xf numFmtId="41" fontId="11" fillId="0" borderId="0" applyFont="0" applyFill="0" applyBorder="0" applyAlignment="0" applyProtection="0">
      <alignment vertical="center"/>
    </xf>
  </cellStyleXfs>
  <cellXfs count="298">
    <xf numFmtId="0" fontId="0" fillId="0" borderId="0" xfId="0">
      <alignment vertical="center"/>
    </xf>
    <xf numFmtId="0" fontId="4" fillId="0" borderId="0" xfId="0" applyFo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vertical="top" wrapText="1"/>
    </xf>
    <xf numFmtId="0" fontId="7" fillId="3" borderId="2" xfId="0" applyFont="1" applyFill="1" applyBorder="1" applyAlignment="1">
      <alignment horizontal="center" vertical="center"/>
    </xf>
    <xf numFmtId="0" fontId="5" fillId="0" borderId="26" xfId="0" applyFont="1" applyBorder="1" applyAlignment="1"/>
    <xf numFmtId="0" fontId="5" fillId="5" borderId="26" xfId="0" applyFont="1" applyFill="1" applyBorder="1" applyAlignment="1"/>
    <xf numFmtId="0" fontId="13" fillId="0" borderId="26" xfId="0" applyFont="1" applyBorder="1" applyAlignment="1">
      <alignment horizontal="center"/>
    </xf>
    <xf numFmtId="0" fontId="14" fillId="0" borderId="26" xfId="0" applyFont="1" applyBorder="1" applyAlignment="1"/>
    <xf numFmtId="0" fontId="5" fillId="0" borderId="27" xfId="0" applyFont="1" applyBorder="1" applyAlignment="1"/>
    <xf numFmtId="0" fontId="15" fillId="0" borderId="28" xfId="0" applyFont="1" applyBorder="1" applyAlignment="1"/>
    <xf numFmtId="0" fontId="15" fillId="0" borderId="26" xfId="0" applyFont="1" applyBorder="1" applyAlignment="1"/>
    <xf numFmtId="0" fontId="15" fillId="0" borderId="27" xfId="0" applyFont="1" applyBorder="1" applyAlignment="1"/>
    <xf numFmtId="0" fontId="5" fillId="0" borderId="28" xfId="0" applyFont="1" applyBorder="1" applyAlignment="1"/>
    <xf numFmtId="49" fontId="4" fillId="0" borderId="0" xfId="0" applyNumberFormat="1" applyFont="1" applyAlignment="1">
      <alignment horizontal="center" vertical="center"/>
    </xf>
    <xf numFmtId="0" fontId="9" fillId="0" borderId="0" xfId="0" applyFont="1">
      <alignment vertical="center"/>
    </xf>
    <xf numFmtId="0" fontId="7" fillId="3" borderId="1" xfId="0" applyFont="1" applyFill="1" applyBorder="1" applyAlignment="1">
      <alignment horizontal="center" vertical="center"/>
    </xf>
    <xf numFmtId="49" fontId="4" fillId="0" borderId="1" xfId="0" applyNumberFormat="1" applyFont="1" applyBorder="1" applyAlignment="1">
      <alignment horizontal="center" vertical="center"/>
    </xf>
    <xf numFmtId="0" fontId="4" fillId="0" borderId="1" xfId="0" applyFont="1" applyBorder="1">
      <alignment vertical="center"/>
    </xf>
    <xf numFmtId="49" fontId="4" fillId="0" borderId="1" xfId="0" applyNumberFormat="1" applyFont="1" applyBorder="1" applyAlignment="1">
      <alignment horizontal="left" vertical="center"/>
    </xf>
    <xf numFmtId="0" fontId="9" fillId="0" borderId="0" xfId="0" applyFont="1" applyAlignment="1">
      <alignment horizontal="center" vertical="center"/>
    </xf>
    <xf numFmtId="49" fontId="9" fillId="0" borderId="0" xfId="0" applyNumberFormat="1" applyFont="1" applyAlignment="1">
      <alignment horizontal="center" vertical="center"/>
    </xf>
    <xf numFmtId="0" fontId="4" fillId="0" borderId="1" xfId="0" applyFont="1" applyBorder="1" applyAlignment="1">
      <alignment vertical="top" wrapText="1"/>
    </xf>
    <xf numFmtId="0" fontId="4" fillId="2" borderId="1" xfId="0" applyFont="1" applyFill="1" applyBorder="1" applyAlignment="1">
      <alignment horizontal="center" vertical="center"/>
    </xf>
    <xf numFmtId="0" fontId="5" fillId="6" borderId="26" xfId="0" applyFont="1" applyFill="1" applyBorder="1" applyAlignment="1"/>
    <xf numFmtId="0" fontId="5" fillId="7" borderId="26" xfId="0" applyFont="1" applyFill="1" applyBorder="1" applyAlignment="1"/>
    <xf numFmtId="0" fontId="5" fillId="8" borderId="26" xfId="0" applyFont="1" applyFill="1" applyBorder="1" applyAlignment="1"/>
    <xf numFmtId="0" fontId="5" fillId="9" borderId="26" xfId="0" applyFont="1" applyFill="1" applyBorder="1" applyAlignment="1"/>
    <xf numFmtId="0" fontId="4" fillId="0" borderId="0" xfId="0" applyFont="1" applyAlignment="1">
      <alignment horizontal="left" vertical="top" wrapText="1"/>
    </xf>
    <xf numFmtId="0" fontId="7" fillId="3" borderId="18" xfId="0" applyFont="1" applyFill="1" applyBorder="1" applyAlignment="1">
      <alignment horizontal="left" vertical="top" wrapText="1"/>
    </xf>
    <xf numFmtId="0" fontId="12" fillId="0" borderId="0" xfId="0" applyFont="1" applyAlignment="1">
      <alignment vertical="center" wrapText="1"/>
    </xf>
    <xf numFmtId="0" fontId="5" fillId="2" borderId="22" xfId="0" applyFont="1" applyFill="1" applyBorder="1" applyAlignment="1">
      <alignment horizontal="left" vertical="top"/>
    </xf>
    <xf numFmtId="0" fontId="5" fillId="2" borderId="23" xfId="0" applyFont="1" applyFill="1" applyBorder="1" applyAlignment="1">
      <alignment horizontal="left" vertical="top"/>
    </xf>
    <xf numFmtId="0" fontId="7" fillId="3" borderId="34" xfId="0" applyFont="1" applyFill="1" applyBorder="1" applyAlignment="1">
      <alignment horizontal="center" vertical="center"/>
    </xf>
    <xf numFmtId="0" fontId="7" fillId="3" borderId="36" xfId="0" applyFont="1" applyFill="1" applyBorder="1" applyAlignment="1">
      <alignment horizontal="center" vertical="center"/>
    </xf>
    <xf numFmtId="0" fontId="7" fillId="3" borderId="2" xfId="0" applyFont="1" applyFill="1" applyBorder="1" applyAlignment="1">
      <alignment horizontal="center" vertical="top"/>
    </xf>
    <xf numFmtId="0" fontId="7" fillId="3" borderId="46" xfId="0" applyFont="1" applyFill="1" applyBorder="1" applyAlignment="1">
      <alignment horizontal="center" vertical="center"/>
    </xf>
    <xf numFmtId="0" fontId="7" fillId="3" borderId="24" xfId="0" applyFont="1" applyFill="1" applyBorder="1" applyAlignment="1">
      <alignment horizontal="center" vertical="center"/>
    </xf>
    <xf numFmtId="0" fontId="7" fillId="3" borderId="18" xfId="0" applyFont="1" applyFill="1" applyBorder="1" applyAlignment="1">
      <alignment horizontal="center" vertical="center"/>
    </xf>
    <xf numFmtId="0" fontId="5" fillId="4" borderId="29" xfId="0" applyFont="1" applyFill="1" applyBorder="1" applyAlignment="1">
      <alignment horizontal="left"/>
    </xf>
    <xf numFmtId="0" fontId="4" fillId="2" borderId="30" xfId="0" applyFont="1" applyFill="1" applyBorder="1" applyAlignment="1">
      <alignment horizontal="center"/>
    </xf>
    <xf numFmtId="0" fontId="4" fillId="2" borderId="5" xfId="0" applyFont="1" applyFill="1" applyBorder="1" applyAlignment="1">
      <alignment horizontal="center"/>
    </xf>
    <xf numFmtId="0" fontId="4" fillId="2" borderId="13" xfId="0" applyFont="1" applyFill="1" applyBorder="1" applyAlignment="1">
      <alignment horizontal="center"/>
    </xf>
    <xf numFmtId="0" fontId="4" fillId="0" borderId="31" xfId="0" applyFont="1" applyBorder="1" applyAlignment="1">
      <alignment horizontal="left" wrapText="1"/>
    </xf>
    <xf numFmtId="0" fontId="4" fillId="0" borderId="8" xfId="0" applyFont="1" applyBorder="1" applyAlignment="1">
      <alignment horizontal="left" wrapText="1"/>
    </xf>
    <xf numFmtId="0" fontId="4" fillId="0" borderId="14" xfId="0" applyFont="1" applyBorder="1" applyAlignment="1">
      <alignment horizontal="left" wrapText="1"/>
    </xf>
    <xf numFmtId="0" fontId="7" fillId="3" borderId="17" xfId="0" applyFont="1" applyFill="1" applyBorder="1">
      <alignment vertical="center"/>
    </xf>
    <xf numFmtId="0" fontId="5" fillId="0" borderId="12" xfId="0" applyFont="1" applyBorder="1" applyAlignment="1">
      <alignment horizontal="left" vertical="top"/>
    </xf>
    <xf numFmtId="0" fontId="4" fillId="0" borderId="49" xfId="0" applyFont="1" applyBorder="1" applyAlignment="1">
      <alignment horizontal="left" vertical="top"/>
    </xf>
    <xf numFmtId="0" fontId="12" fillId="0" borderId="0" xfId="0" applyFont="1" applyAlignment="1">
      <alignment horizontal="center" vertical="center" wrapText="1"/>
    </xf>
    <xf numFmtId="0" fontId="7" fillId="3" borderId="49" xfId="0" applyFont="1" applyFill="1" applyBorder="1" applyAlignment="1">
      <alignment horizontal="center" vertical="center"/>
    </xf>
    <xf numFmtId="0" fontId="7" fillId="3" borderId="12" xfId="0" applyFont="1" applyFill="1" applyBorder="1" applyAlignment="1">
      <alignment horizontal="center" vertical="center"/>
    </xf>
    <xf numFmtId="0" fontId="4" fillId="0" borderId="0" xfId="0" applyFont="1" applyAlignment="1">
      <alignment vertical="center" wrapText="1"/>
    </xf>
    <xf numFmtId="0" fontId="7" fillId="3" borderId="52" xfId="0" applyFont="1" applyFill="1" applyBorder="1">
      <alignment vertical="center"/>
    </xf>
    <xf numFmtId="49" fontId="7" fillId="3" borderId="2" xfId="0" applyNumberFormat="1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top" wrapText="1"/>
    </xf>
    <xf numFmtId="0" fontId="4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7" fillId="3" borderId="1" xfId="0" applyFont="1" applyFill="1" applyBorder="1" applyAlignment="1">
      <alignment horizontal="left" vertical="center"/>
    </xf>
    <xf numFmtId="0" fontId="4" fillId="0" borderId="1" xfId="0" quotePrefix="1" applyFont="1" applyBorder="1" applyAlignment="1">
      <alignment horizontal="center" vertical="center"/>
    </xf>
    <xf numFmtId="0" fontId="5" fillId="4" borderId="34" xfId="0" applyFont="1" applyFill="1" applyBorder="1" applyAlignment="1">
      <alignment vertical="top" wrapText="1"/>
    </xf>
    <xf numFmtId="0" fontId="4" fillId="0" borderId="13" xfId="0" applyFont="1" applyBorder="1" applyAlignment="1">
      <alignment horizontal="center" vertical="top" wrapText="1"/>
    </xf>
    <xf numFmtId="0" fontId="7" fillId="3" borderId="15" xfId="0" applyFont="1" applyFill="1" applyBorder="1" applyAlignment="1">
      <alignment horizontal="center" vertical="center"/>
    </xf>
    <xf numFmtId="0" fontId="5" fillId="4" borderId="15" xfId="0" applyFont="1" applyFill="1" applyBorder="1" applyAlignment="1">
      <alignment vertical="top" wrapText="1"/>
    </xf>
    <xf numFmtId="178" fontId="4" fillId="0" borderId="1" xfId="0" applyNumberFormat="1" applyFont="1" applyBorder="1">
      <alignment vertical="center"/>
    </xf>
    <xf numFmtId="0" fontId="4" fillId="0" borderId="5" xfId="0" applyFont="1" applyBorder="1">
      <alignment vertical="center"/>
    </xf>
    <xf numFmtId="178" fontId="4" fillId="0" borderId="5" xfId="0" applyNumberFormat="1" applyFont="1" applyBorder="1">
      <alignment vertical="center"/>
    </xf>
    <xf numFmtId="0" fontId="7" fillId="3" borderId="55" xfId="0" applyFont="1" applyFill="1" applyBorder="1" applyAlignment="1">
      <alignment horizontal="center" vertical="center"/>
    </xf>
    <xf numFmtId="178" fontId="5" fillId="4" borderId="13" xfId="0" applyNumberFormat="1" applyFont="1" applyFill="1" applyBorder="1">
      <alignment vertical="center"/>
    </xf>
    <xf numFmtId="0" fontId="5" fillId="4" borderId="15" xfId="0" applyFont="1" applyFill="1" applyBorder="1">
      <alignment vertical="center"/>
    </xf>
    <xf numFmtId="0" fontId="17" fillId="4" borderId="10" xfId="0" applyFont="1" applyFill="1" applyBorder="1">
      <alignment vertical="center"/>
    </xf>
    <xf numFmtId="0" fontId="17" fillId="4" borderId="48" xfId="0" applyFont="1" applyFill="1" applyBorder="1">
      <alignment vertical="center"/>
    </xf>
    <xf numFmtId="0" fontId="5" fillId="4" borderId="41" xfId="0" applyFont="1" applyFill="1" applyBorder="1" applyAlignment="1">
      <alignment horizontal="center" vertical="center"/>
    </xf>
    <xf numFmtId="0" fontId="5" fillId="10" borderId="34" xfId="0" applyFont="1" applyFill="1" applyBorder="1">
      <alignment vertical="center"/>
    </xf>
    <xf numFmtId="0" fontId="18" fillId="10" borderId="35" xfId="0" applyFont="1" applyFill="1" applyBorder="1">
      <alignment vertical="center"/>
    </xf>
    <xf numFmtId="0" fontId="18" fillId="10" borderId="48" xfId="0" applyFont="1" applyFill="1" applyBorder="1">
      <alignment vertical="center"/>
    </xf>
    <xf numFmtId="0" fontId="5" fillId="10" borderId="58" xfId="0" applyFont="1" applyFill="1" applyBorder="1" applyAlignment="1">
      <alignment horizontal="right" vertical="center"/>
    </xf>
    <xf numFmtId="0" fontId="5" fillId="10" borderId="33" xfId="0" applyFont="1" applyFill="1" applyBorder="1">
      <alignment vertical="center"/>
    </xf>
    <xf numFmtId="178" fontId="5" fillId="10" borderId="57" xfId="0" applyNumberFormat="1" applyFont="1" applyFill="1" applyBorder="1">
      <alignment vertical="center"/>
    </xf>
    <xf numFmtId="0" fontId="17" fillId="4" borderId="35" xfId="0" applyFont="1" applyFill="1" applyBorder="1" applyAlignment="1">
      <alignment vertical="top" wrapText="1"/>
    </xf>
    <xf numFmtId="0" fontId="17" fillId="4" borderId="36" xfId="0" applyFont="1" applyFill="1" applyBorder="1" applyAlignment="1">
      <alignment vertical="top" wrapText="1"/>
    </xf>
    <xf numFmtId="0" fontId="5" fillId="4" borderId="24" xfId="0" applyFont="1" applyFill="1" applyBorder="1" applyAlignment="1">
      <alignment vertical="top" wrapText="1"/>
    </xf>
    <xf numFmtId="0" fontId="5" fillId="2" borderId="37" xfId="0" applyFont="1" applyFill="1" applyBorder="1" applyAlignment="1">
      <alignment vertical="top"/>
    </xf>
    <xf numFmtId="0" fontId="5" fillId="2" borderId="16" xfId="0" applyFont="1" applyFill="1" applyBorder="1" applyAlignment="1">
      <alignment vertical="top"/>
    </xf>
    <xf numFmtId="0" fontId="17" fillId="4" borderId="10" xfId="0" applyFont="1" applyFill="1" applyBorder="1" applyAlignment="1">
      <alignment vertical="top" wrapText="1"/>
    </xf>
    <xf numFmtId="0" fontId="17" fillId="4" borderId="19" xfId="0" applyFont="1" applyFill="1" applyBorder="1" applyAlignment="1">
      <alignment vertical="top" wrapText="1"/>
    </xf>
    <xf numFmtId="0" fontId="17" fillId="4" borderId="56" xfId="0" applyFont="1" applyFill="1" applyBorder="1" applyAlignment="1">
      <alignment vertical="top" wrapText="1"/>
    </xf>
    <xf numFmtId="0" fontId="17" fillId="4" borderId="48" xfId="0" applyFont="1" applyFill="1" applyBorder="1" applyAlignment="1">
      <alignment vertical="top" wrapText="1"/>
    </xf>
    <xf numFmtId="0" fontId="19" fillId="2" borderId="38" xfId="0" applyFont="1" applyFill="1" applyBorder="1" applyAlignment="1">
      <alignment vertical="top"/>
    </xf>
    <xf numFmtId="0" fontId="19" fillId="2" borderId="40" xfId="0" applyFont="1" applyFill="1" applyBorder="1" applyAlignment="1">
      <alignment vertical="top"/>
    </xf>
    <xf numFmtId="0" fontId="19" fillId="2" borderId="39" xfId="0" applyFont="1" applyFill="1" applyBorder="1" applyAlignment="1">
      <alignment vertical="top"/>
    </xf>
    <xf numFmtId="179" fontId="5" fillId="4" borderId="23" xfId="0" applyNumberFormat="1" applyFont="1" applyFill="1" applyBorder="1">
      <alignment vertical="center"/>
    </xf>
    <xf numFmtId="179" fontId="5" fillId="10" borderId="39" xfId="0" applyNumberFormat="1" applyFont="1" applyFill="1" applyBorder="1">
      <alignment vertical="center"/>
    </xf>
    <xf numFmtId="49" fontId="4" fillId="0" borderId="8" xfId="0" applyNumberFormat="1" applyFont="1" applyBorder="1">
      <alignment vertical="center"/>
    </xf>
    <xf numFmtId="49" fontId="4" fillId="0" borderId="11" xfId="0" applyNumberFormat="1" applyFont="1" applyBorder="1">
      <alignment vertical="center"/>
    </xf>
    <xf numFmtId="49" fontId="4" fillId="4" borderId="14" xfId="0" applyNumberFormat="1" applyFont="1" applyFill="1" applyBorder="1">
      <alignment vertical="center"/>
    </xf>
    <xf numFmtId="49" fontId="4" fillId="10" borderId="47" xfId="0" applyNumberFormat="1" applyFont="1" applyFill="1" applyBorder="1">
      <alignment vertical="center"/>
    </xf>
    <xf numFmtId="49" fontId="4" fillId="0" borderId="1" xfId="0" applyNumberFormat="1" applyFont="1" applyBorder="1">
      <alignment vertical="center"/>
    </xf>
    <xf numFmtId="179" fontId="4" fillId="0" borderId="16" xfId="0" applyNumberFormat="1" applyFont="1" applyBorder="1">
      <alignment vertical="center"/>
    </xf>
    <xf numFmtId="179" fontId="4" fillId="0" borderId="1" xfId="0" applyNumberFormat="1" applyFont="1" applyBorder="1">
      <alignment vertical="center"/>
    </xf>
    <xf numFmtId="179" fontId="4" fillId="0" borderId="38" xfId="0" applyNumberFormat="1" applyFont="1" applyBorder="1">
      <alignment vertical="center"/>
    </xf>
    <xf numFmtId="0" fontId="7" fillId="3" borderId="50" xfId="0" applyFont="1" applyFill="1" applyBorder="1" applyAlignment="1">
      <alignment horizontal="center" vertical="center"/>
    </xf>
    <xf numFmtId="0" fontId="7" fillId="3" borderId="51" xfId="0" applyFont="1" applyFill="1" applyBorder="1" applyAlignment="1">
      <alignment horizontal="center" vertical="center"/>
    </xf>
    <xf numFmtId="0" fontId="7" fillId="3" borderId="19" xfId="0" applyFont="1" applyFill="1" applyBorder="1" applyAlignment="1">
      <alignment horizontal="center" vertical="center"/>
    </xf>
    <xf numFmtId="0" fontId="7" fillId="3" borderId="57" xfId="0" applyFont="1" applyFill="1" applyBorder="1" applyAlignment="1">
      <alignment horizontal="center" vertical="center"/>
    </xf>
    <xf numFmtId="0" fontId="7" fillId="3" borderId="13" xfId="0" applyFont="1" applyFill="1" applyBorder="1" applyAlignment="1">
      <alignment horizontal="center" vertical="center"/>
    </xf>
    <xf numFmtId="49" fontId="7" fillId="3" borderId="52" xfId="0" applyNumberFormat="1" applyFont="1" applyFill="1" applyBorder="1" applyAlignment="1">
      <alignment horizontal="center" vertical="center"/>
    </xf>
    <xf numFmtId="180" fontId="4" fillId="0" borderId="1" xfId="0" applyNumberFormat="1" applyFont="1" applyBorder="1" applyAlignment="1">
      <alignment horizontal="center" vertical="center"/>
    </xf>
    <xf numFmtId="181" fontId="4" fillId="0" borderId="1" xfId="0" applyNumberFormat="1" applyFont="1" applyBorder="1" applyAlignment="1">
      <alignment horizontal="center" vertical="center"/>
    </xf>
    <xf numFmtId="179" fontId="4" fillId="0" borderId="40" xfId="0" applyNumberFormat="1" applyFont="1" applyBorder="1">
      <alignment vertical="center"/>
    </xf>
    <xf numFmtId="0" fontId="18" fillId="10" borderId="56" xfId="0" applyFont="1" applyFill="1" applyBorder="1">
      <alignment vertical="center"/>
    </xf>
    <xf numFmtId="0" fontId="5" fillId="10" borderId="0" xfId="0" applyFont="1" applyFill="1" applyAlignment="1">
      <alignment horizontal="right" vertical="center"/>
    </xf>
    <xf numFmtId="0" fontId="5" fillId="10" borderId="32" xfId="0" applyFont="1" applyFill="1" applyBorder="1">
      <alignment vertical="center"/>
    </xf>
    <xf numFmtId="178" fontId="5" fillId="10" borderId="3" xfId="0" applyNumberFormat="1" applyFont="1" applyFill="1" applyBorder="1">
      <alignment vertical="center"/>
    </xf>
    <xf numFmtId="179" fontId="5" fillId="10" borderId="40" xfId="0" applyNumberFormat="1" applyFont="1" applyFill="1" applyBorder="1">
      <alignment vertical="center"/>
    </xf>
    <xf numFmtId="49" fontId="4" fillId="10" borderId="21" xfId="0" applyNumberFormat="1" applyFont="1" applyFill="1" applyBorder="1">
      <alignment vertical="center"/>
    </xf>
    <xf numFmtId="0" fontId="5" fillId="4" borderId="17" xfId="0" applyFont="1" applyFill="1" applyBorder="1">
      <alignment vertical="center"/>
    </xf>
    <xf numFmtId="0" fontId="17" fillId="4" borderId="32" xfId="0" applyFont="1" applyFill="1" applyBorder="1">
      <alignment vertical="center"/>
    </xf>
    <xf numFmtId="0" fontId="17" fillId="4" borderId="58" xfId="0" applyFont="1" applyFill="1" applyBorder="1">
      <alignment vertical="center"/>
    </xf>
    <xf numFmtId="0" fontId="8" fillId="10" borderId="34" xfId="0" applyFont="1" applyFill="1" applyBorder="1">
      <alignment vertical="center"/>
    </xf>
    <xf numFmtId="0" fontId="5" fillId="4" borderId="0" xfId="0" applyFont="1" applyFill="1" applyAlignment="1">
      <alignment horizontal="right" vertical="center"/>
    </xf>
    <xf numFmtId="0" fontId="5" fillId="4" borderId="59" xfId="0" applyFont="1" applyFill="1" applyBorder="1" applyAlignment="1">
      <alignment horizontal="left" vertical="center"/>
    </xf>
    <xf numFmtId="179" fontId="4" fillId="0" borderId="5" xfId="0" applyNumberFormat="1" applyFont="1" applyBorder="1">
      <alignment vertical="center"/>
    </xf>
    <xf numFmtId="0" fontId="5" fillId="4" borderId="32" xfId="0" applyFont="1" applyFill="1" applyBorder="1" applyAlignment="1">
      <alignment horizontal="center" vertical="center"/>
    </xf>
    <xf numFmtId="178" fontId="5" fillId="4" borderId="3" xfId="0" applyNumberFormat="1" applyFont="1" applyFill="1" applyBorder="1">
      <alignment vertical="center"/>
    </xf>
    <xf numFmtId="179" fontId="5" fillId="4" borderId="40" xfId="0" applyNumberFormat="1" applyFont="1" applyFill="1" applyBorder="1">
      <alignment vertical="center"/>
    </xf>
    <xf numFmtId="49" fontId="5" fillId="4" borderId="21" xfId="0" applyNumberFormat="1" applyFont="1" applyFill="1" applyBorder="1">
      <alignment vertical="center"/>
    </xf>
    <xf numFmtId="0" fontId="18" fillId="4" borderId="0" xfId="0" applyFont="1" applyFill="1" applyAlignment="1">
      <alignment horizontal="left" vertical="center"/>
    </xf>
    <xf numFmtId="179" fontId="4" fillId="0" borderId="34" xfId="0" applyNumberFormat="1" applyFont="1" applyBorder="1" applyAlignment="1">
      <alignment vertical="center" wrapText="1"/>
    </xf>
    <xf numFmtId="179" fontId="4" fillId="0" borderId="45" xfId="0" applyNumberFormat="1" applyFont="1" applyBorder="1" applyAlignment="1">
      <alignment vertical="center" wrapText="1"/>
    </xf>
    <xf numFmtId="179" fontId="4" fillId="0" borderId="35" xfId="0" applyNumberFormat="1" applyFont="1" applyBorder="1" applyAlignment="1">
      <alignment vertical="center" wrapText="1"/>
    </xf>
    <xf numFmtId="179" fontId="5" fillId="4" borderId="46" xfId="0" applyNumberFormat="1" applyFont="1" applyFill="1" applyBorder="1" applyAlignment="1">
      <alignment vertical="center" wrapText="1"/>
    </xf>
    <xf numFmtId="179" fontId="5" fillId="10" borderId="35" xfId="0" applyNumberFormat="1" applyFont="1" applyFill="1" applyBorder="1" applyAlignment="1">
      <alignment vertical="center" wrapText="1"/>
    </xf>
    <xf numFmtId="179" fontId="4" fillId="0" borderId="60" xfId="0" applyNumberFormat="1" applyFont="1" applyBorder="1" applyAlignment="1">
      <alignment vertical="center" wrapText="1"/>
    </xf>
    <xf numFmtId="179" fontId="5" fillId="4" borderId="35" xfId="0" applyNumberFormat="1" applyFont="1" applyFill="1" applyBorder="1" applyAlignment="1">
      <alignment vertical="center" wrapText="1"/>
    </xf>
    <xf numFmtId="179" fontId="5" fillId="10" borderId="36" xfId="0" applyNumberFormat="1" applyFont="1" applyFill="1" applyBorder="1" applyAlignment="1">
      <alignment vertical="center" wrapText="1"/>
    </xf>
    <xf numFmtId="0" fontId="6" fillId="0" borderId="61" xfId="0" applyFont="1" applyBorder="1" applyAlignment="1">
      <alignment horizontal="center" vertical="top"/>
    </xf>
    <xf numFmtId="49" fontId="8" fillId="0" borderId="62" xfId="0" applyNumberFormat="1" applyFont="1" applyBorder="1" applyAlignment="1">
      <alignment horizontal="left" vertical="top"/>
    </xf>
    <xf numFmtId="0" fontId="5" fillId="0" borderId="63" xfId="0" applyFont="1" applyBorder="1" applyAlignment="1">
      <alignment horizontal="left" vertical="top"/>
    </xf>
    <xf numFmtId="0" fontId="6" fillId="0" borderId="64" xfId="0" applyFont="1" applyBorder="1" applyAlignment="1">
      <alignment horizontal="center" vertical="top" wrapText="1"/>
    </xf>
    <xf numFmtId="176" fontId="6" fillId="0" borderId="65" xfId="3" applyNumberFormat="1" applyFont="1" applyFill="1" applyBorder="1" applyAlignment="1">
      <alignment horizontal="right" vertical="top"/>
    </xf>
    <xf numFmtId="0" fontId="4" fillId="0" borderId="69" xfId="0" applyFont="1" applyBorder="1" applyAlignment="1">
      <alignment horizontal="left" vertical="top"/>
    </xf>
    <xf numFmtId="0" fontId="6" fillId="0" borderId="70" xfId="0" applyFont="1" applyBorder="1" applyAlignment="1">
      <alignment horizontal="center" vertical="top"/>
    </xf>
    <xf numFmtId="49" fontId="8" fillId="0" borderId="71" xfId="0" applyNumberFormat="1" applyFont="1" applyBorder="1" applyAlignment="1">
      <alignment horizontal="left" vertical="top"/>
    </xf>
    <xf numFmtId="0" fontId="5" fillId="0" borderId="72" xfId="0" applyFont="1" applyBorder="1" applyAlignment="1">
      <alignment horizontal="left" vertical="top"/>
    </xf>
    <xf numFmtId="0" fontId="6" fillId="0" borderId="73" xfId="0" applyFont="1" applyBorder="1" applyAlignment="1">
      <alignment horizontal="center" vertical="top" wrapText="1"/>
    </xf>
    <xf numFmtId="176" fontId="6" fillId="0" borderId="74" xfId="3" applyNumberFormat="1" applyFont="1" applyFill="1" applyBorder="1" applyAlignment="1">
      <alignment horizontal="right" vertical="top"/>
    </xf>
    <xf numFmtId="0" fontId="6" fillId="0" borderId="76" xfId="0" applyFont="1" applyBorder="1" applyAlignment="1">
      <alignment horizontal="center" vertical="top"/>
    </xf>
    <xf numFmtId="49" fontId="6" fillId="0" borderId="77" xfId="0" applyNumberFormat="1" applyFont="1" applyBorder="1" applyAlignment="1">
      <alignment horizontal="left" vertical="top"/>
    </xf>
    <xf numFmtId="0" fontId="4" fillId="0" borderId="78" xfId="0" applyFont="1" applyBorder="1" applyAlignment="1">
      <alignment horizontal="left" vertical="top"/>
    </xf>
    <xf numFmtId="0" fontId="6" fillId="0" borderId="79" xfId="0" applyFont="1" applyBorder="1" applyAlignment="1">
      <alignment horizontal="center" vertical="top" wrapText="1"/>
    </xf>
    <xf numFmtId="176" fontId="6" fillId="0" borderId="80" xfId="3" applyNumberFormat="1" applyFont="1" applyFill="1" applyBorder="1" applyAlignment="1">
      <alignment horizontal="right" vertical="top"/>
    </xf>
    <xf numFmtId="49" fontId="6" fillId="0" borderId="81" xfId="3" applyNumberFormat="1" applyFont="1" applyFill="1" applyBorder="1" applyAlignment="1">
      <alignment horizontal="left" vertical="top" wrapText="1"/>
    </xf>
    <xf numFmtId="0" fontId="6" fillId="0" borderId="82" xfId="0" applyFont="1" applyBorder="1" applyAlignment="1">
      <alignment horizontal="center" vertical="top"/>
    </xf>
    <xf numFmtId="49" fontId="6" fillId="0" borderId="83" xfId="0" applyNumberFormat="1" applyFont="1" applyBorder="1" applyAlignment="1">
      <alignment horizontal="left" vertical="top"/>
    </xf>
    <xf numFmtId="0" fontId="4" fillId="0" borderId="84" xfId="0" applyFont="1" applyBorder="1" applyAlignment="1">
      <alignment horizontal="left" vertical="top"/>
    </xf>
    <xf numFmtId="0" fontId="6" fillId="0" borderId="85" xfId="0" applyFont="1" applyBorder="1" applyAlignment="1">
      <alignment horizontal="center" vertical="top" wrapText="1"/>
    </xf>
    <xf numFmtId="176" fontId="6" fillId="0" borderId="86" xfId="3" applyNumberFormat="1" applyFont="1" applyFill="1" applyBorder="1" applyAlignment="1">
      <alignment horizontal="right" vertical="top"/>
    </xf>
    <xf numFmtId="176" fontId="6" fillId="0" borderId="63" xfId="3" applyNumberFormat="1" applyFont="1" applyFill="1" applyBorder="1" applyAlignment="1">
      <alignment horizontal="right" vertical="top"/>
    </xf>
    <xf numFmtId="176" fontId="6" fillId="0" borderId="72" xfId="3" applyNumberFormat="1" applyFont="1" applyFill="1" applyBorder="1" applyAlignment="1">
      <alignment horizontal="right" vertical="top"/>
    </xf>
    <xf numFmtId="176" fontId="6" fillId="0" borderId="78" xfId="3" applyNumberFormat="1" applyFont="1" applyFill="1" applyBorder="1" applyAlignment="1">
      <alignment horizontal="right" vertical="top"/>
    </xf>
    <xf numFmtId="176" fontId="6" fillId="0" borderId="84" xfId="3" applyNumberFormat="1" applyFont="1" applyFill="1" applyBorder="1" applyAlignment="1">
      <alignment horizontal="right" vertical="top"/>
    </xf>
    <xf numFmtId="0" fontId="4" fillId="0" borderId="63" xfId="0" applyFont="1" applyBorder="1" applyAlignment="1">
      <alignment horizontal="left" vertical="top"/>
    </xf>
    <xf numFmtId="0" fontId="4" fillId="0" borderId="72" xfId="0" applyFont="1" applyBorder="1" applyAlignment="1">
      <alignment horizontal="left" vertical="top"/>
    </xf>
    <xf numFmtId="0" fontId="5" fillId="4" borderId="15" xfId="0" applyFont="1" applyFill="1" applyBorder="1" applyAlignment="1">
      <alignment horizontal="left"/>
    </xf>
    <xf numFmtId="0" fontId="4" fillId="2" borderId="55" xfId="0" applyFont="1" applyFill="1" applyBorder="1" applyAlignment="1">
      <alignment horizontal="center"/>
    </xf>
    <xf numFmtId="0" fontId="4" fillId="0" borderId="18" xfId="0" applyFont="1" applyBorder="1" applyAlignment="1">
      <alignment horizontal="left" wrapText="1"/>
    </xf>
    <xf numFmtId="49" fontId="6" fillId="0" borderId="75" xfId="3" applyNumberFormat="1" applyFont="1" applyFill="1" applyBorder="1" applyAlignment="1">
      <alignment horizontal="left" vertical="top" wrapText="1"/>
    </xf>
    <xf numFmtId="49" fontId="6" fillId="0" borderId="66" xfId="3" applyNumberFormat="1" applyFont="1" applyFill="1" applyBorder="1" applyAlignment="1">
      <alignment horizontal="left" vertical="top" wrapText="1"/>
    </xf>
    <xf numFmtId="49" fontId="6" fillId="0" borderId="87" xfId="3" applyNumberFormat="1" applyFont="1" applyFill="1" applyBorder="1" applyAlignment="1">
      <alignment horizontal="left" vertical="top" wrapText="1"/>
    </xf>
    <xf numFmtId="0" fontId="5" fillId="4" borderId="15" xfId="0" applyFont="1" applyFill="1" applyBorder="1" applyAlignment="1">
      <alignment vertical="top"/>
    </xf>
    <xf numFmtId="0" fontId="17" fillId="4" borderId="19" xfId="0" applyFont="1" applyFill="1" applyBorder="1" applyAlignment="1">
      <alignment vertical="top"/>
    </xf>
    <xf numFmtId="0" fontId="5" fillId="4" borderId="34" xfId="0" applyFont="1" applyFill="1" applyBorder="1" applyAlignment="1">
      <alignment vertical="top"/>
    </xf>
    <xf numFmtId="0" fontId="20" fillId="4" borderId="35" xfId="0" applyFont="1" applyFill="1" applyBorder="1" applyAlignment="1">
      <alignment vertical="top"/>
    </xf>
    <xf numFmtId="0" fontId="20" fillId="4" borderId="36" xfId="0" applyFont="1" applyFill="1" applyBorder="1" applyAlignment="1">
      <alignment vertical="top"/>
    </xf>
    <xf numFmtId="0" fontId="20" fillId="4" borderId="10" xfId="0" applyFont="1" applyFill="1" applyBorder="1" applyAlignment="1">
      <alignment vertical="top"/>
    </xf>
    <xf numFmtId="0" fontId="20" fillId="4" borderId="19" xfId="0" applyFont="1" applyFill="1" applyBorder="1" applyAlignment="1">
      <alignment vertical="top"/>
    </xf>
    <xf numFmtId="0" fontId="5" fillId="2" borderId="59" xfId="0" applyFont="1" applyFill="1" applyBorder="1" applyAlignment="1">
      <alignment vertical="top"/>
    </xf>
    <xf numFmtId="0" fontId="21" fillId="2" borderId="0" xfId="0" applyFont="1" applyFill="1" applyAlignment="1">
      <alignment vertical="top"/>
    </xf>
    <xf numFmtId="0" fontId="21" fillId="2" borderId="88" xfId="0" applyFont="1" applyFill="1" applyBorder="1" applyAlignment="1">
      <alignment vertical="top"/>
    </xf>
    <xf numFmtId="0" fontId="7" fillId="3" borderId="56" xfId="0" applyFont="1" applyFill="1" applyBorder="1">
      <alignment vertical="center"/>
    </xf>
    <xf numFmtId="0" fontId="7" fillId="3" borderId="32" xfId="0" applyFont="1" applyFill="1" applyBorder="1">
      <alignment vertical="center"/>
    </xf>
    <xf numFmtId="0" fontId="7" fillId="3" borderId="21" xfId="0" applyFont="1" applyFill="1" applyBorder="1">
      <alignment vertical="center"/>
    </xf>
    <xf numFmtId="0" fontId="5" fillId="0" borderId="61" xfId="0" applyFont="1" applyBorder="1" applyAlignment="1">
      <alignment horizontal="left" vertical="top"/>
    </xf>
    <xf numFmtId="0" fontId="4" fillId="0" borderId="62" xfId="0" applyFont="1" applyBorder="1" applyAlignment="1">
      <alignment horizontal="center" vertical="top" wrapText="1"/>
    </xf>
    <xf numFmtId="0" fontId="5" fillId="0" borderId="76" xfId="0" applyFont="1" applyBorder="1" applyAlignment="1">
      <alignment horizontal="left" vertical="top"/>
    </xf>
    <xf numFmtId="0" fontId="4" fillId="0" borderId="77" xfId="0" applyFont="1" applyBorder="1" applyAlignment="1">
      <alignment horizontal="center" vertical="top" wrapText="1"/>
    </xf>
    <xf numFmtId="0" fontId="5" fillId="2" borderId="89" xfId="0" applyFont="1" applyFill="1" applyBorder="1" applyAlignment="1">
      <alignment vertical="top"/>
    </xf>
    <xf numFmtId="0" fontId="5" fillId="0" borderId="67" xfId="0" applyFont="1" applyBorder="1" applyAlignment="1">
      <alignment horizontal="left" vertical="top"/>
    </xf>
    <xf numFmtId="0" fontId="4" fillId="0" borderId="68" xfId="0" applyFont="1" applyBorder="1" applyAlignment="1">
      <alignment horizontal="center" vertical="top" wrapText="1"/>
    </xf>
    <xf numFmtId="0" fontId="5" fillId="0" borderId="70" xfId="0" applyFont="1" applyBorder="1" applyAlignment="1">
      <alignment horizontal="left" vertical="top"/>
    </xf>
    <xf numFmtId="0" fontId="4" fillId="0" borderId="71" xfId="0" applyFont="1" applyBorder="1" applyAlignment="1">
      <alignment horizontal="center" vertical="top" wrapText="1"/>
    </xf>
    <xf numFmtId="0" fontId="21" fillId="2" borderId="58" xfId="0" applyFont="1" applyFill="1" applyBorder="1" applyAlignment="1">
      <alignment vertical="top"/>
    </xf>
    <xf numFmtId="0" fontId="5" fillId="2" borderId="59" xfId="0" applyFont="1" applyFill="1" applyBorder="1" applyAlignment="1">
      <alignment horizontal="left" vertical="top"/>
    </xf>
    <xf numFmtId="0" fontId="5" fillId="0" borderId="15" xfId="0" applyFont="1" applyBorder="1" applyAlignment="1">
      <alignment horizontal="left" vertical="top"/>
    </xf>
    <xf numFmtId="0" fontId="4" fillId="0" borderId="55" xfId="0" applyFont="1" applyBorder="1" applyAlignment="1">
      <alignment horizontal="center" vertical="top" wrapText="1"/>
    </xf>
    <xf numFmtId="0" fontId="4" fillId="0" borderId="18" xfId="0" applyFont="1" applyBorder="1" applyAlignment="1">
      <alignment horizontal="left" vertical="top"/>
    </xf>
    <xf numFmtId="0" fontId="21" fillId="2" borderId="40" xfId="0" applyFont="1" applyFill="1" applyBorder="1" applyAlignment="1">
      <alignment vertical="top"/>
    </xf>
    <xf numFmtId="0" fontId="21" fillId="2" borderId="39" xfId="0" applyFont="1" applyFill="1" applyBorder="1" applyAlignment="1">
      <alignment vertical="top"/>
    </xf>
    <xf numFmtId="0" fontId="4" fillId="0" borderId="90" xfId="0" applyFont="1" applyBorder="1">
      <alignment vertical="center"/>
    </xf>
    <xf numFmtId="0" fontId="5" fillId="2" borderId="89" xfId="0" applyFont="1" applyFill="1" applyBorder="1" applyAlignment="1">
      <alignment horizontal="left" vertical="top"/>
    </xf>
    <xf numFmtId="0" fontId="5" fillId="0" borderId="9" xfId="0" applyFont="1" applyBorder="1" applyAlignment="1">
      <alignment horizontal="left" vertical="top"/>
    </xf>
    <xf numFmtId="0" fontId="4" fillId="0" borderId="2" xfId="0" applyFont="1" applyBorder="1" applyAlignment="1">
      <alignment horizontal="center" vertical="top" wrapText="1"/>
    </xf>
    <xf numFmtId="0" fontId="4" fillId="0" borderId="25" xfId="0" applyFont="1" applyBorder="1" applyAlignment="1">
      <alignment horizontal="left" vertical="top"/>
    </xf>
    <xf numFmtId="0" fontId="4" fillId="0" borderId="78" xfId="0" quotePrefix="1" applyFont="1" applyBorder="1" applyAlignment="1">
      <alignment horizontal="left" vertical="top"/>
    </xf>
    <xf numFmtId="0" fontId="21" fillId="2" borderId="38" xfId="0" applyFont="1" applyFill="1" applyBorder="1" applyAlignment="1">
      <alignment vertical="top"/>
    </xf>
    <xf numFmtId="0" fontId="5" fillId="2" borderId="91" xfId="0" applyFont="1" applyFill="1" applyBorder="1" applyAlignment="1">
      <alignment horizontal="left" vertical="top"/>
    </xf>
    <xf numFmtId="0" fontId="5" fillId="2" borderId="58" xfId="0" applyFont="1" applyFill="1" applyBorder="1" applyAlignment="1">
      <alignment horizontal="left" vertical="top"/>
    </xf>
    <xf numFmtId="177" fontId="6" fillId="0" borderId="61" xfId="3" applyNumberFormat="1" applyFont="1" applyFill="1" applyBorder="1" applyAlignment="1">
      <alignment horizontal="center" vertical="top" wrapText="1"/>
    </xf>
    <xf numFmtId="177" fontId="6" fillId="0" borderId="70" xfId="3" applyNumberFormat="1" applyFont="1" applyFill="1" applyBorder="1" applyAlignment="1">
      <alignment horizontal="center" vertical="top" wrapText="1"/>
    </xf>
    <xf numFmtId="177" fontId="6" fillId="0" borderId="76" xfId="3" applyNumberFormat="1" applyFont="1" applyFill="1" applyBorder="1" applyAlignment="1">
      <alignment horizontal="center" vertical="top" wrapText="1"/>
    </xf>
    <xf numFmtId="177" fontId="6" fillId="0" borderId="82" xfId="3" applyNumberFormat="1" applyFont="1" applyFill="1" applyBorder="1" applyAlignment="1">
      <alignment horizontal="center" vertical="top" wrapText="1"/>
    </xf>
    <xf numFmtId="0" fontId="6" fillId="0" borderId="92" xfId="0" applyFont="1" applyBorder="1" applyAlignment="1">
      <alignment horizontal="center" vertical="top"/>
    </xf>
    <xf numFmtId="49" fontId="6" fillId="0" borderId="93" xfId="0" applyNumberFormat="1" applyFont="1" applyBorder="1" applyAlignment="1">
      <alignment horizontal="left" vertical="top"/>
    </xf>
    <xf numFmtId="0" fontId="4" fillId="0" borderId="94" xfId="0" applyFont="1" applyBorder="1" applyAlignment="1">
      <alignment horizontal="left" vertical="top"/>
    </xf>
    <xf numFmtId="0" fontId="6" fillId="0" borderId="95" xfId="0" applyFont="1" applyBorder="1" applyAlignment="1">
      <alignment horizontal="center" vertical="top" wrapText="1"/>
    </xf>
    <xf numFmtId="176" fontId="6" fillId="0" borderId="96" xfId="3" applyNumberFormat="1" applyFont="1" applyFill="1" applyBorder="1" applyAlignment="1">
      <alignment horizontal="right" vertical="top"/>
    </xf>
    <xf numFmtId="177" fontId="6" fillId="0" borderId="92" xfId="3" applyNumberFormat="1" applyFont="1" applyFill="1" applyBorder="1" applyAlignment="1">
      <alignment horizontal="center" vertical="top" wrapText="1"/>
    </xf>
    <xf numFmtId="49" fontId="6" fillId="0" borderId="97" xfId="3" applyNumberFormat="1" applyFont="1" applyFill="1" applyBorder="1" applyAlignment="1">
      <alignment horizontal="left" vertical="top" wrapText="1"/>
    </xf>
    <xf numFmtId="0" fontId="6" fillId="0" borderId="98" xfId="0" applyFont="1" applyBorder="1" applyAlignment="1">
      <alignment horizontal="center" vertical="top"/>
    </xf>
    <xf numFmtId="49" fontId="8" fillId="0" borderId="1" xfId="0" applyNumberFormat="1" applyFont="1" applyBorder="1" applyAlignment="1">
      <alignment horizontal="left" vertical="top"/>
    </xf>
    <xf numFmtId="0" fontId="5" fillId="0" borderId="11" xfId="0" applyFont="1" applyBorder="1" applyAlignment="1">
      <alignment horizontal="left" vertical="top"/>
    </xf>
    <xf numFmtId="0" fontId="6" fillId="0" borderId="42" xfId="0" applyFont="1" applyBorder="1" applyAlignment="1">
      <alignment horizontal="center" vertical="top" wrapText="1"/>
    </xf>
    <xf numFmtId="176" fontId="6" fillId="0" borderId="22" xfId="3" applyNumberFormat="1" applyFont="1" applyFill="1" applyBorder="1" applyAlignment="1">
      <alignment horizontal="right" vertical="top"/>
    </xf>
    <xf numFmtId="177" fontId="6" fillId="0" borderId="98" xfId="3" applyNumberFormat="1" applyFont="1" applyFill="1" applyBorder="1" applyAlignment="1">
      <alignment horizontal="center" vertical="top" wrapText="1"/>
    </xf>
    <xf numFmtId="49" fontId="6" fillId="0" borderId="45" xfId="3" applyNumberFormat="1" applyFont="1" applyFill="1" applyBorder="1" applyAlignment="1">
      <alignment horizontal="left" vertical="top" wrapText="1"/>
    </xf>
    <xf numFmtId="0" fontId="5" fillId="2" borderId="6" xfId="0" applyFont="1" applyFill="1" applyBorder="1" applyAlignment="1">
      <alignment horizontal="left" vertical="top"/>
    </xf>
    <xf numFmtId="0" fontId="6" fillId="0" borderId="4" xfId="0" applyFont="1" applyBorder="1" applyAlignment="1">
      <alignment horizontal="center" vertical="top"/>
    </xf>
    <xf numFmtId="49" fontId="8" fillId="0" borderId="5" xfId="0" applyNumberFormat="1" applyFont="1" applyBorder="1" applyAlignment="1">
      <alignment horizontal="left" vertical="top"/>
    </xf>
    <xf numFmtId="0" fontId="5" fillId="0" borderId="8" xfId="0" applyFont="1" applyBorder="1" applyAlignment="1">
      <alignment horizontal="left" vertical="top"/>
    </xf>
    <xf numFmtId="0" fontId="6" fillId="0" borderId="7" xfId="0" applyFont="1" applyBorder="1" applyAlignment="1">
      <alignment horizontal="center" vertical="top" wrapText="1"/>
    </xf>
    <xf numFmtId="176" fontId="6" fillId="0" borderId="6" xfId="3" applyNumberFormat="1" applyFont="1" applyFill="1" applyBorder="1" applyAlignment="1">
      <alignment horizontal="right" vertical="top"/>
    </xf>
    <xf numFmtId="177" fontId="6" fillId="0" borderId="4" xfId="3" applyNumberFormat="1" applyFont="1" applyFill="1" applyBorder="1" applyAlignment="1">
      <alignment horizontal="center" vertical="top" wrapText="1"/>
    </xf>
    <xf numFmtId="49" fontId="6" fillId="0" borderId="60" xfId="3" applyNumberFormat="1" applyFont="1" applyFill="1" applyBorder="1" applyAlignment="1">
      <alignment horizontal="left" vertical="top" wrapText="1"/>
    </xf>
    <xf numFmtId="176" fontId="6" fillId="0" borderId="94" xfId="3" applyNumberFormat="1" applyFont="1" applyFill="1" applyBorder="1" applyAlignment="1">
      <alignment horizontal="right" vertical="top"/>
    </xf>
    <xf numFmtId="176" fontId="6" fillId="0" borderId="8" xfId="3" applyNumberFormat="1" applyFont="1" applyFill="1" applyBorder="1" applyAlignment="1">
      <alignment horizontal="right" vertical="top"/>
    </xf>
    <xf numFmtId="0" fontId="6" fillId="0" borderId="12" xfId="0" applyFont="1" applyBorder="1" applyAlignment="1">
      <alignment horizontal="center" vertical="top"/>
    </xf>
    <xf numFmtId="49" fontId="8" fillId="0" borderId="13" xfId="0" applyNumberFormat="1" applyFont="1" applyBorder="1" applyAlignment="1">
      <alignment horizontal="left" vertical="top"/>
    </xf>
    <xf numFmtId="0" fontId="5" fillId="0" borderId="14" xfId="0" applyFont="1" applyBorder="1" applyAlignment="1">
      <alignment horizontal="left" vertical="top"/>
    </xf>
    <xf numFmtId="0" fontId="6" fillId="0" borderId="41" xfId="0" applyFont="1" applyBorder="1" applyAlignment="1">
      <alignment horizontal="center" vertical="top" wrapText="1"/>
    </xf>
    <xf numFmtId="176" fontId="6" fillId="0" borderId="23" xfId="3" applyNumberFormat="1" applyFont="1" applyFill="1" applyBorder="1" applyAlignment="1">
      <alignment horizontal="right" vertical="top"/>
    </xf>
    <xf numFmtId="177" fontId="6" fillId="0" borderId="12" xfId="3" applyNumberFormat="1" applyFont="1" applyFill="1" applyBorder="1" applyAlignment="1">
      <alignment horizontal="center" vertical="top" wrapText="1"/>
    </xf>
    <xf numFmtId="49" fontId="6" fillId="0" borderId="46" xfId="3" applyNumberFormat="1" applyFont="1" applyFill="1" applyBorder="1" applyAlignment="1">
      <alignment horizontal="left" vertical="top" wrapText="1"/>
    </xf>
    <xf numFmtId="177" fontId="6" fillId="0" borderId="66" xfId="3" applyNumberFormat="1" applyFont="1" applyFill="1" applyBorder="1" applyAlignment="1">
      <alignment horizontal="center" vertical="top" wrapText="1"/>
    </xf>
    <xf numFmtId="177" fontId="6" fillId="0" borderId="97" xfId="3" applyNumberFormat="1" applyFont="1" applyFill="1" applyBorder="1" applyAlignment="1">
      <alignment horizontal="center" vertical="top" wrapText="1"/>
    </xf>
    <xf numFmtId="177" fontId="6" fillId="0" borderId="45" xfId="3" applyNumberFormat="1" applyFont="1" applyFill="1" applyBorder="1" applyAlignment="1">
      <alignment horizontal="center" vertical="top" wrapText="1"/>
    </xf>
    <xf numFmtId="177" fontId="6" fillId="0" borderId="75" xfId="3" applyNumberFormat="1" applyFont="1" applyFill="1" applyBorder="1" applyAlignment="1">
      <alignment horizontal="center" vertical="top" wrapText="1"/>
    </xf>
    <xf numFmtId="177" fontId="6" fillId="0" borderId="81" xfId="3" applyNumberFormat="1" applyFont="1" applyFill="1" applyBorder="1" applyAlignment="1">
      <alignment horizontal="center" vertical="top" wrapText="1"/>
    </xf>
    <xf numFmtId="177" fontId="6" fillId="0" borderId="87" xfId="3" applyNumberFormat="1" applyFont="1" applyFill="1" applyBorder="1" applyAlignment="1">
      <alignment horizontal="center" vertical="top" wrapText="1"/>
    </xf>
    <xf numFmtId="177" fontId="6" fillId="0" borderId="60" xfId="3" applyNumberFormat="1" applyFont="1" applyFill="1" applyBorder="1" applyAlignment="1">
      <alignment horizontal="center" vertical="top" wrapText="1"/>
    </xf>
    <xf numFmtId="177" fontId="6" fillId="0" borderId="46" xfId="3" applyNumberFormat="1" applyFont="1" applyFill="1" applyBorder="1" applyAlignment="1">
      <alignment horizontal="center" vertical="top" wrapText="1"/>
    </xf>
    <xf numFmtId="0" fontId="7" fillId="3" borderId="34" xfId="0" applyFont="1" applyFill="1" applyBorder="1" applyAlignment="1">
      <alignment horizontal="center" vertical="top"/>
    </xf>
    <xf numFmtId="0" fontId="7" fillId="3" borderId="9" xfId="0" applyFont="1" applyFill="1" applyBorder="1" applyAlignment="1">
      <alignment horizontal="center" vertical="top"/>
    </xf>
    <xf numFmtId="0" fontId="7" fillId="3" borderId="37" xfId="0" applyFont="1" applyFill="1" applyBorder="1" applyAlignment="1">
      <alignment horizontal="center" vertical="top"/>
    </xf>
    <xf numFmtId="0" fontId="7" fillId="3" borderId="25" xfId="0" applyFont="1" applyFill="1" applyBorder="1" applyAlignment="1">
      <alignment horizontal="center" vertical="top"/>
    </xf>
    <xf numFmtId="0" fontId="7" fillId="3" borderId="53" xfId="0" applyFont="1" applyFill="1" applyBorder="1" applyAlignment="1">
      <alignment horizontal="center" vertical="top"/>
    </xf>
    <xf numFmtId="0" fontId="7" fillId="3" borderId="35" xfId="0" applyFont="1" applyFill="1" applyBorder="1" applyAlignment="1">
      <alignment horizontal="center" vertical="top"/>
    </xf>
    <xf numFmtId="0" fontId="7" fillId="3" borderId="36" xfId="0" applyFont="1" applyFill="1" applyBorder="1" applyAlignment="1">
      <alignment horizontal="center" vertical="top"/>
    </xf>
    <xf numFmtId="177" fontId="6" fillId="0" borderId="63" xfId="3" applyNumberFormat="1" applyFont="1" applyFill="1" applyBorder="1" applyAlignment="1">
      <alignment horizontal="center" vertical="top" wrapText="1"/>
    </xf>
    <xf numFmtId="177" fontId="6" fillId="0" borderId="94" xfId="3" applyNumberFormat="1" applyFont="1" applyFill="1" applyBorder="1" applyAlignment="1">
      <alignment horizontal="center" vertical="top" wrapText="1"/>
    </xf>
    <xf numFmtId="177" fontId="6" fillId="0" borderId="11" xfId="3" applyNumberFormat="1" applyFont="1" applyFill="1" applyBorder="1" applyAlignment="1">
      <alignment horizontal="center" vertical="top" wrapText="1"/>
    </xf>
    <xf numFmtId="177" fontId="6" fillId="0" borderId="72" xfId="3" applyNumberFormat="1" applyFont="1" applyFill="1" applyBorder="1" applyAlignment="1">
      <alignment horizontal="center" vertical="top" wrapText="1"/>
    </xf>
    <xf numFmtId="177" fontId="6" fillId="0" borderId="78" xfId="3" applyNumberFormat="1" applyFont="1" applyFill="1" applyBorder="1" applyAlignment="1">
      <alignment horizontal="center" vertical="top" wrapText="1"/>
    </xf>
    <xf numFmtId="177" fontId="6" fillId="0" borderId="84" xfId="3" applyNumberFormat="1" applyFont="1" applyFill="1" applyBorder="1" applyAlignment="1">
      <alignment horizontal="center" vertical="top" wrapText="1"/>
    </xf>
    <xf numFmtId="177" fontId="6" fillId="0" borderId="8" xfId="3" applyNumberFormat="1" applyFont="1" applyFill="1" applyBorder="1" applyAlignment="1">
      <alignment horizontal="center" vertical="top" wrapText="1"/>
    </xf>
    <xf numFmtId="177" fontId="6" fillId="0" borderId="14" xfId="3" applyNumberFormat="1" applyFont="1" applyFill="1" applyBorder="1" applyAlignment="1">
      <alignment horizontal="center" vertical="top" wrapText="1"/>
    </xf>
    <xf numFmtId="0" fontId="7" fillId="3" borderId="4" xfId="0" applyFont="1" applyFill="1" applyBorder="1" applyAlignment="1">
      <alignment horizontal="center" vertical="top"/>
    </xf>
    <xf numFmtId="0" fontId="7" fillId="3" borderId="7" xfId="0" applyFont="1" applyFill="1" applyBorder="1" applyAlignment="1">
      <alignment horizontal="center" vertical="top"/>
    </xf>
    <xf numFmtId="0" fontId="7" fillId="3" borderId="6" xfId="0" applyFont="1" applyFill="1" applyBorder="1" applyAlignment="1">
      <alignment horizontal="center" vertical="top"/>
    </xf>
    <xf numFmtId="0" fontId="7" fillId="3" borderId="43" xfId="0" applyFont="1" applyFill="1" applyBorder="1" applyAlignment="1">
      <alignment horizontal="center" vertical="top"/>
    </xf>
    <xf numFmtId="0" fontId="7" fillId="3" borderId="20" xfId="0" applyFont="1" applyFill="1" applyBorder="1" applyAlignment="1">
      <alignment horizontal="center" vertical="top"/>
    </xf>
    <xf numFmtId="0" fontId="7" fillId="3" borderId="44" xfId="0" applyFont="1" applyFill="1" applyBorder="1" applyAlignment="1">
      <alignment horizontal="center" vertical="top"/>
    </xf>
    <xf numFmtId="0" fontId="7" fillId="3" borderId="7" xfId="0" applyFont="1" applyFill="1" applyBorder="1" applyAlignment="1">
      <alignment horizontal="center" vertical="top" wrapText="1"/>
    </xf>
    <xf numFmtId="0" fontId="7" fillId="3" borderId="8" xfId="0" applyFont="1" applyFill="1" applyBorder="1" applyAlignment="1">
      <alignment horizontal="center" vertical="top" wrapText="1"/>
    </xf>
    <xf numFmtId="0" fontId="7" fillId="3" borderId="8" xfId="0" applyFont="1" applyFill="1" applyBorder="1" applyAlignment="1">
      <alignment horizontal="center" vertical="top"/>
    </xf>
    <xf numFmtId="0" fontId="7" fillId="3" borderId="15" xfId="0" applyFont="1" applyFill="1" applyBorder="1" applyAlignment="1">
      <alignment horizontal="center" vertical="center"/>
    </xf>
    <xf numFmtId="0" fontId="7" fillId="3" borderId="5" xfId="0" applyFont="1" applyFill="1" applyBorder="1" applyAlignment="1">
      <alignment horizontal="center" vertical="center"/>
    </xf>
    <xf numFmtId="0" fontId="7" fillId="3" borderId="8" xfId="0" applyFont="1" applyFill="1" applyBorder="1" applyAlignment="1">
      <alignment horizontal="center" vertical="center"/>
    </xf>
    <xf numFmtId="0" fontId="7" fillId="3" borderId="24" xfId="0" applyFont="1" applyFill="1" applyBorder="1" applyAlignment="1">
      <alignment horizontal="center" vertical="center"/>
    </xf>
    <xf numFmtId="0" fontId="7" fillId="3" borderId="17" xfId="0" applyFont="1" applyFill="1" applyBorder="1" applyAlignment="1">
      <alignment horizontal="center" vertical="center"/>
    </xf>
    <xf numFmtId="0" fontId="7" fillId="3" borderId="6" xfId="0" applyFont="1" applyFill="1" applyBorder="1" applyAlignment="1">
      <alignment horizontal="center" vertical="center"/>
    </xf>
    <xf numFmtId="0" fontId="7" fillId="3" borderId="7" xfId="0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49" fontId="7" fillId="3" borderId="37" xfId="0" applyNumberFormat="1" applyFont="1" applyFill="1" applyBorder="1" applyAlignment="1">
      <alignment horizontal="center" vertical="center"/>
    </xf>
    <xf numFmtId="49" fontId="7" fillId="3" borderId="53" xfId="0" applyNumberFormat="1" applyFont="1" applyFill="1" applyBorder="1" applyAlignment="1">
      <alignment horizontal="center" vertical="center"/>
    </xf>
    <xf numFmtId="49" fontId="7" fillId="3" borderId="38" xfId="0" applyNumberFormat="1" applyFont="1" applyFill="1" applyBorder="1">
      <alignment vertical="center"/>
    </xf>
    <xf numFmtId="49" fontId="7" fillId="3" borderId="54" xfId="0" applyNumberFormat="1" applyFont="1" applyFill="1" applyBorder="1">
      <alignment vertical="center"/>
    </xf>
    <xf numFmtId="0" fontId="7" fillId="3" borderId="22" xfId="0" applyFont="1" applyFill="1" applyBorder="1" applyAlignment="1">
      <alignment horizontal="center" vertical="center"/>
    </xf>
    <xf numFmtId="0" fontId="7" fillId="3" borderId="42" xfId="0" applyFont="1" applyFill="1" applyBorder="1" applyAlignment="1">
      <alignment horizontal="center" vertical="center"/>
    </xf>
    <xf numFmtId="49" fontId="6" fillId="0" borderId="96" xfId="0" applyNumberFormat="1" applyFont="1" applyBorder="1" applyAlignment="1">
      <alignment horizontal="center" vertical="top"/>
    </xf>
    <xf numFmtId="49" fontId="6" fillId="0" borderId="80" xfId="0" applyNumberFormat="1" applyFont="1" applyBorder="1" applyAlignment="1">
      <alignment horizontal="center" vertical="top"/>
    </xf>
    <xf numFmtId="49" fontId="6" fillId="0" borderId="86" xfId="0" applyNumberFormat="1" applyFont="1" applyBorder="1" applyAlignment="1">
      <alignment horizontal="center" vertical="top"/>
    </xf>
    <xf numFmtId="49" fontId="6" fillId="0" borderId="65" xfId="0" applyNumberFormat="1" applyFont="1" applyBorder="1" applyAlignment="1">
      <alignment horizontal="center" vertical="top"/>
    </xf>
    <xf numFmtId="49" fontId="6" fillId="0" borderId="22" xfId="0" applyNumberFormat="1" applyFont="1" applyBorder="1" applyAlignment="1">
      <alignment horizontal="center" vertical="top"/>
    </xf>
    <xf numFmtId="49" fontId="6" fillId="0" borderId="74" xfId="0" applyNumberFormat="1" applyFont="1" applyBorder="1" applyAlignment="1">
      <alignment horizontal="center" vertical="top"/>
    </xf>
    <xf numFmtId="49" fontId="6" fillId="0" borderId="6" xfId="0" applyNumberFormat="1" applyFont="1" applyBorder="1" applyAlignment="1">
      <alignment horizontal="center" vertical="top"/>
    </xf>
    <xf numFmtId="49" fontId="6" fillId="0" borderId="23" xfId="0" applyNumberFormat="1" applyFont="1" applyBorder="1" applyAlignment="1">
      <alignment horizontal="center" vertical="top"/>
    </xf>
  </cellXfs>
  <cellStyles count="13">
    <cellStyle name="쉼표 [0]" xfId="3" builtinId="6"/>
    <cellStyle name="쉼표 [0] 2" xfId="2" xr:uid="{45003987-6B87-4A11-BC34-B24611FAEB98}"/>
    <cellStyle name="쉼표 [0] 2 2" xfId="10" xr:uid="{949AEB08-F7FD-42F9-94A7-5A2079C9BB4C}"/>
    <cellStyle name="쉼표 [0] 2 3" xfId="7" xr:uid="{48591D96-76DD-49F4-B689-5DE84E973A5D}"/>
    <cellStyle name="쉼표 [0] 3" xfId="5" xr:uid="{6D6EF1B1-64BF-459F-956F-DD435BF34B09}"/>
    <cellStyle name="쉼표 [0] 3 2" xfId="12" xr:uid="{D109DF4B-AC8A-49AD-84FA-D93F28E3FFC7}"/>
    <cellStyle name="쉼표 [0] 3 3" xfId="8" xr:uid="{5A1952C7-9BB7-459F-8609-30B72F12E689}"/>
    <cellStyle name="쉼표 [0] 4" xfId="11" xr:uid="{45D24565-ECE1-4560-8329-2E9331716D3C}"/>
    <cellStyle name="표준" xfId="0" builtinId="0"/>
    <cellStyle name="표준 2" xfId="1" xr:uid="{694FF0B6-DC19-4C5C-9C1B-270C1F1629F6}"/>
    <cellStyle name="표준 2 2" xfId="9" xr:uid="{46781C5D-AA67-4E9C-8724-5D570359CCB0}"/>
    <cellStyle name="표준 2 3" xfId="6" xr:uid="{CCEA7246-9E8C-4A94-96E3-9708D31AE370}"/>
    <cellStyle name="표준 3" xfId="4" xr:uid="{02D4BCD2-63DE-4B84-A4A9-2A48360E352B}"/>
  </cellStyles>
  <dxfs count="5"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FFFFCC"/>
      <color rgb="FFFF7C80"/>
      <color rgb="FFC1ECFB"/>
      <color rgb="FF8CDBF8"/>
      <color rgb="FF0000FF"/>
      <color rgb="FF0066FF"/>
      <color rgb="FFFF00FF"/>
      <color rgb="FFAC74D6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142875</xdr:colOff>
      <xdr:row>0</xdr:row>
      <xdr:rowOff>47625</xdr:rowOff>
    </xdr:from>
    <xdr:to>
      <xdr:col>31</xdr:col>
      <xdr:colOff>7425</xdr:colOff>
      <xdr:row>0</xdr:row>
      <xdr:rowOff>206025</xdr:rowOff>
    </xdr:to>
    <xdr:sp macro="" textlink="">
      <xdr:nvSpPr>
        <xdr:cNvPr id="2" name="왼쪽 대괄호 1">
          <a:extLst>
            <a:ext uri="{FF2B5EF4-FFF2-40B4-BE49-F238E27FC236}">
              <a16:creationId xmlns:a16="http://schemas.microsoft.com/office/drawing/2014/main" id="{91364BCF-2346-4C0F-88EE-23234A78A53C}"/>
            </a:ext>
          </a:extLst>
        </xdr:cNvPr>
        <xdr:cNvSpPr/>
      </xdr:nvSpPr>
      <xdr:spPr>
        <a:xfrm>
          <a:off x="5410200" y="4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95249</xdr:colOff>
      <xdr:row>0</xdr:row>
      <xdr:rowOff>47625</xdr:rowOff>
    </xdr:from>
    <xdr:to>
      <xdr:col>31</xdr:col>
      <xdr:colOff>131249</xdr:colOff>
      <xdr:row>0</xdr:row>
      <xdr:rowOff>206025</xdr:rowOff>
    </xdr:to>
    <xdr:sp macro="" textlink="">
      <xdr:nvSpPr>
        <xdr:cNvPr id="3" name="오른쪽 대괄호 2">
          <a:extLst>
            <a:ext uri="{FF2B5EF4-FFF2-40B4-BE49-F238E27FC236}">
              <a16:creationId xmlns:a16="http://schemas.microsoft.com/office/drawing/2014/main" id="{05B85679-4883-442B-976D-6177E7DF61D2}"/>
            </a:ext>
          </a:extLst>
        </xdr:cNvPr>
        <xdr:cNvSpPr/>
      </xdr:nvSpPr>
      <xdr:spPr>
        <a:xfrm>
          <a:off x="5534024" y="4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0</xdr:row>
      <xdr:rowOff>38100</xdr:rowOff>
    </xdr:from>
    <xdr:to>
      <xdr:col>26</xdr:col>
      <xdr:colOff>168375</xdr:colOff>
      <xdr:row>0</xdr:row>
      <xdr:rowOff>218100</xdr:rowOff>
    </xdr:to>
    <xdr:cxnSp macro="">
      <xdr:nvCxnSpPr>
        <xdr:cNvPr id="4" name="직선 연결선 3">
          <a:extLst>
            <a:ext uri="{FF2B5EF4-FFF2-40B4-BE49-F238E27FC236}">
              <a16:creationId xmlns:a16="http://schemas.microsoft.com/office/drawing/2014/main" id="{C3E85EFA-658E-4DDF-894E-1539CAD36938}"/>
            </a:ext>
          </a:extLst>
        </xdr:cNvPr>
        <xdr:cNvCxnSpPr/>
      </xdr:nvCxnSpPr>
      <xdr:spPr>
        <a:xfrm flipH="1">
          <a:off x="4676775" y="3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76200</xdr:colOff>
      <xdr:row>0</xdr:row>
      <xdr:rowOff>85725</xdr:rowOff>
    </xdr:from>
    <xdr:to>
      <xdr:col>28</xdr:col>
      <xdr:colOff>12750</xdr:colOff>
      <xdr:row>0</xdr:row>
      <xdr:rowOff>193725</xdr:rowOff>
    </xdr:to>
    <xdr:sp macro="" textlink="">
      <xdr:nvSpPr>
        <xdr:cNvPr id="5" name="더하기 기호 4" descr="+">
          <a:extLst>
            <a:ext uri="{FF2B5EF4-FFF2-40B4-BE49-F238E27FC236}">
              <a16:creationId xmlns:a16="http://schemas.microsoft.com/office/drawing/2014/main" id="{314C4CE1-CA37-46D7-A49B-36270B474967}"/>
            </a:ext>
          </a:extLst>
        </xdr:cNvPr>
        <xdr:cNvSpPr>
          <a:spLocks noChangeAspect="1"/>
        </xdr:cNvSpPr>
      </xdr:nvSpPr>
      <xdr:spPr>
        <a:xfrm>
          <a:off x="4829175" y="85725"/>
          <a:ext cx="108000" cy="108000"/>
        </a:xfrm>
        <a:prstGeom prst="mathPlus">
          <a:avLst/>
        </a:prstGeom>
        <a:solidFill>
          <a:srgbClr val="FF0000">
            <a:alpha val="60000"/>
          </a:srgb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0</xdr:row>
      <xdr:rowOff>47625</xdr:rowOff>
    </xdr:from>
    <xdr:to>
      <xdr:col>32</xdr:col>
      <xdr:colOff>140775</xdr:colOff>
      <xdr:row>0</xdr:row>
      <xdr:rowOff>206025</xdr:rowOff>
    </xdr:to>
    <xdr:sp macro="" textlink="">
      <xdr:nvSpPr>
        <xdr:cNvPr id="6" name="왼쪽 대괄호 5">
          <a:extLst>
            <a:ext uri="{FF2B5EF4-FFF2-40B4-BE49-F238E27FC236}">
              <a16:creationId xmlns:a16="http://schemas.microsoft.com/office/drawing/2014/main" id="{742785BB-A9CD-4245-A45C-F325A9AFED79}"/>
            </a:ext>
          </a:extLst>
        </xdr:cNvPr>
        <xdr:cNvSpPr/>
      </xdr:nvSpPr>
      <xdr:spPr>
        <a:xfrm>
          <a:off x="5715000" y="4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0</xdr:row>
      <xdr:rowOff>47625</xdr:rowOff>
    </xdr:from>
    <xdr:to>
      <xdr:col>33</xdr:col>
      <xdr:colOff>102675</xdr:colOff>
      <xdr:row>0</xdr:row>
      <xdr:rowOff>206025</xdr:rowOff>
    </xdr:to>
    <xdr:sp macro="" textlink="">
      <xdr:nvSpPr>
        <xdr:cNvPr id="7" name="오른쪽 대괄호 6">
          <a:extLst>
            <a:ext uri="{FF2B5EF4-FFF2-40B4-BE49-F238E27FC236}">
              <a16:creationId xmlns:a16="http://schemas.microsoft.com/office/drawing/2014/main" id="{ECD4303D-7802-471C-AD13-C799B40C937E}"/>
            </a:ext>
          </a:extLst>
        </xdr:cNvPr>
        <xdr:cNvSpPr/>
      </xdr:nvSpPr>
      <xdr:spPr>
        <a:xfrm>
          <a:off x="5848350" y="4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0</xdr:row>
      <xdr:rowOff>47625</xdr:rowOff>
    </xdr:from>
    <xdr:to>
      <xdr:col>34</xdr:col>
      <xdr:colOff>121725</xdr:colOff>
      <xdr:row>0</xdr:row>
      <xdr:rowOff>206025</xdr:rowOff>
    </xdr:to>
    <xdr:sp macro="" textlink="">
      <xdr:nvSpPr>
        <xdr:cNvPr id="8" name="왼쪽 대괄호 7">
          <a:extLst>
            <a:ext uri="{FF2B5EF4-FFF2-40B4-BE49-F238E27FC236}">
              <a16:creationId xmlns:a16="http://schemas.microsoft.com/office/drawing/2014/main" id="{646DD73C-C254-4E74-B5EA-F798D5748608}"/>
            </a:ext>
          </a:extLst>
        </xdr:cNvPr>
        <xdr:cNvSpPr/>
      </xdr:nvSpPr>
      <xdr:spPr>
        <a:xfrm>
          <a:off x="6038850" y="47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0</xdr:row>
      <xdr:rowOff>47625</xdr:rowOff>
    </xdr:from>
    <xdr:to>
      <xdr:col>35</xdr:col>
      <xdr:colOff>74100</xdr:colOff>
      <xdr:row>0</xdr:row>
      <xdr:rowOff>206025</xdr:rowOff>
    </xdr:to>
    <xdr:sp macro="" textlink="">
      <xdr:nvSpPr>
        <xdr:cNvPr id="9" name="오른쪽 대괄호 8">
          <a:extLst>
            <a:ext uri="{FF2B5EF4-FFF2-40B4-BE49-F238E27FC236}">
              <a16:creationId xmlns:a16="http://schemas.microsoft.com/office/drawing/2014/main" id="{957B3656-2CE5-4582-9100-E6548F81C17F}"/>
            </a:ext>
          </a:extLst>
        </xdr:cNvPr>
        <xdr:cNvSpPr/>
      </xdr:nvSpPr>
      <xdr:spPr>
        <a:xfrm>
          <a:off x="6162675" y="47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0</xdr:row>
      <xdr:rowOff>47625</xdr:rowOff>
    </xdr:from>
    <xdr:to>
      <xdr:col>25</xdr:col>
      <xdr:colOff>152400</xdr:colOff>
      <xdr:row>0</xdr:row>
      <xdr:rowOff>198825</xdr:rowOff>
    </xdr:to>
    <xdr:sp macro="" textlink="">
      <xdr:nvSpPr>
        <xdr:cNvPr id="10" name="사각형: 둥근 모서리 9">
          <a:extLst>
            <a:ext uri="{FF2B5EF4-FFF2-40B4-BE49-F238E27FC236}">
              <a16:creationId xmlns:a16="http://schemas.microsoft.com/office/drawing/2014/main" id="{50234524-799A-4471-9012-7788BDE3DBD7}"/>
            </a:ext>
          </a:extLst>
        </xdr:cNvPr>
        <xdr:cNvSpPr/>
      </xdr:nvSpPr>
      <xdr:spPr>
        <a:xfrm>
          <a:off x="3914775" y="47625"/>
          <a:ext cx="64770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0</xdr:row>
      <xdr:rowOff>95250</xdr:rowOff>
    </xdr:from>
    <xdr:to>
      <xdr:col>28</xdr:col>
      <xdr:colOff>166200</xdr:colOff>
      <xdr:row>0</xdr:row>
      <xdr:rowOff>185250</xdr:rowOff>
    </xdr:to>
    <xdr:sp macro="" textlink="">
      <xdr:nvSpPr>
        <xdr:cNvPr id="11" name="별: 꼭짓점 5개 10">
          <a:extLst>
            <a:ext uri="{FF2B5EF4-FFF2-40B4-BE49-F238E27FC236}">
              <a16:creationId xmlns:a16="http://schemas.microsoft.com/office/drawing/2014/main" id="{AAAE3345-8997-46C1-B5C9-52A299F402EA}"/>
            </a:ext>
          </a:extLst>
        </xdr:cNvPr>
        <xdr:cNvSpPr>
          <a:spLocks noChangeAspect="1"/>
        </xdr:cNvSpPr>
      </xdr:nvSpPr>
      <xdr:spPr>
        <a:xfrm>
          <a:off x="5000625" y="95250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0</xdr:row>
      <xdr:rowOff>85725</xdr:rowOff>
    </xdr:from>
    <xdr:to>
      <xdr:col>29</xdr:col>
      <xdr:colOff>143550</xdr:colOff>
      <xdr:row>0</xdr:row>
      <xdr:rowOff>172125</xdr:rowOff>
    </xdr:to>
    <xdr:sp macro="" textlink="">
      <xdr:nvSpPr>
        <xdr:cNvPr id="12" name="별: 꼭짓점 5개 11" descr="1+">
          <a:extLst>
            <a:ext uri="{FF2B5EF4-FFF2-40B4-BE49-F238E27FC236}">
              <a16:creationId xmlns:a16="http://schemas.microsoft.com/office/drawing/2014/main" id="{FEED842C-721E-4AEF-A686-BFE71DB53ACF}"/>
            </a:ext>
          </a:extLst>
        </xdr:cNvPr>
        <xdr:cNvSpPr>
          <a:spLocks noChangeAspect="1"/>
        </xdr:cNvSpPr>
      </xdr:nvSpPr>
      <xdr:spPr>
        <a:xfrm>
          <a:off x="5153025" y="8572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145358</xdr:colOff>
      <xdr:row>0</xdr:row>
      <xdr:rowOff>57612</xdr:rowOff>
    </xdr:from>
    <xdr:to>
      <xdr:col>21</xdr:col>
      <xdr:colOff>107108</xdr:colOff>
      <xdr:row>0</xdr:row>
      <xdr:rowOff>190812</xdr:rowOff>
    </xdr:to>
    <xdr:sp macro="" textlink="">
      <xdr:nvSpPr>
        <xdr:cNvPr id="13" name="1/2 액자 12">
          <a:extLst>
            <a:ext uri="{FF2B5EF4-FFF2-40B4-BE49-F238E27FC236}">
              <a16:creationId xmlns:a16="http://schemas.microsoft.com/office/drawing/2014/main" id="{0E2C8E84-8750-4AB1-A2EF-D8A12DEFE423}"/>
            </a:ext>
          </a:extLst>
        </xdr:cNvPr>
        <xdr:cNvSpPr/>
      </xdr:nvSpPr>
      <xdr:spPr>
        <a:xfrm rot="8100000">
          <a:off x="3698183" y="576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57149</xdr:colOff>
      <xdr:row>0</xdr:row>
      <xdr:rowOff>57150</xdr:rowOff>
    </xdr:from>
    <xdr:to>
      <xdr:col>21</xdr:col>
      <xdr:colOff>18899</xdr:colOff>
      <xdr:row>0</xdr:row>
      <xdr:rowOff>190350</xdr:rowOff>
    </xdr:to>
    <xdr:sp macro="" textlink="">
      <xdr:nvSpPr>
        <xdr:cNvPr id="14" name="1/2 액자 13">
          <a:extLst>
            <a:ext uri="{FF2B5EF4-FFF2-40B4-BE49-F238E27FC236}">
              <a16:creationId xmlns:a16="http://schemas.microsoft.com/office/drawing/2014/main" id="{C70EA072-ED79-41CE-97A6-B22E623F7EF6}"/>
            </a:ext>
          </a:extLst>
        </xdr:cNvPr>
        <xdr:cNvSpPr/>
      </xdr:nvSpPr>
      <xdr:spPr>
        <a:xfrm rot="18900000">
          <a:off x="3609974" y="57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171449</xdr:colOff>
      <xdr:row>0</xdr:row>
      <xdr:rowOff>57148</xdr:rowOff>
    </xdr:from>
    <xdr:to>
      <xdr:col>16</xdr:col>
      <xdr:colOff>125099</xdr:colOff>
      <xdr:row>0</xdr:row>
      <xdr:rowOff>201148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5DF23F21-F8AE-4763-B34B-98FBD46846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20000"/>
        </a:blip>
        <a:stretch>
          <a:fillRect/>
        </a:stretch>
      </xdr:blipFill>
      <xdr:spPr>
        <a:xfrm>
          <a:off x="252412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4</xdr:col>
      <xdr:colOff>171449</xdr:colOff>
      <xdr:row>0</xdr:row>
      <xdr:rowOff>57148</xdr:rowOff>
    </xdr:from>
    <xdr:to>
      <xdr:col>7</xdr:col>
      <xdr:colOff>125099</xdr:colOff>
      <xdr:row>0</xdr:row>
      <xdr:rowOff>201148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D33F04F0-EFBB-484A-A49D-097730D7F6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107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0</xdr:row>
      <xdr:rowOff>57148</xdr:rowOff>
    </xdr:from>
    <xdr:to>
      <xdr:col>10</xdr:col>
      <xdr:colOff>125099</xdr:colOff>
      <xdr:row>0</xdr:row>
      <xdr:rowOff>201148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84046DC6-3D08-423F-BA8A-193B5B3657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171449</xdr:colOff>
      <xdr:row>0</xdr:row>
      <xdr:rowOff>57148</xdr:rowOff>
    </xdr:from>
    <xdr:to>
      <xdr:col>13</xdr:col>
      <xdr:colOff>125099</xdr:colOff>
      <xdr:row>0</xdr:row>
      <xdr:rowOff>200023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02548C2E-87EC-4F0A-8C9C-5347E97733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4" y="57148"/>
          <a:ext cx="468000" cy="142875"/>
        </a:xfrm>
        <a:prstGeom prst="rect">
          <a:avLst/>
        </a:prstGeom>
      </xdr:spPr>
    </xdr:pic>
    <xdr:clientData/>
  </xdr:twoCellAnchor>
  <xdr:twoCellAnchor>
    <xdr:from>
      <xdr:col>16</xdr:col>
      <xdr:colOff>171448</xdr:colOff>
      <xdr:row>0</xdr:row>
      <xdr:rowOff>57148</xdr:rowOff>
    </xdr:from>
    <xdr:to>
      <xdr:col>19</xdr:col>
      <xdr:colOff>125098</xdr:colOff>
      <xdr:row>0</xdr:row>
      <xdr:rowOff>201148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B2C20441-69E7-440F-ABF4-E289D38A04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alphaModFix amt="20000"/>
        </a:blip>
        <a:stretch>
          <a:fillRect/>
        </a:stretch>
      </xdr:blipFill>
      <xdr:spPr>
        <a:xfrm>
          <a:off x="3038473" y="57148"/>
          <a:ext cx="468000" cy="144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E6EC10-CC40-4C58-9BA4-CA64ABCFF538}">
  <sheetPr codeName="Sheet1">
    <tabColor rgb="FFFFFF00"/>
  </sheetPr>
  <dimension ref="B2:C16"/>
  <sheetViews>
    <sheetView workbookViewId="0">
      <selection activeCell="C3" sqref="C3"/>
    </sheetView>
  </sheetViews>
  <sheetFormatPr defaultRowHeight="14.45" customHeight="1" x14ac:dyDescent="0.2"/>
  <cols>
    <col min="1" max="1" width="1.7109375" style="1" customWidth="1"/>
    <col min="2" max="2" width="15" style="1" customWidth="1"/>
    <col min="3" max="3" width="9.140625" style="2"/>
    <col min="4" max="16384" width="9.140625" style="1"/>
  </cols>
  <sheetData>
    <row r="2" spans="2:3" ht="14.45" customHeight="1" x14ac:dyDescent="0.2">
      <c r="B2" s="17" t="s">
        <v>10</v>
      </c>
      <c r="C2" s="17" t="s">
        <v>11</v>
      </c>
    </row>
    <row r="3" spans="2:3" ht="14.45" customHeight="1" x14ac:dyDescent="0.2">
      <c r="B3" s="58" t="s">
        <v>12</v>
      </c>
      <c r="C3" s="58" t="s">
        <v>3407</v>
      </c>
    </row>
    <row r="5" spans="2:3" ht="14.45" customHeight="1" x14ac:dyDescent="0.2">
      <c r="B5" s="17" t="s">
        <v>6</v>
      </c>
    </row>
    <row r="6" spans="2:3" ht="14.45" customHeight="1" x14ac:dyDescent="0.2">
      <c r="B6" s="58" t="s">
        <v>173</v>
      </c>
    </row>
    <row r="7" spans="2:3" ht="14.45" customHeight="1" x14ac:dyDescent="0.2">
      <c r="B7" s="58" t="s">
        <v>2335</v>
      </c>
    </row>
    <row r="8" spans="2:3" ht="14.45" customHeight="1" x14ac:dyDescent="0.2">
      <c r="B8" s="58" t="s">
        <v>2334</v>
      </c>
    </row>
    <row r="9" spans="2:3" ht="14.45" customHeight="1" x14ac:dyDescent="0.2">
      <c r="B9" s="58" t="s">
        <v>2423</v>
      </c>
    </row>
    <row r="10" spans="2:3" ht="14.45" customHeight="1" x14ac:dyDescent="0.2">
      <c r="B10" s="58" t="s">
        <v>2424</v>
      </c>
    </row>
    <row r="11" spans="2:3" ht="14.45" customHeight="1" x14ac:dyDescent="0.2">
      <c r="B11" s="58" t="s">
        <v>1373</v>
      </c>
    </row>
    <row r="13" spans="2:3" ht="14.45" customHeight="1" x14ac:dyDescent="0.2">
      <c r="B13" s="17" t="s">
        <v>2513</v>
      </c>
    </row>
    <row r="14" spans="2:3" ht="14.45" customHeight="1" x14ac:dyDescent="0.2">
      <c r="B14" s="58" t="s">
        <v>2514</v>
      </c>
    </row>
    <row r="15" spans="2:3" ht="14.45" customHeight="1" x14ac:dyDescent="0.2">
      <c r="B15" s="58" t="s">
        <v>2515</v>
      </c>
    </row>
    <row r="16" spans="2:3" ht="14.45" customHeight="1" x14ac:dyDescent="0.2">
      <c r="B16" s="58" t="s">
        <v>2516</v>
      </c>
    </row>
  </sheetData>
  <phoneticPr fontId="3" type="noConversion"/>
  <dataValidations count="1">
    <dataValidation type="list" allowBlank="1" showInputMessage="1" showErrorMessage="1" sqref="C3" xr:uid="{7AA5EB7C-D736-4622-B51E-6379B3232FC1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772EEC-CC7C-4D29-8F8F-BDA1F386F52A}">
  <sheetPr codeName="Sheet10"/>
  <dimension ref="A1:CV1931"/>
  <sheetViews>
    <sheetView showGridLines="0" zoomScaleNormal="100" workbookViewId="0">
      <pane ySplit="1" topLeftCell="A253" activePane="bottomLeft" state="frozen"/>
      <selection activeCell="X579" sqref="X579"/>
      <selection pane="bottomLeft" activeCell="Z286" sqref="Z286"/>
    </sheetView>
  </sheetViews>
  <sheetFormatPr defaultColWidth="2.5703125" defaultRowHeight="14.45" customHeight="1" thickBottom="1" outlineLevelRow="4" x14ac:dyDescent="0.3"/>
  <cols>
    <col min="1" max="1" width="4.28515625" style="8" customWidth="1"/>
    <col min="2" max="2" width="2.7109375" style="9" customWidth="1"/>
    <col min="3" max="52" width="2.5703125" style="6"/>
    <col min="53" max="53" width="2.5703125" style="10"/>
    <col min="54" max="54" width="0.5703125" style="11" customWidth="1"/>
    <col min="55" max="55" width="2.5703125" style="12" customWidth="1"/>
    <col min="56" max="58" width="2.5703125" style="12"/>
    <col min="59" max="59" width="2.5703125" style="12" customWidth="1"/>
    <col min="60" max="98" width="2.5703125" style="12"/>
    <col min="99" max="99" width="2.5703125" style="13"/>
    <col min="100" max="100" width="2.5703125" style="14"/>
    <col min="101" max="16384" width="2.5703125" style="6"/>
  </cols>
  <sheetData>
    <row r="1" spans="3:5" ht="19.5" customHeight="1" thickBot="1" x14ac:dyDescent="0.3"/>
    <row r="3" spans="3:5" ht="14.45" customHeight="1" thickBot="1" x14ac:dyDescent="0.3">
      <c r="C3" s="25" t="s">
        <v>243</v>
      </c>
      <c r="D3" s="25"/>
    </row>
    <row r="4" spans="3:5" ht="14.45" customHeight="1" outlineLevel="1" thickBot="1" x14ac:dyDescent="0.3">
      <c r="D4" s="26" t="s">
        <v>244</v>
      </c>
      <c r="E4" s="26"/>
    </row>
    <row r="5" spans="3:5" ht="14.45" customHeight="1" outlineLevel="2" thickBot="1" x14ac:dyDescent="0.3">
      <c r="E5" s="27" t="s">
        <v>245</v>
      </c>
    </row>
    <row r="6" spans="3:5" ht="14.45" customHeight="1" outlineLevel="4" thickBot="1" x14ac:dyDescent="0.3"/>
    <row r="7" spans="3:5" ht="14.45" customHeight="1" outlineLevel="3" thickBot="1" x14ac:dyDescent="0.3"/>
    <row r="8" spans="3:5" ht="14.45" customHeight="1" outlineLevel="2" thickBot="1" x14ac:dyDescent="0.3">
      <c r="E8" s="27" t="s">
        <v>246</v>
      </c>
    </row>
    <row r="9" spans="3:5" ht="14.45" customHeight="1" outlineLevel="4" thickBot="1" x14ac:dyDescent="0.3"/>
    <row r="10" spans="3:5" ht="14.45" customHeight="1" outlineLevel="3" thickBot="1" x14ac:dyDescent="0.3"/>
    <row r="11" spans="3:5" ht="14.45" customHeight="1" outlineLevel="2" thickBot="1" x14ac:dyDescent="0.3"/>
    <row r="12" spans="3:5" ht="14.45" customHeight="1" outlineLevel="1" thickBot="1" x14ac:dyDescent="0.3">
      <c r="D12" s="26" t="s">
        <v>247</v>
      </c>
      <c r="E12" s="26"/>
    </row>
    <row r="13" spans="3:5" ht="14.45" customHeight="1" outlineLevel="2" thickBot="1" x14ac:dyDescent="0.3">
      <c r="E13" s="27" t="s">
        <v>248</v>
      </c>
    </row>
    <row r="14" spans="3:5" ht="14.45" customHeight="1" outlineLevel="4" thickBot="1" x14ac:dyDescent="0.3"/>
    <row r="15" spans="3:5" ht="14.45" customHeight="1" outlineLevel="3" thickBot="1" x14ac:dyDescent="0.3"/>
    <row r="16" spans="3:5" ht="14.45" customHeight="1" outlineLevel="2" thickBot="1" x14ac:dyDescent="0.3">
      <c r="E16" s="27" t="s">
        <v>249</v>
      </c>
    </row>
    <row r="17" spans="5:6" ht="14.45" customHeight="1" outlineLevel="3" thickBot="1" x14ac:dyDescent="0.3">
      <c r="F17" s="28" t="s">
        <v>250</v>
      </c>
    </row>
    <row r="18" spans="5:6" ht="14.45" customHeight="1" outlineLevel="4" thickBot="1" x14ac:dyDescent="0.3"/>
    <row r="19" spans="5:6" ht="14.45" customHeight="1" outlineLevel="3" thickBot="1" x14ac:dyDescent="0.3">
      <c r="F19" s="28" t="s">
        <v>251</v>
      </c>
    </row>
    <row r="20" spans="5:6" ht="14.45" customHeight="1" outlineLevel="4" thickBot="1" x14ac:dyDescent="0.3"/>
    <row r="21" spans="5:6" ht="14.45" customHeight="1" outlineLevel="3" thickBot="1" x14ac:dyDescent="0.3"/>
    <row r="22" spans="5:6" ht="14.45" customHeight="1" outlineLevel="2" thickBot="1" x14ac:dyDescent="0.3">
      <c r="E22" s="27" t="s">
        <v>252</v>
      </c>
    </row>
    <row r="23" spans="5:6" ht="14.45" customHeight="1" outlineLevel="3" thickBot="1" x14ac:dyDescent="0.3">
      <c r="F23" s="28" t="s">
        <v>253</v>
      </c>
    </row>
    <row r="24" spans="5:6" ht="14.45" customHeight="1" outlineLevel="4" thickBot="1" x14ac:dyDescent="0.3"/>
    <row r="25" spans="5:6" ht="14.45" customHeight="1" outlineLevel="3" thickBot="1" x14ac:dyDescent="0.3">
      <c r="F25" s="28" t="s">
        <v>254</v>
      </c>
    </row>
    <row r="26" spans="5:6" ht="14.45" customHeight="1" outlineLevel="4" thickBot="1" x14ac:dyDescent="0.3"/>
    <row r="27" spans="5:6" ht="14.45" customHeight="1" outlineLevel="3" thickBot="1" x14ac:dyDescent="0.3">
      <c r="F27" s="28" t="s">
        <v>255</v>
      </c>
    </row>
    <row r="28" spans="5:6" ht="14.45" customHeight="1" outlineLevel="4" thickBot="1" x14ac:dyDescent="0.3"/>
    <row r="29" spans="5:6" ht="14.45" customHeight="1" outlineLevel="3" thickBot="1" x14ac:dyDescent="0.3">
      <c r="F29" s="28" t="s">
        <v>256</v>
      </c>
    </row>
    <row r="30" spans="5:6" ht="14.45" customHeight="1" outlineLevel="4" thickBot="1" x14ac:dyDescent="0.3"/>
    <row r="31" spans="5:6" ht="14.45" customHeight="1" outlineLevel="3" thickBot="1" x14ac:dyDescent="0.3"/>
    <row r="32" spans="5:6" ht="14.45" customHeight="1" outlineLevel="2" thickBot="1" x14ac:dyDescent="0.3">
      <c r="E32" s="27" t="s">
        <v>257</v>
      </c>
    </row>
    <row r="33" spans="3:6" ht="14.45" customHeight="1" outlineLevel="3" thickBot="1" x14ac:dyDescent="0.3">
      <c r="F33" s="28" t="s">
        <v>258</v>
      </c>
    </row>
    <row r="34" spans="3:6" ht="14.45" customHeight="1" outlineLevel="4" thickBot="1" x14ac:dyDescent="0.3"/>
    <row r="35" spans="3:6" ht="14.45" customHeight="1" outlineLevel="3" thickBot="1" x14ac:dyDescent="0.3">
      <c r="F35" s="28" t="s">
        <v>259</v>
      </c>
    </row>
    <row r="36" spans="3:6" ht="14.45" customHeight="1" outlineLevel="4" thickBot="1" x14ac:dyDescent="0.3"/>
    <row r="37" spans="3:6" ht="14.45" customHeight="1" outlineLevel="3" thickBot="1" x14ac:dyDescent="0.3">
      <c r="F37" s="28" t="s">
        <v>260</v>
      </c>
    </row>
    <row r="38" spans="3:6" ht="14.45" customHeight="1" outlineLevel="4" thickBot="1" x14ac:dyDescent="0.3"/>
    <row r="39" spans="3:6" ht="14.45" customHeight="1" outlineLevel="3" thickBot="1" x14ac:dyDescent="0.3"/>
    <row r="40" spans="3:6" ht="14.45" customHeight="1" outlineLevel="2" thickBot="1" x14ac:dyDescent="0.3"/>
    <row r="41" spans="3:6" ht="14.45" customHeight="1" outlineLevel="1" thickBot="1" x14ac:dyDescent="0.3"/>
    <row r="42" spans="3:6" ht="14.45" customHeight="1" thickBot="1" x14ac:dyDescent="0.3">
      <c r="C42" s="25" t="s">
        <v>261</v>
      </c>
      <c r="D42" s="25"/>
    </row>
    <row r="43" spans="3:6" ht="14.45" customHeight="1" outlineLevel="1" thickBot="1" x14ac:dyDescent="0.3">
      <c r="D43" s="26" t="s">
        <v>13</v>
      </c>
      <c r="E43" s="26"/>
    </row>
    <row r="44" spans="3:6" ht="14.45" customHeight="1" outlineLevel="2" thickBot="1" x14ac:dyDescent="0.3"/>
    <row r="45" spans="3:6" ht="14.45" customHeight="1" outlineLevel="1" thickBot="1" x14ac:dyDescent="0.3">
      <c r="D45" s="26" t="s">
        <v>14</v>
      </c>
      <c r="E45" s="26"/>
    </row>
    <row r="46" spans="3:6" ht="14.45" customHeight="1" outlineLevel="2" thickBot="1" x14ac:dyDescent="0.3">
      <c r="E46" s="27" t="s">
        <v>262</v>
      </c>
    </row>
    <row r="47" spans="3:6" ht="14.45" customHeight="1" outlineLevel="4" thickBot="1" x14ac:dyDescent="0.3"/>
    <row r="48" spans="3:6" ht="14.45" customHeight="1" outlineLevel="3" thickBot="1" x14ac:dyDescent="0.3"/>
    <row r="49" spans="3:6" ht="14.45" customHeight="1" outlineLevel="2" thickBot="1" x14ac:dyDescent="0.3">
      <c r="E49" s="27" t="s">
        <v>263</v>
      </c>
    </row>
    <row r="50" spans="3:6" ht="14.45" customHeight="1" outlineLevel="3" thickBot="1" x14ac:dyDescent="0.3">
      <c r="F50" s="28" t="s">
        <v>264</v>
      </c>
    </row>
    <row r="51" spans="3:6" ht="14.45" customHeight="1" outlineLevel="4" thickBot="1" x14ac:dyDescent="0.3"/>
    <row r="52" spans="3:6" ht="14.45" customHeight="1" outlineLevel="3" thickBot="1" x14ac:dyDescent="0.3">
      <c r="F52" s="28" t="s">
        <v>265</v>
      </c>
    </row>
    <row r="53" spans="3:6" ht="14.45" customHeight="1" outlineLevel="4" thickBot="1" x14ac:dyDescent="0.3"/>
    <row r="54" spans="3:6" ht="14.45" customHeight="1" outlineLevel="3" thickBot="1" x14ac:dyDescent="0.3"/>
    <row r="55" spans="3:6" ht="14.45" customHeight="1" outlineLevel="2" thickBot="1" x14ac:dyDescent="0.3"/>
    <row r="56" spans="3:6" ht="14.45" customHeight="1" outlineLevel="1" thickBot="1" x14ac:dyDescent="0.3"/>
    <row r="57" spans="3:6" ht="14.45" customHeight="1" thickBot="1" x14ac:dyDescent="0.3">
      <c r="C57" s="25" t="s">
        <v>266</v>
      </c>
      <c r="D57" s="25"/>
    </row>
    <row r="58" spans="3:6" ht="14.45" customHeight="1" outlineLevel="1" thickBot="1" x14ac:dyDescent="0.3">
      <c r="D58" s="26" t="s">
        <v>15</v>
      </c>
      <c r="E58" s="26"/>
    </row>
    <row r="59" spans="3:6" ht="14.45" customHeight="1" outlineLevel="2" thickBot="1" x14ac:dyDescent="0.3">
      <c r="E59" s="27" t="s">
        <v>267</v>
      </c>
    </row>
    <row r="60" spans="3:6" ht="14.45" customHeight="1" outlineLevel="3" thickBot="1" x14ac:dyDescent="0.3">
      <c r="F60" s="28" t="s">
        <v>268</v>
      </c>
    </row>
    <row r="61" spans="3:6" ht="14.45" customHeight="1" outlineLevel="4" thickBot="1" x14ac:dyDescent="0.3"/>
    <row r="62" spans="3:6" ht="14.45" customHeight="1" outlineLevel="3" thickBot="1" x14ac:dyDescent="0.3">
      <c r="F62" s="28" t="s">
        <v>269</v>
      </c>
    </row>
    <row r="63" spans="3:6" ht="14.45" customHeight="1" outlineLevel="4" thickBot="1" x14ac:dyDescent="0.3"/>
    <row r="64" spans="3:6" ht="14.45" customHeight="1" outlineLevel="3" thickBot="1" x14ac:dyDescent="0.3">
      <c r="F64" s="28" t="s">
        <v>270</v>
      </c>
    </row>
    <row r="65" spans="5:6" ht="14.45" customHeight="1" outlineLevel="4" thickBot="1" x14ac:dyDescent="0.3"/>
    <row r="66" spans="5:6" ht="14.45" customHeight="1" outlineLevel="3" thickBot="1" x14ac:dyDescent="0.3"/>
    <row r="67" spans="5:6" ht="14.45" customHeight="1" outlineLevel="2" thickBot="1" x14ac:dyDescent="0.3">
      <c r="E67" s="27" t="s">
        <v>271</v>
      </c>
    </row>
    <row r="68" spans="5:6" ht="14.45" customHeight="1" outlineLevel="3" thickBot="1" x14ac:dyDescent="0.3">
      <c r="F68" s="28" t="s">
        <v>268</v>
      </c>
    </row>
    <row r="69" spans="5:6" ht="14.45" customHeight="1" outlineLevel="4" thickBot="1" x14ac:dyDescent="0.3"/>
    <row r="70" spans="5:6" ht="14.45" customHeight="1" outlineLevel="3" thickBot="1" x14ac:dyDescent="0.3">
      <c r="F70" s="28" t="s">
        <v>272</v>
      </c>
    </row>
    <row r="71" spans="5:6" ht="14.45" customHeight="1" outlineLevel="4" thickBot="1" x14ac:dyDescent="0.3"/>
    <row r="72" spans="5:6" ht="14.45" customHeight="1" outlineLevel="3" thickBot="1" x14ac:dyDescent="0.3">
      <c r="F72" s="28" t="s">
        <v>273</v>
      </c>
    </row>
    <row r="73" spans="5:6" ht="14.45" customHeight="1" outlineLevel="4" thickBot="1" x14ac:dyDescent="0.3"/>
    <row r="74" spans="5:6" ht="14.45" customHeight="1" outlineLevel="3" thickBot="1" x14ac:dyDescent="0.3">
      <c r="F74" s="28" t="s">
        <v>274</v>
      </c>
    </row>
    <row r="75" spans="5:6" ht="14.45" customHeight="1" outlineLevel="4" thickBot="1" x14ac:dyDescent="0.3"/>
    <row r="76" spans="5:6" ht="14.45" customHeight="1" outlineLevel="3" thickBot="1" x14ac:dyDescent="0.3"/>
    <row r="77" spans="5:6" ht="14.45" customHeight="1" outlineLevel="2" thickBot="1" x14ac:dyDescent="0.3">
      <c r="E77" s="27" t="s">
        <v>275</v>
      </c>
    </row>
    <row r="78" spans="5:6" ht="14.45" customHeight="1" outlineLevel="4" thickBot="1" x14ac:dyDescent="0.3"/>
    <row r="79" spans="5:6" ht="14.45" customHeight="1" outlineLevel="3" thickBot="1" x14ac:dyDescent="0.3"/>
    <row r="80" spans="5:6" ht="14.45" customHeight="1" outlineLevel="2" thickBot="1" x14ac:dyDescent="0.3">
      <c r="E80" s="27" t="s">
        <v>276</v>
      </c>
    </row>
    <row r="81" spans="4:6" ht="14.45" customHeight="1" outlineLevel="4" thickBot="1" x14ac:dyDescent="0.3"/>
    <row r="82" spans="4:6" ht="14.45" customHeight="1" outlineLevel="3" thickBot="1" x14ac:dyDescent="0.3"/>
    <row r="83" spans="4:6" ht="14.45" customHeight="1" outlineLevel="2" thickBot="1" x14ac:dyDescent="0.3"/>
    <row r="84" spans="4:6" ht="14.45" customHeight="1" outlineLevel="1" thickBot="1" x14ac:dyDescent="0.3">
      <c r="D84" s="26" t="s">
        <v>16</v>
      </c>
      <c r="E84" s="26"/>
    </row>
    <row r="85" spans="4:6" ht="14.45" customHeight="1" outlineLevel="2" thickBot="1" x14ac:dyDescent="0.3">
      <c r="E85" s="27" t="s">
        <v>277</v>
      </c>
    </row>
    <row r="86" spans="4:6" ht="14.45" customHeight="1" outlineLevel="3" thickBot="1" x14ac:dyDescent="0.3">
      <c r="F86" s="28" t="s">
        <v>268</v>
      </c>
    </row>
    <row r="87" spans="4:6" ht="14.45" customHeight="1" outlineLevel="4" thickBot="1" x14ac:dyDescent="0.3"/>
    <row r="88" spans="4:6" ht="14.45" customHeight="1" outlineLevel="3" thickBot="1" x14ac:dyDescent="0.3">
      <c r="F88" s="28" t="s">
        <v>278</v>
      </c>
    </row>
    <row r="89" spans="4:6" ht="14.45" customHeight="1" outlineLevel="4" thickBot="1" x14ac:dyDescent="0.3"/>
    <row r="90" spans="4:6" ht="14.45" customHeight="1" outlineLevel="3" thickBot="1" x14ac:dyDescent="0.3">
      <c r="F90" s="28" t="s">
        <v>279</v>
      </c>
    </row>
    <row r="91" spans="4:6" ht="14.45" customHeight="1" outlineLevel="4" thickBot="1" x14ac:dyDescent="0.3"/>
    <row r="92" spans="4:6" ht="14.45" customHeight="1" outlineLevel="3" thickBot="1" x14ac:dyDescent="0.3">
      <c r="F92" s="28" t="s">
        <v>280</v>
      </c>
    </row>
    <row r="93" spans="4:6" ht="14.45" customHeight="1" outlineLevel="4" thickBot="1" x14ac:dyDescent="0.3"/>
    <row r="94" spans="4:6" ht="14.45" customHeight="1" outlineLevel="3" thickBot="1" x14ac:dyDescent="0.3"/>
    <row r="95" spans="4:6" ht="14.45" customHeight="1" outlineLevel="2" thickBot="1" x14ac:dyDescent="0.3">
      <c r="E95" s="27" t="s">
        <v>281</v>
      </c>
    </row>
    <row r="96" spans="4:6" ht="14.45" customHeight="1" outlineLevel="3" thickBot="1" x14ac:dyDescent="0.3">
      <c r="F96" s="28" t="s">
        <v>268</v>
      </c>
    </row>
    <row r="97" spans="4:6" ht="14.45" customHeight="1" outlineLevel="4" thickBot="1" x14ac:dyDescent="0.3"/>
    <row r="98" spans="4:6" ht="14.45" customHeight="1" outlineLevel="3" thickBot="1" x14ac:dyDescent="0.3">
      <c r="F98" s="28" t="s">
        <v>282</v>
      </c>
    </row>
    <row r="99" spans="4:6" ht="14.45" customHeight="1" outlineLevel="4" thickBot="1" x14ac:dyDescent="0.3"/>
    <row r="100" spans="4:6" ht="14.45" customHeight="1" outlineLevel="3" thickBot="1" x14ac:dyDescent="0.3">
      <c r="F100" s="28" t="s">
        <v>283</v>
      </c>
    </row>
    <row r="101" spans="4:6" ht="14.45" customHeight="1" outlineLevel="4" thickBot="1" x14ac:dyDescent="0.3"/>
    <row r="102" spans="4:6" ht="14.45" customHeight="1" outlineLevel="3" thickBot="1" x14ac:dyDescent="0.3">
      <c r="F102" s="28" t="s">
        <v>284</v>
      </c>
    </row>
    <row r="103" spans="4:6" ht="14.45" customHeight="1" outlineLevel="4" thickBot="1" x14ac:dyDescent="0.3"/>
    <row r="104" spans="4:6" ht="14.45" customHeight="1" outlineLevel="3" thickBot="1" x14ac:dyDescent="0.3">
      <c r="F104" s="28" t="s">
        <v>285</v>
      </c>
    </row>
    <row r="105" spans="4:6" ht="14.45" customHeight="1" outlineLevel="4" thickBot="1" x14ac:dyDescent="0.3"/>
    <row r="106" spans="4:6" ht="14.45" customHeight="1" outlineLevel="3" thickBot="1" x14ac:dyDescent="0.3"/>
    <row r="107" spans="4:6" ht="14.45" customHeight="1" outlineLevel="2" thickBot="1" x14ac:dyDescent="0.3">
      <c r="E107" s="27" t="s">
        <v>286</v>
      </c>
    </row>
    <row r="108" spans="4:6" ht="14.45" customHeight="1" outlineLevel="4" thickBot="1" x14ac:dyDescent="0.3"/>
    <row r="109" spans="4:6" ht="14.45" customHeight="1" outlineLevel="3" thickBot="1" x14ac:dyDescent="0.3"/>
    <row r="110" spans="4:6" ht="14.45" customHeight="1" outlineLevel="2" thickBot="1" x14ac:dyDescent="0.3"/>
    <row r="111" spans="4:6" ht="14.45" customHeight="1" outlineLevel="1" thickBot="1" x14ac:dyDescent="0.3">
      <c r="D111" s="26" t="s">
        <v>17</v>
      </c>
      <c r="E111" s="26"/>
    </row>
    <row r="112" spans="4:6" ht="14.45" customHeight="1" outlineLevel="2" thickBot="1" x14ac:dyDescent="0.3">
      <c r="E112" s="27" t="s">
        <v>287</v>
      </c>
    </row>
    <row r="113" spans="5:7" ht="14.45" customHeight="1" outlineLevel="3" thickBot="1" x14ac:dyDescent="0.3">
      <c r="F113" s="28" t="s">
        <v>288</v>
      </c>
    </row>
    <row r="114" spans="5:7" ht="14.45" customHeight="1" outlineLevel="4" thickBot="1" x14ac:dyDescent="0.3"/>
    <row r="115" spans="5:7" ht="14.45" customHeight="1" outlineLevel="3" thickBot="1" x14ac:dyDescent="0.3">
      <c r="F115" s="28" t="s">
        <v>289</v>
      </c>
    </row>
    <row r="116" spans="5:7" ht="14.45" customHeight="1" outlineLevel="4" thickBot="1" x14ac:dyDescent="0.3"/>
    <row r="117" spans="5:7" ht="14.45" customHeight="1" outlineLevel="3" thickBot="1" x14ac:dyDescent="0.3"/>
    <row r="118" spans="5:7" ht="14.45" customHeight="1" outlineLevel="2" thickBot="1" x14ac:dyDescent="0.3">
      <c r="E118" s="27" t="s">
        <v>290</v>
      </c>
    </row>
    <row r="119" spans="5:7" ht="14.45" customHeight="1" outlineLevel="4" thickBot="1" x14ac:dyDescent="0.3"/>
    <row r="120" spans="5:7" ht="14.45" customHeight="1" outlineLevel="3" thickBot="1" x14ac:dyDescent="0.3"/>
    <row r="121" spans="5:7" ht="14.45" customHeight="1" outlineLevel="2" thickBot="1" x14ac:dyDescent="0.3">
      <c r="E121" s="27" t="s">
        <v>291</v>
      </c>
    </row>
    <row r="122" spans="5:7" ht="14.45" customHeight="1" outlineLevel="3" thickBot="1" x14ac:dyDescent="0.3">
      <c r="F122" s="28" t="s">
        <v>292</v>
      </c>
    </row>
    <row r="123" spans="5:7" ht="14.45" customHeight="1" outlineLevel="4" thickBot="1" x14ac:dyDescent="0.3"/>
    <row r="124" spans="5:7" ht="14.45" customHeight="1" outlineLevel="3" thickBot="1" x14ac:dyDescent="0.3">
      <c r="F124" s="28" t="s">
        <v>293</v>
      </c>
    </row>
    <row r="125" spans="5:7" ht="14.45" customHeight="1" outlineLevel="4" thickBot="1" x14ac:dyDescent="0.3">
      <c r="G125" s="7" t="s">
        <v>294</v>
      </c>
    </row>
    <row r="126" spans="5:7" ht="14.45" customHeight="1" outlineLevel="4" thickBot="1" x14ac:dyDescent="0.3">
      <c r="G126" s="7" t="s">
        <v>295</v>
      </c>
    </row>
    <row r="127" spans="5:7" ht="14.45" customHeight="1" outlineLevel="4" thickBot="1" x14ac:dyDescent="0.3">
      <c r="G127" s="7" t="s">
        <v>296</v>
      </c>
    </row>
    <row r="128" spans="5:7" ht="14.45" customHeight="1" outlineLevel="4" thickBot="1" x14ac:dyDescent="0.3">
      <c r="G128" s="7" t="s">
        <v>297</v>
      </c>
    </row>
    <row r="129" spans="5:7" ht="14.45" customHeight="1" outlineLevel="4" thickBot="1" x14ac:dyDescent="0.3">
      <c r="G129" s="7" t="s">
        <v>298</v>
      </c>
    </row>
    <row r="130" spans="5:7" ht="14.45" customHeight="1" outlineLevel="3" thickBot="1" x14ac:dyDescent="0.3">
      <c r="F130" s="28" t="s">
        <v>299</v>
      </c>
    </row>
    <row r="131" spans="5:7" ht="14.45" customHeight="1" outlineLevel="4" thickBot="1" x14ac:dyDescent="0.3">
      <c r="G131" s="7" t="s">
        <v>300</v>
      </c>
    </row>
    <row r="132" spans="5:7" ht="14.45" customHeight="1" outlineLevel="4" thickBot="1" x14ac:dyDescent="0.3">
      <c r="G132" s="7" t="s">
        <v>301</v>
      </c>
    </row>
    <row r="133" spans="5:7" ht="14.45" customHeight="1" outlineLevel="4" thickBot="1" x14ac:dyDescent="0.3">
      <c r="G133" s="7" t="s">
        <v>302</v>
      </c>
    </row>
    <row r="134" spans="5:7" ht="14.45" customHeight="1" outlineLevel="4" thickBot="1" x14ac:dyDescent="0.3">
      <c r="G134" s="7" t="s">
        <v>297</v>
      </c>
    </row>
    <row r="135" spans="5:7" ht="14.45" customHeight="1" outlineLevel="3" thickBot="1" x14ac:dyDescent="0.3">
      <c r="F135" s="28" t="s">
        <v>303</v>
      </c>
    </row>
    <row r="136" spans="5:7" ht="14.45" customHeight="1" outlineLevel="4" thickBot="1" x14ac:dyDescent="0.3">
      <c r="G136" s="7" t="s">
        <v>304</v>
      </c>
    </row>
    <row r="137" spans="5:7" ht="14.45" customHeight="1" outlineLevel="4" thickBot="1" x14ac:dyDescent="0.3">
      <c r="G137" s="7" t="s">
        <v>305</v>
      </c>
    </row>
    <row r="138" spans="5:7" ht="14.45" customHeight="1" outlineLevel="4" thickBot="1" x14ac:dyDescent="0.3">
      <c r="G138" s="7" t="s">
        <v>306</v>
      </c>
    </row>
    <row r="139" spans="5:7" ht="14.45" customHeight="1" outlineLevel="3" thickBot="1" x14ac:dyDescent="0.3"/>
    <row r="140" spans="5:7" ht="14.45" customHeight="1" outlineLevel="2" thickBot="1" x14ac:dyDescent="0.3">
      <c r="E140" s="27" t="s">
        <v>307</v>
      </c>
    </row>
    <row r="141" spans="5:7" ht="14.45" customHeight="1" outlineLevel="3" thickBot="1" x14ac:dyDescent="0.3">
      <c r="F141" s="28" t="s">
        <v>292</v>
      </c>
    </row>
    <row r="142" spans="5:7" ht="14.45" customHeight="1" outlineLevel="4" thickBot="1" x14ac:dyDescent="0.3"/>
    <row r="143" spans="5:7" ht="14.45" customHeight="1" outlineLevel="3" thickBot="1" x14ac:dyDescent="0.3">
      <c r="F143" s="28" t="s">
        <v>308</v>
      </c>
    </row>
    <row r="144" spans="5:7" ht="14.45" customHeight="1" outlineLevel="4" thickBot="1" x14ac:dyDescent="0.3">
      <c r="G144" s="7" t="s">
        <v>309</v>
      </c>
    </row>
    <row r="145" spans="5:7" ht="14.45" customHeight="1" outlineLevel="4" thickBot="1" x14ac:dyDescent="0.3">
      <c r="G145" s="7" t="s">
        <v>310</v>
      </c>
    </row>
    <row r="146" spans="5:7" ht="14.45" customHeight="1" outlineLevel="4" thickBot="1" x14ac:dyDescent="0.3">
      <c r="G146" s="7" t="s">
        <v>311</v>
      </c>
    </row>
    <row r="147" spans="5:7" ht="14.45" customHeight="1" outlineLevel="3" thickBot="1" x14ac:dyDescent="0.3"/>
    <row r="148" spans="5:7" ht="14.45" customHeight="1" outlineLevel="2" thickBot="1" x14ac:dyDescent="0.3">
      <c r="E148" s="27" t="s">
        <v>312</v>
      </c>
    </row>
    <row r="149" spans="5:7" ht="14.45" customHeight="1" outlineLevel="4" thickBot="1" x14ac:dyDescent="0.3"/>
    <row r="150" spans="5:7" ht="14.45" customHeight="1" outlineLevel="3" thickBot="1" x14ac:dyDescent="0.3"/>
    <row r="151" spans="5:7" ht="14.45" customHeight="1" outlineLevel="2" thickBot="1" x14ac:dyDescent="0.3">
      <c r="E151" s="27" t="s">
        <v>313</v>
      </c>
    </row>
    <row r="152" spans="5:7" ht="14.45" customHeight="1" outlineLevel="3" thickBot="1" x14ac:dyDescent="0.3">
      <c r="F152" s="28" t="s">
        <v>314</v>
      </c>
    </row>
    <row r="153" spans="5:7" ht="14.45" customHeight="1" outlineLevel="4" thickBot="1" x14ac:dyDescent="0.3"/>
    <row r="154" spans="5:7" ht="14.45" customHeight="1" outlineLevel="3" thickBot="1" x14ac:dyDescent="0.3">
      <c r="F154" s="28" t="s">
        <v>315</v>
      </c>
    </row>
    <row r="155" spans="5:7" ht="14.45" customHeight="1" outlineLevel="4" thickBot="1" x14ac:dyDescent="0.3"/>
    <row r="156" spans="5:7" ht="14.45" customHeight="1" outlineLevel="3" thickBot="1" x14ac:dyDescent="0.3">
      <c r="F156" s="28" t="s">
        <v>316</v>
      </c>
    </row>
    <row r="157" spans="5:7" ht="14.45" customHeight="1" outlineLevel="4" thickBot="1" x14ac:dyDescent="0.3">
      <c r="G157" s="7" t="s">
        <v>317</v>
      </c>
    </row>
    <row r="158" spans="5:7" ht="14.45" customHeight="1" outlineLevel="4" thickBot="1" x14ac:dyDescent="0.3">
      <c r="G158" s="7" t="s">
        <v>318</v>
      </c>
    </row>
    <row r="159" spans="5:7" ht="14.45" customHeight="1" outlineLevel="4" thickBot="1" x14ac:dyDescent="0.3">
      <c r="G159" s="7" t="s">
        <v>319</v>
      </c>
    </row>
    <row r="160" spans="5:7" ht="14.45" customHeight="1" outlineLevel="4" thickBot="1" x14ac:dyDescent="0.3">
      <c r="G160" s="7" t="s">
        <v>320</v>
      </c>
    </row>
    <row r="161" spans="5:7" ht="14.45" customHeight="1" outlineLevel="4" thickBot="1" x14ac:dyDescent="0.3">
      <c r="G161" s="7" t="s">
        <v>321</v>
      </c>
    </row>
    <row r="162" spans="5:7" ht="14.45" customHeight="1" outlineLevel="3" thickBot="1" x14ac:dyDescent="0.3">
      <c r="F162" s="28" t="s">
        <v>322</v>
      </c>
    </row>
    <row r="163" spans="5:7" ht="14.45" customHeight="1" outlineLevel="4" thickBot="1" x14ac:dyDescent="0.3">
      <c r="G163" s="7" t="s">
        <v>323</v>
      </c>
    </row>
    <row r="164" spans="5:7" ht="14.45" customHeight="1" outlineLevel="4" thickBot="1" x14ac:dyDescent="0.3">
      <c r="G164" s="7" t="s">
        <v>324</v>
      </c>
    </row>
    <row r="165" spans="5:7" ht="14.45" customHeight="1" outlineLevel="4" thickBot="1" x14ac:dyDescent="0.3">
      <c r="G165" s="7" t="s">
        <v>325</v>
      </c>
    </row>
    <row r="166" spans="5:7" ht="14.45" customHeight="1" outlineLevel="4" thickBot="1" x14ac:dyDescent="0.3">
      <c r="G166" s="7" t="s">
        <v>326</v>
      </c>
    </row>
    <row r="167" spans="5:7" ht="14.45" customHeight="1" outlineLevel="3" thickBot="1" x14ac:dyDescent="0.3">
      <c r="F167" s="28" t="s">
        <v>327</v>
      </c>
    </row>
    <row r="168" spans="5:7" ht="14.45" customHeight="1" outlineLevel="4" thickBot="1" x14ac:dyDescent="0.3">
      <c r="G168" s="7" t="s">
        <v>328</v>
      </c>
    </row>
    <row r="169" spans="5:7" ht="14.45" customHeight="1" outlineLevel="4" thickBot="1" x14ac:dyDescent="0.3">
      <c r="G169" s="7" t="s">
        <v>329</v>
      </c>
    </row>
    <row r="170" spans="5:7" ht="14.45" customHeight="1" outlineLevel="3" thickBot="1" x14ac:dyDescent="0.3"/>
    <row r="171" spans="5:7" ht="14.45" customHeight="1" outlineLevel="2" thickBot="1" x14ac:dyDescent="0.3">
      <c r="E171" s="27" t="s">
        <v>330</v>
      </c>
    </row>
    <row r="172" spans="5:7" ht="14.45" customHeight="1" outlineLevel="3" thickBot="1" x14ac:dyDescent="0.3">
      <c r="F172" s="28" t="s">
        <v>331</v>
      </c>
    </row>
    <row r="173" spans="5:7" ht="14.45" customHeight="1" outlineLevel="4" thickBot="1" x14ac:dyDescent="0.3"/>
    <row r="174" spans="5:7" ht="14.45" customHeight="1" outlineLevel="3" thickBot="1" x14ac:dyDescent="0.3">
      <c r="F174" s="28" t="s">
        <v>332</v>
      </c>
    </row>
    <row r="175" spans="5:7" ht="14.45" customHeight="1" outlineLevel="4" thickBot="1" x14ac:dyDescent="0.3">
      <c r="G175" s="7" t="s">
        <v>333</v>
      </c>
    </row>
    <row r="176" spans="5:7" ht="14.45" customHeight="1" outlineLevel="4" thickBot="1" x14ac:dyDescent="0.3">
      <c r="G176" s="7" t="s">
        <v>334</v>
      </c>
    </row>
    <row r="177" spans="5:7" ht="14.45" customHeight="1" outlineLevel="4" thickBot="1" x14ac:dyDescent="0.3">
      <c r="G177" s="7" t="s">
        <v>335</v>
      </c>
    </row>
    <row r="178" spans="5:7" ht="14.45" customHeight="1" outlineLevel="3" thickBot="1" x14ac:dyDescent="0.3">
      <c r="F178" s="28" t="s">
        <v>336</v>
      </c>
    </row>
    <row r="179" spans="5:7" ht="14.45" customHeight="1" outlineLevel="4" thickBot="1" x14ac:dyDescent="0.3"/>
    <row r="180" spans="5:7" ht="14.45" customHeight="1" outlineLevel="3" thickBot="1" x14ac:dyDescent="0.3"/>
    <row r="181" spans="5:7" ht="14.45" customHeight="1" outlineLevel="2" thickBot="1" x14ac:dyDescent="0.3">
      <c r="E181" s="27" t="s">
        <v>337</v>
      </c>
    </row>
    <row r="182" spans="5:7" ht="14.45" customHeight="1" outlineLevel="3" thickBot="1" x14ac:dyDescent="0.3">
      <c r="F182" s="28" t="s">
        <v>338</v>
      </c>
    </row>
    <row r="183" spans="5:7" ht="14.45" customHeight="1" outlineLevel="4" thickBot="1" x14ac:dyDescent="0.3">
      <c r="G183" s="7" t="s">
        <v>339</v>
      </c>
    </row>
    <row r="184" spans="5:7" ht="14.45" customHeight="1" outlineLevel="4" thickBot="1" x14ac:dyDescent="0.3">
      <c r="G184" s="7" t="s">
        <v>340</v>
      </c>
    </row>
    <row r="185" spans="5:7" ht="14.45" customHeight="1" outlineLevel="3" thickBot="1" x14ac:dyDescent="0.3">
      <c r="F185" s="28" t="s">
        <v>341</v>
      </c>
    </row>
    <row r="186" spans="5:7" ht="14.45" customHeight="1" outlineLevel="4" thickBot="1" x14ac:dyDescent="0.3">
      <c r="G186" s="7" t="s">
        <v>342</v>
      </c>
    </row>
    <row r="187" spans="5:7" ht="14.45" customHeight="1" outlineLevel="4" thickBot="1" x14ac:dyDescent="0.3">
      <c r="G187" s="7" t="s">
        <v>343</v>
      </c>
    </row>
    <row r="188" spans="5:7" ht="14.45" customHeight="1" outlineLevel="4" thickBot="1" x14ac:dyDescent="0.3">
      <c r="G188" s="7" t="s">
        <v>344</v>
      </c>
    </row>
    <row r="189" spans="5:7" ht="14.45" customHeight="1" outlineLevel="3" thickBot="1" x14ac:dyDescent="0.3">
      <c r="F189" s="28" t="s">
        <v>345</v>
      </c>
    </row>
    <row r="190" spans="5:7" ht="14.45" customHeight="1" outlineLevel="4" thickBot="1" x14ac:dyDescent="0.3"/>
    <row r="191" spans="5:7" ht="14.45" customHeight="1" outlineLevel="3" thickBot="1" x14ac:dyDescent="0.3">
      <c r="F191" s="28" t="s">
        <v>346</v>
      </c>
    </row>
    <row r="192" spans="5:7" ht="14.45" customHeight="1" outlineLevel="4" thickBot="1" x14ac:dyDescent="0.3">
      <c r="G192" s="7" t="s">
        <v>347</v>
      </c>
    </row>
    <row r="193" spans="3:7" ht="14.45" customHeight="1" outlineLevel="4" thickBot="1" x14ac:dyDescent="0.3">
      <c r="G193" s="7" t="s">
        <v>348</v>
      </c>
    </row>
    <row r="194" spans="3:7" ht="14.45" customHeight="1" outlineLevel="4" thickBot="1" x14ac:dyDescent="0.3">
      <c r="G194" s="7" t="s">
        <v>349</v>
      </c>
    </row>
    <row r="195" spans="3:7" ht="14.45" customHeight="1" outlineLevel="3" thickBot="1" x14ac:dyDescent="0.3"/>
    <row r="196" spans="3:7" ht="14.45" customHeight="1" outlineLevel="2" thickBot="1" x14ac:dyDescent="0.3"/>
    <row r="197" spans="3:7" ht="14.45" customHeight="1" outlineLevel="1" thickBot="1" x14ac:dyDescent="0.3"/>
    <row r="198" spans="3:7" ht="14.45" customHeight="1" thickBot="1" x14ac:dyDescent="0.3">
      <c r="C198" s="25" t="s">
        <v>350</v>
      </c>
      <c r="D198" s="25"/>
    </row>
    <row r="199" spans="3:7" ht="14.45" customHeight="1" outlineLevel="1" thickBot="1" x14ac:dyDescent="0.3">
      <c r="D199" s="26" t="s">
        <v>18</v>
      </c>
      <c r="E199" s="26"/>
    </row>
    <row r="200" spans="3:7" ht="14.45" customHeight="1" outlineLevel="2" thickBot="1" x14ac:dyDescent="0.3">
      <c r="E200" s="27" t="s">
        <v>351</v>
      </c>
    </row>
    <row r="201" spans="3:7" ht="14.45" customHeight="1" outlineLevel="4" thickBot="1" x14ac:dyDescent="0.3"/>
    <row r="202" spans="3:7" ht="14.45" customHeight="1" outlineLevel="3" thickBot="1" x14ac:dyDescent="0.3"/>
    <row r="203" spans="3:7" ht="14.45" customHeight="1" outlineLevel="2" thickBot="1" x14ac:dyDescent="0.3">
      <c r="E203" s="27" t="s">
        <v>352</v>
      </c>
    </row>
    <row r="204" spans="3:7" ht="14.45" customHeight="1" outlineLevel="4" thickBot="1" x14ac:dyDescent="0.3"/>
    <row r="205" spans="3:7" ht="14.45" customHeight="1" outlineLevel="3" thickBot="1" x14ac:dyDescent="0.3"/>
    <row r="206" spans="3:7" ht="14.45" customHeight="1" outlineLevel="2" thickBot="1" x14ac:dyDescent="0.3">
      <c r="E206" s="27" t="s">
        <v>353</v>
      </c>
    </row>
    <row r="207" spans="3:7" ht="14.45" customHeight="1" outlineLevel="3" thickBot="1" x14ac:dyDescent="0.3">
      <c r="F207" s="28" t="s">
        <v>354</v>
      </c>
    </row>
    <row r="208" spans="3:7" ht="14.45" customHeight="1" outlineLevel="4" thickBot="1" x14ac:dyDescent="0.3"/>
    <row r="209" spans="5:6" ht="14.45" customHeight="1" outlineLevel="3" thickBot="1" x14ac:dyDescent="0.3">
      <c r="F209" s="28" t="s">
        <v>355</v>
      </c>
    </row>
    <row r="210" spans="5:6" ht="14.45" customHeight="1" outlineLevel="4" thickBot="1" x14ac:dyDescent="0.3"/>
    <row r="211" spans="5:6" ht="14.45" customHeight="1" outlineLevel="3" thickBot="1" x14ac:dyDescent="0.3">
      <c r="F211" s="28" t="s">
        <v>356</v>
      </c>
    </row>
    <row r="212" spans="5:6" ht="14.45" customHeight="1" outlineLevel="4" thickBot="1" x14ac:dyDescent="0.3"/>
    <row r="213" spans="5:6" ht="14.45" customHeight="1" outlineLevel="3" thickBot="1" x14ac:dyDescent="0.3"/>
    <row r="214" spans="5:6" ht="14.45" customHeight="1" outlineLevel="2" thickBot="1" x14ac:dyDescent="0.3">
      <c r="E214" s="27" t="s">
        <v>357</v>
      </c>
    </row>
    <row r="215" spans="5:6" ht="14.45" customHeight="1" outlineLevel="3" thickBot="1" x14ac:dyDescent="0.3">
      <c r="F215" s="28" t="s">
        <v>358</v>
      </c>
    </row>
    <row r="216" spans="5:6" ht="14.45" customHeight="1" outlineLevel="4" thickBot="1" x14ac:dyDescent="0.3"/>
    <row r="217" spans="5:6" ht="14.45" customHeight="1" outlineLevel="3" thickBot="1" x14ac:dyDescent="0.3">
      <c r="F217" s="28" t="s">
        <v>359</v>
      </c>
    </row>
    <row r="218" spans="5:6" ht="14.45" customHeight="1" outlineLevel="4" thickBot="1" x14ac:dyDescent="0.3"/>
    <row r="219" spans="5:6" ht="14.45" customHeight="1" outlineLevel="3" thickBot="1" x14ac:dyDescent="0.3">
      <c r="F219" s="28" t="s">
        <v>360</v>
      </c>
    </row>
    <row r="220" spans="5:6" ht="14.45" customHeight="1" outlineLevel="4" thickBot="1" x14ac:dyDescent="0.3"/>
    <row r="221" spans="5:6" ht="14.45" customHeight="1" outlineLevel="3" thickBot="1" x14ac:dyDescent="0.3"/>
    <row r="222" spans="5:6" ht="14.45" customHeight="1" outlineLevel="2" thickBot="1" x14ac:dyDescent="0.3">
      <c r="E222" s="27" t="s">
        <v>361</v>
      </c>
    </row>
    <row r="223" spans="5:6" ht="14.45" customHeight="1" outlineLevel="3" thickBot="1" x14ac:dyDescent="0.3">
      <c r="F223" s="28" t="s">
        <v>292</v>
      </c>
    </row>
    <row r="224" spans="5:6" ht="14.45" customHeight="1" outlineLevel="4" thickBot="1" x14ac:dyDescent="0.3"/>
    <row r="225" spans="5:6" ht="14.45" customHeight="1" outlineLevel="3" thickBot="1" x14ac:dyDescent="0.3">
      <c r="F225" s="28" t="s">
        <v>362</v>
      </c>
    </row>
    <row r="226" spans="5:6" ht="14.45" customHeight="1" outlineLevel="4" thickBot="1" x14ac:dyDescent="0.3"/>
    <row r="227" spans="5:6" ht="14.45" customHeight="1" outlineLevel="3" thickBot="1" x14ac:dyDescent="0.3">
      <c r="F227" s="28" t="s">
        <v>363</v>
      </c>
    </row>
    <row r="228" spans="5:6" ht="14.45" customHeight="1" outlineLevel="4" thickBot="1" x14ac:dyDescent="0.3"/>
    <row r="229" spans="5:6" ht="14.45" customHeight="1" outlineLevel="3" thickBot="1" x14ac:dyDescent="0.3">
      <c r="F229" s="28" t="s">
        <v>364</v>
      </c>
    </row>
    <row r="230" spans="5:6" ht="14.45" customHeight="1" outlineLevel="4" thickBot="1" x14ac:dyDescent="0.3"/>
    <row r="231" spans="5:6" ht="14.45" customHeight="1" outlineLevel="3" thickBot="1" x14ac:dyDescent="0.3"/>
    <row r="232" spans="5:6" ht="14.45" customHeight="1" outlineLevel="2" thickBot="1" x14ac:dyDescent="0.3">
      <c r="E232" s="27" t="s">
        <v>365</v>
      </c>
    </row>
    <row r="233" spans="5:6" ht="14.45" customHeight="1" outlineLevel="3" thickBot="1" x14ac:dyDescent="0.3">
      <c r="F233" s="28" t="s">
        <v>292</v>
      </c>
    </row>
    <row r="234" spans="5:6" ht="14.45" customHeight="1" outlineLevel="4" thickBot="1" x14ac:dyDescent="0.3"/>
    <row r="235" spans="5:6" ht="14.45" customHeight="1" outlineLevel="3" thickBot="1" x14ac:dyDescent="0.3">
      <c r="F235" s="28" t="s">
        <v>366</v>
      </c>
    </row>
    <row r="236" spans="5:6" ht="14.45" customHeight="1" outlineLevel="4" thickBot="1" x14ac:dyDescent="0.3"/>
    <row r="237" spans="5:6" ht="14.45" customHeight="1" outlineLevel="3" thickBot="1" x14ac:dyDescent="0.3">
      <c r="F237" s="28" t="s">
        <v>367</v>
      </c>
    </row>
    <row r="238" spans="5:6" ht="14.45" customHeight="1" outlineLevel="4" thickBot="1" x14ac:dyDescent="0.3"/>
    <row r="239" spans="5:6" ht="14.45" customHeight="1" outlineLevel="3" thickBot="1" x14ac:dyDescent="0.3">
      <c r="F239" s="28" t="s">
        <v>368</v>
      </c>
    </row>
    <row r="240" spans="5:6" ht="14.45" customHeight="1" outlineLevel="4" thickBot="1" x14ac:dyDescent="0.3"/>
    <row r="241" spans="5:6" ht="14.45" customHeight="1" outlineLevel="3" thickBot="1" x14ac:dyDescent="0.3">
      <c r="F241" s="28" t="s">
        <v>369</v>
      </c>
    </row>
    <row r="242" spans="5:6" ht="14.45" customHeight="1" outlineLevel="4" thickBot="1" x14ac:dyDescent="0.3"/>
    <row r="243" spans="5:6" ht="14.45" customHeight="1" outlineLevel="3" thickBot="1" x14ac:dyDescent="0.3"/>
    <row r="244" spans="5:6" ht="14.45" customHeight="1" outlineLevel="2" thickBot="1" x14ac:dyDescent="0.3">
      <c r="E244" s="27" t="s">
        <v>370</v>
      </c>
    </row>
    <row r="245" spans="5:6" ht="14.45" customHeight="1" outlineLevel="3" thickBot="1" x14ac:dyDescent="0.3">
      <c r="F245" s="28" t="s">
        <v>371</v>
      </c>
    </row>
    <row r="246" spans="5:6" ht="14.45" customHeight="1" outlineLevel="4" thickBot="1" x14ac:dyDescent="0.3"/>
    <row r="247" spans="5:6" ht="14.45" customHeight="1" outlineLevel="3" thickBot="1" x14ac:dyDescent="0.3">
      <c r="F247" s="28" t="s">
        <v>372</v>
      </c>
    </row>
    <row r="248" spans="5:6" ht="14.45" customHeight="1" outlineLevel="4" thickBot="1" x14ac:dyDescent="0.3"/>
    <row r="249" spans="5:6" ht="14.45" customHeight="1" outlineLevel="3" thickBot="1" x14ac:dyDescent="0.3">
      <c r="F249" s="28" t="s">
        <v>373</v>
      </c>
    </row>
    <row r="250" spans="5:6" ht="14.45" customHeight="1" outlineLevel="4" thickBot="1" x14ac:dyDescent="0.3"/>
    <row r="251" spans="5:6" ht="14.45" customHeight="1" outlineLevel="3" thickBot="1" x14ac:dyDescent="0.3">
      <c r="F251" s="28" t="s">
        <v>374</v>
      </c>
    </row>
    <row r="252" spans="5:6" ht="14.45" customHeight="1" outlineLevel="4" thickBot="1" x14ac:dyDescent="0.3"/>
    <row r="253" spans="5:6" ht="14.45" customHeight="1" outlineLevel="3" thickBot="1" x14ac:dyDescent="0.3">
      <c r="F253" s="28" t="s">
        <v>375</v>
      </c>
    </row>
    <row r="254" spans="5:6" ht="14.45" customHeight="1" outlineLevel="4" thickBot="1" x14ac:dyDescent="0.3"/>
    <row r="255" spans="5:6" ht="14.45" customHeight="1" outlineLevel="3" thickBot="1" x14ac:dyDescent="0.3"/>
    <row r="256" spans="5:6" ht="14.45" customHeight="1" outlineLevel="2" thickBot="1" x14ac:dyDescent="0.3">
      <c r="E256" s="27" t="s">
        <v>376</v>
      </c>
    </row>
    <row r="257" spans="4:7" ht="14.45" customHeight="1" outlineLevel="3" thickBot="1" x14ac:dyDescent="0.3">
      <c r="F257" s="28" t="s">
        <v>377</v>
      </c>
    </row>
    <row r="258" spans="4:7" ht="14.45" customHeight="1" outlineLevel="4" thickBot="1" x14ac:dyDescent="0.3"/>
    <row r="259" spans="4:7" ht="14.45" customHeight="1" outlineLevel="3" thickBot="1" x14ac:dyDescent="0.3">
      <c r="F259" s="28" t="s">
        <v>378</v>
      </c>
    </row>
    <row r="260" spans="4:7" ht="14.45" customHeight="1" outlineLevel="4" thickBot="1" x14ac:dyDescent="0.3"/>
    <row r="261" spans="4:7" ht="14.45" customHeight="1" outlineLevel="3" thickBot="1" x14ac:dyDescent="0.3">
      <c r="F261" s="28" t="s">
        <v>379</v>
      </c>
    </row>
    <row r="262" spans="4:7" ht="14.45" customHeight="1" outlineLevel="4" thickBot="1" x14ac:dyDescent="0.3"/>
    <row r="263" spans="4:7" ht="14.45" customHeight="1" outlineLevel="3" thickBot="1" x14ac:dyDescent="0.3"/>
    <row r="264" spans="4:7" ht="14.45" customHeight="1" outlineLevel="2" thickBot="1" x14ac:dyDescent="0.3"/>
    <row r="265" spans="4:7" ht="14.45" customHeight="1" outlineLevel="1" thickBot="1" x14ac:dyDescent="0.3">
      <c r="D265" s="26" t="s">
        <v>19</v>
      </c>
      <c r="E265" s="26"/>
    </row>
    <row r="266" spans="4:7" ht="14.45" customHeight="1" outlineLevel="2" thickBot="1" x14ac:dyDescent="0.3">
      <c r="E266" s="27" t="s">
        <v>380</v>
      </c>
    </row>
    <row r="267" spans="4:7" ht="14.45" customHeight="1" outlineLevel="3" thickBot="1" x14ac:dyDescent="0.3">
      <c r="F267" s="28" t="s">
        <v>338</v>
      </c>
    </row>
    <row r="268" spans="4:7" ht="14.45" customHeight="1" outlineLevel="4" thickBot="1" x14ac:dyDescent="0.3">
      <c r="G268" s="7" t="s">
        <v>339</v>
      </c>
    </row>
    <row r="269" spans="4:7" ht="14.45" customHeight="1" outlineLevel="4" thickBot="1" x14ac:dyDescent="0.3">
      <c r="G269" s="7" t="s">
        <v>340</v>
      </c>
    </row>
    <row r="270" spans="4:7" ht="14.45" customHeight="1" outlineLevel="3" thickBot="1" x14ac:dyDescent="0.3">
      <c r="F270" s="28" t="s">
        <v>381</v>
      </c>
    </row>
    <row r="271" spans="4:7" ht="14.45" customHeight="1" outlineLevel="4" thickBot="1" x14ac:dyDescent="0.3"/>
    <row r="272" spans="4:7" ht="14.45" customHeight="1" outlineLevel="3" thickBot="1" x14ac:dyDescent="0.3">
      <c r="F272" s="28" t="s">
        <v>382</v>
      </c>
    </row>
    <row r="273" spans="5:7" ht="14.45" customHeight="1" outlineLevel="4" thickBot="1" x14ac:dyDescent="0.3">
      <c r="G273" s="7" t="s">
        <v>383</v>
      </c>
    </row>
    <row r="274" spans="5:7" ht="14.45" customHeight="1" outlineLevel="4" thickBot="1" x14ac:dyDescent="0.3">
      <c r="G274" s="7" t="s">
        <v>384</v>
      </c>
    </row>
    <row r="275" spans="5:7" ht="14.45" customHeight="1" outlineLevel="3" thickBot="1" x14ac:dyDescent="0.3">
      <c r="F275" s="28" t="s">
        <v>385</v>
      </c>
    </row>
    <row r="276" spans="5:7" ht="14.45" customHeight="1" outlineLevel="4" thickBot="1" x14ac:dyDescent="0.3">
      <c r="G276" s="7" t="s">
        <v>386</v>
      </c>
    </row>
    <row r="277" spans="5:7" ht="14.45" customHeight="1" outlineLevel="4" thickBot="1" x14ac:dyDescent="0.3">
      <c r="G277" s="7" t="s">
        <v>387</v>
      </c>
    </row>
    <row r="278" spans="5:7" ht="14.45" customHeight="1" outlineLevel="4" thickBot="1" x14ac:dyDescent="0.3">
      <c r="G278" s="7" t="s">
        <v>388</v>
      </c>
    </row>
    <row r="279" spans="5:7" ht="14.45" customHeight="1" outlineLevel="4" thickBot="1" x14ac:dyDescent="0.3">
      <c r="G279" s="7" t="s">
        <v>389</v>
      </c>
    </row>
    <row r="280" spans="5:7" ht="14.45" customHeight="1" outlineLevel="3" thickBot="1" x14ac:dyDescent="0.3"/>
    <row r="281" spans="5:7" ht="14.45" customHeight="1" outlineLevel="2" thickBot="1" x14ac:dyDescent="0.3">
      <c r="E281" s="27" t="s">
        <v>390</v>
      </c>
    </row>
    <row r="282" spans="5:7" ht="14.45" customHeight="1" outlineLevel="3" thickBot="1" x14ac:dyDescent="0.3">
      <c r="F282" s="28" t="s">
        <v>292</v>
      </c>
    </row>
    <row r="283" spans="5:7" ht="14.45" customHeight="1" outlineLevel="4" thickBot="1" x14ac:dyDescent="0.3"/>
    <row r="284" spans="5:7" ht="14.45" customHeight="1" outlineLevel="3" thickBot="1" x14ac:dyDescent="0.3">
      <c r="F284" s="28" t="s">
        <v>391</v>
      </c>
    </row>
    <row r="285" spans="5:7" ht="14.45" customHeight="1" outlineLevel="4" thickBot="1" x14ac:dyDescent="0.3">
      <c r="G285" s="7" t="s">
        <v>392</v>
      </c>
    </row>
    <row r="286" spans="5:7" ht="14.45" customHeight="1" outlineLevel="4" thickBot="1" x14ac:dyDescent="0.3">
      <c r="G286" s="7" t="s">
        <v>393</v>
      </c>
    </row>
    <row r="287" spans="5:7" ht="14.45" customHeight="1" outlineLevel="4" thickBot="1" x14ac:dyDescent="0.3">
      <c r="G287" s="7" t="s">
        <v>394</v>
      </c>
    </row>
    <row r="288" spans="5:7" ht="14.45" customHeight="1" outlineLevel="4" thickBot="1" x14ac:dyDescent="0.3">
      <c r="G288" s="7" t="s">
        <v>395</v>
      </c>
    </row>
    <row r="289" spans="5:7" ht="14.45" customHeight="1" outlineLevel="3" thickBot="1" x14ac:dyDescent="0.3">
      <c r="F289" s="28" t="s">
        <v>396</v>
      </c>
    </row>
    <row r="290" spans="5:7" ht="14.45" customHeight="1" outlineLevel="4" thickBot="1" x14ac:dyDescent="0.3">
      <c r="G290" s="7" t="s">
        <v>339</v>
      </c>
    </row>
    <row r="291" spans="5:7" ht="14.45" customHeight="1" outlineLevel="4" thickBot="1" x14ac:dyDescent="0.3">
      <c r="G291" s="7" t="s">
        <v>397</v>
      </c>
    </row>
    <row r="292" spans="5:7" ht="14.45" customHeight="1" outlineLevel="4" thickBot="1" x14ac:dyDescent="0.3">
      <c r="G292" s="7" t="s">
        <v>398</v>
      </c>
    </row>
    <row r="293" spans="5:7" ht="14.45" customHeight="1" outlineLevel="4" thickBot="1" x14ac:dyDescent="0.3">
      <c r="G293" s="7" t="s">
        <v>399</v>
      </c>
    </row>
    <row r="294" spans="5:7" ht="14.45" customHeight="1" outlineLevel="3" thickBot="1" x14ac:dyDescent="0.3">
      <c r="F294" s="28" t="s">
        <v>400</v>
      </c>
    </row>
    <row r="295" spans="5:7" ht="14.45" customHeight="1" outlineLevel="4" thickBot="1" x14ac:dyDescent="0.3">
      <c r="G295" s="7" t="s">
        <v>401</v>
      </c>
    </row>
    <row r="296" spans="5:7" ht="14.45" customHeight="1" outlineLevel="4" thickBot="1" x14ac:dyDescent="0.3">
      <c r="G296" s="7" t="s">
        <v>387</v>
      </c>
    </row>
    <row r="297" spans="5:7" ht="14.45" customHeight="1" outlineLevel="4" thickBot="1" x14ac:dyDescent="0.3">
      <c r="G297" s="7" t="s">
        <v>402</v>
      </c>
    </row>
    <row r="298" spans="5:7" ht="14.45" customHeight="1" outlineLevel="4" thickBot="1" x14ac:dyDescent="0.3">
      <c r="G298" s="7" t="s">
        <v>389</v>
      </c>
    </row>
    <row r="299" spans="5:7" ht="14.45" customHeight="1" outlineLevel="3" thickBot="1" x14ac:dyDescent="0.3"/>
    <row r="300" spans="5:7" ht="14.45" customHeight="1" outlineLevel="2" thickBot="1" x14ac:dyDescent="0.3">
      <c r="E300" s="27" t="s">
        <v>403</v>
      </c>
    </row>
    <row r="301" spans="5:7" ht="14.45" customHeight="1" outlineLevel="3" thickBot="1" x14ac:dyDescent="0.3">
      <c r="F301" s="28" t="s">
        <v>338</v>
      </c>
    </row>
    <row r="302" spans="5:7" ht="14.45" customHeight="1" outlineLevel="4" thickBot="1" x14ac:dyDescent="0.3">
      <c r="G302" s="7" t="s">
        <v>339</v>
      </c>
    </row>
    <row r="303" spans="5:7" ht="14.45" customHeight="1" outlineLevel="4" thickBot="1" x14ac:dyDescent="0.3">
      <c r="G303" s="7" t="s">
        <v>404</v>
      </c>
    </row>
    <row r="304" spans="5:7" ht="14.45" customHeight="1" outlineLevel="3" thickBot="1" x14ac:dyDescent="0.3">
      <c r="F304" s="28" t="s">
        <v>405</v>
      </c>
    </row>
    <row r="305" spans="5:7" ht="14.45" customHeight="1" outlineLevel="4" thickBot="1" x14ac:dyDescent="0.3">
      <c r="G305" s="7" t="s">
        <v>406</v>
      </c>
    </row>
    <row r="306" spans="5:7" ht="14.45" customHeight="1" outlineLevel="4" thickBot="1" x14ac:dyDescent="0.3">
      <c r="G306" s="7" t="s">
        <v>407</v>
      </c>
    </row>
    <row r="307" spans="5:7" ht="14.45" customHeight="1" outlineLevel="3" thickBot="1" x14ac:dyDescent="0.3">
      <c r="F307" s="28" t="s">
        <v>408</v>
      </c>
    </row>
    <row r="308" spans="5:7" ht="14.45" customHeight="1" outlineLevel="4" thickBot="1" x14ac:dyDescent="0.3">
      <c r="G308" s="7" t="s">
        <v>409</v>
      </c>
    </row>
    <row r="309" spans="5:7" ht="14.45" customHeight="1" outlineLevel="4" thickBot="1" x14ac:dyDescent="0.3">
      <c r="G309" s="7" t="s">
        <v>410</v>
      </c>
    </row>
    <row r="310" spans="5:7" ht="14.45" customHeight="1" outlineLevel="3" thickBot="1" x14ac:dyDescent="0.3"/>
    <row r="311" spans="5:7" ht="14.45" customHeight="1" outlineLevel="2" thickBot="1" x14ac:dyDescent="0.3">
      <c r="E311" s="27" t="s">
        <v>411</v>
      </c>
    </row>
    <row r="312" spans="5:7" ht="14.45" customHeight="1" outlineLevel="3" thickBot="1" x14ac:dyDescent="0.3">
      <c r="F312" s="28" t="s">
        <v>292</v>
      </c>
    </row>
    <row r="313" spans="5:7" ht="14.45" customHeight="1" outlineLevel="4" thickBot="1" x14ac:dyDescent="0.3"/>
    <row r="314" spans="5:7" ht="14.45" customHeight="1" outlineLevel="3" thickBot="1" x14ac:dyDescent="0.3">
      <c r="F314" s="28" t="s">
        <v>412</v>
      </c>
    </row>
    <row r="315" spans="5:7" ht="14.45" customHeight="1" outlineLevel="4" thickBot="1" x14ac:dyDescent="0.3"/>
    <row r="316" spans="5:7" ht="14.45" customHeight="1" outlineLevel="3" thickBot="1" x14ac:dyDescent="0.3">
      <c r="F316" s="28" t="s">
        <v>413</v>
      </c>
    </row>
    <row r="317" spans="5:7" ht="14.45" customHeight="1" outlineLevel="4" thickBot="1" x14ac:dyDescent="0.3">
      <c r="G317" s="7" t="s">
        <v>409</v>
      </c>
    </row>
    <row r="318" spans="5:7" ht="14.45" customHeight="1" outlineLevel="4" thickBot="1" x14ac:dyDescent="0.3">
      <c r="G318" s="7" t="s">
        <v>414</v>
      </c>
    </row>
    <row r="319" spans="5:7" ht="14.45" customHeight="1" outlineLevel="4" thickBot="1" x14ac:dyDescent="0.3">
      <c r="G319" s="7" t="s">
        <v>415</v>
      </c>
    </row>
    <row r="320" spans="5:7" ht="14.45" customHeight="1" outlineLevel="3" thickBot="1" x14ac:dyDescent="0.3"/>
    <row r="321" spans="4:7" ht="14.45" customHeight="1" outlineLevel="2" thickBot="1" x14ac:dyDescent="0.3"/>
    <row r="322" spans="4:7" ht="14.45" customHeight="1" outlineLevel="1" thickBot="1" x14ac:dyDescent="0.3">
      <c r="D322" s="26" t="s">
        <v>20</v>
      </c>
      <c r="E322" s="26"/>
    </row>
    <row r="323" spans="4:7" ht="14.45" customHeight="1" outlineLevel="2" thickBot="1" x14ac:dyDescent="0.3">
      <c r="E323" s="27" t="s">
        <v>416</v>
      </c>
    </row>
    <row r="324" spans="4:7" ht="14.45" customHeight="1" outlineLevel="3" thickBot="1" x14ac:dyDescent="0.3">
      <c r="F324" s="28" t="s">
        <v>417</v>
      </c>
    </row>
    <row r="325" spans="4:7" ht="14.45" customHeight="1" outlineLevel="4" thickBot="1" x14ac:dyDescent="0.3"/>
    <row r="326" spans="4:7" ht="14.45" customHeight="1" outlineLevel="3" thickBot="1" x14ac:dyDescent="0.3">
      <c r="F326" s="28" t="s">
        <v>418</v>
      </c>
    </row>
    <row r="327" spans="4:7" ht="14.45" customHeight="1" outlineLevel="4" thickBot="1" x14ac:dyDescent="0.3"/>
    <row r="328" spans="4:7" ht="14.45" customHeight="1" outlineLevel="3" thickBot="1" x14ac:dyDescent="0.3"/>
    <row r="329" spans="4:7" ht="14.45" customHeight="1" outlineLevel="2" thickBot="1" x14ac:dyDescent="0.3">
      <c r="E329" s="27" t="s">
        <v>419</v>
      </c>
    </row>
    <row r="330" spans="4:7" ht="14.45" customHeight="1" outlineLevel="3" thickBot="1" x14ac:dyDescent="0.3">
      <c r="F330" s="28" t="s">
        <v>292</v>
      </c>
    </row>
    <row r="331" spans="4:7" ht="14.45" customHeight="1" outlineLevel="4" thickBot="1" x14ac:dyDescent="0.3"/>
    <row r="332" spans="4:7" ht="14.45" customHeight="1" outlineLevel="3" thickBot="1" x14ac:dyDescent="0.3">
      <c r="F332" s="28" t="s">
        <v>420</v>
      </c>
    </row>
    <row r="333" spans="4:7" ht="14.45" customHeight="1" outlineLevel="4" thickBot="1" x14ac:dyDescent="0.3">
      <c r="G333" s="7" t="s">
        <v>421</v>
      </c>
    </row>
    <row r="334" spans="4:7" ht="14.45" customHeight="1" outlineLevel="4" thickBot="1" x14ac:dyDescent="0.3">
      <c r="G334" s="7" t="s">
        <v>422</v>
      </c>
    </row>
    <row r="335" spans="4:7" ht="14.45" customHeight="1" outlineLevel="4" thickBot="1" x14ac:dyDescent="0.3">
      <c r="G335" s="7" t="s">
        <v>423</v>
      </c>
    </row>
    <row r="336" spans="4:7" ht="14.45" customHeight="1" outlineLevel="3" thickBot="1" x14ac:dyDescent="0.3">
      <c r="F336" s="28" t="s">
        <v>424</v>
      </c>
    </row>
    <row r="337" spans="5:7" ht="14.45" customHeight="1" outlineLevel="4" thickBot="1" x14ac:dyDescent="0.3">
      <c r="G337" s="7" t="s">
        <v>421</v>
      </c>
    </row>
    <row r="338" spans="5:7" ht="14.45" customHeight="1" outlineLevel="4" thickBot="1" x14ac:dyDescent="0.3">
      <c r="G338" s="7" t="s">
        <v>422</v>
      </c>
    </row>
    <row r="339" spans="5:7" ht="14.45" customHeight="1" outlineLevel="4" thickBot="1" x14ac:dyDescent="0.3">
      <c r="G339" s="7" t="s">
        <v>425</v>
      </c>
    </row>
    <row r="340" spans="5:7" ht="14.45" customHeight="1" outlineLevel="4" thickBot="1" x14ac:dyDescent="0.3">
      <c r="G340" s="7" t="s">
        <v>426</v>
      </c>
    </row>
    <row r="341" spans="5:7" ht="14.45" customHeight="1" outlineLevel="3" thickBot="1" x14ac:dyDescent="0.3">
      <c r="F341" s="28" t="s">
        <v>427</v>
      </c>
    </row>
    <row r="342" spans="5:7" ht="14.45" customHeight="1" outlineLevel="4" thickBot="1" x14ac:dyDescent="0.3">
      <c r="G342" s="7" t="s">
        <v>428</v>
      </c>
    </row>
    <row r="343" spans="5:7" ht="14.45" customHeight="1" outlineLevel="4" thickBot="1" x14ac:dyDescent="0.3">
      <c r="G343" s="7" t="s">
        <v>429</v>
      </c>
    </row>
    <row r="344" spans="5:7" ht="14.45" customHeight="1" outlineLevel="3" thickBot="1" x14ac:dyDescent="0.3">
      <c r="F344" s="28" t="s">
        <v>430</v>
      </c>
    </row>
    <row r="345" spans="5:7" ht="14.45" customHeight="1" outlineLevel="4" thickBot="1" x14ac:dyDescent="0.3">
      <c r="G345" s="7" t="s">
        <v>431</v>
      </c>
    </row>
    <row r="346" spans="5:7" ht="14.45" customHeight="1" outlineLevel="4" thickBot="1" x14ac:dyDescent="0.3">
      <c r="G346" s="7" t="s">
        <v>432</v>
      </c>
    </row>
    <row r="347" spans="5:7" ht="14.45" customHeight="1" outlineLevel="3" thickBot="1" x14ac:dyDescent="0.3"/>
    <row r="348" spans="5:7" ht="14.45" customHeight="1" outlineLevel="2" thickBot="1" x14ac:dyDescent="0.3">
      <c r="E348" s="27" t="s">
        <v>433</v>
      </c>
    </row>
    <row r="349" spans="5:7" ht="14.45" customHeight="1" outlineLevel="3" thickBot="1" x14ac:dyDescent="0.3">
      <c r="F349" s="28" t="s">
        <v>292</v>
      </c>
    </row>
    <row r="350" spans="5:7" ht="14.45" customHeight="1" outlineLevel="4" thickBot="1" x14ac:dyDescent="0.3"/>
    <row r="351" spans="5:7" ht="14.45" customHeight="1" outlineLevel="3" thickBot="1" x14ac:dyDescent="0.3">
      <c r="F351" s="28" t="s">
        <v>434</v>
      </c>
    </row>
    <row r="352" spans="5:7" ht="14.45" customHeight="1" outlineLevel="4" thickBot="1" x14ac:dyDescent="0.3"/>
    <row r="353" spans="5:7" ht="14.45" customHeight="1" outlineLevel="3" thickBot="1" x14ac:dyDescent="0.3">
      <c r="F353" s="28" t="s">
        <v>435</v>
      </c>
    </row>
    <row r="354" spans="5:7" ht="14.45" customHeight="1" outlineLevel="4" thickBot="1" x14ac:dyDescent="0.3">
      <c r="G354" s="7" t="s">
        <v>339</v>
      </c>
    </row>
    <row r="355" spans="5:7" ht="14.45" customHeight="1" outlineLevel="4" thickBot="1" x14ac:dyDescent="0.3">
      <c r="G355" s="7" t="s">
        <v>436</v>
      </c>
    </row>
    <row r="356" spans="5:7" ht="14.45" customHeight="1" outlineLevel="4" thickBot="1" x14ac:dyDescent="0.3">
      <c r="G356" s="7" t="s">
        <v>437</v>
      </c>
    </row>
    <row r="357" spans="5:7" ht="14.45" customHeight="1" outlineLevel="4" thickBot="1" x14ac:dyDescent="0.3">
      <c r="G357" s="7" t="s">
        <v>438</v>
      </c>
    </row>
    <row r="358" spans="5:7" ht="14.45" customHeight="1" outlineLevel="4" thickBot="1" x14ac:dyDescent="0.3">
      <c r="G358" s="7" t="s">
        <v>439</v>
      </c>
    </row>
    <row r="359" spans="5:7" ht="14.45" customHeight="1" outlineLevel="4" thickBot="1" x14ac:dyDescent="0.3">
      <c r="G359" s="7" t="s">
        <v>440</v>
      </c>
    </row>
    <row r="360" spans="5:7" ht="14.45" customHeight="1" outlineLevel="3" thickBot="1" x14ac:dyDescent="0.3"/>
    <row r="361" spans="5:7" ht="14.45" customHeight="1" outlineLevel="2" thickBot="1" x14ac:dyDescent="0.3">
      <c r="E361" s="27" t="s">
        <v>441</v>
      </c>
    </row>
    <row r="362" spans="5:7" ht="14.45" customHeight="1" outlineLevel="3" thickBot="1" x14ac:dyDescent="0.3">
      <c r="F362" s="28" t="s">
        <v>292</v>
      </c>
    </row>
    <row r="363" spans="5:7" ht="14.45" customHeight="1" outlineLevel="4" thickBot="1" x14ac:dyDescent="0.3"/>
    <row r="364" spans="5:7" ht="14.45" customHeight="1" outlineLevel="3" thickBot="1" x14ac:dyDescent="0.3">
      <c r="F364" s="28" t="s">
        <v>442</v>
      </c>
    </row>
    <row r="365" spans="5:7" ht="14.45" customHeight="1" outlineLevel="4" thickBot="1" x14ac:dyDescent="0.3">
      <c r="G365" s="7" t="s">
        <v>443</v>
      </c>
    </row>
    <row r="366" spans="5:7" ht="14.45" customHeight="1" outlineLevel="4" thickBot="1" x14ac:dyDescent="0.3">
      <c r="G366" s="7" t="s">
        <v>444</v>
      </c>
    </row>
    <row r="367" spans="5:7" ht="14.45" customHeight="1" outlineLevel="3" thickBot="1" x14ac:dyDescent="0.3">
      <c r="F367" s="28" t="s">
        <v>445</v>
      </c>
    </row>
    <row r="368" spans="5:7" ht="14.45" customHeight="1" outlineLevel="4" thickBot="1" x14ac:dyDescent="0.3">
      <c r="G368" s="7" t="s">
        <v>446</v>
      </c>
    </row>
    <row r="369" spans="3:7" ht="14.45" customHeight="1" outlineLevel="4" thickBot="1" x14ac:dyDescent="0.3">
      <c r="G369" s="7" t="s">
        <v>447</v>
      </c>
    </row>
    <row r="370" spans="3:7" ht="14.45" customHeight="1" outlineLevel="3" thickBot="1" x14ac:dyDescent="0.3">
      <c r="F370" s="28" t="s">
        <v>448</v>
      </c>
    </row>
    <row r="371" spans="3:7" ht="14.45" customHeight="1" outlineLevel="4" thickBot="1" x14ac:dyDescent="0.3">
      <c r="G371" s="7" t="s">
        <v>449</v>
      </c>
    </row>
    <row r="372" spans="3:7" ht="14.45" customHeight="1" outlineLevel="4" thickBot="1" x14ac:dyDescent="0.3">
      <c r="G372" s="7" t="s">
        <v>450</v>
      </c>
    </row>
    <row r="373" spans="3:7" ht="14.45" customHeight="1" outlineLevel="4" thickBot="1" x14ac:dyDescent="0.3">
      <c r="G373" s="7" t="s">
        <v>451</v>
      </c>
    </row>
    <row r="374" spans="3:7" ht="14.45" customHeight="1" outlineLevel="3" thickBot="1" x14ac:dyDescent="0.3"/>
    <row r="375" spans="3:7" ht="14.45" customHeight="1" outlineLevel="2" thickBot="1" x14ac:dyDescent="0.3"/>
    <row r="376" spans="3:7" ht="14.45" customHeight="1" outlineLevel="1" thickBot="1" x14ac:dyDescent="0.3"/>
    <row r="377" spans="3:7" ht="14.45" customHeight="1" thickBot="1" x14ac:dyDescent="0.3">
      <c r="C377" s="25" t="s">
        <v>452</v>
      </c>
      <c r="D377" s="25"/>
    </row>
    <row r="378" spans="3:7" ht="14.45" customHeight="1" outlineLevel="1" thickBot="1" x14ac:dyDescent="0.3">
      <c r="D378" s="26" t="s">
        <v>21</v>
      </c>
      <c r="E378" s="26"/>
    </row>
    <row r="379" spans="3:7" ht="14.45" customHeight="1" outlineLevel="2" thickBot="1" x14ac:dyDescent="0.3">
      <c r="E379" s="27" t="s">
        <v>453</v>
      </c>
    </row>
    <row r="380" spans="3:7" ht="14.45" customHeight="1" outlineLevel="4" thickBot="1" x14ac:dyDescent="0.3"/>
    <row r="381" spans="3:7" ht="14.45" customHeight="1" outlineLevel="3" thickBot="1" x14ac:dyDescent="0.3"/>
    <row r="382" spans="3:7" ht="14.45" customHeight="1" outlineLevel="2" thickBot="1" x14ac:dyDescent="0.3">
      <c r="E382" s="27" t="s">
        <v>454</v>
      </c>
    </row>
    <row r="383" spans="3:7" ht="14.45" customHeight="1" outlineLevel="3" thickBot="1" x14ac:dyDescent="0.3">
      <c r="F383" s="28" t="s">
        <v>455</v>
      </c>
    </row>
    <row r="384" spans="3:7" ht="14.45" customHeight="1" outlineLevel="4" thickBot="1" x14ac:dyDescent="0.3"/>
    <row r="385" spans="4:6" ht="14.45" customHeight="1" outlineLevel="3" thickBot="1" x14ac:dyDescent="0.3">
      <c r="F385" s="28" t="s">
        <v>456</v>
      </c>
    </row>
    <row r="386" spans="4:6" ht="14.45" customHeight="1" outlineLevel="4" thickBot="1" x14ac:dyDescent="0.3"/>
    <row r="387" spans="4:6" ht="14.45" customHeight="1" outlineLevel="3" thickBot="1" x14ac:dyDescent="0.3"/>
    <row r="388" spans="4:6" ht="14.45" customHeight="1" outlineLevel="2" thickBot="1" x14ac:dyDescent="0.3"/>
    <row r="389" spans="4:6" ht="14.45" customHeight="1" outlineLevel="1" thickBot="1" x14ac:dyDescent="0.3">
      <c r="D389" s="26" t="s">
        <v>22</v>
      </c>
      <c r="E389" s="26"/>
    </row>
    <row r="390" spans="4:6" ht="14.45" customHeight="1" outlineLevel="2" thickBot="1" x14ac:dyDescent="0.3">
      <c r="E390" s="27" t="s">
        <v>457</v>
      </c>
    </row>
    <row r="391" spans="4:6" ht="14.45" customHeight="1" outlineLevel="3" thickBot="1" x14ac:dyDescent="0.3">
      <c r="F391" s="28" t="s">
        <v>458</v>
      </c>
    </row>
    <row r="392" spans="4:6" ht="14.45" customHeight="1" outlineLevel="4" thickBot="1" x14ac:dyDescent="0.3"/>
    <row r="393" spans="4:6" ht="14.45" customHeight="1" outlineLevel="3" thickBot="1" x14ac:dyDescent="0.3">
      <c r="F393" s="28" t="s">
        <v>459</v>
      </c>
    </row>
    <row r="394" spans="4:6" ht="14.45" customHeight="1" outlineLevel="4" thickBot="1" x14ac:dyDescent="0.3"/>
    <row r="395" spans="4:6" ht="14.45" customHeight="1" outlineLevel="3" thickBot="1" x14ac:dyDescent="0.3">
      <c r="F395" s="28" t="s">
        <v>460</v>
      </c>
    </row>
    <row r="396" spans="4:6" ht="14.45" customHeight="1" outlineLevel="4" thickBot="1" x14ac:dyDescent="0.3"/>
    <row r="397" spans="4:6" ht="14.45" customHeight="1" outlineLevel="3" thickBot="1" x14ac:dyDescent="0.3">
      <c r="F397" s="28" t="s">
        <v>461</v>
      </c>
    </row>
    <row r="398" spans="4:6" ht="14.45" customHeight="1" outlineLevel="4" thickBot="1" x14ac:dyDescent="0.3"/>
    <row r="399" spans="4:6" ht="14.45" customHeight="1" outlineLevel="3" thickBot="1" x14ac:dyDescent="0.3"/>
    <row r="400" spans="4:6" ht="14.45" customHeight="1" outlineLevel="2" thickBot="1" x14ac:dyDescent="0.3">
      <c r="E400" s="27" t="s">
        <v>462</v>
      </c>
    </row>
    <row r="401" spans="6:7" ht="14.45" customHeight="1" outlineLevel="3" thickBot="1" x14ac:dyDescent="0.3">
      <c r="F401" s="28" t="s">
        <v>463</v>
      </c>
    </row>
    <row r="402" spans="6:7" ht="14.45" customHeight="1" outlineLevel="4" thickBot="1" x14ac:dyDescent="0.3"/>
    <row r="403" spans="6:7" ht="14.45" customHeight="1" outlineLevel="3" thickBot="1" x14ac:dyDescent="0.3">
      <c r="F403" s="28" t="s">
        <v>464</v>
      </c>
    </row>
    <row r="404" spans="6:7" ht="14.45" customHeight="1" outlineLevel="4" thickBot="1" x14ac:dyDescent="0.3">
      <c r="G404" s="7" t="s">
        <v>465</v>
      </c>
    </row>
    <row r="405" spans="6:7" ht="14.45" customHeight="1" outlineLevel="4" thickBot="1" x14ac:dyDescent="0.3">
      <c r="G405" s="7" t="s">
        <v>466</v>
      </c>
    </row>
    <row r="406" spans="6:7" ht="14.45" customHeight="1" outlineLevel="4" thickBot="1" x14ac:dyDescent="0.3">
      <c r="G406" s="7" t="s">
        <v>467</v>
      </c>
    </row>
    <row r="407" spans="6:7" ht="14.45" customHeight="1" outlineLevel="4" thickBot="1" x14ac:dyDescent="0.3">
      <c r="G407" s="7" t="s">
        <v>468</v>
      </c>
    </row>
    <row r="408" spans="6:7" ht="14.45" customHeight="1" outlineLevel="3" thickBot="1" x14ac:dyDescent="0.3">
      <c r="F408" s="28" t="s">
        <v>469</v>
      </c>
    </row>
    <row r="409" spans="6:7" ht="14.45" customHeight="1" outlineLevel="4" thickBot="1" x14ac:dyDescent="0.3">
      <c r="G409" s="7" t="s">
        <v>470</v>
      </c>
    </row>
    <row r="410" spans="6:7" ht="14.45" customHeight="1" outlineLevel="4" thickBot="1" x14ac:dyDescent="0.3">
      <c r="G410" s="7" t="s">
        <v>471</v>
      </c>
    </row>
    <row r="411" spans="6:7" ht="14.45" customHeight="1" outlineLevel="3" thickBot="1" x14ac:dyDescent="0.3">
      <c r="F411" s="28" t="s">
        <v>472</v>
      </c>
    </row>
    <row r="412" spans="6:7" ht="14.45" customHeight="1" outlineLevel="4" thickBot="1" x14ac:dyDescent="0.3">
      <c r="G412" s="7" t="s">
        <v>473</v>
      </c>
    </row>
    <row r="413" spans="6:7" ht="14.45" customHeight="1" outlineLevel="4" thickBot="1" x14ac:dyDescent="0.3">
      <c r="G413" s="7" t="s">
        <v>474</v>
      </c>
    </row>
    <row r="414" spans="6:7" ht="14.45" customHeight="1" outlineLevel="3" thickBot="1" x14ac:dyDescent="0.3">
      <c r="F414" s="28" t="s">
        <v>475</v>
      </c>
    </row>
    <row r="415" spans="6:7" ht="14.45" customHeight="1" outlineLevel="4" thickBot="1" x14ac:dyDescent="0.3">
      <c r="G415" s="7" t="s">
        <v>476</v>
      </c>
    </row>
    <row r="416" spans="6:7" ht="14.45" customHeight="1" outlineLevel="4" thickBot="1" x14ac:dyDescent="0.3">
      <c r="G416" s="7" t="s">
        <v>477</v>
      </c>
    </row>
    <row r="417" spans="4:7" ht="14.45" customHeight="1" outlineLevel="4" thickBot="1" x14ac:dyDescent="0.3">
      <c r="G417" s="7" t="s">
        <v>478</v>
      </c>
    </row>
    <row r="418" spans="4:7" ht="14.45" customHeight="1" outlineLevel="3" thickBot="1" x14ac:dyDescent="0.3">
      <c r="F418" s="28" t="s">
        <v>479</v>
      </c>
    </row>
    <row r="419" spans="4:7" ht="14.45" customHeight="1" outlineLevel="4" thickBot="1" x14ac:dyDescent="0.3">
      <c r="G419" s="7" t="s">
        <v>323</v>
      </c>
    </row>
    <row r="420" spans="4:7" ht="14.45" customHeight="1" outlineLevel="4" thickBot="1" x14ac:dyDescent="0.3">
      <c r="G420" s="7" t="s">
        <v>324</v>
      </c>
    </row>
    <row r="421" spans="4:7" ht="14.45" customHeight="1" outlineLevel="4" thickBot="1" x14ac:dyDescent="0.3">
      <c r="G421" s="7" t="s">
        <v>480</v>
      </c>
    </row>
    <row r="422" spans="4:7" ht="14.45" customHeight="1" outlineLevel="4" thickBot="1" x14ac:dyDescent="0.3">
      <c r="G422" s="7" t="s">
        <v>326</v>
      </c>
    </row>
    <row r="423" spans="4:7" ht="14.45" customHeight="1" outlineLevel="3" thickBot="1" x14ac:dyDescent="0.3">
      <c r="F423" s="28" t="s">
        <v>481</v>
      </c>
    </row>
    <row r="424" spans="4:7" ht="14.45" customHeight="1" outlineLevel="4" thickBot="1" x14ac:dyDescent="0.3">
      <c r="G424" s="7" t="s">
        <v>482</v>
      </c>
    </row>
    <row r="425" spans="4:7" ht="14.45" customHeight="1" outlineLevel="4" thickBot="1" x14ac:dyDescent="0.3">
      <c r="G425" s="7" t="s">
        <v>483</v>
      </c>
    </row>
    <row r="426" spans="4:7" ht="14.45" customHeight="1" outlineLevel="4" thickBot="1" x14ac:dyDescent="0.3">
      <c r="G426" s="7" t="s">
        <v>484</v>
      </c>
    </row>
    <row r="427" spans="4:7" ht="14.45" customHeight="1" outlineLevel="4" thickBot="1" x14ac:dyDescent="0.3">
      <c r="G427" s="7" t="s">
        <v>485</v>
      </c>
    </row>
    <row r="428" spans="4:7" ht="14.45" customHeight="1" outlineLevel="3" thickBot="1" x14ac:dyDescent="0.3"/>
    <row r="429" spans="4:7" ht="14.45" customHeight="1" outlineLevel="2" thickBot="1" x14ac:dyDescent="0.3"/>
    <row r="430" spans="4:7" ht="14.45" customHeight="1" outlineLevel="1" thickBot="1" x14ac:dyDescent="0.3">
      <c r="D430" s="26" t="s">
        <v>23</v>
      </c>
      <c r="E430" s="26"/>
    </row>
    <row r="431" spans="4:7" ht="14.45" customHeight="1" outlineLevel="2" thickBot="1" x14ac:dyDescent="0.3">
      <c r="E431" s="27" t="s">
        <v>486</v>
      </c>
    </row>
    <row r="432" spans="4:7" ht="14.45" customHeight="1" outlineLevel="4" thickBot="1" x14ac:dyDescent="0.3"/>
    <row r="433" spans="5:7" ht="14.45" customHeight="1" outlineLevel="3" thickBot="1" x14ac:dyDescent="0.3"/>
    <row r="434" spans="5:7" ht="14.45" customHeight="1" outlineLevel="2" thickBot="1" x14ac:dyDescent="0.3">
      <c r="E434" s="27" t="s">
        <v>487</v>
      </c>
    </row>
    <row r="435" spans="5:7" ht="14.45" customHeight="1" outlineLevel="3" thickBot="1" x14ac:dyDescent="0.3">
      <c r="F435" s="28" t="s">
        <v>488</v>
      </c>
    </row>
    <row r="436" spans="5:7" ht="14.45" customHeight="1" outlineLevel="4" thickBot="1" x14ac:dyDescent="0.3">
      <c r="G436" s="7" t="s">
        <v>489</v>
      </c>
    </row>
    <row r="437" spans="5:7" ht="14.45" customHeight="1" outlineLevel="4" thickBot="1" x14ac:dyDescent="0.3">
      <c r="G437" s="7" t="s">
        <v>490</v>
      </c>
    </row>
    <row r="438" spans="5:7" ht="14.45" customHeight="1" outlineLevel="4" thickBot="1" x14ac:dyDescent="0.3">
      <c r="G438" s="7" t="s">
        <v>491</v>
      </c>
    </row>
    <row r="439" spans="5:7" ht="14.45" customHeight="1" outlineLevel="3" thickBot="1" x14ac:dyDescent="0.3">
      <c r="F439" s="28" t="s">
        <v>492</v>
      </c>
    </row>
    <row r="440" spans="5:7" ht="14.45" customHeight="1" outlineLevel="4" thickBot="1" x14ac:dyDescent="0.3">
      <c r="G440" s="7" t="s">
        <v>493</v>
      </c>
    </row>
    <row r="441" spans="5:7" ht="14.45" customHeight="1" outlineLevel="4" thickBot="1" x14ac:dyDescent="0.3">
      <c r="G441" s="7" t="s">
        <v>494</v>
      </c>
    </row>
    <row r="442" spans="5:7" ht="14.45" customHeight="1" outlineLevel="3" thickBot="1" x14ac:dyDescent="0.3">
      <c r="F442" s="28" t="s">
        <v>495</v>
      </c>
    </row>
    <row r="443" spans="5:7" ht="14.45" customHeight="1" outlineLevel="4" thickBot="1" x14ac:dyDescent="0.3">
      <c r="G443" s="7" t="s">
        <v>496</v>
      </c>
    </row>
    <row r="444" spans="5:7" ht="14.45" customHeight="1" outlineLevel="4" thickBot="1" x14ac:dyDescent="0.3">
      <c r="G444" s="7" t="s">
        <v>497</v>
      </c>
    </row>
    <row r="445" spans="5:7" ht="14.45" customHeight="1" outlineLevel="3" thickBot="1" x14ac:dyDescent="0.3">
      <c r="F445" s="28" t="s">
        <v>498</v>
      </c>
    </row>
    <row r="446" spans="5:7" ht="14.45" customHeight="1" outlineLevel="4" thickBot="1" x14ac:dyDescent="0.3">
      <c r="G446" s="7" t="s">
        <v>499</v>
      </c>
    </row>
    <row r="447" spans="5:7" ht="14.45" customHeight="1" outlineLevel="4" thickBot="1" x14ac:dyDescent="0.3">
      <c r="G447" s="7" t="s">
        <v>500</v>
      </c>
    </row>
    <row r="448" spans="5:7" ht="14.45" customHeight="1" outlineLevel="3" thickBot="1" x14ac:dyDescent="0.3">
      <c r="F448" s="28" t="s">
        <v>501</v>
      </c>
    </row>
    <row r="449" spans="4:7" ht="14.45" customHeight="1" outlineLevel="4" thickBot="1" x14ac:dyDescent="0.3"/>
    <row r="450" spans="4:7" ht="14.45" customHeight="1" outlineLevel="3" thickBot="1" x14ac:dyDescent="0.3"/>
    <row r="451" spans="4:7" ht="14.45" customHeight="1" outlineLevel="2" thickBot="1" x14ac:dyDescent="0.3">
      <c r="E451" s="27" t="s">
        <v>502</v>
      </c>
    </row>
    <row r="452" spans="4:7" ht="14.45" customHeight="1" outlineLevel="3" thickBot="1" x14ac:dyDescent="0.3">
      <c r="F452" s="28" t="s">
        <v>503</v>
      </c>
    </row>
    <row r="453" spans="4:7" ht="14.45" customHeight="1" outlineLevel="4" thickBot="1" x14ac:dyDescent="0.3">
      <c r="G453" s="7" t="s">
        <v>504</v>
      </c>
    </row>
    <row r="454" spans="4:7" ht="14.45" customHeight="1" outlineLevel="4" thickBot="1" x14ac:dyDescent="0.3">
      <c r="G454" s="7" t="s">
        <v>505</v>
      </c>
    </row>
    <row r="455" spans="4:7" ht="14.45" customHeight="1" outlineLevel="3" thickBot="1" x14ac:dyDescent="0.3">
      <c r="F455" s="28" t="s">
        <v>506</v>
      </c>
    </row>
    <row r="456" spans="4:7" ht="14.45" customHeight="1" outlineLevel="4" thickBot="1" x14ac:dyDescent="0.3">
      <c r="G456" s="7" t="s">
        <v>507</v>
      </c>
    </row>
    <row r="457" spans="4:7" ht="14.45" customHeight="1" outlineLevel="4" thickBot="1" x14ac:dyDescent="0.3">
      <c r="G457" s="7" t="s">
        <v>508</v>
      </c>
    </row>
    <row r="458" spans="4:7" ht="14.45" customHeight="1" outlineLevel="4" thickBot="1" x14ac:dyDescent="0.3">
      <c r="G458" s="7" t="s">
        <v>509</v>
      </c>
    </row>
    <row r="459" spans="4:7" ht="14.45" customHeight="1" outlineLevel="4" thickBot="1" x14ac:dyDescent="0.3">
      <c r="G459" s="7" t="s">
        <v>510</v>
      </c>
    </row>
    <row r="460" spans="4:7" ht="14.45" customHeight="1" outlineLevel="3" thickBot="1" x14ac:dyDescent="0.3">
      <c r="F460" s="28" t="s">
        <v>511</v>
      </c>
    </row>
    <row r="461" spans="4:7" ht="14.45" customHeight="1" outlineLevel="4" thickBot="1" x14ac:dyDescent="0.3"/>
    <row r="462" spans="4:7" ht="14.45" customHeight="1" outlineLevel="3" thickBot="1" x14ac:dyDescent="0.3"/>
    <row r="463" spans="4:7" ht="14.45" customHeight="1" outlineLevel="2" thickBot="1" x14ac:dyDescent="0.3"/>
    <row r="464" spans="4:7" ht="14.45" customHeight="1" outlineLevel="1" thickBot="1" x14ac:dyDescent="0.3">
      <c r="D464" s="26" t="s">
        <v>24</v>
      </c>
      <c r="E464" s="26"/>
    </row>
    <row r="465" spans="5:7" ht="14.45" customHeight="1" outlineLevel="2" thickBot="1" x14ac:dyDescent="0.3">
      <c r="E465" s="27" t="s">
        <v>512</v>
      </c>
    </row>
    <row r="466" spans="5:7" ht="14.45" customHeight="1" outlineLevel="3" thickBot="1" x14ac:dyDescent="0.3">
      <c r="F466" s="28" t="s">
        <v>338</v>
      </c>
    </row>
    <row r="467" spans="5:7" ht="14.45" customHeight="1" outlineLevel="4" thickBot="1" x14ac:dyDescent="0.3">
      <c r="G467" s="7" t="s">
        <v>513</v>
      </c>
    </row>
    <row r="468" spans="5:7" ht="14.45" customHeight="1" outlineLevel="4" thickBot="1" x14ac:dyDescent="0.3">
      <c r="G468" s="7" t="s">
        <v>514</v>
      </c>
    </row>
    <row r="469" spans="5:7" ht="14.45" customHeight="1" outlineLevel="3" thickBot="1" x14ac:dyDescent="0.3">
      <c r="F469" s="28" t="s">
        <v>515</v>
      </c>
    </row>
    <row r="470" spans="5:7" ht="14.45" customHeight="1" outlineLevel="4" thickBot="1" x14ac:dyDescent="0.3">
      <c r="G470" s="7" t="s">
        <v>392</v>
      </c>
    </row>
    <row r="471" spans="5:7" ht="14.45" customHeight="1" outlineLevel="4" thickBot="1" x14ac:dyDescent="0.3">
      <c r="G471" s="7" t="s">
        <v>393</v>
      </c>
    </row>
    <row r="472" spans="5:7" ht="14.45" customHeight="1" outlineLevel="4" thickBot="1" x14ac:dyDescent="0.3">
      <c r="G472" s="7" t="s">
        <v>394</v>
      </c>
    </row>
    <row r="473" spans="5:7" ht="14.45" customHeight="1" outlineLevel="3" thickBot="1" x14ac:dyDescent="0.3"/>
    <row r="474" spans="5:7" ht="14.45" customHeight="1" outlineLevel="2" thickBot="1" x14ac:dyDescent="0.3">
      <c r="E474" s="27" t="s">
        <v>516</v>
      </c>
    </row>
    <row r="475" spans="5:7" ht="14.45" customHeight="1" outlineLevel="3" thickBot="1" x14ac:dyDescent="0.3">
      <c r="F475" s="28" t="s">
        <v>517</v>
      </c>
    </row>
    <row r="476" spans="5:7" ht="14.45" customHeight="1" outlineLevel="4" thickBot="1" x14ac:dyDescent="0.3"/>
    <row r="477" spans="5:7" ht="14.45" customHeight="1" outlineLevel="3" thickBot="1" x14ac:dyDescent="0.3">
      <c r="F477" s="28" t="s">
        <v>518</v>
      </c>
    </row>
    <row r="478" spans="5:7" ht="14.45" customHeight="1" outlineLevel="4" thickBot="1" x14ac:dyDescent="0.3">
      <c r="G478" s="7" t="s">
        <v>449</v>
      </c>
    </row>
    <row r="479" spans="5:7" ht="14.45" customHeight="1" outlineLevel="4" thickBot="1" x14ac:dyDescent="0.3">
      <c r="G479" s="7" t="s">
        <v>450</v>
      </c>
    </row>
    <row r="480" spans="5:7" ht="14.45" customHeight="1" outlineLevel="4" thickBot="1" x14ac:dyDescent="0.3">
      <c r="G480" s="7" t="s">
        <v>451</v>
      </c>
    </row>
    <row r="481" spans="6:7" ht="14.45" customHeight="1" outlineLevel="3" thickBot="1" x14ac:dyDescent="0.3">
      <c r="F481" s="28" t="s">
        <v>519</v>
      </c>
    </row>
    <row r="482" spans="6:7" ht="14.45" customHeight="1" outlineLevel="4" thickBot="1" x14ac:dyDescent="0.3"/>
    <row r="483" spans="6:7" ht="14.45" customHeight="1" outlineLevel="3" thickBot="1" x14ac:dyDescent="0.3">
      <c r="F483" s="28" t="s">
        <v>520</v>
      </c>
    </row>
    <row r="484" spans="6:7" ht="14.45" customHeight="1" outlineLevel="4" thickBot="1" x14ac:dyDescent="0.3">
      <c r="G484" s="7" t="s">
        <v>323</v>
      </c>
    </row>
    <row r="485" spans="6:7" ht="14.45" customHeight="1" outlineLevel="4" thickBot="1" x14ac:dyDescent="0.3">
      <c r="G485" s="7" t="s">
        <v>324</v>
      </c>
    </row>
    <row r="486" spans="6:7" ht="14.45" customHeight="1" outlineLevel="4" thickBot="1" x14ac:dyDescent="0.3">
      <c r="G486" s="7" t="s">
        <v>325</v>
      </c>
    </row>
    <row r="487" spans="6:7" ht="14.45" customHeight="1" outlineLevel="4" thickBot="1" x14ac:dyDescent="0.3">
      <c r="G487" s="7" t="s">
        <v>326</v>
      </c>
    </row>
    <row r="488" spans="6:7" ht="14.45" customHeight="1" outlineLevel="3" thickBot="1" x14ac:dyDescent="0.3">
      <c r="F488" s="28" t="s">
        <v>521</v>
      </c>
    </row>
    <row r="489" spans="6:7" ht="14.45" customHeight="1" outlineLevel="4" thickBot="1" x14ac:dyDescent="0.3">
      <c r="G489" s="7" t="s">
        <v>323</v>
      </c>
    </row>
    <row r="490" spans="6:7" ht="14.45" customHeight="1" outlineLevel="4" thickBot="1" x14ac:dyDescent="0.3">
      <c r="G490" s="7" t="s">
        <v>324</v>
      </c>
    </row>
    <row r="491" spans="6:7" ht="14.45" customHeight="1" outlineLevel="4" thickBot="1" x14ac:dyDescent="0.3">
      <c r="G491" s="7" t="s">
        <v>325</v>
      </c>
    </row>
    <row r="492" spans="6:7" ht="14.45" customHeight="1" outlineLevel="4" thickBot="1" x14ac:dyDescent="0.3">
      <c r="G492" s="7" t="s">
        <v>326</v>
      </c>
    </row>
    <row r="493" spans="6:7" ht="14.45" customHeight="1" outlineLevel="3" thickBot="1" x14ac:dyDescent="0.3">
      <c r="F493" s="28" t="s">
        <v>522</v>
      </c>
    </row>
    <row r="494" spans="6:7" ht="14.45" customHeight="1" outlineLevel="4" thickBot="1" x14ac:dyDescent="0.3">
      <c r="G494" s="7" t="s">
        <v>323</v>
      </c>
    </row>
    <row r="495" spans="6:7" ht="14.45" customHeight="1" outlineLevel="4" thickBot="1" x14ac:dyDescent="0.3">
      <c r="G495" s="7" t="s">
        <v>324</v>
      </c>
    </row>
    <row r="496" spans="6:7" ht="14.45" customHeight="1" outlineLevel="4" thickBot="1" x14ac:dyDescent="0.3">
      <c r="G496" s="7" t="s">
        <v>325</v>
      </c>
    </row>
    <row r="497" spans="4:7" ht="14.45" customHeight="1" outlineLevel="4" thickBot="1" x14ac:dyDescent="0.3">
      <c r="G497" s="7" t="s">
        <v>326</v>
      </c>
    </row>
    <row r="498" spans="4:7" ht="14.45" customHeight="1" outlineLevel="3" thickBot="1" x14ac:dyDescent="0.3">
      <c r="F498" s="28" t="s">
        <v>523</v>
      </c>
    </row>
    <row r="499" spans="4:7" ht="14.45" customHeight="1" outlineLevel="4" thickBot="1" x14ac:dyDescent="0.3">
      <c r="G499" s="7" t="s">
        <v>323</v>
      </c>
    </row>
    <row r="500" spans="4:7" ht="14.45" customHeight="1" outlineLevel="4" thickBot="1" x14ac:dyDescent="0.3">
      <c r="G500" s="7" t="s">
        <v>324</v>
      </c>
    </row>
    <row r="501" spans="4:7" ht="14.45" customHeight="1" outlineLevel="4" thickBot="1" x14ac:dyDescent="0.3">
      <c r="G501" s="7" t="s">
        <v>325</v>
      </c>
    </row>
    <row r="502" spans="4:7" ht="14.45" customHeight="1" outlineLevel="4" thickBot="1" x14ac:dyDescent="0.3">
      <c r="G502" s="7" t="s">
        <v>326</v>
      </c>
    </row>
    <row r="503" spans="4:7" ht="14.45" customHeight="1" outlineLevel="3" thickBot="1" x14ac:dyDescent="0.3">
      <c r="F503" s="28" t="s">
        <v>524</v>
      </c>
    </row>
    <row r="504" spans="4:7" ht="14.45" customHeight="1" outlineLevel="4" thickBot="1" x14ac:dyDescent="0.3"/>
    <row r="505" spans="4:7" ht="14.45" customHeight="1" outlineLevel="3" thickBot="1" x14ac:dyDescent="0.3">
      <c r="F505" s="28" t="s">
        <v>525</v>
      </c>
    </row>
    <row r="506" spans="4:7" ht="14.45" customHeight="1" outlineLevel="4" thickBot="1" x14ac:dyDescent="0.3">
      <c r="G506" s="7" t="s">
        <v>323</v>
      </c>
    </row>
    <row r="507" spans="4:7" ht="14.45" customHeight="1" outlineLevel="4" thickBot="1" x14ac:dyDescent="0.3">
      <c r="G507" s="7" t="s">
        <v>324</v>
      </c>
    </row>
    <row r="508" spans="4:7" ht="14.45" customHeight="1" outlineLevel="4" thickBot="1" x14ac:dyDescent="0.3">
      <c r="G508" s="7" t="s">
        <v>325</v>
      </c>
    </row>
    <row r="509" spans="4:7" ht="14.45" customHeight="1" outlineLevel="4" thickBot="1" x14ac:dyDescent="0.3">
      <c r="G509" s="7" t="s">
        <v>326</v>
      </c>
    </row>
    <row r="510" spans="4:7" ht="14.45" customHeight="1" outlineLevel="3" thickBot="1" x14ac:dyDescent="0.3"/>
    <row r="511" spans="4:7" ht="14.45" customHeight="1" outlineLevel="2" thickBot="1" x14ac:dyDescent="0.3"/>
    <row r="512" spans="4:7" ht="14.45" customHeight="1" outlineLevel="1" thickBot="1" x14ac:dyDescent="0.3">
      <c r="D512" s="26" t="s">
        <v>25</v>
      </c>
      <c r="E512" s="26"/>
    </row>
    <row r="513" spans="4:6" ht="14.45" customHeight="1" outlineLevel="2" thickBot="1" x14ac:dyDescent="0.3">
      <c r="E513" s="27" t="s">
        <v>526</v>
      </c>
    </row>
    <row r="514" spans="4:6" ht="14.45" customHeight="1" outlineLevel="3" thickBot="1" x14ac:dyDescent="0.3">
      <c r="F514" s="28" t="s">
        <v>527</v>
      </c>
    </row>
    <row r="515" spans="4:6" ht="14.45" customHeight="1" outlineLevel="4" thickBot="1" x14ac:dyDescent="0.3"/>
    <row r="516" spans="4:6" ht="14.45" customHeight="1" outlineLevel="3" thickBot="1" x14ac:dyDescent="0.3">
      <c r="F516" s="28" t="s">
        <v>528</v>
      </c>
    </row>
    <row r="517" spans="4:6" ht="14.45" customHeight="1" outlineLevel="4" thickBot="1" x14ac:dyDescent="0.3"/>
    <row r="518" spans="4:6" ht="14.45" customHeight="1" outlineLevel="3" thickBot="1" x14ac:dyDescent="0.3"/>
    <row r="519" spans="4:6" ht="14.45" customHeight="1" outlineLevel="2" thickBot="1" x14ac:dyDescent="0.3">
      <c r="E519" s="27" t="s">
        <v>529</v>
      </c>
    </row>
    <row r="520" spans="4:6" ht="14.45" customHeight="1" outlineLevel="3" thickBot="1" x14ac:dyDescent="0.3">
      <c r="F520" s="28" t="s">
        <v>530</v>
      </c>
    </row>
    <row r="521" spans="4:6" ht="14.45" customHeight="1" outlineLevel="4" thickBot="1" x14ac:dyDescent="0.3"/>
    <row r="522" spans="4:6" ht="14.45" customHeight="1" outlineLevel="3" thickBot="1" x14ac:dyDescent="0.3">
      <c r="F522" s="28" t="s">
        <v>531</v>
      </c>
    </row>
    <row r="523" spans="4:6" ht="14.45" customHeight="1" outlineLevel="4" thickBot="1" x14ac:dyDescent="0.3"/>
    <row r="524" spans="4:6" ht="14.45" customHeight="1" outlineLevel="3" thickBot="1" x14ac:dyDescent="0.3"/>
    <row r="525" spans="4:6" ht="14.45" customHeight="1" outlineLevel="2" thickBot="1" x14ac:dyDescent="0.3"/>
    <row r="526" spans="4:6" ht="14.45" customHeight="1" outlineLevel="1" thickBot="1" x14ac:dyDescent="0.3">
      <c r="D526" s="26" t="s">
        <v>26</v>
      </c>
      <c r="E526" s="26"/>
    </row>
    <row r="527" spans="4:6" ht="14.45" customHeight="1" outlineLevel="2" thickBot="1" x14ac:dyDescent="0.3">
      <c r="E527" s="27" t="s">
        <v>532</v>
      </c>
    </row>
    <row r="528" spans="4:6" ht="14.45" customHeight="1" outlineLevel="3" thickBot="1" x14ac:dyDescent="0.3">
      <c r="F528" s="28" t="s">
        <v>292</v>
      </c>
    </row>
    <row r="529" spans="5:6" ht="14.45" customHeight="1" outlineLevel="4" thickBot="1" x14ac:dyDescent="0.3"/>
    <row r="530" spans="5:6" ht="14.45" customHeight="1" outlineLevel="3" thickBot="1" x14ac:dyDescent="0.3">
      <c r="F530" s="28" t="s">
        <v>533</v>
      </c>
    </row>
    <row r="531" spans="5:6" ht="14.45" customHeight="1" outlineLevel="4" thickBot="1" x14ac:dyDescent="0.3"/>
    <row r="532" spans="5:6" ht="14.45" customHeight="1" outlineLevel="3" thickBot="1" x14ac:dyDescent="0.3">
      <c r="F532" s="28" t="s">
        <v>534</v>
      </c>
    </row>
    <row r="533" spans="5:6" ht="14.45" customHeight="1" outlineLevel="4" thickBot="1" x14ac:dyDescent="0.3"/>
    <row r="534" spans="5:6" ht="14.45" customHeight="1" outlineLevel="3" thickBot="1" x14ac:dyDescent="0.3">
      <c r="F534" s="28" t="s">
        <v>535</v>
      </c>
    </row>
    <row r="535" spans="5:6" ht="14.45" customHeight="1" outlineLevel="4" thickBot="1" x14ac:dyDescent="0.3"/>
    <row r="536" spans="5:6" ht="14.45" customHeight="1" outlineLevel="3" thickBot="1" x14ac:dyDescent="0.3"/>
    <row r="537" spans="5:6" ht="14.45" customHeight="1" outlineLevel="2" thickBot="1" x14ac:dyDescent="0.3">
      <c r="E537" s="27" t="s">
        <v>536</v>
      </c>
    </row>
    <row r="538" spans="5:6" ht="14.45" customHeight="1" outlineLevel="3" thickBot="1" x14ac:dyDescent="0.3">
      <c r="F538" s="28" t="s">
        <v>537</v>
      </c>
    </row>
    <row r="539" spans="5:6" ht="14.45" customHeight="1" outlineLevel="4" thickBot="1" x14ac:dyDescent="0.3"/>
    <row r="540" spans="5:6" ht="14.45" customHeight="1" outlineLevel="3" thickBot="1" x14ac:dyDescent="0.3">
      <c r="F540" s="28" t="s">
        <v>538</v>
      </c>
    </row>
    <row r="541" spans="5:6" ht="14.45" customHeight="1" outlineLevel="4" thickBot="1" x14ac:dyDescent="0.3"/>
    <row r="542" spans="5:6" ht="14.45" customHeight="1" outlineLevel="3" thickBot="1" x14ac:dyDescent="0.3"/>
    <row r="543" spans="5:6" ht="14.45" customHeight="1" outlineLevel="2" thickBot="1" x14ac:dyDescent="0.3">
      <c r="E543" s="27" t="s">
        <v>539</v>
      </c>
    </row>
    <row r="544" spans="5:6" ht="14.45" customHeight="1" outlineLevel="4" thickBot="1" x14ac:dyDescent="0.3"/>
    <row r="545" spans="4:7" ht="14.45" customHeight="1" outlineLevel="3" thickBot="1" x14ac:dyDescent="0.3"/>
    <row r="546" spans="4:7" ht="14.45" customHeight="1" outlineLevel="2" thickBot="1" x14ac:dyDescent="0.3"/>
    <row r="547" spans="4:7" ht="14.45" customHeight="1" outlineLevel="1" thickBot="1" x14ac:dyDescent="0.3">
      <c r="D547" s="26" t="s">
        <v>27</v>
      </c>
      <c r="E547" s="26"/>
    </row>
    <row r="548" spans="4:7" ht="14.45" customHeight="1" outlineLevel="2" thickBot="1" x14ac:dyDescent="0.3">
      <c r="E548" s="27" t="s">
        <v>540</v>
      </c>
    </row>
    <row r="549" spans="4:7" ht="14.45" customHeight="1" outlineLevel="3" thickBot="1" x14ac:dyDescent="0.3">
      <c r="F549" s="28" t="s">
        <v>292</v>
      </c>
    </row>
    <row r="550" spans="4:7" ht="14.45" customHeight="1" outlineLevel="4" thickBot="1" x14ac:dyDescent="0.3"/>
    <row r="551" spans="4:7" ht="14.45" customHeight="1" outlineLevel="3" thickBot="1" x14ac:dyDescent="0.3">
      <c r="F551" s="28" t="s">
        <v>541</v>
      </c>
    </row>
    <row r="552" spans="4:7" ht="14.45" customHeight="1" outlineLevel="4" thickBot="1" x14ac:dyDescent="0.3"/>
    <row r="553" spans="4:7" ht="14.45" customHeight="1" outlineLevel="3" thickBot="1" x14ac:dyDescent="0.3">
      <c r="F553" s="28" t="s">
        <v>542</v>
      </c>
    </row>
    <row r="554" spans="4:7" ht="14.45" customHeight="1" outlineLevel="4" thickBot="1" x14ac:dyDescent="0.3"/>
    <row r="555" spans="4:7" ht="14.45" customHeight="1" outlineLevel="3" thickBot="1" x14ac:dyDescent="0.3"/>
    <row r="556" spans="4:7" ht="14.45" customHeight="1" outlineLevel="2" thickBot="1" x14ac:dyDescent="0.3">
      <c r="E556" s="27" t="s">
        <v>543</v>
      </c>
    </row>
    <row r="557" spans="4:7" ht="14.45" customHeight="1" outlineLevel="3" thickBot="1" x14ac:dyDescent="0.3">
      <c r="F557" s="28" t="s">
        <v>544</v>
      </c>
    </row>
    <row r="558" spans="4:7" ht="14.45" customHeight="1" outlineLevel="4" thickBot="1" x14ac:dyDescent="0.3"/>
    <row r="559" spans="4:7" ht="14.45" customHeight="1" outlineLevel="3" thickBot="1" x14ac:dyDescent="0.3">
      <c r="F559" s="28" t="s">
        <v>545</v>
      </c>
    </row>
    <row r="560" spans="4:7" ht="14.45" customHeight="1" outlineLevel="4" thickBot="1" x14ac:dyDescent="0.3">
      <c r="G560" s="7" t="s">
        <v>546</v>
      </c>
    </row>
    <row r="561" spans="5:7" ht="14.45" customHeight="1" outlineLevel="4" thickBot="1" x14ac:dyDescent="0.3">
      <c r="G561" s="7" t="s">
        <v>547</v>
      </c>
    </row>
    <row r="562" spans="5:7" ht="14.45" customHeight="1" outlineLevel="4" thickBot="1" x14ac:dyDescent="0.3">
      <c r="G562" s="7" t="s">
        <v>548</v>
      </c>
    </row>
    <row r="563" spans="5:7" ht="14.45" customHeight="1" outlineLevel="3" thickBot="1" x14ac:dyDescent="0.3">
      <c r="F563" s="28" t="s">
        <v>549</v>
      </c>
    </row>
    <row r="564" spans="5:7" ht="14.45" customHeight="1" outlineLevel="4" thickBot="1" x14ac:dyDescent="0.3">
      <c r="G564" s="7" t="s">
        <v>550</v>
      </c>
    </row>
    <row r="565" spans="5:7" ht="14.45" customHeight="1" outlineLevel="4" thickBot="1" x14ac:dyDescent="0.3">
      <c r="G565" s="7" t="s">
        <v>551</v>
      </c>
    </row>
    <row r="566" spans="5:7" ht="14.45" customHeight="1" outlineLevel="3" thickBot="1" x14ac:dyDescent="0.3">
      <c r="F566" s="28" t="s">
        <v>552</v>
      </c>
    </row>
    <row r="567" spans="5:7" ht="14.45" customHeight="1" outlineLevel="4" thickBot="1" x14ac:dyDescent="0.3">
      <c r="G567" s="7" t="s">
        <v>323</v>
      </c>
    </row>
    <row r="568" spans="5:7" ht="14.45" customHeight="1" outlineLevel="4" thickBot="1" x14ac:dyDescent="0.3">
      <c r="G568" s="7" t="s">
        <v>553</v>
      </c>
    </row>
    <row r="569" spans="5:7" ht="14.45" customHeight="1" outlineLevel="4" thickBot="1" x14ac:dyDescent="0.3">
      <c r="G569" s="7" t="s">
        <v>554</v>
      </c>
    </row>
    <row r="570" spans="5:7" ht="14.45" customHeight="1" outlineLevel="3" thickBot="1" x14ac:dyDescent="0.3"/>
    <row r="571" spans="5:7" ht="14.45" customHeight="1" outlineLevel="2" thickBot="1" x14ac:dyDescent="0.3">
      <c r="E571" s="27" t="s">
        <v>555</v>
      </c>
    </row>
    <row r="572" spans="5:7" ht="14.45" customHeight="1" outlineLevel="3" thickBot="1" x14ac:dyDescent="0.3">
      <c r="F572" s="28" t="s">
        <v>292</v>
      </c>
    </row>
    <row r="573" spans="5:7" ht="14.45" customHeight="1" outlineLevel="4" thickBot="1" x14ac:dyDescent="0.3"/>
    <row r="574" spans="5:7" ht="14.45" customHeight="1" outlineLevel="3" thickBot="1" x14ac:dyDescent="0.3">
      <c r="F574" s="28" t="s">
        <v>556</v>
      </c>
    </row>
    <row r="575" spans="5:7" ht="14.45" customHeight="1" outlineLevel="4" thickBot="1" x14ac:dyDescent="0.3">
      <c r="G575" s="7" t="s">
        <v>557</v>
      </c>
    </row>
    <row r="576" spans="5:7" ht="14.45" customHeight="1" outlineLevel="4" thickBot="1" x14ac:dyDescent="0.3">
      <c r="G576" s="7" t="s">
        <v>558</v>
      </c>
    </row>
    <row r="577" spans="4:7" ht="14.45" customHeight="1" outlineLevel="4" thickBot="1" x14ac:dyDescent="0.3">
      <c r="G577" s="7" t="s">
        <v>559</v>
      </c>
    </row>
    <row r="578" spans="4:7" ht="14.45" customHeight="1" outlineLevel="3" thickBot="1" x14ac:dyDescent="0.3">
      <c r="F578" s="28" t="s">
        <v>560</v>
      </c>
    </row>
    <row r="579" spans="4:7" ht="14.45" customHeight="1" outlineLevel="4" thickBot="1" x14ac:dyDescent="0.3">
      <c r="G579" s="7" t="s">
        <v>339</v>
      </c>
    </row>
    <row r="580" spans="4:7" ht="14.45" customHeight="1" outlineLevel="4" thickBot="1" x14ac:dyDescent="0.3">
      <c r="G580" s="7" t="s">
        <v>561</v>
      </c>
    </row>
    <row r="581" spans="4:7" ht="14.45" customHeight="1" outlineLevel="3" thickBot="1" x14ac:dyDescent="0.3"/>
    <row r="582" spans="4:7" ht="14.45" customHeight="1" outlineLevel="2" thickBot="1" x14ac:dyDescent="0.3"/>
    <row r="583" spans="4:7" ht="14.45" customHeight="1" outlineLevel="1" thickBot="1" x14ac:dyDescent="0.3">
      <c r="D583" s="26" t="s">
        <v>28</v>
      </c>
      <c r="E583" s="26"/>
    </row>
    <row r="584" spans="4:7" ht="14.45" customHeight="1" outlineLevel="2" thickBot="1" x14ac:dyDescent="0.3">
      <c r="E584" s="27" t="s">
        <v>248</v>
      </c>
    </row>
    <row r="585" spans="4:7" ht="14.45" customHeight="1" outlineLevel="4" thickBot="1" x14ac:dyDescent="0.3"/>
    <row r="586" spans="4:7" ht="14.45" customHeight="1" outlineLevel="3" thickBot="1" x14ac:dyDescent="0.3"/>
    <row r="587" spans="4:7" ht="14.45" customHeight="1" outlineLevel="2" thickBot="1" x14ac:dyDescent="0.3">
      <c r="E587" s="27" t="s">
        <v>562</v>
      </c>
    </row>
    <row r="588" spans="4:7" ht="14.45" customHeight="1" outlineLevel="3" thickBot="1" x14ac:dyDescent="0.3">
      <c r="F588" s="28" t="s">
        <v>563</v>
      </c>
    </row>
    <row r="589" spans="4:7" ht="14.45" customHeight="1" outlineLevel="4" thickBot="1" x14ac:dyDescent="0.3"/>
    <row r="590" spans="4:7" ht="14.45" customHeight="1" outlineLevel="3" thickBot="1" x14ac:dyDescent="0.3">
      <c r="F590" s="28" t="s">
        <v>564</v>
      </c>
    </row>
    <row r="591" spans="4:7" ht="14.45" customHeight="1" outlineLevel="4" thickBot="1" x14ac:dyDescent="0.3"/>
    <row r="592" spans="4:7" ht="14.45" customHeight="1" outlineLevel="3" thickBot="1" x14ac:dyDescent="0.3"/>
    <row r="593" spans="5:6" ht="14.45" customHeight="1" outlineLevel="2" thickBot="1" x14ac:dyDescent="0.3">
      <c r="E593" s="27" t="s">
        <v>565</v>
      </c>
    </row>
    <row r="594" spans="5:6" ht="14.45" customHeight="1" outlineLevel="3" thickBot="1" x14ac:dyDescent="0.3">
      <c r="F594" s="28" t="s">
        <v>566</v>
      </c>
    </row>
    <row r="595" spans="5:6" ht="14.45" customHeight="1" outlineLevel="4" thickBot="1" x14ac:dyDescent="0.3"/>
    <row r="596" spans="5:6" ht="14.45" customHeight="1" outlineLevel="3" thickBot="1" x14ac:dyDescent="0.3">
      <c r="F596" s="28" t="s">
        <v>567</v>
      </c>
    </row>
    <row r="597" spans="5:6" ht="14.45" customHeight="1" outlineLevel="4" thickBot="1" x14ac:dyDescent="0.3"/>
    <row r="598" spans="5:6" ht="14.45" customHeight="1" outlineLevel="3" thickBot="1" x14ac:dyDescent="0.3">
      <c r="F598" s="28" t="s">
        <v>568</v>
      </c>
    </row>
    <row r="599" spans="5:6" ht="14.45" customHeight="1" outlineLevel="4" thickBot="1" x14ac:dyDescent="0.3"/>
    <row r="600" spans="5:6" ht="14.45" customHeight="1" outlineLevel="3" thickBot="1" x14ac:dyDescent="0.3">
      <c r="F600" s="28" t="s">
        <v>569</v>
      </c>
    </row>
    <row r="601" spans="5:6" ht="14.45" customHeight="1" outlineLevel="4" thickBot="1" x14ac:dyDescent="0.3"/>
    <row r="602" spans="5:6" ht="14.45" customHeight="1" outlineLevel="3" thickBot="1" x14ac:dyDescent="0.3">
      <c r="F602" s="28" t="s">
        <v>570</v>
      </c>
    </row>
    <row r="603" spans="5:6" ht="14.45" customHeight="1" outlineLevel="4" thickBot="1" x14ac:dyDescent="0.3"/>
    <row r="604" spans="5:6" ht="14.45" customHeight="1" outlineLevel="3" thickBot="1" x14ac:dyDescent="0.3"/>
    <row r="605" spans="5:6" ht="14.45" customHeight="1" outlineLevel="2" thickBot="1" x14ac:dyDescent="0.3">
      <c r="E605" s="27" t="s">
        <v>571</v>
      </c>
    </row>
    <row r="606" spans="5:6" ht="14.45" customHeight="1" outlineLevel="3" thickBot="1" x14ac:dyDescent="0.3">
      <c r="F606" s="28" t="s">
        <v>572</v>
      </c>
    </row>
    <row r="607" spans="5:6" ht="14.45" customHeight="1" outlineLevel="4" thickBot="1" x14ac:dyDescent="0.3"/>
    <row r="608" spans="5:6" ht="14.45" customHeight="1" outlineLevel="3" thickBot="1" x14ac:dyDescent="0.3">
      <c r="F608" s="28" t="s">
        <v>573</v>
      </c>
    </row>
    <row r="609" spans="5:6" ht="14.45" customHeight="1" outlineLevel="4" thickBot="1" x14ac:dyDescent="0.3"/>
    <row r="610" spans="5:6" ht="14.45" customHeight="1" outlineLevel="3" thickBot="1" x14ac:dyDescent="0.3">
      <c r="F610" s="28" t="s">
        <v>574</v>
      </c>
    </row>
    <row r="611" spans="5:6" ht="14.45" customHeight="1" outlineLevel="4" thickBot="1" x14ac:dyDescent="0.3"/>
    <row r="612" spans="5:6" ht="14.45" customHeight="1" outlineLevel="3" thickBot="1" x14ac:dyDescent="0.3">
      <c r="F612" s="28" t="s">
        <v>575</v>
      </c>
    </row>
    <row r="613" spans="5:6" ht="14.45" customHeight="1" outlineLevel="4" thickBot="1" x14ac:dyDescent="0.3"/>
    <row r="614" spans="5:6" ht="14.45" customHeight="1" outlineLevel="3" thickBot="1" x14ac:dyDescent="0.3"/>
    <row r="615" spans="5:6" ht="14.45" customHeight="1" outlineLevel="2" thickBot="1" x14ac:dyDescent="0.3">
      <c r="E615" s="27" t="s">
        <v>576</v>
      </c>
    </row>
    <row r="616" spans="5:6" ht="14.45" customHeight="1" outlineLevel="3" thickBot="1" x14ac:dyDescent="0.3">
      <c r="F616" s="28" t="s">
        <v>577</v>
      </c>
    </row>
    <row r="617" spans="5:6" ht="14.45" customHeight="1" outlineLevel="4" thickBot="1" x14ac:dyDescent="0.3"/>
    <row r="618" spans="5:6" ht="14.45" customHeight="1" outlineLevel="3" thickBot="1" x14ac:dyDescent="0.3">
      <c r="F618" s="28" t="s">
        <v>578</v>
      </c>
    </row>
    <row r="619" spans="5:6" ht="14.45" customHeight="1" outlineLevel="4" thickBot="1" x14ac:dyDescent="0.3"/>
    <row r="620" spans="5:6" ht="14.45" customHeight="1" outlineLevel="3" thickBot="1" x14ac:dyDescent="0.3">
      <c r="F620" s="28" t="s">
        <v>579</v>
      </c>
    </row>
    <row r="621" spans="5:6" ht="14.45" customHeight="1" outlineLevel="4" thickBot="1" x14ac:dyDescent="0.3"/>
    <row r="622" spans="5:6" ht="14.45" customHeight="1" outlineLevel="3" thickBot="1" x14ac:dyDescent="0.3">
      <c r="F622" s="28" t="s">
        <v>580</v>
      </c>
    </row>
    <row r="623" spans="5:6" ht="14.45" customHeight="1" outlineLevel="4" thickBot="1" x14ac:dyDescent="0.3"/>
    <row r="624" spans="5:6" ht="14.45" customHeight="1" outlineLevel="3" thickBot="1" x14ac:dyDescent="0.3">
      <c r="F624" s="28" t="s">
        <v>581</v>
      </c>
    </row>
    <row r="625" spans="5:6" ht="14.45" customHeight="1" outlineLevel="4" thickBot="1" x14ac:dyDescent="0.3"/>
    <row r="626" spans="5:6" ht="14.45" customHeight="1" outlineLevel="3" thickBot="1" x14ac:dyDescent="0.3"/>
    <row r="627" spans="5:6" ht="14.45" customHeight="1" outlineLevel="2" thickBot="1" x14ac:dyDescent="0.3">
      <c r="E627" s="27" t="s">
        <v>582</v>
      </c>
    </row>
    <row r="628" spans="5:6" ht="14.45" customHeight="1" outlineLevel="3" thickBot="1" x14ac:dyDescent="0.3">
      <c r="F628" s="28" t="s">
        <v>583</v>
      </c>
    </row>
    <row r="629" spans="5:6" ht="14.45" customHeight="1" outlineLevel="4" thickBot="1" x14ac:dyDescent="0.3"/>
    <row r="630" spans="5:6" ht="14.45" customHeight="1" outlineLevel="3" thickBot="1" x14ac:dyDescent="0.3">
      <c r="F630" s="28" t="s">
        <v>584</v>
      </c>
    </row>
    <row r="631" spans="5:6" ht="14.45" customHeight="1" outlineLevel="4" thickBot="1" x14ac:dyDescent="0.3"/>
    <row r="632" spans="5:6" ht="14.45" customHeight="1" outlineLevel="3" thickBot="1" x14ac:dyDescent="0.3"/>
    <row r="633" spans="5:6" ht="14.45" customHeight="1" outlineLevel="2" thickBot="1" x14ac:dyDescent="0.3">
      <c r="E633" s="27" t="s">
        <v>585</v>
      </c>
    </row>
    <row r="634" spans="5:6" ht="14.45" customHeight="1" outlineLevel="3" thickBot="1" x14ac:dyDescent="0.3">
      <c r="F634" s="28" t="s">
        <v>586</v>
      </c>
    </row>
    <row r="635" spans="5:6" ht="14.45" customHeight="1" outlineLevel="4" thickBot="1" x14ac:dyDescent="0.3"/>
    <row r="636" spans="5:6" ht="14.45" customHeight="1" outlineLevel="3" thickBot="1" x14ac:dyDescent="0.3">
      <c r="F636" s="28" t="s">
        <v>587</v>
      </c>
    </row>
    <row r="637" spans="5:6" ht="14.45" customHeight="1" outlineLevel="4" thickBot="1" x14ac:dyDescent="0.3"/>
    <row r="638" spans="5:6" ht="14.45" customHeight="1" outlineLevel="3" thickBot="1" x14ac:dyDescent="0.3">
      <c r="F638" s="28" t="s">
        <v>588</v>
      </c>
    </row>
    <row r="639" spans="5:6" ht="14.45" customHeight="1" outlineLevel="4" thickBot="1" x14ac:dyDescent="0.3"/>
    <row r="640" spans="5:6" ht="14.45" customHeight="1" outlineLevel="3" thickBot="1" x14ac:dyDescent="0.3"/>
    <row r="641" spans="3:5" ht="14.45" customHeight="1" outlineLevel="2" thickBot="1" x14ac:dyDescent="0.3"/>
    <row r="642" spans="3:5" ht="14.45" customHeight="1" outlineLevel="1" thickBot="1" x14ac:dyDescent="0.3"/>
    <row r="643" spans="3:5" ht="14.45" customHeight="1" thickBot="1" x14ac:dyDescent="0.3">
      <c r="C643" s="25" t="s">
        <v>589</v>
      </c>
      <c r="D643" s="25"/>
    </row>
    <row r="644" spans="3:5" ht="14.45" customHeight="1" outlineLevel="1" thickBot="1" x14ac:dyDescent="0.3">
      <c r="D644" s="26" t="s">
        <v>29</v>
      </c>
      <c r="E644" s="26"/>
    </row>
    <row r="645" spans="3:5" ht="14.45" customHeight="1" outlineLevel="2" thickBot="1" x14ac:dyDescent="0.3">
      <c r="E645" s="27" t="s">
        <v>248</v>
      </c>
    </row>
    <row r="646" spans="3:5" ht="14.45" customHeight="1" outlineLevel="4" thickBot="1" x14ac:dyDescent="0.3"/>
    <row r="647" spans="3:5" ht="14.45" customHeight="1" outlineLevel="3" thickBot="1" x14ac:dyDescent="0.3"/>
    <row r="648" spans="3:5" ht="14.45" customHeight="1" outlineLevel="2" thickBot="1" x14ac:dyDescent="0.3">
      <c r="E648" s="27" t="s">
        <v>590</v>
      </c>
    </row>
    <row r="649" spans="3:5" ht="14.45" customHeight="1" outlineLevel="4" thickBot="1" x14ac:dyDescent="0.3"/>
    <row r="650" spans="3:5" ht="14.45" customHeight="1" outlineLevel="3" thickBot="1" x14ac:dyDescent="0.3"/>
    <row r="651" spans="3:5" ht="14.45" customHeight="1" outlineLevel="2" thickBot="1" x14ac:dyDescent="0.3">
      <c r="E651" s="27" t="s">
        <v>591</v>
      </c>
    </row>
    <row r="652" spans="3:5" ht="14.45" customHeight="1" outlineLevel="4" thickBot="1" x14ac:dyDescent="0.3"/>
    <row r="653" spans="3:5" ht="14.45" customHeight="1" outlineLevel="3" thickBot="1" x14ac:dyDescent="0.3"/>
    <row r="654" spans="3:5" ht="14.45" customHeight="1" outlineLevel="2" thickBot="1" x14ac:dyDescent="0.3"/>
    <row r="655" spans="3:5" ht="14.45" customHeight="1" outlineLevel="1" thickBot="1" x14ac:dyDescent="0.3">
      <c r="D655" s="26" t="s">
        <v>30</v>
      </c>
      <c r="E655" s="26"/>
    </row>
    <row r="656" spans="3:5" ht="14.45" customHeight="1" outlineLevel="2" thickBot="1" x14ac:dyDescent="0.3">
      <c r="E656" s="27" t="s">
        <v>592</v>
      </c>
    </row>
    <row r="657" spans="5:7" ht="14.45" customHeight="1" outlineLevel="4" thickBot="1" x14ac:dyDescent="0.3"/>
    <row r="658" spans="5:7" ht="14.45" customHeight="1" outlineLevel="3" thickBot="1" x14ac:dyDescent="0.3"/>
    <row r="659" spans="5:7" ht="14.45" customHeight="1" outlineLevel="2" thickBot="1" x14ac:dyDescent="0.3">
      <c r="E659" s="27" t="s">
        <v>593</v>
      </c>
    </row>
    <row r="660" spans="5:7" ht="14.45" customHeight="1" outlineLevel="3" thickBot="1" x14ac:dyDescent="0.3">
      <c r="F660" s="28" t="s">
        <v>594</v>
      </c>
    </row>
    <row r="661" spans="5:7" ht="14.45" customHeight="1" outlineLevel="4" thickBot="1" x14ac:dyDescent="0.3"/>
    <row r="662" spans="5:7" ht="14.45" customHeight="1" outlineLevel="3" thickBot="1" x14ac:dyDescent="0.3">
      <c r="F662" s="28" t="s">
        <v>595</v>
      </c>
    </row>
    <row r="663" spans="5:7" ht="14.45" customHeight="1" outlineLevel="4" thickBot="1" x14ac:dyDescent="0.3"/>
    <row r="664" spans="5:7" ht="14.45" customHeight="1" outlineLevel="3" thickBot="1" x14ac:dyDescent="0.3">
      <c r="F664" s="28" t="s">
        <v>596</v>
      </c>
    </row>
    <row r="665" spans="5:7" ht="14.45" customHeight="1" outlineLevel="4" thickBot="1" x14ac:dyDescent="0.3">
      <c r="G665" s="7" t="s">
        <v>597</v>
      </c>
    </row>
    <row r="666" spans="5:7" ht="14.45" customHeight="1" outlineLevel="4" thickBot="1" x14ac:dyDescent="0.3">
      <c r="G666" s="7" t="s">
        <v>598</v>
      </c>
    </row>
    <row r="667" spans="5:7" ht="14.45" customHeight="1" outlineLevel="4" thickBot="1" x14ac:dyDescent="0.3">
      <c r="G667" s="7" t="s">
        <v>599</v>
      </c>
    </row>
    <row r="668" spans="5:7" ht="14.45" customHeight="1" outlineLevel="3" thickBot="1" x14ac:dyDescent="0.3">
      <c r="F668" s="28" t="s">
        <v>600</v>
      </c>
    </row>
    <row r="669" spans="5:7" ht="14.45" customHeight="1" outlineLevel="4" thickBot="1" x14ac:dyDescent="0.3">
      <c r="G669" s="7" t="s">
        <v>597</v>
      </c>
    </row>
    <row r="670" spans="5:7" ht="14.45" customHeight="1" outlineLevel="4" thickBot="1" x14ac:dyDescent="0.3">
      <c r="G670" s="7" t="s">
        <v>601</v>
      </c>
    </row>
    <row r="671" spans="5:7" ht="14.45" customHeight="1" outlineLevel="3" thickBot="1" x14ac:dyDescent="0.3">
      <c r="F671" s="28" t="s">
        <v>602</v>
      </c>
    </row>
    <row r="672" spans="5:7" ht="14.45" customHeight="1" outlineLevel="4" thickBot="1" x14ac:dyDescent="0.3"/>
    <row r="673" spans="5:7" ht="14.45" customHeight="1" outlineLevel="3" thickBot="1" x14ac:dyDescent="0.3"/>
    <row r="674" spans="5:7" ht="14.45" customHeight="1" outlineLevel="2" thickBot="1" x14ac:dyDescent="0.3">
      <c r="E674" s="27" t="s">
        <v>603</v>
      </c>
    </row>
    <row r="675" spans="5:7" ht="14.45" customHeight="1" outlineLevel="3" thickBot="1" x14ac:dyDescent="0.3">
      <c r="F675" s="28" t="s">
        <v>292</v>
      </c>
    </row>
    <row r="676" spans="5:7" ht="14.45" customHeight="1" outlineLevel="4" thickBot="1" x14ac:dyDescent="0.3"/>
    <row r="677" spans="5:7" ht="14.45" customHeight="1" outlineLevel="3" thickBot="1" x14ac:dyDescent="0.3">
      <c r="F677" s="28" t="s">
        <v>604</v>
      </c>
    </row>
    <row r="678" spans="5:7" ht="14.45" customHeight="1" outlineLevel="4" thickBot="1" x14ac:dyDescent="0.3">
      <c r="G678" s="7" t="s">
        <v>605</v>
      </c>
    </row>
    <row r="679" spans="5:7" ht="14.45" customHeight="1" outlineLevel="4" thickBot="1" x14ac:dyDescent="0.3">
      <c r="G679" s="7" t="s">
        <v>606</v>
      </c>
    </row>
    <row r="680" spans="5:7" ht="14.45" customHeight="1" outlineLevel="4" thickBot="1" x14ac:dyDescent="0.3">
      <c r="G680" s="7" t="s">
        <v>607</v>
      </c>
    </row>
    <row r="681" spans="5:7" ht="14.45" customHeight="1" outlineLevel="3" thickBot="1" x14ac:dyDescent="0.3">
      <c r="F681" s="28" t="s">
        <v>608</v>
      </c>
    </row>
    <row r="682" spans="5:7" ht="14.45" customHeight="1" outlineLevel="4" thickBot="1" x14ac:dyDescent="0.3">
      <c r="G682" s="7" t="s">
        <v>609</v>
      </c>
    </row>
    <row r="683" spans="5:7" ht="14.45" customHeight="1" outlineLevel="4" thickBot="1" x14ac:dyDescent="0.3">
      <c r="G683" s="7" t="s">
        <v>610</v>
      </c>
    </row>
    <row r="684" spans="5:7" ht="14.45" customHeight="1" outlineLevel="3" thickBot="1" x14ac:dyDescent="0.3">
      <c r="F684" s="28" t="s">
        <v>611</v>
      </c>
    </row>
    <row r="685" spans="5:7" ht="14.45" customHeight="1" outlineLevel="4" thickBot="1" x14ac:dyDescent="0.3">
      <c r="G685" s="7" t="s">
        <v>612</v>
      </c>
    </row>
    <row r="686" spans="5:7" ht="14.45" customHeight="1" outlineLevel="4" thickBot="1" x14ac:dyDescent="0.3">
      <c r="G686" s="7" t="s">
        <v>613</v>
      </c>
    </row>
    <row r="687" spans="5:7" ht="14.45" customHeight="1" outlineLevel="3" thickBot="1" x14ac:dyDescent="0.3">
      <c r="F687" s="28" t="s">
        <v>614</v>
      </c>
    </row>
    <row r="688" spans="5:7" ht="14.45" customHeight="1" outlineLevel="4" thickBot="1" x14ac:dyDescent="0.3">
      <c r="G688" s="7" t="s">
        <v>615</v>
      </c>
    </row>
    <row r="689" spans="5:7" ht="14.45" customHeight="1" outlineLevel="4" thickBot="1" x14ac:dyDescent="0.3">
      <c r="G689" s="7" t="s">
        <v>616</v>
      </c>
    </row>
    <row r="690" spans="5:7" ht="14.45" customHeight="1" outlineLevel="3" thickBot="1" x14ac:dyDescent="0.3">
      <c r="F690" s="28" t="s">
        <v>617</v>
      </c>
    </row>
    <row r="691" spans="5:7" ht="14.45" customHeight="1" outlineLevel="4" thickBot="1" x14ac:dyDescent="0.3">
      <c r="G691" s="7" t="s">
        <v>618</v>
      </c>
    </row>
    <row r="692" spans="5:7" ht="14.45" customHeight="1" outlineLevel="4" thickBot="1" x14ac:dyDescent="0.3">
      <c r="G692" s="7" t="s">
        <v>619</v>
      </c>
    </row>
    <row r="693" spans="5:7" ht="14.45" customHeight="1" outlineLevel="4" thickBot="1" x14ac:dyDescent="0.3">
      <c r="G693" s="7" t="s">
        <v>620</v>
      </c>
    </row>
    <row r="694" spans="5:7" ht="14.45" customHeight="1" outlineLevel="4" thickBot="1" x14ac:dyDescent="0.3">
      <c r="G694" s="7" t="s">
        <v>621</v>
      </c>
    </row>
    <row r="695" spans="5:7" ht="14.45" customHeight="1" outlineLevel="4" thickBot="1" x14ac:dyDescent="0.3">
      <c r="G695" s="7" t="s">
        <v>622</v>
      </c>
    </row>
    <row r="696" spans="5:7" ht="14.45" customHeight="1" outlineLevel="4" thickBot="1" x14ac:dyDescent="0.3">
      <c r="G696" s="7" t="s">
        <v>623</v>
      </c>
    </row>
    <row r="697" spans="5:7" ht="14.45" customHeight="1" outlineLevel="3" thickBot="1" x14ac:dyDescent="0.3"/>
    <row r="698" spans="5:7" ht="14.45" customHeight="1" outlineLevel="2" thickBot="1" x14ac:dyDescent="0.3">
      <c r="E698" s="27" t="s">
        <v>624</v>
      </c>
    </row>
    <row r="699" spans="5:7" ht="14.45" customHeight="1" outlineLevel="3" thickBot="1" x14ac:dyDescent="0.3">
      <c r="F699" s="28" t="s">
        <v>625</v>
      </c>
    </row>
    <row r="700" spans="5:7" ht="14.45" customHeight="1" outlineLevel="4" thickBot="1" x14ac:dyDescent="0.3"/>
    <row r="701" spans="5:7" ht="14.45" customHeight="1" outlineLevel="3" thickBot="1" x14ac:dyDescent="0.3">
      <c r="F701" s="28" t="s">
        <v>626</v>
      </c>
    </row>
    <row r="702" spans="5:7" ht="14.45" customHeight="1" outlineLevel="4" thickBot="1" x14ac:dyDescent="0.3">
      <c r="G702" s="7" t="s">
        <v>627</v>
      </c>
    </row>
    <row r="703" spans="5:7" ht="14.45" customHeight="1" outlineLevel="4" thickBot="1" x14ac:dyDescent="0.3">
      <c r="G703" s="7" t="s">
        <v>628</v>
      </c>
    </row>
    <row r="704" spans="5:7" ht="14.45" customHeight="1" outlineLevel="4" thickBot="1" x14ac:dyDescent="0.3">
      <c r="G704" s="7" t="s">
        <v>629</v>
      </c>
    </row>
    <row r="705" spans="4:7" ht="14.45" customHeight="1" outlineLevel="3" thickBot="1" x14ac:dyDescent="0.3">
      <c r="F705" s="28" t="s">
        <v>630</v>
      </c>
    </row>
    <row r="706" spans="4:7" ht="14.45" customHeight="1" outlineLevel="4" thickBot="1" x14ac:dyDescent="0.3"/>
    <row r="707" spans="4:7" ht="14.45" customHeight="1" outlineLevel="3" thickBot="1" x14ac:dyDescent="0.3"/>
    <row r="708" spans="4:7" ht="14.45" customHeight="1" outlineLevel="2" thickBot="1" x14ac:dyDescent="0.3"/>
    <row r="709" spans="4:7" ht="14.45" customHeight="1" outlineLevel="1" thickBot="1" x14ac:dyDescent="0.3">
      <c r="D709" s="26" t="s">
        <v>31</v>
      </c>
      <c r="E709" s="26"/>
    </row>
    <row r="710" spans="4:7" ht="14.45" customHeight="1" outlineLevel="2" thickBot="1" x14ac:dyDescent="0.3">
      <c r="E710" s="27" t="s">
        <v>631</v>
      </c>
    </row>
    <row r="711" spans="4:7" ht="14.45" customHeight="1" outlineLevel="3" thickBot="1" x14ac:dyDescent="0.3">
      <c r="F711" s="28" t="s">
        <v>292</v>
      </c>
    </row>
    <row r="712" spans="4:7" ht="14.45" customHeight="1" outlineLevel="4" thickBot="1" x14ac:dyDescent="0.3"/>
    <row r="713" spans="4:7" ht="14.45" customHeight="1" outlineLevel="3" thickBot="1" x14ac:dyDescent="0.3">
      <c r="F713" s="28" t="s">
        <v>632</v>
      </c>
    </row>
    <row r="714" spans="4:7" ht="14.45" customHeight="1" outlineLevel="4" thickBot="1" x14ac:dyDescent="0.3"/>
    <row r="715" spans="4:7" ht="14.45" customHeight="1" outlineLevel="3" thickBot="1" x14ac:dyDescent="0.3">
      <c r="F715" s="28" t="s">
        <v>633</v>
      </c>
    </row>
    <row r="716" spans="4:7" ht="14.45" customHeight="1" outlineLevel="4" thickBot="1" x14ac:dyDescent="0.3"/>
    <row r="717" spans="4:7" ht="14.45" customHeight="1" outlineLevel="3" thickBot="1" x14ac:dyDescent="0.3">
      <c r="F717" s="28" t="s">
        <v>634</v>
      </c>
    </row>
    <row r="718" spans="4:7" ht="14.45" customHeight="1" outlineLevel="4" thickBot="1" x14ac:dyDescent="0.3"/>
    <row r="719" spans="4:7" ht="14.45" customHeight="1" outlineLevel="3" thickBot="1" x14ac:dyDescent="0.3">
      <c r="F719" s="28" t="s">
        <v>635</v>
      </c>
    </row>
    <row r="720" spans="4:7" ht="14.45" customHeight="1" outlineLevel="4" thickBot="1" x14ac:dyDescent="0.3">
      <c r="G720" s="7" t="s">
        <v>636</v>
      </c>
    </row>
    <row r="721" spans="4:7" ht="14.45" customHeight="1" outlineLevel="4" thickBot="1" x14ac:dyDescent="0.3">
      <c r="G721" s="7" t="s">
        <v>637</v>
      </c>
    </row>
    <row r="722" spans="4:7" ht="14.45" customHeight="1" outlineLevel="3" thickBot="1" x14ac:dyDescent="0.3"/>
    <row r="723" spans="4:7" ht="14.45" customHeight="1" outlineLevel="2" thickBot="1" x14ac:dyDescent="0.3">
      <c r="E723" s="27" t="s">
        <v>638</v>
      </c>
    </row>
    <row r="724" spans="4:7" ht="14.45" customHeight="1" outlineLevel="3" thickBot="1" x14ac:dyDescent="0.3">
      <c r="F724" s="28" t="s">
        <v>292</v>
      </c>
    </row>
    <row r="725" spans="4:7" ht="14.45" customHeight="1" outlineLevel="4" thickBot="1" x14ac:dyDescent="0.3"/>
    <row r="726" spans="4:7" ht="14.45" customHeight="1" outlineLevel="3" thickBot="1" x14ac:dyDescent="0.3">
      <c r="F726" s="28" t="s">
        <v>639</v>
      </c>
    </row>
    <row r="727" spans="4:7" ht="14.45" customHeight="1" outlineLevel="4" thickBot="1" x14ac:dyDescent="0.3"/>
    <row r="728" spans="4:7" ht="14.45" customHeight="1" outlineLevel="3" thickBot="1" x14ac:dyDescent="0.3">
      <c r="F728" s="28" t="s">
        <v>640</v>
      </c>
    </row>
    <row r="729" spans="4:7" ht="14.45" customHeight="1" outlineLevel="4" thickBot="1" x14ac:dyDescent="0.3">
      <c r="G729" s="7" t="s">
        <v>641</v>
      </c>
    </row>
    <row r="730" spans="4:7" ht="14.45" customHeight="1" outlineLevel="4" thickBot="1" x14ac:dyDescent="0.3">
      <c r="G730" s="7" t="s">
        <v>642</v>
      </c>
    </row>
    <row r="731" spans="4:7" ht="14.45" customHeight="1" outlineLevel="3" thickBot="1" x14ac:dyDescent="0.3"/>
    <row r="732" spans="4:7" ht="14.45" customHeight="1" outlineLevel="2" thickBot="1" x14ac:dyDescent="0.3"/>
    <row r="733" spans="4:7" ht="14.45" customHeight="1" outlineLevel="1" thickBot="1" x14ac:dyDescent="0.3">
      <c r="D733" s="26" t="s">
        <v>32</v>
      </c>
      <c r="E733" s="26"/>
    </row>
    <row r="734" spans="4:7" ht="14.45" customHeight="1" outlineLevel="2" thickBot="1" x14ac:dyDescent="0.3">
      <c r="E734" s="27" t="s">
        <v>643</v>
      </c>
    </row>
    <row r="735" spans="4:7" ht="14.45" customHeight="1" outlineLevel="3" thickBot="1" x14ac:dyDescent="0.3">
      <c r="F735" s="28" t="s">
        <v>644</v>
      </c>
    </row>
    <row r="736" spans="4:7" ht="14.45" customHeight="1" outlineLevel="4" thickBot="1" x14ac:dyDescent="0.3">
      <c r="G736" s="7" t="s">
        <v>339</v>
      </c>
    </row>
    <row r="737" spans="6:7" ht="14.45" customHeight="1" outlineLevel="4" thickBot="1" x14ac:dyDescent="0.3">
      <c r="G737" s="7" t="s">
        <v>645</v>
      </c>
    </row>
    <row r="738" spans="6:7" ht="14.45" customHeight="1" outlineLevel="3" thickBot="1" x14ac:dyDescent="0.3">
      <c r="F738" s="28" t="s">
        <v>646</v>
      </c>
    </row>
    <row r="739" spans="6:7" ht="14.45" customHeight="1" outlineLevel="4" thickBot="1" x14ac:dyDescent="0.3">
      <c r="G739" s="7" t="s">
        <v>339</v>
      </c>
    </row>
    <row r="740" spans="6:7" ht="14.45" customHeight="1" outlineLevel="4" thickBot="1" x14ac:dyDescent="0.3">
      <c r="G740" s="7" t="s">
        <v>647</v>
      </c>
    </row>
    <row r="741" spans="6:7" ht="14.45" customHeight="1" outlineLevel="3" thickBot="1" x14ac:dyDescent="0.3">
      <c r="F741" s="28" t="s">
        <v>648</v>
      </c>
    </row>
    <row r="742" spans="6:7" ht="14.45" customHeight="1" outlineLevel="4" thickBot="1" x14ac:dyDescent="0.3">
      <c r="G742" s="7" t="s">
        <v>339</v>
      </c>
    </row>
    <row r="743" spans="6:7" ht="14.45" customHeight="1" outlineLevel="4" thickBot="1" x14ac:dyDescent="0.3">
      <c r="G743" s="7" t="s">
        <v>649</v>
      </c>
    </row>
    <row r="744" spans="6:7" ht="14.45" customHeight="1" outlineLevel="3" thickBot="1" x14ac:dyDescent="0.3">
      <c r="F744" s="28" t="s">
        <v>650</v>
      </c>
    </row>
    <row r="745" spans="6:7" ht="14.45" customHeight="1" outlineLevel="4" thickBot="1" x14ac:dyDescent="0.3">
      <c r="G745" s="7" t="s">
        <v>651</v>
      </c>
    </row>
    <row r="746" spans="6:7" ht="14.45" customHeight="1" outlineLevel="4" thickBot="1" x14ac:dyDescent="0.3">
      <c r="G746" s="7" t="s">
        <v>652</v>
      </c>
    </row>
    <row r="747" spans="6:7" ht="14.45" customHeight="1" outlineLevel="4" thickBot="1" x14ac:dyDescent="0.3">
      <c r="G747" s="7" t="s">
        <v>653</v>
      </c>
    </row>
    <row r="748" spans="6:7" ht="14.45" customHeight="1" outlineLevel="3" thickBot="1" x14ac:dyDescent="0.3">
      <c r="F748" s="28" t="s">
        <v>654</v>
      </c>
    </row>
    <row r="749" spans="6:7" ht="14.45" customHeight="1" outlineLevel="4" thickBot="1" x14ac:dyDescent="0.3">
      <c r="G749" s="7" t="s">
        <v>655</v>
      </c>
    </row>
    <row r="750" spans="6:7" ht="14.45" customHeight="1" outlineLevel="4" thickBot="1" x14ac:dyDescent="0.3">
      <c r="G750" s="7" t="s">
        <v>656</v>
      </c>
    </row>
    <row r="751" spans="6:7" ht="14.45" customHeight="1" outlineLevel="4" thickBot="1" x14ac:dyDescent="0.3">
      <c r="G751" s="7" t="s">
        <v>657</v>
      </c>
    </row>
    <row r="752" spans="6:7" ht="14.45" customHeight="1" outlineLevel="4" thickBot="1" x14ac:dyDescent="0.3">
      <c r="G752" s="7" t="s">
        <v>658</v>
      </c>
    </row>
    <row r="753" spans="5:7" ht="14.45" customHeight="1" outlineLevel="3" thickBot="1" x14ac:dyDescent="0.3">
      <c r="F753" s="28" t="s">
        <v>659</v>
      </c>
    </row>
    <row r="754" spans="5:7" ht="14.45" customHeight="1" outlineLevel="4" thickBot="1" x14ac:dyDescent="0.3">
      <c r="G754" s="7" t="s">
        <v>339</v>
      </c>
    </row>
    <row r="755" spans="5:7" ht="14.45" customHeight="1" outlineLevel="4" thickBot="1" x14ac:dyDescent="0.3">
      <c r="G755" s="7" t="s">
        <v>324</v>
      </c>
    </row>
    <row r="756" spans="5:7" ht="14.45" customHeight="1" outlineLevel="4" thickBot="1" x14ac:dyDescent="0.3">
      <c r="G756" s="7" t="s">
        <v>325</v>
      </c>
    </row>
    <row r="757" spans="5:7" ht="14.45" customHeight="1" outlineLevel="4" thickBot="1" x14ac:dyDescent="0.3">
      <c r="G757" s="7" t="s">
        <v>326</v>
      </c>
    </row>
    <row r="758" spans="5:7" ht="14.45" customHeight="1" outlineLevel="3" thickBot="1" x14ac:dyDescent="0.3">
      <c r="F758" s="28" t="s">
        <v>660</v>
      </c>
    </row>
    <row r="759" spans="5:7" ht="14.45" customHeight="1" outlineLevel="4" thickBot="1" x14ac:dyDescent="0.3">
      <c r="G759" s="7" t="s">
        <v>323</v>
      </c>
    </row>
    <row r="760" spans="5:7" ht="14.45" customHeight="1" outlineLevel="4" thickBot="1" x14ac:dyDescent="0.3">
      <c r="G760" s="7" t="s">
        <v>661</v>
      </c>
    </row>
    <row r="761" spans="5:7" ht="14.45" customHeight="1" outlineLevel="3" thickBot="1" x14ac:dyDescent="0.3"/>
    <row r="762" spans="5:7" ht="14.45" customHeight="1" outlineLevel="2" thickBot="1" x14ac:dyDescent="0.3">
      <c r="E762" s="27" t="s">
        <v>662</v>
      </c>
    </row>
    <row r="763" spans="5:7" ht="14.45" customHeight="1" outlineLevel="3" thickBot="1" x14ac:dyDescent="0.3">
      <c r="F763" s="28" t="s">
        <v>663</v>
      </c>
    </row>
    <row r="764" spans="5:7" ht="14.45" customHeight="1" outlineLevel="4" thickBot="1" x14ac:dyDescent="0.3"/>
    <row r="765" spans="5:7" ht="14.45" customHeight="1" outlineLevel="3" thickBot="1" x14ac:dyDescent="0.3">
      <c r="F765" s="28" t="s">
        <v>664</v>
      </c>
    </row>
    <row r="766" spans="5:7" ht="14.45" customHeight="1" outlineLevel="4" thickBot="1" x14ac:dyDescent="0.3">
      <c r="G766" s="7" t="s">
        <v>665</v>
      </c>
    </row>
    <row r="767" spans="5:7" ht="14.45" customHeight="1" outlineLevel="4" thickBot="1" x14ac:dyDescent="0.3">
      <c r="G767" s="7" t="s">
        <v>666</v>
      </c>
    </row>
    <row r="768" spans="5:7" ht="14.45" customHeight="1" outlineLevel="4" thickBot="1" x14ac:dyDescent="0.3">
      <c r="G768" s="7" t="s">
        <v>667</v>
      </c>
    </row>
    <row r="769" spans="4:7" ht="14.45" customHeight="1" outlineLevel="4" thickBot="1" x14ac:dyDescent="0.3">
      <c r="G769" s="7" t="s">
        <v>668</v>
      </c>
    </row>
    <row r="770" spans="4:7" ht="14.45" customHeight="1" outlineLevel="4" thickBot="1" x14ac:dyDescent="0.3">
      <c r="G770" s="7" t="s">
        <v>669</v>
      </c>
    </row>
    <row r="771" spans="4:7" ht="14.45" customHeight="1" outlineLevel="3" thickBot="1" x14ac:dyDescent="0.3">
      <c r="F771" s="28" t="s">
        <v>670</v>
      </c>
    </row>
    <row r="772" spans="4:7" ht="14.45" customHeight="1" outlineLevel="4" thickBot="1" x14ac:dyDescent="0.3">
      <c r="G772" s="7" t="s">
        <v>671</v>
      </c>
    </row>
    <row r="773" spans="4:7" ht="14.45" customHeight="1" outlineLevel="4" thickBot="1" x14ac:dyDescent="0.3">
      <c r="G773" s="7" t="s">
        <v>672</v>
      </c>
    </row>
    <row r="774" spans="4:7" ht="14.45" customHeight="1" outlineLevel="4" thickBot="1" x14ac:dyDescent="0.3">
      <c r="G774" s="7" t="s">
        <v>673</v>
      </c>
    </row>
    <row r="775" spans="4:7" ht="14.45" customHeight="1" outlineLevel="3" thickBot="1" x14ac:dyDescent="0.3">
      <c r="F775" s="28" t="s">
        <v>674</v>
      </c>
    </row>
    <row r="776" spans="4:7" ht="14.45" customHeight="1" outlineLevel="4" thickBot="1" x14ac:dyDescent="0.3">
      <c r="G776" s="7" t="s">
        <v>675</v>
      </c>
    </row>
    <row r="777" spans="4:7" ht="14.45" customHeight="1" outlineLevel="4" thickBot="1" x14ac:dyDescent="0.3">
      <c r="G777" s="7" t="s">
        <v>676</v>
      </c>
    </row>
    <row r="778" spans="4:7" ht="14.45" customHeight="1" outlineLevel="3" thickBot="1" x14ac:dyDescent="0.3"/>
    <row r="779" spans="4:7" ht="14.45" customHeight="1" outlineLevel="2" thickBot="1" x14ac:dyDescent="0.3"/>
    <row r="780" spans="4:7" ht="14.45" customHeight="1" outlineLevel="1" thickBot="1" x14ac:dyDescent="0.3">
      <c r="D780" s="26" t="s">
        <v>33</v>
      </c>
      <c r="E780" s="26"/>
    </row>
    <row r="781" spans="4:7" ht="14.45" customHeight="1" outlineLevel="2" thickBot="1" x14ac:dyDescent="0.3">
      <c r="E781" s="27" t="s">
        <v>677</v>
      </c>
    </row>
    <row r="782" spans="4:7" ht="14.45" customHeight="1" outlineLevel="4" thickBot="1" x14ac:dyDescent="0.3"/>
    <row r="783" spans="4:7" ht="14.45" customHeight="1" outlineLevel="3" thickBot="1" x14ac:dyDescent="0.3"/>
    <row r="784" spans="4:7" ht="14.45" customHeight="1" outlineLevel="2" thickBot="1" x14ac:dyDescent="0.3">
      <c r="E784" s="27" t="s">
        <v>678</v>
      </c>
    </row>
    <row r="785" spans="4:6" ht="14.45" customHeight="1" outlineLevel="4" thickBot="1" x14ac:dyDescent="0.3"/>
    <row r="786" spans="4:6" ht="14.45" customHeight="1" outlineLevel="3" thickBot="1" x14ac:dyDescent="0.3"/>
    <row r="787" spans="4:6" ht="14.45" customHeight="1" outlineLevel="2" thickBot="1" x14ac:dyDescent="0.3">
      <c r="E787" s="27" t="s">
        <v>679</v>
      </c>
    </row>
    <row r="788" spans="4:6" ht="14.45" customHeight="1" outlineLevel="4" thickBot="1" x14ac:dyDescent="0.3"/>
    <row r="789" spans="4:6" ht="14.45" customHeight="1" outlineLevel="3" thickBot="1" x14ac:dyDescent="0.3"/>
    <row r="790" spans="4:6" ht="14.45" customHeight="1" outlineLevel="2" thickBot="1" x14ac:dyDescent="0.3"/>
    <row r="791" spans="4:6" ht="14.45" customHeight="1" outlineLevel="1" thickBot="1" x14ac:dyDescent="0.3">
      <c r="D791" s="26" t="s">
        <v>140</v>
      </c>
      <c r="E791" s="26"/>
    </row>
    <row r="792" spans="4:6" ht="14.45" customHeight="1" outlineLevel="2" thickBot="1" x14ac:dyDescent="0.3">
      <c r="E792" s="27" t="s">
        <v>680</v>
      </c>
    </row>
    <row r="793" spans="4:6" ht="14.45" customHeight="1" outlineLevel="3" thickBot="1" x14ac:dyDescent="0.3">
      <c r="F793" s="28" t="s">
        <v>681</v>
      </c>
    </row>
    <row r="794" spans="4:6" ht="14.45" customHeight="1" outlineLevel="4" thickBot="1" x14ac:dyDescent="0.3"/>
    <row r="795" spans="4:6" ht="14.45" customHeight="1" outlineLevel="3" thickBot="1" x14ac:dyDescent="0.3">
      <c r="F795" s="28" t="s">
        <v>682</v>
      </c>
    </row>
    <row r="796" spans="4:6" ht="14.45" customHeight="1" outlineLevel="4" thickBot="1" x14ac:dyDescent="0.3"/>
    <row r="797" spans="4:6" ht="14.45" customHeight="1" outlineLevel="3" thickBot="1" x14ac:dyDescent="0.3">
      <c r="F797" s="28" t="s">
        <v>683</v>
      </c>
    </row>
    <row r="798" spans="4:6" ht="14.45" customHeight="1" outlineLevel="4" thickBot="1" x14ac:dyDescent="0.3"/>
    <row r="799" spans="4:6" ht="14.45" customHeight="1" outlineLevel="3" thickBot="1" x14ac:dyDescent="0.3"/>
    <row r="800" spans="4:6" ht="14.45" customHeight="1" outlineLevel="2" thickBot="1" x14ac:dyDescent="0.3">
      <c r="E800" s="27" t="s">
        <v>684</v>
      </c>
    </row>
    <row r="801" spans="5:6" ht="14.45" customHeight="1" outlineLevel="3" thickBot="1" x14ac:dyDescent="0.3">
      <c r="F801" s="28" t="s">
        <v>685</v>
      </c>
    </row>
    <row r="802" spans="5:6" ht="14.45" customHeight="1" outlineLevel="4" thickBot="1" x14ac:dyDescent="0.3"/>
    <row r="803" spans="5:6" ht="14.45" customHeight="1" outlineLevel="3" thickBot="1" x14ac:dyDescent="0.3">
      <c r="F803" s="28" t="s">
        <v>686</v>
      </c>
    </row>
    <row r="804" spans="5:6" ht="14.45" customHeight="1" outlineLevel="4" thickBot="1" x14ac:dyDescent="0.3"/>
    <row r="805" spans="5:6" ht="14.45" customHeight="1" outlineLevel="3" thickBot="1" x14ac:dyDescent="0.3">
      <c r="F805" s="28" t="s">
        <v>687</v>
      </c>
    </row>
    <row r="806" spans="5:6" ht="14.45" customHeight="1" outlineLevel="4" thickBot="1" x14ac:dyDescent="0.3"/>
    <row r="807" spans="5:6" ht="14.45" customHeight="1" outlineLevel="3" thickBot="1" x14ac:dyDescent="0.3">
      <c r="F807" s="28" t="s">
        <v>688</v>
      </c>
    </row>
    <row r="808" spans="5:6" ht="14.45" customHeight="1" outlineLevel="4" thickBot="1" x14ac:dyDescent="0.3"/>
    <row r="809" spans="5:6" ht="14.45" customHeight="1" outlineLevel="3" thickBot="1" x14ac:dyDescent="0.3"/>
    <row r="810" spans="5:6" ht="14.45" customHeight="1" outlineLevel="2" thickBot="1" x14ac:dyDescent="0.3">
      <c r="E810" s="27" t="s">
        <v>689</v>
      </c>
    </row>
    <row r="811" spans="5:6" ht="14.45" customHeight="1" outlineLevel="3" thickBot="1" x14ac:dyDescent="0.3">
      <c r="F811" s="28" t="s">
        <v>292</v>
      </c>
    </row>
    <row r="812" spans="5:6" ht="14.45" customHeight="1" outlineLevel="4" thickBot="1" x14ac:dyDescent="0.3"/>
    <row r="813" spans="5:6" ht="14.45" customHeight="1" outlineLevel="3" thickBot="1" x14ac:dyDescent="0.3">
      <c r="F813" s="28" t="s">
        <v>690</v>
      </c>
    </row>
    <row r="814" spans="5:6" ht="14.45" customHeight="1" outlineLevel="4" thickBot="1" x14ac:dyDescent="0.3"/>
    <row r="815" spans="5:6" ht="14.45" customHeight="1" outlineLevel="3" thickBot="1" x14ac:dyDescent="0.3">
      <c r="F815" s="28" t="s">
        <v>691</v>
      </c>
    </row>
    <row r="816" spans="5:6" ht="14.45" customHeight="1" outlineLevel="4" thickBot="1" x14ac:dyDescent="0.3"/>
    <row r="817" spans="4:7" ht="14.45" customHeight="1" outlineLevel="3" thickBot="1" x14ac:dyDescent="0.3"/>
    <row r="818" spans="4:7" ht="14.45" customHeight="1" outlineLevel="2" thickBot="1" x14ac:dyDescent="0.3"/>
    <row r="819" spans="4:7" ht="14.45" customHeight="1" outlineLevel="1" thickBot="1" x14ac:dyDescent="0.3">
      <c r="D819" s="26" t="s">
        <v>34</v>
      </c>
      <c r="E819" s="26"/>
    </row>
    <row r="820" spans="4:7" ht="14.45" customHeight="1" outlineLevel="2" thickBot="1" x14ac:dyDescent="0.3">
      <c r="E820" s="27" t="s">
        <v>692</v>
      </c>
    </row>
    <row r="821" spans="4:7" ht="14.45" customHeight="1" outlineLevel="4" thickBot="1" x14ac:dyDescent="0.3"/>
    <row r="822" spans="4:7" ht="14.45" customHeight="1" outlineLevel="3" thickBot="1" x14ac:dyDescent="0.3"/>
    <row r="823" spans="4:7" ht="14.45" customHeight="1" outlineLevel="2" thickBot="1" x14ac:dyDescent="0.3">
      <c r="E823" s="27" t="s">
        <v>693</v>
      </c>
    </row>
    <row r="824" spans="4:7" ht="14.45" customHeight="1" outlineLevel="3" thickBot="1" x14ac:dyDescent="0.3">
      <c r="F824" s="28" t="s">
        <v>292</v>
      </c>
    </row>
    <row r="825" spans="4:7" ht="14.45" customHeight="1" outlineLevel="4" thickBot="1" x14ac:dyDescent="0.3"/>
    <row r="826" spans="4:7" ht="14.45" customHeight="1" outlineLevel="3" thickBot="1" x14ac:dyDescent="0.3">
      <c r="F826" s="28" t="s">
        <v>694</v>
      </c>
    </row>
    <row r="827" spans="4:7" ht="14.45" customHeight="1" outlineLevel="4" thickBot="1" x14ac:dyDescent="0.3"/>
    <row r="828" spans="4:7" ht="14.45" customHeight="1" outlineLevel="3" thickBot="1" x14ac:dyDescent="0.3">
      <c r="F828" s="28" t="s">
        <v>695</v>
      </c>
    </row>
    <row r="829" spans="4:7" ht="14.45" customHeight="1" outlineLevel="4" thickBot="1" x14ac:dyDescent="0.3">
      <c r="G829" s="7" t="s">
        <v>339</v>
      </c>
    </row>
    <row r="830" spans="4:7" ht="14.45" customHeight="1" outlineLevel="4" thickBot="1" x14ac:dyDescent="0.3">
      <c r="G830" s="7" t="s">
        <v>696</v>
      </c>
    </row>
    <row r="831" spans="4:7" ht="14.45" customHeight="1" outlineLevel="3" thickBot="1" x14ac:dyDescent="0.3"/>
    <row r="832" spans="4:7" ht="14.45" customHeight="1" outlineLevel="2" thickBot="1" x14ac:dyDescent="0.3">
      <c r="E832" s="27" t="s">
        <v>697</v>
      </c>
    </row>
    <row r="833" spans="6:7" ht="14.45" customHeight="1" outlineLevel="3" thickBot="1" x14ac:dyDescent="0.3">
      <c r="F833" s="28" t="s">
        <v>698</v>
      </c>
    </row>
    <row r="834" spans="6:7" ht="14.45" customHeight="1" outlineLevel="4" thickBot="1" x14ac:dyDescent="0.3"/>
    <row r="835" spans="6:7" ht="14.45" customHeight="1" outlineLevel="3" thickBot="1" x14ac:dyDescent="0.3">
      <c r="F835" s="28" t="s">
        <v>699</v>
      </c>
    </row>
    <row r="836" spans="6:7" ht="14.45" customHeight="1" outlineLevel="4" thickBot="1" x14ac:dyDescent="0.3">
      <c r="G836" s="7" t="s">
        <v>700</v>
      </c>
    </row>
    <row r="837" spans="6:7" ht="14.45" customHeight="1" outlineLevel="4" thickBot="1" x14ac:dyDescent="0.3">
      <c r="G837" s="7" t="s">
        <v>701</v>
      </c>
    </row>
    <row r="838" spans="6:7" ht="14.45" customHeight="1" outlineLevel="4" thickBot="1" x14ac:dyDescent="0.3">
      <c r="G838" s="7" t="s">
        <v>702</v>
      </c>
    </row>
    <row r="839" spans="6:7" ht="14.45" customHeight="1" outlineLevel="3" thickBot="1" x14ac:dyDescent="0.3">
      <c r="F839" s="28" t="s">
        <v>703</v>
      </c>
    </row>
    <row r="840" spans="6:7" ht="14.45" customHeight="1" outlineLevel="4" thickBot="1" x14ac:dyDescent="0.3">
      <c r="G840" s="7" t="s">
        <v>704</v>
      </c>
    </row>
    <row r="841" spans="6:7" ht="14.45" customHeight="1" outlineLevel="4" thickBot="1" x14ac:dyDescent="0.3">
      <c r="G841" s="7" t="s">
        <v>705</v>
      </c>
    </row>
    <row r="842" spans="6:7" ht="14.45" customHeight="1" outlineLevel="4" thickBot="1" x14ac:dyDescent="0.3">
      <c r="G842" s="7" t="s">
        <v>706</v>
      </c>
    </row>
    <row r="843" spans="6:7" ht="14.45" customHeight="1" outlineLevel="3" thickBot="1" x14ac:dyDescent="0.3">
      <c r="F843" s="28" t="s">
        <v>707</v>
      </c>
    </row>
    <row r="844" spans="6:7" ht="14.45" customHeight="1" outlineLevel="4" thickBot="1" x14ac:dyDescent="0.3">
      <c r="G844" s="7" t="s">
        <v>708</v>
      </c>
    </row>
    <row r="845" spans="6:7" ht="14.45" customHeight="1" outlineLevel="4" thickBot="1" x14ac:dyDescent="0.3">
      <c r="G845" s="7" t="s">
        <v>709</v>
      </c>
    </row>
    <row r="846" spans="6:7" ht="14.45" customHeight="1" outlineLevel="3" thickBot="1" x14ac:dyDescent="0.3">
      <c r="F846" s="28" t="s">
        <v>710</v>
      </c>
    </row>
    <row r="847" spans="6:7" ht="14.45" customHeight="1" outlineLevel="4" thickBot="1" x14ac:dyDescent="0.3">
      <c r="G847" s="7" t="s">
        <v>711</v>
      </c>
    </row>
    <row r="848" spans="6:7" ht="14.45" customHeight="1" outlineLevel="4" thickBot="1" x14ac:dyDescent="0.3">
      <c r="G848" s="7" t="s">
        <v>712</v>
      </c>
    </row>
    <row r="849" spans="5:7" ht="14.45" customHeight="1" outlineLevel="3" thickBot="1" x14ac:dyDescent="0.3"/>
    <row r="850" spans="5:7" ht="14.45" customHeight="1" outlineLevel="2" thickBot="1" x14ac:dyDescent="0.3">
      <c r="E850" s="27" t="s">
        <v>713</v>
      </c>
    </row>
    <row r="851" spans="5:7" ht="14.45" customHeight="1" outlineLevel="3" thickBot="1" x14ac:dyDescent="0.3">
      <c r="F851" s="28" t="s">
        <v>292</v>
      </c>
    </row>
    <row r="852" spans="5:7" ht="14.45" customHeight="1" outlineLevel="4" thickBot="1" x14ac:dyDescent="0.3"/>
    <row r="853" spans="5:7" ht="14.45" customHeight="1" outlineLevel="3" thickBot="1" x14ac:dyDescent="0.3">
      <c r="F853" s="28" t="s">
        <v>714</v>
      </c>
    </row>
    <row r="854" spans="5:7" ht="14.45" customHeight="1" outlineLevel="4" thickBot="1" x14ac:dyDescent="0.3">
      <c r="G854" s="7" t="s">
        <v>715</v>
      </c>
    </row>
    <row r="855" spans="5:7" ht="14.45" customHeight="1" outlineLevel="4" thickBot="1" x14ac:dyDescent="0.3">
      <c r="G855" s="7" t="s">
        <v>716</v>
      </c>
    </row>
    <row r="856" spans="5:7" ht="14.45" customHeight="1" outlineLevel="4" thickBot="1" x14ac:dyDescent="0.3">
      <c r="G856" s="7" t="s">
        <v>717</v>
      </c>
    </row>
    <row r="857" spans="5:7" ht="14.45" customHeight="1" outlineLevel="3" thickBot="1" x14ac:dyDescent="0.3">
      <c r="F857" s="28" t="s">
        <v>718</v>
      </c>
    </row>
    <row r="858" spans="5:7" ht="14.45" customHeight="1" outlineLevel="4" thickBot="1" x14ac:dyDescent="0.3"/>
    <row r="859" spans="5:7" ht="14.45" customHeight="1" outlineLevel="3" thickBot="1" x14ac:dyDescent="0.3">
      <c r="F859" s="28" t="s">
        <v>719</v>
      </c>
    </row>
    <row r="860" spans="5:7" ht="14.45" customHeight="1" outlineLevel="4" thickBot="1" x14ac:dyDescent="0.3">
      <c r="G860" s="7" t="s">
        <v>720</v>
      </c>
    </row>
    <row r="861" spans="5:7" ht="14.45" customHeight="1" outlineLevel="4" thickBot="1" x14ac:dyDescent="0.3">
      <c r="G861" s="7" t="s">
        <v>721</v>
      </c>
    </row>
    <row r="862" spans="5:7" ht="14.45" customHeight="1" outlineLevel="4" thickBot="1" x14ac:dyDescent="0.3">
      <c r="G862" s="7" t="s">
        <v>722</v>
      </c>
    </row>
    <row r="863" spans="5:7" ht="14.45" customHeight="1" outlineLevel="4" thickBot="1" x14ac:dyDescent="0.3">
      <c r="G863" s="7" t="s">
        <v>723</v>
      </c>
    </row>
    <row r="864" spans="5:7" ht="14.45" customHeight="1" outlineLevel="3" thickBot="1" x14ac:dyDescent="0.3">
      <c r="F864" s="28" t="s">
        <v>724</v>
      </c>
    </row>
    <row r="865" spans="4:7" ht="14.45" customHeight="1" outlineLevel="4" thickBot="1" x14ac:dyDescent="0.3">
      <c r="G865" s="7" t="s">
        <v>725</v>
      </c>
    </row>
    <row r="866" spans="4:7" ht="14.45" customHeight="1" outlineLevel="4" thickBot="1" x14ac:dyDescent="0.3">
      <c r="G866" s="7" t="s">
        <v>726</v>
      </c>
    </row>
    <row r="867" spans="4:7" ht="14.45" customHeight="1" outlineLevel="4" thickBot="1" x14ac:dyDescent="0.3">
      <c r="G867" s="7" t="s">
        <v>727</v>
      </c>
    </row>
    <row r="868" spans="4:7" ht="14.45" customHeight="1" outlineLevel="4" thickBot="1" x14ac:dyDescent="0.3">
      <c r="G868" s="7" t="s">
        <v>728</v>
      </c>
    </row>
    <row r="869" spans="4:7" ht="14.45" customHeight="1" outlineLevel="3" thickBot="1" x14ac:dyDescent="0.3">
      <c r="F869" s="28" t="s">
        <v>729</v>
      </c>
    </row>
    <row r="870" spans="4:7" ht="14.45" customHeight="1" outlineLevel="4" thickBot="1" x14ac:dyDescent="0.3">
      <c r="G870" s="7" t="s">
        <v>730</v>
      </c>
    </row>
    <row r="871" spans="4:7" ht="14.45" customHeight="1" outlineLevel="4" thickBot="1" x14ac:dyDescent="0.3">
      <c r="G871" s="7" t="s">
        <v>676</v>
      </c>
    </row>
    <row r="872" spans="4:7" ht="14.45" customHeight="1" outlineLevel="3" thickBot="1" x14ac:dyDescent="0.3"/>
    <row r="873" spans="4:7" ht="14.45" customHeight="1" outlineLevel="2" thickBot="1" x14ac:dyDescent="0.3"/>
    <row r="874" spans="4:7" ht="14.45" customHeight="1" outlineLevel="1" thickBot="1" x14ac:dyDescent="0.3">
      <c r="D874" s="26" t="s">
        <v>35</v>
      </c>
      <c r="E874" s="26"/>
    </row>
    <row r="875" spans="4:7" ht="14.45" customHeight="1" outlineLevel="2" thickBot="1" x14ac:dyDescent="0.3">
      <c r="E875" s="27" t="s">
        <v>731</v>
      </c>
    </row>
    <row r="876" spans="4:7" ht="14.45" customHeight="1" outlineLevel="4" thickBot="1" x14ac:dyDescent="0.3"/>
    <row r="877" spans="4:7" ht="14.45" customHeight="1" outlineLevel="3" thickBot="1" x14ac:dyDescent="0.3"/>
    <row r="878" spans="4:7" ht="14.45" customHeight="1" outlineLevel="2" thickBot="1" x14ac:dyDescent="0.3">
      <c r="E878" s="27" t="s">
        <v>732</v>
      </c>
    </row>
    <row r="879" spans="4:7" ht="14.45" customHeight="1" outlineLevel="3" thickBot="1" x14ac:dyDescent="0.3">
      <c r="F879" s="28" t="s">
        <v>292</v>
      </c>
    </row>
    <row r="880" spans="4:7" ht="14.45" customHeight="1" outlineLevel="4" thickBot="1" x14ac:dyDescent="0.3"/>
    <row r="881" spans="6:7" ht="14.45" customHeight="1" outlineLevel="3" thickBot="1" x14ac:dyDescent="0.3">
      <c r="F881" s="28" t="s">
        <v>733</v>
      </c>
    </row>
    <row r="882" spans="6:7" ht="14.45" customHeight="1" outlineLevel="4" thickBot="1" x14ac:dyDescent="0.3">
      <c r="G882" s="7" t="s">
        <v>734</v>
      </c>
    </row>
    <row r="883" spans="6:7" ht="14.45" customHeight="1" outlineLevel="4" thickBot="1" x14ac:dyDescent="0.3">
      <c r="G883" s="7" t="s">
        <v>735</v>
      </c>
    </row>
    <row r="884" spans="6:7" ht="14.45" customHeight="1" outlineLevel="4" thickBot="1" x14ac:dyDescent="0.3">
      <c r="G884" s="7" t="s">
        <v>736</v>
      </c>
    </row>
    <row r="885" spans="6:7" ht="14.45" customHeight="1" outlineLevel="4" thickBot="1" x14ac:dyDescent="0.3">
      <c r="G885" s="7" t="s">
        <v>737</v>
      </c>
    </row>
    <row r="886" spans="6:7" ht="14.45" customHeight="1" outlineLevel="3" thickBot="1" x14ac:dyDescent="0.3">
      <c r="F886" s="28" t="s">
        <v>738</v>
      </c>
    </row>
    <row r="887" spans="6:7" ht="14.45" customHeight="1" outlineLevel="4" thickBot="1" x14ac:dyDescent="0.3">
      <c r="G887" s="7" t="s">
        <v>739</v>
      </c>
    </row>
    <row r="888" spans="6:7" ht="14.45" customHeight="1" outlineLevel="4" thickBot="1" x14ac:dyDescent="0.3">
      <c r="G888" s="7" t="s">
        <v>740</v>
      </c>
    </row>
    <row r="889" spans="6:7" ht="14.45" customHeight="1" outlineLevel="4" thickBot="1" x14ac:dyDescent="0.3">
      <c r="G889" s="7" t="s">
        <v>741</v>
      </c>
    </row>
    <row r="890" spans="6:7" ht="14.45" customHeight="1" outlineLevel="3" thickBot="1" x14ac:dyDescent="0.3">
      <c r="F890" s="28" t="s">
        <v>742</v>
      </c>
    </row>
    <row r="891" spans="6:7" ht="14.45" customHeight="1" outlineLevel="4" thickBot="1" x14ac:dyDescent="0.3">
      <c r="G891" s="7" t="s">
        <v>743</v>
      </c>
    </row>
    <row r="892" spans="6:7" ht="14.45" customHeight="1" outlineLevel="4" thickBot="1" x14ac:dyDescent="0.3">
      <c r="G892" s="7" t="s">
        <v>744</v>
      </c>
    </row>
    <row r="893" spans="6:7" ht="14.45" customHeight="1" outlineLevel="3" thickBot="1" x14ac:dyDescent="0.3">
      <c r="F893" s="28" t="s">
        <v>745</v>
      </c>
    </row>
    <row r="894" spans="6:7" ht="14.45" customHeight="1" outlineLevel="4" thickBot="1" x14ac:dyDescent="0.3">
      <c r="G894" s="7" t="s">
        <v>746</v>
      </c>
    </row>
    <row r="895" spans="6:7" ht="14.45" customHeight="1" outlineLevel="4" thickBot="1" x14ac:dyDescent="0.3">
      <c r="G895" s="7" t="s">
        <v>747</v>
      </c>
    </row>
    <row r="896" spans="6:7" ht="14.45" customHeight="1" outlineLevel="3" thickBot="1" x14ac:dyDescent="0.3"/>
    <row r="897" spans="3:6" ht="14.45" customHeight="1" outlineLevel="2" thickBot="1" x14ac:dyDescent="0.3">
      <c r="E897" s="27" t="s">
        <v>748</v>
      </c>
    </row>
    <row r="898" spans="3:6" ht="14.45" customHeight="1" outlineLevel="4" thickBot="1" x14ac:dyDescent="0.3"/>
    <row r="899" spans="3:6" ht="14.45" customHeight="1" outlineLevel="3" thickBot="1" x14ac:dyDescent="0.3"/>
    <row r="900" spans="3:6" ht="14.45" customHeight="1" outlineLevel="2" thickBot="1" x14ac:dyDescent="0.3"/>
    <row r="901" spans="3:6" ht="14.45" customHeight="1" outlineLevel="1" thickBot="1" x14ac:dyDescent="0.3"/>
    <row r="902" spans="3:6" ht="14.45" customHeight="1" thickBot="1" x14ac:dyDescent="0.3">
      <c r="C902" s="25" t="s">
        <v>749</v>
      </c>
      <c r="D902" s="25"/>
    </row>
    <row r="903" spans="3:6" ht="14.45" customHeight="1" outlineLevel="1" thickBot="1" x14ac:dyDescent="0.3">
      <c r="D903" s="26" t="s">
        <v>36</v>
      </c>
      <c r="E903" s="26"/>
    </row>
    <row r="904" spans="3:6" ht="14.45" customHeight="1" outlineLevel="2" thickBot="1" x14ac:dyDescent="0.3">
      <c r="E904" s="27" t="s">
        <v>750</v>
      </c>
    </row>
    <row r="905" spans="3:6" ht="14.45" customHeight="1" outlineLevel="3" thickBot="1" x14ac:dyDescent="0.3">
      <c r="F905" s="28" t="s">
        <v>751</v>
      </c>
    </row>
    <row r="906" spans="3:6" ht="14.45" customHeight="1" outlineLevel="4" thickBot="1" x14ac:dyDescent="0.3"/>
    <row r="907" spans="3:6" ht="14.45" customHeight="1" outlineLevel="3" thickBot="1" x14ac:dyDescent="0.3">
      <c r="F907" s="28" t="s">
        <v>752</v>
      </c>
    </row>
    <row r="908" spans="3:6" ht="14.45" customHeight="1" outlineLevel="4" thickBot="1" x14ac:dyDescent="0.3"/>
    <row r="909" spans="3:6" ht="14.45" customHeight="1" outlineLevel="3" thickBot="1" x14ac:dyDescent="0.3"/>
    <row r="910" spans="3:6" ht="14.45" customHeight="1" outlineLevel="2" thickBot="1" x14ac:dyDescent="0.3">
      <c r="E910" s="27" t="s">
        <v>753</v>
      </c>
    </row>
    <row r="911" spans="3:6" ht="14.45" customHeight="1" outlineLevel="3" thickBot="1" x14ac:dyDescent="0.3">
      <c r="F911" s="28" t="s">
        <v>754</v>
      </c>
    </row>
    <row r="912" spans="3:6" ht="14.45" customHeight="1" outlineLevel="4" thickBot="1" x14ac:dyDescent="0.3"/>
    <row r="913" spans="5:6" ht="14.45" customHeight="1" outlineLevel="3" thickBot="1" x14ac:dyDescent="0.3">
      <c r="F913" s="28" t="s">
        <v>755</v>
      </c>
    </row>
    <row r="914" spans="5:6" ht="14.45" customHeight="1" outlineLevel="4" thickBot="1" x14ac:dyDescent="0.3"/>
    <row r="915" spans="5:6" ht="14.45" customHeight="1" outlineLevel="3" thickBot="1" x14ac:dyDescent="0.3"/>
    <row r="916" spans="5:6" ht="14.45" customHeight="1" outlineLevel="2" thickBot="1" x14ac:dyDescent="0.3">
      <c r="E916" s="27" t="s">
        <v>756</v>
      </c>
    </row>
    <row r="917" spans="5:6" ht="14.45" customHeight="1" outlineLevel="3" thickBot="1" x14ac:dyDescent="0.3">
      <c r="F917" s="28" t="s">
        <v>757</v>
      </c>
    </row>
    <row r="918" spans="5:6" ht="14.45" customHeight="1" outlineLevel="4" thickBot="1" x14ac:dyDescent="0.3"/>
    <row r="919" spans="5:6" ht="14.45" customHeight="1" outlineLevel="3" thickBot="1" x14ac:dyDescent="0.3">
      <c r="F919" s="28" t="s">
        <v>758</v>
      </c>
    </row>
    <row r="920" spans="5:6" ht="14.45" customHeight="1" outlineLevel="4" thickBot="1" x14ac:dyDescent="0.3"/>
    <row r="921" spans="5:6" ht="14.45" customHeight="1" outlineLevel="3" thickBot="1" x14ac:dyDescent="0.3"/>
    <row r="922" spans="5:6" ht="14.45" customHeight="1" outlineLevel="2" thickBot="1" x14ac:dyDescent="0.3">
      <c r="E922" s="27" t="s">
        <v>759</v>
      </c>
    </row>
    <row r="923" spans="5:6" ht="14.45" customHeight="1" outlineLevel="3" thickBot="1" x14ac:dyDescent="0.3">
      <c r="F923" s="28" t="s">
        <v>760</v>
      </c>
    </row>
    <row r="924" spans="5:6" ht="14.45" customHeight="1" outlineLevel="4" thickBot="1" x14ac:dyDescent="0.3"/>
    <row r="925" spans="5:6" ht="14.45" customHeight="1" outlineLevel="3" thickBot="1" x14ac:dyDescent="0.3">
      <c r="F925" s="28" t="s">
        <v>761</v>
      </c>
    </row>
    <row r="926" spans="5:6" ht="14.45" customHeight="1" outlineLevel="4" thickBot="1" x14ac:dyDescent="0.3"/>
    <row r="927" spans="5:6" ht="14.45" customHeight="1" outlineLevel="3" thickBot="1" x14ac:dyDescent="0.3"/>
    <row r="928" spans="5:6" ht="14.45" customHeight="1" outlineLevel="2" thickBot="1" x14ac:dyDescent="0.3"/>
    <row r="929" spans="4:6" ht="14.45" customHeight="1" outlineLevel="1" thickBot="1" x14ac:dyDescent="0.3">
      <c r="D929" s="26" t="s">
        <v>37</v>
      </c>
      <c r="E929" s="26"/>
    </row>
    <row r="930" spans="4:6" ht="14.45" customHeight="1" outlineLevel="2" thickBot="1" x14ac:dyDescent="0.3">
      <c r="E930" s="27" t="s">
        <v>762</v>
      </c>
    </row>
    <row r="931" spans="4:6" ht="14.45" customHeight="1" outlineLevel="4" thickBot="1" x14ac:dyDescent="0.3"/>
    <row r="932" spans="4:6" ht="14.45" customHeight="1" outlineLevel="3" thickBot="1" x14ac:dyDescent="0.3"/>
    <row r="933" spans="4:6" ht="14.45" customHeight="1" outlineLevel="2" thickBot="1" x14ac:dyDescent="0.3">
      <c r="E933" s="27" t="s">
        <v>763</v>
      </c>
    </row>
    <row r="934" spans="4:6" ht="14.45" customHeight="1" outlineLevel="3" thickBot="1" x14ac:dyDescent="0.3">
      <c r="F934" s="28" t="s">
        <v>292</v>
      </c>
    </row>
    <row r="935" spans="4:6" ht="14.45" customHeight="1" outlineLevel="4" thickBot="1" x14ac:dyDescent="0.3"/>
    <row r="936" spans="4:6" ht="14.45" customHeight="1" outlineLevel="3" thickBot="1" x14ac:dyDescent="0.3">
      <c r="F936" s="28" t="s">
        <v>764</v>
      </c>
    </row>
    <row r="937" spans="4:6" ht="14.45" customHeight="1" outlineLevel="4" thickBot="1" x14ac:dyDescent="0.3"/>
    <row r="938" spans="4:6" ht="14.45" customHeight="1" outlineLevel="3" thickBot="1" x14ac:dyDescent="0.3">
      <c r="F938" s="28" t="s">
        <v>765</v>
      </c>
    </row>
    <row r="939" spans="4:6" ht="14.45" customHeight="1" outlineLevel="4" thickBot="1" x14ac:dyDescent="0.3"/>
    <row r="940" spans="4:6" ht="14.45" customHeight="1" outlineLevel="3" thickBot="1" x14ac:dyDescent="0.3"/>
    <row r="941" spans="4:6" ht="14.45" customHeight="1" outlineLevel="2" thickBot="1" x14ac:dyDescent="0.3">
      <c r="E941" s="27" t="s">
        <v>766</v>
      </c>
    </row>
    <row r="942" spans="4:6" ht="14.45" customHeight="1" outlineLevel="4" thickBot="1" x14ac:dyDescent="0.3"/>
    <row r="943" spans="4:6" ht="14.45" customHeight="1" outlineLevel="3" thickBot="1" x14ac:dyDescent="0.3"/>
    <row r="944" spans="4:6" ht="14.45" customHeight="1" outlineLevel="2" thickBot="1" x14ac:dyDescent="0.3"/>
    <row r="945" spans="4:6" ht="14.45" customHeight="1" outlineLevel="1" thickBot="1" x14ac:dyDescent="0.3">
      <c r="D945" s="26" t="s">
        <v>38</v>
      </c>
      <c r="E945" s="26"/>
    </row>
    <row r="946" spans="4:6" ht="14.45" customHeight="1" outlineLevel="2" thickBot="1" x14ac:dyDescent="0.3">
      <c r="E946" s="27" t="s">
        <v>767</v>
      </c>
    </row>
    <row r="947" spans="4:6" ht="14.45" customHeight="1" outlineLevel="4" thickBot="1" x14ac:dyDescent="0.3"/>
    <row r="948" spans="4:6" ht="14.45" customHeight="1" outlineLevel="3" thickBot="1" x14ac:dyDescent="0.3"/>
    <row r="949" spans="4:6" ht="14.45" customHeight="1" outlineLevel="2" thickBot="1" x14ac:dyDescent="0.3">
      <c r="E949" s="27" t="s">
        <v>768</v>
      </c>
    </row>
    <row r="950" spans="4:6" ht="14.45" customHeight="1" outlineLevel="3" thickBot="1" x14ac:dyDescent="0.3">
      <c r="F950" s="28" t="s">
        <v>769</v>
      </c>
    </row>
    <row r="951" spans="4:6" ht="14.45" customHeight="1" outlineLevel="4" thickBot="1" x14ac:dyDescent="0.3"/>
    <row r="952" spans="4:6" ht="14.45" customHeight="1" outlineLevel="3" thickBot="1" x14ac:dyDescent="0.3">
      <c r="F952" s="28" t="s">
        <v>770</v>
      </c>
    </row>
    <row r="953" spans="4:6" ht="14.45" customHeight="1" outlineLevel="4" thickBot="1" x14ac:dyDescent="0.3"/>
    <row r="954" spans="4:6" ht="14.45" customHeight="1" outlineLevel="3" thickBot="1" x14ac:dyDescent="0.3">
      <c r="F954" s="28" t="s">
        <v>771</v>
      </c>
    </row>
    <row r="955" spans="4:6" ht="14.45" customHeight="1" outlineLevel="4" thickBot="1" x14ac:dyDescent="0.3"/>
    <row r="956" spans="4:6" ht="14.45" customHeight="1" outlineLevel="3" thickBot="1" x14ac:dyDescent="0.3"/>
    <row r="957" spans="4:6" ht="14.45" customHeight="1" outlineLevel="2" thickBot="1" x14ac:dyDescent="0.3">
      <c r="E957" s="27" t="s">
        <v>772</v>
      </c>
    </row>
    <row r="958" spans="4:6" ht="14.45" customHeight="1" outlineLevel="3" thickBot="1" x14ac:dyDescent="0.3">
      <c r="F958" s="28" t="s">
        <v>773</v>
      </c>
    </row>
    <row r="959" spans="4:6" ht="14.45" customHeight="1" outlineLevel="4" thickBot="1" x14ac:dyDescent="0.3"/>
    <row r="960" spans="4:6" ht="14.45" customHeight="1" outlineLevel="3" thickBot="1" x14ac:dyDescent="0.3">
      <c r="F960" s="28" t="s">
        <v>774</v>
      </c>
    </row>
    <row r="961" spans="4:6" ht="14.45" customHeight="1" outlineLevel="4" thickBot="1" x14ac:dyDescent="0.3"/>
    <row r="962" spans="4:6" ht="14.45" customHeight="1" outlineLevel="3" thickBot="1" x14ac:dyDescent="0.3">
      <c r="F962" s="28" t="s">
        <v>775</v>
      </c>
    </row>
    <row r="963" spans="4:6" ht="14.45" customHeight="1" outlineLevel="4" thickBot="1" x14ac:dyDescent="0.3"/>
    <row r="964" spans="4:6" ht="14.45" customHeight="1" outlineLevel="3" thickBot="1" x14ac:dyDescent="0.3"/>
    <row r="965" spans="4:6" ht="14.45" customHeight="1" outlineLevel="2" thickBot="1" x14ac:dyDescent="0.3">
      <c r="E965" s="27" t="s">
        <v>776</v>
      </c>
    </row>
    <row r="966" spans="4:6" ht="14.45" customHeight="1" outlineLevel="3" thickBot="1" x14ac:dyDescent="0.3">
      <c r="F966" s="28" t="s">
        <v>777</v>
      </c>
    </row>
    <row r="967" spans="4:6" ht="14.45" customHeight="1" outlineLevel="4" thickBot="1" x14ac:dyDescent="0.3"/>
    <row r="968" spans="4:6" ht="14.45" customHeight="1" outlineLevel="3" thickBot="1" x14ac:dyDescent="0.3">
      <c r="F968" s="28" t="s">
        <v>778</v>
      </c>
    </row>
    <row r="969" spans="4:6" ht="14.45" customHeight="1" outlineLevel="4" thickBot="1" x14ac:dyDescent="0.3"/>
    <row r="970" spans="4:6" ht="14.45" customHeight="1" outlineLevel="3" thickBot="1" x14ac:dyDescent="0.3">
      <c r="F970" s="28" t="s">
        <v>408</v>
      </c>
    </row>
    <row r="971" spans="4:6" ht="14.45" customHeight="1" outlineLevel="4" thickBot="1" x14ac:dyDescent="0.3"/>
    <row r="972" spans="4:6" ht="14.45" customHeight="1" outlineLevel="3" thickBot="1" x14ac:dyDescent="0.3"/>
    <row r="973" spans="4:6" ht="14.45" customHeight="1" outlineLevel="2" thickBot="1" x14ac:dyDescent="0.3"/>
    <row r="974" spans="4:6" ht="14.45" customHeight="1" outlineLevel="1" thickBot="1" x14ac:dyDescent="0.3">
      <c r="D974" s="26" t="s">
        <v>39</v>
      </c>
      <c r="E974" s="26"/>
    </row>
    <row r="975" spans="4:6" ht="14.45" customHeight="1" outlineLevel="2" thickBot="1" x14ac:dyDescent="0.3">
      <c r="E975" s="27" t="s">
        <v>779</v>
      </c>
    </row>
    <row r="976" spans="4:6" ht="14.45" customHeight="1" outlineLevel="3" thickBot="1" x14ac:dyDescent="0.3">
      <c r="F976" s="28" t="s">
        <v>780</v>
      </c>
    </row>
    <row r="977" spans="5:7" ht="14.45" customHeight="1" outlineLevel="4" thickBot="1" x14ac:dyDescent="0.3">
      <c r="G977" s="7" t="s">
        <v>781</v>
      </c>
    </row>
    <row r="978" spans="5:7" ht="14.45" customHeight="1" outlineLevel="4" thickBot="1" x14ac:dyDescent="0.3">
      <c r="G978" s="7" t="s">
        <v>782</v>
      </c>
    </row>
    <row r="979" spans="5:7" ht="14.45" customHeight="1" outlineLevel="4" thickBot="1" x14ac:dyDescent="0.3">
      <c r="G979" s="7" t="s">
        <v>783</v>
      </c>
    </row>
    <row r="980" spans="5:7" ht="14.45" customHeight="1" outlineLevel="3" thickBot="1" x14ac:dyDescent="0.3">
      <c r="F980" s="28" t="s">
        <v>784</v>
      </c>
    </row>
    <row r="981" spans="5:7" ht="14.45" customHeight="1" outlineLevel="4" thickBot="1" x14ac:dyDescent="0.3">
      <c r="G981" s="7" t="s">
        <v>785</v>
      </c>
    </row>
    <row r="982" spans="5:7" ht="14.45" customHeight="1" outlineLevel="4" thickBot="1" x14ac:dyDescent="0.3">
      <c r="G982" s="7" t="s">
        <v>786</v>
      </c>
    </row>
    <row r="983" spans="5:7" ht="14.45" customHeight="1" outlineLevel="4" thickBot="1" x14ac:dyDescent="0.3">
      <c r="G983" s="7" t="s">
        <v>787</v>
      </c>
    </row>
    <row r="984" spans="5:7" ht="14.45" customHeight="1" outlineLevel="3" thickBot="1" x14ac:dyDescent="0.3">
      <c r="F984" s="28" t="s">
        <v>788</v>
      </c>
    </row>
    <row r="985" spans="5:7" ht="14.45" customHeight="1" outlineLevel="4" thickBot="1" x14ac:dyDescent="0.3"/>
    <row r="986" spans="5:7" ht="14.45" customHeight="1" outlineLevel="3" thickBot="1" x14ac:dyDescent="0.3"/>
    <row r="987" spans="5:7" ht="14.45" customHeight="1" outlineLevel="2" thickBot="1" x14ac:dyDescent="0.3">
      <c r="E987" s="27" t="s">
        <v>789</v>
      </c>
    </row>
    <row r="988" spans="5:7" ht="14.45" customHeight="1" outlineLevel="3" thickBot="1" x14ac:dyDescent="0.3">
      <c r="F988" s="28" t="s">
        <v>292</v>
      </c>
    </row>
    <row r="989" spans="5:7" ht="14.45" customHeight="1" outlineLevel="4" thickBot="1" x14ac:dyDescent="0.3"/>
    <row r="990" spans="5:7" ht="14.45" customHeight="1" outlineLevel="3" thickBot="1" x14ac:dyDescent="0.3">
      <c r="F990" s="28" t="s">
        <v>790</v>
      </c>
    </row>
    <row r="991" spans="5:7" ht="14.45" customHeight="1" outlineLevel="4" thickBot="1" x14ac:dyDescent="0.3">
      <c r="G991" s="7" t="s">
        <v>339</v>
      </c>
    </row>
    <row r="992" spans="5:7" ht="14.45" customHeight="1" outlineLevel="4" thickBot="1" x14ac:dyDescent="0.3">
      <c r="G992" s="7" t="s">
        <v>791</v>
      </c>
    </row>
    <row r="993" spans="6:7" ht="14.45" customHeight="1" outlineLevel="4" thickBot="1" x14ac:dyDescent="0.3">
      <c r="G993" s="7" t="s">
        <v>792</v>
      </c>
    </row>
    <row r="994" spans="6:7" ht="14.45" customHeight="1" outlineLevel="4" thickBot="1" x14ac:dyDescent="0.3">
      <c r="G994" s="7" t="s">
        <v>793</v>
      </c>
    </row>
    <row r="995" spans="6:7" ht="14.45" customHeight="1" outlineLevel="4" thickBot="1" x14ac:dyDescent="0.3">
      <c r="G995" s="7" t="s">
        <v>2220</v>
      </c>
    </row>
    <row r="996" spans="6:7" ht="14.45" customHeight="1" outlineLevel="4" thickBot="1" x14ac:dyDescent="0.3">
      <c r="G996" s="7" t="s">
        <v>794</v>
      </c>
    </row>
    <row r="997" spans="6:7" ht="14.45" customHeight="1" outlineLevel="3" thickBot="1" x14ac:dyDescent="0.3">
      <c r="F997" s="28" t="s">
        <v>795</v>
      </c>
    </row>
    <row r="998" spans="6:7" ht="14.45" customHeight="1" outlineLevel="4" thickBot="1" x14ac:dyDescent="0.3">
      <c r="G998" s="7" t="s">
        <v>339</v>
      </c>
    </row>
    <row r="999" spans="6:7" ht="14.45" customHeight="1" outlineLevel="4" thickBot="1" x14ac:dyDescent="0.3">
      <c r="G999" s="7" t="s">
        <v>796</v>
      </c>
    </row>
    <row r="1000" spans="6:7" ht="14.45" customHeight="1" outlineLevel="4" thickBot="1" x14ac:dyDescent="0.3">
      <c r="G1000" s="7" t="s">
        <v>797</v>
      </c>
    </row>
    <row r="1001" spans="6:7" ht="14.45" customHeight="1" outlineLevel="3" thickBot="1" x14ac:dyDescent="0.3">
      <c r="F1001" s="28" t="s">
        <v>798</v>
      </c>
    </row>
    <row r="1002" spans="6:7" ht="14.45" customHeight="1" outlineLevel="4" thickBot="1" x14ac:dyDescent="0.3">
      <c r="G1002" s="7" t="s">
        <v>339</v>
      </c>
    </row>
    <row r="1003" spans="6:7" ht="14.45" customHeight="1" outlineLevel="4" thickBot="1" x14ac:dyDescent="0.3">
      <c r="G1003" s="7" t="s">
        <v>799</v>
      </c>
    </row>
    <row r="1004" spans="6:7" ht="14.45" customHeight="1" outlineLevel="4" thickBot="1" x14ac:dyDescent="0.3">
      <c r="G1004" s="7" t="s">
        <v>800</v>
      </c>
    </row>
    <row r="1005" spans="6:7" ht="14.45" customHeight="1" outlineLevel="4" thickBot="1" x14ac:dyDescent="0.3">
      <c r="G1005" s="7" t="s">
        <v>801</v>
      </c>
    </row>
    <row r="1006" spans="6:7" ht="14.45" customHeight="1" outlineLevel="4" thickBot="1" x14ac:dyDescent="0.3">
      <c r="G1006" s="7" t="s">
        <v>802</v>
      </c>
    </row>
    <row r="1007" spans="6:7" ht="14.45" customHeight="1" outlineLevel="3" thickBot="1" x14ac:dyDescent="0.3">
      <c r="F1007" s="28" t="s">
        <v>803</v>
      </c>
    </row>
    <row r="1008" spans="6:7" ht="14.45" customHeight="1" outlineLevel="4" thickBot="1" x14ac:dyDescent="0.3">
      <c r="G1008" s="7" t="s">
        <v>507</v>
      </c>
    </row>
    <row r="1009" spans="4:7" ht="14.45" customHeight="1" outlineLevel="4" thickBot="1" x14ac:dyDescent="0.3">
      <c r="G1009" s="7" t="s">
        <v>804</v>
      </c>
    </row>
    <row r="1010" spans="4:7" ht="14.45" customHeight="1" outlineLevel="4" thickBot="1" x14ac:dyDescent="0.3">
      <c r="G1010" s="7" t="s">
        <v>805</v>
      </c>
    </row>
    <row r="1011" spans="4:7" ht="14.45" customHeight="1" outlineLevel="4" thickBot="1" x14ac:dyDescent="0.3">
      <c r="G1011" s="7" t="s">
        <v>806</v>
      </c>
    </row>
    <row r="1012" spans="4:7" ht="14.45" customHeight="1" outlineLevel="3" thickBot="1" x14ac:dyDescent="0.3">
      <c r="F1012" s="28" t="s">
        <v>807</v>
      </c>
    </row>
    <row r="1013" spans="4:7" ht="14.45" customHeight="1" outlineLevel="4" thickBot="1" x14ac:dyDescent="0.3">
      <c r="G1013" s="7" t="s">
        <v>339</v>
      </c>
    </row>
    <row r="1014" spans="4:7" ht="14.45" customHeight="1" outlineLevel="4" thickBot="1" x14ac:dyDescent="0.3">
      <c r="G1014" s="7" t="s">
        <v>808</v>
      </c>
    </row>
    <row r="1015" spans="4:7" ht="14.45" customHeight="1" outlineLevel="3" thickBot="1" x14ac:dyDescent="0.3">
      <c r="F1015" s="28" t="s">
        <v>809</v>
      </c>
    </row>
    <row r="1016" spans="4:7" ht="14.45" customHeight="1" outlineLevel="4" thickBot="1" x14ac:dyDescent="0.3">
      <c r="G1016" s="7" t="s">
        <v>810</v>
      </c>
    </row>
    <row r="1017" spans="4:7" ht="14.45" customHeight="1" outlineLevel="4" thickBot="1" x14ac:dyDescent="0.3">
      <c r="G1017" s="7" t="s">
        <v>811</v>
      </c>
    </row>
    <row r="1018" spans="4:7" ht="14.45" customHeight="1" outlineLevel="4" thickBot="1" x14ac:dyDescent="0.3">
      <c r="G1018" s="7" t="s">
        <v>812</v>
      </c>
    </row>
    <row r="1019" spans="4:7" ht="14.45" customHeight="1" outlineLevel="4" thickBot="1" x14ac:dyDescent="0.3">
      <c r="G1019" s="7" t="s">
        <v>813</v>
      </c>
    </row>
    <row r="1020" spans="4:7" ht="14.45" customHeight="1" outlineLevel="3" thickBot="1" x14ac:dyDescent="0.3"/>
    <row r="1021" spans="4:7" ht="14.45" customHeight="1" outlineLevel="2" thickBot="1" x14ac:dyDescent="0.3"/>
    <row r="1022" spans="4:7" ht="14.45" customHeight="1" outlineLevel="1" thickBot="1" x14ac:dyDescent="0.3">
      <c r="D1022" s="26" t="s">
        <v>40</v>
      </c>
      <c r="E1022" s="26"/>
    </row>
    <row r="1023" spans="4:7" ht="14.45" customHeight="1" outlineLevel="2" thickBot="1" x14ac:dyDescent="0.3">
      <c r="E1023" s="27" t="s">
        <v>814</v>
      </c>
    </row>
    <row r="1024" spans="4:7" ht="14.45" customHeight="1" outlineLevel="4" thickBot="1" x14ac:dyDescent="0.3"/>
    <row r="1025" spans="5:6" ht="14.45" customHeight="1" outlineLevel="3" thickBot="1" x14ac:dyDescent="0.3"/>
    <row r="1026" spans="5:6" ht="14.45" customHeight="1" outlineLevel="2" thickBot="1" x14ac:dyDescent="0.3">
      <c r="E1026" s="27" t="s">
        <v>815</v>
      </c>
    </row>
    <row r="1027" spans="5:6" ht="14.45" customHeight="1" outlineLevel="3" thickBot="1" x14ac:dyDescent="0.3">
      <c r="F1027" s="28" t="s">
        <v>816</v>
      </c>
    </row>
    <row r="1028" spans="5:6" ht="14.45" customHeight="1" outlineLevel="4" thickBot="1" x14ac:dyDescent="0.3"/>
    <row r="1029" spans="5:6" ht="14.45" customHeight="1" outlineLevel="3" thickBot="1" x14ac:dyDescent="0.3">
      <c r="F1029" s="28" t="s">
        <v>817</v>
      </c>
    </row>
    <row r="1030" spans="5:6" ht="14.45" customHeight="1" outlineLevel="4" thickBot="1" x14ac:dyDescent="0.3"/>
    <row r="1031" spans="5:6" ht="14.45" customHeight="1" outlineLevel="3" thickBot="1" x14ac:dyDescent="0.3"/>
    <row r="1032" spans="5:6" ht="14.45" customHeight="1" outlineLevel="2" thickBot="1" x14ac:dyDescent="0.3">
      <c r="E1032" s="27" t="s">
        <v>818</v>
      </c>
    </row>
    <row r="1033" spans="5:6" ht="14.45" customHeight="1" outlineLevel="3" thickBot="1" x14ac:dyDescent="0.3">
      <c r="F1033" s="28" t="s">
        <v>819</v>
      </c>
    </row>
    <row r="1034" spans="5:6" ht="14.45" customHeight="1" outlineLevel="4" thickBot="1" x14ac:dyDescent="0.3"/>
    <row r="1035" spans="5:6" ht="14.45" customHeight="1" outlineLevel="3" thickBot="1" x14ac:dyDescent="0.3">
      <c r="F1035" s="28" t="s">
        <v>820</v>
      </c>
    </row>
    <row r="1036" spans="5:6" ht="14.45" customHeight="1" outlineLevel="4" thickBot="1" x14ac:dyDescent="0.3"/>
    <row r="1037" spans="5:6" ht="14.45" customHeight="1" outlineLevel="3" thickBot="1" x14ac:dyDescent="0.3"/>
    <row r="1038" spans="5:6" ht="14.45" customHeight="1" outlineLevel="2" thickBot="1" x14ac:dyDescent="0.3">
      <c r="E1038" s="27" t="s">
        <v>821</v>
      </c>
    </row>
    <row r="1039" spans="5:6" ht="14.45" customHeight="1" outlineLevel="3" thickBot="1" x14ac:dyDescent="0.3">
      <c r="F1039" s="28" t="s">
        <v>822</v>
      </c>
    </row>
    <row r="1040" spans="5:6" ht="14.45" customHeight="1" outlineLevel="4" thickBot="1" x14ac:dyDescent="0.3"/>
    <row r="1041" spans="4:6" ht="14.45" customHeight="1" outlineLevel="3" thickBot="1" x14ac:dyDescent="0.3">
      <c r="F1041" s="28" t="s">
        <v>823</v>
      </c>
    </row>
    <row r="1042" spans="4:6" ht="14.45" customHeight="1" outlineLevel="4" thickBot="1" x14ac:dyDescent="0.3"/>
    <row r="1043" spans="4:6" ht="14.45" customHeight="1" outlineLevel="3" thickBot="1" x14ac:dyDescent="0.3">
      <c r="F1043" s="28" t="s">
        <v>824</v>
      </c>
    </row>
    <row r="1044" spans="4:6" ht="14.45" customHeight="1" outlineLevel="4" thickBot="1" x14ac:dyDescent="0.3"/>
    <row r="1045" spans="4:6" ht="14.45" customHeight="1" outlineLevel="3" thickBot="1" x14ac:dyDescent="0.3"/>
    <row r="1046" spans="4:6" ht="14.45" customHeight="1" outlineLevel="2" thickBot="1" x14ac:dyDescent="0.3">
      <c r="E1046" s="27" t="s">
        <v>825</v>
      </c>
    </row>
    <row r="1047" spans="4:6" ht="14.45" customHeight="1" outlineLevel="4" thickBot="1" x14ac:dyDescent="0.3"/>
    <row r="1048" spans="4:6" ht="14.45" customHeight="1" outlineLevel="3" thickBot="1" x14ac:dyDescent="0.3"/>
    <row r="1049" spans="4:6" ht="14.45" customHeight="1" outlineLevel="2" thickBot="1" x14ac:dyDescent="0.3"/>
    <row r="1050" spans="4:6" ht="14.45" customHeight="1" outlineLevel="1" thickBot="1" x14ac:dyDescent="0.3">
      <c r="D1050" s="26" t="s">
        <v>41</v>
      </c>
      <c r="E1050" s="26"/>
    </row>
    <row r="1051" spans="4:6" ht="14.45" customHeight="1" outlineLevel="2" thickBot="1" x14ac:dyDescent="0.3">
      <c r="E1051" s="27" t="s">
        <v>826</v>
      </c>
    </row>
    <row r="1052" spans="4:6" ht="14.45" customHeight="1" outlineLevel="3" thickBot="1" x14ac:dyDescent="0.3">
      <c r="F1052" s="28" t="s">
        <v>751</v>
      </c>
    </row>
    <row r="1053" spans="4:6" ht="14.45" customHeight="1" outlineLevel="4" thickBot="1" x14ac:dyDescent="0.3"/>
    <row r="1054" spans="4:6" ht="14.45" customHeight="1" outlineLevel="3" thickBot="1" x14ac:dyDescent="0.3">
      <c r="F1054" s="28" t="s">
        <v>827</v>
      </c>
    </row>
    <row r="1055" spans="4:6" ht="14.45" customHeight="1" outlineLevel="4" thickBot="1" x14ac:dyDescent="0.3"/>
    <row r="1056" spans="4:6" ht="14.45" customHeight="1" outlineLevel="3" thickBot="1" x14ac:dyDescent="0.3"/>
    <row r="1057" spans="5:6" ht="14.45" customHeight="1" outlineLevel="2" thickBot="1" x14ac:dyDescent="0.3">
      <c r="E1057" s="27" t="s">
        <v>828</v>
      </c>
    </row>
    <row r="1058" spans="5:6" ht="14.45" customHeight="1" outlineLevel="3" thickBot="1" x14ac:dyDescent="0.3">
      <c r="F1058" s="28" t="s">
        <v>829</v>
      </c>
    </row>
    <row r="1059" spans="5:6" ht="14.45" customHeight="1" outlineLevel="4" thickBot="1" x14ac:dyDescent="0.3"/>
    <row r="1060" spans="5:6" ht="14.45" customHeight="1" outlineLevel="3" thickBot="1" x14ac:dyDescent="0.3">
      <c r="F1060" s="28" t="s">
        <v>830</v>
      </c>
    </row>
    <row r="1061" spans="5:6" ht="14.45" customHeight="1" outlineLevel="4" thickBot="1" x14ac:dyDescent="0.3"/>
    <row r="1062" spans="5:6" ht="14.45" customHeight="1" outlineLevel="3" thickBot="1" x14ac:dyDescent="0.3">
      <c r="F1062" s="28" t="s">
        <v>831</v>
      </c>
    </row>
    <row r="1063" spans="5:6" ht="14.45" customHeight="1" outlineLevel="4" thickBot="1" x14ac:dyDescent="0.3"/>
    <row r="1064" spans="5:6" ht="14.45" customHeight="1" outlineLevel="3" thickBot="1" x14ac:dyDescent="0.3"/>
    <row r="1065" spans="5:6" ht="14.45" customHeight="1" outlineLevel="2" thickBot="1" x14ac:dyDescent="0.3">
      <c r="E1065" s="27" t="s">
        <v>832</v>
      </c>
    </row>
    <row r="1066" spans="5:6" ht="14.45" customHeight="1" outlineLevel="3" thickBot="1" x14ac:dyDescent="0.3">
      <c r="F1066" s="28" t="s">
        <v>833</v>
      </c>
    </row>
    <row r="1067" spans="5:6" ht="14.45" customHeight="1" outlineLevel="4" thickBot="1" x14ac:dyDescent="0.3"/>
    <row r="1068" spans="5:6" ht="14.45" customHeight="1" outlineLevel="3" thickBot="1" x14ac:dyDescent="0.3">
      <c r="F1068" s="28" t="s">
        <v>834</v>
      </c>
    </row>
    <row r="1069" spans="5:6" ht="14.45" customHeight="1" outlineLevel="4" thickBot="1" x14ac:dyDescent="0.3"/>
    <row r="1070" spans="5:6" ht="14.45" customHeight="1" outlineLevel="3" thickBot="1" x14ac:dyDescent="0.3"/>
    <row r="1071" spans="5:6" ht="14.45" customHeight="1" outlineLevel="2" thickBot="1" x14ac:dyDescent="0.3">
      <c r="E1071" s="27" t="s">
        <v>835</v>
      </c>
    </row>
    <row r="1072" spans="5:6" ht="14.45" customHeight="1" outlineLevel="3" thickBot="1" x14ac:dyDescent="0.3">
      <c r="F1072" s="28" t="s">
        <v>836</v>
      </c>
    </row>
    <row r="1073" spans="5:6" ht="14.45" customHeight="1" outlineLevel="4" thickBot="1" x14ac:dyDescent="0.3"/>
    <row r="1074" spans="5:6" ht="14.45" customHeight="1" outlineLevel="3" thickBot="1" x14ac:dyDescent="0.3">
      <c r="F1074" s="28" t="s">
        <v>837</v>
      </c>
    </row>
    <row r="1075" spans="5:6" ht="14.45" customHeight="1" outlineLevel="4" thickBot="1" x14ac:dyDescent="0.3"/>
    <row r="1076" spans="5:6" ht="14.45" customHeight="1" outlineLevel="3" thickBot="1" x14ac:dyDescent="0.3">
      <c r="F1076" s="28" t="s">
        <v>838</v>
      </c>
    </row>
    <row r="1077" spans="5:6" ht="14.45" customHeight="1" outlineLevel="4" thickBot="1" x14ac:dyDescent="0.3"/>
    <row r="1078" spans="5:6" ht="14.45" customHeight="1" outlineLevel="3" thickBot="1" x14ac:dyDescent="0.3">
      <c r="F1078" s="28" t="s">
        <v>839</v>
      </c>
    </row>
    <row r="1079" spans="5:6" ht="14.45" customHeight="1" outlineLevel="4" thickBot="1" x14ac:dyDescent="0.3"/>
    <row r="1080" spans="5:6" ht="14.45" customHeight="1" outlineLevel="3" thickBot="1" x14ac:dyDescent="0.3"/>
    <row r="1081" spans="5:6" ht="14.45" customHeight="1" outlineLevel="2" thickBot="1" x14ac:dyDescent="0.3">
      <c r="E1081" s="27" t="s">
        <v>840</v>
      </c>
    </row>
    <row r="1082" spans="5:6" ht="14.45" customHeight="1" outlineLevel="3" thickBot="1" x14ac:dyDescent="0.3">
      <c r="F1082" s="28" t="s">
        <v>841</v>
      </c>
    </row>
    <row r="1083" spans="5:6" ht="14.45" customHeight="1" outlineLevel="4" thickBot="1" x14ac:dyDescent="0.3"/>
    <row r="1084" spans="5:6" ht="14.45" customHeight="1" outlineLevel="3" thickBot="1" x14ac:dyDescent="0.3">
      <c r="F1084" s="28" t="s">
        <v>842</v>
      </c>
    </row>
    <row r="1085" spans="5:6" ht="14.45" customHeight="1" outlineLevel="4" thickBot="1" x14ac:dyDescent="0.3"/>
    <row r="1086" spans="5:6" ht="14.45" customHeight="1" outlineLevel="3" thickBot="1" x14ac:dyDescent="0.3">
      <c r="F1086" s="28" t="s">
        <v>843</v>
      </c>
    </row>
    <row r="1087" spans="5:6" ht="14.45" customHeight="1" outlineLevel="4" thickBot="1" x14ac:dyDescent="0.3"/>
    <row r="1088" spans="5:6" ht="14.45" customHeight="1" outlineLevel="3" thickBot="1" x14ac:dyDescent="0.3"/>
    <row r="1089" spans="3:6" ht="14.45" customHeight="1" outlineLevel="2" thickBot="1" x14ac:dyDescent="0.3"/>
    <row r="1090" spans="3:6" ht="14.45" customHeight="1" outlineLevel="1" thickBot="1" x14ac:dyDescent="0.3"/>
    <row r="1091" spans="3:6" ht="14.45" customHeight="1" thickBot="1" x14ac:dyDescent="0.3">
      <c r="C1091" s="25" t="s">
        <v>844</v>
      </c>
      <c r="D1091" s="25"/>
    </row>
    <row r="1092" spans="3:6" ht="14.45" customHeight="1" outlineLevel="1" thickBot="1" x14ac:dyDescent="0.3">
      <c r="D1092" s="26" t="s">
        <v>42</v>
      </c>
      <c r="E1092" s="26"/>
    </row>
    <row r="1093" spans="3:6" ht="14.45" customHeight="1" outlineLevel="4" thickBot="1" x14ac:dyDescent="0.3"/>
    <row r="1094" spans="3:6" ht="14.45" customHeight="1" outlineLevel="3" thickBot="1" x14ac:dyDescent="0.3"/>
    <row r="1095" spans="3:6" ht="14.45" customHeight="1" outlineLevel="2" thickBot="1" x14ac:dyDescent="0.3"/>
    <row r="1096" spans="3:6" ht="14.45" customHeight="1" outlineLevel="1" thickBot="1" x14ac:dyDescent="0.3">
      <c r="D1096" s="26" t="s">
        <v>43</v>
      </c>
      <c r="E1096" s="26"/>
    </row>
    <row r="1097" spans="3:6" ht="14.45" customHeight="1" outlineLevel="2" thickBot="1" x14ac:dyDescent="0.3">
      <c r="E1097" s="27" t="s">
        <v>248</v>
      </c>
    </row>
    <row r="1098" spans="3:6" ht="14.45" customHeight="1" outlineLevel="4" thickBot="1" x14ac:dyDescent="0.3"/>
    <row r="1099" spans="3:6" ht="14.45" customHeight="1" outlineLevel="3" thickBot="1" x14ac:dyDescent="0.3"/>
    <row r="1100" spans="3:6" ht="14.45" customHeight="1" outlineLevel="2" thickBot="1" x14ac:dyDescent="0.3">
      <c r="E1100" s="27" t="s">
        <v>845</v>
      </c>
    </row>
    <row r="1101" spans="3:6" ht="14.45" customHeight="1" outlineLevel="3" thickBot="1" x14ac:dyDescent="0.3">
      <c r="F1101" s="28" t="s">
        <v>846</v>
      </c>
    </row>
    <row r="1102" spans="3:6" ht="14.45" customHeight="1" outlineLevel="4" thickBot="1" x14ac:dyDescent="0.3"/>
    <row r="1103" spans="3:6" ht="14.45" customHeight="1" outlineLevel="3" thickBot="1" x14ac:dyDescent="0.3">
      <c r="F1103" s="28" t="s">
        <v>847</v>
      </c>
    </row>
    <row r="1104" spans="3:6" ht="14.45" customHeight="1" outlineLevel="4" thickBot="1" x14ac:dyDescent="0.3"/>
    <row r="1105" spans="3:7" ht="14.45" customHeight="1" outlineLevel="3" thickBot="1" x14ac:dyDescent="0.3">
      <c r="F1105" s="28" t="s">
        <v>848</v>
      </c>
    </row>
    <row r="1106" spans="3:7" ht="14.45" customHeight="1" outlineLevel="4" thickBot="1" x14ac:dyDescent="0.3"/>
    <row r="1107" spans="3:7" ht="14.45" customHeight="1" outlineLevel="3" thickBot="1" x14ac:dyDescent="0.3"/>
    <row r="1108" spans="3:7" ht="14.45" customHeight="1" outlineLevel="2" thickBot="1" x14ac:dyDescent="0.3">
      <c r="E1108" s="27" t="s">
        <v>849</v>
      </c>
    </row>
    <row r="1109" spans="3:7" ht="14.45" customHeight="1" outlineLevel="4" thickBot="1" x14ac:dyDescent="0.3"/>
    <row r="1110" spans="3:7" ht="14.45" customHeight="1" outlineLevel="3" thickBot="1" x14ac:dyDescent="0.3"/>
    <row r="1111" spans="3:7" ht="14.45" customHeight="1" outlineLevel="2" thickBot="1" x14ac:dyDescent="0.3"/>
    <row r="1112" spans="3:7" ht="14.45" customHeight="1" outlineLevel="1" thickBot="1" x14ac:dyDescent="0.3"/>
    <row r="1113" spans="3:7" ht="14.45" customHeight="1" thickBot="1" x14ac:dyDescent="0.3">
      <c r="C1113" s="25" t="s">
        <v>850</v>
      </c>
      <c r="D1113" s="25"/>
    </row>
    <row r="1114" spans="3:7" ht="14.45" customHeight="1" outlineLevel="1" thickBot="1" x14ac:dyDescent="0.3">
      <c r="D1114" s="26" t="s">
        <v>44</v>
      </c>
      <c r="E1114" s="26"/>
    </row>
    <row r="1115" spans="3:7" ht="14.45" customHeight="1" outlineLevel="2" thickBot="1" x14ac:dyDescent="0.3">
      <c r="E1115" s="27" t="s">
        <v>851</v>
      </c>
    </row>
    <row r="1116" spans="3:7" ht="14.45" customHeight="1" outlineLevel="3" thickBot="1" x14ac:dyDescent="0.3">
      <c r="F1116" s="28" t="s">
        <v>338</v>
      </c>
    </row>
    <row r="1117" spans="3:7" ht="14.45" customHeight="1" outlineLevel="4" thickBot="1" x14ac:dyDescent="0.3">
      <c r="G1117" s="7" t="s">
        <v>339</v>
      </c>
    </row>
    <row r="1118" spans="3:7" ht="14.45" customHeight="1" outlineLevel="4" thickBot="1" x14ac:dyDescent="0.3">
      <c r="G1118" s="7" t="s">
        <v>340</v>
      </c>
    </row>
    <row r="1119" spans="3:7" ht="14.45" customHeight="1" outlineLevel="3" thickBot="1" x14ac:dyDescent="0.3">
      <c r="F1119" s="28" t="s">
        <v>1372</v>
      </c>
    </row>
    <row r="1120" spans="3:7" ht="14.45" customHeight="1" outlineLevel="4" thickBot="1" x14ac:dyDescent="0.3">
      <c r="G1120" s="7" t="s">
        <v>852</v>
      </c>
    </row>
    <row r="1121" spans="5:7" ht="14.45" customHeight="1" outlineLevel="4" thickBot="1" x14ac:dyDescent="0.3">
      <c r="G1121" s="7" t="s">
        <v>853</v>
      </c>
    </row>
    <row r="1122" spans="5:7" ht="14.45" customHeight="1" outlineLevel="4" thickBot="1" x14ac:dyDescent="0.3">
      <c r="G1122" s="7" t="s">
        <v>854</v>
      </c>
    </row>
    <row r="1123" spans="5:7" ht="14.45" customHeight="1" outlineLevel="4" thickBot="1" x14ac:dyDescent="0.3">
      <c r="G1123" s="7" t="s">
        <v>855</v>
      </c>
    </row>
    <row r="1124" spans="5:7" ht="14.45" customHeight="1" outlineLevel="4" thickBot="1" x14ac:dyDescent="0.3">
      <c r="G1124" s="7" t="s">
        <v>856</v>
      </c>
    </row>
    <row r="1125" spans="5:7" ht="14.45" customHeight="1" outlineLevel="3" thickBot="1" x14ac:dyDescent="0.3">
      <c r="F1125" s="28" t="s">
        <v>857</v>
      </c>
    </row>
    <row r="1126" spans="5:7" ht="14.45" customHeight="1" outlineLevel="4" thickBot="1" x14ac:dyDescent="0.3">
      <c r="G1126" s="7" t="s">
        <v>858</v>
      </c>
    </row>
    <row r="1127" spans="5:7" ht="14.45" customHeight="1" outlineLevel="4" thickBot="1" x14ac:dyDescent="0.3">
      <c r="G1127" s="7" t="s">
        <v>859</v>
      </c>
    </row>
    <row r="1128" spans="5:7" ht="14.45" customHeight="1" outlineLevel="3" thickBot="1" x14ac:dyDescent="0.3">
      <c r="F1128" s="28" t="s">
        <v>860</v>
      </c>
    </row>
    <row r="1129" spans="5:7" ht="14.45" customHeight="1" outlineLevel="4" thickBot="1" x14ac:dyDescent="0.3"/>
    <row r="1130" spans="5:7" ht="14.45" customHeight="1" outlineLevel="3" thickBot="1" x14ac:dyDescent="0.3">
      <c r="F1130" s="28" t="s">
        <v>861</v>
      </c>
    </row>
    <row r="1131" spans="5:7" ht="14.45" customHeight="1" outlineLevel="4" thickBot="1" x14ac:dyDescent="0.3"/>
    <row r="1132" spans="5:7" ht="14.45" customHeight="1" outlineLevel="3" thickBot="1" x14ac:dyDescent="0.3"/>
    <row r="1133" spans="5:7" ht="14.45" customHeight="1" outlineLevel="2" thickBot="1" x14ac:dyDescent="0.3">
      <c r="E1133" s="27" t="s">
        <v>862</v>
      </c>
    </row>
    <row r="1134" spans="5:7" ht="14.45" customHeight="1" outlineLevel="3" thickBot="1" x14ac:dyDescent="0.3">
      <c r="F1134" s="28" t="s">
        <v>338</v>
      </c>
    </row>
    <row r="1135" spans="5:7" ht="14.45" customHeight="1" outlineLevel="4" thickBot="1" x14ac:dyDescent="0.3">
      <c r="G1135" s="7" t="s">
        <v>339</v>
      </c>
    </row>
    <row r="1136" spans="5:7" ht="14.45" customHeight="1" outlineLevel="4" thickBot="1" x14ac:dyDescent="0.3">
      <c r="G1136" s="7" t="s">
        <v>863</v>
      </c>
    </row>
    <row r="1137" spans="4:7" ht="14.45" customHeight="1" outlineLevel="3" thickBot="1" x14ac:dyDescent="0.3">
      <c r="F1137" s="28" t="s">
        <v>864</v>
      </c>
    </row>
    <row r="1138" spans="4:7" ht="14.45" customHeight="1" outlineLevel="4" thickBot="1" x14ac:dyDescent="0.3">
      <c r="G1138" s="7" t="s">
        <v>865</v>
      </c>
    </row>
    <row r="1139" spans="4:7" ht="14.45" customHeight="1" outlineLevel="4" thickBot="1" x14ac:dyDescent="0.3">
      <c r="G1139" s="7" t="s">
        <v>866</v>
      </c>
    </row>
    <row r="1140" spans="4:7" ht="14.45" customHeight="1" outlineLevel="4" thickBot="1" x14ac:dyDescent="0.3">
      <c r="G1140" s="7" t="s">
        <v>867</v>
      </c>
    </row>
    <row r="1141" spans="4:7" ht="14.45" customHeight="1" outlineLevel="4" thickBot="1" x14ac:dyDescent="0.3">
      <c r="G1141" s="7" t="s">
        <v>868</v>
      </c>
    </row>
    <row r="1142" spans="4:7" ht="14.45" customHeight="1" outlineLevel="3" thickBot="1" x14ac:dyDescent="0.3">
      <c r="F1142" s="28" t="s">
        <v>869</v>
      </c>
    </row>
    <row r="1143" spans="4:7" ht="14.45" customHeight="1" outlineLevel="4" thickBot="1" x14ac:dyDescent="0.3">
      <c r="G1143" s="7" t="s">
        <v>858</v>
      </c>
    </row>
    <row r="1144" spans="4:7" ht="14.45" customHeight="1" outlineLevel="4" thickBot="1" x14ac:dyDescent="0.3">
      <c r="G1144" s="7" t="s">
        <v>870</v>
      </c>
    </row>
    <row r="1145" spans="4:7" ht="14.45" customHeight="1" outlineLevel="3" thickBot="1" x14ac:dyDescent="0.3"/>
    <row r="1146" spans="4:7" ht="14.45" customHeight="1" outlineLevel="2" thickBot="1" x14ac:dyDescent="0.3"/>
    <row r="1147" spans="4:7" ht="14.45" customHeight="1" outlineLevel="1" thickBot="1" x14ac:dyDescent="0.3">
      <c r="D1147" s="26" t="s">
        <v>45</v>
      </c>
      <c r="E1147" s="26"/>
    </row>
    <row r="1148" spans="4:7" ht="14.45" customHeight="1" outlineLevel="2" thickBot="1" x14ac:dyDescent="0.3">
      <c r="E1148" s="27" t="s">
        <v>871</v>
      </c>
    </row>
    <row r="1149" spans="4:7" ht="14.45" customHeight="1" outlineLevel="4" thickBot="1" x14ac:dyDescent="0.3"/>
    <row r="1150" spans="4:7" ht="14.45" customHeight="1" outlineLevel="3" thickBot="1" x14ac:dyDescent="0.3"/>
    <row r="1151" spans="4:7" ht="14.45" customHeight="1" outlineLevel="2" thickBot="1" x14ac:dyDescent="0.3">
      <c r="E1151" s="27" t="s">
        <v>872</v>
      </c>
    </row>
    <row r="1152" spans="4:7" ht="14.45" customHeight="1" outlineLevel="4" thickBot="1" x14ac:dyDescent="0.3"/>
    <row r="1153" spans="5:6" ht="14.45" customHeight="1" outlineLevel="3" thickBot="1" x14ac:dyDescent="0.3"/>
    <row r="1154" spans="5:6" ht="14.45" customHeight="1" outlineLevel="2" thickBot="1" x14ac:dyDescent="0.3">
      <c r="E1154" s="27" t="s">
        <v>873</v>
      </c>
    </row>
    <row r="1155" spans="5:6" ht="14.45" customHeight="1" outlineLevel="3" thickBot="1" x14ac:dyDescent="0.3">
      <c r="F1155" s="28" t="s">
        <v>874</v>
      </c>
    </row>
    <row r="1156" spans="5:6" ht="14.45" customHeight="1" outlineLevel="4" thickBot="1" x14ac:dyDescent="0.3"/>
    <row r="1157" spans="5:6" ht="14.45" customHeight="1" outlineLevel="3" thickBot="1" x14ac:dyDescent="0.3">
      <c r="F1157" s="28" t="s">
        <v>875</v>
      </c>
    </row>
    <row r="1158" spans="5:6" ht="14.45" customHeight="1" outlineLevel="4" thickBot="1" x14ac:dyDescent="0.3"/>
    <row r="1159" spans="5:6" ht="14.45" customHeight="1" outlineLevel="3" thickBot="1" x14ac:dyDescent="0.3">
      <c r="F1159" s="28" t="s">
        <v>876</v>
      </c>
    </row>
    <row r="1160" spans="5:6" ht="14.45" customHeight="1" outlineLevel="4" thickBot="1" x14ac:dyDescent="0.3"/>
    <row r="1161" spans="5:6" ht="14.45" customHeight="1" outlineLevel="3" thickBot="1" x14ac:dyDescent="0.3"/>
    <row r="1162" spans="5:6" ht="14.45" customHeight="1" outlineLevel="2" thickBot="1" x14ac:dyDescent="0.3">
      <c r="E1162" s="27" t="s">
        <v>877</v>
      </c>
    </row>
    <row r="1163" spans="5:6" ht="14.45" customHeight="1" outlineLevel="3" thickBot="1" x14ac:dyDescent="0.3">
      <c r="F1163" s="28" t="s">
        <v>878</v>
      </c>
    </row>
    <row r="1164" spans="5:6" ht="14.45" customHeight="1" outlineLevel="4" thickBot="1" x14ac:dyDescent="0.3"/>
    <row r="1165" spans="5:6" ht="14.45" customHeight="1" outlineLevel="3" thickBot="1" x14ac:dyDescent="0.3">
      <c r="F1165" s="28" t="s">
        <v>879</v>
      </c>
    </row>
    <row r="1166" spans="5:6" ht="14.45" customHeight="1" outlineLevel="4" thickBot="1" x14ac:dyDescent="0.3"/>
    <row r="1167" spans="5:6" ht="14.45" customHeight="1" outlineLevel="3" thickBot="1" x14ac:dyDescent="0.3">
      <c r="F1167" s="28" t="s">
        <v>880</v>
      </c>
    </row>
    <row r="1168" spans="5:6" ht="14.45" customHeight="1" outlineLevel="4" thickBot="1" x14ac:dyDescent="0.3"/>
    <row r="1169" spans="4:7" ht="14.45" customHeight="1" outlineLevel="3" thickBot="1" x14ac:dyDescent="0.3"/>
    <row r="1170" spans="4:7" ht="14.45" customHeight="1" outlineLevel="2" thickBot="1" x14ac:dyDescent="0.3">
      <c r="E1170" s="27" t="s">
        <v>881</v>
      </c>
    </row>
    <row r="1171" spans="4:7" ht="14.45" customHeight="1" outlineLevel="3" thickBot="1" x14ac:dyDescent="0.3">
      <c r="F1171" s="28" t="s">
        <v>882</v>
      </c>
    </row>
    <row r="1172" spans="4:7" ht="14.45" customHeight="1" outlineLevel="4" thickBot="1" x14ac:dyDescent="0.3"/>
    <row r="1173" spans="4:7" ht="14.45" customHeight="1" outlineLevel="3" thickBot="1" x14ac:dyDescent="0.3">
      <c r="F1173" s="28" t="s">
        <v>883</v>
      </c>
    </row>
    <row r="1174" spans="4:7" ht="14.45" customHeight="1" outlineLevel="4" thickBot="1" x14ac:dyDescent="0.3"/>
    <row r="1175" spans="4:7" ht="14.45" customHeight="1" outlineLevel="3" thickBot="1" x14ac:dyDescent="0.3"/>
    <row r="1176" spans="4:7" ht="14.45" customHeight="1" outlineLevel="2" thickBot="1" x14ac:dyDescent="0.3"/>
    <row r="1177" spans="4:7" ht="14.45" customHeight="1" outlineLevel="1" thickBot="1" x14ac:dyDescent="0.3">
      <c r="D1177" s="26" t="s">
        <v>46</v>
      </c>
      <c r="E1177" s="26"/>
    </row>
    <row r="1178" spans="4:7" ht="14.45" customHeight="1" outlineLevel="2" thickBot="1" x14ac:dyDescent="0.3">
      <c r="E1178" s="27" t="s">
        <v>884</v>
      </c>
    </row>
    <row r="1179" spans="4:7" ht="14.45" customHeight="1" outlineLevel="3" thickBot="1" x14ac:dyDescent="0.3">
      <c r="F1179" s="28" t="s">
        <v>292</v>
      </c>
    </row>
    <row r="1180" spans="4:7" ht="14.45" customHeight="1" outlineLevel="4" thickBot="1" x14ac:dyDescent="0.3"/>
    <row r="1181" spans="4:7" ht="14.45" customHeight="1" outlineLevel="3" thickBot="1" x14ac:dyDescent="0.3">
      <c r="F1181" s="28" t="s">
        <v>885</v>
      </c>
    </row>
    <row r="1182" spans="4:7" ht="14.45" customHeight="1" outlineLevel="4" thickBot="1" x14ac:dyDescent="0.3">
      <c r="G1182" s="7" t="s">
        <v>449</v>
      </c>
    </row>
    <row r="1183" spans="4:7" ht="14.45" customHeight="1" outlineLevel="4" thickBot="1" x14ac:dyDescent="0.3">
      <c r="G1183" s="7" t="s">
        <v>450</v>
      </c>
    </row>
    <row r="1184" spans="4:7" ht="14.45" customHeight="1" outlineLevel="4" thickBot="1" x14ac:dyDescent="0.3">
      <c r="G1184" s="7" t="s">
        <v>451</v>
      </c>
    </row>
    <row r="1185" spans="6:7" ht="14.45" customHeight="1" outlineLevel="4" thickBot="1" x14ac:dyDescent="0.3">
      <c r="G1185" s="7" t="s">
        <v>886</v>
      </c>
    </row>
    <row r="1186" spans="6:7" ht="14.45" customHeight="1" outlineLevel="3" thickBot="1" x14ac:dyDescent="0.3">
      <c r="F1186" s="28" t="s">
        <v>887</v>
      </c>
    </row>
    <row r="1187" spans="6:7" ht="14.45" customHeight="1" outlineLevel="4" thickBot="1" x14ac:dyDescent="0.3">
      <c r="G1187" s="7" t="s">
        <v>852</v>
      </c>
    </row>
    <row r="1188" spans="6:7" ht="14.45" customHeight="1" outlineLevel="4" thickBot="1" x14ac:dyDescent="0.3">
      <c r="G1188" s="7" t="s">
        <v>853</v>
      </c>
    </row>
    <row r="1189" spans="6:7" ht="14.45" customHeight="1" outlineLevel="4" thickBot="1" x14ac:dyDescent="0.3">
      <c r="G1189" s="7" t="s">
        <v>854</v>
      </c>
    </row>
    <row r="1190" spans="6:7" ht="14.45" customHeight="1" outlineLevel="4" thickBot="1" x14ac:dyDescent="0.3">
      <c r="G1190" s="7" t="s">
        <v>855</v>
      </c>
    </row>
    <row r="1191" spans="6:7" ht="14.45" customHeight="1" outlineLevel="3" thickBot="1" x14ac:dyDescent="0.3">
      <c r="F1191" s="28" t="s">
        <v>888</v>
      </c>
    </row>
    <row r="1192" spans="6:7" ht="14.45" customHeight="1" outlineLevel="4" thickBot="1" x14ac:dyDescent="0.3">
      <c r="G1192" s="7" t="s">
        <v>889</v>
      </c>
    </row>
    <row r="1193" spans="6:7" ht="14.45" customHeight="1" outlineLevel="4" thickBot="1" x14ac:dyDescent="0.3">
      <c r="G1193" s="7" t="s">
        <v>890</v>
      </c>
    </row>
    <row r="1194" spans="6:7" ht="14.45" customHeight="1" outlineLevel="4" thickBot="1" x14ac:dyDescent="0.3">
      <c r="G1194" s="7" t="s">
        <v>891</v>
      </c>
    </row>
    <row r="1195" spans="6:7" ht="14.45" customHeight="1" outlineLevel="4" thickBot="1" x14ac:dyDescent="0.3">
      <c r="G1195" s="7" t="s">
        <v>892</v>
      </c>
    </row>
    <row r="1196" spans="6:7" ht="14.45" customHeight="1" outlineLevel="3" thickBot="1" x14ac:dyDescent="0.3">
      <c r="F1196" s="28" t="s">
        <v>893</v>
      </c>
    </row>
    <row r="1197" spans="6:7" ht="14.45" customHeight="1" outlineLevel="4" thickBot="1" x14ac:dyDescent="0.3">
      <c r="G1197" s="7" t="s">
        <v>894</v>
      </c>
    </row>
    <row r="1198" spans="6:7" ht="14.45" customHeight="1" outlineLevel="4" thickBot="1" x14ac:dyDescent="0.3">
      <c r="G1198" s="7" t="s">
        <v>895</v>
      </c>
    </row>
    <row r="1199" spans="6:7" ht="14.45" customHeight="1" outlineLevel="4" thickBot="1" x14ac:dyDescent="0.3">
      <c r="G1199" s="7" t="s">
        <v>896</v>
      </c>
    </row>
    <row r="1200" spans="6:7" ht="14.45" customHeight="1" outlineLevel="3" thickBot="1" x14ac:dyDescent="0.3">
      <c r="F1200" s="28" t="s">
        <v>897</v>
      </c>
    </row>
    <row r="1201" spans="5:7" ht="14.45" customHeight="1" outlineLevel="4" thickBot="1" x14ac:dyDescent="0.3">
      <c r="G1201" s="7" t="s">
        <v>339</v>
      </c>
    </row>
    <row r="1202" spans="5:7" ht="14.45" customHeight="1" outlineLevel="4" thickBot="1" x14ac:dyDescent="0.3">
      <c r="G1202" s="7" t="s">
        <v>898</v>
      </c>
    </row>
    <row r="1203" spans="5:7" ht="14.45" customHeight="1" outlineLevel="4" thickBot="1" x14ac:dyDescent="0.3">
      <c r="G1203" s="7" t="s">
        <v>899</v>
      </c>
    </row>
    <row r="1204" spans="5:7" ht="14.45" customHeight="1" outlineLevel="4" thickBot="1" x14ac:dyDescent="0.3">
      <c r="G1204" s="7" t="s">
        <v>900</v>
      </c>
    </row>
    <row r="1205" spans="5:7" ht="14.45" customHeight="1" outlineLevel="3" thickBot="1" x14ac:dyDescent="0.3"/>
    <row r="1206" spans="5:7" ht="14.45" customHeight="1" outlineLevel="2" thickBot="1" x14ac:dyDescent="0.3">
      <c r="E1206" s="27" t="s">
        <v>901</v>
      </c>
    </row>
    <row r="1207" spans="5:7" ht="14.45" customHeight="1" outlineLevel="3" thickBot="1" x14ac:dyDescent="0.3">
      <c r="F1207" s="28" t="s">
        <v>292</v>
      </c>
    </row>
    <row r="1208" spans="5:7" ht="14.45" customHeight="1" outlineLevel="4" thickBot="1" x14ac:dyDescent="0.3"/>
    <row r="1209" spans="5:7" ht="14.45" customHeight="1" outlineLevel="3" thickBot="1" x14ac:dyDescent="0.3">
      <c r="F1209" s="28" t="s">
        <v>885</v>
      </c>
    </row>
    <row r="1210" spans="5:7" ht="14.45" customHeight="1" outlineLevel="4" thickBot="1" x14ac:dyDescent="0.3">
      <c r="G1210" s="7" t="s">
        <v>449</v>
      </c>
    </row>
    <row r="1211" spans="5:7" ht="14.45" customHeight="1" outlineLevel="4" thickBot="1" x14ac:dyDescent="0.3">
      <c r="G1211" s="7" t="s">
        <v>450</v>
      </c>
    </row>
    <row r="1212" spans="5:7" ht="14.45" customHeight="1" outlineLevel="4" thickBot="1" x14ac:dyDescent="0.3">
      <c r="G1212" s="7" t="s">
        <v>451</v>
      </c>
    </row>
    <row r="1213" spans="5:7" ht="14.45" customHeight="1" outlineLevel="3" thickBot="1" x14ac:dyDescent="0.3">
      <c r="F1213" s="28" t="s">
        <v>887</v>
      </c>
    </row>
    <row r="1214" spans="5:7" ht="14.45" customHeight="1" outlineLevel="4" thickBot="1" x14ac:dyDescent="0.3"/>
    <row r="1215" spans="5:7" ht="14.45" customHeight="1" outlineLevel="3" thickBot="1" x14ac:dyDescent="0.3">
      <c r="F1215" s="28" t="s">
        <v>902</v>
      </c>
    </row>
    <row r="1216" spans="5:7" ht="14.45" customHeight="1" outlineLevel="4" thickBot="1" x14ac:dyDescent="0.3"/>
    <row r="1217" spans="3:7" ht="14.45" customHeight="1" outlineLevel="3" thickBot="1" x14ac:dyDescent="0.3">
      <c r="F1217" s="28" t="s">
        <v>903</v>
      </c>
    </row>
    <row r="1218" spans="3:7" ht="14.45" customHeight="1" outlineLevel="4" thickBot="1" x14ac:dyDescent="0.3">
      <c r="G1218" s="7" t="s">
        <v>449</v>
      </c>
    </row>
    <row r="1219" spans="3:7" ht="14.45" customHeight="1" outlineLevel="4" thickBot="1" x14ac:dyDescent="0.3">
      <c r="G1219" s="7" t="s">
        <v>450</v>
      </c>
    </row>
    <row r="1220" spans="3:7" ht="14.45" customHeight="1" outlineLevel="4" thickBot="1" x14ac:dyDescent="0.3">
      <c r="G1220" s="7" t="s">
        <v>451</v>
      </c>
    </row>
    <row r="1221" spans="3:7" ht="14.45" customHeight="1" outlineLevel="3" thickBot="1" x14ac:dyDescent="0.3">
      <c r="F1221" s="28" t="s">
        <v>904</v>
      </c>
    </row>
    <row r="1222" spans="3:7" ht="14.45" customHeight="1" outlineLevel="4" thickBot="1" x14ac:dyDescent="0.3"/>
    <row r="1223" spans="3:7" ht="14.45" customHeight="1" outlineLevel="3" thickBot="1" x14ac:dyDescent="0.3">
      <c r="F1223" s="28" t="s">
        <v>905</v>
      </c>
    </row>
    <row r="1224" spans="3:7" ht="14.45" customHeight="1" outlineLevel="4" thickBot="1" x14ac:dyDescent="0.3"/>
    <row r="1225" spans="3:7" ht="14.45" customHeight="1" outlineLevel="3" thickBot="1" x14ac:dyDescent="0.3"/>
    <row r="1226" spans="3:7" ht="14.45" customHeight="1" outlineLevel="2" thickBot="1" x14ac:dyDescent="0.3"/>
    <row r="1227" spans="3:7" ht="14.45" customHeight="1" outlineLevel="1" thickBot="1" x14ac:dyDescent="0.3"/>
    <row r="1228" spans="3:7" ht="14.45" customHeight="1" thickBot="1" x14ac:dyDescent="0.3">
      <c r="C1228" s="25" t="s">
        <v>906</v>
      </c>
      <c r="D1228" s="25"/>
    </row>
    <row r="1229" spans="3:7" ht="14.45" customHeight="1" outlineLevel="1" thickBot="1" x14ac:dyDescent="0.3">
      <c r="D1229" s="26" t="s">
        <v>907</v>
      </c>
      <c r="E1229" s="26"/>
    </row>
    <row r="1230" spans="3:7" ht="14.45" customHeight="1" outlineLevel="2" thickBot="1" x14ac:dyDescent="0.3">
      <c r="E1230" s="27" t="s">
        <v>908</v>
      </c>
    </row>
    <row r="1231" spans="3:7" ht="14.45" customHeight="1" outlineLevel="4" thickBot="1" x14ac:dyDescent="0.3"/>
    <row r="1232" spans="3:7" ht="14.45" customHeight="1" outlineLevel="3" thickBot="1" x14ac:dyDescent="0.3"/>
    <row r="1233" spans="4:7" ht="14.45" customHeight="1" outlineLevel="2" thickBot="1" x14ac:dyDescent="0.3">
      <c r="E1233" s="27" t="s">
        <v>909</v>
      </c>
    </row>
    <row r="1234" spans="4:7" ht="14.45" customHeight="1" outlineLevel="4" thickBot="1" x14ac:dyDescent="0.3"/>
    <row r="1235" spans="4:7" ht="14.45" customHeight="1" outlineLevel="3" thickBot="1" x14ac:dyDescent="0.3"/>
    <row r="1236" spans="4:7" ht="14.45" customHeight="1" outlineLevel="2" thickBot="1" x14ac:dyDescent="0.3"/>
    <row r="1237" spans="4:7" ht="14.45" customHeight="1" outlineLevel="1" thickBot="1" x14ac:dyDescent="0.3">
      <c r="D1237" s="26" t="s">
        <v>47</v>
      </c>
      <c r="E1237" s="26"/>
    </row>
    <row r="1238" spans="4:7" ht="14.45" customHeight="1" outlineLevel="2" thickBot="1" x14ac:dyDescent="0.3">
      <c r="E1238" s="27" t="s">
        <v>910</v>
      </c>
    </row>
    <row r="1239" spans="4:7" ht="14.45" customHeight="1" outlineLevel="3" thickBot="1" x14ac:dyDescent="0.3">
      <c r="F1239" s="28" t="s">
        <v>911</v>
      </c>
    </row>
    <row r="1240" spans="4:7" ht="14.45" customHeight="1" outlineLevel="4" thickBot="1" x14ac:dyDescent="0.3">
      <c r="G1240" s="7" t="s">
        <v>339</v>
      </c>
    </row>
    <row r="1241" spans="4:7" ht="14.45" customHeight="1" outlineLevel="4" thickBot="1" x14ac:dyDescent="0.3">
      <c r="G1241" s="7" t="s">
        <v>912</v>
      </c>
    </row>
    <row r="1242" spans="4:7" ht="14.45" customHeight="1" outlineLevel="3" thickBot="1" x14ac:dyDescent="0.3">
      <c r="F1242" s="28" t="s">
        <v>913</v>
      </c>
    </row>
    <row r="1243" spans="4:7" ht="14.45" customHeight="1" outlineLevel="4" thickBot="1" x14ac:dyDescent="0.3"/>
    <row r="1244" spans="4:7" ht="14.45" customHeight="1" outlineLevel="3" thickBot="1" x14ac:dyDescent="0.3"/>
    <row r="1245" spans="4:7" ht="14.45" customHeight="1" outlineLevel="2" thickBot="1" x14ac:dyDescent="0.3">
      <c r="E1245" s="27" t="s">
        <v>914</v>
      </c>
    </row>
    <row r="1246" spans="4:7" ht="14.45" customHeight="1" outlineLevel="3" thickBot="1" x14ac:dyDescent="0.3">
      <c r="F1246" s="28" t="s">
        <v>338</v>
      </c>
    </row>
    <row r="1247" spans="4:7" ht="14.45" customHeight="1" outlineLevel="4" thickBot="1" x14ac:dyDescent="0.3">
      <c r="G1247" s="7" t="s">
        <v>915</v>
      </c>
    </row>
    <row r="1248" spans="4:7" ht="14.45" customHeight="1" outlineLevel="4" thickBot="1" x14ac:dyDescent="0.3">
      <c r="G1248" s="7" t="s">
        <v>916</v>
      </c>
    </row>
    <row r="1249" spans="5:7" ht="14.45" customHeight="1" outlineLevel="4" thickBot="1" x14ac:dyDescent="0.3">
      <c r="G1249" s="7" t="s">
        <v>917</v>
      </c>
    </row>
    <row r="1250" spans="5:7" ht="14.45" customHeight="1" outlineLevel="3" thickBot="1" x14ac:dyDescent="0.3">
      <c r="F1250" s="28" t="s">
        <v>918</v>
      </c>
    </row>
    <row r="1251" spans="5:7" ht="14.45" customHeight="1" outlineLevel="4" thickBot="1" x14ac:dyDescent="0.3">
      <c r="G1251" s="7" t="s">
        <v>919</v>
      </c>
    </row>
    <row r="1252" spans="5:7" ht="14.45" customHeight="1" outlineLevel="4" thickBot="1" x14ac:dyDescent="0.3">
      <c r="G1252" s="7" t="s">
        <v>920</v>
      </c>
    </row>
    <row r="1253" spans="5:7" ht="14.45" customHeight="1" outlineLevel="4" thickBot="1" x14ac:dyDescent="0.3">
      <c r="G1253" s="7" t="s">
        <v>921</v>
      </c>
    </row>
    <row r="1254" spans="5:7" ht="14.45" customHeight="1" outlineLevel="4" thickBot="1" x14ac:dyDescent="0.3">
      <c r="G1254" s="7" t="s">
        <v>922</v>
      </c>
    </row>
    <row r="1255" spans="5:7" ht="14.45" customHeight="1" outlineLevel="4" thickBot="1" x14ac:dyDescent="0.3">
      <c r="G1255" s="7" t="s">
        <v>923</v>
      </c>
    </row>
    <row r="1256" spans="5:7" ht="14.45" customHeight="1" outlineLevel="3" thickBot="1" x14ac:dyDescent="0.3">
      <c r="F1256" s="28" t="s">
        <v>924</v>
      </c>
    </row>
    <row r="1257" spans="5:7" ht="14.45" customHeight="1" outlineLevel="4" thickBot="1" x14ac:dyDescent="0.3">
      <c r="G1257" s="7" t="s">
        <v>449</v>
      </c>
    </row>
    <row r="1258" spans="5:7" ht="14.45" customHeight="1" outlineLevel="4" thickBot="1" x14ac:dyDescent="0.3">
      <c r="G1258" s="7" t="s">
        <v>450</v>
      </c>
    </row>
    <row r="1259" spans="5:7" ht="14.45" customHeight="1" outlineLevel="4" thickBot="1" x14ac:dyDescent="0.3">
      <c r="G1259" s="7" t="s">
        <v>451</v>
      </c>
    </row>
    <row r="1260" spans="5:7" ht="14.45" customHeight="1" outlineLevel="3" thickBot="1" x14ac:dyDescent="0.3"/>
    <row r="1261" spans="5:7" ht="14.45" customHeight="1" outlineLevel="2" thickBot="1" x14ac:dyDescent="0.3">
      <c r="E1261" s="27" t="s">
        <v>925</v>
      </c>
    </row>
    <row r="1262" spans="5:7" ht="14.45" customHeight="1" outlineLevel="3" thickBot="1" x14ac:dyDescent="0.3">
      <c r="F1262" s="28" t="s">
        <v>926</v>
      </c>
    </row>
    <row r="1263" spans="5:7" ht="14.45" customHeight="1" outlineLevel="4" thickBot="1" x14ac:dyDescent="0.3">
      <c r="G1263" s="7" t="s">
        <v>927</v>
      </c>
    </row>
    <row r="1264" spans="5:7" ht="14.45" customHeight="1" outlineLevel="4" thickBot="1" x14ac:dyDescent="0.3">
      <c r="G1264" s="7" t="s">
        <v>928</v>
      </c>
    </row>
    <row r="1265" spans="5:7" ht="14.45" customHeight="1" outlineLevel="4" thickBot="1" x14ac:dyDescent="0.3">
      <c r="G1265" s="7" t="s">
        <v>929</v>
      </c>
    </row>
    <row r="1266" spans="5:7" ht="14.45" customHeight="1" outlineLevel="3" thickBot="1" x14ac:dyDescent="0.3">
      <c r="F1266" s="28" t="s">
        <v>930</v>
      </c>
    </row>
    <row r="1267" spans="5:7" ht="14.45" customHeight="1" outlineLevel="4" thickBot="1" x14ac:dyDescent="0.3">
      <c r="G1267" s="7" t="s">
        <v>931</v>
      </c>
    </row>
    <row r="1268" spans="5:7" ht="14.45" customHeight="1" outlineLevel="4" thickBot="1" x14ac:dyDescent="0.3">
      <c r="G1268" s="7" t="s">
        <v>932</v>
      </c>
    </row>
    <row r="1269" spans="5:7" ht="14.45" customHeight="1" outlineLevel="3" thickBot="1" x14ac:dyDescent="0.3">
      <c r="F1269" s="28" t="s">
        <v>933</v>
      </c>
    </row>
    <row r="1270" spans="5:7" ht="14.45" customHeight="1" outlineLevel="4" thickBot="1" x14ac:dyDescent="0.3">
      <c r="G1270" s="7" t="s">
        <v>934</v>
      </c>
    </row>
    <row r="1271" spans="5:7" ht="14.45" customHeight="1" outlineLevel="4" thickBot="1" x14ac:dyDescent="0.3">
      <c r="G1271" s="7" t="s">
        <v>935</v>
      </c>
    </row>
    <row r="1272" spans="5:7" ht="14.45" customHeight="1" outlineLevel="4" thickBot="1" x14ac:dyDescent="0.3">
      <c r="G1272" s="7" t="s">
        <v>936</v>
      </c>
    </row>
    <row r="1273" spans="5:7" ht="14.45" customHeight="1" outlineLevel="4" thickBot="1" x14ac:dyDescent="0.3">
      <c r="G1273" s="7" t="s">
        <v>937</v>
      </c>
    </row>
    <row r="1274" spans="5:7" ht="14.45" customHeight="1" outlineLevel="4" thickBot="1" x14ac:dyDescent="0.3">
      <c r="G1274" s="7" t="s">
        <v>938</v>
      </c>
    </row>
    <row r="1275" spans="5:7" ht="14.45" customHeight="1" outlineLevel="3" thickBot="1" x14ac:dyDescent="0.3"/>
    <row r="1276" spans="5:7" ht="14.45" customHeight="1" outlineLevel="2" thickBot="1" x14ac:dyDescent="0.3">
      <c r="E1276" s="27" t="s">
        <v>939</v>
      </c>
    </row>
    <row r="1277" spans="5:7" ht="14.45" customHeight="1" outlineLevel="3" thickBot="1" x14ac:dyDescent="0.3">
      <c r="F1277" s="28" t="s">
        <v>940</v>
      </c>
    </row>
    <row r="1278" spans="5:7" ht="14.45" customHeight="1" outlineLevel="4" thickBot="1" x14ac:dyDescent="0.3"/>
    <row r="1279" spans="5:7" ht="14.45" customHeight="1" outlineLevel="3" thickBot="1" x14ac:dyDescent="0.3">
      <c r="F1279" s="28" t="s">
        <v>941</v>
      </c>
    </row>
    <row r="1280" spans="5:7" ht="14.45" customHeight="1" outlineLevel="4" thickBot="1" x14ac:dyDescent="0.3"/>
    <row r="1281" spans="6:7" ht="14.45" customHeight="1" outlineLevel="3" thickBot="1" x14ac:dyDescent="0.3">
      <c r="F1281" s="28" t="s">
        <v>942</v>
      </c>
    </row>
    <row r="1282" spans="6:7" ht="14.45" customHeight="1" outlineLevel="4" thickBot="1" x14ac:dyDescent="0.3"/>
    <row r="1283" spans="6:7" ht="14.45" customHeight="1" outlineLevel="3" thickBot="1" x14ac:dyDescent="0.3">
      <c r="F1283" s="28" t="s">
        <v>943</v>
      </c>
    </row>
    <row r="1284" spans="6:7" ht="14.45" customHeight="1" outlineLevel="4" thickBot="1" x14ac:dyDescent="0.3">
      <c r="G1284" s="7" t="s">
        <v>944</v>
      </c>
    </row>
    <row r="1285" spans="6:7" ht="14.45" customHeight="1" outlineLevel="4" thickBot="1" x14ac:dyDescent="0.3">
      <c r="G1285" s="7" t="s">
        <v>945</v>
      </c>
    </row>
    <row r="1286" spans="6:7" ht="14.45" customHeight="1" outlineLevel="3" thickBot="1" x14ac:dyDescent="0.3">
      <c r="F1286" s="28" t="s">
        <v>946</v>
      </c>
    </row>
    <row r="1287" spans="6:7" ht="14.45" customHeight="1" outlineLevel="4" thickBot="1" x14ac:dyDescent="0.3">
      <c r="G1287" s="7" t="s">
        <v>947</v>
      </c>
    </row>
    <row r="1288" spans="6:7" ht="14.45" customHeight="1" outlineLevel="4" thickBot="1" x14ac:dyDescent="0.3">
      <c r="G1288" s="7" t="s">
        <v>948</v>
      </c>
    </row>
    <row r="1289" spans="6:7" ht="14.45" customHeight="1" outlineLevel="4" thickBot="1" x14ac:dyDescent="0.3">
      <c r="G1289" s="7" t="s">
        <v>949</v>
      </c>
    </row>
    <row r="1290" spans="6:7" ht="14.45" customHeight="1" outlineLevel="4" thickBot="1" x14ac:dyDescent="0.3">
      <c r="G1290" s="7" t="s">
        <v>950</v>
      </c>
    </row>
    <row r="1291" spans="6:7" ht="14.45" customHeight="1" outlineLevel="4" thickBot="1" x14ac:dyDescent="0.3">
      <c r="G1291" s="7" t="s">
        <v>951</v>
      </c>
    </row>
    <row r="1292" spans="6:7" ht="14.45" customHeight="1" outlineLevel="3" thickBot="1" x14ac:dyDescent="0.3">
      <c r="F1292" s="28" t="s">
        <v>952</v>
      </c>
    </row>
    <row r="1293" spans="6:7" ht="14.45" customHeight="1" outlineLevel="4" thickBot="1" x14ac:dyDescent="0.3">
      <c r="G1293" s="7" t="s">
        <v>953</v>
      </c>
    </row>
    <row r="1294" spans="6:7" ht="14.45" customHeight="1" outlineLevel="4" thickBot="1" x14ac:dyDescent="0.3">
      <c r="G1294" s="7" t="s">
        <v>954</v>
      </c>
    </row>
    <row r="1295" spans="6:7" ht="14.45" customHeight="1" outlineLevel="4" thickBot="1" x14ac:dyDescent="0.3">
      <c r="G1295" s="7" t="s">
        <v>955</v>
      </c>
    </row>
    <row r="1296" spans="6:7" ht="14.45" customHeight="1" outlineLevel="3" thickBot="1" x14ac:dyDescent="0.3"/>
    <row r="1297" spans="3:7" ht="14.45" customHeight="1" outlineLevel="2" thickBot="1" x14ac:dyDescent="0.3">
      <c r="E1297" s="27" t="s">
        <v>956</v>
      </c>
    </row>
    <row r="1298" spans="3:7" ht="14.45" customHeight="1" outlineLevel="3" thickBot="1" x14ac:dyDescent="0.3">
      <c r="F1298" s="28" t="s">
        <v>957</v>
      </c>
    </row>
    <row r="1299" spans="3:7" ht="14.45" customHeight="1" outlineLevel="4" thickBot="1" x14ac:dyDescent="0.3"/>
    <row r="1300" spans="3:7" ht="14.45" customHeight="1" outlineLevel="3" thickBot="1" x14ac:dyDescent="0.3">
      <c r="F1300" s="28" t="s">
        <v>958</v>
      </c>
    </row>
    <row r="1301" spans="3:7" ht="14.45" customHeight="1" outlineLevel="4" thickBot="1" x14ac:dyDescent="0.3">
      <c r="G1301" s="7" t="s">
        <v>339</v>
      </c>
    </row>
    <row r="1302" spans="3:7" ht="14.45" customHeight="1" outlineLevel="4" thickBot="1" x14ac:dyDescent="0.3">
      <c r="G1302" s="7" t="s">
        <v>959</v>
      </c>
    </row>
    <row r="1303" spans="3:7" ht="14.45" customHeight="1" outlineLevel="4" thickBot="1" x14ac:dyDescent="0.3">
      <c r="G1303" s="7" t="s">
        <v>960</v>
      </c>
    </row>
    <row r="1304" spans="3:7" ht="14.45" customHeight="1" outlineLevel="3" thickBot="1" x14ac:dyDescent="0.3">
      <c r="F1304" s="28" t="s">
        <v>961</v>
      </c>
    </row>
    <row r="1305" spans="3:7" ht="14.45" customHeight="1" outlineLevel="4" thickBot="1" x14ac:dyDescent="0.3">
      <c r="G1305" s="7" t="s">
        <v>962</v>
      </c>
    </row>
    <row r="1306" spans="3:7" ht="14.45" customHeight="1" outlineLevel="4" thickBot="1" x14ac:dyDescent="0.3">
      <c r="G1306" s="7" t="s">
        <v>963</v>
      </c>
    </row>
    <row r="1307" spans="3:7" ht="14.45" customHeight="1" outlineLevel="4" thickBot="1" x14ac:dyDescent="0.3">
      <c r="G1307" s="7" t="s">
        <v>964</v>
      </c>
    </row>
    <row r="1308" spans="3:7" ht="14.45" customHeight="1" outlineLevel="4" thickBot="1" x14ac:dyDescent="0.3">
      <c r="G1308" s="7" t="s">
        <v>965</v>
      </c>
    </row>
    <row r="1309" spans="3:7" ht="14.45" customHeight="1" outlineLevel="3" thickBot="1" x14ac:dyDescent="0.3"/>
    <row r="1310" spans="3:7" ht="14.45" customHeight="1" outlineLevel="2" thickBot="1" x14ac:dyDescent="0.3"/>
    <row r="1311" spans="3:7" ht="14.45" customHeight="1" outlineLevel="1" thickBot="1" x14ac:dyDescent="0.3"/>
    <row r="1312" spans="3:7" ht="14.45" customHeight="1" thickBot="1" x14ac:dyDescent="0.3">
      <c r="C1312" s="25" t="s">
        <v>966</v>
      </c>
      <c r="D1312" s="25"/>
    </row>
    <row r="1313" spans="4:7" ht="14.45" customHeight="1" outlineLevel="1" thickBot="1" x14ac:dyDescent="0.3">
      <c r="D1313" s="26" t="s">
        <v>48</v>
      </c>
      <c r="E1313" s="26"/>
    </row>
    <row r="1314" spans="4:7" ht="14.45" customHeight="1" outlineLevel="2" thickBot="1" x14ac:dyDescent="0.3">
      <c r="E1314" s="27" t="s">
        <v>967</v>
      </c>
    </row>
    <row r="1315" spans="4:7" ht="14.45" customHeight="1" outlineLevel="3" thickBot="1" x14ac:dyDescent="0.3">
      <c r="F1315" s="28" t="s">
        <v>338</v>
      </c>
    </row>
    <row r="1316" spans="4:7" ht="14.45" customHeight="1" outlineLevel="4" thickBot="1" x14ac:dyDescent="0.3">
      <c r="G1316" s="7" t="s">
        <v>968</v>
      </c>
    </row>
    <row r="1317" spans="4:7" ht="14.45" customHeight="1" outlineLevel="4" thickBot="1" x14ac:dyDescent="0.3">
      <c r="G1317" s="7" t="s">
        <v>969</v>
      </c>
    </row>
    <row r="1318" spans="4:7" ht="14.45" customHeight="1" outlineLevel="3" thickBot="1" x14ac:dyDescent="0.3">
      <c r="F1318" s="28" t="s">
        <v>970</v>
      </c>
    </row>
    <row r="1319" spans="4:7" ht="14.45" customHeight="1" outlineLevel="4" thickBot="1" x14ac:dyDescent="0.3">
      <c r="G1319" s="7" t="s">
        <v>971</v>
      </c>
    </row>
    <row r="1320" spans="4:7" ht="14.45" customHeight="1" outlineLevel="4" thickBot="1" x14ac:dyDescent="0.3">
      <c r="G1320" s="7" t="s">
        <v>972</v>
      </c>
    </row>
    <row r="1321" spans="4:7" ht="14.45" customHeight="1" outlineLevel="4" thickBot="1" x14ac:dyDescent="0.3">
      <c r="G1321" s="7" t="s">
        <v>973</v>
      </c>
    </row>
    <row r="1322" spans="4:7" ht="14.45" customHeight="1" outlineLevel="3" thickBot="1" x14ac:dyDescent="0.3"/>
    <row r="1323" spans="4:7" ht="14.45" customHeight="1" outlineLevel="2" thickBot="1" x14ac:dyDescent="0.3">
      <c r="E1323" s="27" t="s">
        <v>974</v>
      </c>
    </row>
    <row r="1324" spans="4:7" ht="14.45" customHeight="1" outlineLevel="3" thickBot="1" x14ac:dyDescent="0.3">
      <c r="F1324" s="28" t="s">
        <v>975</v>
      </c>
    </row>
    <row r="1325" spans="4:7" ht="14.45" customHeight="1" outlineLevel="4" thickBot="1" x14ac:dyDescent="0.3">
      <c r="G1325" s="7" t="s">
        <v>339</v>
      </c>
    </row>
    <row r="1326" spans="4:7" ht="14.45" customHeight="1" outlineLevel="4" thickBot="1" x14ac:dyDescent="0.3">
      <c r="G1326" s="7" t="s">
        <v>898</v>
      </c>
    </row>
    <row r="1327" spans="4:7" ht="14.45" customHeight="1" outlineLevel="4" thickBot="1" x14ac:dyDescent="0.3">
      <c r="G1327" s="7" t="s">
        <v>976</v>
      </c>
    </row>
    <row r="1328" spans="4:7" ht="14.45" customHeight="1" outlineLevel="4" thickBot="1" x14ac:dyDescent="0.3">
      <c r="G1328" s="7" t="s">
        <v>977</v>
      </c>
    </row>
    <row r="1329" spans="6:7" ht="14.45" customHeight="1" outlineLevel="4" thickBot="1" x14ac:dyDescent="0.3">
      <c r="G1329" s="7" t="s">
        <v>802</v>
      </c>
    </row>
    <row r="1330" spans="6:7" ht="14.45" customHeight="1" outlineLevel="3" thickBot="1" x14ac:dyDescent="0.3">
      <c r="F1330" s="28" t="s">
        <v>978</v>
      </c>
    </row>
    <row r="1331" spans="6:7" ht="14.45" customHeight="1" outlineLevel="4" thickBot="1" x14ac:dyDescent="0.3">
      <c r="G1331" s="7" t="s">
        <v>339</v>
      </c>
    </row>
    <row r="1332" spans="6:7" ht="14.45" customHeight="1" outlineLevel="4" thickBot="1" x14ac:dyDescent="0.3">
      <c r="G1332" s="7" t="s">
        <v>898</v>
      </c>
    </row>
    <row r="1333" spans="6:7" ht="14.45" customHeight="1" outlineLevel="4" thickBot="1" x14ac:dyDescent="0.3">
      <c r="G1333" s="7" t="s">
        <v>976</v>
      </c>
    </row>
    <row r="1334" spans="6:7" ht="14.45" customHeight="1" outlineLevel="4" thickBot="1" x14ac:dyDescent="0.3">
      <c r="G1334" s="7" t="s">
        <v>977</v>
      </c>
    </row>
    <row r="1335" spans="6:7" ht="14.45" customHeight="1" outlineLevel="3" thickBot="1" x14ac:dyDescent="0.3">
      <c r="F1335" s="28" t="s">
        <v>979</v>
      </c>
    </row>
    <row r="1336" spans="6:7" ht="14.45" customHeight="1" outlineLevel="4" thickBot="1" x14ac:dyDescent="0.3">
      <c r="G1336" s="7" t="s">
        <v>339</v>
      </c>
    </row>
    <row r="1337" spans="6:7" ht="14.45" customHeight="1" outlineLevel="4" thickBot="1" x14ac:dyDescent="0.3">
      <c r="G1337" s="7" t="s">
        <v>898</v>
      </c>
    </row>
    <row r="1338" spans="6:7" ht="14.45" customHeight="1" outlineLevel="4" thickBot="1" x14ac:dyDescent="0.3">
      <c r="G1338" s="7" t="s">
        <v>976</v>
      </c>
    </row>
    <row r="1339" spans="6:7" ht="14.45" customHeight="1" outlineLevel="4" thickBot="1" x14ac:dyDescent="0.3">
      <c r="G1339" s="7" t="s">
        <v>977</v>
      </c>
    </row>
    <row r="1340" spans="6:7" ht="14.45" customHeight="1" outlineLevel="3" thickBot="1" x14ac:dyDescent="0.3">
      <c r="F1340" s="28" t="s">
        <v>980</v>
      </c>
    </row>
    <row r="1341" spans="6:7" ht="14.45" customHeight="1" outlineLevel="4" thickBot="1" x14ac:dyDescent="0.3">
      <c r="G1341" s="7" t="s">
        <v>339</v>
      </c>
    </row>
    <row r="1342" spans="6:7" ht="14.45" customHeight="1" outlineLevel="4" thickBot="1" x14ac:dyDescent="0.3">
      <c r="G1342" s="7" t="s">
        <v>981</v>
      </c>
    </row>
    <row r="1343" spans="6:7" ht="14.45" customHeight="1" outlineLevel="4" thickBot="1" x14ac:dyDescent="0.3">
      <c r="G1343" s="7" t="s">
        <v>982</v>
      </c>
    </row>
    <row r="1344" spans="6:7" ht="14.45" customHeight="1" outlineLevel="4" thickBot="1" x14ac:dyDescent="0.3">
      <c r="G1344" s="7" t="s">
        <v>983</v>
      </c>
    </row>
    <row r="1345" spans="4:7" ht="14.45" customHeight="1" outlineLevel="4" thickBot="1" x14ac:dyDescent="0.3">
      <c r="G1345" s="7" t="s">
        <v>984</v>
      </c>
    </row>
    <row r="1346" spans="4:7" ht="14.45" customHeight="1" outlineLevel="3" thickBot="1" x14ac:dyDescent="0.3"/>
    <row r="1347" spans="4:7" ht="14.45" customHeight="1" outlineLevel="2" thickBot="1" x14ac:dyDescent="0.3"/>
    <row r="1348" spans="4:7" ht="14.45" customHeight="1" outlineLevel="1" thickBot="1" x14ac:dyDescent="0.3">
      <c r="D1348" s="26" t="s">
        <v>49</v>
      </c>
      <c r="E1348" s="26"/>
    </row>
    <row r="1349" spans="4:7" ht="14.45" customHeight="1" outlineLevel="2" thickBot="1" x14ac:dyDescent="0.3">
      <c r="E1349" s="27" t="s">
        <v>985</v>
      </c>
    </row>
    <row r="1350" spans="4:7" ht="14.45" customHeight="1" outlineLevel="3" thickBot="1" x14ac:dyDescent="0.3">
      <c r="F1350" s="28" t="s">
        <v>986</v>
      </c>
    </row>
    <row r="1351" spans="4:7" ht="14.45" customHeight="1" outlineLevel="4" thickBot="1" x14ac:dyDescent="0.3"/>
    <row r="1352" spans="4:7" ht="14.45" customHeight="1" outlineLevel="3" thickBot="1" x14ac:dyDescent="0.3">
      <c r="F1352" s="28" t="s">
        <v>987</v>
      </c>
    </row>
    <row r="1353" spans="4:7" ht="14.45" customHeight="1" outlineLevel="4" thickBot="1" x14ac:dyDescent="0.3">
      <c r="G1353" s="7" t="s">
        <v>988</v>
      </c>
    </row>
    <row r="1354" spans="4:7" ht="14.45" customHeight="1" outlineLevel="4" thickBot="1" x14ac:dyDescent="0.3">
      <c r="G1354" s="7" t="s">
        <v>989</v>
      </c>
    </row>
    <row r="1355" spans="4:7" ht="14.45" customHeight="1" outlineLevel="4" thickBot="1" x14ac:dyDescent="0.3">
      <c r="G1355" s="7" t="s">
        <v>990</v>
      </c>
    </row>
    <row r="1356" spans="4:7" ht="14.45" customHeight="1" outlineLevel="3" thickBot="1" x14ac:dyDescent="0.3">
      <c r="F1356" s="28" t="s">
        <v>991</v>
      </c>
    </row>
    <row r="1357" spans="4:7" ht="14.45" customHeight="1" outlineLevel="4" thickBot="1" x14ac:dyDescent="0.3">
      <c r="G1357" s="7" t="s">
        <v>992</v>
      </c>
    </row>
    <row r="1358" spans="4:7" ht="14.45" customHeight="1" outlineLevel="4" thickBot="1" x14ac:dyDescent="0.3">
      <c r="G1358" s="7" t="s">
        <v>993</v>
      </c>
    </row>
    <row r="1359" spans="4:7" ht="14.45" customHeight="1" outlineLevel="4" thickBot="1" x14ac:dyDescent="0.3">
      <c r="G1359" s="7" t="s">
        <v>994</v>
      </c>
    </row>
    <row r="1360" spans="4:7" ht="14.45" customHeight="1" outlineLevel="3" thickBot="1" x14ac:dyDescent="0.3">
      <c r="F1360" s="28" t="s">
        <v>995</v>
      </c>
    </row>
    <row r="1361" spans="5:7" ht="14.45" customHeight="1" outlineLevel="4" thickBot="1" x14ac:dyDescent="0.3">
      <c r="G1361" s="7" t="s">
        <v>996</v>
      </c>
    </row>
    <row r="1362" spans="5:7" ht="14.45" customHeight="1" outlineLevel="4" thickBot="1" x14ac:dyDescent="0.3">
      <c r="G1362" s="7" t="s">
        <v>997</v>
      </c>
    </row>
    <row r="1363" spans="5:7" ht="14.45" customHeight="1" outlineLevel="4" thickBot="1" x14ac:dyDescent="0.3">
      <c r="G1363" s="7" t="s">
        <v>998</v>
      </c>
    </row>
    <row r="1364" spans="5:7" ht="14.45" customHeight="1" outlineLevel="4" thickBot="1" x14ac:dyDescent="0.3">
      <c r="G1364" s="7" t="s">
        <v>999</v>
      </c>
    </row>
    <row r="1365" spans="5:7" ht="14.45" customHeight="1" outlineLevel="4" thickBot="1" x14ac:dyDescent="0.3">
      <c r="G1365" s="7" t="s">
        <v>1000</v>
      </c>
    </row>
    <row r="1366" spans="5:7" ht="14.45" customHeight="1" outlineLevel="3" thickBot="1" x14ac:dyDescent="0.3">
      <c r="F1366" s="28" t="s">
        <v>1001</v>
      </c>
    </row>
    <row r="1367" spans="5:7" ht="14.45" customHeight="1" outlineLevel="4" thickBot="1" x14ac:dyDescent="0.3"/>
    <row r="1368" spans="5:7" ht="14.45" customHeight="1" outlineLevel="3" thickBot="1" x14ac:dyDescent="0.3">
      <c r="F1368" s="28" t="s">
        <v>1002</v>
      </c>
    </row>
    <row r="1369" spans="5:7" ht="14.45" customHeight="1" outlineLevel="4" thickBot="1" x14ac:dyDescent="0.3">
      <c r="G1369" s="7" t="s">
        <v>1003</v>
      </c>
    </row>
    <row r="1370" spans="5:7" ht="14.45" customHeight="1" outlineLevel="4" thickBot="1" x14ac:dyDescent="0.3">
      <c r="G1370" s="7" t="s">
        <v>1004</v>
      </c>
    </row>
    <row r="1371" spans="5:7" ht="14.45" customHeight="1" outlineLevel="4" thickBot="1" x14ac:dyDescent="0.3">
      <c r="G1371" s="7" t="s">
        <v>1005</v>
      </c>
    </row>
    <row r="1372" spans="5:7" ht="14.45" customHeight="1" outlineLevel="3" thickBot="1" x14ac:dyDescent="0.3"/>
    <row r="1373" spans="5:7" ht="14.45" customHeight="1" outlineLevel="2" thickBot="1" x14ac:dyDescent="0.3">
      <c r="E1373" s="27" t="s">
        <v>1006</v>
      </c>
    </row>
    <row r="1374" spans="5:7" ht="14.45" customHeight="1" outlineLevel="3" thickBot="1" x14ac:dyDescent="0.3">
      <c r="F1374" s="28" t="s">
        <v>1007</v>
      </c>
    </row>
    <row r="1375" spans="5:7" ht="14.45" customHeight="1" outlineLevel="4" thickBot="1" x14ac:dyDescent="0.3"/>
    <row r="1376" spans="5:7" ht="14.45" customHeight="1" outlineLevel="3" thickBot="1" x14ac:dyDescent="0.3">
      <c r="F1376" s="28" t="s">
        <v>362</v>
      </c>
    </row>
    <row r="1377" spans="5:7" ht="14.45" customHeight="1" outlineLevel="4" thickBot="1" x14ac:dyDescent="0.3">
      <c r="G1377" s="7" t="s">
        <v>996</v>
      </c>
    </row>
    <row r="1378" spans="5:7" ht="14.45" customHeight="1" outlineLevel="4" thickBot="1" x14ac:dyDescent="0.3">
      <c r="G1378" s="7" t="s">
        <v>997</v>
      </c>
    </row>
    <row r="1379" spans="5:7" ht="14.45" customHeight="1" outlineLevel="4" thickBot="1" x14ac:dyDescent="0.3">
      <c r="G1379" s="7" t="s">
        <v>1008</v>
      </c>
    </row>
    <row r="1380" spans="5:7" ht="14.45" customHeight="1" outlineLevel="4" thickBot="1" x14ac:dyDescent="0.3">
      <c r="G1380" s="7" t="s">
        <v>1009</v>
      </c>
    </row>
    <row r="1381" spans="5:7" ht="14.45" customHeight="1" outlineLevel="4" thickBot="1" x14ac:dyDescent="0.3">
      <c r="G1381" s="7" t="s">
        <v>1010</v>
      </c>
    </row>
    <row r="1382" spans="5:7" ht="14.45" customHeight="1" outlineLevel="3" thickBot="1" x14ac:dyDescent="0.3">
      <c r="F1382" s="28" t="s">
        <v>363</v>
      </c>
    </row>
    <row r="1383" spans="5:7" ht="14.45" customHeight="1" outlineLevel="4" thickBot="1" x14ac:dyDescent="0.3"/>
    <row r="1384" spans="5:7" ht="14.45" customHeight="1" outlineLevel="3" thickBot="1" x14ac:dyDescent="0.3">
      <c r="F1384" s="28" t="s">
        <v>1011</v>
      </c>
    </row>
    <row r="1385" spans="5:7" ht="14.45" customHeight="1" outlineLevel="4" thickBot="1" x14ac:dyDescent="0.3"/>
    <row r="1386" spans="5:7" ht="14.45" customHeight="1" outlineLevel="3" thickBot="1" x14ac:dyDescent="0.3"/>
    <row r="1387" spans="5:7" ht="14.45" customHeight="1" outlineLevel="2" thickBot="1" x14ac:dyDescent="0.3">
      <c r="E1387" s="27" t="s">
        <v>1012</v>
      </c>
    </row>
    <row r="1388" spans="5:7" ht="14.45" customHeight="1" outlineLevel="3" thickBot="1" x14ac:dyDescent="0.3">
      <c r="F1388" s="28" t="s">
        <v>1013</v>
      </c>
    </row>
    <row r="1389" spans="5:7" ht="14.45" customHeight="1" outlineLevel="4" thickBot="1" x14ac:dyDescent="0.3">
      <c r="G1389" s="7" t="s">
        <v>1014</v>
      </c>
    </row>
    <row r="1390" spans="5:7" ht="14.45" customHeight="1" outlineLevel="4" thickBot="1" x14ac:dyDescent="0.3">
      <c r="G1390" s="7" t="s">
        <v>1015</v>
      </c>
    </row>
    <row r="1391" spans="5:7" ht="14.45" customHeight="1" outlineLevel="3" thickBot="1" x14ac:dyDescent="0.3">
      <c r="F1391" s="28" t="s">
        <v>1016</v>
      </c>
    </row>
    <row r="1392" spans="5:7" ht="14.45" customHeight="1" outlineLevel="4" thickBot="1" x14ac:dyDescent="0.3">
      <c r="G1392" s="7" t="s">
        <v>1017</v>
      </c>
    </row>
    <row r="1393" spans="6:7" ht="14.45" customHeight="1" outlineLevel="4" thickBot="1" x14ac:dyDescent="0.3">
      <c r="G1393" s="7" t="s">
        <v>1018</v>
      </c>
    </row>
    <row r="1394" spans="6:7" ht="14.45" customHeight="1" outlineLevel="3" thickBot="1" x14ac:dyDescent="0.3">
      <c r="F1394" s="28" t="s">
        <v>1019</v>
      </c>
    </row>
    <row r="1395" spans="6:7" ht="14.45" customHeight="1" outlineLevel="4" thickBot="1" x14ac:dyDescent="0.3">
      <c r="G1395" s="7" t="s">
        <v>1020</v>
      </c>
    </row>
    <row r="1396" spans="6:7" ht="14.45" customHeight="1" outlineLevel="4" thickBot="1" x14ac:dyDescent="0.3">
      <c r="G1396" s="7" t="s">
        <v>1021</v>
      </c>
    </row>
    <row r="1397" spans="6:7" ht="14.45" customHeight="1" outlineLevel="3" thickBot="1" x14ac:dyDescent="0.3">
      <c r="F1397" s="28" t="s">
        <v>1022</v>
      </c>
    </row>
    <row r="1398" spans="6:7" ht="14.45" customHeight="1" outlineLevel="4" thickBot="1" x14ac:dyDescent="0.3">
      <c r="G1398" s="7" t="s">
        <v>996</v>
      </c>
    </row>
    <row r="1399" spans="6:7" ht="14.45" customHeight="1" outlineLevel="4" thickBot="1" x14ac:dyDescent="0.3">
      <c r="G1399" s="7" t="s">
        <v>1023</v>
      </c>
    </row>
    <row r="1400" spans="6:7" ht="14.45" customHeight="1" outlineLevel="4" thickBot="1" x14ac:dyDescent="0.3">
      <c r="G1400" s="7" t="s">
        <v>1024</v>
      </c>
    </row>
    <row r="1401" spans="6:7" ht="14.45" customHeight="1" outlineLevel="4" thickBot="1" x14ac:dyDescent="0.3">
      <c r="G1401" s="7" t="s">
        <v>1025</v>
      </c>
    </row>
    <row r="1402" spans="6:7" ht="14.45" customHeight="1" outlineLevel="4" thickBot="1" x14ac:dyDescent="0.3">
      <c r="G1402" s="7" t="s">
        <v>1026</v>
      </c>
    </row>
    <row r="1403" spans="6:7" ht="14.45" customHeight="1" outlineLevel="3" thickBot="1" x14ac:dyDescent="0.3">
      <c r="F1403" s="28" t="s">
        <v>1027</v>
      </c>
    </row>
    <row r="1404" spans="6:7" ht="14.45" customHeight="1" outlineLevel="4" thickBot="1" x14ac:dyDescent="0.3">
      <c r="G1404" s="7" t="s">
        <v>1028</v>
      </c>
    </row>
    <row r="1405" spans="6:7" ht="14.45" customHeight="1" outlineLevel="4" thickBot="1" x14ac:dyDescent="0.3">
      <c r="G1405" s="7" t="s">
        <v>1029</v>
      </c>
    </row>
    <row r="1406" spans="6:7" ht="14.45" customHeight="1" outlineLevel="3" thickBot="1" x14ac:dyDescent="0.3">
      <c r="F1406" s="28" t="s">
        <v>1030</v>
      </c>
    </row>
    <row r="1407" spans="6:7" ht="14.45" customHeight="1" outlineLevel="4" thickBot="1" x14ac:dyDescent="0.3">
      <c r="G1407" s="7" t="s">
        <v>1031</v>
      </c>
    </row>
    <row r="1408" spans="6:7" ht="14.45" customHeight="1" outlineLevel="4" thickBot="1" x14ac:dyDescent="0.3">
      <c r="G1408" s="7" t="s">
        <v>1032</v>
      </c>
    </row>
    <row r="1409" spans="3:7" ht="14.45" customHeight="1" outlineLevel="4" thickBot="1" x14ac:dyDescent="0.3">
      <c r="G1409" s="7" t="s">
        <v>1033</v>
      </c>
    </row>
    <row r="1410" spans="3:7" ht="14.45" customHeight="1" outlineLevel="3" thickBot="1" x14ac:dyDescent="0.3"/>
    <row r="1411" spans="3:7" ht="14.45" customHeight="1" outlineLevel="2" thickBot="1" x14ac:dyDescent="0.3"/>
    <row r="1412" spans="3:7" ht="14.45" customHeight="1" outlineLevel="1" thickBot="1" x14ac:dyDescent="0.3"/>
    <row r="1413" spans="3:7" ht="14.45" customHeight="1" thickBot="1" x14ac:dyDescent="0.3">
      <c r="C1413" s="25" t="s">
        <v>1034</v>
      </c>
      <c r="D1413" s="25"/>
    </row>
    <row r="1414" spans="3:7" ht="14.45" customHeight="1" outlineLevel="1" thickBot="1" x14ac:dyDescent="0.3">
      <c r="D1414" s="26" t="s">
        <v>50</v>
      </c>
      <c r="E1414" s="26"/>
    </row>
    <row r="1415" spans="3:7" ht="14.45" customHeight="1" outlineLevel="2" thickBot="1" x14ac:dyDescent="0.3">
      <c r="E1415" s="27" t="s">
        <v>1035</v>
      </c>
    </row>
    <row r="1416" spans="3:7" ht="14.45" customHeight="1" outlineLevel="3" thickBot="1" x14ac:dyDescent="0.3">
      <c r="F1416" s="28" t="s">
        <v>292</v>
      </c>
    </row>
    <row r="1417" spans="3:7" ht="14.45" customHeight="1" outlineLevel="4" thickBot="1" x14ac:dyDescent="0.3">
      <c r="G1417" s="7" t="s">
        <v>1036</v>
      </c>
    </row>
    <row r="1418" spans="3:7" ht="14.45" customHeight="1" outlineLevel="4" thickBot="1" x14ac:dyDescent="0.3">
      <c r="G1418" s="7" t="s">
        <v>1015</v>
      </c>
    </row>
    <row r="1419" spans="3:7" ht="14.45" customHeight="1" outlineLevel="4" thickBot="1" x14ac:dyDescent="0.3">
      <c r="G1419" s="7" t="s">
        <v>1037</v>
      </c>
    </row>
    <row r="1420" spans="3:7" ht="14.45" customHeight="1" outlineLevel="3" thickBot="1" x14ac:dyDescent="0.3">
      <c r="F1420" s="28" t="s">
        <v>1038</v>
      </c>
    </row>
    <row r="1421" spans="3:7" ht="14.45" customHeight="1" outlineLevel="4" thickBot="1" x14ac:dyDescent="0.3"/>
    <row r="1422" spans="3:7" ht="14.45" customHeight="1" outlineLevel="3" thickBot="1" x14ac:dyDescent="0.3"/>
    <row r="1423" spans="3:7" ht="14.45" customHeight="1" outlineLevel="2" thickBot="1" x14ac:dyDescent="0.3">
      <c r="E1423" s="27" t="s">
        <v>1039</v>
      </c>
    </row>
    <row r="1424" spans="3:7" ht="14.45" customHeight="1" outlineLevel="3" thickBot="1" x14ac:dyDescent="0.3">
      <c r="F1424" s="28" t="s">
        <v>1040</v>
      </c>
    </row>
    <row r="1425" spans="5:7" ht="14.45" customHeight="1" outlineLevel="4" thickBot="1" x14ac:dyDescent="0.3"/>
    <row r="1426" spans="5:7" ht="14.45" customHeight="1" outlineLevel="3" thickBot="1" x14ac:dyDescent="0.3">
      <c r="F1426" s="28" t="s">
        <v>1041</v>
      </c>
    </row>
    <row r="1427" spans="5:7" ht="14.45" customHeight="1" outlineLevel="4" thickBot="1" x14ac:dyDescent="0.3">
      <c r="G1427" s="7" t="s">
        <v>339</v>
      </c>
    </row>
    <row r="1428" spans="5:7" ht="14.45" customHeight="1" outlineLevel="4" thickBot="1" x14ac:dyDescent="0.3">
      <c r="G1428" s="7" t="s">
        <v>1042</v>
      </c>
    </row>
    <row r="1429" spans="5:7" ht="14.45" customHeight="1" outlineLevel="3" thickBot="1" x14ac:dyDescent="0.3">
      <c r="F1429" s="28" t="s">
        <v>1043</v>
      </c>
    </row>
    <row r="1430" spans="5:7" ht="14.45" customHeight="1" outlineLevel="4" thickBot="1" x14ac:dyDescent="0.3">
      <c r="G1430" s="7" t="s">
        <v>1044</v>
      </c>
    </row>
    <row r="1431" spans="5:7" ht="14.45" customHeight="1" outlineLevel="4" thickBot="1" x14ac:dyDescent="0.3">
      <c r="G1431" s="7" t="s">
        <v>1045</v>
      </c>
    </row>
    <row r="1432" spans="5:7" ht="14.45" customHeight="1" outlineLevel="4" thickBot="1" x14ac:dyDescent="0.3">
      <c r="G1432" s="7" t="s">
        <v>1046</v>
      </c>
    </row>
    <row r="1433" spans="5:7" ht="14.45" customHeight="1" outlineLevel="3" thickBot="1" x14ac:dyDescent="0.3"/>
    <row r="1434" spans="5:7" ht="14.45" customHeight="1" outlineLevel="2" thickBot="1" x14ac:dyDescent="0.3">
      <c r="E1434" s="27" t="s">
        <v>1047</v>
      </c>
    </row>
    <row r="1435" spans="5:7" ht="14.45" customHeight="1" outlineLevel="3" thickBot="1" x14ac:dyDescent="0.3">
      <c r="F1435" s="28" t="s">
        <v>292</v>
      </c>
    </row>
    <row r="1436" spans="5:7" ht="14.45" customHeight="1" outlineLevel="4" thickBot="1" x14ac:dyDescent="0.3"/>
    <row r="1437" spans="5:7" ht="14.45" customHeight="1" outlineLevel="3" thickBot="1" x14ac:dyDescent="0.3">
      <c r="F1437" s="28" t="s">
        <v>1048</v>
      </c>
    </row>
    <row r="1438" spans="5:7" ht="14.45" customHeight="1" outlineLevel="4" thickBot="1" x14ac:dyDescent="0.3">
      <c r="G1438" s="7" t="s">
        <v>339</v>
      </c>
    </row>
    <row r="1439" spans="5:7" ht="14.45" customHeight="1" outlineLevel="4" thickBot="1" x14ac:dyDescent="0.3">
      <c r="G1439" s="7" t="s">
        <v>1049</v>
      </c>
    </row>
    <row r="1440" spans="5:7" ht="14.45" customHeight="1" outlineLevel="4" thickBot="1" x14ac:dyDescent="0.3">
      <c r="G1440" s="7" t="s">
        <v>1050</v>
      </c>
    </row>
    <row r="1441" spans="5:7" ht="14.45" customHeight="1" outlineLevel="3" thickBot="1" x14ac:dyDescent="0.3">
      <c r="F1441" s="28" t="s">
        <v>1051</v>
      </c>
    </row>
    <row r="1442" spans="5:7" ht="14.45" customHeight="1" outlineLevel="4" thickBot="1" x14ac:dyDescent="0.3">
      <c r="G1442" s="7" t="s">
        <v>339</v>
      </c>
    </row>
    <row r="1443" spans="5:7" ht="14.45" customHeight="1" outlineLevel="4" thickBot="1" x14ac:dyDescent="0.3">
      <c r="G1443" s="7" t="s">
        <v>1049</v>
      </c>
    </row>
    <row r="1444" spans="5:7" ht="14.45" customHeight="1" outlineLevel="4" thickBot="1" x14ac:dyDescent="0.3">
      <c r="G1444" s="7" t="s">
        <v>1050</v>
      </c>
    </row>
    <row r="1445" spans="5:7" ht="14.45" customHeight="1" outlineLevel="3" thickBot="1" x14ac:dyDescent="0.3"/>
    <row r="1446" spans="5:7" ht="14.45" customHeight="1" outlineLevel="2" thickBot="1" x14ac:dyDescent="0.3">
      <c r="E1446" s="27" t="s">
        <v>1052</v>
      </c>
    </row>
    <row r="1447" spans="5:7" ht="14.45" customHeight="1" outlineLevel="3" thickBot="1" x14ac:dyDescent="0.3">
      <c r="F1447" s="28" t="s">
        <v>292</v>
      </c>
    </row>
    <row r="1448" spans="5:7" ht="14.45" customHeight="1" outlineLevel="4" thickBot="1" x14ac:dyDescent="0.3">
      <c r="G1448" s="7" t="s">
        <v>1053</v>
      </c>
    </row>
    <row r="1449" spans="5:7" ht="14.45" customHeight="1" outlineLevel="4" thickBot="1" x14ac:dyDescent="0.3">
      <c r="G1449" s="7" t="s">
        <v>1015</v>
      </c>
    </row>
    <row r="1450" spans="5:7" ht="14.45" customHeight="1" outlineLevel="3" thickBot="1" x14ac:dyDescent="0.3">
      <c r="F1450" s="28" t="s">
        <v>1054</v>
      </c>
    </row>
    <row r="1451" spans="5:7" ht="14.45" customHeight="1" outlineLevel="4" thickBot="1" x14ac:dyDescent="0.3">
      <c r="G1451" s="7" t="s">
        <v>1055</v>
      </c>
    </row>
    <row r="1452" spans="5:7" ht="14.45" customHeight="1" outlineLevel="4" thickBot="1" x14ac:dyDescent="0.3">
      <c r="G1452" s="7" t="s">
        <v>1056</v>
      </c>
    </row>
    <row r="1453" spans="5:7" ht="14.45" customHeight="1" outlineLevel="4" thickBot="1" x14ac:dyDescent="0.3">
      <c r="G1453" s="7" t="s">
        <v>1057</v>
      </c>
    </row>
    <row r="1454" spans="5:7" ht="14.45" customHeight="1" outlineLevel="3" thickBot="1" x14ac:dyDescent="0.3">
      <c r="F1454" s="28" t="s">
        <v>1058</v>
      </c>
    </row>
    <row r="1455" spans="5:7" ht="14.45" customHeight="1" outlineLevel="4" thickBot="1" x14ac:dyDescent="0.3">
      <c r="G1455" s="7" t="s">
        <v>1059</v>
      </c>
    </row>
    <row r="1456" spans="5:7" ht="14.45" customHeight="1" outlineLevel="4" thickBot="1" x14ac:dyDescent="0.3">
      <c r="G1456" s="7" t="s">
        <v>1060</v>
      </c>
    </row>
    <row r="1457" spans="5:7" ht="14.45" customHeight="1" outlineLevel="3" thickBot="1" x14ac:dyDescent="0.3">
      <c r="F1457" s="28" t="s">
        <v>1061</v>
      </c>
    </row>
    <row r="1458" spans="5:7" ht="14.45" customHeight="1" outlineLevel="4" thickBot="1" x14ac:dyDescent="0.3">
      <c r="G1458" s="7" t="s">
        <v>1062</v>
      </c>
    </row>
    <row r="1459" spans="5:7" ht="14.45" customHeight="1" outlineLevel="4" thickBot="1" x14ac:dyDescent="0.3">
      <c r="G1459" s="7" t="s">
        <v>1063</v>
      </c>
    </row>
    <row r="1460" spans="5:7" ht="14.45" customHeight="1" outlineLevel="4" thickBot="1" x14ac:dyDescent="0.3">
      <c r="G1460" s="7" t="s">
        <v>1064</v>
      </c>
    </row>
    <row r="1461" spans="5:7" ht="14.45" customHeight="1" outlineLevel="4" thickBot="1" x14ac:dyDescent="0.3">
      <c r="G1461" s="7" t="s">
        <v>1065</v>
      </c>
    </row>
    <row r="1462" spans="5:7" ht="14.45" customHeight="1" outlineLevel="4" thickBot="1" x14ac:dyDescent="0.3">
      <c r="G1462" s="7" t="s">
        <v>1066</v>
      </c>
    </row>
    <row r="1463" spans="5:7" ht="14.45" customHeight="1" outlineLevel="3" thickBot="1" x14ac:dyDescent="0.3"/>
    <row r="1464" spans="5:7" ht="14.45" customHeight="1" outlineLevel="2" thickBot="1" x14ac:dyDescent="0.3">
      <c r="E1464" s="27" t="s">
        <v>1067</v>
      </c>
    </row>
    <row r="1465" spans="5:7" ht="14.45" customHeight="1" outlineLevel="3" thickBot="1" x14ac:dyDescent="0.3">
      <c r="F1465" s="28" t="s">
        <v>292</v>
      </c>
    </row>
    <row r="1466" spans="5:7" ht="14.45" customHeight="1" outlineLevel="4" thickBot="1" x14ac:dyDescent="0.3"/>
    <row r="1467" spans="5:7" ht="14.45" customHeight="1" outlineLevel="3" thickBot="1" x14ac:dyDescent="0.3">
      <c r="F1467" s="28" t="s">
        <v>1068</v>
      </c>
    </row>
    <row r="1468" spans="5:7" ht="14.45" customHeight="1" outlineLevel="4" thickBot="1" x14ac:dyDescent="0.3">
      <c r="G1468" s="7" t="s">
        <v>449</v>
      </c>
    </row>
    <row r="1469" spans="5:7" ht="14.45" customHeight="1" outlineLevel="4" thickBot="1" x14ac:dyDescent="0.3">
      <c r="G1469" s="7" t="s">
        <v>450</v>
      </c>
    </row>
    <row r="1470" spans="5:7" ht="14.45" customHeight="1" outlineLevel="4" thickBot="1" x14ac:dyDescent="0.3">
      <c r="G1470" s="7" t="s">
        <v>451</v>
      </c>
    </row>
    <row r="1471" spans="5:7" ht="14.45" customHeight="1" outlineLevel="3" thickBot="1" x14ac:dyDescent="0.3"/>
    <row r="1472" spans="5:7" ht="14.45" customHeight="1" outlineLevel="2" thickBot="1" x14ac:dyDescent="0.3">
      <c r="E1472" s="27" t="s">
        <v>1069</v>
      </c>
    </row>
    <row r="1473" spans="6:7" ht="14.45" customHeight="1" outlineLevel="3" thickBot="1" x14ac:dyDescent="0.3">
      <c r="F1473" s="28" t="s">
        <v>1070</v>
      </c>
    </row>
    <row r="1474" spans="6:7" ht="14.45" customHeight="1" outlineLevel="4" thickBot="1" x14ac:dyDescent="0.3">
      <c r="G1474" s="7" t="s">
        <v>1036</v>
      </c>
    </row>
    <row r="1475" spans="6:7" ht="14.45" customHeight="1" outlineLevel="4" thickBot="1" x14ac:dyDescent="0.3">
      <c r="G1475" s="7" t="s">
        <v>1015</v>
      </c>
    </row>
    <row r="1476" spans="6:7" ht="14.45" customHeight="1" outlineLevel="3" thickBot="1" x14ac:dyDescent="0.3">
      <c r="F1476" s="28" t="s">
        <v>1071</v>
      </c>
    </row>
    <row r="1477" spans="6:7" ht="14.45" customHeight="1" outlineLevel="4" thickBot="1" x14ac:dyDescent="0.3">
      <c r="G1477" s="7" t="s">
        <v>1072</v>
      </c>
    </row>
    <row r="1478" spans="6:7" ht="14.45" customHeight="1" outlineLevel="4" thickBot="1" x14ac:dyDescent="0.3">
      <c r="G1478" s="7" t="s">
        <v>1073</v>
      </c>
    </row>
    <row r="1479" spans="6:7" ht="14.45" customHeight="1" outlineLevel="4" thickBot="1" x14ac:dyDescent="0.3">
      <c r="G1479" s="7" t="s">
        <v>1074</v>
      </c>
    </row>
    <row r="1480" spans="6:7" ht="14.45" customHeight="1" outlineLevel="3" thickBot="1" x14ac:dyDescent="0.3">
      <c r="F1480" s="28" t="s">
        <v>1075</v>
      </c>
    </row>
    <row r="1481" spans="6:7" ht="14.45" customHeight="1" outlineLevel="4" thickBot="1" x14ac:dyDescent="0.3">
      <c r="G1481" s="7" t="s">
        <v>339</v>
      </c>
    </row>
    <row r="1482" spans="6:7" ht="14.45" customHeight="1" outlineLevel="4" thickBot="1" x14ac:dyDescent="0.3">
      <c r="G1482" s="7" t="s">
        <v>1076</v>
      </c>
    </row>
    <row r="1483" spans="6:7" ht="14.45" customHeight="1" outlineLevel="3" thickBot="1" x14ac:dyDescent="0.3">
      <c r="F1483" s="28" t="s">
        <v>1077</v>
      </c>
    </row>
    <row r="1484" spans="6:7" ht="14.45" customHeight="1" outlineLevel="4" thickBot="1" x14ac:dyDescent="0.3">
      <c r="G1484" s="7" t="s">
        <v>1078</v>
      </c>
    </row>
    <row r="1485" spans="6:7" ht="14.45" customHeight="1" outlineLevel="4" thickBot="1" x14ac:dyDescent="0.3">
      <c r="G1485" s="7" t="s">
        <v>1079</v>
      </c>
    </row>
    <row r="1486" spans="6:7" ht="14.45" customHeight="1" outlineLevel="3" thickBot="1" x14ac:dyDescent="0.3">
      <c r="F1486" s="28" t="s">
        <v>1080</v>
      </c>
    </row>
    <row r="1487" spans="6:7" ht="14.45" customHeight="1" outlineLevel="4" thickBot="1" x14ac:dyDescent="0.3">
      <c r="G1487" s="7" t="s">
        <v>443</v>
      </c>
    </row>
    <row r="1488" spans="6:7" ht="14.45" customHeight="1" outlineLevel="4" thickBot="1" x14ac:dyDescent="0.3">
      <c r="G1488" s="7" t="s">
        <v>1081</v>
      </c>
    </row>
    <row r="1489" spans="4:7" ht="14.45" customHeight="1" outlineLevel="3" thickBot="1" x14ac:dyDescent="0.3">
      <c r="F1489" s="28" t="s">
        <v>1082</v>
      </c>
    </row>
    <row r="1490" spans="4:7" ht="14.45" customHeight="1" outlineLevel="4" thickBot="1" x14ac:dyDescent="0.3">
      <c r="G1490" s="7" t="s">
        <v>1083</v>
      </c>
    </row>
    <row r="1491" spans="4:7" ht="14.45" customHeight="1" outlineLevel="4" thickBot="1" x14ac:dyDescent="0.3">
      <c r="G1491" s="7" t="s">
        <v>1084</v>
      </c>
    </row>
    <row r="1492" spans="4:7" ht="14.45" customHeight="1" outlineLevel="4" thickBot="1" x14ac:dyDescent="0.3">
      <c r="G1492" s="7" t="s">
        <v>1085</v>
      </c>
    </row>
    <row r="1493" spans="4:7" ht="14.45" customHeight="1" outlineLevel="3" thickBot="1" x14ac:dyDescent="0.3"/>
    <row r="1494" spans="4:7" ht="14.45" customHeight="1" outlineLevel="2" thickBot="1" x14ac:dyDescent="0.3"/>
    <row r="1495" spans="4:7" ht="14.45" customHeight="1" outlineLevel="1" thickBot="1" x14ac:dyDescent="0.3">
      <c r="D1495" s="26" t="s">
        <v>51</v>
      </c>
      <c r="E1495" s="26"/>
    </row>
    <row r="1496" spans="4:7" ht="14.45" customHeight="1" outlineLevel="2" thickBot="1" x14ac:dyDescent="0.3">
      <c r="E1496" s="27" t="s">
        <v>1086</v>
      </c>
    </row>
    <row r="1497" spans="4:7" ht="14.45" customHeight="1" outlineLevel="3" thickBot="1" x14ac:dyDescent="0.3">
      <c r="F1497" s="28" t="s">
        <v>1087</v>
      </c>
    </row>
    <row r="1498" spans="4:7" ht="14.45" customHeight="1" outlineLevel="4" thickBot="1" x14ac:dyDescent="0.3">
      <c r="G1498" s="7" t="s">
        <v>1036</v>
      </c>
    </row>
    <row r="1499" spans="4:7" ht="14.45" customHeight="1" outlineLevel="4" thickBot="1" x14ac:dyDescent="0.3">
      <c r="G1499" s="7" t="s">
        <v>1015</v>
      </c>
    </row>
    <row r="1500" spans="4:7" ht="14.45" customHeight="1" outlineLevel="3" thickBot="1" x14ac:dyDescent="0.3">
      <c r="F1500" s="28" t="s">
        <v>362</v>
      </c>
    </row>
    <row r="1501" spans="4:7" ht="14.45" customHeight="1" outlineLevel="4" thickBot="1" x14ac:dyDescent="0.3">
      <c r="G1501" s="7" t="s">
        <v>1088</v>
      </c>
    </row>
    <row r="1502" spans="4:7" ht="14.45" customHeight="1" outlineLevel="4" thickBot="1" x14ac:dyDescent="0.3">
      <c r="G1502" s="7" t="s">
        <v>1089</v>
      </c>
    </row>
    <row r="1503" spans="4:7" ht="14.45" customHeight="1" outlineLevel="4" thickBot="1" x14ac:dyDescent="0.3">
      <c r="G1503" s="7" t="s">
        <v>1090</v>
      </c>
    </row>
    <row r="1504" spans="4:7" ht="14.45" customHeight="1" outlineLevel="4" thickBot="1" x14ac:dyDescent="0.3">
      <c r="G1504" s="7" t="s">
        <v>1091</v>
      </c>
    </row>
    <row r="1505" spans="5:7" ht="14.45" customHeight="1" outlineLevel="4" thickBot="1" x14ac:dyDescent="0.3">
      <c r="G1505" s="7" t="s">
        <v>1092</v>
      </c>
    </row>
    <row r="1506" spans="5:7" ht="14.45" customHeight="1" outlineLevel="3" thickBot="1" x14ac:dyDescent="0.3">
      <c r="F1506" s="28" t="s">
        <v>1093</v>
      </c>
    </row>
    <row r="1507" spans="5:7" ht="14.45" customHeight="1" outlineLevel="4" thickBot="1" x14ac:dyDescent="0.3">
      <c r="G1507" s="7" t="s">
        <v>1094</v>
      </c>
    </row>
    <row r="1508" spans="5:7" ht="14.45" customHeight="1" outlineLevel="4" thickBot="1" x14ac:dyDescent="0.3">
      <c r="G1508" s="7" t="s">
        <v>1095</v>
      </c>
    </row>
    <row r="1509" spans="5:7" ht="14.45" customHeight="1" outlineLevel="4" thickBot="1" x14ac:dyDescent="0.3">
      <c r="G1509" s="7" t="s">
        <v>1096</v>
      </c>
    </row>
    <row r="1510" spans="5:7" ht="14.45" customHeight="1" outlineLevel="3" thickBot="1" x14ac:dyDescent="0.3">
      <c r="F1510" s="28" t="s">
        <v>1097</v>
      </c>
    </row>
    <row r="1511" spans="5:7" ht="14.45" customHeight="1" outlineLevel="4" thickBot="1" x14ac:dyDescent="0.3">
      <c r="G1511" s="7" t="s">
        <v>1098</v>
      </c>
    </row>
    <row r="1512" spans="5:7" ht="14.45" customHeight="1" outlineLevel="4" thickBot="1" x14ac:dyDescent="0.3">
      <c r="G1512" s="7" t="s">
        <v>1099</v>
      </c>
    </row>
    <row r="1513" spans="5:7" ht="14.45" customHeight="1" outlineLevel="3" thickBot="1" x14ac:dyDescent="0.3">
      <c r="F1513" s="28" t="s">
        <v>1100</v>
      </c>
    </row>
    <row r="1514" spans="5:7" ht="14.45" customHeight="1" outlineLevel="4" thickBot="1" x14ac:dyDescent="0.3">
      <c r="G1514" s="7" t="s">
        <v>339</v>
      </c>
    </row>
    <row r="1515" spans="5:7" ht="14.45" customHeight="1" outlineLevel="4" thickBot="1" x14ac:dyDescent="0.3">
      <c r="G1515" s="7" t="s">
        <v>1101</v>
      </c>
    </row>
    <row r="1516" spans="5:7" ht="14.45" customHeight="1" outlineLevel="4" thickBot="1" x14ac:dyDescent="0.3">
      <c r="G1516" s="7" t="s">
        <v>1102</v>
      </c>
    </row>
    <row r="1517" spans="5:7" ht="14.45" customHeight="1" outlineLevel="4" thickBot="1" x14ac:dyDescent="0.3">
      <c r="G1517" s="7" t="s">
        <v>1103</v>
      </c>
    </row>
    <row r="1518" spans="5:7" ht="14.45" customHeight="1" outlineLevel="3" thickBot="1" x14ac:dyDescent="0.3"/>
    <row r="1519" spans="5:7" ht="14.45" customHeight="1" outlineLevel="2" thickBot="1" x14ac:dyDescent="0.3">
      <c r="E1519" s="27" t="s">
        <v>1104</v>
      </c>
    </row>
    <row r="1520" spans="5:7" ht="14.45" customHeight="1" outlineLevel="3" thickBot="1" x14ac:dyDescent="0.3">
      <c r="F1520" s="28" t="s">
        <v>1105</v>
      </c>
    </row>
    <row r="1521" spans="5:7" ht="14.45" customHeight="1" outlineLevel="4" thickBot="1" x14ac:dyDescent="0.3">
      <c r="G1521" s="7" t="s">
        <v>1036</v>
      </c>
    </row>
    <row r="1522" spans="5:7" ht="14.45" customHeight="1" outlineLevel="4" thickBot="1" x14ac:dyDescent="0.3">
      <c r="G1522" s="7" t="s">
        <v>1015</v>
      </c>
    </row>
    <row r="1523" spans="5:7" ht="14.45" customHeight="1" outlineLevel="3" thickBot="1" x14ac:dyDescent="0.3">
      <c r="F1523" s="28" t="s">
        <v>1106</v>
      </c>
    </row>
    <row r="1524" spans="5:7" ht="14.45" customHeight="1" outlineLevel="4" thickBot="1" x14ac:dyDescent="0.3"/>
    <row r="1525" spans="5:7" ht="14.45" customHeight="1" outlineLevel="3" thickBot="1" x14ac:dyDescent="0.3">
      <c r="F1525" s="28" t="s">
        <v>1107</v>
      </c>
    </row>
    <row r="1526" spans="5:7" ht="14.45" customHeight="1" outlineLevel="4" thickBot="1" x14ac:dyDescent="0.3">
      <c r="G1526" s="7" t="s">
        <v>1108</v>
      </c>
    </row>
    <row r="1527" spans="5:7" ht="14.45" customHeight="1" outlineLevel="4" thickBot="1" x14ac:dyDescent="0.3">
      <c r="G1527" s="7" t="s">
        <v>870</v>
      </c>
    </row>
    <row r="1528" spans="5:7" ht="14.45" customHeight="1" outlineLevel="3" thickBot="1" x14ac:dyDescent="0.3"/>
    <row r="1529" spans="5:7" ht="14.45" customHeight="1" outlineLevel="2" thickBot="1" x14ac:dyDescent="0.3">
      <c r="E1529" s="27" t="s">
        <v>1109</v>
      </c>
    </row>
    <row r="1530" spans="5:7" ht="14.45" customHeight="1" outlineLevel="3" thickBot="1" x14ac:dyDescent="0.3">
      <c r="F1530" s="28" t="s">
        <v>1110</v>
      </c>
    </row>
    <row r="1531" spans="5:7" ht="14.45" customHeight="1" outlineLevel="4" thickBot="1" x14ac:dyDescent="0.3">
      <c r="G1531" s="7" t="s">
        <v>1036</v>
      </c>
    </row>
    <row r="1532" spans="5:7" ht="14.45" customHeight="1" outlineLevel="4" thickBot="1" x14ac:dyDescent="0.3">
      <c r="G1532" s="7" t="s">
        <v>1015</v>
      </c>
    </row>
    <row r="1533" spans="5:7" ht="14.45" customHeight="1" outlineLevel="3" thickBot="1" x14ac:dyDescent="0.3">
      <c r="F1533" s="28" t="s">
        <v>362</v>
      </c>
    </row>
    <row r="1534" spans="5:7" ht="14.45" customHeight="1" outlineLevel="4" thickBot="1" x14ac:dyDescent="0.3">
      <c r="G1534" s="7" t="s">
        <v>1088</v>
      </c>
    </row>
    <row r="1535" spans="5:7" ht="14.45" customHeight="1" outlineLevel="4" thickBot="1" x14ac:dyDescent="0.3">
      <c r="G1535" s="7" t="s">
        <v>1111</v>
      </c>
    </row>
    <row r="1536" spans="5:7" ht="14.45" customHeight="1" outlineLevel="4" thickBot="1" x14ac:dyDescent="0.3">
      <c r="G1536" s="7" t="s">
        <v>1112</v>
      </c>
    </row>
    <row r="1537" spans="5:7" ht="14.45" customHeight="1" outlineLevel="3" thickBot="1" x14ac:dyDescent="0.3">
      <c r="F1537" s="28" t="s">
        <v>1113</v>
      </c>
    </row>
    <row r="1538" spans="5:7" ht="14.45" customHeight="1" outlineLevel="4" thickBot="1" x14ac:dyDescent="0.3"/>
    <row r="1539" spans="5:7" ht="14.45" customHeight="1" outlineLevel="3" thickBot="1" x14ac:dyDescent="0.3">
      <c r="F1539" s="28" t="s">
        <v>1097</v>
      </c>
    </row>
    <row r="1540" spans="5:7" ht="14.45" customHeight="1" outlineLevel="4" thickBot="1" x14ac:dyDescent="0.3">
      <c r="G1540" s="7" t="s">
        <v>1114</v>
      </c>
    </row>
    <row r="1541" spans="5:7" ht="14.45" customHeight="1" outlineLevel="4" thickBot="1" x14ac:dyDescent="0.3">
      <c r="G1541" s="7" t="s">
        <v>1099</v>
      </c>
    </row>
    <row r="1542" spans="5:7" ht="14.45" customHeight="1" outlineLevel="4" thickBot="1" x14ac:dyDescent="0.3">
      <c r="G1542" s="7" t="s">
        <v>1115</v>
      </c>
    </row>
    <row r="1543" spans="5:7" ht="14.45" customHeight="1" outlineLevel="3" thickBot="1" x14ac:dyDescent="0.3">
      <c r="F1543" s="28" t="s">
        <v>1116</v>
      </c>
    </row>
    <row r="1544" spans="5:7" ht="14.45" customHeight="1" outlineLevel="4" thickBot="1" x14ac:dyDescent="0.3">
      <c r="G1544" s="7" t="s">
        <v>1117</v>
      </c>
    </row>
    <row r="1545" spans="5:7" ht="14.45" customHeight="1" outlineLevel="4" thickBot="1" x14ac:dyDescent="0.3">
      <c r="G1545" s="7" t="s">
        <v>1118</v>
      </c>
    </row>
    <row r="1546" spans="5:7" ht="14.45" customHeight="1" outlineLevel="4" thickBot="1" x14ac:dyDescent="0.3">
      <c r="G1546" s="7" t="s">
        <v>1119</v>
      </c>
    </row>
    <row r="1547" spans="5:7" ht="14.45" customHeight="1" outlineLevel="3" thickBot="1" x14ac:dyDescent="0.3">
      <c r="F1547" s="28" t="s">
        <v>1120</v>
      </c>
    </row>
    <row r="1548" spans="5:7" ht="14.45" customHeight="1" outlineLevel="4" thickBot="1" x14ac:dyDescent="0.3"/>
    <row r="1549" spans="5:7" ht="14.45" customHeight="1" outlineLevel="3" thickBot="1" x14ac:dyDescent="0.3"/>
    <row r="1550" spans="5:7" ht="14.45" customHeight="1" outlineLevel="2" thickBot="1" x14ac:dyDescent="0.3">
      <c r="E1550" s="27" t="s">
        <v>1121</v>
      </c>
    </row>
    <row r="1551" spans="5:7" ht="14.45" customHeight="1" outlineLevel="3" thickBot="1" x14ac:dyDescent="0.3">
      <c r="F1551" s="28" t="s">
        <v>1122</v>
      </c>
    </row>
    <row r="1552" spans="5:7" ht="14.45" customHeight="1" outlineLevel="4" thickBot="1" x14ac:dyDescent="0.3">
      <c r="G1552" s="7" t="s">
        <v>1036</v>
      </c>
    </row>
    <row r="1553" spans="5:7" ht="14.45" customHeight="1" outlineLevel="4" thickBot="1" x14ac:dyDescent="0.3">
      <c r="G1553" s="7" t="s">
        <v>1015</v>
      </c>
    </row>
    <row r="1554" spans="5:7" ht="14.45" customHeight="1" outlineLevel="3" thickBot="1" x14ac:dyDescent="0.3">
      <c r="F1554" s="28" t="s">
        <v>362</v>
      </c>
    </row>
    <row r="1555" spans="5:7" ht="14.45" customHeight="1" outlineLevel="4" thickBot="1" x14ac:dyDescent="0.3">
      <c r="G1555" s="7" t="s">
        <v>1088</v>
      </c>
    </row>
    <row r="1556" spans="5:7" ht="14.45" customHeight="1" outlineLevel="4" thickBot="1" x14ac:dyDescent="0.3">
      <c r="G1556" s="7" t="s">
        <v>1123</v>
      </c>
    </row>
    <row r="1557" spans="5:7" ht="14.45" customHeight="1" outlineLevel="4" thickBot="1" x14ac:dyDescent="0.3">
      <c r="G1557" s="7" t="s">
        <v>1124</v>
      </c>
    </row>
    <row r="1558" spans="5:7" ht="14.45" customHeight="1" outlineLevel="3" thickBot="1" x14ac:dyDescent="0.3">
      <c r="F1558" s="28" t="s">
        <v>1113</v>
      </c>
    </row>
    <row r="1559" spans="5:7" ht="14.45" customHeight="1" outlineLevel="4" thickBot="1" x14ac:dyDescent="0.3"/>
    <row r="1560" spans="5:7" ht="14.45" customHeight="1" outlineLevel="3" thickBot="1" x14ac:dyDescent="0.3">
      <c r="F1560" s="28" t="s">
        <v>1097</v>
      </c>
    </row>
    <row r="1561" spans="5:7" ht="14.45" customHeight="1" outlineLevel="4" thickBot="1" x14ac:dyDescent="0.3"/>
    <row r="1562" spans="5:7" ht="14.45" customHeight="1" outlineLevel="3" thickBot="1" x14ac:dyDescent="0.3"/>
    <row r="1563" spans="5:7" ht="14.45" customHeight="1" outlineLevel="2" thickBot="1" x14ac:dyDescent="0.3">
      <c r="E1563" s="27" t="s">
        <v>1125</v>
      </c>
    </row>
    <row r="1564" spans="5:7" ht="14.45" customHeight="1" outlineLevel="3" thickBot="1" x14ac:dyDescent="0.3">
      <c r="F1564" s="28" t="s">
        <v>1126</v>
      </c>
    </row>
    <row r="1565" spans="5:7" ht="14.45" customHeight="1" outlineLevel="4" thickBot="1" x14ac:dyDescent="0.3">
      <c r="G1565" s="7" t="s">
        <v>1036</v>
      </c>
    </row>
    <row r="1566" spans="5:7" ht="14.45" customHeight="1" outlineLevel="4" thickBot="1" x14ac:dyDescent="0.3">
      <c r="G1566" s="7" t="s">
        <v>1015</v>
      </c>
    </row>
    <row r="1567" spans="5:7" ht="14.45" customHeight="1" outlineLevel="3" thickBot="1" x14ac:dyDescent="0.3">
      <c r="F1567" s="28" t="s">
        <v>1127</v>
      </c>
    </row>
    <row r="1568" spans="5:7" ht="14.45" customHeight="1" outlineLevel="4" thickBot="1" x14ac:dyDescent="0.3"/>
    <row r="1569" spans="6:7" ht="14.45" customHeight="1" outlineLevel="3" thickBot="1" x14ac:dyDescent="0.3">
      <c r="F1569" s="28" t="s">
        <v>1128</v>
      </c>
    </row>
    <row r="1570" spans="6:7" ht="14.45" customHeight="1" outlineLevel="4" thickBot="1" x14ac:dyDescent="0.3">
      <c r="G1570" s="7" t="s">
        <v>1088</v>
      </c>
    </row>
    <row r="1571" spans="6:7" ht="14.45" customHeight="1" outlineLevel="4" thickBot="1" x14ac:dyDescent="0.3">
      <c r="G1571" s="7" t="s">
        <v>1129</v>
      </c>
    </row>
    <row r="1572" spans="6:7" ht="14.45" customHeight="1" outlineLevel="4" thickBot="1" x14ac:dyDescent="0.3">
      <c r="G1572" s="7" t="s">
        <v>1130</v>
      </c>
    </row>
    <row r="1573" spans="6:7" ht="14.45" customHeight="1" outlineLevel="4" thickBot="1" x14ac:dyDescent="0.3">
      <c r="G1573" s="7" t="s">
        <v>1131</v>
      </c>
    </row>
    <row r="1574" spans="6:7" ht="14.45" customHeight="1" outlineLevel="3" thickBot="1" x14ac:dyDescent="0.3">
      <c r="F1574" s="28" t="s">
        <v>1132</v>
      </c>
    </row>
    <row r="1575" spans="6:7" ht="14.45" customHeight="1" outlineLevel="4" thickBot="1" x14ac:dyDescent="0.3">
      <c r="G1575" s="7" t="s">
        <v>1094</v>
      </c>
    </row>
    <row r="1576" spans="6:7" ht="14.45" customHeight="1" outlineLevel="4" thickBot="1" x14ac:dyDescent="0.3">
      <c r="G1576" s="7" t="s">
        <v>1133</v>
      </c>
    </row>
    <row r="1577" spans="6:7" ht="14.45" customHeight="1" outlineLevel="4" thickBot="1" x14ac:dyDescent="0.3">
      <c r="G1577" s="7" t="s">
        <v>1134</v>
      </c>
    </row>
    <row r="1578" spans="6:7" ht="14.45" customHeight="1" outlineLevel="3" thickBot="1" x14ac:dyDescent="0.3">
      <c r="F1578" s="28" t="s">
        <v>1135</v>
      </c>
    </row>
    <row r="1579" spans="6:7" ht="14.45" customHeight="1" outlineLevel="4" thickBot="1" x14ac:dyDescent="0.3">
      <c r="G1579" s="7" t="s">
        <v>1136</v>
      </c>
    </row>
    <row r="1580" spans="6:7" ht="14.45" customHeight="1" outlineLevel="4" thickBot="1" x14ac:dyDescent="0.3">
      <c r="G1580" s="7" t="s">
        <v>1137</v>
      </c>
    </row>
    <row r="1581" spans="6:7" ht="14.45" customHeight="1" outlineLevel="4" thickBot="1" x14ac:dyDescent="0.3">
      <c r="G1581" s="7" t="s">
        <v>1138</v>
      </c>
    </row>
    <row r="1582" spans="6:7" ht="14.45" customHeight="1" outlineLevel="4" thickBot="1" x14ac:dyDescent="0.3">
      <c r="G1582" s="7" t="s">
        <v>1139</v>
      </c>
    </row>
    <row r="1583" spans="6:7" ht="14.45" customHeight="1" outlineLevel="3" thickBot="1" x14ac:dyDescent="0.3">
      <c r="F1583" s="28" t="s">
        <v>1140</v>
      </c>
    </row>
    <row r="1584" spans="6:7" ht="14.45" customHeight="1" outlineLevel="4" thickBot="1" x14ac:dyDescent="0.3">
      <c r="G1584" s="7" t="s">
        <v>1141</v>
      </c>
    </row>
    <row r="1585" spans="4:7" ht="14.45" customHeight="1" outlineLevel="4" thickBot="1" x14ac:dyDescent="0.3">
      <c r="G1585" s="7" t="s">
        <v>1142</v>
      </c>
    </row>
    <row r="1586" spans="4:7" ht="14.45" customHeight="1" outlineLevel="4" thickBot="1" x14ac:dyDescent="0.3">
      <c r="G1586" s="7" t="s">
        <v>1143</v>
      </c>
    </row>
    <row r="1587" spans="4:7" ht="14.45" customHeight="1" outlineLevel="3" thickBot="1" x14ac:dyDescent="0.3"/>
    <row r="1588" spans="4:7" ht="14.45" customHeight="1" outlineLevel="2" thickBot="1" x14ac:dyDescent="0.3"/>
    <row r="1589" spans="4:7" ht="14.45" customHeight="1" outlineLevel="1" thickBot="1" x14ac:dyDescent="0.3">
      <c r="D1589" s="26" t="s">
        <v>52</v>
      </c>
      <c r="E1589" s="26"/>
    </row>
    <row r="1590" spans="4:7" ht="14.45" customHeight="1" outlineLevel="2" thickBot="1" x14ac:dyDescent="0.3">
      <c r="E1590" s="27" t="s">
        <v>1144</v>
      </c>
    </row>
    <row r="1591" spans="4:7" ht="14.45" customHeight="1" outlineLevel="3" thickBot="1" x14ac:dyDescent="0.3">
      <c r="F1591" s="28" t="s">
        <v>338</v>
      </c>
    </row>
    <row r="1592" spans="4:7" ht="14.45" customHeight="1" outlineLevel="4" thickBot="1" x14ac:dyDescent="0.3">
      <c r="G1592" s="7" t="s">
        <v>339</v>
      </c>
    </row>
    <row r="1593" spans="4:7" ht="14.45" customHeight="1" outlineLevel="4" thickBot="1" x14ac:dyDescent="0.3">
      <c r="G1593" s="7" t="s">
        <v>340</v>
      </c>
    </row>
    <row r="1594" spans="4:7" ht="14.45" customHeight="1" outlineLevel="3" thickBot="1" x14ac:dyDescent="0.3">
      <c r="F1594" s="28" t="s">
        <v>1145</v>
      </c>
    </row>
    <row r="1595" spans="4:7" ht="14.45" customHeight="1" outlineLevel="4" thickBot="1" x14ac:dyDescent="0.3">
      <c r="G1595" s="7" t="s">
        <v>449</v>
      </c>
    </row>
    <row r="1596" spans="4:7" ht="14.45" customHeight="1" outlineLevel="4" thickBot="1" x14ac:dyDescent="0.3">
      <c r="G1596" s="7" t="s">
        <v>450</v>
      </c>
    </row>
    <row r="1597" spans="4:7" ht="14.45" customHeight="1" outlineLevel="4" thickBot="1" x14ac:dyDescent="0.3">
      <c r="G1597" s="7" t="s">
        <v>451</v>
      </c>
    </row>
    <row r="1598" spans="4:7" ht="14.45" customHeight="1" outlineLevel="3" thickBot="1" x14ac:dyDescent="0.3">
      <c r="F1598" s="28" t="s">
        <v>1146</v>
      </c>
    </row>
    <row r="1599" spans="4:7" ht="14.45" customHeight="1" outlineLevel="4" thickBot="1" x14ac:dyDescent="0.3"/>
    <row r="1600" spans="4:7" ht="14.45" customHeight="1" outlineLevel="3" thickBot="1" x14ac:dyDescent="0.3">
      <c r="F1600" s="28" t="s">
        <v>1147</v>
      </c>
    </row>
    <row r="1601" spans="5:7" ht="14.45" customHeight="1" outlineLevel="4" thickBot="1" x14ac:dyDescent="0.3">
      <c r="G1601" s="7" t="s">
        <v>1148</v>
      </c>
    </row>
    <row r="1602" spans="5:7" ht="14.45" customHeight="1" outlineLevel="4" thickBot="1" x14ac:dyDescent="0.3">
      <c r="G1602" s="7" t="s">
        <v>1149</v>
      </c>
    </row>
    <row r="1603" spans="5:7" ht="14.45" customHeight="1" outlineLevel="3" thickBot="1" x14ac:dyDescent="0.3"/>
    <row r="1604" spans="5:7" ht="14.45" customHeight="1" outlineLevel="2" thickBot="1" x14ac:dyDescent="0.3">
      <c r="E1604" s="27" t="s">
        <v>1150</v>
      </c>
    </row>
    <row r="1605" spans="5:7" ht="14.45" customHeight="1" outlineLevel="3" thickBot="1" x14ac:dyDescent="0.3">
      <c r="F1605" s="28" t="s">
        <v>338</v>
      </c>
    </row>
    <row r="1606" spans="5:7" ht="14.45" customHeight="1" outlineLevel="4" thickBot="1" x14ac:dyDescent="0.3">
      <c r="G1606" s="7" t="s">
        <v>339</v>
      </c>
    </row>
    <row r="1607" spans="5:7" ht="14.45" customHeight="1" outlineLevel="4" thickBot="1" x14ac:dyDescent="0.3">
      <c r="G1607" s="7" t="s">
        <v>340</v>
      </c>
    </row>
    <row r="1608" spans="5:7" ht="14.45" customHeight="1" outlineLevel="4" thickBot="1" x14ac:dyDescent="0.3">
      <c r="G1608" s="7" t="s">
        <v>1151</v>
      </c>
    </row>
    <row r="1609" spans="5:7" ht="14.45" customHeight="1" outlineLevel="3" thickBot="1" x14ac:dyDescent="0.3">
      <c r="F1609" s="28" t="s">
        <v>1152</v>
      </c>
    </row>
    <row r="1610" spans="5:7" ht="14.45" customHeight="1" outlineLevel="4" thickBot="1" x14ac:dyDescent="0.3">
      <c r="G1610" s="7" t="s">
        <v>339</v>
      </c>
    </row>
    <row r="1611" spans="5:7" ht="14.45" customHeight="1" outlineLevel="4" thickBot="1" x14ac:dyDescent="0.3">
      <c r="G1611" s="7" t="s">
        <v>1049</v>
      </c>
    </row>
    <row r="1612" spans="5:7" ht="14.45" customHeight="1" outlineLevel="4" thickBot="1" x14ac:dyDescent="0.3">
      <c r="G1612" s="7" t="s">
        <v>1153</v>
      </c>
    </row>
    <row r="1613" spans="5:7" ht="14.45" customHeight="1" outlineLevel="4" thickBot="1" x14ac:dyDescent="0.3">
      <c r="G1613" s="7" t="s">
        <v>1154</v>
      </c>
    </row>
    <row r="1614" spans="5:7" ht="14.45" customHeight="1" outlineLevel="3" thickBot="1" x14ac:dyDescent="0.3">
      <c r="F1614" s="28" t="s">
        <v>1155</v>
      </c>
    </row>
    <row r="1615" spans="5:7" ht="14.45" customHeight="1" outlineLevel="4" thickBot="1" x14ac:dyDescent="0.3">
      <c r="G1615" s="7" t="s">
        <v>339</v>
      </c>
    </row>
    <row r="1616" spans="5:7" ht="14.45" customHeight="1" outlineLevel="4" thickBot="1" x14ac:dyDescent="0.3">
      <c r="G1616" s="7" t="s">
        <v>696</v>
      </c>
    </row>
    <row r="1617" spans="3:7" ht="14.45" customHeight="1" outlineLevel="4" thickBot="1" x14ac:dyDescent="0.3">
      <c r="G1617" s="7" t="s">
        <v>1156</v>
      </c>
    </row>
    <row r="1618" spans="3:7" ht="14.45" customHeight="1" outlineLevel="4" thickBot="1" x14ac:dyDescent="0.3">
      <c r="G1618" s="7" t="s">
        <v>1157</v>
      </c>
    </row>
    <row r="1619" spans="3:7" ht="14.45" customHeight="1" outlineLevel="3" thickBot="1" x14ac:dyDescent="0.3">
      <c r="F1619" s="28" t="s">
        <v>1158</v>
      </c>
    </row>
    <row r="1620" spans="3:7" ht="14.45" customHeight="1" outlineLevel="4" thickBot="1" x14ac:dyDescent="0.3">
      <c r="G1620" s="7" t="s">
        <v>1159</v>
      </c>
    </row>
    <row r="1621" spans="3:7" ht="14.45" customHeight="1" outlineLevel="4" thickBot="1" x14ac:dyDescent="0.3">
      <c r="G1621" s="7" t="s">
        <v>1160</v>
      </c>
    </row>
    <row r="1622" spans="3:7" ht="14.45" customHeight="1" outlineLevel="4" thickBot="1" x14ac:dyDescent="0.3">
      <c r="G1622" s="7" t="s">
        <v>1161</v>
      </c>
    </row>
    <row r="1623" spans="3:7" ht="14.45" customHeight="1" outlineLevel="4" thickBot="1" x14ac:dyDescent="0.3">
      <c r="G1623" s="7" t="s">
        <v>1162</v>
      </c>
    </row>
    <row r="1624" spans="3:7" ht="14.45" customHeight="1" outlineLevel="3" thickBot="1" x14ac:dyDescent="0.3">
      <c r="F1624" s="28" t="s">
        <v>1163</v>
      </c>
    </row>
    <row r="1625" spans="3:7" ht="14.45" customHeight="1" outlineLevel="4" thickBot="1" x14ac:dyDescent="0.3">
      <c r="G1625" s="7" t="s">
        <v>1164</v>
      </c>
    </row>
    <row r="1626" spans="3:7" ht="14.45" customHeight="1" outlineLevel="4" thickBot="1" x14ac:dyDescent="0.3">
      <c r="G1626" s="7" t="s">
        <v>1165</v>
      </c>
    </row>
    <row r="1627" spans="3:7" ht="14.45" customHeight="1" outlineLevel="4" thickBot="1" x14ac:dyDescent="0.3">
      <c r="G1627" s="7" t="s">
        <v>1166</v>
      </c>
    </row>
    <row r="1628" spans="3:7" ht="14.45" customHeight="1" outlineLevel="4" thickBot="1" x14ac:dyDescent="0.3">
      <c r="G1628" s="7" t="s">
        <v>1167</v>
      </c>
    </row>
    <row r="1629" spans="3:7" ht="14.45" customHeight="1" outlineLevel="3" thickBot="1" x14ac:dyDescent="0.3"/>
    <row r="1630" spans="3:7" ht="14.45" customHeight="1" outlineLevel="2" thickBot="1" x14ac:dyDescent="0.3"/>
    <row r="1631" spans="3:7" ht="14.45" customHeight="1" outlineLevel="1" thickBot="1" x14ac:dyDescent="0.3"/>
    <row r="1632" spans="3:7" ht="14.45" customHeight="1" thickBot="1" x14ac:dyDescent="0.3">
      <c r="C1632" s="25" t="s">
        <v>1168</v>
      </c>
      <c r="D1632" s="25"/>
    </row>
    <row r="1633" spans="4:6" ht="14.45" customHeight="1" outlineLevel="1" thickBot="1" x14ac:dyDescent="0.3">
      <c r="D1633" s="26" t="s">
        <v>53</v>
      </c>
      <c r="E1633" s="26"/>
    </row>
    <row r="1634" spans="4:6" ht="14.45" customHeight="1" outlineLevel="2" thickBot="1" x14ac:dyDescent="0.3">
      <c r="E1634" s="27" t="s">
        <v>1169</v>
      </c>
    </row>
    <row r="1635" spans="4:6" ht="14.45" customHeight="1" outlineLevel="4" thickBot="1" x14ac:dyDescent="0.3"/>
    <row r="1636" spans="4:6" ht="14.45" customHeight="1" outlineLevel="3" thickBot="1" x14ac:dyDescent="0.3"/>
    <row r="1637" spans="4:6" ht="14.45" customHeight="1" outlineLevel="2" thickBot="1" x14ac:dyDescent="0.3">
      <c r="E1637" s="27" t="s">
        <v>1170</v>
      </c>
    </row>
    <row r="1638" spans="4:6" ht="14.45" customHeight="1" outlineLevel="4" thickBot="1" x14ac:dyDescent="0.3"/>
    <row r="1639" spans="4:6" ht="14.45" customHeight="1" outlineLevel="3" thickBot="1" x14ac:dyDescent="0.3"/>
    <row r="1640" spans="4:6" ht="14.45" customHeight="1" outlineLevel="2" thickBot="1" x14ac:dyDescent="0.3"/>
    <row r="1641" spans="4:6" ht="14.45" customHeight="1" outlineLevel="1" thickBot="1" x14ac:dyDescent="0.3">
      <c r="D1641" s="26" t="s">
        <v>54</v>
      </c>
      <c r="E1641" s="26"/>
    </row>
    <row r="1642" spans="4:6" ht="14.45" customHeight="1" outlineLevel="2" thickBot="1" x14ac:dyDescent="0.3">
      <c r="E1642" s="27" t="s">
        <v>1171</v>
      </c>
    </row>
    <row r="1643" spans="4:6" ht="14.45" customHeight="1" outlineLevel="3" thickBot="1" x14ac:dyDescent="0.3">
      <c r="F1643" s="28" t="s">
        <v>1172</v>
      </c>
    </row>
    <row r="1644" spans="4:6" ht="14.45" customHeight="1" outlineLevel="4" thickBot="1" x14ac:dyDescent="0.3"/>
    <row r="1645" spans="4:6" ht="14.45" customHeight="1" outlineLevel="3" thickBot="1" x14ac:dyDescent="0.3">
      <c r="F1645" s="28" t="s">
        <v>1173</v>
      </c>
    </row>
    <row r="1646" spans="4:6" ht="14.45" customHeight="1" outlineLevel="4" thickBot="1" x14ac:dyDescent="0.3"/>
    <row r="1647" spans="4:6" ht="14.45" customHeight="1" outlineLevel="3" thickBot="1" x14ac:dyDescent="0.3"/>
    <row r="1648" spans="4:6" ht="14.45" customHeight="1" outlineLevel="2" thickBot="1" x14ac:dyDescent="0.3">
      <c r="E1648" s="27" t="s">
        <v>1174</v>
      </c>
    </row>
    <row r="1649" spans="5:6" ht="14.45" customHeight="1" outlineLevel="3" thickBot="1" x14ac:dyDescent="0.3">
      <c r="F1649" s="28" t="s">
        <v>1175</v>
      </c>
    </row>
    <row r="1650" spans="5:6" ht="14.45" customHeight="1" outlineLevel="4" thickBot="1" x14ac:dyDescent="0.3"/>
    <row r="1651" spans="5:6" ht="14.45" customHeight="1" outlineLevel="3" thickBot="1" x14ac:dyDescent="0.3">
      <c r="F1651" s="28" t="s">
        <v>1176</v>
      </c>
    </row>
    <row r="1652" spans="5:6" ht="14.45" customHeight="1" outlineLevel="4" thickBot="1" x14ac:dyDescent="0.3"/>
    <row r="1653" spans="5:6" ht="14.45" customHeight="1" outlineLevel="3" thickBot="1" x14ac:dyDescent="0.3"/>
    <row r="1654" spans="5:6" ht="14.45" customHeight="1" outlineLevel="2" thickBot="1" x14ac:dyDescent="0.3">
      <c r="E1654" s="27" t="s">
        <v>1177</v>
      </c>
    </row>
    <row r="1655" spans="5:6" ht="14.45" customHeight="1" outlineLevel="4" thickBot="1" x14ac:dyDescent="0.3"/>
    <row r="1656" spans="5:6" ht="14.45" customHeight="1" outlineLevel="3" thickBot="1" x14ac:dyDescent="0.3"/>
    <row r="1657" spans="5:6" ht="14.45" customHeight="1" outlineLevel="2" thickBot="1" x14ac:dyDescent="0.3">
      <c r="E1657" s="27" t="s">
        <v>1178</v>
      </c>
    </row>
    <row r="1658" spans="5:6" ht="14.45" customHeight="1" outlineLevel="3" thickBot="1" x14ac:dyDescent="0.3">
      <c r="F1658" s="28" t="s">
        <v>292</v>
      </c>
    </row>
    <row r="1659" spans="5:6" ht="14.45" customHeight="1" outlineLevel="4" thickBot="1" x14ac:dyDescent="0.3"/>
    <row r="1660" spans="5:6" ht="14.45" customHeight="1" outlineLevel="3" thickBot="1" x14ac:dyDescent="0.3">
      <c r="F1660" s="28" t="s">
        <v>1179</v>
      </c>
    </row>
    <row r="1661" spans="5:6" ht="14.45" customHeight="1" outlineLevel="4" thickBot="1" x14ac:dyDescent="0.3"/>
    <row r="1662" spans="5:6" ht="14.45" customHeight="1" outlineLevel="3" thickBot="1" x14ac:dyDescent="0.3">
      <c r="F1662" s="28" t="s">
        <v>1180</v>
      </c>
    </row>
    <row r="1663" spans="5:6" ht="14.45" customHeight="1" outlineLevel="4" thickBot="1" x14ac:dyDescent="0.3"/>
    <row r="1664" spans="5:6" ht="14.45" customHeight="1" outlineLevel="3" thickBot="1" x14ac:dyDescent="0.3"/>
    <row r="1665" spans="4:6" ht="14.45" customHeight="1" outlineLevel="2" thickBot="1" x14ac:dyDescent="0.3">
      <c r="E1665" s="27" t="s">
        <v>1181</v>
      </c>
    </row>
    <row r="1666" spans="4:6" ht="14.45" customHeight="1" outlineLevel="3" thickBot="1" x14ac:dyDescent="0.3">
      <c r="F1666" s="28" t="s">
        <v>1182</v>
      </c>
    </row>
    <row r="1667" spans="4:6" ht="14.45" customHeight="1" outlineLevel="4" thickBot="1" x14ac:dyDescent="0.3"/>
    <row r="1668" spans="4:6" ht="14.45" customHeight="1" outlineLevel="3" thickBot="1" x14ac:dyDescent="0.3">
      <c r="F1668" s="28" t="s">
        <v>1183</v>
      </c>
    </row>
    <row r="1669" spans="4:6" ht="14.45" customHeight="1" outlineLevel="4" thickBot="1" x14ac:dyDescent="0.3"/>
    <row r="1670" spans="4:6" ht="14.45" customHeight="1" outlineLevel="3" thickBot="1" x14ac:dyDescent="0.3"/>
    <row r="1671" spans="4:6" ht="14.45" customHeight="1" outlineLevel="2" thickBot="1" x14ac:dyDescent="0.3">
      <c r="E1671" s="27" t="s">
        <v>1184</v>
      </c>
    </row>
    <row r="1672" spans="4:6" ht="14.45" customHeight="1" outlineLevel="3" thickBot="1" x14ac:dyDescent="0.3">
      <c r="F1672" s="28" t="s">
        <v>1185</v>
      </c>
    </row>
    <row r="1673" spans="4:6" ht="14.45" customHeight="1" outlineLevel="4" thickBot="1" x14ac:dyDescent="0.3"/>
    <row r="1674" spans="4:6" ht="14.45" customHeight="1" outlineLevel="3" thickBot="1" x14ac:dyDescent="0.3">
      <c r="F1674" s="28" t="s">
        <v>1186</v>
      </c>
    </row>
    <row r="1675" spans="4:6" ht="14.45" customHeight="1" outlineLevel="4" thickBot="1" x14ac:dyDescent="0.3"/>
    <row r="1676" spans="4:6" ht="14.45" customHeight="1" outlineLevel="3" thickBot="1" x14ac:dyDescent="0.3"/>
    <row r="1677" spans="4:6" ht="14.45" customHeight="1" outlineLevel="2" thickBot="1" x14ac:dyDescent="0.3"/>
    <row r="1678" spans="4:6" ht="14.45" customHeight="1" outlineLevel="1" thickBot="1" x14ac:dyDescent="0.3">
      <c r="D1678" s="26" t="s">
        <v>55</v>
      </c>
      <c r="E1678" s="26"/>
    </row>
    <row r="1679" spans="4:6" ht="14.45" customHeight="1" outlineLevel="2" thickBot="1" x14ac:dyDescent="0.3">
      <c r="E1679" s="27" t="s">
        <v>1187</v>
      </c>
    </row>
    <row r="1680" spans="4:6" ht="14.45" customHeight="1" outlineLevel="4" thickBot="1" x14ac:dyDescent="0.3"/>
    <row r="1681" spans="5:6" ht="14.45" customHeight="1" outlineLevel="3" thickBot="1" x14ac:dyDescent="0.3"/>
    <row r="1682" spans="5:6" ht="14.45" customHeight="1" outlineLevel="2" thickBot="1" x14ac:dyDescent="0.3">
      <c r="E1682" s="27" t="s">
        <v>1188</v>
      </c>
    </row>
    <row r="1683" spans="5:6" ht="14.45" customHeight="1" outlineLevel="3" thickBot="1" x14ac:dyDescent="0.3">
      <c r="F1683" s="28" t="s">
        <v>292</v>
      </c>
    </row>
    <row r="1684" spans="5:6" ht="14.45" customHeight="1" outlineLevel="4" thickBot="1" x14ac:dyDescent="0.3"/>
    <row r="1685" spans="5:6" ht="14.45" customHeight="1" outlineLevel="3" thickBot="1" x14ac:dyDescent="0.3">
      <c r="F1685" s="28" t="s">
        <v>1189</v>
      </c>
    </row>
    <row r="1686" spans="5:6" ht="14.45" customHeight="1" outlineLevel="4" thickBot="1" x14ac:dyDescent="0.3"/>
    <row r="1687" spans="5:6" ht="14.45" customHeight="1" outlineLevel="3" thickBot="1" x14ac:dyDescent="0.3">
      <c r="F1687" s="28" t="s">
        <v>1190</v>
      </c>
    </row>
    <row r="1688" spans="5:6" ht="14.45" customHeight="1" outlineLevel="4" thickBot="1" x14ac:dyDescent="0.3"/>
    <row r="1689" spans="5:6" ht="14.45" customHeight="1" outlineLevel="3" thickBot="1" x14ac:dyDescent="0.3"/>
    <row r="1690" spans="5:6" ht="14.45" customHeight="1" outlineLevel="2" thickBot="1" x14ac:dyDescent="0.3">
      <c r="E1690" s="27" t="s">
        <v>1191</v>
      </c>
    </row>
    <row r="1691" spans="5:6" ht="14.45" customHeight="1" outlineLevel="3" thickBot="1" x14ac:dyDescent="0.3">
      <c r="F1691" s="28" t="s">
        <v>292</v>
      </c>
    </row>
    <row r="1692" spans="5:6" ht="14.45" customHeight="1" outlineLevel="4" thickBot="1" x14ac:dyDescent="0.3"/>
    <row r="1693" spans="5:6" ht="14.45" customHeight="1" outlineLevel="3" thickBot="1" x14ac:dyDescent="0.3">
      <c r="F1693" s="28" t="s">
        <v>1192</v>
      </c>
    </row>
    <row r="1694" spans="5:6" ht="14.45" customHeight="1" outlineLevel="4" thickBot="1" x14ac:dyDescent="0.3"/>
    <row r="1695" spans="5:6" ht="14.45" customHeight="1" outlineLevel="3" thickBot="1" x14ac:dyDescent="0.3">
      <c r="F1695" s="28" t="s">
        <v>1193</v>
      </c>
    </row>
    <row r="1696" spans="5:6" ht="14.45" customHeight="1" outlineLevel="4" thickBot="1" x14ac:dyDescent="0.3"/>
    <row r="1697" spans="3:6" ht="14.45" customHeight="1" outlineLevel="3" thickBot="1" x14ac:dyDescent="0.3">
      <c r="F1697" s="28" t="s">
        <v>1194</v>
      </c>
    </row>
    <row r="1698" spans="3:6" ht="14.45" customHeight="1" outlineLevel="4" thickBot="1" x14ac:dyDescent="0.3"/>
    <row r="1699" spans="3:6" ht="14.45" customHeight="1" outlineLevel="3" thickBot="1" x14ac:dyDescent="0.3">
      <c r="F1699" s="28" t="s">
        <v>1195</v>
      </c>
    </row>
    <row r="1700" spans="3:6" ht="14.45" customHeight="1" outlineLevel="4" thickBot="1" x14ac:dyDescent="0.3"/>
    <row r="1701" spans="3:6" ht="14.45" customHeight="1" outlineLevel="3" thickBot="1" x14ac:dyDescent="0.3">
      <c r="F1701" s="28" t="s">
        <v>1196</v>
      </c>
    </row>
    <row r="1702" spans="3:6" ht="14.45" customHeight="1" outlineLevel="4" thickBot="1" x14ac:dyDescent="0.3"/>
    <row r="1703" spans="3:6" ht="14.45" customHeight="1" outlineLevel="3" thickBot="1" x14ac:dyDescent="0.3"/>
    <row r="1704" spans="3:6" ht="14.45" customHeight="1" outlineLevel="2" thickBot="1" x14ac:dyDescent="0.3"/>
    <row r="1705" spans="3:6" ht="14.45" customHeight="1" outlineLevel="1" thickBot="1" x14ac:dyDescent="0.3"/>
    <row r="1706" spans="3:6" ht="14.45" customHeight="1" thickBot="1" x14ac:dyDescent="0.3">
      <c r="C1706" s="25" t="s">
        <v>1197</v>
      </c>
      <c r="D1706" s="25"/>
    </row>
    <row r="1707" spans="3:6" ht="14.45" customHeight="1" outlineLevel="1" thickBot="1" x14ac:dyDescent="0.3">
      <c r="D1707" s="26" t="s">
        <v>56</v>
      </c>
      <c r="E1707" s="26"/>
    </row>
    <row r="1708" spans="3:6" ht="14.45" customHeight="1" outlineLevel="2" thickBot="1" x14ac:dyDescent="0.3">
      <c r="E1708" s="27" t="s">
        <v>1198</v>
      </c>
    </row>
    <row r="1709" spans="3:6" ht="14.45" customHeight="1" outlineLevel="4" thickBot="1" x14ac:dyDescent="0.3"/>
    <row r="1710" spans="3:6" ht="14.45" customHeight="1" outlineLevel="3" thickBot="1" x14ac:dyDescent="0.3"/>
    <row r="1711" spans="3:6" ht="14.45" customHeight="1" outlineLevel="2" thickBot="1" x14ac:dyDescent="0.3">
      <c r="E1711" s="27" t="s">
        <v>1199</v>
      </c>
    </row>
    <row r="1712" spans="3:6" ht="14.45" customHeight="1" outlineLevel="4" thickBot="1" x14ac:dyDescent="0.3"/>
    <row r="1713" spans="4:6" ht="14.45" customHeight="1" outlineLevel="3" thickBot="1" x14ac:dyDescent="0.3"/>
    <row r="1714" spans="4:6" ht="14.45" customHeight="1" outlineLevel="2" thickBot="1" x14ac:dyDescent="0.3"/>
    <row r="1715" spans="4:6" ht="14.45" customHeight="1" outlineLevel="1" thickBot="1" x14ac:dyDescent="0.3">
      <c r="D1715" s="26" t="s">
        <v>57</v>
      </c>
      <c r="E1715" s="26"/>
    </row>
    <row r="1716" spans="4:6" ht="14.45" customHeight="1" outlineLevel="2" thickBot="1" x14ac:dyDescent="0.3">
      <c r="E1716" s="27" t="s">
        <v>1200</v>
      </c>
    </row>
    <row r="1717" spans="4:6" ht="14.45" customHeight="1" outlineLevel="4" thickBot="1" x14ac:dyDescent="0.3"/>
    <row r="1718" spans="4:6" ht="14.45" customHeight="1" outlineLevel="3" thickBot="1" x14ac:dyDescent="0.3"/>
    <row r="1719" spans="4:6" ht="14.45" customHeight="1" outlineLevel="2" thickBot="1" x14ac:dyDescent="0.3">
      <c r="E1719" s="27" t="s">
        <v>1201</v>
      </c>
    </row>
    <row r="1720" spans="4:6" ht="14.45" customHeight="1" outlineLevel="4" thickBot="1" x14ac:dyDescent="0.3"/>
    <row r="1721" spans="4:6" ht="14.45" customHeight="1" outlineLevel="3" thickBot="1" x14ac:dyDescent="0.3"/>
    <row r="1722" spans="4:6" ht="14.45" customHeight="1" outlineLevel="2" thickBot="1" x14ac:dyDescent="0.3">
      <c r="E1722" s="27" t="s">
        <v>1202</v>
      </c>
    </row>
    <row r="1723" spans="4:6" ht="14.45" customHeight="1" outlineLevel="3" thickBot="1" x14ac:dyDescent="0.3">
      <c r="F1723" s="28" t="s">
        <v>1203</v>
      </c>
    </row>
    <row r="1724" spans="4:6" ht="14.45" customHeight="1" outlineLevel="4" thickBot="1" x14ac:dyDescent="0.3"/>
    <row r="1725" spans="4:6" ht="14.45" customHeight="1" outlineLevel="3" thickBot="1" x14ac:dyDescent="0.3">
      <c r="F1725" s="28" t="s">
        <v>362</v>
      </c>
    </row>
    <row r="1726" spans="4:6" ht="14.45" customHeight="1" outlineLevel="4" thickBot="1" x14ac:dyDescent="0.3"/>
    <row r="1727" spans="4:6" ht="14.45" customHeight="1" outlineLevel="3" thickBot="1" x14ac:dyDescent="0.3">
      <c r="F1727" s="28" t="s">
        <v>542</v>
      </c>
    </row>
    <row r="1728" spans="4:6" ht="14.45" customHeight="1" outlineLevel="4" thickBot="1" x14ac:dyDescent="0.3"/>
    <row r="1729" spans="5:6" ht="14.45" customHeight="1" outlineLevel="3" thickBot="1" x14ac:dyDescent="0.3">
      <c r="F1729" s="28" t="s">
        <v>1204</v>
      </c>
    </row>
    <row r="1730" spans="5:6" ht="14.45" customHeight="1" outlineLevel="4" thickBot="1" x14ac:dyDescent="0.3"/>
    <row r="1731" spans="5:6" ht="14.45" customHeight="1" outlineLevel="3" thickBot="1" x14ac:dyDescent="0.3">
      <c r="F1731" s="28" t="s">
        <v>1205</v>
      </c>
    </row>
    <row r="1732" spans="5:6" ht="14.45" customHeight="1" outlineLevel="4" thickBot="1" x14ac:dyDescent="0.3"/>
    <row r="1733" spans="5:6" ht="14.45" customHeight="1" outlineLevel="3" thickBot="1" x14ac:dyDescent="0.3">
      <c r="F1733" s="28" t="s">
        <v>1206</v>
      </c>
    </row>
    <row r="1734" spans="5:6" ht="14.45" customHeight="1" outlineLevel="4" thickBot="1" x14ac:dyDescent="0.3"/>
    <row r="1735" spans="5:6" ht="14.45" customHeight="1" outlineLevel="3" thickBot="1" x14ac:dyDescent="0.3"/>
    <row r="1736" spans="5:6" ht="14.45" customHeight="1" outlineLevel="2" thickBot="1" x14ac:dyDescent="0.3">
      <c r="E1736" s="27" t="s">
        <v>1207</v>
      </c>
    </row>
    <row r="1737" spans="5:6" ht="14.45" customHeight="1" outlineLevel="3" thickBot="1" x14ac:dyDescent="0.3">
      <c r="F1737" s="28" t="s">
        <v>1208</v>
      </c>
    </row>
    <row r="1738" spans="5:6" ht="14.45" customHeight="1" outlineLevel="4" thickBot="1" x14ac:dyDescent="0.3"/>
    <row r="1739" spans="5:6" ht="14.45" customHeight="1" outlineLevel="3" thickBot="1" x14ac:dyDescent="0.3">
      <c r="F1739" s="28" t="s">
        <v>1209</v>
      </c>
    </row>
    <row r="1740" spans="5:6" ht="14.45" customHeight="1" outlineLevel="4" thickBot="1" x14ac:dyDescent="0.3"/>
    <row r="1741" spans="5:6" ht="14.45" customHeight="1" outlineLevel="3" thickBot="1" x14ac:dyDescent="0.3">
      <c r="F1741" s="28" t="s">
        <v>1210</v>
      </c>
    </row>
    <row r="1742" spans="5:6" ht="14.45" customHeight="1" outlineLevel="4" thickBot="1" x14ac:dyDescent="0.3"/>
    <row r="1743" spans="5:6" ht="14.45" customHeight="1" outlineLevel="3" thickBot="1" x14ac:dyDescent="0.3">
      <c r="F1743" s="28" t="s">
        <v>1211</v>
      </c>
    </row>
    <row r="1744" spans="5:6" ht="14.45" customHeight="1" outlineLevel="4" thickBot="1" x14ac:dyDescent="0.3"/>
    <row r="1745" spans="4:6" ht="14.45" customHeight="1" outlineLevel="3" thickBot="1" x14ac:dyDescent="0.3">
      <c r="F1745" s="28" t="s">
        <v>1212</v>
      </c>
    </row>
    <row r="1746" spans="4:6" ht="14.45" customHeight="1" outlineLevel="4" thickBot="1" x14ac:dyDescent="0.3"/>
    <row r="1747" spans="4:6" ht="14.45" customHeight="1" outlineLevel="3" thickBot="1" x14ac:dyDescent="0.3">
      <c r="F1747" s="28" t="s">
        <v>1213</v>
      </c>
    </row>
    <row r="1748" spans="4:6" ht="14.45" customHeight="1" outlineLevel="4" thickBot="1" x14ac:dyDescent="0.3"/>
    <row r="1749" spans="4:6" ht="14.45" customHeight="1" outlineLevel="3" thickBot="1" x14ac:dyDescent="0.3"/>
    <row r="1750" spans="4:6" ht="14.45" customHeight="1" outlineLevel="2" thickBot="1" x14ac:dyDescent="0.3"/>
    <row r="1751" spans="4:6" ht="14.45" customHeight="1" outlineLevel="1" thickBot="1" x14ac:dyDescent="0.3">
      <c r="D1751" s="26" t="s">
        <v>58</v>
      </c>
      <c r="E1751" s="26"/>
    </row>
    <row r="1752" spans="4:6" ht="14.45" customHeight="1" outlineLevel="2" thickBot="1" x14ac:dyDescent="0.3">
      <c r="E1752" s="27" t="s">
        <v>1214</v>
      </c>
    </row>
    <row r="1753" spans="4:6" ht="14.45" customHeight="1" outlineLevel="4" thickBot="1" x14ac:dyDescent="0.3"/>
    <row r="1754" spans="4:6" ht="14.45" customHeight="1" outlineLevel="3" thickBot="1" x14ac:dyDescent="0.3"/>
    <row r="1755" spans="4:6" ht="14.45" customHeight="1" outlineLevel="2" thickBot="1" x14ac:dyDescent="0.3">
      <c r="E1755" s="27" t="s">
        <v>1215</v>
      </c>
    </row>
    <row r="1756" spans="4:6" ht="14.45" customHeight="1" outlineLevel="4" thickBot="1" x14ac:dyDescent="0.3"/>
    <row r="1757" spans="4:6" ht="14.45" customHeight="1" outlineLevel="3" thickBot="1" x14ac:dyDescent="0.3"/>
    <row r="1758" spans="4:6" ht="14.45" customHeight="1" outlineLevel="2" thickBot="1" x14ac:dyDescent="0.3"/>
    <row r="1759" spans="4:6" ht="14.45" customHeight="1" outlineLevel="1" thickBot="1" x14ac:dyDescent="0.3">
      <c r="D1759" s="26" t="s">
        <v>59</v>
      </c>
      <c r="E1759" s="26"/>
    </row>
    <row r="1760" spans="4:6" ht="14.45" customHeight="1" outlineLevel="2" thickBot="1" x14ac:dyDescent="0.3">
      <c r="E1760" s="27" t="s">
        <v>1216</v>
      </c>
    </row>
    <row r="1761" spans="5:6" ht="14.45" customHeight="1" outlineLevel="4" thickBot="1" x14ac:dyDescent="0.3"/>
    <row r="1762" spans="5:6" ht="14.45" customHeight="1" outlineLevel="3" thickBot="1" x14ac:dyDescent="0.3"/>
    <row r="1763" spans="5:6" ht="14.45" customHeight="1" outlineLevel="2" thickBot="1" x14ac:dyDescent="0.3">
      <c r="E1763" s="27" t="s">
        <v>1217</v>
      </c>
    </row>
    <row r="1764" spans="5:6" ht="14.45" customHeight="1" outlineLevel="4" thickBot="1" x14ac:dyDescent="0.3"/>
    <row r="1765" spans="5:6" ht="14.45" customHeight="1" outlineLevel="3" thickBot="1" x14ac:dyDescent="0.3"/>
    <row r="1766" spans="5:6" ht="14.45" customHeight="1" outlineLevel="2" thickBot="1" x14ac:dyDescent="0.3">
      <c r="E1766" s="27" t="s">
        <v>1218</v>
      </c>
    </row>
    <row r="1767" spans="5:6" ht="14.45" customHeight="1" outlineLevel="4" thickBot="1" x14ac:dyDescent="0.3"/>
    <row r="1768" spans="5:6" ht="14.45" customHeight="1" outlineLevel="3" thickBot="1" x14ac:dyDescent="0.3"/>
    <row r="1769" spans="5:6" ht="14.45" customHeight="1" outlineLevel="2" thickBot="1" x14ac:dyDescent="0.3">
      <c r="E1769" s="27" t="s">
        <v>1219</v>
      </c>
    </row>
    <row r="1770" spans="5:6" ht="14.45" customHeight="1" outlineLevel="4" thickBot="1" x14ac:dyDescent="0.3"/>
    <row r="1771" spans="5:6" ht="14.45" customHeight="1" outlineLevel="3" thickBot="1" x14ac:dyDescent="0.3"/>
    <row r="1772" spans="5:6" ht="14.45" customHeight="1" outlineLevel="2" thickBot="1" x14ac:dyDescent="0.3">
      <c r="E1772" s="27" t="s">
        <v>1220</v>
      </c>
    </row>
    <row r="1773" spans="5:6" ht="14.45" customHeight="1" outlineLevel="3" thickBot="1" x14ac:dyDescent="0.3">
      <c r="F1773" s="28" t="s">
        <v>1221</v>
      </c>
    </row>
    <row r="1774" spans="5:6" ht="14.45" customHeight="1" outlineLevel="4" thickBot="1" x14ac:dyDescent="0.3"/>
    <row r="1775" spans="5:6" ht="14.45" customHeight="1" outlineLevel="3" thickBot="1" x14ac:dyDescent="0.3">
      <c r="F1775" s="28" t="s">
        <v>1222</v>
      </c>
    </row>
    <row r="1776" spans="5:6" ht="14.45" customHeight="1" outlineLevel="4" thickBot="1" x14ac:dyDescent="0.3"/>
    <row r="1777" spans="3:6" ht="14.45" customHeight="1" outlineLevel="3" thickBot="1" x14ac:dyDescent="0.3">
      <c r="F1777" s="28" t="s">
        <v>1223</v>
      </c>
    </row>
    <row r="1778" spans="3:6" ht="14.45" customHeight="1" outlineLevel="4" thickBot="1" x14ac:dyDescent="0.3"/>
    <row r="1779" spans="3:6" ht="14.45" customHeight="1" outlineLevel="3" thickBot="1" x14ac:dyDescent="0.3"/>
    <row r="1780" spans="3:6" ht="14.45" customHeight="1" outlineLevel="2" thickBot="1" x14ac:dyDescent="0.3"/>
    <row r="1781" spans="3:6" ht="14.45" customHeight="1" outlineLevel="1" thickBot="1" x14ac:dyDescent="0.3"/>
    <row r="1782" spans="3:6" ht="14.45" customHeight="1" thickBot="1" x14ac:dyDescent="0.3">
      <c r="C1782" s="25" t="s">
        <v>1224</v>
      </c>
      <c r="D1782" s="25"/>
    </row>
    <row r="1783" spans="3:6" ht="14.45" customHeight="1" outlineLevel="1" thickBot="1" x14ac:dyDescent="0.3">
      <c r="D1783" s="26" t="s">
        <v>60</v>
      </c>
      <c r="E1783" s="26"/>
    </row>
    <row r="1784" spans="3:6" ht="14.45" customHeight="1" outlineLevel="2" thickBot="1" x14ac:dyDescent="0.3">
      <c r="E1784" s="27" t="s">
        <v>1169</v>
      </c>
    </row>
    <row r="1785" spans="3:6" ht="14.45" customHeight="1" outlineLevel="4" thickBot="1" x14ac:dyDescent="0.3"/>
    <row r="1786" spans="3:6" ht="14.45" customHeight="1" outlineLevel="3" thickBot="1" x14ac:dyDescent="0.3"/>
    <row r="1787" spans="3:6" ht="14.45" customHeight="1" outlineLevel="2" thickBot="1" x14ac:dyDescent="0.3">
      <c r="E1787" s="27" t="s">
        <v>1225</v>
      </c>
    </row>
    <row r="1788" spans="3:6" ht="14.45" customHeight="1" outlineLevel="4" thickBot="1" x14ac:dyDescent="0.3"/>
    <row r="1789" spans="3:6" ht="14.45" customHeight="1" outlineLevel="3" thickBot="1" x14ac:dyDescent="0.3"/>
    <row r="1790" spans="3:6" ht="14.45" customHeight="1" outlineLevel="2" thickBot="1" x14ac:dyDescent="0.3"/>
    <row r="1791" spans="3:6" ht="14.45" customHeight="1" outlineLevel="1" thickBot="1" x14ac:dyDescent="0.3">
      <c r="D1791" s="26" t="s">
        <v>61</v>
      </c>
      <c r="E1791" s="26"/>
    </row>
    <row r="1792" spans="3:6" ht="14.45" customHeight="1" outlineLevel="2" thickBot="1" x14ac:dyDescent="0.3">
      <c r="E1792" s="27" t="s">
        <v>1226</v>
      </c>
    </row>
    <row r="1793" spans="4:5" ht="14.45" customHeight="1" outlineLevel="4" thickBot="1" x14ac:dyDescent="0.3"/>
    <row r="1794" spans="4:5" ht="14.45" customHeight="1" outlineLevel="3" thickBot="1" x14ac:dyDescent="0.3"/>
    <row r="1795" spans="4:5" ht="14.45" customHeight="1" outlineLevel="2" thickBot="1" x14ac:dyDescent="0.3">
      <c r="E1795" s="27" t="s">
        <v>1227</v>
      </c>
    </row>
    <row r="1796" spans="4:5" ht="14.45" customHeight="1" outlineLevel="4" thickBot="1" x14ac:dyDescent="0.3"/>
    <row r="1797" spans="4:5" ht="14.45" customHeight="1" outlineLevel="3" thickBot="1" x14ac:dyDescent="0.3"/>
    <row r="1798" spans="4:5" ht="14.45" customHeight="1" outlineLevel="2" thickBot="1" x14ac:dyDescent="0.3">
      <c r="E1798" s="27" t="s">
        <v>1228</v>
      </c>
    </row>
    <row r="1799" spans="4:5" ht="14.45" customHeight="1" outlineLevel="4" thickBot="1" x14ac:dyDescent="0.3"/>
    <row r="1800" spans="4:5" ht="14.45" customHeight="1" outlineLevel="3" thickBot="1" x14ac:dyDescent="0.3"/>
    <row r="1801" spans="4:5" ht="14.45" customHeight="1" outlineLevel="2" thickBot="1" x14ac:dyDescent="0.3"/>
    <row r="1802" spans="4:5" ht="14.45" customHeight="1" outlineLevel="1" thickBot="1" x14ac:dyDescent="0.3">
      <c r="D1802" s="26" t="s">
        <v>1229</v>
      </c>
      <c r="E1802" s="26"/>
    </row>
    <row r="1803" spans="4:5" ht="14.45" customHeight="1" outlineLevel="4" thickBot="1" x14ac:dyDescent="0.3"/>
    <row r="1804" spans="4:5" ht="14.45" customHeight="1" outlineLevel="3" thickBot="1" x14ac:dyDescent="0.3"/>
    <row r="1805" spans="4:5" ht="14.45" customHeight="1" outlineLevel="2" thickBot="1" x14ac:dyDescent="0.3"/>
    <row r="1806" spans="4:5" ht="14.45" customHeight="1" outlineLevel="1" thickBot="1" x14ac:dyDescent="0.3">
      <c r="D1806" s="26" t="s">
        <v>62</v>
      </c>
      <c r="E1806" s="26"/>
    </row>
    <row r="1807" spans="4:5" ht="14.45" customHeight="1" outlineLevel="2" thickBot="1" x14ac:dyDescent="0.3">
      <c r="E1807" s="27" t="s">
        <v>1230</v>
      </c>
    </row>
    <row r="1808" spans="4:5" ht="14.45" customHeight="1" outlineLevel="4" thickBot="1" x14ac:dyDescent="0.3"/>
    <row r="1809" spans="5:6" ht="14.45" customHeight="1" outlineLevel="3" thickBot="1" x14ac:dyDescent="0.3"/>
    <row r="1810" spans="5:6" ht="14.45" customHeight="1" outlineLevel="2" thickBot="1" x14ac:dyDescent="0.3">
      <c r="E1810" s="27" t="s">
        <v>1231</v>
      </c>
    </row>
    <row r="1811" spans="5:6" ht="14.45" customHeight="1" outlineLevel="4" thickBot="1" x14ac:dyDescent="0.3"/>
    <row r="1812" spans="5:6" ht="14.45" customHeight="1" outlineLevel="3" thickBot="1" x14ac:dyDescent="0.3"/>
    <row r="1813" spans="5:6" ht="14.45" customHeight="1" outlineLevel="2" thickBot="1" x14ac:dyDescent="0.3">
      <c r="E1813" s="27" t="s">
        <v>1232</v>
      </c>
    </row>
    <row r="1814" spans="5:6" ht="14.45" customHeight="1" outlineLevel="4" thickBot="1" x14ac:dyDescent="0.3"/>
    <row r="1815" spans="5:6" ht="14.45" customHeight="1" outlineLevel="3" thickBot="1" x14ac:dyDescent="0.3"/>
    <row r="1816" spans="5:6" ht="14.45" customHeight="1" outlineLevel="2" thickBot="1" x14ac:dyDescent="0.3">
      <c r="E1816" s="27" t="s">
        <v>1233</v>
      </c>
    </row>
    <row r="1817" spans="5:6" ht="14.45" customHeight="1" outlineLevel="3" thickBot="1" x14ac:dyDescent="0.3">
      <c r="F1817" s="28" t="s">
        <v>1234</v>
      </c>
    </row>
    <row r="1818" spans="5:6" ht="14.45" customHeight="1" outlineLevel="4" thickBot="1" x14ac:dyDescent="0.3"/>
    <row r="1819" spans="5:6" ht="14.45" customHeight="1" outlineLevel="3" thickBot="1" x14ac:dyDescent="0.3">
      <c r="F1819" s="28" t="s">
        <v>1235</v>
      </c>
    </row>
    <row r="1820" spans="5:6" ht="14.45" customHeight="1" outlineLevel="4" thickBot="1" x14ac:dyDescent="0.3"/>
    <row r="1821" spans="5:6" ht="14.45" customHeight="1" outlineLevel="3" thickBot="1" x14ac:dyDescent="0.3">
      <c r="F1821" s="28" t="s">
        <v>1236</v>
      </c>
    </row>
    <row r="1822" spans="5:6" ht="14.45" customHeight="1" outlineLevel="4" thickBot="1" x14ac:dyDescent="0.3"/>
    <row r="1823" spans="5:6" ht="14.45" customHeight="1" outlineLevel="3" thickBot="1" x14ac:dyDescent="0.3"/>
    <row r="1824" spans="5:6" ht="14.45" customHeight="1" outlineLevel="2" thickBot="1" x14ac:dyDescent="0.3"/>
    <row r="1825" spans="3:6" ht="14.45" customHeight="1" outlineLevel="1" thickBot="1" x14ac:dyDescent="0.3"/>
    <row r="1826" spans="3:6" ht="14.45" customHeight="1" thickBot="1" x14ac:dyDescent="0.3">
      <c r="C1826" s="25" t="s">
        <v>1237</v>
      </c>
      <c r="D1826" s="25"/>
    </row>
    <row r="1827" spans="3:6" ht="14.45" customHeight="1" outlineLevel="1" thickBot="1" x14ac:dyDescent="0.3">
      <c r="D1827" s="26" t="s">
        <v>63</v>
      </c>
      <c r="E1827" s="26"/>
    </row>
    <row r="1828" spans="3:6" ht="14.45" customHeight="1" outlineLevel="2" thickBot="1" x14ac:dyDescent="0.3">
      <c r="E1828" s="27" t="s">
        <v>1238</v>
      </c>
    </row>
    <row r="1829" spans="3:6" ht="14.45" customHeight="1" outlineLevel="4" thickBot="1" x14ac:dyDescent="0.3"/>
    <row r="1830" spans="3:6" ht="14.45" customHeight="1" outlineLevel="3" thickBot="1" x14ac:dyDescent="0.3"/>
    <row r="1831" spans="3:6" ht="14.45" customHeight="1" outlineLevel="2" thickBot="1" x14ac:dyDescent="0.3">
      <c r="E1831" s="27" t="s">
        <v>1239</v>
      </c>
    </row>
    <row r="1832" spans="3:6" ht="14.45" customHeight="1" outlineLevel="4" thickBot="1" x14ac:dyDescent="0.3"/>
    <row r="1833" spans="3:6" ht="14.45" customHeight="1" outlineLevel="3" thickBot="1" x14ac:dyDescent="0.3"/>
    <row r="1834" spans="3:6" ht="14.45" customHeight="1" outlineLevel="2" thickBot="1" x14ac:dyDescent="0.3">
      <c r="E1834" s="27" t="s">
        <v>1240</v>
      </c>
    </row>
    <row r="1835" spans="3:6" ht="14.45" customHeight="1" outlineLevel="4" thickBot="1" x14ac:dyDescent="0.3"/>
    <row r="1836" spans="3:6" ht="14.45" customHeight="1" outlineLevel="3" thickBot="1" x14ac:dyDescent="0.3"/>
    <row r="1837" spans="3:6" ht="14.45" customHeight="1" outlineLevel="2" thickBot="1" x14ac:dyDescent="0.3"/>
    <row r="1838" spans="3:6" ht="14.45" customHeight="1" outlineLevel="1" thickBot="1" x14ac:dyDescent="0.3">
      <c r="D1838" s="26" t="s">
        <v>64</v>
      </c>
      <c r="E1838" s="26"/>
    </row>
    <row r="1839" spans="3:6" ht="14.45" customHeight="1" outlineLevel="2" thickBot="1" x14ac:dyDescent="0.3">
      <c r="E1839" s="27" t="s">
        <v>1241</v>
      </c>
    </row>
    <row r="1840" spans="3:6" ht="14.45" customHeight="1" outlineLevel="3" thickBot="1" x14ac:dyDescent="0.3">
      <c r="F1840" s="28" t="s">
        <v>1242</v>
      </c>
    </row>
    <row r="1841" spans="3:6" ht="14.45" customHeight="1" outlineLevel="4" thickBot="1" x14ac:dyDescent="0.3"/>
    <row r="1842" spans="3:6" ht="14.45" customHeight="1" outlineLevel="3" thickBot="1" x14ac:dyDescent="0.3">
      <c r="F1842" s="28" t="s">
        <v>1243</v>
      </c>
    </row>
    <row r="1843" spans="3:6" ht="14.45" customHeight="1" outlineLevel="4" thickBot="1" x14ac:dyDescent="0.3"/>
    <row r="1844" spans="3:6" ht="14.45" customHeight="1" outlineLevel="3" thickBot="1" x14ac:dyDescent="0.3"/>
    <row r="1845" spans="3:6" ht="14.45" customHeight="1" outlineLevel="2" thickBot="1" x14ac:dyDescent="0.3">
      <c r="E1845" s="27" t="s">
        <v>1244</v>
      </c>
    </row>
    <row r="1846" spans="3:6" ht="14.45" customHeight="1" outlineLevel="4" thickBot="1" x14ac:dyDescent="0.3"/>
    <row r="1847" spans="3:6" ht="14.45" customHeight="1" outlineLevel="3" thickBot="1" x14ac:dyDescent="0.3"/>
    <row r="1848" spans="3:6" ht="14.45" customHeight="1" outlineLevel="2" thickBot="1" x14ac:dyDescent="0.3">
      <c r="E1848" s="27" t="s">
        <v>1245</v>
      </c>
    </row>
    <row r="1849" spans="3:6" ht="14.45" customHeight="1" outlineLevel="4" thickBot="1" x14ac:dyDescent="0.3"/>
    <row r="1850" spans="3:6" ht="14.45" customHeight="1" outlineLevel="3" thickBot="1" x14ac:dyDescent="0.3"/>
    <row r="1851" spans="3:6" ht="14.45" customHeight="1" outlineLevel="2" thickBot="1" x14ac:dyDescent="0.3"/>
    <row r="1852" spans="3:6" ht="14.45" customHeight="1" outlineLevel="1" thickBot="1" x14ac:dyDescent="0.3"/>
    <row r="1853" spans="3:6" ht="14.45" customHeight="1" thickBot="1" x14ac:dyDescent="0.3">
      <c r="C1853" s="25" t="s">
        <v>1246</v>
      </c>
      <c r="D1853" s="25"/>
    </row>
    <row r="1854" spans="3:6" ht="14.45" customHeight="1" outlineLevel="1" thickBot="1" x14ac:dyDescent="0.3">
      <c r="D1854" s="26" t="s">
        <v>65</v>
      </c>
      <c r="E1854" s="26"/>
    </row>
    <row r="1855" spans="3:6" ht="14.45" customHeight="1" outlineLevel="2" thickBot="1" x14ac:dyDescent="0.3">
      <c r="E1855" s="27" t="s">
        <v>1247</v>
      </c>
    </row>
    <row r="1856" spans="3:6" ht="14.45" customHeight="1" outlineLevel="4" thickBot="1" x14ac:dyDescent="0.3"/>
    <row r="1857" spans="4:6" ht="14.45" customHeight="1" outlineLevel="3" thickBot="1" x14ac:dyDescent="0.3"/>
    <row r="1858" spans="4:6" ht="14.45" customHeight="1" outlineLevel="2" thickBot="1" x14ac:dyDescent="0.3">
      <c r="E1858" s="27" t="s">
        <v>1248</v>
      </c>
    </row>
    <row r="1859" spans="4:6" ht="14.45" customHeight="1" outlineLevel="4" thickBot="1" x14ac:dyDescent="0.3"/>
    <row r="1860" spans="4:6" ht="14.45" customHeight="1" outlineLevel="3" thickBot="1" x14ac:dyDescent="0.3"/>
    <row r="1861" spans="4:6" ht="14.45" customHeight="1" outlineLevel="2" thickBot="1" x14ac:dyDescent="0.3"/>
    <row r="1862" spans="4:6" ht="14.45" customHeight="1" outlineLevel="1" thickBot="1" x14ac:dyDescent="0.3">
      <c r="D1862" s="26" t="s">
        <v>66</v>
      </c>
      <c r="E1862" s="26"/>
    </row>
    <row r="1863" spans="4:6" ht="14.45" customHeight="1" outlineLevel="2" thickBot="1" x14ac:dyDescent="0.3">
      <c r="E1863" s="27" t="s">
        <v>1249</v>
      </c>
    </row>
    <row r="1864" spans="4:6" ht="14.45" customHeight="1" outlineLevel="4" thickBot="1" x14ac:dyDescent="0.3"/>
    <row r="1865" spans="4:6" ht="14.45" customHeight="1" outlineLevel="3" thickBot="1" x14ac:dyDescent="0.3"/>
    <row r="1866" spans="4:6" ht="14.45" customHeight="1" outlineLevel="2" thickBot="1" x14ac:dyDescent="0.3">
      <c r="E1866" s="27" t="s">
        <v>1250</v>
      </c>
    </row>
    <row r="1867" spans="4:6" ht="14.45" customHeight="1" outlineLevel="4" thickBot="1" x14ac:dyDescent="0.3"/>
    <row r="1868" spans="4:6" ht="14.45" customHeight="1" outlineLevel="3" thickBot="1" x14ac:dyDescent="0.3"/>
    <row r="1869" spans="4:6" ht="14.45" customHeight="1" outlineLevel="2" thickBot="1" x14ac:dyDescent="0.3"/>
    <row r="1870" spans="4:6" ht="14.45" customHeight="1" outlineLevel="1" thickBot="1" x14ac:dyDescent="0.3">
      <c r="D1870" s="26" t="s">
        <v>67</v>
      </c>
      <c r="E1870" s="26"/>
    </row>
    <row r="1871" spans="4:6" ht="14.45" customHeight="1" outlineLevel="2" thickBot="1" x14ac:dyDescent="0.3">
      <c r="E1871" s="27" t="s">
        <v>1251</v>
      </c>
    </row>
    <row r="1872" spans="4:6" ht="14.45" customHeight="1" outlineLevel="3" thickBot="1" x14ac:dyDescent="0.3">
      <c r="F1872" s="28" t="s">
        <v>1252</v>
      </c>
    </row>
    <row r="1873" spans="5:6" ht="14.45" customHeight="1" outlineLevel="4" thickBot="1" x14ac:dyDescent="0.3"/>
    <row r="1874" spans="5:6" ht="14.45" customHeight="1" outlineLevel="3" thickBot="1" x14ac:dyDescent="0.3">
      <c r="F1874" s="28" t="s">
        <v>1253</v>
      </c>
    </row>
    <row r="1875" spans="5:6" ht="14.45" customHeight="1" outlineLevel="4" thickBot="1" x14ac:dyDescent="0.3"/>
    <row r="1876" spans="5:6" ht="14.45" customHeight="1" outlineLevel="3" thickBot="1" x14ac:dyDescent="0.3"/>
    <row r="1877" spans="5:6" ht="14.45" customHeight="1" outlineLevel="2" thickBot="1" x14ac:dyDescent="0.3">
      <c r="E1877" s="27" t="s">
        <v>1254</v>
      </c>
    </row>
    <row r="1878" spans="5:6" ht="14.45" customHeight="1" outlineLevel="3" thickBot="1" x14ac:dyDescent="0.3">
      <c r="F1878" s="28" t="s">
        <v>1255</v>
      </c>
    </row>
    <row r="1879" spans="5:6" ht="14.45" customHeight="1" outlineLevel="4" thickBot="1" x14ac:dyDescent="0.3"/>
    <row r="1880" spans="5:6" ht="14.45" customHeight="1" outlineLevel="3" thickBot="1" x14ac:dyDescent="0.3">
      <c r="F1880" s="28" t="s">
        <v>1256</v>
      </c>
    </row>
    <row r="1881" spans="5:6" ht="14.45" customHeight="1" outlineLevel="4" thickBot="1" x14ac:dyDescent="0.3"/>
    <row r="1882" spans="5:6" ht="14.45" customHeight="1" outlineLevel="3" thickBot="1" x14ac:dyDescent="0.3"/>
    <row r="1883" spans="5:6" ht="14.45" customHeight="1" outlineLevel="2" thickBot="1" x14ac:dyDescent="0.3">
      <c r="E1883" s="27" t="s">
        <v>1257</v>
      </c>
    </row>
    <row r="1884" spans="5:6" ht="14.45" customHeight="1" outlineLevel="4" thickBot="1" x14ac:dyDescent="0.3"/>
    <row r="1885" spans="5:6" ht="14.45" customHeight="1" outlineLevel="3" thickBot="1" x14ac:dyDescent="0.3"/>
    <row r="1886" spans="5:6" ht="14.45" customHeight="1" outlineLevel="2" thickBot="1" x14ac:dyDescent="0.3">
      <c r="E1886" s="27" t="s">
        <v>1258</v>
      </c>
    </row>
    <row r="1887" spans="5:6" ht="14.45" customHeight="1" outlineLevel="4" thickBot="1" x14ac:dyDescent="0.3"/>
    <row r="1888" spans="5:6" ht="14.45" customHeight="1" outlineLevel="3" thickBot="1" x14ac:dyDescent="0.3"/>
    <row r="1889" spans="4:6" ht="14.45" customHeight="1" outlineLevel="2" thickBot="1" x14ac:dyDescent="0.3">
      <c r="E1889" s="27" t="s">
        <v>1259</v>
      </c>
    </row>
    <row r="1890" spans="4:6" ht="14.45" customHeight="1" outlineLevel="4" thickBot="1" x14ac:dyDescent="0.3"/>
    <row r="1891" spans="4:6" ht="14.45" customHeight="1" outlineLevel="3" thickBot="1" x14ac:dyDescent="0.3"/>
    <row r="1892" spans="4:6" ht="14.45" customHeight="1" outlineLevel="2" thickBot="1" x14ac:dyDescent="0.3">
      <c r="E1892" s="27" t="s">
        <v>1260</v>
      </c>
    </row>
    <row r="1893" spans="4:6" ht="14.45" customHeight="1" outlineLevel="4" thickBot="1" x14ac:dyDescent="0.3"/>
    <row r="1894" spans="4:6" ht="14.45" customHeight="1" outlineLevel="3" thickBot="1" x14ac:dyDescent="0.3"/>
    <row r="1895" spans="4:6" ht="14.45" customHeight="1" outlineLevel="2" thickBot="1" x14ac:dyDescent="0.3">
      <c r="E1895" s="27" t="s">
        <v>1261</v>
      </c>
    </row>
    <row r="1896" spans="4:6" ht="14.45" customHeight="1" outlineLevel="3" thickBot="1" x14ac:dyDescent="0.3">
      <c r="F1896" s="28" t="s">
        <v>268</v>
      </c>
    </row>
    <row r="1897" spans="4:6" ht="14.45" customHeight="1" outlineLevel="4" thickBot="1" x14ac:dyDescent="0.3"/>
    <row r="1898" spans="4:6" ht="14.45" customHeight="1" outlineLevel="3" thickBot="1" x14ac:dyDescent="0.3">
      <c r="F1898" s="28" t="s">
        <v>1262</v>
      </c>
    </row>
    <row r="1899" spans="4:6" ht="14.45" customHeight="1" outlineLevel="4" thickBot="1" x14ac:dyDescent="0.3"/>
    <row r="1900" spans="4:6" ht="14.45" customHeight="1" outlineLevel="3" thickBot="1" x14ac:dyDescent="0.3"/>
    <row r="1901" spans="4:6" ht="14.45" customHeight="1" outlineLevel="2" thickBot="1" x14ac:dyDescent="0.3"/>
    <row r="1902" spans="4:6" ht="14.45" customHeight="1" outlineLevel="1" thickBot="1" x14ac:dyDescent="0.3">
      <c r="D1902" s="26" t="s">
        <v>68</v>
      </c>
      <c r="E1902" s="26"/>
    </row>
    <row r="1903" spans="4:6" ht="14.45" customHeight="1" outlineLevel="2" thickBot="1" x14ac:dyDescent="0.3">
      <c r="E1903" s="27" t="s">
        <v>1263</v>
      </c>
    </row>
    <row r="1904" spans="4:6" ht="14.45" customHeight="1" outlineLevel="3" thickBot="1" x14ac:dyDescent="0.3">
      <c r="F1904" s="28" t="s">
        <v>1264</v>
      </c>
    </row>
    <row r="1905" spans="5:6" ht="14.45" customHeight="1" outlineLevel="4" thickBot="1" x14ac:dyDescent="0.3"/>
    <row r="1906" spans="5:6" ht="14.45" customHeight="1" outlineLevel="3" thickBot="1" x14ac:dyDescent="0.3">
      <c r="F1906" s="28" t="s">
        <v>1265</v>
      </c>
    </row>
    <row r="1907" spans="5:6" ht="14.45" customHeight="1" outlineLevel="4" thickBot="1" x14ac:dyDescent="0.3"/>
    <row r="1908" spans="5:6" ht="14.45" customHeight="1" outlineLevel="3" thickBot="1" x14ac:dyDescent="0.3">
      <c r="F1908" s="28" t="s">
        <v>1266</v>
      </c>
    </row>
    <row r="1909" spans="5:6" ht="14.45" customHeight="1" outlineLevel="4" thickBot="1" x14ac:dyDescent="0.3"/>
    <row r="1910" spans="5:6" ht="14.45" customHeight="1" outlineLevel="3" thickBot="1" x14ac:dyDescent="0.3">
      <c r="F1910" s="28" t="s">
        <v>1267</v>
      </c>
    </row>
    <row r="1911" spans="5:6" ht="14.45" customHeight="1" outlineLevel="4" thickBot="1" x14ac:dyDescent="0.3"/>
    <row r="1912" spans="5:6" ht="14.45" customHeight="1" outlineLevel="3" thickBot="1" x14ac:dyDescent="0.3"/>
    <row r="1913" spans="5:6" ht="14.45" customHeight="1" outlineLevel="2" thickBot="1" x14ac:dyDescent="0.3">
      <c r="E1913" s="27" t="s">
        <v>1268</v>
      </c>
    </row>
    <row r="1914" spans="5:6" ht="14.45" customHeight="1" outlineLevel="4" thickBot="1" x14ac:dyDescent="0.3"/>
    <row r="1915" spans="5:6" ht="14.45" customHeight="1" outlineLevel="3" thickBot="1" x14ac:dyDescent="0.3"/>
    <row r="1916" spans="5:6" ht="14.45" customHeight="1" outlineLevel="2" thickBot="1" x14ac:dyDescent="0.3">
      <c r="E1916" s="27" t="s">
        <v>1269</v>
      </c>
    </row>
    <row r="1917" spans="5:6" ht="14.45" customHeight="1" outlineLevel="4" thickBot="1" x14ac:dyDescent="0.3"/>
    <row r="1918" spans="5:6" ht="14.45" customHeight="1" outlineLevel="3" thickBot="1" x14ac:dyDescent="0.3"/>
    <row r="1919" spans="5:6" ht="14.45" customHeight="1" outlineLevel="2" thickBot="1" x14ac:dyDescent="0.3">
      <c r="E1919" s="27" t="s">
        <v>1270</v>
      </c>
    </row>
    <row r="1920" spans="5:6" ht="14.45" customHeight="1" outlineLevel="4" thickBot="1" x14ac:dyDescent="0.3"/>
    <row r="1921" spans="4:5" ht="14.45" customHeight="1" outlineLevel="3" thickBot="1" x14ac:dyDescent="0.3"/>
    <row r="1922" spans="4:5" ht="14.45" customHeight="1" outlineLevel="2" thickBot="1" x14ac:dyDescent="0.3"/>
    <row r="1923" spans="4:5" ht="14.45" customHeight="1" outlineLevel="1" thickBot="1" x14ac:dyDescent="0.3">
      <c r="D1923" s="26" t="s">
        <v>69</v>
      </c>
      <c r="E1923" s="26"/>
    </row>
    <row r="1924" spans="4:5" ht="14.45" customHeight="1" outlineLevel="2" thickBot="1" x14ac:dyDescent="0.3">
      <c r="E1924" s="27" t="s">
        <v>1271</v>
      </c>
    </row>
    <row r="1925" spans="4:5" ht="14.45" customHeight="1" outlineLevel="4" thickBot="1" x14ac:dyDescent="0.3"/>
    <row r="1926" spans="4:5" ht="14.45" customHeight="1" outlineLevel="3" thickBot="1" x14ac:dyDescent="0.3"/>
    <row r="1927" spans="4:5" ht="14.45" customHeight="1" outlineLevel="2" thickBot="1" x14ac:dyDescent="0.3">
      <c r="E1927" s="27" t="s">
        <v>1272</v>
      </c>
    </row>
    <row r="1928" spans="4:5" ht="14.45" customHeight="1" outlineLevel="4" thickBot="1" x14ac:dyDescent="0.3"/>
    <row r="1929" spans="4:5" ht="14.45" customHeight="1" outlineLevel="3" thickBot="1" x14ac:dyDescent="0.3"/>
    <row r="1930" spans="4:5" ht="14.45" customHeight="1" outlineLevel="2" thickBot="1" x14ac:dyDescent="0.3"/>
    <row r="1931" spans="4:5" ht="14.45" customHeight="1" outlineLevel="1" thickBot="1" x14ac:dyDescent="0.3"/>
  </sheetData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5F4EE-7417-430D-8D63-3590C906F76B}">
  <sheetPr codeName="Sheet2">
    <pageSetUpPr fitToPage="1"/>
  </sheetPr>
  <dimension ref="B1:G429"/>
  <sheetViews>
    <sheetView showGridLines="0" workbookViewId="0">
      <pane ySplit="3" topLeftCell="A115" activePane="bottomLeft" state="frozen"/>
      <selection pane="bottomLeft" activeCell="E140" sqref="E140"/>
    </sheetView>
  </sheetViews>
  <sheetFormatPr defaultRowHeight="14.45" customHeight="1" x14ac:dyDescent="0.2"/>
  <cols>
    <col min="1" max="1" width="1.7109375" style="1" customWidth="1"/>
    <col min="2" max="2" width="10.7109375" style="1" customWidth="1"/>
    <col min="3" max="3" width="21" style="1" customWidth="1"/>
    <col min="4" max="4" width="37.7109375" style="1" customWidth="1"/>
    <col min="5" max="5" width="28.28515625" style="1" customWidth="1"/>
    <col min="6" max="6" width="2.7109375" style="2" customWidth="1"/>
    <col min="7" max="7" width="163.7109375" style="1" customWidth="1"/>
    <col min="8" max="16384" width="9.140625" style="1"/>
  </cols>
  <sheetData>
    <row r="1" spans="2:7" ht="14.45" customHeight="1" thickBot="1" x14ac:dyDescent="0.25"/>
    <row r="2" spans="2:7" ht="14.45" customHeight="1" x14ac:dyDescent="0.2">
      <c r="B2" s="276" t="s">
        <v>2</v>
      </c>
      <c r="C2" s="277"/>
      <c r="D2" s="278"/>
      <c r="E2" s="38" t="s">
        <v>3</v>
      </c>
      <c r="F2" s="47"/>
      <c r="G2" s="39" t="s">
        <v>4</v>
      </c>
    </row>
    <row r="3" spans="2:7" ht="14.45" customHeight="1" thickBot="1" x14ac:dyDescent="0.25">
      <c r="B3" s="37" t="s">
        <v>1514</v>
      </c>
      <c r="C3" s="52" t="s">
        <v>0</v>
      </c>
      <c r="D3" s="51" t="s">
        <v>1</v>
      </c>
      <c r="E3" s="181"/>
      <c r="F3" s="182"/>
      <c r="G3" s="183"/>
    </row>
    <row r="4" spans="2:7" ht="14.45" customHeight="1" x14ac:dyDescent="0.2">
      <c r="B4" s="173" t="s">
        <v>2600</v>
      </c>
      <c r="C4" s="171" t="s">
        <v>2518</v>
      </c>
      <c r="D4" s="178" t="s">
        <v>3629</v>
      </c>
      <c r="E4" s="184" t="s">
        <v>1377</v>
      </c>
      <c r="F4" s="185"/>
      <c r="G4" s="163" t="s">
        <v>1411</v>
      </c>
    </row>
    <row r="5" spans="2:7" ht="14.45" customHeight="1" x14ac:dyDescent="0.2">
      <c r="B5" s="174" t="s">
        <v>2538</v>
      </c>
      <c r="C5" s="176" t="s">
        <v>2518</v>
      </c>
      <c r="D5" s="179" t="s">
        <v>3629</v>
      </c>
      <c r="E5" s="186" t="s">
        <v>1412</v>
      </c>
      <c r="F5" s="187"/>
      <c r="G5" s="150" t="s">
        <v>1413</v>
      </c>
    </row>
    <row r="6" spans="2:7" ht="14.45" customHeight="1" x14ac:dyDescent="0.2">
      <c r="B6" s="174" t="s">
        <v>2538</v>
      </c>
      <c r="C6" s="176" t="s">
        <v>2518</v>
      </c>
      <c r="D6" s="179" t="s">
        <v>3629</v>
      </c>
      <c r="E6" s="186" t="s">
        <v>1415</v>
      </c>
      <c r="F6" s="187"/>
      <c r="G6" s="150" t="s">
        <v>1414</v>
      </c>
    </row>
    <row r="7" spans="2:7" ht="14.45" customHeight="1" x14ac:dyDescent="0.2">
      <c r="B7" s="174" t="s">
        <v>2538</v>
      </c>
      <c r="C7" s="176" t="s">
        <v>2518</v>
      </c>
      <c r="D7" s="179" t="s">
        <v>3629</v>
      </c>
      <c r="E7" s="186" t="s">
        <v>1378</v>
      </c>
      <c r="F7" s="187"/>
      <c r="G7" s="150" t="s">
        <v>1416</v>
      </c>
    </row>
    <row r="8" spans="2:7" ht="14.45" customHeight="1" x14ac:dyDescent="0.2">
      <c r="B8" s="174" t="s">
        <v>2538</v>
      </c>
      <c r="C8" s="176" t="s">
        <v>2518</v>
      </c>
      <c r="D8" s="179" t="s">
        <v>3629</v>
      </c>
      <c r="E8" s="186" t="s">
        <v>1417</v>
      </c>
      <c r="F8" s="187"/>
      <c r="G8" s="150" t="s">
        <v>1418</v>
      </c>
    </row>
    <row r="9" spans="2:7" ht="14.45" customHeight="1" x14ac:dyDescent="0.2">
      <c r="B9" s="174" t="s">
        <v>2538</v>
      </c>
      <c r="C9" s="176" t="s">
        <v>2518</v>
      </c>
      <c r="D9" s="179" t="s">
        <v>3629</v>
      </c>
      <c r="E9" s="186" t="s">
        <v>1379</v>
      </c>
      <c r="F9" s="187"/>
      <c r="G9" s="150" t="s">
        <v>1419</v>
      </c>
    </row>
    <row r="10" spans="2:7" ht="14.45" customHeight="1" x14ac:dyDescent="0.2">
      <c r="B10" s="174" t="s">
        <v>2538</v>
      </c>
      <c r="C10" s="176" t="s">
        <v>2518</v>
      </c>
      <c r="D10" s="179" t="s">
        <v>3629</v>
      </c>
      <c r="E10" s="186" t="s">
        <v>1380</v>
      </c>
      <c r="F10" s="187"/>
      <c r="G10" s="150" t="s">
        <v>1420</v>
      </c>
    </row>
    <row r="11" spans="2:7" ht="14.45" customHeight="1" x14ac:dyDescent="0.2">
      <c r="B11" s="174" t="s">
        <v>2538</v>
      </c>
      <c r="C11" s="176" t="s">
        <v>2518</v>
      </c>
      <c r="D11" s="179" t="s">
        <v>3629</v>
      </c>
      <c r="E11" s="186" t="s">
        <v>1381</v>
      </c>
      <c r="F11" s="187"/>
      <c r="G11" s="150" t="s">
        <v>1421</v>
      </c>
    </row>
    <row r="12" spans="2:7" ht="14.45" customHeight="1" x14ac:dyDescent="0.2">
      <c r="B12" s="174" t="s">
        <v>2538</v>
      </c>
      <c r="C12" s="176" t="s">
        <v>2518</v>
      </c>
      <c r="D12" s="179" t="s">
        <v>3629</v>
      </c>
      <c r="E12" s="186" t="s">
        <v>1382</v>
      </c>
      <c r="F12" s="187"/>
      <c r="G12" s="150" t="s">
        <v>1422</v>
      </c>
    </row>
    <row r="13" spans="2:7" ht="14.45" customHeight="1" x14ac:dyDescent="0.2">
      <c r="B13" s="174" t="s">
        <v>2538</v>
      </c>
      <c r="C13" s="176" t="s">
        <v>2518</v>
      </c>
      <c r="D13" s="179" t="s">
        <v>3629</v>
      </c>
      <c r="E13" s="186" t="s">
        <v>1383</v>
      </c>
      <c r="F13" s="187"/>
      <c r="G13" s="150" t="s">
        <v>1423</v>
      </c>
    </row>
    <row r="14" spans="2:7" ht="14.45" customHeight="1" x14ac:dyDescent="0.2">
      <c r="B14" s="174" t="s">
        <v>2538</v>
      </c>
      <c r="C14" s="176" t="s">
        <v>2518</v>
      </c>
      <c r="D14" s="179" t="s">
        <v>3629</v>
      </c>
      <c r="E14" s="186" t="s">
        <v>1384</v>
      </c>
      <c r="F14" s="187"/>
      <c r="G14" s="150" t="s">
        <v>1429</v>
      </c>
    </row>
    <row r="15" spans="2:7" ht="14.45" customHeight="1" x14ac:dyDescent="0.2">
      <c r="B15" s="174" t="s">
        <v>2538</v>
      </c>
      <c r="C15" s="176" t="s">
        <v>2518</v>
      </c>
      <c r="D15" s="179" t="s">
        <v>3629</v>
      </c>
      <c r="E15" s="186" t="s">
        <v>1385</v>
      </c>
      <c r="F15" s="187"/>
      <c r="G15" s="150" t="s">
        <v>1430</v>
      </c>
    </row>
    <row r="16" spans="2:7" ht="14.45" customHeight="1" x14ac:dyDescent="0.2">
      <c r="B16" s="174" t="s">
        <v>2538</v>
      </c>
      <c r="C16" s="176" t="s">
        <v>2518</v>
      </c>
      <c r="D16" s="179" t="s">
        <v>3629</v>
      </c>
      <c r="E16" s="186" t="s">
        <v>1386</v>
      </c>
      <c r="F16" s="187"/>
      <c r="G16" s="150" t="s">
        <v>1431</v>
      </c>
    </row>
    <row r="17" spans="2:7" ht="14.45" customHeight="1" x14ac:dyDescent="0.2">
      <c r="B17" s="174" t="s">
        <v>2538</v>
      </c>
      <c r="C17" s="176" t="s">
        <v>2518</v>
      </c>
      <c r="D17" s="179" t="s">
        <v>3629</v>
      </c>
      <c r="E17" s="186" t="s">
        <v>1502</v>
      </c>
      <c r="F17" s="187"/>
      <c r="G17" s="150" t="s">
        <v>1577</v>
      </c>
    </row>
    <row r="18" spans="2:7" ht="14.45" customHeight="1" x14ac:dyDescent="0.2">
      <c r="B18" s="174" t="s">
        <v>2538</v>
      </c>
      <c r="C18" s="176" t="s">
        <v>2518</v>
      </c>
      <c r="D18" s="179" t="s">
        <v>3629</v>
      </c>
      <c r="E18" s="186" t="s">
        <v>1504</v>
      </c>
      <c r="F18" s="187"/>
      <c r="G18" s="150" t="s">
        <v>1503</v>
      </c>
    </row>
    <row r="19" spans="2:7" ht="14.45" customHeight="1" x14ac:dyDescent="0.2">
      <c r="B19" s="174" t="s">
        <v>2538</v>
      </c>
      <c r="C19" s="176" t="s">
        <v>2518</v>
      </c>
      <c r="D19" s="179" t="s">
        <v>3629</v>
      </c>
      <c r="E19" s="186" t="s">
        <v>1505</v>
      </c>
      <c r="F19" s="187"/>
      <c r="G19" s="150" t="s">
        <v>1578</v>
      </c>
    </row>
    <row r="20" spans="2:7" ht="14.45" customHeight="1" x14ac:dyDescent="0.2">
      <c r="B20" s="174" t="s">
        <v>2538</v>
      </c>
      <c r="C20" s="176" t="s">
        <v>2518</v>
      </c>
      <c r="D20" s="179" t="s">
        <v>3629</v>
      </c>
      <c r="E20" s="186" t="s">
        <v>1506</v>
      </c>
      <c r="F20" s="187"/>
      <c r="G20" s="150" t="s">
        <v>1507</v>
      </c>
    </row>
    <row r="21" spans="2:7" ht="14.45" customHeight="1" x14ac:dyDescent="0.2">
      <c r="B21" s="174" t="s">
        <v>2538</v>
      </c>
      <c r="C21" s="176" t="s">
        <v>2518</v>
      </c>
      <c r="D21" s="179" t="s">
        <v>3629</v>
      </c>
      <c r="E21" s="186" t="s">
        <v>1508</v>
      </c>
      <c r="F21" s="187"/>
      <c r="G21" s="150" t="s">
        <v>1509</v>
      </c>
    </row>
    <row r="22" spans="2:7" ht="14.45" customHeight="1" x14ac:dyDescent="0.2">
      <c r="B22" s="174" t="s">
        <v>2538</v>
      </c>
      <c r="C22" s="176" t="s">
        <v>2518</v>
      </c>
      <c r="D22" s="179" t="s">
        <v>3629</v>
      </c>
      <c r="E22" s="186" t="s">
        <v>1510</v>
      </c>
      <c r="F22" s="187"/>
      <c r="G22" s="150" t="s">
        <v>1512</v>
      </c>
    </row>
    <row r="23" spans="2:7" ht="14.45" customHeight="1" x14ac:dyDescent="0.2">
      <c r="B23" s="174" t="s">
        <v>2538</v>
      </c>
      <c r="C23" s="176" t="s">
        <v>2518</v>
      </c>
      <c r="D23" s="179" t="s">
        <v>3629</v>
      </c>
      <c r="E23" s="186" t="s">
        <v>1511</v>
      </c>
      <c r="F23" s="187"/>
      <c r="G23" s="150" t="s">
        <v>1513</v>
      </c>
    </row>
    <row r="24" spans="2:7" ht="14.45" customHeight="1" x14ac:dyDescent="0.2">
      <c r="B24" s="174" t="s">
        <v>2538</v>
      </c>
      <c r="C24" s="176" t="s">
        <v>2518</v>
      </c>
      <c r="D24" s="179" t="s">
        <v>3629</v>
      </c>
      <c r="E24" s="186" t="s">
        <v>1387</v>
      </c>
      <c r="F24" s="187"/>
      <c r="G24" s="150" t="s">
        <v>1432</v>
      </c>
    </row>
    <row r="25" spans="2:7" ht="14.45" customHeight="1" x14ac:dyDescent="0.2">
      <c r="B25" s="174" t="s">
        <v>2538</v>
      </c>
      <c r="C25" s="176" t="s">
        <v>2518</v>
      </c>
      <c r="D25" s="179" t="s">
        <v>3629</v>
      </c>
      <c r="E25" s="186" t="s">
        <v>1388</v>
      </c>
      <c r="F25" s="187"/>
      <c r="G25" s="150" t="s">
        <v>1433</v>
      </c>
    </row>
    <row r="26" spans="2:7" ht="14.45" customHeight="1" x14ac:dyDescent="0.2">
      <c r="B26" s="174" t="s">
        <v>2538</v>
      </c>
      <c r="C26" s="176" t="s">
        <v>2518</v>
      </c>
      <c r="D26" s="179" t="s">
        <v>3629</v>
      </c>
      <c r="E26" s="186" t="s">
        <v>1389</v>
      </c>
      <c r="F26" s="187"/>
      <c r="G26" s="150" t="s">
        <v>1434</v>
      </c>
    </row>
    <row r="27" spans="2:7" ht="14.45" customHeight="1" x14ac:dyDescent="0.2">
      <c r="B27" s="174" t="s">
        <v>2538</v>
      </c>
      <c r="C27" s="176" t="s">
        <v>2518</v>
      </c>
      <c r="D27" s="179" t="s">
        <v>3629</v>
      </c>
      <c r="E27" s="186" t="s">
        <v>1390</v>
      </c>
      <c r="F27" s="187"/>
      <c r="G27" s="150" t="s">
        <v>1435</v>
      </c>
    </row>
    <row r="28" spans="2:7" ht="14.45" customHeight="1" x14ac:dyDescent="0.2">
      <c r="B28" s="174" t="s">
        <v>2538</v>
      </c>
      <c r="C28" s="176" t="s">
        <v>2518</v>
      </c>
      <c r="D28" s="179" t="s">
        <v>3629</v>
      </c>
      <c r="E28" s="186" t="s">
        <v>1391</v>
      </c>
      <c r="F28" s="187"/>
      <c r="G28" s="150" t="s">
        <v>1436</v>
      </c>
    </row>
    <row r="29" spans="2:7" ht="14.45" customHeight="1" x14ac:dyDescent="0.2">
      <c r="B29" s="174" t="s">
        <v>2538</v>
      </c>
      <c r="C29" s="176" t="s">
        <v>2518</v>
      </c>
      <c r="D29" s="179" t="s">
        <v>3629</v>
      </c>
      <c r="E29" s="186" t="s">
        <v>1392</v>
      </c>
      <c r="F29" s="187"/>
      <c r="G29" s="150" t="s">
        <v>1437</v>
      </c>
    </row>
    <row r="30" spans="2:7" ht="14.45" customHeight="1" x14ac:dyDescent="0.2">
      <c r="B30" s="174" t="s">
        <v>2538</v>
      </c>
      <c r="C30" s="176" t="s">
        <v>2518</v>
      </c>
      <c r="D30" s="179" t="s">
        <v>3629</v>
      </c>
      <c r="E30" s="186" t="s">
        <v>1393</v>
      </c>
      <c r="F30" s="187"/>
      <c r="G30" s="150" t="s">
        <v>1438</v>
      </c>
    </row>
    <row r="31" spans="2:7" ht="14.45" customHeight="1" x14ac:dyDescent="0.2">
      <c r="B31" s="174" t="s">
        <v>2538</v>
      </c>
      <c r="C31" s="176" t="s">
        <v>2518</v>
      </c>
      <c r="D31" s="179" t="s">
        <v>3629</v>
      </c>
      <c r="E31" s="186" t="s">
        <v>1394</v>
      </c>
      <c r="F31" s="187"/>
      <c r="G31" s="150" t="s">
        <v>1439</v>
      </c>
    </row>
    <row r="32" spans="2:7" ht="14.45" customHeight="1" x14ac:dyDescent="0.2">
      <c r="B32" s="174" t="s">
        <v>2538</v>
      </c>
      <c r="C32" s="176" t="s">
        <v>2518</v>
      </c>
      <c r="D32" s="179" t="s">
        <v>3629</v>
      </c>
      <c r="E32" s="186" t="s">
        <v>1395</v>
      </c>
      <c r="F32" s="187"/>
      <c r="G32" s="150" t="s">
        <v>1440</v>
      </c>
    </row>
    <row r="33" spans="2:7" ht="14.45" customHeight="1" x14ac:dyDescent="0.2">
      <c r="B33" s="174" t="s">
        <v>2538</v>
      </c>
      <c r="C33" s="176" t="s">
        <v>2518</v>
      </c>
      <c r="D33" s="179" t="s">
        <v>3629</v>
      </c>
      <c r="E33" s="186" t="s">
        <v>1396</v>
      </c>
      <c r="F33" s="187"/>
      <c r="G33" s="150" t="s">
        <v>1591</v>
      </c>
    </row>
    <row r="34" spans="2:7" ht="14.45" customHeight="1" x14ac:dyDescent="0.2">
      <c r="B34" s="174" t="s">
        <v>2538</v>
      </c>
      <c r="C34" s="176" t="s">
        <v>2518</v>
      </c>
      <c r="D34" s="179" t="s">
        <v>3629</v>
      </c>
      <c r="E34" s="186" t="s">
        <v>1397</v>
      </c>
      <c r="F34" s="187"/>
      <c r="G34" s="150" t="s">
        <v>1441</v>
      </c>
    </row>
    <row r="35" spans="2:7" ht="14.45" customHeight="1" x14ac:dyDescent="0.2">
      <c r="B35" s="174" t="s">
        <v>2538</v>
      </c>
      <c r="C35" s="176" t="s">
        <v>2518</v>
      </c>
      <c r="D35" s="179" t="s">
        <v>3629</v>
      </c>
      <c r="E35" s="186" t="s">
        <v>1398</v>
      </c>
      <c r="F35" s="187"/>
      <c r="G35" s="150" t="s">
        <v>1442</v>
      </c>
    </row>
    <row r="36" spans="2:7" ht="14.45" customHeight="1" x14ac:dyDescent="0.2">
      <c r="B36" s="174" t="s">
        <v>2538</v>
      </c>
      <c r="C36" s="176" t="s">
        <v>2518</v>
      </c>
      <c r="D36" s="179" t="s">
        <v>3629</v>
      </c>
      <c r="E36" s="186" t="s">
        <v>1399</v>
      </c>
      <c r="F36" s="187"/>
      <c r="G36" s="150" t="s">
        <v>1443</v>
      </c>
    </row>
    <row r="37" spans="2:7" ht="14.45" customHeight="1" x14ac:dyDescent="0.2">
      <c r="B37" s="174" t="s">
        <v>2538</v>
      </c>
      <c r="C37" s="176" t="s">
        <v>2518</v>
      </c>
      <c r="D37" s="179" t="s">
        <v>3629</v>
      </c>
      <c r="E37" s="186" t="s">
        <v>1400</v>
      </c>
      <c r="F37" s="187"/>
      <c r="G37" s="150" t="s">
        <v>1444</v>
      </c>
    </row>
    <row r="38" spans="2:7" ht="14.45" customHeight="1" x14ac:dyDescent="0.2">
      <c r="B38" s="174" t="s">
        <v>2538</v>
      </c>
      <c r="C38" s="176" t="s">
        <v>2518</v>
      </c>
      <c r="D38" s="179" t="s">
        <v>3629</v>
      </c>
      <c r="E38" s="186" t="s">
        <v>1401</v>
      </c>
      <c r="F38" s="187"/>
      <c r="G38" s="150" t="s">
        <v>1445</v>
      </c>
    </row>
    <row r="39" spans="2:7" ht="14.45" customHeight="1" x14ac:dyDescent="0.2">
      <c r="B39" s="174" t="s">
        <v>2538</v>
      </c>
      <c r="C39" s="176" t="s">
        <v>2518</v>
      </c>
      <c r="D39" s="179" t="s">
        <v>3629</v>
      </c>
      <c r="E39" s="186" t="s">
        <v>1402</v>
      </c>
      <c r="F39" s="187"/>
      <c r="G39" s="150" t="s">
        <v>1446</v>
      </c>
    </row>
    <row r="40" spans="2:7" ht="14.45" customHeight="1" x14ac:dyDescent="0.2">
      <c r="B40" s="174" t="s">
        <v>2538</v>
      </c>
      <c r="C40" s="176" t="s">
        <v>2518</v>
      </c>
      <c r="D40" s="179" t="s">
        <v>3629</v>
      </c>
      <c r="E40" s="186" t="s">
        <v>1403</v>
      </c>
      <c r="F40" s="187"/>
      <c r="G40" s="150" t="s">
        <v>1447</v>
      </c>
    </row>
    <row r="41" spans="2:7" ht="14.45" customHeight="1" x14ac:dyDescent="0.2">
      <c r="B41" s="174" t="s">
        <v>2538</v>
      </c>
      <c r="C41" s="176" t="s">
        <v>2518</v>
      </c>
      <c r="D41" s="179" t="s">
        <v>3629</v>
      </c>
      <c r="E41" s="186" t="s">
        <v>1404</v>
      </c>
      <c r="F41" s="187"/>
      <c r="G41" s="150" t="s">
        <v>1448</v>
      </c>
    </row>
    <row r="42" spans="2:7" ht="14.45" customHeight="1" x14ac:dyDescent="0.2">
      <c r="B42" s="174" t="s">
        <v>2538</v>
      </c>
      <c r="C42" s="176" t="s">
        <v>2518</v>
      </c>
      <c r="D42" s="180" t="s">
        <v>3629</v>
      </c>
      <c r="E42" s="189" t="s">
        <v>1405</v>
      </c>
      <c r="F42" s="190"/>
      <c r="G42" s="142" t="s">
        <v>1449</v>
      </c>
    </row>
    <row r="43" spans="2:7" ht="14.45" customHeight="1" x14ac:dyDescent="0.2">
      <c r="B43" s="174" t="s">
        <v>2538</v>
      </c>
      <c r="C43" s="176" t="s">
        <v>2518</v>
      </c>
      <c r="D43" s="188" t="s">
        <v>3473</v>
      </c>
      <c r="E43" s="191" t="s">
        <v>1406</v>
      </c>
      <c r="F43" s="192"/>
      <c r="G43" s="164" t="s">
        <v>1450</v>
      </c>
    </row>
    <row r="44" spans="2:7" ht="14.45" customHeight="1" x14ac:dyDescent="0.2">
      <c r="B44" s="174" t="s">
        <v>2538</v>
      </c>
      <c r="C44" s="176" t="s">
        <v>2518</v>
      </c>
      <c r="D44" s="179" t="s">
        <v>3473</v>
      </c>
      <c r="E44" s="186" t="s">
        <v>1407</v>
      </c>
      <c r="F44" s="187"/>
      <c r="G44" s="150" t="s">
        <v>1451</v>
      </c>
    </row>
    <row r="45" spans="2:7" ht="14.45" customHeight="1" x14ac:dyDescent="0.2">
      <c r="B45" s="174" t="s">
        <v>2538</v>
      </c>
      <c r="C45" s="176" t="s">
        <v>2518</v>
      </c>
      <c r="D45" s="179" t="s">
        <v>3473</v>
      </c>
      <c r="E45" s="186" t="s">
        <v>1408</v>
      </c>
      <c r="F45" s="187"/>
      <c r="G45" s="150" t="s">
        <v>1452</v>
      </c>
    </row>
    <row r="46" spans="2:7" ht="14.45" customHeight="1" x14ac:dyDescent="0.2">
      <c r="B46" s="174" t="s">
        <v>2538</v>
      </c>
      <c r="C46" s="176" t="s">
        <v>2518</v>
      </c>
      <c r="D46" s="179" t="s">
        <v>3473</v>
      </c>
      <c r="E46" s="186" t="s">
        <v>1454</v>
      </c>
      <c r="F46" s="187"/>
      <c r="G46" s="150" t="s">
        <v>1453</v>
      </c>
    </row>
    <row r="47" spans="2:7" ht="14.45" customHeight="1" x14ac:dyDescent="0.2">
      <c r="B47" s="174" t="s">
        <v>2538</v>
      </c>
      <c r="C47" s="176" t="s">
        <v>2518</v>
      </c>
      <c r="D47" s="179" t="s">
        <v>3473</v>
      </c>
      <c r="E47" s="186" t="s">
        <v>1458</v>
      </c>
      <c r="F47" s="187"/>
      <c r="G47" s="150" t="s">
        <v>1459</v>
      </c>
    </row>
    <row r="48" spans="2:7" ht="14.45" customHeight="1" x14ac:dyDescent="0.2">
      <c r="B48" s="174" t="s">
        <v>2538</v>
      </c>
      <c r="C48" s="176" t="s">
        <v>2518</v>
      </c>
      <c r="D48" s="179" t="s">
        <v>3473</v>
      </c>
      <c r="E48" s="186" t="s">
        <v>1457</v>
      </c>
      <c r="F48" s="187"/>
      <c r="G48" s="150" t="s">
        <v>1460</v>
      </c>
    </row>
    <row r="49" spans="2:7" ht="14.45" customHeight="1" x14ac:dyDescent="0.2">
      <c r="B49" s="174" t="s">
        <v>2538</v>
      </c>
      <c r="C49" s="176" t="s">
        <v>2518</v>
      </c>
      <c r="D49" s="179" t="s">
        <v>3473</v>
      </c>
      <c r="E49" s="186" t="s">
        <v>1409</v>
      </c>
      <c r="F49" s="187"/>
      <c r="G49" s="150" t="s">
        <v>1455</v>
      </c>
    </row>
    <row r="50" spans="2:7" ht="14.45" customHeight="1" x14ac:dyDescent="0.2">
      <c r="B50" s="174" t="s">
        <v>2538</v>
      </c>
      <c r="C50" s="176" t="s">
        <v>2518</v>
      </c>
      <c r="D50" s="180" t="s">
        <v>3473</v>
      </c>
      <c r="E50" s="189" t="s">
        <v>1410</v>
      </c>
      <c r="F50" s="190"/>
      <c r="G50" s="142" t="s">
        <v>1456</v>
      </c>
    </row>
    <row r="51" spans="2:7" ht="14.45" customHeight="1" x14ac:dyDescent="0.2">
      <c r="B51" s="174" t="s">
        <v>2538</v>
      </c>
      <c r="C51" s="176" t="s">
        <v>2518</v>
      </c>
      <c r="D51" s="188" t="s">
        <v>3414</v>
      </c>
      <c r="E51" s="191" t="s">
        <v>1424</v>
      </c>
      <c r="F51" s="192"/>
      <c r="G51" s="164" t="s">
        <v>1802</v>
      </c>
    </row>
    <row r="52" spans="2:7" ht="14.45" customHeight="1" x14ac:dyDescent="0.2">
      <c r="B52" s="174" t="s">
        <v>2538</v>
      </c>
      <c r="C52" s="176" t="s">
        <v>2518</v>
      </c>
      <c r="D52" s="179" t="s">
        <v>3414</v>
      </c>
      <c r="E52" s="186" t="s">
        <v>1803</v>
      </c>
      <c r="F52" s="187"/>
      <c r="G52" s="150" t="s">
        <v>1804</v>
      </c>
    </row>
    <row r="53" spans="2:7" ht="14.45" customHeight="1" x14ac:dyDescent="0.2">
      <c r="B53" s="174" t="s">
        <v>2538</v>
      </c>
      <c r="C53" s="176" t="s">
        <v>2518</v>
      </c>
      <c r="D53" s="179" t="s">
        <v>3414</v>
      </c>
      <c r="E53" s="186" t="s">
        <v>1805</v>
      </c>
      <c r="F53" s="187"/>
      <c r="G53" s="150" t="s">
        <v>1807</v>
      </c>
    </row>
    <row r="54" spans="2:7" ht="14.45" customHeight="1" x14ac:dyDescent="0.2">
      <c r="B54" s="174" t="s">
        <v>2538</v>
      </c>
      <c r="C54" s="176" t="s">
        <v>2518</v>
      </c>
      <c r="D54" s="179" t="s">
        <v>3414</v>
      </c>
      <c r="E54" s="186" t="s">
        <v>1806</v>
      </c>
      <c r="F54" s="187"/>
      <c r="G54" s="150" t="s">
        <v>1808</v>
      </c>
    </row>
    <row r="55" spans="2:7" ht="14.45" customHeight="1" x14ac:dyDescent="0.2">
      <c r="B55" s="174" t="s">
        <v>2538</v>
      </c>
      <c r="C55" s="176" t="s">
        <v>2518</v>
      </c>
      <c r="D55" s="179" t="s">
        <v>3414</v>
      </c>
      <c r="E55" s="186" t="s">
        <v>1412</v>
      </c>
      <c r="F55" s="187"/>
      <c r="G55" s="150" t="s">
        <v>1809</v>
      </c>
    </row>
    <row r="56" spans="2:7" ht="14.45" customHeight="1" x14ac:dyDescent="0.2">
      <c r="B56" s="174" t="s">
        <v>2538</v>
      </c>
      <c r="C56" s="176" t="s">
        <v>2518</v>
      </c>
      <c r="D56" s="179" t="s">
        <v>3414</v>
      </c>
      <c r="E56" s="186" t="s">
        <v>1425</v>
      </c>
      <c r="F56" s="187"/>
      <c r="G56" s="150" t="s">
        <v>1810</v>
      </c>
    </row>
    <row r="57" spans="2:7" ht="14.45" customHeight="1" x14ac:dyDescent="0.2">
      <c r="B57" s="174" t="s">
        <v>2538</v>
      </c>
      <c r="C57" s="176" t="s">
        <v>2518</v>
      </c>
      <c r="D57" s="179" t="s">
        <v>3414</v>
      </c>
      <c r="E57" s="186" t="s">
        <v>1426</v>
      </c>
      <c r="F57" s="187"/>
      <c r="G57" s="150" t="s">
        <v>1811</v>
      </c>
    </row>
    <row r="58" spans="2:7" ht="14.45" customHeight="1" x14ac:dyDescent="0.2">
      <c r="B58" s="174" t="s">
        <v>2538</v>
      </c>
      <c r="C58" s="176" t="s">
        <v>2518</v>
      </c>
      <c r="D58" s="179" t="s">
        <v>3414</v>
      </c>
      <c r="E58" s="186" t="s">
        <v>1427</v>
      </c>
      <c r="F58" s="187"/>
      <c r="G58" s="150" t="s">
        <v>2222</v>
      </c>
    </row>
    <row r="59" spans="2:7" ht="14.45" customHeight="1" thickBot="1" x14ac:dyDescent="0.25">
      <c r="B59" s="174" t="s">
        <v>2538</v>
      </c>
      <c r="C59" s="177" t="s">
        <v>2518</v>
      </c>
      <c r="D59" s="193" t="s">
        <v>3414</v>
      </c>
      <c r="E59" s="189" t="s">
        <v>1428</v>
      </c>
      <c r="F59" s="190"/>
      <c r="G59" s="142" t="s">
        <v>1812</v>
      </c>
    </row>
    <row r="60" spans="2:7" ht="14.45" customHeight="1" x14ac:dyDescent="0.2">
      <c r="B60" s="174" t="s">
        <v>2538</v>
      </c>
      <c r="C60" s="171" t="s">
        <v>2520</v>
      </c>
      <c r="D60" s="194" t="s">
        <v>3475</v>
      </c>
      <c r="E60" s="195" t="s">
        <v>1376</v>
      </c>
      <c r="F60" s="196"/>
      <c r="G60" s="197" t="s">
        <v>1813</v>
      </c>
    </row>
    <row r="61" spans="2:7" ht="14.45" customHeight="1" x14ac:dyDescent="0.2">
      <c r="B61" s="174" t="s">
        <v>2538</v>
      </c>
      <c r="C61" s="176" t="s">
        <v>2520</v>
      </c>
      <c r="D61" s="188" t="s">
        <v>3477</v>
      </c>
      <c r="E61" s="191" t="s">
        <v>1461</v>
      </c>
      <c r="F61" s="192"/>
      <c r="G61" s="164" t="s">
        <v>1814</v>
      </c>
    </row>
    <row r="62" spans="2:7" ht="14.45" customHeight="1" x14ac:dyDescent="0.2">
      <c r="B62" s="174" t="s">
        <v>2538</v>
      </c>
      <c r="C62" s="176" t="s">
        <v>2520</v>
      </c>
      <c r="D62" s="179" t="s">
        <v>3477</v>
      </c>
      <c r="E62" s="186" t="s">
        <v>1462</v>
      </c>
      <c r="F62" s="187"/>
      <c r="G62" s="150" t="s">
        <v>1815</v>
      </c>
    </row>
    <row r="63" spans="2:7" ht="14.45" customHeight="1" x14ac:dyDescent="0.2">
      <c r="B63" s="174" t="s">
        <v>2538</v>
      </c>
      <c r="C63" s="176" t="s">
        <v>2520</v>
      </c>
      <c r="D63" s="179" t="s">
        <v>3477</v>
      </c>
      <c r="E63" s="186" t="s">
        <v>1463</v>
      </c>
      <c r="F63" s="187"/>
      <c r="G63" s="150" t="s">
        <v>1816</v>
      </c>
    </row>
    <row r="64" spans="2:7" ht="14.45" customHeight="1" x14ac:dyDescent="0.2">
      <c r="B64" s="174" t="s">
        <v>2538</v>
      </c>
      <c r="C64" s="176" t="s">
        <v>2520</v>
      </c>
      <c r="D64" s="179" t="s">
        <v>3477</v>
      </c>
      <c r="E64" s="186" t="s">
        <v>1464</v>
      </c>
      <c r="F64" s="187"/>
      <c r="G64" s="150" t="s">
        <v>1817</v>
      </c>
    </row>
    <row r="65" spans="2:7" ht="14.45" customHeight="1" thickBot="1" x14ac:dyDescent="0.25">
      <c r="B65" s="175" t="s">
        <v>2538</v>
      </c>
      <c r="C65" s="177" t="s">
        <v>2520</v>
      </c>
      <c r="D65" s="193" t="s">
        <v>3477</v>
      </c>
      <c r="E65" s="189" t="s">
        <v>1465</v>
      </c>
      <c r="F65" s="190"/>
      <c r="G65" s="142" t="s">
        <v>1818</v>
      </c>
    </row>
    <row r="66" spans="2:7" ht="14.45" customHeight="1" x14ac:dyDescent="0.2">
      <c r="B66" s="173" t="s">
        <v>2601</v>
      </c>
      <c r="C66" s="171" t="s">
        <v>2522</v>
      </c>
      <c r="D66" s="178" t="s">
        <v>3479</v>
      </c>
      <c r="E66" s="184" t="s">
        <v>1466</v>
      </c>
      <c r="F66" s="185"/>
      <c r="G66" s="163" t="s">
        <v>1819</v>
      </c>
    </row>
    <row r="67" spans="2:7" ht="14.45" customHeight="1" x14ac:dyDescent="0.2">
      <c r="B67" s="174" t="s">
        <v>2539</v>
      </c>
      <c r="C67" s="176" t="s">
        <v>2522</v>
      </c>
      <c r="D67" s="179" t="s">
        <v>3479</v>
      </c>
      <c r="E67" s="186" t="s">
        <v>1467</v>
      </c>
      <c r="F67" s="187"/>
      <c r="G67" s="150" t="s">
        <v>2127</v>
      </c>
    </row>
    <row r="68" spans="2:7" ht="14.45" customHeight="1" x14ac:dyDescent="0.2">
      <c r="B68" s="174" t="s">
        <v>2539</v>
      </c>
      <c r="C68" s="176" t="s">
        <v>2522</v>
      </c>
      <c r="D68" s="179" t="s">
        <v>3479</v>
      </c>
      <c r="E68" s="186" t="s">
        <v>1820</v>
      </c>
      <c r="F68" s="187"/>
      <c r="G68" s="150" t="s">
        <v>1821</v>
      </c>
    </row>
    <row r="69" spans="2:7" ht="14.45" customHeight="1" x14ac:dyDescent="0.2">
      <c r="B69" s="174" t="s">
        <v>2539</v>
      </c>
      <c r="C69" s="176" t="s">
        <v>2522</v>
      </c>
      <c r="D69" s="180" t="s">
        <v>3479</v>
      </c>
      <c r="E69" s="189" t="s">
        <v>1468</v>
      </c>
      <c r="F69" s="190"/>
      <c r="G69" s="142" t="s">
        <v>1822</v>
      </c>
    </row>
    <row r="70" spans="2:7" ht="14.45" customHeight="1" x14ac:dyDescent="0.2">
      <c r="B70" s="174" t="s">
        <v>2539</v>
      </c>
      <c r="C70" s="176" t="s">
        <v>2522</v>
      </c>
      <c r="D70" s="188" t="s">
        <v>1347</v>
      </c>
      <c r="E70" s="191" t="s">
        <v>1469</v>
      </c>
      <c r="F70" s="192"/>
      <c r="G70" s="164" t="s">
        <v>1823</v>
      </c>
    </row>
    <row r="71" spans="2:7" ht="14.45" customHeight="1" x14ac:dyDescent="0.2">
      <c r="B71" s="174" t="s">
        <v>2539</v>
      </c>
      <c r="C71" s="176" t="s">
        <v>2522</v>
      </c>
      <c r="D71" s="179" t="s">
        <v>1347</v>
      </c>
      <c r="E71" s="186" t="s">
        <v>1470</v>
      </c>
      <c r="F71" s="187"/>
      <c r="G71" s="150" t="s">
        <v>1824</v>
      </c>
    </row>
    <row r="72" spans="2:7" ht="14.45" customHeight="1" x14ac:dyDescent="0.2">
      <c r="B72" s="174" t="s">
        <v>2539</v>
      </c>
      <c r="C72" s="176" t="s">
        <v>2522</v>
      </c>
      <c r="D72" s="179" t="s">
        <v>1347</v>
      </c>
      <c r="E72" s="186" t="s">
        <v>1472</v>
      </c>
      <c r="F72" s="187"/>
      <c r="G72" s="150" t="s">
        <v>1825</v>
      </c>
    </row>
    <row r="73" spans="2:7" ht="14.45" customHeight="1" x14ac:dyDescent="0.2">
      <c r="B73" s="174" t="s">
        <v>2539</v>
      </c>
      <c r="C73" s="176" t="s">
        <v>2522</v>
      </c>
      <c r="D73" s="180" t="s">
        <v>1347</v>
      </c>
      <c r="E73" s="189" t="s">
        <v>1471</v>
      </c>
      <c r="F73" s="190"/>
      <c r="G73" s="142" t="s">
        <v>1826</v>
      </c>
    </row>
    <row r="74" spans="2:7" ht="14.45" customHeight="1" x14ac:dyDescent="0.2">
      <c r="B74" s="174" t="s">
        <v>2539</v>
      </c>
      <c r="C74" s="176" t="s">
        <v>2522</v>
      </c>
      <c r="D74" s="83" t="s">
        <v>3416</v>
      </c>
      <c r="E74" s="191" t="s">
        <v>1415</v>
      </c>
      <c r="F74" s="192"/>
      <c r="G74" s="164" t="s">
        <v>1484</v>
      </c>
    </row>
    <row r="75" spans="2:7" ht="14.45" customHeight="1" x14ac:dyDescent="0.2">
      <c r="B75" s="174" t="s">
        <v>2539</v>
      </c>
      <c r="C75" s="176" t="s">
        <v>2522</v>
      </c>
      <c r="D75" s="198" t="s">
        <v>3416</v>
      </c>
      <c r="E75" s="186" t="s">
        <v>1378</v>
      </c>
      <c r="F75" s="187"/>
      <c r="G75" s="150" t="s">
        <v>1486</v>
      </c>
    </row>
    <row r="76" spans="2:7" ht="14.45" customHeight="1" x14ac:dyDescent="0.2">
      <c r="B76" s="174" t="s">
        <v>2539</v>
      </c>
      <c r="C76" s="176" t="s">
        <v>2522</v>
      </c>
      <c r="D76" s="198" t="s">
        <v>3416</v>
      </c>
      <c r="E76" s="186" t="s">
        <v>1473</v>
      </c>
      <c r="F76" s="187"/>
      <c r="G76" s="150" t="s">
        <v>1485</v>
      </c>
    </row>
    <row r="77" spans="2:7" ht="14.45" customHeight="1" x14ac:dyDescent="0.2">
      <c r="B77" s="174" t="s">
        <v>2539</v>
      </c>
      <c r="C77" s="176" t="s">
        <v>2522</v>
      </c>
      <c r="D77" s="198" t="s">
        <v>3416</v>
      </c>
      <c r="E77" s="186" t="s">
        <v>1474</v>
      </c>
      <c r="F77" s="187"/>
      <c r="G77" s="150" t="s">
        <v>1487</v>
      </c>
    </row>
    <row r="78" spans="2:7" ht="14.45" customHeight="1" x14ac:dyDescent="0.2">
      <c r="B78" s="174" t="s">
        <v>2539</v>
      </c>
      <c r="C78" s="176" t="s">
        <v>2522</v>
      </c>
      <c r="D78" s="198" t="s">
        <v>3416</v>
      </c>
      <c r="E78" s="186" t="s">
        <v>1475</v>
      </c>
      <c r="F78" s="187"/>
      <c r="G78" s="150" t="s">
        <v>1488</v>
      </c>
    </row>
    <row r="79" spans="2:7" ht="14.45" customHeight="1" x14ac:dyDescent="0.2">
      <c r="B79" s="174" t="s">
        <v>2539</v>
      </c>
      <c r="C79" s="176" t="s">
        <v>2522</v>
      </c>
      <c r="D79" s="198" t="s">
        <v>3416</v>
      </c>
      <c r="E79" s="186" t="s">
        <v>2072</v>
      </c>
      <c r="F79" s="187"/>
      <c r="G79" s="150" t="s">
        <v>1482</v>
      </c>
    </row>
    <row r="80" spans="2:7" ht="14.45" customHeight="1" x14ac:dyDescent="0.2">
      <c r="B80" s="174" t="s">
        <v>2539</v>
      </c>
      <c r="C80" s="176" t="s">
        <v>2522</v>
      </c>
      <c r="D80" s="198" t="s">
        <v>3416</v>
      </c>
      <c r="E80" s="186" t="s">
        <v>1489</v>
      </c>
      <c r="F80" s="187"/>
      <c r="G80" s="150" t="s">
        <v>1490</v>
      </c>
    </row>
    <row r="81" spans="2:7" ht="14.45" customHeight="1" x14ac:dyDescent="0.2">
      <c r="B81" s="174" t="s">
        <v>2539</v>
      </c>
      <c r="C81" s="176" t="s">
        <v>2522</v>
      </c>
      <c r="D81" s="198" t="s">
        <v>3416</v>
      </c>
      <c r="E81" s="186" t="s">
        <v>1479</v>
      </c>
      <c r="F81" s="187"/>
      <c r="G81" s="150" t="s">
        <v>1491</v>
      </c>
    </row>
    <row r="82" spans="2:7" ht="14.45" customHeight="1" x14ac:dyDescent="0.2">
      <c r="B82" s="174" t="s">
        <v>2539</v>
      </c>
      <c r="C82" s="176" t="s">
        <v>2522</v>
      </c>
      <c r="D82" s="198" t="s">
        <v>3416</v>
      </c>
      <c r="E82" s="186" t="s">
        <v>1480</v>
      </c>
      <c r="F82" s="187"/>
      <c r="G82" s="150" t="s">
        <v>2128</v>
      </c>
    </row>
    <row r="83" spans="2:7" ht="14.45" customHeight="1" x14ac:dyDescent="0.2">
      <c r="B83" s="174" t="s">
        <v>2539</v>
      </c>
      <c r="C83" s="176" t="s">
        <v>2522</v>
      </c>
      <c r="D83" s="198" t="s">
        <v>3416</v>
      </c>
      <c r="E83" s="186" t="s">
        <v>1417</v>
      </c>
      <c r="F83" s="187"/>
      <c r="G83" s="150" t="s">
        <v>1492</v>
      </c>
    </row>
    <row r="84" spans="2:7" ht="14.45" customHeight="1" x14ac:dyDescent="0.2">
      <c r="B84" s="174" t="s">
        <v>2539</v>
      </c>
      <c r="C84" s="176" t="s">
        <v>2522</v>
      </c>
      <c r="D84" s="198" t="s">
        <v>3416</v>
      </c>
      <c r="E84" s="186" t="s">
        <v>1481</v>
      </c>
      <c r="F84" s="187"/>
      <c r="G84" s="150" t="s">
        <v>1497</v>
      </c>
    </row>
    <row r="85" spans="2:7" ht="14.45" customHeight="1" x14ac:dyDescent="0.2">
      <c r="B85" s="174" t="s">
        <v>2539</v>
      </c>
      <c r="C85" s="176" t="s">
        <v>2522</v>
      </c>
      <c r="D85" s="198" t="s">
        <v>3416</v>
      </c>
      <c r="E85" s="186" t="s">
        <v>1476</v>
      </c>
      <c r="F85" s="187"/>
      <c r="G85" s="150" t="s">
        <v>1496</v>
      </c>
    </row>
    <row r="86" spans="2:7" ht="14.45" customHeight="1" x14ac:dyDescent="0.2">
      <c r="B86" s="174" t="s">
        <v>2539</v>
      </c>
      <c r="C86" s="176" t="s">
        <v>2522</v>
      </c>
      <c r="D86" s="198" t="s">
        <v>3416</v>
      </c>
      <c r="E86" s="186" t="s">
        <v>1493</v>
      </c>
      <c r="F86" s="187"/>
      <c r="G86" s="150" t="s">
        <v>1498</v>
      </c>
    </row>
    <row r="87" spans="2:7" ht="14.45" customHeight="1" x14ac:dyDescent="0.2">
      <c r="B87" s="174" t="s">
        <v>2539</v>
      </c>
      <c r="C87" s="176" t="s">
        <v>2522</v>
      </c>
      <c r="D87" s="198" t="s">
        <v>3416</v>
      </c>
      <c r="E87" s="186" t="s">
        <v>1494</v>
      </c>
      <c r="F87" s="187"/>
      <c r="G87" s="150" t="s">
        <v>1499</v>
      </c>
    </row>
    <row r="88" spans="2:7" ht="14.45" customHeight="1" x14ac:dyDescent="0.2">
      <c r="B88" s="174" t="s">
        <v>2539</v>
      </c>
      <c r="C88" s="176" t="s">
        <v>2522</v>
      </c>
      <c r="D88" s="198" t="s">
        <v>3416</v>
      </c>
      <c r="E88" s="186" t="s">
        <v>1483</v>
      </c>
      <c r="F88" s="187"/>
      <c r="G88" s="150" t="s">
        <v>1495</v>
      </c>
    </row>
    <row r="89" spans="2:7" ht="14.45" customHeight="1" x14ac:dyDescent="0.2">
      <c r="B89" s="174" t="s">
        <v>2539</v>
      </c>
      <c r="C89" s="176" t="s">
        <v>2522</v>
      </c>
      <c r="D89" s="198" t="s">
        <v>3416</v>
      </c>
      <c r="E89" s="186" t="s">
        <v>1477</v>
      </c>
      <c r="F89" s="187"/>
      <c r="G89" s="150" t="s">
        <v>1501</v>
      </c>
    </row>
    <row r="90" spans="2:7" ht="14.45" customHeight="1" x14ac:dyDescent="0.2">
      <c r="B90" s="174" t="s">
        <v>2539</v>
      </c>
      <c r="C90" s="176" t="s">
        <v>2522</v>
      </c>
      <c r="D90" s="198" t="s">
        <v>3416</v>
      </c>
      <c r="E90" s="186" t="s">
        <v>1478</v>
      </c>
      <c r="F90" s="187"/>
      <c r="G90" s="150" t="s">
        <v>1500</v>
      </c>
    </row>
    <row r="91" spans="2:7" ht="14.45" customHeight="1" x14ac:dyDescent="0.2">
      <c r="B91" s="174" t="s">
        <v>2539</v>
      </c>
      <c r="C91" s="176" t="s">
        <v>2522</v>
      </c>
      <c r="D91" s="198" t="s">
        <v>3416</v>
      </c>
      <c r="E91" s="186" t="s">
        <v>1729</v>
      </c>
      <c r="F91" s="187"/>
      <c r="G91" s="150" t="s">
        <v>1756</v>
      </c>
    </row>
    <row r="92" spans="2:7" ht="14.45" customHeight="1" x14ac:dyDescent="0.2">
      <c r="B92" s="174" t="s">
        <v>2539</v>
      </c>
      <c r="C92" s="176" t="s">
        <v>2522</v>
      </c>
      <c r="D92" s="198" t="s">
        <v>3416</v>
      </c>
      <c r="E92" s="186" t="s">
        <v>1730</v>
      </c>
      <c r="F92" s="187"/>
      <c r="G92" s="150" t="s">
        <v>1757</v>
      </c>
    </row>
    <row r="93" spans="2:7" ht="14.45" customHeight="1" thickBot="1" x14ac:dyDescent="0.25">
      <c r="B93" s="174" t="s">
        <v>2539</v>
      </c>
      <c r="C93" s="177" t="s">
        <v>2522</v>
      </c>
      <c r="D93" s="199" t="s">
        <v>3416</v>
      </c>
      <c r="E93" s="189" t="s">
        <v>1731</v>
      </c>
      <c r="F93" s="190"/>
      <c r="G93" s="142" t="s">
        <v>1758</v>
      </c>
    </row>
    <row r="94" spans="2:7" ht="14.45" customHeight="1" x14ac:dyDescent="0.2">
      <c r="B94" s="174" t="s">
        <v>2539</v>
      </c>
      <c r="C94" s="171" t="s">
        <v>2525</v>
      </c>
      <c r="D94" s="178" t="s">
        <v>3417</v>
      </c>
      <c r="E94" s="184" t="s">
        <v>1554</v>
      </c>
      <c r="F94" s="185"/>
      <c r="G94" s="163" t="s">
        <v>1576</v>
      </c>
    </row>
    <row r="95" spans="2:7" ht="14.45" customHeight="1" x14ac:dyDescent="0.2">
      <c r="B95" s="174" t="s">
        <v>2539</v>
      </c>
      <c r="C95" s="176" t="s">
        <v>2524</v>
      </c>
      <c r="D95" s="179" t="s">
        <v>3417</v>
      </c>
      <c r="E95" s="186" t="s">
        <v>1555</v>
      </c>
      <c r="F95" s="187"/>
      <c r="G95" s="150" t="s">
        <v>1579</v>
      </c>
    </row>
    <row r="96" spans="2:7" ht="14.45" customHeight="1" x14ac:dyDescent="0.2">
      <c r="B96" s="174" t="s">
        <v>2539</v>
      </c>
      <c r="C96" s="176" t="s">
        <v>2524</v>
      </c>
      <c r="D96" s="179" t="s">
        <v>3417</v>
      </c>
      <c r="E96" s="186" t="s">
        <v>1556</v>
      </c>
      <c r="F96" s="187"/>
      <c r="G96" s="150" t="s">
        <v>1580</v>
      </c>
    </row>
    <row r="97" spans="2:7" ht="14.45" customHeight="1" x14ac:dyDescent="0.2">
      <c r="B97" s="174" t="s">
        <v>2539</v>
      </c>
      <c r="C97" s="176" t="s">
        <v>2524</v>
      </c>
      <c r="D97" s="179" t="s">
        <v>3417</v>
      </c>
      <c r="E97" s="186" t="s">
        <v>1557</v>
      </c>
      <c r="F97" s="187"/>
      <c r="G97" s="150" t="s">
        <v>1581</v>
      </c>
    </row>
    <row r="98" spans="2:7" ht="14.45" customHeight="1" x14ac:dyDescent="0.2">
      <c r="B98" s="174" t="s">
        <v>2539</v>
      </c>
      <c r="C98" s="176" t="s">
        <v>2524</v>
      </c>
      <c r="D98" s="179" t="s">
        <v>3417</v>
      </c>
      <c r="E98" s="186" t="s">
        <v>1558</v>
      </c>
      <c r="F98" s="187"/>
      <c r="G98" s="150" t="s">
        <v>1582</v>
      </c>
    </row>
    <row r="99" spans="2:7" ht="14.45" customHeight="1" x14ac:dyDescent="0.2">
      <c r="B99" s="174" t="s">
        <v>2539</v>
      </c>
      <c r="C99" s="176" t="s">
        <v>2524</v>
      </c>
      <c r="D99" s="179" t="s">
        <v>3417</v>
      </c>
      <c r="E99" s="186" t="s">
        <v>1559</v>
      </c>
      <c r="F99" s="187"/>
      <c r="G99" s="150" t="s">
        <v>1827</v>
      </c>
    </row>
    <row r="100" spans="2:7" ht="14.45" customHeight="1" x14ac:dyDescent="0.2">
      <c r="B100" s="174" t="s">
        <v>2539</v>
      </c>
      <c r="C100" s="176" t="s">
        <v>2524</v>
      </c>
      <c r="D100" s="179" t="s">
        <v>3417</v>
      </c>
      <c r="E100" s="186" t="s">
        <v>1560</v>
      </c>
      <c r="F100" s="187"/>
      <c r="G100" s="150" t="s">
        <v>1828</v>
      </c>
    </row>
    <row r="101" spans="2:7" ht="14.45" customHeight="1" x14ac:dyDescent="0.2">
      <c r="B101" s="174" t="s">
        <v>2539</v>
      </c>
      <c r="C101" s="176" t="s">
        <v>2524</v>
      </c>
      <c r="D101" s="179" t="s">
        <v>3417</v>
      </c>
      <c r="E101" s="186" t="s">
        <v>1561</v>
      </c>
      <c r="F101" s="187"/>
      <c r="G101" s="150" t="s">
        <v>1562</v>
      </c>
    </row>
    <row r="102" spans="2:7" ht="14.45" customHeight="1" x14ac:dyDescent="0.2">
      <c r="B102" s="174" t="s">
        <v>2539</v>
      </c>
      <c r="C102" s="176" t="s">
        <v>2524</v>
      </c>
      <c r="D102" s="180" t="s">
        <v>3417</v>
      </c>
      <c r="E102" s="189" t="s">
        <v>1563</v>
      </c>
      <c r="F102" s="190"/>
      <c r="G102" s="142" t="s">
        <v>1829</v>
      </c>
    </row>
    <row r="103" spans="2:7" ht="14.45" customHeight="1" x14ac:dyDescent="0.2">
      <c r="B103" s="174" t="s">
        <v>2539</v>
      </c>
      <c r="C103" s="176" t="s">
        <v>2524</v>
      </c>
      <c r="D103" s="188" t="s">
        <v>3415</v>
      </c>
      <c r="E103" s="191" t="s">
        <v>1384</v>
      </c>
      <c r="F103" s="192"/>
      <c r="G103" s="164" t="s">
        <v>1830</v>
      </c>
    </row>
    <row r="104" spans="2:7" ht="14.45" customHeight="1" x14ac:dyDescent="0.2">
      <c r="B104" s="174" t="s">
        <v>2539</v>
      </c>
      <c r="C104" s="176" t="s">
        <v>2524</v>
      </c>
      <c r="D104" s="179" t="s">
        <v>3415</v>
      </c>
      <c r="E104" s="186" t="s">
        <v>1386</v>
      </c>
      <c r="F104" s="187"/>
      <c r="G104" s="150" t="s">
        <v>1831</v>
      </c>
    </row>
    <row r="105" spans="2:7" ht="14.45" customHeight="1" x14ac:dyDescent="0.2">
      <c r="B105" s="174" t="s">
        <v>2539</v>
      </c>
      <c r="C105" s="176" t="s">
        <v>2524</v>
      </c>
      <c r="D105" s="179" t="s">
        <v>3415</v>
      </c>
      <c r="E105" s="186" t="s">
        <v>1564</v>
      </c>
      <c r="F105" s="187"/>
      <c r="G105" s="150" t="s">
        <v>3514</v>
      </c>
    </row>
    <row r="106" spans="2:7" ht="14.45" customHeight="1" x14ac:dyDescent="0.2">
      <c r="B106" s="174" t="s">
        <v>2539</v>
      </c>
      <c r="C106" s="176" t="s">
        <v>2524</v>
      </c>
      <c r="D106" s="179" t="s">
        <v>3415</v>
      </c>
      <c r="E106" s="186" t="s">
        <v>1385</v>
      </c>
      <c r="F106" s="187"/>
      <c r="G106" s="150" t="s">
        <v>1832</v>
      </c>
    </row>
    <row r="107" spans="2:7" ht="14.45" customHeight="1" x14ac:dyDescent="0.2">
      <c r="B107" s="174" t="s">
        <v>2539</v>
      </c>
      <c r="C107" s="176" t="s">
        <v>2524</v>
      </c>
      <c r="D107" s="180" t="s">
        <v>3415</v>
      </c>
      <c r="E107" s="189" t="s">
        <v>1565</v>
      </c>
      <c r="F107" s="190"/>
      <c r="G107" s="142" t="s">
        <v>1833</v>
      </c>
    </row>
    <row r="108" spans="2:7" ht="14.45" customHeight="1" x14ac:dyDescent="0.2">
      <c r="B108" s="174" t="s">
        <v>2539</v>
      </c>
      <c r="C108" s="176" t="s">
        <v>2524</v>
      </c>
      <c r="D108" s="83" t="s">
        <v>3418</v>
      </c>
      <c r="E108" s="191" t="s">
        <v>1566</v>
      </c>
      <c r="F108" s="192"/>
      <c r="G108" s="164" t="s">
        <v>1834</v>
      </c>
    </row>
    <row r="109" spans="2:7" ht="14.45" customHeight="1" x14ac:dyDescent="0.2">
      <c r="B109" s="174" t="s">
        <v>2539</v>
      </c>
      <c r="C109" s="176" t="s">
        <v>2524</v>
      </c>
      <c r="D109" s="198" t="s">
        <v>3418</v>
      </c>
      <c r="E109" s="186" t="s">
        <v>1835</v>
      </c>
      <c r="F109" s="187"/>
      <c r="G109" s="150" t="s">
        <v>1838</v>
      </c>
    </row>
    <row r="110" spans="2:7" ht="14.45" customHeight="1" x14ac:dyDescent="0.2">
      <c r="B110" s="174" t="s">
        <v>2539</v>
      </c>
      <c r="C110" s="176" t="s">
        <v>2524</v>
      </c>
      <c r="D110" s="198" t="s">
        <v>3418</v>
      </c>
      <c r="E110" s="186" t="s">
        <v>1836</v>
      </c>
      <c r="F110" s="187"/>
      <c r="G110" s="150" t="s">
        <v>1839</v>
      </c>
    </row>
    <row r="111" spans="2:7" ht="14.45" customHeight="1" x14ac:dyDescent="0.2">
      <c r="B111" s="174" t="s">
        <v>2539</v>
      </c>
      <c r="C111" s="176" t="s">
        <v>2524</v>
      </c>
      <c r="D111" s="198" t="s">
        <v>3418</v>
      </c>
      <c r="E111" s="186" t="s">
        <v>1837</v>
      </c>
      <c r="F111" s="187"/>
      <c r="G111" s="150" t="s">
        <v>1840</v>
      </c>
    </row>
    <row r="112" spans="2:7" ht="14.45" customHeight="1" x14ac:dyDescent="0.2">
      <c r="B112" s="174" t="s">
        <v>2539</v>
      </c>
      <c r="C112" s="176" t="s">
        <v>2524</v>
      </c>
      <c r="D112" s="198" t="s">
        <v>3418</v>
      </c>
      <c r="E112" s="186" t="s">
        <v>1567</v>
      </c>
      <c r="F112" s="187"/>
      <c r="G112" s="150" t="s">
        <v>1841</v>
      </c>
    </row>
    <row r="113" spans="2:7" ht="14.45" customHeight="1" thickBot="1" x14ac:dyDescent="0.25">
      <c r="B113" s="175" t="s">
        <v>2539</v>
      </c>
      <c r="C113" s="177" t="s">
        <v>2524</v>
      </c>
      <c r="D113" s="199" t="s">
        <v>3418</v>
      </c>
      <c r="E113" s="189" t="s">
        <v>3515</v>
      </c>
      <c r="F113" s="190"/>
      <c r="G113" s="142" t="s">
        <v>3516</v>
      </c>
    </row>
    <row r="114" spans="2:7" ht="14.45" customHeight="1" x14ac:dyDescent="0.2">
      <c r="B114" s="173" t="s">
        <v>2602</v>
      </c>
      <c r="C114" s="171" t="s">
        <v>3463</v>
      </c>
      <c r="D114" s="178" t="s">
        <v>3481</v>
      </c>
      <c r="E114" s="184" t="s">
        <v>1583</v>
      </c>
      <c r="F114" s="185"/>
      <c r="G114" s="163" t="s">
        <v>1584</v>
      </c>
    </row>
    <row r="115" spans="2:7" ht="14.45" customHeight="1" x14ac:dyDescent="0.2">
      <c r="B115" s="174" t="s">
        <v>2540</v>
      </c>
      <c r="C115" s="176" t="s">
        <v>2564</v>
      </c>
      <c r="D115" s="179" t="s">
        <v>3481</v>
      </c>
      <c r="E115" s="186" t="s">
        <v>1387</v>
      </c>
      <c r="F115" s="187"/>
      <c r="G115" s="150" t="s">
        <v>2289</v>
      </c>
    </row>
    <row r="116" spans="2:7" ht="14.45" customHeight="1" x14ac:dyDescent="0.2">
      <c r="B116" s="174" t="s">
        <v>2540</v>
      </c>
      <c r="C116" s="176" t="s">
        <v>2564</v>
      </c>
      <c r="D116" s="179" t="s">
        <v>3481</v>
      </c>
      <c r="E116" s="186" t="s">
        <v>3631</v>
      </c>
      <c r="F116" s="187"/>
      <c r="G116" s="150" t="s">
        <v>2420</v>
      </c>
    </row>
    <row r="117" spans="2:7" ht="14.45" customHeight="1" x14ac:dyDescent="0.2">
      <c r="B117" s="174" t="s">
        <v>2540</v>
      </c>
      <c r="C117" s="176" t="s">
        <v>2564</v>
      </c>
      <c r="D117" s="179" t="s">
        <v>3481</v>
      </c>
      <c r="E117" s="186" t="s">
        <v>2397</v>
      </c>
      <c r="F117" s="187" t="s">
        <v>2593</v>
      </c>
      <c r="G117" s="150" t="s">
        <v>3642</v>
      </c>
    </row>
    <row r="118" spans="2:7" ht="14.45" customHeight="1" x14ac:dyDescent="0.2">
      <c r="B118" s="174" t="s">
        <v>2540</v>
      </c>
      <c r="C118" s="176" t="s">
        <v>2564</v>
      </c>
      <c r="D118" s="179" t="s">
        <v>3481</v>
      </c>
      <c r="E118" s="186" t="s">
        <v>2398</v>
      </c>
      <c r="F118" s="187" t="s">
        <v>2593</v>
      </c>
      <c r="G118" s="150" t="s">
        <v>3643</v>
      </c>
    </row>
    <row r="119" spans="2:7" ht="14.45" customHeight="1" x14ac:dyDescent="0.2">
      <c r="B119" s="174" t="s">
        <v>2540</v>
      </c>
      <c r="C119" s="176" t="s">
        <v>2564</v>
      </c>
      <c r="D119" s="179" t="s">
        <v>3481</v>
      </c>
      <c r="E119" s="186" t="s">
        <v>2399</v>
      </c>
      <c r="F119" s="187" t="s">
        <v>2593</v>
      </c>
      <c r="G119" s="150" t="s">
        <v>3641</v>
      </c>
    </row>
    <row r="120" spans="2:7" ht="14.45" customHeight="1" x14ac:dyDescent="0.2">
      <c r="B120" s="174" t="s">
        <v>2540</v>
      </c>
      <c r="C120" s="176" t="s">
        <v>2564</v>
      </c>
      <c r="D120" s="179" t="s">
        <v>3481</v>
      </c>
      <c r="E120" s="186" t="s">
        <v>2400</v>
      </c>
      <c r="F120" s="187"/>
      <c r="G120" s="150" t="s">
        <v>2418</v>
      </c>
    </row>
    <row r="121" spans="2:7" ht="14.45" customHeight="1" x14ac:dyDescent="0.2">
      <c r="B121" s="174" t="s">
        <v>2540</v>
      </c>
      <c r="C121" s="176" t="s">
        <v>2564</v>
      </c>
      <c r="D121" s="179" t="s">
        <v>3481</v>
      </c>
      <c r="E121" s="186" t="s">
        <v>2401</v>
      </c>
      <c r="F121" s="187"/>
      <c r="G121" s="150" t="s">
        <v>2411</v>
      </c>
    </row>
    <row r="122" spans="2:7" ht="14.45" customHeight="1" x14ac:dyDescent="0.2">
      <c r="B122" s="174" t="s">
        <v>2540</v>
      </c>
      <c r="C122" s="176" t="s">
        <v>2564</v>
      </c>
      <c r="D122" s="179" t="s">
        <v>3481</v>
      </c>
      <c r="E122" s="186" t="s">
        <v>2402</v>
      </c>
      <c r="F122" s="187"/>
      <c r="G122" s="150" t="s">
        <v>2421</v>
      </c>
    </row>
    <row r="123" spans="2:7" ht="14.45" customHeight="1" x14ac:dyDescent="0.2">
      <c r="B123" s="174" t="s">
        <v>2540</v>
      </c>
      <c r="C123" s="176" t="s">
        <v>2564</v>
      </c>
      <c r="D123" s="179" t="s">
        <v>3481</v>
      </c>
      <c r="E123" s="186" t="s">
        <v>2403</v>
      </c>
      <c r="F123" s="187"/>
      <c r="G123" s="150" t="s">
        <v>2412</v>
      </c>
    </row>
    <row r="124" spans="2:7" ht="14.45" customHeight="1" x14ac:dyDescent="0.2">
      <c r="B124" s="174" t="s">
        <v>2540</v>
      </c>
      <c r="C124" s="176" t="s">
        <v>2564</v>
      </c>
      <c r="D124" s="179" t="s">
        <v>3481</v>
      </c>
      <c r="E124" s="186" t="s">
        <v>2404</v>
      </c>
      <c r="F124" s="187"/>
      <c r="G124" s="150" t="s">
        <v>2422</v>
      </c>
    </row>
    <row r="125" spans="2:7" ht="14.45" customHeight="1" x14ac:dyDescent="0.2">
      <c r="B125" s="174" t="s">
        <v>2540</v>
      </c>
      <c r="C125" s="176" t="s">
        <v>2564</v>
      </c>
      <c r="D125" s="179" t="s">
        <v>3481</v>
      </c>
      <c r="E125" s="186" t="s">
        <v>2405</v>
      </c>
      <c r="F125" s="187"/>
      <c r="G125" s="150" t="s">
        <v>2413</v>
      </c>
    </row>
    <row r="126" spans="2:7" ht="14.45" customHeight="1" x14ac:dyDescent="0.2">
      <c r="B126" s="174" t="s">
        <v>2540</v>
      </c>
      <c r="C126" s="176" t="s">
        <v>2564</v>
      </c>
      <c r="D126" s="179" t="s">
        <v>3481</v>
      </c>
      <c r="E126" s="186" t="s">
        <v>2406</v>
      </c>
      <c r="F126" s="187"/>
      <c r="G126" s="150" t="s">
        <v>2419</v>
      </c>
    </row>
    <row r="127" spans="2:7" ht="14.45" customHeight="1" x14ac:dyDescent="0.2">
      <c r="B127" s="174" t="s">
        <v>2540</v>
      </c>
      <c r="C127" s="176" t="s">
        <v>2564</v>
      </c>
      <c r="D127" s="179" t="s">
        <v>3481</v>
      </c>
      <c r="E127" s="186" t="s">
        <v>2407</v>
      </c>
      <c r="F127" s="187"/>
      <c r="G127" s="150" t="s">
        <v>2414</v>
      </c>
    </row>
    <row r="128" spans="2:7" ht="14.45" customHeight="1" x14ac:dyDescent="0.2">
      <c r="B128" s="174" t="s">
        <v>2540</v>
      </c>
      <c r="C128" s="176" t="s">
        <v>2564</v>
      </c>
      <c r="D128" s="179" t="s">
        <v>3481</v>
      </c>
      <c r="E128" s="186" t="s">
        <v>2408</v>
      </c>
      <c r="F128" s="187"/>
      <c r="G128" s="150" t="s">
        <v>2415</v>
      </c>
    </row>
    <row r="129" spans="2:7" ht="14.45" customHeight="1" x14ac:dyDescent="0.2">
      <c r="B129" s="174" t="s">
        <v>2540</v>
      </c>
      <c r="C129" s="176" t="s">
        <v>2564</v>
      </c>
      <c r="D129" s="179" t="s">
        <v>3481</v>
      </c>
      <c r="E129" s="186" t="s">
        <v>2409</v>
      </c>
      <c r="F129" s="187"/>
      <c r="G129" s="150" t="s">
        <v>2416</v>
      </c>
    </row>
    <row r="130" spans="2:7" ht="14.45" customHeight="1" x14ac:dyDescent="0.2">
      <c r="B130" s="174" t="s">
        <v>2540</v>
      </c>
      <c r="C130" s="176" t="s">
        <v>2564</v>
      </c>
      <c r="D130" s="180" t="s">
        <v>3481</v>
      </c>
      <c r="E130" s="189" t="s">
        <v>2410</v>
      </c>
      <c r="F130" s="190"/>
      <c r="G130" s="142" t="s">
        <v>2417</v>
      </c>
    </row>
    <row r="131" spans="2:7" ht="14.45" customHeight="1" x14ac:dyDescent="0.2">
      <c r="B131" s="174" t="s">
        <v>2540</v>
      </c>
      <c r="C131" s="176" t="s">
        <v>2564</v>
      </c>
      <c r="D131" s="188" t="s">
        <v>3432</v>
      </c>
      <c r="E131" s="191" t="s">
        <v>1587</v>
      </c>
      <c r="F131" s="192"/>
      <c r="G131" s="164" t="s">
        <v>2129</v>
      </c>
    </row>
    <row r="132" spans="2:7" ht="14.45" customHeight="1" x14ac:dyDescent="0.2">
      <c r="B132" s="174" t="s">
        <v>2540</v>
      </c>
      <c r="C132" s="176" t="s">
        <v>2564</v>
      </c>
      <c r="D132" s="179" t="s">
        <v>3432</v>
      </c>
      <c r="E132" s="186" t="s">
        <v>1588</v>
      </c>
      <c r="F132" s="187"/>
      <c r="G132" s="150" t="s">
        <v>2130</v>
      </c>
    </row>
    <row r="133" spans="2:7" ht="14.45" customHeight="1" x14ac:dyDescent="0.2">
      <c r="B133" s="174" t="s">
        <v>2540</v>
      </c>
      <c r="C133" s="176" t="s">
        <v>2564</v>
      </c>
      <c r="D133" s="179" t="s">
        <v>3432</v>
      </c>
      <c r="E133" s="186" t="s">
        <v>1589</v>
      </c>
      <c r="F133" s="187"/>
      <c r="G133" s="200" t="s">
        <v>1590</v>
      </c>
    </row>
    <row r="134" spans="2:7" ht="14.45" customHeight="1" x14ac:dyDescent="0.2">
      <c r="B134" s="174" t="s">
        <v>2540</v>
      </c>
      <c r="C134" s="176" t="s">
        <v>2564</v>
      </c>
      <c r="D134" s="180" t="s">
        <v>3432</v>
      </c>
      <c r="E134" s="189" t="s">
        <v>1510</v>
      </c>
      <c r="F134" s="190"/>
      <c r="G134" s="142" t="s">
        <v>1842</v>
      </c>
    </row>
    <row r="135" spans="2:7" ht="14.45" customHeight="1" x14ac:dyDescent="0.2">
      <c r="B135" s="174" t="s">
        <v>2540</v>
      </c>
      <c r="C135" s="176" t="s">
        <v>2564</v>
      </c>
      <c r="D135" s="188" t="s">
        <v>3419</v>
      </c>
      <c r="E135" s="191" t="s">
        <v>1592</v>
      </c>
      <c r="F135" s="192"/>
      <c r="G135" s="164" t="s">
        <v>1843</v>
      </c>
    </row>
    <row r="136" spans="2:7" ht="14.45" customHeight="1" x14ac:dyDescent="0.2">
      <c r="B136" s="174" t="s">
        <v>2540</v>
      </c>
      <c r="C136" s="176" t="s">
        <v>2564</v>
      </c>
      <c r="D136" s="179" t="s">
        <v>3419</v>
      </c>
      <c r="E136" s="186" t="s">
        <v>1593</v>
      </c>
      <c r="F136" s="187"/>
      <c r="G136" s="150" t="s">
        <v>1845</v>
      </c>
    </row>
    <row r="137" spans="2:7" ht="14.45" customHeight="1" x14ac:dyDescent="0.2">
      <c r="B137" s="174" t="s">
        <v>2540</v>
      </c>
      <c r="C137" s="176" t="s">
        <v>2564</v>
      </c>
      <c r="D137" s="179" t="s">
        <v>3419</v>
      </c>
      <c r="E137" s="186" t="s">
        <v>1596</v>
      </c>
      <c r="F137" s="187"/>
      <c r="G137" s="150" t="s">
        <v>1844</v>
      </c>
    </row>
    <row r="138" spans="2:7" ht="14.45" customHeight="1" x14ac:dyDescent="0.2">
      <c r="B138" s="174" t="s">
        <v>2540</v>
      </c>
      <c r="C138" s="176" t="s">
        <v>2564</v>
      </c>
      <c r="D138" s="179" t="s">
        <v>3419</v>
      </c>
      <c r="E138" s="186" t="s">
        <v>1594</v>
      </c>
      <c r="F138" s="187"/>
      <c r="G138" s="150" t="s">
        <v>1846</v>
      </c>
    </row>
    <row r="139" spans="2:7" ht="14.45" customHeight="1" x14ac:dyDescent="0.2">
      <c r="B139" s="174" t="s">
        <v>2540</v>
      </c>
      <c r="C139" s="176" t="s">
        <v>2564</v>
      </c>
      <c r="D139" s="180" t="s">
        <v>3419</v>
      </c>
      <c r="E139" s="189" t="s">
        <v>1595</v>
      </c>
      <c r="F139" s="190"/>
      <c r="G139" s="142" t="s">
        <v>1847</v>
      </c>
    </row>
    <row r="140" spans="2:7" ht="14.45" customHeight="1" x14ac:dyDescent="0.2">
      <c r="B140" s="174" t="s">
        <v>2540</v>
      </c>
      <c r="C140" s="176" t="s">
        <v>2564</v>
      </c>
      <c r="D140" s="188" t="s">
        <v>3433</v>
      </c>
      <c r="E140" s="191" t="s">
        <v>1598</v>
      </c>
      <c r="F140" s="192"/>
      <c r="G140" s="164" t="s">
        <v>1848</v>
      </c>
    </row>
    <row r="141" spans="2:7" ht="14.45" customHeight="1" x14ac:dyDescent="0.2">
      <c r="B141" s="174" t="s">
        <v>2540</v>
      </c>
      <c r="C141" s="176" t="s">
        <v>2564</v>
      </c>
      <c r="D141" s="179" t="s">
        <v>3433</v>
      </c>
      <c r="E141" s="186" t="s">
        <v>1599</v>
      </c>
      <c r="F141" s="187"/>
      <c r="G141" s="150" t="s">
        <v>1849</v>
      </c>
    </row>
    <row r="142" spans="2:7" ht="14.45" customHeight="1" x14ac:dyDescent="0.2">
      <c r="B142" s="174" t="s">
        <v>2540</v>
      </c>
      <c r="C142" s="176" t="s">
        <v>2564</v>
      </c>
      <c r="D142" s="179" t="s">
        <v>3433</v>
      </c>
      <c r="E142" s="186" t="s">
        <v>1600</v>
      </c>
      <c r="F142" s="187"/>
      <c r="G142" s="150" t="s">
        <v>1850</v>
      </c>
    </row>
    <row r="143" spans="2:7" ht="14.45" customHeight="1" x14ac:dyDescent="0.2">
      <c r="B143" s="174" t="s">
        <v>2540</v>
      </c>
      <c r="C143" s="176" t="s">
        <v>2564</v>
      </c>
      <c r="D143" s="179" t="s">
        <v>3433</v>
      </c>
      <c r="E143" s="186" t="s">
        <v>1603</v>
      </c>
      <c r="F143" s="187"/>
      <c r="G143" s="150" t="s">
        <v>1851</v>
      </c>
    </row>
    <row r="144" spans="2:7" ht="14.45" customHeight="1" x14ac:dyDescent="0.2">
      <c r="B144" s="174" t="s">
        <v>2540</v>
      </c>
      <c r="C144" s="176" t="s">
        <v>2564</v>
      </c>
      <c r="D144" s="179" t="s">
        <v>3433</v>
      </c>
      <c r="E144" s="186" t="s">
        <v>1601</v>
      </c>
      <c r="F144" s="187"/>
      <c r="G144" s="150" t="s">
        <v>1852</v>
      </c>
    </row>
    <row r="145" spans="2:7" ht="14.45" customHeight="1" x14ac:dyDescent="0.2">
      <c r="B145" s="174" t="s">
        <v>2540</v>
      </c>
      <c r="C145" s="176" t="s">
        <v>2564</v>
      </c>
      <c r="D145" s="180" t="s">
        <v>3433</v>
      </c>
      <c r="E145" s="189" t="s">
        <v>1602</v>
      </c>
      <c r="F145" s="190"/>
      <c r="G145" s="142" t="s">
        <v>1853</v>
      </c>
    </row>
    <row r="146" spans="2:7" ht="14.45" customHeight="1" x14ac:dyDescent="0.2">
      <c r="B146" s="174" t="s">
        <v>2540</v>
      </c>
      <c r="C146" s="176" t="s">
        <v>2564</v>
      </c>
      <c r="D146" s="188" t="s">
        <v>3434</v>
      </c>
      <c r="E146" s="191" t="s">
        <v>1604</v>
      </c>
      <c r="F146" s="192"/>
      <c r="G146" s="164" t="s">
        <v>1605</v>
      </c>
    </row>
    <row r="147" spans="2:7" ht="14.45" customHeight="1" x14ac:dyDescent="0.2">
      <c r="B147" s="174" t="s">
        <v>2540</v>
      </c>
      <c r="C147" s="176" t="s">
        <v>2564</v>
      </c>
      <c r="D147" s="179" t="s">
        <v>3434</v>
      </c>
      <c r="E147" s="186" t="s">
        <v>1606</v>
      </c>
      <c r="F147" s="187"/>
      <c r="G147" s="150" t="s">
        <v>1854</v>
      </c>
    </row>
    <row r="148" spans="2:7" ht="14.45" customHeight="1" x14ac:dyDescent="0.2">
      <c r="B148" s="174" t="s">
        <v>2540</v>
      </c>
      <c r="C148" s="176" t="s">
        <v>2564</v>
      </c>
      <c r="D148" s="179" t="s">
        <v>3434</v>
      </c>
      <c r="E148" s="186" t="s">
        <v>1607</v>
      </c>
      <c r="F148" s="187"/>
      <c r="G148" s="150" t="s">
        <v>1608</v>
      </c>
    </row>
    <row r="149" spans="2:7" ht="14.45" customHeight="1" x14ac:dyDescent="0.2">
      <c r="B149" s="174" t="s">
        <v>2540</v>
      </c>
      <c r="C149" s="176" t="s">
        <v>2564</v>
      </c>
      <c r="D149" s="179" t="s">
        <v>3434</v>
      </c>
      <c r="E149" s="186" t="s">
        <v>1609</v>
      </c>
      <c r="F149" s="187"/>
      <c r="G149" s="150" t="s">
        <v>2131</v>
      </c>
    </row>
    <row r="150" spans="2:7" ht="14.45" customHeight="1" x14ac:dyDescent="0.2">
      <c r="B150" s="174" t="s">
        <v>2540</v>
      </c>
      <c r="C150" s="176" t="s">
        <v>2564</v>
      </c>
      <c r="D150" s="179" t="s">
        <v>3434</v>
      </c>
      <c r="E150" s="186" t="s">
        <v>1610</v>
      </c>
      <c r="F150" s="187"/>
      <c r="G150" s="150" t="s">
        <v>2132</v>
      </c>
    </row>
    <row r="151" spans="2:7" ht="14.45" customHeight="1" x14ac:dyDescent="0.2">
      <c r="B151" s="174" t="s">
        <v>2540</v>
      </c>
      <c r="C151" s="176" t="s">
        <v>2564</v>
      </c>
      <c r="D151" s="179" t="s">
        <v>3434</v>
      </c>
      <c r="E151" s="186" t="s">
        <v>1611</v>
      </c>
      <c r="F151" s="187"/>
      <c r="G151" s="150" t="s">
        <v>1855</v>
      </c>
    </row>
    <row r="152" spans="2:7" ht="14.45" customHeight="1" x14ac:dyDescent="0.2">
      <c r="B152" s="174" t="s">
        <v>2540</v>
      </c>
      <c r="C152" s="176" t="s">
        <v>2564</v>
      </c>
      <c r="D152" s="179" t="s">
        <v>3434</v>
      </c>
      <c r="E152" s="186" t="s">
        <v>1612</v>
      </c>
      <c r="F152" s="187"/>
      <c r="G152" s="150" t="s">
        <v>1856</v>
      </c>
    </row>
    <row r="153" spans="2:7" ht="14.45" customHeight="1" x14ac:dyDescent="0.2">
      <c r="B153" s="174" t="s">
        <v>2540</v>
      </c>
      <c r="C153" s="176" t="s">
        <v>2564</v>
      </c>
      <c r="D153" s="179" t="s">
        <v>3434</v>
      </c>
      <c r="E153" s="186" t="s">
        <v>1613</v>
      </c>
      <c r="F153" s="187"/>
      <c r="G153" s="150" t="s">
        <v>1857</v>
      </c>
    </row>
    <row r="154" spans="2:7" ht="14.45" customHeight="1" x14ac:dyDescent="0.2">
      <c r="B154" s="174" t="s">
        <v>2540</v>
      </c>
      <c r="C154" s="176" t="s">
        <v>2564</v>
      </c>
      <c r="D154" s="180" t="s">
        <v>3434</v>
      </c>
      <c r="E154" s="189" t="s">
        <v>1614</v>
      </c>
      <c r="F154" s="190"/>
      <c r="G154" s="142" t="s">
        <v>1858</v>
      </c>
    </row>
    <row r="155" spans="2:7" ht="14.45" customHeight="1" x14ac:dyDescent="0.2">
      <c r="B155" s="174" t="s">
        <v>2540</v>
      </c>
      <c r="C155" s="176" t="s">
        <v>2564</v>
      </c>
      <c r="D155" s="188" t="s">
        <v>3435</v>
      </c>
      <c r="E155" s="191" t="s">
        <v>1615</v>
      </c>
      <c r="F155" s="192"/>
      <c r="G155" s="164" t="s">
        <v>1859</v>
      </c>
    </row>
    <row r="156" spans="2:7" ht="14.45" customHeight="1" x14ac:dyDescent="0.2">
      <c r="B156" s="174" t="s">
        <v>2540</v>
      </c>
      <c r="C156" s="176" t="s">
        <v>2564</v>
      </c>
      <c r="D156" s="180" t="s">
        <v>3435</v>
      </c>
      <c r="E156" s="189" t="s">
        <v>1616</v>
      </c>
      <c r="F156" s="190"/>
      <c r="G156" s="142" t="s">
        <v>1860</v>
      </c>
    </row>
    <row r="157" spans="2:7" ht="14.45" customHeight="1" x14ac:dyDescent="0.2">
      <c r="B157" s="174" t="s">
        <v>2540</v>
      </c>
      <c r="C157" s="176" t="s">
        <v>2564</v>
      </c>
      <c r="D157" s="188" t="s">
        <v>3423</v>
      </c>
      <c r="E157" s="191" t="s">
        <v>1617</v>
      </c>
      <c r="F157" s="192"/>
      <c r="G157" s="164" t="s">
        <v>1861</v>
      </c>
    </row>
    <row r="158" spans="2:7" ht="14.45" customHeight="1" x14ac:dyDescent="0.2">
      <c r="B158" s="174" t="s">
        <v>2540</v>
      </c>
      <c r="C158" s="176" t="s">
        <v>2564</v>
      </c>
      <c r="D158" s="179" t="s">
        <v>3423</v>
      </c>
      <c r="E158" s="186" t="s">
        <v>1618</v>
      </c>
      <c r="F158" s="187"/>
      <c r="G158" s="150" t="s">
        <v>1862</v>
      </c>
    </row>
    <row r="159" spans="2:7" ht="14.45" customHeight="1" x14ac:dyDescent="0.2">
      <c r="B159" s="174" t="s">
        <v>2540</v>
      </c>
      <c r="C159" s="176" t="s">
        <v>2564</v>
      </c>
      <c r="D159" s="180" t="s">
        <v>3423</v>
      </c>
      <c r="E159" s="189" t="s">
        <v>1619</v>
      </c>
      <c r="F159" s="190"/>
      <c r="G159" s="142" t="s">
        <v>2157</v>
      </c>
    </row>
    <row r="160" spans="2:7" ht="14.45" customHeight="1" thickBot="1" x14ac:dyDescent="0.25">
      <c r="B160" s="174" t="s">
        <v>2540</v>
      </c>
      <c r="C160" s="176" t="s">
        <v>2564</v>
      </c>
      <c r="D160" s="201" t="s">
        <v>3429</v>
      </c>
      <c r="E160" s="202" t="s">
        <v>1597</v>
      </c>
      <c r="F160" s="203"/>
      <c r="G160" s="204" t="s">
        <v>1863</v>
      </c>
    </row>
    <row r="161" spans="2:7" ht="14.45" customHeight="1" x14ac:dyDescent="0.2">
      <c r="B161" s="174" t="s">
        <v>2540</v>
      </c>
      <c r="C161" s="171" t="s">
        <v>2527</v>
      </c>
      <c r="D161" s="178" t="s">
        <v>3483</v>
      </c>
      <c r="E161" s="184" t="s">
        <v>1620</v>
      </c>
      <c r="F161" s="185"/>
      <c r="G161" s="163" t="s">
        <v>1864</v>
      </c>
    </row>
    <row r="162" spans="2:7" ht="14.45" customHeight="1" x14ac:dyDescent="0.2">
      <c r="B162" s="174" t="s">
        <v>2540</v>
      </c>
      <c r="C162" s="176" t="s">
        <v>2526</v>
      </c>
      <c r="D162" s="179" t="s">
        <v>3483</v>
      </c>
      <c r="E162" s="186" t="s">
        <v>1865</v>
      </c>
      <c r="F162" s="187"/>
      <c r="G162" s="150" t="s">
        <v>2133</v>
      </c>
    </row>
    <row r="163" spans="2:7" ht="14.45" customHeight="1" x14ac:dyDescent="0.2">
      <c r="B163" s="174" t="s">
        <v>2540</v>
      </c>
      <c r="C163" s="176" t="s">
        <v>2526</v>
      </c>
      <c r="D163" s="180" t="s">
        <v>3483</v>
      </c>
      <c r="E163" s="189" t="s">
        <v>1866</v>
      </c>
      <c r="F163" s="190"/>
      <c r="G163" s="142" t="s">
        <v>2134</v>
      </c>
    </row>
    <row r="164" spans="2:7" ht="14.45" customHeight="1" x14ac:dyDescent="0.2">
      <c r="B164" s="174" t="s">
        <v>2540</v>
      </c>
      <c r="C164" s="176" t="s">
        <v>2526</v>
      </c>
      <c r="D164" s="188" t="s">
        <v>3426</v>
      </c>
      <c r="E164" s="191" t="s">
        <v>1621</v>
      </c>
      <c r="F164" s="192"/>
      <c r="G164" s="164" t="s">
        <v>2135</v>
      </c>
    </row>
    <row r="165" spans="2:7" ht="14.45" customHeight="1" x14ac:dyDescent="0.2">
      <c r="B165" s="174" t="s">
        <v>2540</v>
      </c>
      <c r="C165" s="176" t="s">
        <v>2526</v>
      </c>
      <c r="D165" s="179" t="s">
        <v>3426</v>
      </c>
      <c r="E165" s="186" t="s">
        <v>1387</v>
      </c>
      <c r="F165" s="187" t="s">
        <v>2593</v>
      </c>
      <c r="G165" s="150" t="s">
        <v>2290</v>
      </c>
    </row>
    <row r="166" spans="2:7" ht="14.45" customHeight="1" x14ac:dyDescent="0.2">
      <c r="B166" s="174" t="s">
        <v>2540</v>
      </c>
      <c r="C166" s="176" t="s">
        <v>2526</v>
      </c>
      <c r="D166" s="179" t="s">
        <v>3426</v>
      </c>
      <c r="E166" s="186" t="s">
        <v>1388</v>
      </c>
      <c r="F166" s="187" t="s">
        <v>2593</v>
      </c>
      <c r="G166" s="150" t="s">
        <v>1625</v>
      </c>
    </row>
    <row r="167" spans="2:7" ht="14.45" customHeight="1" x14ac:dyDescent="0.2">
      <c r="B167" s="174" t="s">
        <v>2540</v>
      </c>
      <c r="C167" s="176" t="s">
        <v>2526</v>
      </c>
      <c r="D167" s="179" t="s">
        <v>3426</v>
      </c>
      <c r="E167" s="186" t="s">
        <v>1622</v>
      </c>
      <c r="F167" s="187"/>
      <c r="G167" s="150" t="s">
        <v>2136</v>
      </c>
    </row>
    <row r="168" spans="2:7" ht="14.45" customHeight="1" x14ac:dyDescent="0.2">
      <c r="B168" s="174" t="s">
        <v>2540</v>
      </c>
      <c r="C168" s="176" t="s">
        <v>2526</v>
      </c>
      <c r="D168" s="179" t="s">
        <v>3426</v>
      </c>
      <c r="E168" s="186" t="s">
        <v>1623</v>
      </c>
      <c r="F168" s="187"/>
      <c r="G168" s="150" t="s">
        <v>1867</v>
      </c>
    </row>
    <row r="169" spans="2:7" ht="14.45" customHeight="1" x14ac:dyDescent="0.2">
      <c r="B169" s="174" t="s">
        <v>2540</v>
      </c>
      <c r="C169" s="176" t="s">
        <v>2526</v>
      </c>
      <c r="D169" s="180" t="s">
        <v>3426</v>
      </c>
      <c r="E169" s="189" t="s">
        <v>1624</v>
      </c>
      <c r="F169" s="190"/>
      <c r="G169" s="142" t="s">
        <v>2137</v>
      </c>
    </row>
    <row r="170" spans="2:7" ht="14.45" customHeight="1" x14ac:dyDescent="0.2">
      <c r="B170" s="174" t="s">
        <v>2540</v>
      </c>
      <c r="C170" s="176" t="s">
        <v>2526</v>
      </c>
      <c r="D170" s="188" t="s">
        <v>3430</v>
      </c>
      <c r="E170" s="191" t="s">
        <v>1626</v>
      </c>
      <c r="F170" s="192"/>
      <c r="G170" s="164" t="s">
        <v>1868</v>
      </c>
    </row>
    <row r="171" spans="2:7" ht="14.45" customHeight="1" x14ac:dyDescent="0.2">
      <c r="B171" s="174" t="s">
        <v>2540</v>
      </c>
      <c r="C171" s="176" t="s">
        <v>2526</v>
      </c>
      <c r="D171" s="180" t="s">
        <v>3430</v>
      </c>
      <c r="E171" s="189" t="s">
        <v>1627</v>
      </c>
      <c r="F171" s="190"/>
      <c r="G171" s="142" t="s">
        <v>1869</v>
      </c>
    </row>
    <row r="172" spans="2:7" ht="14.45" customHeight="1" x14ac:dyDescent="0.2">
      <c r="B172" s="174" t="s">
        <v>2540</v>
      </c>
      <c r="C172" s="176" t="s">
        <v>2526</v>
      </c>
      <c r="D172" s="188" t="s">
        <v>3424</v>
      </c>
      <c r="E172" s="191" t="s">
        <v>1628</v>
      </c>
      <c r="F172" s="192"/>
      <c r="G172" s="164" t="s">
        <v>1870</v>
      </c>
    </row>
    <row r="173" spans="2:7" ht="14.45" customHeight="1" x14ac:dyDescent="0.2">
      <c r="B173" s="174" t="s">
        <v>2540</v>
      </c>
      <c r="C173" s="176" t="s">
        <v>2526</v>
      </c>
      <c r="D173" s="179" t="s">
        <v>3424</v>
      </c>
      <c r="E173" s="186" t="s">
        <v>1629</v>
      </c>
      <c r="F173" s="187"/>
      <c r="G173" s="150" t="s">
        <v>1871</v>
      </c>
    </row>
    <row r="174" spans="2:7" ht="14.45" customHeight="1" x14ac:dyDescent="0.2">
      <c r="B174" s="174" t="s">
        <v>2540</v>
      </c>
      <c r="C174" s="176" t="s">
        <v>2526</v>
      </c>
      <c r="D174" s="179" t="s">
        <v>3424</v>
      </c>
      <c r="E174" s="186" t="s">
        <v>1630</v>
      </c>
      <c r="F174" s="187"/>
      <c r="G174" s="150" t="s">
        <v>1872</v>
      </c>
    </row>
    <row r="175" spans="2:7" ht="14.45" customHeight="1" x14ac:dyDescent="0.2">
      <c r="B175" s="174" t="s">
        <v>2540</v>
      </c>
      <c r="C175" s="176" t="s">
        <v>2526</v>
      </c>
      <c r="D175" s="179" t="s">
        <v>3424</v>
      </c>
      <c r="E175" s="186" t="s">
        <v>1631</v>
      </c>
      <c r="F175" s="187"/>
      <c r="G175" s="150" t="s">
        <v>1873</v>
      </c>
    </row>
    <row r="176" spans="2:7" ht="14.45" customHeight="1" x14ac:dyDescent="0.2">
      <c r="B176" s="174" t="s">
        <v>2540</v>
      </c>
      <c r="C176" s="176" t="s">
        <v>2526</v>
      </c>
      <c r="D176" s="179" t="s">
        <v>3424</v>
      </c>
      <c r="E176" s="186" t="s">
        <v>1632</v>
      </c>
      <c r="F176" s="187"/>
      <c r="G176" s="150" t="s">
        <v>1874</v>
      </c>
    </row>
    <row r="177" spans="2:7" ht="14.45" customHeight="1" x14ac:dyDescent="0.2">
      <c r="B177" s="174" t="s">
        <v>2540</v>
      </c>
      <c r="C177" s="176" t="s">
        <v>2526</v>
      </c>
      <c r="D177" s="179" t="s">
        <v>3424</v>
      </c>
      <c r="E177" s="186" t="s">
        <v>1633</v>
      </c>
      <c r="F177" s="187"/>
      <c r="G177" s="150" t="s">
        <v>1875</v>
      </c>
    </row>
    <row r="178" spans="2:7" ht="14.45" customHeight="1" x14ac:dyDescent="0.2">
      <c r="B178" s="174" t="s">
        <v>2540</v>
      </c>
      <c r="C178" s="176" t="s">
        <v>2526</v>
      </c>
      <c r="D178" s="179" t="s">
        <v>3424</v>
      </c>
      <c r="E178" s="186" t="s">
        <v>1634</v>
      </c>
      <c r="F178" s="187"/>
      <c r="G178" s="150" t="s">
        <v>1876</v>
      </c>
    </row>
    <row r="179" spans="2:7" ht="14.45" customHeight="1" x14ac:dyDescent="0.2">
      <c r="B179" s="174" t="s">
        <v>2540</v>
      </c>
      <c r="C179" s="176" t="s">
        <v>2526</v>
      </c>
      <c r="D179" s="179" t="s">
        <v>3424</v>
      </c>
      <c r="E179" s="186" t="s">
        <v>1635</v>
      </c>
      <c r="F179" s="187"/>
      <c r="G179" s="150" t="s">
        <v>1877</v>
      </c>
    </row>
    <row r="180" spans="2:7" ht="14.45" customHeight="1" x14ac:dyDescent="0.2">
      <c r="B180" s="174" t="s">
        <v>2540</v>
      </c>
      <c r="C180" s="176" t="s">
        <v>2526</v>
      </c>
      <c r="D180" s="179" t="s">
        <v>3424</v>
      </c>
      <c r="E180" s="186" t="s">
        <v>1636</v>
      </c>
      <c r="F180" s="187"/>
      <c r="G180" s="150" t="s">
        <v>1637</v>
      </c>
    </row>
    <row r="181" spans="2:7" ht="14.45" customHeight="1" x14ac:dyDescent="0.2">
      <c r="B181" s="174" t="s">
        <v>2540</v>
      </c>
      <c r="C181" s="176" t="s">
        <v>2526</v>
      </c>
      <c r="D181" s="179" t="s">
        <v>3424</v>
      </c>
      <c r="E181" s="186" t="s">
        <v>1638</v>
      </c>
      <c r="F181" s="187"/>
      <c r="G181" s="150" t="s">
        <v>1878</v>
      </c>
    </row>
    <row r="182" spans="2:7" ht="14.45" customHeight="1" x14ac:dyDescent="0.2">
      <c r="B182" s="174" t="s">
        <v>2540</v>
      </c>
      <c r="C182" s="176" t="s">
        <v>2526</v>
      </c>
      <c r="D182" s="180" t="s">
        <v>3424</v>
      </c>
      <c r="E182" s="189" t="s">
        <v>1639</v>
      </c>
      <c r="F182" s="190"/>
      <c r="G182" s="142" t="s">
        <v>1879</v>
      </c>
    </row>
    <row r="183" spans="2:7" ht="14.45" customHeight="1" x14ac:dyDescent="0.2">
      <c r="B183" s="174" t="s">
        <v>2540</v>
      </c>
      <c r="C183" s="176" t="s">
        <v>2526</v>
      </c>
      <c r="D183" s="188" t="s">
        <v>3501</v>
      </c>
      <c r="E183" s="191" t="s">
        <v>1640</v>
      </c>
      <c r="F183" s="192"/>
      <c r="G183" s="164" t="s">
        <v>1880</v>
      </c>
    </row>
    <row r="184" spans="2:7" ht="14.45" customHeight="1" x14ac:dyDescent="0.2">
      <c r="B184" s="174" t="s">
        <v>2540</v>
      </c>
      <c r="C184" s="176" t="s">
        <v>2526</v>
      </c>
      <c r="D184" s="180" t="s">
        <v>3501</v>
      </c>
      <c r="E184" s="189" t="s">
        <v>1641</v>
      </c>
      <c r="F184" s="190"/>
      <c r="G184" s="142" t="s">
        <v>1642</v>
      </c>
    </row>
    <row r="185" spans="2:7" ht="14.45" customHeight="1" x14ac:dyDescent="0.2">
      <c r="B185" s="174" t="s">
        <v>2540</v>
      </c>
      <c r="C185" s="176" t="s">
        <v>2526</v>
      </c>
      <c r="D185" s="83" t="s">
        <v>3428</v>
      </c>
      <c r="E185" s="191" t="s">
        <v>1643</v>
      </c>
      <c r="F185" s="192"/>
      <c r="G185" s="164" t="s">
        <v>1881</v>
      </c>
    </row>
    <row r="186" spans="2:7" ht="14.45" customHeight="1" x14ac:dyDescent="0.2">
      <c r="B186" s="174" t="s">
        <v>2540</v>
      </c>
      <c r="C186" s="176" t="s">
        <v>2526</v>
      </c>
      <c r="D186" s="198" t="s">
        <v>3428</v>
      </c>
      <c r="E186" s="186" t="s">
        <v>1883</v>
      </c>
      <c r="F186" s="187"/>
      <c r="G186" s="150" t="s">
        <v>1887</v>
      </c>
    </row>
    <row r="187" spans="2:7" ht="14.45" customHeight="1" x14ac:dyDescent="0.2">
      <c r="B187" s="174" t="s">
        <v>2540</v>
      </c>
      <c r="C187" s="176" t="s">
        <v>2526</v>
      </c>
      <c r="D187" s="198" t="s">
        <v>3428</v>
      </c>
      <c r="E187" s="186" t="s">
        <v>1884</v>
      </c>
      <c r="F187" s="187"/>
      <c r="G187" s="150" t="s">
        <v>1882</v>
      </c>
    </row>
    <row r="188" spans="2:7" ht="14.45" customHeight="1" x14ac:dyDescent="0.2">
      <c r="B188" s="174" t="s">
        <v>2540</v>
      </c>
      <c r="C188" s="176" t="s">
        <v>2526</v>
      </c>
      <c r="D188" s="198" t="s">
        <v>3428</v>
      </c>
      <c r="E188" s="186" t="s">
        <v>1885</v>
      </c>
      <c r="F188" s="187"/>
      <c r="G188" s="150" t="s">
        <v>1888</v>
      </c>
    </row>
    <row r="189" spans="2:7" ht="14.45" customHeight="1" x14ac:dyDescent="0.2">
      <c r="B189" s="174" t="s">
        <v>2540</v>
      </c>
      <c r="C189" s="176" t="s">
        <v>2526</v>
      </c>
      <c r="D189" s="198" t="s">
        <v>3428</v>
      </c>
      <c r="E189" s="189" t="s">
        <v>1886</v>
      </c>
      <c r="F189" s="190"/>
      <c r="G189" s="142" t="s">
        <v>1889</v>
      </c>
    </row>
    <row r="190" spans="2:7" ht="14.45" customHeight="1" x14ac:dyDescent="0.2">
      <c r="B190" s="174" t="s">
        <v>2540</v>
      </c>
      <c r="C190" s="176" t="s">
        <v>2526</v>
      </c>
      <c r="D190" s="188" t="s">
        <v>3422</v>
      </c>
      <c r="E190" s="191" t="s">
        <v>1645</v>
      </c>
      <c r="F190" s="192"/>
      <c r="G190" s="164" t="s">
        <v>1890</v>
      </c>
    </row>
    <row r="191" spans="2:7" ht="14.45" customHeight="1" x14ac:dyDescent="0.2">
      <c r="B191" s="174" t="s">
        <v>2540</v>
      </c>
      <c r="C191" s="176" t="s">
        <v>2526</v>
      </c>
      <c r="D191" s="179" t="s">
        <v>3422</v>
      </c>
      <c r="E191" s="186" t="s">
        <v>1646</v>
      </c>
      <c r="F191" s="187"/>
      <c r="G191" s="150" t="s">
        <v>1891</v>
      </c>
    </row>
    <row r="192" spans="2:7" ht="14.45" customHeight="1" x14ac:dyDescent="0.2">
      <c r="B192" s="174" t="s">
        <v>2540</v>
      </c>
      <c r="C192" s="176" t="s">
        <v>2526</v>
      </c>
      <c r="D192" s="179" t="s">
        <v>3422</v>
      </c>
      <c r="E192" s="186" t="s">
        <v>1647</v>
      </c>
      <c r="F192" s="187"/>
      <c r="G192" s="150" t="s">
        <v>1892</v>
      </c>
    </row>
    <row r="193" spans="2:7" ht="14.45" customHeight="1" x14ac:dyDescent="0.2">
      <c r="B193" s="174" t="s">
        <v>2540</v>
      </c>
      <c r="C193" s="176" t="s">
        <v>2526</v>
      </c>
      <c r="D193" s="179" t="s">
        <v>3422</v>
      </c>
      <c r="E193" s="186" t="s">
        <v>1648</v>
      </c>
      <c r="F193" s="187"/>
      <c r="G193" s="150" t="s">
        <v>1893</v>
      </c>
    </row>
    <row r="194" spans="2:7" ht="14.45" customHeight="1" x14ac:dyDescent="0.2">
      <c r="B194" s="174" t="s">
        <v>2540</v>
      </c>
      <c r="C194" s="176" t="s">
        <v>2526</v>
      </c>
      <c r="D194" s="179" t="s">
        <v>3422</v>
      </c>
      <c r="E194" s="186" t="s">
        <v>1649</v>
      </c>
      <c r="F194" s="187"/>
      <c r="G194" s="150" t="s">
        <v>1894</v>
      </c>
    </row>
    <row r="195" spans="2:7" ht="14.45" customHeight="1" x14ac:dyDescent="0.2">
      <c r="B195" s="174" t="s">
        <v>2540</v>
      </c>
      <c r="C195" s="176" t="s">
        <v>2526</v>
      </c>
      <c r="D195" s="179" t="s">
        <v>3422</v>
      </c>
      <c r="E195" s="186" t="s">
        <v>1650</v>
      </c>
      <c r="F195" s="187"/>
      <c r="G195" s="150" t="s">
        <v>1895</v>
      </c>
    </row>
    <row r="196" spans="2:7" ht="14.45" customHeight="1" x14ac:dyDescent="0.2">
      <c r="B196" s="174" t="s">
        <v>2540</v>
      </c>
      <c r="C196" s="176" t="s">
        <v>2526</v>
      </c>
      <c r="D196" s="179" t="s">
        <v>3422</v>
      </c>
      <c r="E196" s="186" t="s">
        <v>1651</v>
      </c>
      <c r="F196" s="187"/>
      <c r="G196" s="150" t="s">
        <v>1896</v>
      </c>
    </row>
    <row r="197" spans="2:7" ht="14.45" customHeight="1" x14ac:dyDescent="0.2">
      <c r="B197" s="174" t="s">
        <v>2540</v>
      </c>
      <c r="C197" s="176" t="s">
        <v>2526</v>
      </c>
      <c r="D197" s="179" t="s">
        <v>3422</v>
      </c>
      <c r="E197" s="186" t="s">
        <v>1652</v>
      </c>
      <c r="F197" s="187"/>
      <c r="G197" s="150" t="s">
        <v>1897</v>
      </c>
    </row>
    <row r="198" spans="2:7" ht="14.45" customHeight="1" x14ac:dyDescent="0.2">
      <c r="B198" s="174" t="s">
        <v>2540</v>
      </c>
      <c r="C198" s="176" t="s">
        <v>2526</v>
      </c>
      <c r="D198" s="179" t="s">
        <v>3422</v>
      </c>
      <c r="E198" s="186" t="s">
        <v>1653</v>
      </c>
      <c r="F198" s="187"/>
      <c r="G198" s="150" t="s">
        <v>1898</v>
      </c>
    </row>
    <row r="199" spans="2:7" ht="14.45" customHeight="1" x14ac:dyDescent="0.2">
      <c r="B199" s="174" t="s">
        <v>2540</v>
      </c>
      <c r="C199" s="176" t="s">
        <v>2526</v>
      </c>
      <c r="D199" s="179" t="s">
        <v>3422</v>
      </c>
      <c r="E199" s="186" t="s">
        <v>1654</v>
      </c>
      <c r="F199" s="187"/>
      <c r="G199" s="150" t="s">
        <v>1899</v>
      </c>
    </row>
    <row r="200" spans="2:7" ht="14.45" customHeight="1" x14ac:dyDescent="0.2">
      <c r="B200" s="174" t="s">
        <v>2540</v>
      </c>
      <c r="C200" s="176" t="s">
        <v>2526</v>
      </c>
      <c r="D200" s="179" t="s">
        <v>3422</v>
      </c>
      <c r="E200" s="186" t="s">
        <v>1655</v>
      </c>
      <c r="F200" s="187"/>
      <c r="G200" s="150" t="s">
        <v>1900</v>
      </c>
    </row>
    <row r="201" spans="2:7" ht="14.45" customHeight="1" x14ac:dyDescent="0.2">
      <c r="B201" s="174" t="s">
        <v>2540</v>
      </c>
      <c r="C201" s="176" t="s">
        <v>2526</v>
      </c>
      <c r="D201" s="179" t="s">
        <v>3422</v>
      </c>
      <c r="E201" s="186" t="s">
        <v>1656</v>
      </c>
      <c r="F201" s="187"/>
      <c r="G201" s="150" t="s">
        <v>1901</v>
      </c>
    </row>
    <row r="202" spans="2:7" ht="14.45" customHeight="1" x14ac:dyDescent="0.2">
      <c r="B202" s="174" t="s">
        <v>2540</v>
      </c>
      <c r="C202" s="176" t="s">
        <v>2526</v>
      </c>
      <c r="D202" s="180" t="s">
        <v>3422</v>
      </c>
      <c r="E202" s="189" t="s">
        <v>1657</v>
      </c>
      <c r="F202" s="190"/>
      <c r="G202" s="142" t="s">
        <v>2158</v>
      </c>
    </row>
    <row r="203" spans="2:7" ht="14.45" customHeight="1" x14ac:dyDescent="0.2">
      <c r="B203" s="174" t="s">
        <v>2540</v>
      </c>
      <c r="C203" s="176" t="s">
        <v>2526</v>
      </c>
      <c r="D203" s="188" t="s">
        <v>3436</v>
      </c>
      <c r="E203" s="191" t="s">
        <v>1658</v>
      </c>
      <c r="F203" s="192"/>
      <c r="G203" s="164" t="s">
        <v>1902</v>
      </c>
    </row>
    <row r="204" spans="2:7" ht="14.45" customHeight="1" x14ac:dyDescent="0.2">
      <c r="B204" s="174" t="s">
        <v>2540</v>
      </c>
      <c r="C204" s="176" t="s">
        <v>2526</v>
      </c>
      <c r="D204" s="179" t="s">
        <v>3436</v>
      </c>
      <c r="E204" s="186" t="s">
        <v>1659</v>
      </c>
      <c r="F204" s="187"/>
      <c r="G204" s="150" t="s">
        <v>1905</v>
      </c>
    </row>
    <row r="205" spans="2:7" ht="14.45" customHeight="1" x14ac:dyDescent="0.2">
      <c r="B205" s="174" t="s">
        <v>2540</v>
      </c>
      <c r="C205" s="176" t="s">
        <v>2526</v>
      </c>
      <c r="D205" s="179" t="s">
        <v>3436</v>
      </c>
      <c r="E205" s="186" t="s">
        <v>1660</v>
      </c>
      <c r="F205" s="187"/>
      <c r="G205" s="150" t="s">
        <v>1906</v>
      </c>
    </row>
    <row r="206" spans="2:7" ht="14.45" customHeight="1" x14ac:dyDescent="0.2">
      <c r="B206" s="174" t="s">
        <v>2540</v>
      </c>
      <c r="C206" s="176" t="s">
        <v>2526</v>
      </c>
      <c r="D206" s="179" t="s">
        <v>3436</v>
      </c>
      <c r="E206" s="186" t="s">
        <v>1661</v>
      </c>
      <c r="F206" s="187"/>
      <c r="G206" s="150" t="s">
        <v>1903</v>
      </c>
    </row>
    <row r="207" spans="2:7" ht="14.45" customHeight="1" x14ac:dyDescent="0.2">
      <c r="B207" s="174" t="s">
        <v>2540</v>
      </c>
      <c r="C207" s="176" t="s">
        <v>2526</v>
      </c>
      <c r="D207" s="179" t="s">
        <v>3436</v>
      </c>
      <c r="E207" s="186" t="s">
        <v>1662</v>
      </c>
      <c r="F207" s="187"/>
      <c r="G207" s="150" t="s">
        <v>1907</v>
      </c>
    </row>
    <row r="208" spans="2:7" ht="14.45" customHeight="1" x14ac:dyDescent="0.2">
      <c r="B208" s="174" t="s">
        <v>2540</v>
      </c>
      <c r="C208" s="176" t="s">
        <v>2526</v>
      </c>
      <c r="D208" s="179" t="s">
        <v>3436</v>
      </c>
      <c r="E208" s="186" t="s">
        <v>1663</v>
      </c>
      <c r="F208" s="187"/>
      <c r="G208" s="150" t="s">
        <v>1908</v>
      </c>
    </row>
    <row r="209" spans="2:7" ht="14.45" customHeight="1" x14ac:dyDescent="0.2">
      <c r="B209" s="174" t="s">
        <v>2540</v>
      </c>
      <c r="C209" s="176" t="s">
        <v>2526</v>
      </c>
      <c r="D209" s="179" t="s">
        <v>3436</v>
      </c>
      <c r="E209" s="186" t="s">
        <v>1664</v>
      </c>
      <c r="F209" s="187"/>
      <c r="G209" s="150" t="s">
        <v>1904</v>
      </c>
    </row>
    <row r="210" spans="2:7" ht="14.45" customHeight="1" x14ac:dyDescent="0.2">
      <c r="B210" s="174" t="s">
        <v>2540</v>
      </c>
      <c r="C210" s="176" t="s">
        <v>2526</v>
      </c>
      <c r="D210" s="179" t="s">
        <v>3436</v>
      </c>
      <c r="E210" s="186" t="s">
        <v>1665</v>
      </c>
      <c r="F210" s="187"/>
      <c r="G210" s="150" t="s">
        <v>1909</v>
      </c>
    </row>
    <row r="211" spans="2:7" ht="14.45" customHeight="1" thickBot="1" x14ac:dyDescent="0.25">
      <c r="B211" s="174" t="s">
        <v>2540</v>
      </c>
      <c r="C211" s="177" t="s">
        <v>2526</v>
      </c>
      <c r="D211" s="193" t="s">
        <v>3436</v>
      </c>
      <c r="E211" s="189" t="s">
        <v>1666</v>
      </c>
      <c r="F211" s="190"/>
      <c r="G211" s="142" t="s">
        <v>2159</v>
      </c>
    </row>
    <row r="212" spans="2:7" ht="14.45" customHeight="1" x14ac:dyDescent="0.2">
      <c r="B212" s="174" t="s">
        <v>2540</v>
      </c>
      <c r="C212" s="171" t="s">
        <v>2529</v>
      </c>
      <c r="D212" s="178" t="s">
        <v>3420</v>
      </c>
      <c r="E212" s="184" t="s">
        <v>1670</v>
      </c>
      <c r="F212" s="185"/>
      <c r="G212" s="163" t="s">
        <v>2160</v>
      </c>
    </row>
    <row r="213" spans="2:7" ht="14.45" customHeight="1" x14ac:dyDescent="0.2">
      <c r="B213" s="174" t="s">
        <v>2540</v>
      </c>
      <c r="C213" s="176" t="s">
        <v>2528</v>
      </c>
      <c r="D213" s="179" t="s">
        <v>3420</v>
      </c>
      <c r="E213" s="186" t="s">
        <v>1612</v>
      </c>
      <c r="F213" s="187"/>
      <c r="G213" s="150" t="s">
        <v>1910</v>
      </c>
    </row>
    <row r="214" spans="2:7" ht="14.45" customHeight="1" x14ac:dyDescent="0.2">
      <c r="B214" s="174" t="s">
        <v>2540</v>
      </c>
      <c r="C214" s="176" t="s">
        <v>2528</v>
      </c>
      <c r="D214" s="179" t="s">
        <v>3420</v>
      </c>
      <c r="E214" s="186" t="s">
        <v>1671</v>
      </c>
      <c r="F214" s="187"/>
      <c r="G214" s="150" t="s">
        <v>1911</v>
      </c>
    </row>
    <row r="215" spans="2:7" ht="14.45" customHeight="1" x14ac:dyDescent="0.2">
      <c r="B215" s="174" t="s">
        <v>2540</v>
      </c>
      <c r="C215" s="176" t="s">
        <v>2528</v>
      </c>
      <c r="D215" s="179" t="s">
        <v>3420</v>
      </c>
      <c r="E215" s="186" t="s">
        <v>1672</v>
      </c>
      <c r="F215" s="187"/>
      <c r="G215" s="150" t="s">
        <v>1714</v>
      </c>
    </row>
    <row r="216" spans="2:7" ht="14.45" customHeight="1" x14ac:dyDescent="0.2">
      <c r="B216" s="174" t="s">
        <v>2540</v>
      </c>
      <c r="C216" s="176" t="s">
        <v>2528</v>
      </c>
      <c r="D216" s="179" t="s">
        <v>3420</v>
      </c>
      <c r="E216" s="186" t="s">
        <v>1673</v>
      </c>
      <c r="F216" s="187"/>
      <c r="G216" s="150" t="s">
        <v>1912</v>
      </c>
    </row>
    <row r="217" spans="2:7" ht="14.45" customHeight="1" x14ac:dyDescent="0.2">
      <c r="B217" s="174" t="s">
        <v>2540</v>
      </c>
      <c r="C217" s="176" t="s">
        <v>2528</v>
      </c>
      <c r="D217" s="179" t="s">
        <v>3420</v>
      </c>
      <c r="E217" s="186" t="s">
        <v>1674</v>
      </c>
      <c r="F217" s="187"/>
      <c r="G217" s="150" t="s">
        <v>2138</v>
      </c>
    </row>
    <row r="218" spans="2:7" ht="14.45" customHeight="1" x14ac:dyDescent="0.2">
      <c r="B218" s="174" t="s">
        <v>2540</v>
      </c>
      <c r="C218" s="176" t="s">
        <v>2528</v>
      </c>
      <c r="D218" s="179" t="s">
        <v>3420</v>
      </c>
      <c r="E218" s="186" t="s">
        <v>1675</v>
      </c>
      <c r="F218" s="187"/>
      <c r="G218" s="150" t="s">
        <v>1913</v>
      </c>
    </row>
    <row r="219" spans="2:7" ht="14.45" customHeight="1" x14ac:dyDescent="0.2">
      <c r="B219" s="174" t="s">
        <v>2540</v>
      </c>
      <c r="C219" s="176" t="s">
        <v>2528</v>
      </c>
      <c r="D219" s="179" t="s">
        <v>3420</v>
      </c>
      <c r="E219" s="186" t="s">
        <v>1676</v>
      </c>
      <c r="F219" s="187"/>
      <c r="G219" s="150" t="s">
        <v>1914</v>
      </c>
    </row>
    <row r="220" spans="2:7" ht="14.45" customHeight="1" x14ac:dyDescent="0.2">
      <c r="B220" s="174" t="s">
        <v>2540</v>
      </c>
      <c r="C220" s="176" t="s">
        <v>2528</v>
      </c>
      <c r="D220" s="179" t="s">
        <v>3420</v>
      </c>
      <c r="E220" s="186" t="s">
        <v>1677</v>
      </c>
      <c r="F220" s="187"/>
      <c r="G220" s="150" t="s">
        <v>1915</v>
      </c>
    </row>
    <row r="221" spans="2:7" ht="14.45" customHeight="1" x14ac:dyDescent="0.2">
      <c r="B221" s="174" t="s">
        <v>2540</v>
      </c>
      <c r="C221" s="176" t="s">
        <v>2528</v>
      </c>
      <c r="D221" s="179" t="s">
        <v>3420</v>
      </c>
      <c r="E221" s="186" t="s">
        <v>1678</v>
      </c>
      <c r="F221" s="187"/>
      <c r="G221" s="150" t="s">
        <v>1916</v>
      </c>
    </row>
    <row r="222" spans="2:7" ht="14.45" customHeight="1" x14ac:dyDescent="0.2">
      <c r="B222" s="174" t="s">
        <v>2540</v>
      </c>
      <c r="C222" s="176" t="s">
        <v>2528</v>
      </c>
      <c r="D222" s="179" t="s">
        <v>3420</v>
      </c>
      <c r="E222" s="186" t="s">
        <v>1679</v>
      </c>
      <c r="F222" s="187"/>
      <c r="G222" s="150" t="s">
        <v>1917</v>
      </c>
    </row>
    <row r="223" spans="2:7" ht="14.45" customHeight="1" x14ac:dyDescent="0.2">
      <c r="B223" s="174" t="s">
        <v>2540</v>
      </c>
      <c r="C223" s="176" t="s">
        <v>2528</v>
      </c>
      <c r="D223" s="179" t="s">
        <v>3420</v>
      </c>
      <c r="E223" s="186" t="s">
        <v>1680</v>
      </c>
      <c r="F223" s="187"/>
      <c r="G223" s="150" t="s">
        <v>1918</v>
      </c>
    </row>
    <row r="224" spans="2:7" ht="14.45" customHeight="1" x14ac:dyDescent="0.2">
      <c r="B224" s="174" t="s">
        <v>2540</v>
      </c>
      <c r="C224" s="176" t="s">
        <v>2528</v>
      </c>
      <c r="D224" s="180" t="s">
        <v>3420</v>
      </c>
      <c r="E224" s="189" t="s">
        <v>1681</v>
      </c>
      <c r="F224" s="190"/>
      <c r="G224" s="142" t="s">
        <v>2139</v>
      </c>
    </row>
    <row r="225" spans="2:7" ht="14.45" customHeight="1" x14ac:dyDescent="0.2">
      <c r="B225" s="174" t="s">
        <v>2540</v>
      </c>
      <c r="C225" s="176" t="s">
        <v>2528</v>
      </c>
      <c r="D225" s="188" t="s">
        <v>3437</v>
      </c>
      <c r="E225" s="191" t="s">
        <v>1682</v>
      </c>
      <c r="F225" s="192"/>
      <c r="G225" s="164" t="s">
        <v>2140</v>
      </c>
    </row>
    <row r="226" spans="2:7" ht="14.45" customHeight="1" x14ac:dyDescent="0.2">
      <c r="B226" s="174" t="s">
        <v>2540</v>
      </c>
      <c r="C226" s="176" t="s">
        <v>2528</v>
      </c>
      <c r="D226" s="179" t="s">
        <v>3437</v>
      </c>
      <c r="E226" s="186" t="s">
        <v>1683</v>
      </c>
      <c r="F226" s="187"/>
      <c r="G226" s="150" t="s">
        <v>1919</v>
      </c>
    </row>
    <row r="227" spans="2:7" ht="14.45" customHeight="1" x14ac:dyDescent="0.2">
      <c r="B227" s="174" t="s">
        <v>2540</v>
      </c>
      <c r="C227" s="176" t="s">
        <v>2528</v>
      </c>
      <c r="D227" s="179" t="s">
        <v>3437</v>
      </c>
      <c r="E227" s="186" t="s">
        <v>1684</v>
      </c>
      <c r="F227" s="187"/>
      <c r="G227" s="150" t="s">
        <v>1920</v>
      </c>
    </row>
    <row r="228" spans="2:7" ht="14.45" customHeight="1" x14ac:dyDescent="0.2">
      <c r="B228" s="174" t="s">
        <v>2540</v>
      </c>
      <c r="C228" s="176" t="s">
        <v>2528</v>
      </c>
      <c r="D228" s="179" t="s">
        <v>3437</v>
      </c>
      <c r="E228" s="186" t="s">
        <v>1685</v>
      </c>
      <c r="F228" s="187"/>
      <c r="G228" s="150" t="s">
        <v>1921</v>
      </c>
    </row>
    <row r="229" spans="2:7" ht="14.45" customHeight="1" x14ac:dyDescent="0.2">
      <c r="B229" s="174" t="s">
        <v>2540</v>
      </c>
      <c r="C229" s="176" t="s">
        <v>2528</v>
      </c>
      <c r="D229" s="179" t="s">
        <v>3437</v>
      </c>
      <c r="E229" s="186" t="s">
        <v>1686</v>
      </c>
      <c r="F229" s="187"/>
      <c r="G229" s="150" t="s">
        <v>1922</v>
      </c>
    </row>
    <row r="230" spans="2:7" ht="14.45" customHeight="1" x14ac:dyDescent="0.2">
      <c r="B230" s="174" t="s">
        <v>2540</v>
      </c>
      <c r="C230" s="176" t="s">
        <v>2528</v>
      </c>
      <c r="D230" s="179" t="s">
        <v>3437</v>
      </c>
      <c r="E230" s="186" t="s">
        <v>1687</v>
      </c>
      <c r="F230" s="187"/>
      <c r="G230" s="150" t="s">
        <v>1923</v>
      </c>
    </row>
    <row r="231" spans="2:7" ht="14.45" customHeight="1" x14ac:dyDescent="0.2">
      <c r="B231" s="174" t="s">
        <v>2540</v>
      </c>
      <c r="C231" s="176" t="s">
        <v>2528</v>
      </c>
      <c r="D231" s="180" t="s">
        <v>3437</v>
      </c>
      <c r="E231" s="189" t="s">
        <v>1688</v>
      </c>
      <c r="F231" s="190"/>
      <c r="G231" s="142" t="s">
        <v>1924</v>
      </c>
    </row>
    <row r="232" spans="2:7" ht="14.45" customHeight="1" x14ac:dyDescent="0.2">
      <c r="B232" s="174" t="s">
        <v>2540</v>
      </c>
      <c r="C232" s="176" t="s">
        <v>2528</v>
      </c>
      <c r="D232" s="188" t="s">
        <v>3425</v>
      </c>
      <c r="E232" s="191" t="s">
        <v>1689</v>
      </c>
      <c r="F232" s="192"/>
      <c r="G232" s="164" t="s">
        <v>1925</v>
      </c>
    </row>
    <row r="233" spans="2:7" ht="14.45" customHeight="1" x14ac:dyDescent="0.2">
      <c r="B233" s="174" t="s">
        <v>2540</v>
      </c>
      <c r="C233" s="176" t="s">
        <v>2528</v>
      </c>
      <c r="D233" s="179" t="s">
        <v>3425</v>
      </c>
      <c r="E233" s="186" t="s">
        <v>1690</v>
      </c>
      <c r="F233" s="187"/>
      <c r="G233" s="150" t="s">
        <v>1926</v>
      </c>
    </row>
    <row r="234" spans="2:7" ht="14.45" customHeight="1" x14ac:dyDescent="0.2">
      <c r="B234" s="174" t="s">
        <v>2540</v>
      </c>
      <c r="C234" s="176" t="s">
        <v>2528</v>
      </c>
      <c r="D234" s="179" t="s">
        <v>3425</v>
      </c>
      <c r="E234" s="186" t="s">
        <v>1691</v>
      </c>
      <c r="F234" s="187"/>
      <c r="G234" s="150" t="s">
        <v>1927</v>
      </c>
    </row>
    <row r="235" spans="2:7" ht="14.45" customHeight="1" x14ac:dyDescent="0.2">
      <c r="B235" s="174" t="s">
        <v>2540</v>
      </c>
      <c r="C235" s="176" t="s">
        <v>2528</v>
      </c>
      <c r="D235" s="179" t="s">
        <v>3425</v>
      </c>
      <c r="E235" s="186" t="s">
        <v>1692</v>
      </c>
      <c r="F235" s="187"/>
      <c r="G235" s="150" t="s">
        <v>1928</v>
      </c>
    </row>
    <row r="236" spans="2:7" ht="14.45" customHeight="1" x14ac:dyDescent="0.2">
      <c r="B236" s="174" t="s">
        <v>2540</v>
      </c>
      <c r="C236" s="176" t="s">
        <v>2528</v>
      </c>
      <c r="D236" s="179" t="s">
        <v>3425</v>
      </c>
      <c r="E236" s="186" t="s">
        <v>3400</v>
      </c>
      <c r="F236" s="187"/>
      <c r="G236" s="150" t="s">
        <v>3401</v>
      </c>
    </row>
    <row r="237" spans="2:7" ht="14.45" customHeight="1" x14ac:dyDescent="0.2">
      <c r="B237" s="174" t="s">
        <v>2540</v>
      </c>
      <c r="C237" s="176" t="s">
        <v>2528</v>
      </c>
      <c r="D237" s="179" t="s">
        <v>3425</v>
      </c>
      <c r="E237" s="186" t="s">
        <v>1644</v>
      </c>
      <c r="F237" s="187"/>
      <c r="G237" s="150" t="s">
        <v>1929</v>
      </c>
    </row>
    <row r="238" spans="2:7" ht="14.45" customHeight="1" x14ac:dyDescent="0.2">
      <c r="B238" s="174" t="s">
        <v>2540</v>
      </c>
      <c r="C238" s="176" t="s">
        <v>2528</v>
      </c>
      <c r="D238" s="179" t="s">
        <v>3425</v>
      </c>
      <c r="E238" s="186" t="s">
        <v>1693</v>
      </c>
      <c r="F238" s="187"/>
      <c r="G238" s="150" t="s">
        <v>1930</v>
      </c>
    </row>
    <row r="239" spans="2:7" ht="14.45" customHeight="1" x14ac:dyDescent="0.2">
      <c r="B239" s="174" t="s">
        <v>2540</v>
      </c>
      <c r="C239" s="176" t="s">
        <v>2528</v>
      </c>
      <c r="D239" s="179" t="s">
        <v>3425</v>
      </c>
      <c r="E239" s="186" t="s">
        <v>1694</v>
      </c>
      <c r="F239" s="187"/>
      <c r="G239" s="150" t="s">
        <v>1931</v>
      </c>
    </row>
    <row r="240" spans="2:7" ht="14.45" customHeight="1" x14ac:dyDescent="0.2">
      <c r="B240" s="174" t="s">
        <v>2540</v>
      </c>
      <c r="C240" s="176" t="s">
        <v>2528</v>
      </c>
      <c r="D240" s="180" t="s">
        <v>3425</v>
      </c>
      <c r="E240" s="189" t="s">
        <v>1695</v>
      </c>
      <c r="F240" s="190"/>
      <c r="G240" s="142" t="s">
        <v>1932</v>
      </c>
    </row>
    <row r="241" spans="2:7" ht="14.45" customHeight="1" x14ac:dyDescent="0.2">
      <c r="B241" s="174" t="s">
        <v>2540</v>
      </c>
      <c r="C241" s="176" t="s">
        <v>2528</v>
      </c>
      <c r="D241" s="188" t="s">
        <v>3427</v>
      </c>
      <c r="E241" s="191" t="s">
        <v>1632</v>
      </c>
      <c r="F241" s="192"/>
      <c r="G241" s="164" t="s">
        <v>1934</v>
      </c>
    </row>
    <row r="242" spans="2:7" ht="14.45" customHeight="1" x14ac:dyDescent="0.2">
      <c r="B242" s="174" t="s">
        <v>2540</v>
      </c>
      <c r="C242" s="176" t="s">
        <v>2528</v>
      </c>
      <c r="D242" s="179" t="s">
        <v>3427</v>
      </c>
      <c r="E242" s="186" t="s">
        <v>1696</v>
      </c>
      <c r="F242" s="187"/>
      <c r="G242" s="150" t="s">
        <v>1935</v>
      </c>
    </row>
    <row r="243" spans="2:7" ht="14.45" customHeight="1" x14ac:dyDescent="0.2">
      <c r="B243" s="174" t="s">
        <v>2540</v>
      </c>
      <c r="C243" s="176" t="s">
        <v>2528</v>
      </c>
      <c r="D243" s="179" t="s">
        <v>3427</v>
      </c>
      <c r="E243" s="186" t="s">
        <v>1938</v>
      </c>
      <c r="F243" s="187"/>
      <c r="G243" s="150" t="s">
        <v>1936</v>
      </c>
    </row>
    <row r="244" spans="2:7" ht="14.45" customHeight="1" x14ac:dyDescent="0.2">
      <c r="B244" s="174" t="s">
        <v>2540</v>
      </c>
      <c r="C244" s="176" t="s">
        <v>2528</v>
      </c>
      <c r="D244" s="179" t="s">
        <v>3427</v>
      </c>
      <c r="E244" s="186" t="s">
        <v>1939</v>
      </c>
      <c r="F244" s="187"/>
      <c r="G244" s="150" t="s">
        <v>1937</v>
      </c>
    </row>
    <row r="245" spans="2:7" ht="14.45" customHeight="1" x14ac:dyDescent="0.2">
      <c r="B245" s="174" t="s">
        <v>2540</v>
      </c>
      <c r="C245" s="176" t="s">
        <v>2528</v>
      </c>
      <c r="D245" s="179" t="s">
        <v>3427</v>
      </c>
      <c r="E245" s="186" t="s">
        <v>1940</v>
      </c>
      <c r="F245" s="187"/>
      <c r="G245" s="150" t="s">
        <v>1944</v>
      </c>
    </row>
    <row r="246" spans="2:7" ht="14.45" customHeight="1" x14ac:dyDescent="0.2">
      <c r="B246" s="174" t="s">
        <v>2540</v>
      </c>
      <c r="C246" s="176" t="s">
        <v>2528</v>
      </c>
      <c r="D246" s="179" t="s">
        <v>3427</v>
      </c>
      <c r="E246" s="186" t="s">
        <v>1941</v>
      </c>
      <c r="F246" s="187"/>
      <c r="G246" s="150" t="s">
        <v>1945</v>
      </c>
    </row>
    <row r="247" spans="2:7" ht="14.45" customHeight="1" x14ac:dyDescent="0.2">
      <c r="B247" s="174" t="s">
        <v>2540</v>
      </c>
      <c r="C247" s="176" t="s">
        <v>2528</v>
      </c>
      <c r="D247" s="179" t="s">
        <v>3427</v>
      </c>
      <c r="E247" s="186" t="s">
        <v>1942</v>
      </c>
      <c r="F247" s="187"/>
      <c r="G247" s="150" t="s">
        <v>1946</v>
      </c>
    </row>
    <row r="248" spans="2:7" ht="14.45" customHeight="1" x14ac:dyDescent="0.2">
      <c r="B248" s="174" t="s">
        <v>2540</v>
      </c>
      <c r="C248" s="176" t="s">
        <v>2528</v>
      </c>
      <c r="D248" s="180" t="s">
        <v>3427</v>
      </c>
      <c r="E248" s="189" t="s">
        <v>1943</v>
      </c>
      <c r="F248" s="190"/>
      <c r="G248" s="142" t="s">
        <v>1947</v>
      </c>
    </row>
    <row r="249" spans="2:7" ht="14.45" customHeight="1" x14ac:dyDescent="0.2">
      <c r="B249" s="174" t="s">
        <v>2540</v>
      </c>
      <c r="C249" s="176" t="s">
        <v>2528</v>
      </c>
      <c r="D249" s="188" t="s">
        <v>3431</v>
      </c>
      <c r="E249" s="191" t="s">
        <v>1675</v>
      </c>
      <c r="F249" s="192"/>
      <c r="G249" s="164" t="s">
        <v>1933</v>
      </c>
    </row>
    <row r="250" spans="2:7" ht="14.45" customHeight="1" x14ac:dyDescent="0.2">
      <c r="B250" s="174" t="s">
        <v>2540</v>
      </c>
      <c r="C250" s="176" t="s">
        <v>2528</v>
      </c>
      <c r="D250" s="179" t="s">
        <v>3431</v>
      </c>
      <c r="E250" s="186" t="s">
        <v>1697</v>
      </c>
      <c r="F250" s="187"/>
      <c r="G250" s="150" t="s">
        <v>1713</v>
      </c>
    </row>
    <row r="251" spans="2:7" ht="14.45" customHeight="1" x14ac:dyDescent="0.2">
      <c r="B251" s="174" t="s">
        <v>2540</v>
      </c>
      <c r="C251" s="176" t="s">
        <v>2528</v>
      </c>
      <c r="D251" s="179" t="s">
        <v>3431</v>
      </c>
      <c r="E251" s="186" t="s">
        <v>1949</v>
      </c>
      <c r="F251" s="187"/>
      <c r="G251" s="150" t="s">
        <v>1948</v>
      </c>
    </row>
    <row r="252" spans="2:7" ht="14.45" customHeight="1" x14ac:dyDescent="0.2">
      <c r="B252" s="174" t="s">
        <v>2540</v>
      </c>
      <c r="C252" s="176" t="s">
        <v>2528</v>
      </c>
      <c r="D252" s="179" t="s">
        <v>3431</v>
      </c>
      <c r="E252" s="186" t="s">
        <v>1698</v>
      </c>
      <c r="F252" s="187"/>
      <c r="G252" s="150" t="s">
        <v>1950</v>
      </c>
    </row>
    <row r="253" spans="2:7" ht="14.45" customHeight="1" x14ac:dyDescent="0.2">
      <c r="B253" s="174" t="s">
        <v>2540</v>
      </c>
      <c r="C253" s="176" t="s">
        <v>2528</v>
      </c>
      <c r="D253" s="179" t="s">
        <v>3431</v>
      </c>
      <c r="E253" s="186" t="s">
        <v>1699</v>
      </c>
      <c r="F253" s="187"/>
      <c r="G253" s="150" t="s">
        <v>1951</v>
      </c>
    </row>
    <row r="254" spans="2:7" ht="14.45" customHeight="1" x14ac:dyDescent="0.2">
      <c r="B254" s="174" t="s">
        <v>2540</v>
      </c>
      <c r="C254" s="176" t="s">
        <v>2528</v>
      </c>
      <c r="D254" s="179" t="s">
        <v>3431</v>
      </c>
      <c r="E254" s="186" t="s">
        <v>1687</v>
      </c>
      <c r="F254" s="187"/>
      <c r="G254" s="150" t="s">
        <v>1952</v>
      </c>
    </row>
    <row r="255" spans="2:7" ht="14.45" customHeight="1" x14ac:dyDescent="0.2">
      <c r="B255" s="174" t="s">
        <v>2540</v>
      </c>
      <c r="C255" s="176" t="s">
        <v>2528</v>
      </c>
      <c r="D255" s="179" t="s">
        <v>3431</v>
      </c>
      <c r="E255" s="186" t="s">
        <v>3399</v>
      </c>
      <c r="F255" s="187"/>
      <c r="G255" s="150" t="s">
        <v>3398</v>
      </c>
    </row>
    <row r="256" spans="2:7" ht="14.45" customHeight="1" x14ac:dyDescent="0.2">
      <c r="B256" s="174" t="s">
        <v>2540</v>
      </c>
      <c r="C256" s="176" t="s">
        <v>2528</v>
      </c>
      <c r="D256" s="179" t="s">
        <v>3431</v>
      </c>
      <c r="E256" s="186" t="s">
        <v>1700</v>
      </c>
      <c r="F256" s="187"/>
      <c r="G256" s="150" t="s">
        <v>1953</v>
      </c>
    </row>
    <row r="257" spans="2:7" ht="14.45" customHeight="1" x14ac:dyDescent="0.2">
      <c r="B257" s="174" t="s">
        <v>2540</v>
      </c>
      <c r="C257" s="176" t="s">
        <v>2528</v>
      </c>
      <c r="D257" s="179" t="s">
        <v>3431</v>
      </c>
      <c r="E257" s="186" t="s">
        <v>1701</v>
      </c>
      <c r="F257" s="187"/>
      <c r="G257" s="150" t="s">
        <v>1954</v>
      </c>
    </row>
    <row r="258" spans="2:7" ht="14.45" customHeight="1" x14ac:dyDescent="0.2">
      <c r="B258" s="174" t="s">
        <v>2540</v>
      </c>
      <c r="C258" s="176" t="s">
        <v>2528</v>
      </c>
      <c r="D258" s="180" t="s">
        <v>3431</v>
      </c>
      <c r="E258" s="189" t="s">
        <v>1702</v>
      </c>
      <c r="F258" s="190"/>
      <c r="G258" s="142" t="s">
        <v>1955</v>
      </c>
    </row>
    <row r="259" spans="2:7" ht="14.45" customHeight="1" x14ac:dyDescent="0.2">
      <c r="B259" s="174" t="s">
        <v>2540</v>
      </c>
      <c r="C259" s="176" t="s">
        <v>2528</v>
      </c>
      <c r="D259" s="83" t="s">
        <v>3421</v>
      </c>
      <c r="E259" s="191" t="s">
        <v>1703</v>
      </c>
      <c r="F259" s="192"/>
      <c r="G259" s="164" t="s">
        <v>2141</v>
      </c>
    </row>
    <row r="260" spans="2:7" ht="14.45" customHeight="1" x14ac:dyDescent="0.2">
      <c r="B260" s="174" t="s">
        <v>2540</v>
      </c>
      <c r="C260" s="176" t="s">
        <v>2528</v>
      </c>
      <c r="D260" s="198" t="s">
        <v>3421</v>
      </c>
      <c r="E260" s="186" t="s">
        <v>1704</v>
      </c>
      <c r="F260" s="187"/>
      <c r="G260" s="150" t="s">
        <v>1956</v>
      </c>
    </row>
    <row r="261" spans="2:7" ht="14.45" customHeight="1" x14ac:dyDescent="0.2">
      <c r="B261" s="174" t="s">
        <v>2540</v>
      </c>
      <c r="C261" s="176" t="s">
        <v>2528</v>
      </c>
      <c r="D261" s="198" t="s">
        <v>3421</v>
      </c>
      <c r="E261" s="186" t="s">
        <v>1959</v>
      </c>
      <c r="F261" s="187"/>
      <c r="G261" s="150" t="s">
        <v>1958</v>
      </c>
    </row>
    <row r="262" spans="2:7" ht="14.45" customHeight="1" x14ac:dyDescent="0.2">
      <c r="B262" s="174" t="s">
        <v>2540</v>
      </c>
      <c r="C262" s="176" t="s">
        <v>2528</v>
      </c>
      <c r="D262" s="198" t="s">
        <v>3421</v>
      </c>
      <c r="E262" s="186" t="s">
        <v>1676</v>
      </c>
      <c r="F262" s="187"/>
      <c r="G262" s="150" t="s">
        <v>1960</v>
      </c>
    </row>
    <row r="263" spans="2:7" ht="14.45" customHeight="1" x14ac:dyDescent="0.2">
      <c r="B263" s="174" t="s">
        <v>2540</v>
      </c>
      <c r="C263" s="176" t="s">
        <v>2528</v>
      </c>
      <c r="D263" s="198" t="s">
        <v>3421</v>
      </c>
      <c r="E263" s="186" t="s">
        <v>1677</v>
      </c>
      <c r="F263" s="187"/>
      <c r="G263" s="150" t="s">
        <v>1961</v>
      </c>
    </row>
    <row r="264" spans="2:7" ht="14.45" customHeight="1" x14ac:dyDescent="0.2">
      <c r="B264" s="174" t="s">
        <v>2540</v>
      </c>
      <c r="C264" s="176" t="s">
        <v>2528</v>
      </c>
      <c r="D264" s="198" t="s">
        <v>3421</v>
      </c>
      <c r="E264" s="186" t="s">
        <v>1705</v>
      </c>
      <c r="F264" s="187"/>
      <c r="G264" s="150" t="s">
        <v>1957</v>
      </c>
    </row>
    <row r="265" spans="2:7" ht="14.45" customHeight="1" x14ac:dyDescent="0.2">
      <c r="B265" s="174" t="s">
        <v>2540</v>
      </c>
      <c r="C265" s="176" t="s">
        <v>2528</v>
      </c>
      <c r="D265" s="198" t="s">
        <v>3421</v>
      </c>
      <c r="E265" s="186" t="s">
        <v>1706</v>
      </c>
      <c r="F265" s="187"/>
      <c r="G265" s="150" t="s">
        <v>1962</v>
      </c>
    </row>
    <row r="266" spans="2:7" ht="14.45" customHeight="1" x14ac:dyDescent="0.2">
      <c r="B266" s="174" t="s">
        <v>2540</v>
      </c>
      <c r="C266" s="176" t="s">
        <v>2528</v>
      </c>
      <c r="D266" s="198" t="s">
        <v>3421</v>
      </c>
      <c r="E266" s="186" t="s">
        <v>1707</v>
      </c>
      <c r="F266" s="187"/>
      <c r="G266" s="150" t="s">
        <v>2142</v>
      </c>
    </row>
    <row r="267" spans="2:7" ht="14.45" customHeight="1" x14ac:dyDescent="0.2">
      <c r="B267" s="174" t="s">
        <v>2540</v>
      </c>
      <c r="C267" s="176" t="s">
        <v>2528</v>
      </c>
      <c r="D267" s="198" t="s">
        <v>3421</v>
      </c>
      <c r="E267" s="186" t="s">
        <v>1964</v>
      </c>
      <c r="F267" s="187"/>
      <c r="G267" s="150" t="s">
        <v>1963</v>
      </c>
    </row>
    <row r="268" spans="2:7" ht="14.45" customHeight="1" x14ac:dyDescent="0.2">
      <c r="B268" s="174" t="s">
        <v>2540</v>
      </c>
      <c r="C268" s="176" t="s">
        <v>2528</v>
      </c>
      <c r="D268" s="198" t="s">
        <v>3421</v>
      </c>
      <c r="E268" s="186" t="s">
        <v>1708</v>
      </c>
      <c r="F268" s="187"/>
      <c r="G268" s="150" t="s">
        <v>1965</v>
      </c>
    </row>
    <row r="269" spans="2:7" ht="14.45" customHeight="1" x14ac:dyDescent="0.2">
      <c r="B269" s="174" t="s">
        <v>2540</v>
      </c>
      <c r="C269" s="176" t="s">
        <v>2528</v>
      </c>
      <c r="D269" s="198" t="s">
        <v>3421</v>
      </c>
      <c r="E269" s="186" t="s">
        <v>1709</v>
      </c>
      <c r="F269" s="187"/>
      <c r="G269" s="150" t="s">
        <v>1966</v>
      </c>
    </row>
    <row r="270" spans="2:7" ht="14.45" customHeight="1" x14ac:dyDescent="0.2">
      <c r="B270" s="174" t="s">
        <v>2540</v>
      </c>
      <c r="C270" s="176" t="s">
        <v>2528</v>
      </c>
      <c r="D270" s="198" t="s">
        <v>3421</v>
      </c>
      <c r="E270" s="186" t="s">
        <v>1710</v>
      </c>
      <c r="F270" s="187"/>
      <c r="G270" s="150" t="s">
        <v>2163</v>
      </c>
    </row>
    <row r="271" spans="2:7" ht="14.45" customHeight="1" x14ac:dyDescent="0.2">
      <c r="B271" s="174" t="s">
        <v>2540</v>
      </c>
      <c r="C271" s="176" t="s">
        <v>2528</v>
      </c>
      <c r="D271" s="198" t="s">
        <v>3421</v>
      </c>
      <c r="E271" s="186" t="s">
        <v>1711</v>
      </c>
      <c r="F271" s="187"/>
      <c r="G271" s="150" t="s">
        <v>1967</v>
      </c>
    </row>
    <row r="272" spans="2:7" ht="14.45" customHeight="1" x14ac:dyDescent="0.2">
      <c r="B272" s="174" t="s">
        <v>2540</v>
      </c>
      <c r="C272" s="176" t="s">
        <v>2528</v>
      </c>
      <c r="D272" s="198" t="s">
        <v>3421</v>
      </c>
      <c r="E272" s="186" t="s">
        <v>1712</v>
      </c>
      <c r="F272" s="187"/>
      <c r="G272" s="150" t="s">
        <v>1968</v>
      </c>
    </row>
    <row r="273" spans="2:7" ht="14.45" customHeight="1" thickBot="1" x14ac:dyDescent="0.25">
      <c r="B273" s="175" t="s">
        <v>2540</v>
      </c>
      <c r="C273" s="177" t="s">
        <v>2528</v>
      </c>
      <c r="D273" s="199" t="s">
        <v>3421</v>
      </c>
      <c r="E273" s="189" t="s">
        <v>1969</v>
      </c>
      <c r="F273" s="190"/>
      <c r="G273" s="142" t="s">
        <v>1970</v>
      </c>
    </row>
    <row r="274" spans="2:7" ht="14.45" customHeight="1" x14ac:dyDescent="0.2">
      <c r="B274" s="173" t="s">
        <v>2603</v>
      </c>
      <c r="C274" s="171" t="s">
        <v>2531</v>
      </c>
      <c r="D274" s="178" t="s">
        <v>3499</v>
      </c>
      <c r="E274" s="184" t="s">
        <v>1715</v>
      </c>
      <c r="F274" s="185"/>
      <c r="G274" s="163" t="s">
        <v>1971</v>
      </c>
    </row>
    <row r="275" spans="2:7" ht="14.45" customHeight="1" x14ac:dyDescent="0.2">
      <c r="B275" s="174" t="s">
        <v>2541</v>
      </c>
      <c r="C275" s="176" t="s">
        <v>2530</v>
      </c>
      <c r="D275" s="179" t="s">
        <v>3499</v>
      </c>
      <c r="E275" s="186" t="s">
        <v>1716</v>
      </c>
      <c r="F275" s="187"/>
      <c r="G275" s="150" t="s">
        <v>1972</v>
      </c>
    </row>
    <row r="276" spans="2:7" ht="14.45" customHeight="1" x14ac:dyDescent="0.2">
      <c r="B276" s="174" t="s">
        <v>2541</v>
      </c>
      <c r="C276" s="176" t="s">
        <v>2530</v>
      </c>
      <c r="D276" s="179" t="s">
        <v>3499</v>
      </c>
      <c r="E276" s="186" t="s">
        <v>1717</v>
      </c>
      <c r="F276" s="187"/>
      <c r="G276" s="150" t="s">
        <v>1973</v>
      </c>
    </row>
    <row r="277" spans="2:7" ht="14.45" customHeight="1" x14ac:dyDescent="0.2">
      <c r="B277" s="174" t="s">
        <v>2541</v>
      </c>
      <c r="C277" s="176" t="s">
        <v>2530</v>
      </c>
      <c r="D277" s="179" t="s">
        <v>3499</v>
      </c>
      <c r="E277" s="186" t="s">
        <v>1718</v>
      </c>
      <c r="F277" s="187"/>
      <c r="G277" s="150" t="s">
        <v>1974</v>
      </c>
    </row>
    <row r="278" spans="2:7" ht="14.45" customHeight="1" x14ac:dyDescent="0.2">
      <c r="B278" s="174" t="s">
        <v>2541</v>
      </c>
      <c r="C278" s="176" t="s">
        <v>2530</v>
      </c>
      <c r="D278" s="179" t="s">
        <v>3499</v>
      </c>
      <c r="E278" s="186" t="s">
        <v>1719</v>
      </c>
      <c r="F278" s="187"/>
      <c r="G278" s="150" t="s">
        <v>1975</v>
      </c>
    </row>
    <row r="279" spans="2:7" ht="14.45" customHeight="1" x14ac:dyDescent="0.2">
      <c r="B279" s="174" t="s">
        <v>2541</v>
      </c>
      <c r="C279" s="176" t="s">
        <v>2530</v>
      </c>
      <c r="D279" s="179" t="s">
        <v>3499</v>
      </c>
      <c r="E279" s="186" t="s">
        <v>1720</v>
      </c>
      <c r="F279" s="187"/>
      <c r="G279" s="150" t="s">
        <v>1976</v>
      </c>
    </row>
    <row r="280" spans="2:7" ht="14.45" customHeight="1" x14ac:dyDescent="0.2">
      <c r="B280" s="174" t="s">
        <v>2541</v>
      </c>
      <c r="C280" s="176" t="s">
        <v>2530</v>
      </c>
      <c r="D280" s="179" t="s">
        <v>3499</v>
      </c>
      <c r="E280" s="186" t="s">
        <v>1721</v>
      </c>
      <c r="F280" s="187"/>
      <c r="G280" s="150" t="s">
        <v>1977</v>
      </c>
    </row>
    <row r="281" spans="2:7" ht="14.45" customHeight="1" x14ac:dyDescent="0.2">
      <c r="B281" s="174" t="s">
        <v>2541</v>
      </c>
      <c r="C281" s="176" t="s">
        <v>2530</v>
      </c>
      <c r="D281" s="180" t="s">
        <v>3499</v>
      </c>
      <c r="E281" s="189" t="s">
        <v>1722</v>
      </c>
      <c r="F281" s="190"/>
      <c r="G281" s="142" t="s">
        <v>1978</v>
      </c>
    </row>
    <row r="282" spans="2:7" ht="14.45" customHeight="1" x14ac:dyDescent="0.2">
      <c r="B282" s="174" t="s">
        <v>2541</v>
      </c>
      <c r="C282" s="176" t="s">
        <v>2530</v>
      </c>
      <c r="D282" s="188" t="s">
        <v>3500</v>
      </c>
      <c r="E282" s="191" t="s">
        <v>1723</v>
      </c>
      <c r="F282" s="192"/>
      <c r="G282" s="164" t="s">
        <v>1979</v>
      </c>
    </row>
    <row r="283" spans="2:7" ht="14.45" customHeight="1" thickBot="1" x14ac:dyDescent="0.25">
      <c r="B283" s="174" t="s">
        <v>2541</v>
      </c>
      <c r="C283" s="177" t="s">
        <v>2530</v>
      </c>
      <c r="D283" s="179" t="s">
        <v>3500</v>
      </c>
      <c r="E283" s="189" t="s">
        <v>1724</v>
      </c>
      <c r="F283" s="190"/>
      <c r="G283" s="142" t="s">
        <v>1980</v>
      </c>
    </row>
    <row r="284" spans="2:7" ht="14.45" customHeight="1" x14ac:dyDescent="0.2">
      <c r="B284" s="174" t="s">
        <v>2541</v>
      </c>
      <c r="C284" s="171" t="s">
        <v>2546</v>
      </c>
      <c r="D284" s="178" t="s">
        <v>3438</v>
      </c>
      <c r="E284" s="184" t="s">
        <v>1716</v>
      </c>
      <c r="F284" s="185"/>
      <c r="G284" s="163" t="s">
        <v>1981</v>
      </c>
    </row>
    <row r="285" spans="2:7" ht="14.45" customHeight="1" x14ac:dyDescent="0.2">
      <c r="B285" s="174" t="s">
        <v>2541</v>
      </c>
      <c r="C285" s="176" t="s">
        <v>2545</v>
      </c>
      <c r="D285" s="179" t="s">
        <v>3438</v>
      </c>
      <c r="E285" s="186" t="s">
        <v>1725</v>
      </c>
      <c r="F285" s="187"/>
      <c r="G285" s="150" t="s">
        <v>1982</v>
      </c>
    </row>
    <row r="286" spans="2:7" ht="14.45" customHeight="1" x14ac:dyDescent="0.2">
      <c r="B286" s="174" t="s">
        <v>2541</v>
      </c>
      <c r="C286" s="176" t="s">
        <v>2545</v>
      </c>
      <c r="D286" s="180" t="s">
        <v>3438</v>
      </c>
      <c r="E286" s="189" t="s">
        <v>1726</v>
      </c>
      <c r="F286" s="190"/>
      <c r="G286" s="142" t="s">
        <v>1983</v>
      </c>
    </row>
    <row r="287" spans="2:7" ht="14.45" customHeight="1" x14ac:dyDescent="0.2">
      <c r="B287" s="174" t="s">
        <v>2541</v>
      </c>
      <c r="C287" s="176" t="s">
        <v>2545</v>
      </c>
      <c r="D287" s="188" t="s">
        <v>3441</v>
      </c>
      <c r="E287" s="191" t="s">
        <v>1717</v>
      </c>
      <c r="F287" s="192"/>
      <c r="G287" s="164" t="s">
        <v>1984</v>
      </c>
    </row>
    <row r="288" spans="2:7" ht="14.45" customHeight="1" x14ac:dyDescent="0.2">
      <c r="B288" s="174" t="s">
        <v>2541</v>
      </c>
      <c r="C288" s="176" t="s">
        <v>2545</v>
      </c>
      <c r="D288" s="180" t="s">
        <v>3441</v>
      </c>
      <c r="E288" s="189" t="s">
        <v>1718</v>
      </c>
      <c r="F288" s="190"/>
      <c r="G288" s="142" t="s">
        <v>1985</v>
      </c>
    </row>
    <row r="289" spans="2:7" ht="14.45" customHeight="1" x14ac:dyDescent="0.2">
      <c r="B289" s="174" t="s">
        <v>2541</v>
      </c>
      <c r="C289" s="176" t="s">
        <v>2545</v>
      </c>
      <c r="D289" s="188" t="s">
        <v>3440</v>
      </c>
      <c r="E289" s="191" t="s">
        <v>1727</v>
      </c>
      <c r="F289" s="192"/>
      <c r="G289" s="164" t="s">
        <v>1986</v>
      </c>
    </row>
    <row r="290" spans="2:7" ht="14.45" customHeight="1" x14ac:dyDescent="0.2">
      <c r="B290" s="174" t="s">
        <v>2541</v>
      </c>
      <c r="C290" s="176" t="s">
        <v>2545</v>
      </c>
      <c r="D290" s="179" t="s">
        <v>3440</v>
      </c>
      <c r="E290" s="186" t="s">
        <v>1728</v>
      </c>
      <c r="F290" s="187"/>
      <c r="G290" s="150" t="s">
        <v>1987</v>
      </c>
    </row>
    <row r="291" spans="2:7" ht="14.45" customHeight="1" thickBot="1" x14ac:dyDescent="0.25">
      <c r="B291" s="174" t="s">
        <v>2541</v>
      </c>
      <c r="C291" s="176" t="s">
        <v>2545</v>
      </c>
      <c r="D291" s="179" t="s">
        <v>3440</v>
      </c>
      <c r="E291" s="189" t="s">
        <v>1732</v>
      </c>
      <c r="F291" s="190"/>
      <c r="G291" s="142" t="s">
        <v>1988</v>
      </c>
    </row>
    <row r="292" spans="2:7" ht="14.45" customHeight="1" x14ac:dyDescent="0.2">
      <c r="B292" s="174" t="s">
        <v>2541</v>
      </c>
      <c r="C292" s="171" t="s">
        <v>2548</v>
      </c>
      <c r="D292" s="178" t="s">
        <v>3485</v>
      </c>
      <c r="E292" s="184" t="s">
        <v>239</v>
      </c>
      <c r="F292" s="185"/>
      <c r="G292" s="163" t="s">
        <v>1989</v>
      </c>
    </row>
    <row r="293" spans="2:7" ht="14.45" customHeight="1" x14ac:dyDescent="0.2">
      <c r="B293" s="174" t="s">
        <v>2541</v>
      </c>
      <c r="C293" s="176" t="s">
        <v>2547</v>
      </c>
      <c r="D293" s="179" t="s">
        <v>3485</v>
      </c>
      <c r="E293" s="186" t="s">
        <v>1991</v>
      </c>
      <c r="F293" s="187"/>
      <c r="G293" s="150" t="s">
        <v>1990</v>
      </c>
    </row>
    <row r="294" spans="2:7" ht="14.45" customHeight="1" x14ac:dyDescent="0.2">
      <c r="B294" s="174" t="s">
        <v>2541</v>
      </c>
      <c r="C294" s="176" t="s">
        <v>2547</v>
      </c>
      <c r="D294" s="179" t="s">
        <v>3485</v>
      </c>
      <c r="E294" s="186" t="s">
        <v>1992</v>
      </c>
      <c r="F294" s="187"/>
      <c r="G294" s="150" t="s">
        <v>1993</v>
      </c>
    </row>
    <row r="295" spans="2:7" ht="14.45" customHeight="1" x14ac:dyDescent="0.2">
      <c r="B295" s="174" t="s">
        <v>2541</v>
      </c>
      <c r="C295" s="176" t="s">
        <v>2547</v>
      </c>
      <c r="D295" s="179" t="s">
        <v>3485</v>
      </c>
      <c r="E295" s="186" t="s">
        <v>1996</v>
      </c>
      <c r="F295" s="187"/>
      <c r="G295" s="150" t="s">
        <v>1994</v>
      </c>
    </row>
    <row r="296" spans="2:7" ht="14.45" customHeight="1" x14ac:dyDescent="0.2">
      <c r="B296" s="174" t="s">
        <v>2541</v>
      </c>
      <c r="C296" s="176" t="s">
        <v>2547</v>
      </c>
      <c r="D296" s="179" t="s">
        <v>3485</v>
      </c>
      <c r="E296" s="186" t="s">
        <v>1997</v>
      </c>
      <c r="F296" s="187"/>
      <c r="G296" s="150" t="s">
        <v>1995</v>
      </c>
    </row>
    <row r="297" spans="2:7" ht="14.45" customHeight="1" x14ac:dyDescent="0.2">
      <c r="B297" s="174" t="s">
        <v>2541</v>
      </c>
      <c r="C297" s="176" t="s">
        <v>2547</v>
      </c>
      <c r="D297" s="179" t="s">
        <v>3485</v>
      </c>
      <c r="E297" s="186" t="s">
        <v>1734</v>
      </c>
      <c r="F297" s="187"/>
      <c r="G297" s="150" t="s">
        <v>1998</v>
      </c>
    </row>
    <row r="298" spans="2:7" ht="14.45" customHeight="1" x14ac:dyDescent="0.2">
      <c r="B298" s="174" t="s">
        <v>2541</v>
      </c>
      <c r="C298" s="176" t="s">
        <v>2547</v>
      </c>
      <c r="D298" s="179" t="s">
        <v>3485</v>
      </c>
      <c r="E298" s="186" t="s">
        <v>1733</v>
      </c>
      <c r="F298" s="187"/>
      <c r="G298" s="150" t="s">
        <v>1999</v>
      </c>
    </row>
    <row r="299" spans="2:7" ht="14.45" customHeight="1" x14ac:dyDescent="0.2">
      <c r="B299" s="174" t="s">
        <v>2541</v>
      </c>
      <c r="C299" s="176" t="s">
        <v>2547</v>
      </c>
      <c r="D299" s="179" t="s">
        <v>3485</v>
      </c>
      <c r="E299" s="186" t="s">
        <v>1735</v>
      </c>
      <c r="F299" s="187"/>
      <c r="G299" s="150" t="s">
        <v>2000</v>
      </c>
    </row>
    <row r="300" spans="2:7" ht="14.45" customHeight="1" x14ac:dyDescent="0.2">
      <c r="B300" s="174" t="s">
        <v>2541</v>
      </c>
      <c r="C300" s="176" t="s">
        <v>2547</v>
      </c>
      <c r="D300" s="179" t="s">
        <v>3485</v>
      </c>
      <c r="E300" s="186" t="s">
        <v>1736</v>
      </c>
      <c r="F300" s="187"/>
      <c r="G300" s="150" t="s">
        <v>2001</v>
      </c>
    </row>
    <row r="301" spans="2:7" ht="14.45" customHeight="1" x14ac:dyDescent="0.2">
      <c r="B301" s="174" t="s">
        <v>2541</v>
      </c>
      <c r="C301" s="176" t="s">
        <v>2547</v>
      </c>
      <c r="D301" s="179" t="s">
        <v>3485</v>
      </c>
      <c r="E301" s="186" t="s">
        <v>1737</v>
      </c>
      <c r="F301" s="187"/>
      <c r="G301" s="150" t="s">
        <v>2002</v>
      </c>
    </row>
    <row r="302" spans="2:7" ht="14.45" customHeight="1" x14ac:dyDescent="0.2">
      <c r="B302" s="174" t="s">
        <v>2541</v>
      </c>
      <c r="C302" s="176" t="s">
        <v>2547</v>
      </c>
      <c r="D302" s="179" t="s">
        <v>3485</v>
      </c>
      <c r="E302" s="186" t="s">
        <v>1720</v>
      </c>
      <c r="F302" s="187"/>
      <c r="G302" s="150" t="s">
        <v>2003</v>
      </c>
    </row>
    <row r="303" spans="2:7" ht="14.45" customHeight="1" x14ac:dyDescent="0.2">
      <c r="B303" s="174" t="s">
        <v>2541</v>
      </c>
      <c r="C303" s="176" t="s">
        <v>2547</v>
      </c>
      <c r="D303" s="179" t="s">
        <v>3485</v>
      </c>
      <c r="E303" s="186" t="s">
        <v>1738</v>
      </c>
      <c r="F303" s="187"/>
      <c r="G303" s="150" t="s">
        <v>2004</v>
      </c>
    </row>
    <row r="304" spans="2:7" ht="14.45" customHeight="1" x14ac:dyDescent="0.2">
      <c r="B304" s="174" t="s">
        <v>2541</v>
      </c>
      <c r="C304" s="176" t="s">
        <v>2547</v>
      </c>
      <c r="D304" s="179" t="s">
        <v>3485</v>
      </c>
      <c r="E304" s="186" t="s">
        <v>1739</v>
      </c>
      <c r="F304" s="187"/>
      <c r="G304" s="150" t="s">
        <v>2005</v>
      </c>
    </row>
    <row r="305" spans="2:7" ht="14.45" customHeight="1" x14ac:dyDescent="0.2">
      <c r="B305" s="174" t="s">
        <v>2541</v>
      </c>
      <c r="C305" s="176" t="s">
        <v>2547</v>
      </c>
      <c r="D305" s="180" t="s">
        <v>3485</v>
      </c>
      <c r="E305" s="189" t="s">
        <v>1740</v>
      </c>
      <c r="F305" s="190"/>
      <c r="G305" s="142" t="s">
        <v>2006</v>
      </c>
    </row>
    <row r="306" spans="2:7" ht="14.45" customHeight="1" x14ac:dyDescent="0.2">
      <c r="B306" s="174" t="s">
        <v>2541</v>
      </c>
      <c r="C306" s="176" t="s">
        <v>2547</v>
      </c>
      <c r="D306" s="188" t="s">
        <v>3439</v>
      </c>
      <c r="E306" s="191" t="s">
        <v>1738</v>
      </c>
      <c r="F306" s="192"/>
      <c r="G306" s="164" t="s">
        <v>2007</v>
      </c>
    </row>
    <row r="307" spans="2:7" ht="14.45" customHeight="1" x14ac:dyDescent="0.2">
      <c r="B307" s="174" t="s">
        <v>2541</v>
      </c>
      <c r="C307" s="176" t="s">
        <v>2547</v>
      </c>
      <c r="D307" s="179" t="s">
        <v>3439</v>
      </c>
      <c r="E307" s="186" t="s">
        <v>1720</v>
      </c>
      <c r="F307" s="187"/>
      <c r="G307" s="150" t="s">
        <v>2008</v>
      </c>
    </row>
    <row r="308" spans="2:7" ht="14.45" customHeight="1" x14ac:dyDescent="0.2">
      <c r="B308" s="174" t="s">
        <v>2541</v>
      </c>
      <c r="C308" s="176" t="s">
        <v>2547</v>
      </c>
      <c r="D308" s="179" t="s">
        <v>3439</v>
      </c>
      <c r="E308" s="186" t="s">
        <v>1396</v>
      </c>
      <c r="F308" s="187"/>
      <c r="G308" s="150" t="s">
        <v>1742</v>
      </c>
    </row>
    <row r="309" spans="2:7" ht="14.45" customHeight="1" thickBot="1" x14ac:dyDescent="0.25">
      <c r="B309" s="175" t="s">
        <v>2541</v>
      </c>
      <c r="C309" s="177" t="s">
        <v>2547</v>
      </c>
      <c r="D309" s="193" t="s">
        <v>3439</v>
      </c>
      <c r="E309" s="189" t="s">
        <v>1741</v>
      </c>
      <c r="F309" s="190"/>
      <c r="G309" s="142" t="s">
        <v>2009</v>
      </c>
    </row>
    <row r="310" spans="2:7" ht="14.45" customHeight="1" x14ac:dyDescent="0.2">
      <c r="B310" s="173" t="s">
        <v>2604</v>
      </c>
      <c r="C310" s="171" t="s">
        <v>2550</v>
      </c>
      <c r="D310" s="178" t="s">
        <v>3442</v>
      </c>
      <c r="E310" s="184" t="s">
        <v>1760</v>
      </c>
      <c r="F310" s="185"/>
      <c r="G310" s="163" t="s">
        <v>2010</v>
      </c>
    </row>
    <row r="311" spans="2:7" ht="14.45" customHeight="1" x14ac:dyDescent="0.2">
      <c r="B311" s="174" t="s">
        <v>2542</v>
      </c>
      <c r="C311" s="176" t="s">
        <v>2549</v>
      </c>
      <c r="D311" s="179" t="s">
        <v>3442</v>
      </c>
      <c r="E311" s="186" t="s">
        <v>1743</v>
      </c>
      <c r="F311" s="187"/>
      <c r="G311" s="150" t="s">
        <v>2011</v>
      </c>
    </row>
    <row r="312" spans="2:7" ht="14.45" customHeight="1" x14ac:dyDescent="0.2">
      <c r="B312" s="174" t="s">
        <v>2542</v>
      </c>
      <c r="C312" s="176" t="s">
        <v>2549</v>
      </c>
      <c r="D312" s="179" t="s">
        <v>3442</v>
      </c>
      <c r="E312" s="186" t="s">
        <v>1744</v>
      </c>
      <c r="F312" s="187"/>
      <c r="G312" s="150" t="s">
        <v>2012</v>
      </c>
    </row>
    <row r="313" spans="2:7" ht="14.45" customHeight="1" x14ac:dyDescent="0.2">
      <c r="B313" s="174" t="s">
        <v>2542</v>
      </c>
      <c r="C313" s="176" t="s">
        <v>2549</v>
      </c>
      <c r="D313" s="179" t="s">
        <v>3442</v>
      </c>
      <c r="E313" s="186" t="s">
        <v>1745</v>
      </c>
      <c r="F313" s="187"/>
      <c r="G313" s="150" t="s">
        <v>2013</v>
      </c>
    </row>
    <row r="314" spans="2:7" ht="14.45" customHeight="1" x14ac:dyDescent="0.2">
      <c r="B314" s="174" t="s">
        <v>2542</v>
      </c>
      <c r="C314" s="176" t="s">
        <v>2549</v>
      </c>
      <c r="D314" s="179" t="s">
        <v>3442</v>
      </c>
      <c r="E314" s="186" t="s">
        <v>1746</v>
      </c>
      <c r="F314" s="187"/>
      <c r="G314" s="150" t="s">
        <v>2014</v>
      </c>
    </row>
    <row r="315" spans="2:7" ht="14.45" customHeight="1" x14ac:dyDescent="0.2">
      <c r="B315" s="174" t="s">
        <v>2542</v>
      </c>
      <c r="C315" s="176" t="s">
        <v>2549</v>
      </c>
      <c r="D315" s="179" t="s">
        <v>3442</v>
      </c>
      <c r="E315" s="186" t="s">
        <v>1747</v>
      </c>
      <c r="F315" s="187"/>
      <c r="G315" s="150" t="s">
        <v>2015</v>
      </c>
    </row>
    <row r="316" spans="2:7" ht="14.45" customHeight="1" x14ac:dyDescent="0.2">
      <c r="B316" s="174" t="s">
        <v>2542</v>
      </c>
      <c r="C316" s="176" t="s">
        <v>2549</v>
      </c>
      <c r="D316" s="180" t="s">
        <v>3442</v>
      </c>
      <c r="E316" s="189" t="s">
        <v>1748</v>
      </c>
      <c r="F316" s="190"/>
      <c r="G316" s="142" t="s">
        <v>2016</v>
      </c>
    </row>
    <row r="317" spans="2:7" ht="14.45" customHeight="1" x14ac:dyDescent="0.2">
      <c r="B317" s="174" t="s">
        <v>2542</v>
      </c>
      <c r="C317" s="176" t="s">
        <v>2549</v>
      </c>
      <c r="D317" s="188" t="s">
        <v>3444</v>
      </c>
      <c r="E317" s="191" t="s">
        <v>1585</v>
      </c>
      <c r="F317" s="192"/>
      <c r="G317" s="164" t="s">
        <v>2017</v>
      </c>
    </row>
    <row r="318" spans="2:7" ht="14.45" customHeight="1" x14ac:dyDescent="0.2">
      <c r="B318" s="174" t="s">
        <v>2542</v>
      </c>
      <c r="C318" s="176" t="s">
        <v>2549</v>
      </c>
      <c r="D318" s="179" t="s">
        <v>3444</v>
      </c>
      <c r="E318" s="186" t="s">
        <v>1749</v>
      </c>
      <c r="F318" s="187"/>
      <c r="G318" s="150" t="s">
        <v>2143</v>
      </c>
    </row>
    <row r="319" spans="2:7" ht="14.45" customHeight="1" x14ac:dyDescent="0.2">
      <c r="B319" s="174" t="s">
        <v>2542</v>
      </c>
      <c r="C319" s="176" t="s">
        <v>2549</v>
      </c>
      <c r="D319" s="179" t="s">
        <v>3444</v>
      </c>
      <c r="E319" s="186" t="s">
        <v>1750</v>
      </c>
      <c r="F319" s="187"/>
      <c r="G319" s="150" t="s">
        <v>2144</v>
      </c>
    </row>
    <row r="320" spans="2:7" ht="14.45" customHeight="1" x14ac:dyDescent="0.2">
      <c r="B320" s="174" t="s">
        <v>2542</v>
      </c>
      <c r="C320" s="176" t="s">
        <v>2549</v>
      </c>
      <c r="D320" s="179" t="s">
        <v>3444</v>
      </c>
      <c r="E320" s="186" t="s">
        <v>1751</v>
      </c>
      <c r="F320" s="187"/>
      <c r="G320" s="150" t="s">
        <v>2018</v>
      </c>
    </row>
    <row r="321" spans="2:7" ht="14.45" customHeight="1" x14ac:dyDescent="0.2">
      <c r="B321" s="174" t="s">
        <v>2542</v>
      </c>
      <c r="C321" s="176" t="s">
        <v>2549</v>
      </c>
      <c r="D321" s="179" t="s">
        <v>3444</v>
      </c>
      <c r="E321" s="186" t="s">
        <v>1752</v>
      </c>
      <c r="F321" s="187"/>
      <c r="G321" s="150" t="s">
        <v>2019</v>
      </c>
    </row>
    <row r="322" spans="2:7" ht="14.45" customHeight="1" x14ac:dyDescent="0.2">
      <c r="B322" s="174" t="s">
        <v>2542</v>
      </c>
      <c r="C322" s="176" t="s">
        <v>2549</v>
      </c>
      <c r="D322" s="179" t="s">
        <v>3444</v>
      </c>
      <c r="E322" s="186" t="s">
        <v>1753</v>
      </c>
      <c r="F322" s="187"/>
      <c r="G322" s="150" t="s">
        <v>2020</v>
      </c>
    </row>
    <row r="323" spans="2:7" ht="14.45" customHeight="1" x14ac:dyDescent="0.2">
      <c r="B323" s="174" t="s">
        <v>2542</v>
      </c>
      <c r="C323" s="176" t="s">
        <v>2549</v>
      </c>
      <c r="D323" s="179" t="s">
        <v>3444</v>
      </c>
      <c r="E323" s="186" t="s">
        <v>1586</v>
      </c>
      <c r="F323" s="187"/>
      <c r="G323" s="150" t="s">
        <v>2021</v>
      </c>
    </row>
    <row r="324" spans="2:7" ht="14.45" customHeight="1" x14ac:dyDescent="0.2">
      <c r="B324" s="174" t="s">
        <v>2542</v>
      </c>
      <c r="C324" s="176" t="s">
        <v>2549</v>
      </c>
      <c r="D324" s="179" t="s">
        <v>3444</v>
      </c>
      <c r="E324" s="186" t="s">
        <v>1754</v>
      </c>
      <c r="F324" s="187"/>
      <c r="G324" s="150" t="s">
        <v>2022</v>
      </c>
    </row>
    <row r="325" spans="2:7" ht="14.45" customHeight="1" thickBot="1" x14ac:dyDescent="0.25">
      <c r="B325" s="174" t="s">
        <v>2542</v>
      </c>
      <c r="C325" s="176" t="s">
        <v>2549</v>
      </c>
      <c r="D325" s="179" t="s">
        <v>3444</v>
      </c>
      <c r="E325" s="189" t="s">
        <v>1755</v>
      </c>
      <c r="F325" s="190"/>
      <c r="G325" s="142" t="s">
        <v>2023</v>
      </c>
    </row>
    <row r="326" spans="2:7" ht="14.45" customHeight="1" x14ac:dyDescent="0.2">
      <c r="B326" s="174" t="s">
        <v>2542</v>
      </c>
      <c r="C326" s="171" t="s">
        <v>3628</v>
      </c>
      <c r="D326" s="178" t="s">
        <v>3443</v>
      </c>
      <c r="E326" s="184" t="s">
        <v>1759</v>
      </c>
      <c r="F326" s="185"/>
      <c r="G326" s="163" t="s">
        <v>2024</v>
      </c>
    </row>
    <row r="327" spans="2:7" ht="14.45" customHeight="1" x14ac:dyDescent="0.2">
      <c r="B327" s="174" t="s">
        <v>2542</v>
      </c>
      <c r="C327" s="176" t="s">
        <v>3627</v>
      </c>
      <c r="D327" s="179" t="s">
        <v>3443</v>
      </c>
      <c r="E327" s="186" t="s">
        <v>1761</v>
      </c>
      <c r="F327" s="187"/>
      <c r="G327" s="150" t="s">
        <v>1762</v>
      </c>
    </row>
    <row r="328" spans="2:7" ht="14.45" customHeight="1" x14ac:dyDescent="0.2">
      <c r="B328" s="174" t="s">
        <v>2542</v>
      </c>
      <c r="C328" s="176" t="s">
        <v>3627</v>
      </c>
      <c r="D328" s="179" t="s">
        <v>3443</v>
      </c>
      <c r="E328" s="186" t="s">
        <v>1763</v>
      </c>
      <c r="F328" s="187"/>
      <c r="G328" s="150" t="s">
        <v>2145</v>
      </c>
    </row>
    <row r="329" spans="2:7" ht="14.45" customHeight="1" x14ac:dyDescent="0.2">
      <c r="B329" s="174" t="s">
        <v>2542</v>
      </c>
      <c r="C329" s="176" t="s">
        <v>3627</v>
      </c>
      <c r="D329" s="179" t="s">
        <v>3443</v>
      </c>
      <c r="E329" s="186" t="s">
        <v>1764</v>
      </c>
      <c r="F329" s="187"/>
      <c r="G329" s="150" t="s">
        <v>2025</v>
      </c>
    </row>
    <row r="330" spans="2:7" ht="14.45" customHeight="1" x14ac:dyDescent="0.2">
      <c r="B330" s="174" t="s">
        <v>2542</v>
      </c>
      <c r="C330" s="176" t="s">
        <v>3627</v>
      </c>
      <c r="D330" s="179" t="s">
        <v>3443</v>
      </c>
      <c r="E330" s="186" t="s">
        <v>1765</v>
      </c>
      <c r="F330" s="187"/>
      <c r="G330" s="150" t="s">
        <v>2026</v>
      </c>
    </row>
    <row r="331" spans="2:7" ht="14.45" customHeight="1" x14ac:dyDescent="0.2">
      <c r="B331" s="174" t="s">
        <v>2542</v>
      </c>
      <c r="C331" s="176" t="s">
        <v>3627</v>
      </c>
      <c r="D331" s="179" t="s">
        <v>3443</v>
      </c>
      <c r="E331" s="186" t="s">
        <v>1766</v>
      </c>
      <c r="F331" s="187"/>
      <c r="G331" s="150" t="s">
        <v>2027</v>
      </c>
    </row>
    <row r="332" spans="2:7" ht="14.45" customHeight="1" x14ac:dyDescent="0.2">
      <c r="B332" s="174" t="s">
        <v>2542</v>
      </c>
      <c r="C332" s="176" t="s">
        <v>3627</v>
      </c>
      <c r="D332" s="179" t="s">
        <v>3443</v>
      </c>
      <c r="E332" s="186" t="s">
        <v>1402</v>
      </c>
      <c r="F332" s="187"/>
      <c r="G332" s="150" t="s">
        <v>2146</v>
      </c>
    </row>
    <row r="333" spans="2:7" ht="14.45" customHeight="1" x14ac:dyDescent="0.2">
      <c r="B333" s="174" t="s">
        <v>2542</v>
      </c>
      <c r="C333" s="176" t="s">
        <v>3627</v>
      </c>
      <c r="D333" s="179" t="s">
        <v>3443</v>
      </c>
      <c r="E333" s="186" t="s">
        <v>1767</v>
      </c>
      <c r="F333" s="187"/>
      <c r="G333" s="150" t="s">
        <v>2028</v>
      </c>
    </row>
    <row r="334" spans="2:7" ht="14.45" customHeight="1" x14ac:dyDescent="0.2">
      <c r="B334" s="174" t="s">
        <v>2542</v>
      </c>
      <c r="C334" s="176" t="s">
        <v>3627</v>
      </c>
      <c r="D334" s="179" t="s">
        <v>3443</v>
      </c>
      <c r="E334" s="186" t="s">
        <v>1768</v>
      </c>
      <c r="F334" s="187"/>
      <c r="G334" s="150" t="s">
        <v>2029</v>
      </c>
    </row>
    <row r="335" spans="2:7" ht="14.45" customHeight="1" x14ac:dyDescent="0.2">
      <c r="B335" s="174" t="s">
        <v>2542</v>
      </c>
      <c r="C335" s="176" t="s">
        <v>3627</v>
      </c>
      <c r="D335" s="179" t="s">
        <v>3443</v>
      </c>
      <c r="E335" s="186" t="s">
        <v>1769</v>
      </c>
      <c r="F335" s="187"/>
      <c r="G335" s="150" t="s">
        <v>2030</v>
      </c>
    </row>
    <row r="336" spans="2:7" ht="14.45" customHeight="1" x14ac:dyDescent="0.2">
      <c r="B336" s="174" t="s">
        <v>2542</v>
      </c>
      <c r="C336" s="176" t="s">
        <v>3627</v>
      </c>
      <c r="D336" s="179" t="s">
        <v>3443</v>
      </c>
      <c r="E336" s="186" t="s">
        <v>1770</v>
      </c>
      <c r="F336" s="187"/>
      <c r="G336" s="150" t="s">
        <v>2031</v>
      </c>
    </row>
    <row r="337" spans="2:7" ht="14.45" customHeight="1" x14ac:dyDescent="0.2">
      <c r="B337" s="174" t="s">
        <v>2542</v>
      </c>
      <c r="C337" s="176" t="s">
        <v>3627</v>
      </c>
      <c r="D337" s="179" t="s">
        <v>3443</v>
      </c>
      <c r="E337" s="186" t="s">
        <v>1771</v>
      </c>
      <c r="F337" s="187"/>
      <c r="G337" s="150" t="s">
        <v>2032</v>
      </c>
    </row>
    <row r="338" spans="2:7" ht="14.45" customHeight="1" x14ac:dyDescent="0.2">
      <c r="B338" s="174" t="s">
        <v>2542</v>
      </c>
      <c r="C338" s="176" t="s">
        <v>3627</v>
      </c>
      <c r="D338" s="179" t="s">
        <v>3443</v>
      </c>
      <c r="E338" s="186" t="s">
        <v>1772</v>
      </c>
      <c r="F338" s="187"/>
      <c r="G338" s="150" t="s">
        <v>2033</v>
      </c>
    </row>
    <row r="339" spans="2:7" ht="14.45" customHeight="1" x14ac:dyDescent="0.2">
      <c r="B339" s="174" t="s">
        <v>2542</v>
      </c>
      <c r="C339" s="176" t="s">
        <v>3627</v>
      </c>
      <c r="D339" s="179" t="s">
        <v>3443</v>
      </c>
      <c r="E339" s="186" t="s">
        <v>1773</v>
      </c>
      <c r="F339" s="187"/>
      <c r="G339" s="150" t="s">
        <v>2034</v>
      </c>
    </row>
    <row r="340" spans="2:7" ht="14.45" customHeight="1" x14ac:dyDescent="0.2">
      <c r="B340" s="174" t="s">
        <v>2542</v>
      </c>
      <c r="C340" s="176" t="s">
        <v>3627</v>
      </c>
      <c r="D340" s="179" t="s">
        <v>3443</v>
      </c>
      <c r="E340" s="186" t="s">
        <v>1774</v>
      </c>
      <c r="F340" s="187"/>
      <c r="G340" s="150" t="s">
        <v>2036</v>
      </c>
    </row>
    <row r="341" spans="2:7" ht="14.45" customHeight="1" x14ac:dyDescent="0.2">
      <c r="B341" s="174" t="s">
        <v>2542</v>
      </c>
      <c r="C341" s="176" t="s">
        <v>3627</v>
      </c>
      <c r="D341" s="179" t="s">
        <v>3443</v>
      </c>
      <c r="E341" s="186" t="s">
        <v>1775</v>
      </c>
      <c r="F341" s="187"/>
      <c r="G341" s="150" t="s">
        <v>2035</v>
      </c>
    </row>
    <row r="342" spans="2:7" ht="14.45" customHeight="1" x14ac:dyDescent="0.2">
      <c r="B342" s="174" t="s">
        <v>2542</v>
      </c>
      <c r="C342" s="176" t="s">
        <v>3627</v>
      </c>
      <c r="D342" s="179" t="s">
        <v>3443</v>
      </c>
      <c r="E342" s="186" t="s">
        <v>1776</v>
      </c>
      <c r="F342" s="187"/>
      <c r="G342" s="150" t="s">
        <v>2037</v>
      </c>
    </row>
    <row r="343" spans="2:7" ht="14.45" customHeight="1" x14ac:dyDescent="0.2">
      <c r="B343" s="174" t="s">
        <v>2542</v>
      </c>
      <c r="C343" s="176" t="s">
        <v>3627</v>
      </c>
      <c r="D343" s="179" t="s">
        <v>3443</v>
      </c>
      <c r="E343" s="186" t="s">
        <v>1777</v>
      </c>
      <c r="F343" s="187"/>
      <c r="G343" s="150" t="s">
        <v>2038</v>
      </c>
    </row>
    <row r="344" spans="2:7" ht="14.45" customHeight="1" x14ac:dyDescent="0.2">
      <c r="B344" s="174" t="s">
        <v>2542</v>
      </c>
      <c r="C344" s="176" t="s">
        <v>3627</v>
      </c>
      <c r="D344" s="180" t="s">
        <v>3443</v>
      </c>
      <c r="E344" s="189" t="s">
        <v>1778</v>
      </c>
      <c r="F344" s="190"/>
      <c r="G344" s="142" t="s">
        <v>2039</v>
      </c>
    </row>
    <row r="345" spans="2:7" ht="14.45" customHeight="1" x14ac:dyDescent="0.2">
      <c r="B345" s="174" t="s">
        <v>2542</v>
      </c>
      <c r="C345" s="176" t="s">
        <v>3627</v>
      </c>
      <c r="D345" s="188" t="s">
        <v>3445</v>
      </c>
      <c r="E345" s="191" t="s">
        <v>1403</v>
      </c>
      <c r="F345" s="192"/>
      <c r="G345" s="164" t="s">
        <v>2040</v>
      </c>
    </row>
    <row r="346" spans="2:7" ht="14.45" customHeight="1" x14ac:dyDescent="0.2">
      <c r="B346" s="174" t="s">
        <v>2542</v>
      </c>
      <c r="C346" s="176" t="s">
        <v>3627</v>
      </c>
      <c r="D346" s="179" t="s">
        <v>3445</v>
      </c>
      <c r="E346" s="186" t="s">
        <v>1779</v>
      </c>
      <c r="F346" s="187"/>
      <c r="G346" s="150" t="s">
        <v>2041</v>
      </c>
    </row>
    <row r="347" spans="2:7" ht="14.45" customHeight="1" x14ac:dyDescent="0.2">
      <c r="B347" s="174" t="s">
        <v>2542</v>
      </c>
      <c r="C347" s="176" t="s">
        <v>3627</v>
      </c>
      <c r="D347" s="179" t="s">
        <v>3445</v>
      </c>
      <c r="E347" s="186" t="s">
        <v>1780</v>
      </c>
      <c r="F347" s="187"/>
      <c r="G347" s="150" t="s">
        <v>2042</v>
      </c>
    </row>
    <row r="348" spans="2:7" ht="14.45" customHeight="1" x14ac:dyDescent="0.2">
      <c r="B348" s="174" t="s">
        <v>2542</v>
      </c>
      <c r="C348" s="176" t="s">
        <v>3627</v>
      </c>
      <c r="D348" s="179" t="s">
        <v>3445</v>
      </c>
      <c r="E348" s="186" t="s">
        <v>1781</v>
      </c>
      <c r="F348" s="187"/>
      <c r="G348" s="150" t="s">
        <v>2043</v>
      </c>
    </row>
    <row r="349" spans="2:7" ht="14.45" customHeight="1" x14ac:dyDescent="0.2">
      <c r="B349" s="174" t="s">
        <v>2542</v>
      </c>
      <c r="C349" s="176" t="s">
        <v>3627</v>
      </c>
      <c r="D349" s="179" t="s">
        <v>3445</v>
      </c>
      <c r="E349" s="186" t="s">
        <v>1782</v>
      </c>
      <c r="F349" s="187"/>
      <c r="G349" s="150" t="s">
        <v>2044</v>
      </c>
    </row>
    <row r="350" spans="2:7" ht="14.45" customHeight="1" x14ac:dyDescent="0.2">
      <c r="B350" s="174" t="s">
        <v>2542</v>
      </c>
      <c r="C350" s="176" t="s">
        <v>3627</v>
      </c>
      <c r="D350" s="179" t="s">
        <v>3445</v>
      </c>
      <c r="E350" s="186" t="s">
        <v>1783</v>
      </c>
      <c r="F350" s="187"/>
      <c r="G350" s="150" t="s">
        <v>2046</v>
      </c>
    </row>
    <row r="351" spans="2:7" ht="14.45" customHeight="1" x14ac:dyDescent="0.2">
      <c r="B351" s="174" t="s">
        <v>2542</v>
      </c>
      <c r="C351" s="176" t="s">
        <v>3627</v>
      </c>
      <c r="D351" s="180" t="s">
        <v>3445</v>
      </c>
      <c r="E351" s="189" t="s">
        <v>1784</v>
      </c>
      <c r="F351" s="190"/>
      <c r="G351" s="142" t="s">
        <v>2045</v>
      </c>
    </row>
    <row r="352" spans="2:7" ht="14.45" customHeight="1" x14ac:dyDescent="0.2">
      <c r="B352" s="174" t="s">
        <v>2542</v>
      </c>
      <c r="C352" s="176" t="s">
        <v>3627</v>
      </c>
      <c r="D352" s="188" t="s">
        <v>3446</v>
      </c>
      <c r="E352" s="191" t="s">
        <v>1785</v>
      </c>
      <c r="F352" s="192"/>
      <c r="G352" s="164" t="s">
        <v>2047</v>
      </c>
    </row>
    <row r="353" spans="2:7" ht="14.45" customHeight="1" x14ac:dyDescent="0.2">
      <c r="B353" s="174" t="s">
        <v>2542</v>
      </c>
      <c r="C353" s="176" t="s">
        <v>3627</v>
      </c>
      <c r="D353" s="179" t="s">
        <v>3446</v>
      </c>
      <c r="E353" s="186" t="s">
        <v>1786</v>
      </c>
      <c r="F353" s="187"/>
      <c r="G353" s="150" t="s">
        <v>2048</v>
      </c>
    </row>
    <row r="354" spans="2:7" ht="14.45" customHeight="1" x14ac:dyDescent="0.2">
      <c r="B354" s="174" t="s">
        <v>2542</v>
      </c>
      <c r="C354" s="176" t="s">
        <v>3627</v>
      </c>
      <c r="D354" s="179" t="s">
        <v>3446</v>
      </c>
      <c r="E354" s="186" t="s">
        <v>1787</v>
      </c>
      <c r="F354" s="187"/>
      <c r="G354" s="150" t="s">
        <v>2049</v>
      </c>
    </row>
    <row r="355" spans="2:7" ht="14.45" customHeight="1" x14ac:dyDescent="0.2">
      <c r="B355" s="174" t="s">
        <v>2542</v>
      </c>
      <c r="C355" s="176" t="s">
        <v>3627</v>
      </c>
      <c r="D355" s="179" t="s">
        <v>3446</v>
      </c>
      <c r="E355" s="186" t="s">
        <v>1788</v>
      </c>
      <c r="F355" s="187"/>
      <c r="G355" s="150" t="s">
        <v>2050</v>
      </c>
    </row>
    <row r="356" spans="2:7" ht="14.45" customHeight="1" x14ac:dyDescent="0.2">
      <c r="B356" s="174" t="s">
        <v>2542</v>
      </c>
      <c r="C356" s="176" t="s">
        <v>3627</v>
      </c>
      <c r="D356" s="179" t="s">
        <v>3446</v>
      </c>
      <c r="E356" s="186" t="s">
        <v>1789</v>
      </c>
      <c r="F356" s="187"/>
      <c r="G356" s="150" t="s">
        <v>2051</v>
      </c>
    </row>
    <row r="357" spans="2:7" ht="14.45" customHeight="1" thickBot="1" x14ac:dyDescent="0.25">
      <c r="B357" s="175" t="s">
        <v>2542</v>
      </c>
      <c r="C357" s="177" t="s">
        <v>3627</v>
      </c>
      <c r="D357" s="193" t="s">
        <v>3446</v>
      </c>
      <c r="E357" s="189" t="s">
        <v>1790</v>
      </c>
      <c r="F357" s="190"/>
      <c r="G357" s="142" t="s">
        <v>2052</v>
      </c>
    </row>
    <row r="358" spans="2:7" ht="14.45" customHeight="1" x14ac:dyDescent="0.2">
      <c r="B358" s="173" t="s">
        <v>3397</v>
      </c>
      <c r="C358" s="171" t="s">
        <v>2554</v>
      </c>
      <c r="D358" s="178" t="s">
        <v>3487</v>
      </c>
      <c r="E358" s="184" t="s">
        <v>1791</v>
      </c>
      <c r="F358" s="185"/>
      <c r="G358" s="163" t="s">
        <v>2053</v>
      </c>
    </row>
    <row r="359" spans="2:7" ht="14.45" customHeight="1" x14ac:dyDescent="0.2">
      <c r="B359" s="174" t="s">
        <v>2543</v>
      </c>
      <c r="C359" s="176" t="s">
        <v>2553</v>
      </c>
      <c r="D359" s="179" t="s">
        <v>3487</v>
      </c>
      <c r="E359" s="186" t="s">
        <v>1792</v>
      </c>
      <c r="F359" s="187"/>
      <c r="G359" s="150" t="s">
        <v>2054</v>
      </c>
    </row>
    <row r="360" spans="2:7" ht="14.45" customHeight="1" x14ac:dyDescent="0.2">
      <c r="B360" s="174" t="s">
        <v>2543</v>
      </c>
      <c r="C360" s="176" t="s">
        <v>2553</v>
      </c>
      <c r="D360" s="179" t="s">
        <v>3487</v>
      </c>
      <c r="E360" s="186" t="s">
        <v>1793</v>
      </c>
      <c r="F360" s="187"/>
      <c r="G360" s="150" t="s">
        <v>2055</v>
      </c>
    </row>
    <row r="361" spans="2:7" ht="14.45" customHeight="1" x14ac:dyDescent="0.2">
      <c r="B361" s="174" t="s">
        <v>2543</v>
      </c>
      <c r="C361" s="176" t="s">
        <v>2553</v>
      </c>
      <c r="D361" s="179" t="s">
        <v>3487</v>
      </c>
      <c r="E361" s="186" t="s">
        <v>1794</v>
      </c>
      <c r="F361" s="187"/>
      <c r="G361" s="150" t="s">
        <v>2056</v>
      </c>
    </row>
    <row r="362" spans="2:7" ht="14.45" customHeight="1" x14ac:dyDescent="0.2">
      <c r="B362" s="174" t="s">
        <v>2543</v>
      </c>
      <c r="C362" s="176" t="s">
        <v>2553</v>
      </c>
      <c r="D362" s="179" t="s">
        <v>3487</v>
      </c>
      <c r="E362" s="186" t="s">
        <v>1569</v>
      </c>
      <c r="F362" s="187"/>
      <c r="G362" s="150" t="s">
        <v>2147</v>
      </c>
    </row>
    <row r="363" spans="2:7" ht="14.45" customHeight="1" x14ac:dyDescent="0.2">
      <c r="B363" s="174" t="s">
        <v>2543</v>
      </c>
      <c r="C363" s="176" t="s">
        <v>2553</v>
      </c>
      <c r="D363" s="179" t="s">
        <v>3487</v>
      </c>
      <c r="E363" s="186" t="s">
        <v>1795</v>
      </c>
      <c r="F363" s="187"/>
      <c r="G363" s="150" t="s">
        <v>2057</v>
      </c>
    </row>
    <row r="364" spans="2:7" ht="14.45" customHeight="1" x14ac:dyDescent="0.2">
      <c r="B364" s="174" t="s">
        <v>2543</v>
      </c>
      <c r="C364" s="176" t="s">
        <v>2553</v>
      </c>
      <c r="D364" s="180" t="s">
        <v>3487</v>
      </c>
      <c r="E364" s="189" t="s">
        <v>1796</v>
      </c>
      <c r="F364" s="190"/>
      <c r="G364" s="142" t="s">
        <v>2148</v>
      </c>
    </row>
    <row r="365" spans="2:7" ht="14.45" customHeight="1" x14ac:dyDescent="0.2">
      <c r="B365" s="174" t="s">
        <v>2543</v>
      </c>
      <c r="C365" s="176" t="s">
        <v>2553</v>
      </c>
      <c r="D365" s="188" t="s">
        <v>3449</v>
      </c>
      <c r="E365" s="191" t="s">
        <v>1797</v>
      </c>
      <c r="F365" s="192"/>
      <c r="G365" s="164" t="s">
        <v>2058</v>
      </c>
    </row>
    <row r="366" spans="2:7" ht="14.45" customHeight="1" x14ac:dyDescent="0.2">
      <c r="B366" s="174" t="s">
        <v>2543</v>
      </c>
      <c r="C366" s="176" t="s">
        <v>2553</v>
      </c>
      <c r="D366" s="179" t="s">
        <v>3449</v>
      </c>
      <c r="E366" s="186" t="s">
        <v>1798</v>
      </c>
      <c r="F366" s="187"/>
      <c r="G366" s="150" t="s">
        <v>2059</v>
      </c>
    </row>
    <row r="367" spans="2:7" ht="14.45" customHeight="1" x14ac:dyDescent="0.2">
      <c r="B367" s="174" t="s">
        <v>2543</v>
      </c>
      <c r="C367" s="176" t="s">
        <v>2553</v>
      </c>
      <c r="D367" s="179" t="s">
        <v>3449</v>
      </c>
      <c r="E367" s="186" t="s">
        <v>1799</v>
      </c>
      <c r="F367" s="187"/>
      <c r="G367" s="150" t="s">
        <v>2060</v>
      </c>
    </row>
    <row r="368" spans="2:7" ht="14.45" customHeight="1" x14ac:dyDescent="0.2">
      <c r="B368" s="174" t="s">
        <v>2543</v>
      </c>
      <c r="C368" s="176" t="s">
        <v>2553</v>
      </c>
      <c r="D368" s="180" t="s">
        <v>3449</v>
      </c>
      <c r="E368" s="189" t="s">
        <v>1800</v>
      </c>
      <c r="F368" s="190"/>
      <c r="G368" s="142" t="s">
        <v>2061</v>
      </c>
    </row>
    <row r="369" spans="2:7" ht="14.45" customHeight="1" x14ac:dyDescent="0.2">
      <c r="B369" s="174" t="s">
        <v>2543</v>
      </c>
      <c r="C369" s="176" t="s">
        <v>2553</v>
      </c>
      <c r="D369" s="188" t="s">
        <v>3447</v>
      </c>
      <c r="E369" s="191" t="s">
        <v>1518</v>
      </c>
      <c r="F369" s="192"/>
      <c r="G369" s="164" t="s">
        <v>1801</v>
      </c>
    </row>
    <row r="370" spans="2:7" ht="14.45" customHeight="1" x14ac:dyDescent="0.2">
      <c r="B370" s="174" t="s">
        <v>2543</v>
      </c>
      <c r="C370" s="176" t="s">
        <v>2553</v>
      </c>
      <c r="D370" s="179" t="s">
        <v>3447</v>
      </c>
      <c r="E370" s="186" t="s">
        <v>1517</v>
      </c>
      <c r="F370" s="187"/>
      <c r="G370" s="150" t="s">
        <v>2062</v>
      </c>
    </row>
    <row r="371" spans="2:7" ht="14.45" customHeight="1" x14ac:dyDescent="0.2">
      <c r="B371" s="174" t="s">
        <v>2543</v>
      </c>
      <c r="C371" s="176" t="s">
        <v>2553</v>
      </c>
      <c r="D371" s="179" t="s">
        <v>3447</v>
      </c>
      <c r="E371" s="186" t="s">
        <v>1524</v>
      </c>
      <c r="F371" s="187"/>
      <c r="G371" s="150" t="s">
        <v>2063</v>
      </c>
    </row>
    <row r="372" spans="2:7" ht="14.45" customHeight="1" thickBot="1" x14ac:dyDescent="0.25">
      <c r="B372" s="174" t="s">
        <v>2543</v>
      </c>
      <c r="C372" s="177" t="s">
        <v>2553</v>
      </c>
      <c r="D372" s="193" t="s">
        <v>3447</v>
      </c>
      <c r="E372" s="189" t="s">
        <v>1525</v>
      </c>
      <c r="F372" s="190"/>
      <c r="G372" s="142" t="s">
        <v>2064</v>
      </c>
    </row>
    <row r="373" spans="2:7" ht="14.45" customHeight="1" x14ac:dyDescent="0.2">
      <c r="B373" s="174" t="s">
        <v>2543</v>
      </c>
      <c r="C373" s="171" t="s">
        <v>2556</v>
      </c>
      <c r="D373" s="178" t="s">
        <v>3489</v>
      </c>
      <c r="E373" s="184" t="s">
        <v>1516</v>
      </c>
      <c r="F373" s="185"/>
      <c r="G373" s="163" t="s">
        <v>2065</v>
      </c>
    </row>
    <row r="374" spans="2:7" ht="14.45" customHeight="1" x14ac:dyDescent="0.2">
      <c r="B374" s="174" t="s">
        <v>2543</v>
      </c>
      <c r="C374" s="176" t="s">
        <v>2555</v>
      </c>
      <c r="D374" s="179" t="s">
        <v>3489</v>
      </c>
      <c r="E374" s="186" t="s">
        <v>1517</v>
      </c>
      <c r="F374" s="187"/>
      <c r="G374" s="150" t="s">
        <v>2066</v>
      </c>
    </row>
    <row r="375" spans="2:7" ht="14.45" customHeight="1" x14ac:dyDescent="0.2">
      <c r="B375" s="174" t="s">
        <v>2543</v>
      </c>
      <c r="C375" s="176" t="s">
        <v>2555</v>
      </c>
      <c r="D375" s="179" t="s">
        <v>3489</v>
      </c>
      <c r="E375" s="186" t="s">
        <v>1518</v>
      </c>
      <c r="F375" s="187"/>
      <c r="G375" s="150" t="s">
        <v>2067</v>
      </c>
    </row>
    <row r="376" spans="2:7" ht="14.45" customHeight="1" x14ac:dyDescent="0.2">
      <c r="B376" s="174" t="s">
        <v>2543</v>
      </c>
      <c r="C376" s="176" t="s">
        <v>2555</v>
      </c>
      <c r="D376" s="179" t="s">
        <v>3489</v>
      </c>
      <c r="E376" s="186" t="s">
        <v>1519</v>
      </c>
      <c r="F376" s="187"/>
      <c r="G376" s="150" t="s">
        <v>2149</v>
      </c>
    </row>
    <row r="377" spans="2:7" ht="14.45" customHeight="1" x14ac:dyDescent="0.2">
      <c r="B377" s="174" t="s">
        <v>2543</v>
      </c>
      <c r="C377" s="176" t="s">
        <v>2555</v>
      </c>
      <c r="D377" s="179" t="s">
        <v>3489</v>
      </c>
      <c r="E377" s="186" t="s">
        <v>1520</v>
      </c>
      <c r="F377" s="187"/>
      <c r="G377" s="150" t="s">
        <v>2150</v>
      </c>
    </row>
    <row r="378" spans="2:7" ht="14.45" customHeight="1" x14ac:dyDescent="0.2">
      <c r="B378" s="174" t="s">
        <v>2543</v>
      </c>
      <c r="C378" s="176" t="s">
        <v>2555</v>
      </c>
      <c r="D378" s="180" t="s">
        <v>3489</v>
      </c>
      <c r="E378" s="189" t="s">
        <v>1521</v>
      </c>
      <c r="F378" s="190"/>
      <c r="G378" s="142" t="s">
        <v>2068</v>
      </c>
    </row>
    <row r="379" spans="2:7" ht="14.45" customHeight="1" x14ac:dyDescent="0.2">
      <c r="B379" s="174" t="s">
        <v>2543</v>
      </c>
      <c r="C379" s="176" t="s">
        <v>2555</v>
      </c>
      <c r="D379" s="188" t="s">
        <v>3448</v>
      </c>
      <c r="E379" s="191" t="s">
        <v>1522</v>
      </c>
      <c r="F379" s="192"/>
      <c r="G379" s="164" t="s">
        <v>2161</v>
      </c>
    </row>
    <row r="380" spans="2:7" ht="14.45" customHeight="1" x14ac:dyDescent="0.2">
      <c r="B380" s="174" t="s">
        <v>2543</v>
      </c>
      <c r="C380" s="176" t="s">
        <v>2555</v>
      </c>
      <c r="D380" s="179" t="s">
        <v>3448</v>
      </c>
      <c r="E380" s="186" t="s">
        <v>2071</v>
      </c>
      <c r="F380" s="187"/>
      <c r="G380" s="205" t="s">
        <v>2069</v>
      </c>
    </row>
    <row r="381" spans="2:7" ht="14.45" customHeight="1" x14ac:dyDescent="0.2">
      <c r="B381" s="174" t="s">
        <v>2543</v>
      </c>
      <c r="C381" s="176" t="s">
        <v>2555</v>
      </c>
      <c r="D381" s="180" t="s">
        <v>3448</v>
      </c>
      <c r="E381" s="189" t="s">
        <v>1405</v>
      </c>
      <c r="F381" s="190"/>
      <c r="G381" s="142" t="s">
        <v>2070</v>
      </c>
    </row>
    <row r="382" spans="2:7" ht="14.45" customHeight="1" x14ac:dyDescent="0.2">
      <c r="B382" s="174" t="s">
        <v>2543</v>
      </c>
      <c r="C382" s="176" t="s">
        <v>2555</v>
      </c>
      <c r="D382" s="188" t="s">
        <v>3450</v>
      </c>
      <c r="E382" s="191" t="s">
        <v>1523</v>
      </c>
      <c r="F382" s="192"/>
      <c r="G382" s="164" t="s">
        <v>2073</v>
      </c>
    </row>
    <row r="383" spans="2:7" ht="14.45" customHeight="1" x14ac:dyDescent="0.2">
      <c r="B383" s="174" t="s">
        <v>2543</v>
      </c>
      <c r="C383" s="176" t="s">
        <v>2555</v>
      </c>
      <c r="D383" s="179" t="s">
        <v>3450</v>
      </c>
      <c r="E383" s="186" t="s">
        <v>1524</v>
      </c>
      <c r="F383" s="187"/>
      <c r="G383" s="150" t="s">
        <v>2074</v>
      </c>
    </row>
    <row r="384" spans="2:7" ht="14.45" customHeight="1" x14ac:dyDescent="0.2">
      <c r="B384" s="174" t="s">
        <v>2543</v>
      </c>
      <c r="C384" s="176" t="s">
        <v>2555</v>
      </c>
      <c r="D384" s="180" t="s">
        <v>3450</v>
      </c>
      <c r="E384" s="189" t="s">
        <v>1525</v>
      </c>
      <c r="F384" s="190"/>
      <c r="G384" s="142" t="s">
        <v>2075</v>
      </c>
    </row>
    <row r="385" spans="2:7" ht="14.45" customHeight="1" x14ac:dyDescent="0.2">
      <c r="B385" s="174" t="s">
        <v>2543</v>
      </c>
      <c r="C385" s="176" t="s">
        <v>2555</v>
      </c>
      <c r="D385" s="188" t="s">
        <v>3451</v>
      </c>
      <c r="E385" s="191" t="s">
        <v>1534</v>
      </c>
      <c r="F385" s="192"/>
      <c r="G385" s="164" t="s">
        <v>2076</v>
      </c>
    </row>
    <row r="386" spans="2:7" ht="14.45" customHeight="1" x14ac:dyDescent="0.2">
      <c r="B386" s="174" t="s">
        <v>2543</v>
      </c>
      <c r="C386" s="176" t="s">
        <v>2555</v>
      </c>
      <c r="D386" s="179" t="s">
        <v>3451</v>
      </c>
      <c r="E386" s="186" t="s">
        <v>1526</v>
      </c>
      <c r="F386" s="187"/>
      <c r="G386" s="150" t="s">
        <v>2080</v>
      </c>
    </row>
    <row r="387" spans="2:7" ht="14.45" customHeight="1" x14ac:dyDescent="0.2">
      <c r="B387" s="174" t="s">
        <v>2543</v>
      </c>
      <c r="C387" s="176" t="s">
        <v>2555</v>
      </c>
      <c r="D387" s="179" t="s">
        <v>3451</v>
      </c>
      <c r="E387" s="186" t="s">
        <v>2077</v>
      </c>
      <c r="F387" s="187"/>
      <c r="G387" s="150" t="s">
        <v>2079</v>
      </c>
    </row>
    <row r="388" spans="2:7" ht="14.45" customHeight="1" x14ac:dyDescent="0.2">
      <c r="B388" s="174" t="s">
        <v>2543</v>
      </c>
      <c r="C388" s="176" t="s">
        <v>2555</v>
      </c>
      <c r="D388" s="179" t="s">
        <v>3451</v>
      </c>
      <c r="E388" s="186" t="s">
        <v>2078</v>
      </c>
      <c r="F388" s="187"/>
      <c r="G388" s="150" t="s">
        <v>2081</v>
      </c>
    </row>
    <row r="389" spans="2:7" ht="14.45" customHeight="1" x14ac:dyDescent="0.2">
      <c r="B389" s="174" t="s">
        <v>2543</v>
      </c>
      <c r="C389" s="176" t="s">
        <v>2555</v>
      </c>
      <c r="D389" s="179" t="s">
        <v>3451</v>
      </c>
      <c r="E389" s="186" t="s">
        <v>2083</v>
      </c>
      <c r="F389" s="187"/>
      <c r="G389" s="150" t="s">
        <v>2082</v>
      </c>
    </row>
    <row r="390" spans="2:7" ht="14.45" customHeight="1" thickBot="1" x14ac:dyDescent="0.25">
      <c r="B390" s="174" t="s">
        <v>2543</v>
      </c>
      <c r="C390" s="177" t="s">
        <v>2555</v>
      </c>
      <c r="D390" s="193" t="s">
        <v>3451</v>
      </c>
      <c r="E390" s="189" t="s">
        <v>1527</v>
      </c>
      <c r="F390" s="190"/>
      <c r="G390" s="142" t="s">
        <v>2084</v>
      </c>
    </row>
    <row r="391" spans="2:7" ht="14.45" customHeight="1" x14ac:dyDescent="0.2">
      <c r="B391" s="174" t="s">
        <v>2543</v>
      </c>
      <c r="C391" s="171" t="s">
        <v>2558</v>
      </c>
      <c r="D391" s="178" t="s">
        <v>3491</v>
      </c>
      <c r="E391" s="184" t="s">
        <v>1528</v>
      </c>
      <c r="F391" s="185"/>
      <c r="G391" s="163" t="s">
        <v>2085</v>
      </c>
    </row>
    <row r="392" spans="2:7" ht="14.45" customHeight="1" x14ac:dyDescent="0.2">
      <c r="B392" s="174" t="s">
        <v>2543</v>
      </c>
      <c r="C392" s="176" t="s">
        <v>2557</v>
      </c>
      <c r="D392" s="179" t="s">
        <v>3491</v>
      </c>
      <c r="E392" s="186" t="s">
        <v>1529</v>
      </c>
      <c r="F392" s="187"/>
      <c r="G392" s="150" t="s">
        <v>1530</v>
      </c>
    </row>
    <row r="393" spans="2:7" ht="14.45" customHeight="1" x14ac:dyDescent="0.2">
      <c r="B393" s="174" t="s">
        <v>2543</v>
      </c>
      <c r="C393" s="176" t="s">
        <v>2557</v>
      </c>
      <c r="D393" s="180" t="s">
        <v>3491</v>
      </c>
      <c r="E393" s="189" t="s">
        <v>1531</v>
      </c>
      <c r="F393" s="190"/>
      <c r="G393" s="142" t="s">
        <v>2098</v>
      </c>
    </row>
    <row r="394" spans="2:7" ht="14.45" customHeight="1" x14ac:dyDescent="0.2">
      <c r="B394" s="174" t="s">
        <v>2543</v>
      </c>
      <c r="C394" s="176" t="s">
        <v>2557</v>
      </c>
      <c r="D394" s="188" t="s">
        <v>3452</v>
      </c>
      <c r="E394" s="191" t="s">
        <v>1532</v>
      </c>
      <c r="F394" s="192"/>
      <c r="G394" s="164" t="s">
        <v>2086</v>
      </c>
    </row>
    <row r="395" spans="2:7" ht="14.45" customHeight="1" x14ac:dyDescent="0.2">
      <c r="B395" s="174" t="s">
        <v>2543</v>
      </c>
      <c r="C395" s="176" t="s">
        <v>2557</v>
      </c>
      <c r="D395" s="179" t="s">
        <v>3452</v>
      </c>
      <c r="E395" s="186" t="s">
        <v>2087</v>
      </c>
      <c r="F395" s="187"/>
      <c r="G395" s="150" t="s">
        <v>2089</v>
      </c>
    </row>
    <row r="396" spans="2:7" ht="14.45" customHeight="1" x14ac:dyDescent="0.2">
      <c r="B396" s="174" t="s">
        <v>2543</v>
      </c>
      <c r="C396" s="176" t="s">
        <v>2557</v>
      </c>
      <c r="D396" s="179" t="s">
        <v>3452</v>
      </c>
      <c r="E396" s="186" t="s">
        <v>2088</v>
      </c>
      <c r="F396" s="187"/>
      <c r="G396" s="150" t="s">
        <v>2090</v>
      </c>
    </row>
    <row r="397" spans="2:7" ht="14.45" customHeight="1" x14ac:dyDescent="0.2">
      <c r="B397" s="174" t="s">
        <v>2543</v>
      </c>
      <c r="C397" s="176" t="s">
        <v>2557</v>
      </c>
      <c r="D397" s="180" t="s">
        <v>3452</v>
      </c>
      <c r="E397" s="189" t="s">
        <v>1533</v>
      </c>
      <c r="F397" s="190"/>
      <c r="G397" s="142" t="s">
        <v>2091</v>
      </c>
    </row>
    <row r="398" spans="2:7" ht="14.45" customHeight="1" x14ac:dyDescent="0.2">
      <c r="B398" s="174" t="s">
        <v>2543</v>
      </c>
      <c r="C398" s="176" t="s">
        <v>2557</v>
      </c>
      <c r="D398" s="83" t="s">
        <v>3453</v>
      </c>
      <c r="E398" s="191" t="s">
        <v>1529</v>
      </c>
      <c r="F398" s="192"/>
      <c r="G398" s="164" t="s">
        <v>2151</v>
      </c>
    </row>
    <row r="399" spans="2:7" ht="14.45" customHeight="1" x14ac:dyDescent="0.2">
      <c r="B399" s="174" t="s">
        <v>2543</v>
      </c>
      <c r="C399" s="176" t="s">
        <v>2557</v>
      </c>
      <c r="D399" s="198" t="s">
        <v>3453</v>
      </c>
      <c r="E399" s="186" t="s">
        <v>2093</v>
      </c>
      <c r="F399" s="187"/>
      <c r="G399" s="150" t="s">
        <v>2092</v>
      </c>
    </row>
    <row r="400" spans="2:7" ht="14.45" customHeight="1" x14ac:dyDescent="0.2">
      <c r="B400" s="174" t="s">
        <v>2543</v>
      </c>
      <c r="C400" s="176" t="s">
        <v>2557</v>
      </c>
      <c r="D400" s="198" t="s">
        <v>3453</v>
      </c>
      <c r="E400" s="186" t="s">
        <v>2094</v>
      </c>
      <c r="F400" s="187"/>
      <c r="G400" s="150" t="s">
        <v>2152</v>
      </c>
    </row>
    <row r="401" spans="2:7" ht="14.45" customHeight="1" x14ac:dyDescent="0.2">
      <c r="B401" s="174" t="s">
        <v>2543</v>
      </c>
      <c r="C401" s="176" t="s">
        <v>2557</v>
      </c>
      <c r="D401" s="198" t="s">
        <v>3453</v>
      </c>
      <c r="E401" s="186" t="s">
        <v>2095</v>
      </c>
      <c r="F401" s="187"/>
      <c r="G401" s="150" t="s">
        <v>2096</v>
      </c>
    </row>
    <row r="402" spans="2:7" ht="14.45" customHeight="1" x14ac:dyDescent="0.2">
      <c r="B402" s="174" t="s">
        <v>2543</v>
      </c>
      <c r="C402" s="176" t="s">
        <v>2557</v>
      </c>
      <c r="D402" s="206" t="s">
        <v>3453</v>
      </c>
      <c r="E402" s="189" t="s">
        <v>1531</v>
      </c>
      <c r="F402" s="190"/>
      <c r="G402" s="142" t="s">
        <v>2097</v>
      </c>
    </row>
    <row r="403" spans="2:7" ht="14.45" customHeight="1" x14ac:dyDescent="0.2">
      <c r="B403" s="174" t="s">
        <v>2543</v>
      </c>
      <c r="C403" s="176" t="s">
        <v>2557</v>
      </c>
      <c r="D403" s="188" t="s">
        <v>3454</v>
      </c>
      <c r="E403" s="191" t="s">
        <v>2099</v>
      </c>
      <c r="F403" s="192"/>
      <c r="G403" s="164" t="s">
        <v>2101</v>
      </c>
    </row>
    <row r="404" spans="2:7" ht="14.45" customHeight="1" x14ac:dyDescent="0.2">
      <c r="B404" s="174" t="s">
        <v>2543</v>
      </c>
      <c r="C404" s="176" t="s">
        <v>2557</v>
      </c>
      <c r="D404" s="179" t="s">
        <v>3454</v>
      </c>
      <c r="E404" s="186" t="s">
        <v>2100</v>
      </c>
      <c r="F404" s="187"/>
      <c r="G404" s="150" t="s">
        <v>2102</v>
      </c>
    </row>
    <row r="405" spans="2:7" ht="14.45" customHeight="1" x14ac:dyDescent="0.2">
      <c r="B405" s="174" t="s">
        <v>2543</v>
      </c>
      <c r="C405" s="176" t="s">
        <v>2557</v>
      </c>
      <c r="D405" s="179" t="s">
        <v>3454</v>
      </c>
      <c r="E405" s="186" t="s">
        <v>1535</v>
      </c>
      <c r="F405" s="187"/>
      <c r="G405" s="150" t="s">
        <v>2103</v>
      </c>
    </row>
    <row r="406" spans="2:7" ht="14.45" customHeight="1" x14ac:dyDescent="0.2">
      <c r="B406" s="174" t="s">
        <v>2543</v>
      </c>
      <c r="C406" s="176" t="s">
        <v>2557</v>
      </c>
      <c r="D406" s="179" t="s">
        <v>3454</v>
      </c>
      <c r="E406" s="186" t="s">
        <v>1536</v>
      </c>
      <c r="F406" s="187"/>
      <c r="G406" s="150" t="s">
        <v>2104</v>
      </c>
    </row>
    <row r="407" spans="2:7" ht="14.45" customHeight="1" x14ac:dyDescent="0.2">
      <c r="B407" s="174" t="s">
        <v>2543</v>
      </c>
      <c r="C407" s="176" t="s">
        <v>2557</v>
      </c>
      <c r="D407" s="179" t="s">
        <v>3454</v>
      </c>
      <c r="E407" s="186" t="s">
        <v>1537</v>
      </c>
      <c r="F407" s="187"/>
      <c r="G407" s="150" t="s">
        <v>2105</v>
      </c>
    </row>
    <row r="408" spans="2:7" ht="14.45" customHeight="1" x14ac:dyDescent="0.2">
      <c r="B408" s="174" t="s">
        <v>2543</v>
      </c>
      <c r="C408" s="176" t="s">
        <v>2557</v>
      </c>
      <c r="D408" s="179" t="s">
        <v>3454</v>
      </c>
      <c r="E408" s="186" t="s">
        <v>1538</v>
      </c>
      <c r="F408" s="187"/>
      <c r="G408" s="150" t="s">
        <v>2107</v>
      </c>
    </row>
    <row r="409" spans="2:7" ht="14.45" customHeight="1" x14ac:dyDescent="0.2">
      <c r="B409" s="174" t="s">
        <v>2543</v>
      </c>
      <c r="C409" s="176" t="s">
        <v>2557</v>
      </c>
      <c r="D409" s="179" t="s">
        <v>3454</v>
      </c>
      <c r="E409" s="186" t="s">
        <v>1539</v>
      </c>
      <c r="F409" s="187"/>
      <c r="G409" s="150" t="s">
        <v>2106</v>
      </c>
    </row>
    <row r="410" spans="2:7" ht="14.45" customHeight="1" x14ac:dyDescent="0.2">
      <c r="B410" s="174" t="s">
        <v>2543</v>
      </c>
      <c r="C410" s="176" t="s">
        <v>2557</v>
      </c>
      <c r="D410" s="179" t="s">
        <v>3454</v>
      </c>
      <c r="E410" s="186" t="s">
        <v>1540</v>
      </c>
      <c r="F410" s="187"/>
      <c r="G410" s="150" t="s">
        <v>2108</v>
      </c>
    </row>
    <row r="411" spans="2:7" ht="14.45" customHeight="1" thickBot="1" x14ac:dyDescent="0.25">
      <c r="B411" s="174" t="s">
        <v>2543</v>
      </c>
      <c r="C411" s="177" t="s">
        <v>2557</v>
      </c>
      <c r="D411" s="193" t="s">
        <v>3454</v>
      </c>
      <c r="E411" s="189" t="s">
        <v>1541</v>
      </c>
      <c r="F411" s="190"/>
      <c r="G411" s="142" t="s">
        <v>2109</v>
      </c>
    </row>
    <row r="412" spans="2:7" ht="14.45" customHeight="1" x14ac:dyDescent="0.2">
      <c r="B412" s="174" t="s">
        <v>2543</v>
      </c>
      <c r="C412" s="171" t="s">
        <v>2560</v>
      </c>
      <c r="D412" s="178" t="s">
        <v>3493</v>
      </c>
      <c r="E412" s="184" t="s">
        <v>1568</v>
      </c>
      <c r="F412" s="185"/>
      <c r="G412" s="163" t="s">
        <v>2153</v>
      </c>
    </row>
    <row r="413" spans="2:7" ht="14.45" customHeight="1" x14ac:dyDescent="0.2">
      <c r="B413" s="174" t="s">
        <v>2543</v>
      </c>
      <c r="C413" s="176" t="s">
        <v>2559</v>
      </c>
      <c r="D413" s="179" t="s">
        <v>3493</v>
      </c>
      <c r="E413" s="186" t="s">
        <v>2111</v>
      </c>
      <c r="F413" s="187"/>
      <c r="G413" s="150" t="s">
        <v>2110</v>
      </c>
    </row>
    <row r="414" spans="2:7" ht="14.45" customHeight="1" x14ac:dyDescent="0.2">
      <c r="B414" s="174" t="s">
        <v>2543</v>
      </c>
      <c r="C414" s="176" t="s">
        <v>2559</v>
      </c>
      <c r="D414" s="179" t="s">
        <v>3493</v>
      </c>
      <c r="E414" s="186" t="s">
        <v>2112</v>
      </c>
      <c r="F414" s="187"/>
      <c r="G414" s="150" t="s">
        <v>2115</v>
      </c>
    </row>
    <row r="415" spans="2:7" ht="14.45" customHeight="1" x14ac:dyDescent="0.2">
      <c r="B415" s="174" t="s">
        <v>2543</v>
      </c>
      <c r="C415" s="176" t="s">
        <v>2559</v>
      </c>
      <c r="D415" s="179" t="s">
        <v>3493</v>
      </c>
      <c r="E415" s="186" t="s">
        <v>2113</v>
      </c>
      <c r="F415" s="187"/>
      <c r="G415" s="150" t="s">
        <v>2116</v>
      </c>
    </row>
    <row r="416" spans="2:7" ht="14.45" customHeight="1" x14ac:dyDescent="0.2">
      <c r="B416" s="174" t="s">
        <v>2543</v>
      </c>
      <c r="C416" s="176" t="s">
        <v>2559</v>
      </c>
      <c r="D416" s="180" t="s">
        <v>3493</v>
      </c>
      <c r="E416" s="189" t="s">
        <v>2114</v>
      </c>
      <c r="F416" s="190"/>
      <c r="G416" s="142" t="s">
        <v>2117</v>
      </c>
    </row>
    <row r="417" spans="2:7" ht="14.45" customHeight="1" x14ac:dyDescent="0.2">
      <c r="B417" s="174" t="s">
        <v>2543</v>
      </c>
      <c r="C417" s="176" t="s">
        <v>2559</v>
      </c>
      <c r="D417" s="188" t="s">
        <v>3455</v>
      </c>
      <c r="E417" s="191" t="s">
        <v>1545</v>
      </c>
      <c r="F417" s="192"/>
      <c r="G417" s="164" t="s">
        <v>1546</v>
      </c>
    </row>
    <row r="418" spans="2:7" ht="14.45" customHeight="1" thickBot="1" x14ac:dyDescent="0.25">
      <c r="B418" s="175" t="s">
        <v>2543</v>
      </c>
      <c r="C418" s="177" t="s">
        <v>2559</v>
      </c>
      <c r="D418" s="193" t="s">
        <v>3455</v>
      </c>
      <c r="E418" s="189" t="s">
        <v>1544</v>
      </c>
      <c r="F418" s="190"/>
      <c r="G418" s="142" t="s">
        <v>1547</v>
      </c>
    </row>
    <row r="419" spans="2:7" ht="14.45" customHeight="1" x14ac:dyDescent="0.2">
      <c r="B419" s="173" t="s">
        <v>2599</v>
      </c>
      <c r="C419" s="171" t="s">
        <v>2562</v>
      </c>
      <c r="D419" s="194" t="s">
        <v>3495</v>
      </c>
      <c r="E419" s="195" t="s">
        <v>1569</v>
      </c>
      <c r="F419" s="196"/>
      <c r="G419" s="197" t="s">
        <v>2118</v>
      </c>
    </row>
    <row r="420" spans="2:7" ht="14.45" customHeight="1" x14ac:dyDescent="0.2">
      <c r="B420" s="174" t="s">
        <v>2544</v>
      </c>
      <c r="C420" s="176" t="s">
        <v>2561</v>
      </c>
      <c r="D420" s="83" t="s">
        <v>3456</v>
      </c>
      <c r="E420" s="191" t="s">
        <v>2123</v>
      </c>
      <c r="F420" s="192"/>
      <c r="G420" s="164" t="s">
        <v>2122</v>
      </c>
    </row>
    <row r="421" spans="2:7" ht="14.45" customHeight="1" x14ac:dyDescent="0.2">
      <c r="B421" s="174" t="s">
        <v>2544</v>
      </c>
      <c r="C421" s="176" t="s">
        <v>2561</v>
      </c>
      <c r="D421" s="198" t="s">
        <v>3456</v>
      </c>
      <c r="E421" s="186" t="s">
        <v>2124</v>
      </c>
      <c r="F421" s="187"/>
      <c r="G421" s="150" t="s">
        <v>2125</v>
      </c>
    </row>
    <row r="422" spans="2:7" ht="14.45" customHeight="1" x14ac:dyDescent="0.2">
      <c r="B422" s="174" t="s">
        <v>2544</v>
      </c>
      <c r="C422" s="176" t="s">
        <v>2561</v>
      </c>
      <c r="D422" s="198" t="s">
        <v>3456</v>
      </c>
      <c r="E422" s="186" t="s">
        <v>1571</v>
      </c>
      <c r="F422" s="187"/>
      <c r="G422" s="150" t="s">
        <v>2119</v>
      </c>
    </row>
    <row r="423" spans="2:7" ht="14.45" customHeight="1" x14ac:dyDescent="0.2">
      <c r="B423" s="174" t="s">
        <v>2544</v>
      </c>
      <c r="C423" s="176" t="s">
        <v>2561</v>
      </c>
      <c r="D423" s="198" t="s">
        <v>3456</v>
      </c>
      <c r="E423" s="186" t="s">
        <v>1570</v>
      </c>
      <c r="F423" s="187"/>
      <c r="G423" s="150" t="s">
        <v>2120</v>
      </c>
    </row>
    <row r="424" spans="2:7" ht="14.45" customHeight="1" x14ac:dyDescent="0.2">
      <c r="B424" s="174" t="s">
        <v>2544</v>
      </c>
      <c r="C424" s="176" t="s">
        <v>2561</v>
      </c>
      <c r="D424" s="198" t="s">
        <v>3456</v>
      </c>
      <c r="E424" s="186" t="s">
        <v>1572</v>
      </c>
      <c r="F424" s="187"/>
      <c r="G424" s="150" t="s">
        <v>2121</v>
      </c>
    </row>
    <row r="425" spans="2:7" ht="14.45" customHeight="1" x14ac:dyDescent="0.2">
      <c r="B425" s="174" t="s">
        <v>2544</v>
      </c>
      <c r="C425" s="176" t="s">
        <v>2561</v>
      </c>
      <c r="D425" s="206" t="s">
        <v>3456</v>
      </c>
      <c r="E425" s="189" t="s">
        <v>2126</v>
      </c>
      <c r="F425" s="190"/>
      <c r="G425" s="142" t="s">
        <v>2154</v>
      </c>
    </row>
    <row r="426" spans="2:7" ht="14.45" customHeight="1" x14ac:dyDescent="0.2">
      <c r="B426" s="174" t="s">
        <v>2544</v>
      </c>
      <c r="C426" s="176" t="s">
        <v>2561</v>
      </c>
      <c r="D426" s="188" t="s">
        <v>3457</v>
      </c>
      <c r="E426" s="191" t="s">
        <v>1573</v>
      </c>
      <c r="F426" s="192"/>
      <c r="G426" s="164" t="s">
        <v>2155</v>
      </c>
    </row>
    <row r="427" spans="2:7" ht="14.45" customHeight="1" x14ac:dyDescent="0.2">
      <c r="B427" s="174" t="s">
        <v>2544</v>
      </c>
      <c r="C427" s="176" t="s">
        <v>2561</v>
      </c>
      <c r="D427" s="180" t="s">
        <v>3457</v>
      </c>
      <c r="E427" s="189" t="s">
        <v>1574</v>
      </c>
      <c r="F427" s="190"/>
      <c r="G427" s="142" t="s">
        <v>2162</v>
      </c>
    </row>
    <row r="428" spans="2:7" ht="14.45" customHeight="1" x14ac:dyDescent="0.2">
      <c r="B428" s="174" t="s">
        <v>2544</v>
      </c>
      <c r="C428" s="176" t="s">
        <v>2561</v>
      </c>
      <c r="D428" s="207" t="s">
        <v>3458</v>
      </c>
      <c r="E428" s="202"/>
      <c r="F428" s="203"/>
      <c r="G428" s="204"/>
    </row>
    <row r="429" spans="2:7" ht="14.45" customHeight="1" thickBot="1" x14ac:dyDescent="0.25">
      <c r="B429" s="175" t="s">
        <v>2544</v>
      </c>
      <c r="C429" s="177" t="s">
        <v>2561</v>
      </c>
      <c r="D429" s="208" t="s">
        <v>3459</v>
      </c>
      <c r="E429" s="48" t="s">
        <v>1575</v>
      </c>
      <c r="F429" s="62"/>
      <c r="G429" s="49" t="s">
        <v>2156</v>
      </c>
    </row>
  </sheetData>
  <autoFilter ref="B3:G3" xr:uid="{35A5F4EE-7417-430D-8D63-3590C906F76B}"/>
  <mergeCells count="1">
    <mergeCell ref="B2:D2"/>
  </mergeCells>
  <phoneticPr fontId="3" type="noConversion"/>
  <conditionalFormatting sqref="B4:G429">
    <cfRule type="expression" dxfId="4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4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C79B2C88-3172-4ADC-8590-9234678B1644}">
          <x14:formula1>
            <xm:f>설정!$B$14:$B$16</xm:f>
          </x14:formula1>
          <xm:sqref>F4:F429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3E910C-E0A5-4BA2-9FB3-6154AB2E3AD4}">
  <sheetPr codeName="Sheet11"/>
  <dimension ref="B1:O27"/>
  <sheetViews>
    <sheetView showGridLines="0" zoomScaleNormal="100" workbookViewId="0">
      <pane ySplit="2" topLeftCell="A3" activePane="bottomLeft" state="frozen"/>
      <selection pane="bottomLeft" activeCell="D3" sqref="D3"/>
    </sheetView>
  </sheetViews>
  <sheetFormatPr defaultRowHeight="14.45" customHeight="1" x14ac:dyDescent="0.2"/>
  <cols>
    <col min="1" max="1" width="1.7109375" style="1" customWidth="1"/>
    <col min="2" max="2" width="50.7109375" style="1" customWidth="1"/>
    <col min="3" max="3" width="9.140625" style="2"/>
    <col min="4" max="4" width="4.42578125" style="29" customWidth="1"/>
    <col min="5" max="6" width="9.140625" style="1"/>
    <col min="7" max="9" width="9.140625" style="3"/>
    <col min="10" max="15" width="9.140625" style="2"/>
    <col min="16" max="16384" width="9.140625" style="1"/>
  </cols>
  <sheetData>
    <row r="1" spans="2:12" ht="14.45" customHeight="1" thickBot="1" x14ac:dyDescent="0.25"/>
    <row r="2" spans="2:12" ht="14.45" customHeight="1" thickBot="1" x14ac:dyDescent="0.25">
      <c r="B2" s="279" t="s">
        <v>1373</v>
      </c>
      <c r="C2" s="280"/>
      <c r="D2" s="30" t="s">
        <v>1374</v>
      </c>
    </row>
    <row r="3" spans="2:12" ht="14.45" customHeight="1" thickBot="1" x14ac:dyDescent="0.3">
      <c r="B3" s="40" t="s">
        <v>1376</v>
      </c>
      <c r="C3" s="41" t="s">
        <v>1375</v>
      </c>
      <c r="D3" s="44" t="s">
        <v>3619</v>
      </c>
    </row>
    <row r="4" spans="2:12" ht="14.45" customHeight="1" thickBot="1" x14ac:dyDescent="0.3">
      <c r="B4" s="165" t="s">
        <v>3621</v>
      </c>
      <c r="C4" s="166" t="s">
        <v>3622</v>
      </c>
      <c r="D4" s="167" t="s">
        <v>3620</v>
      </c>
    </row>
    <row r="5" spans="2:12" ht="14.45" customHeight="1" x14ac:dyDescent="0.25">
      <c r="B5" s="171" t="s">
        <v>1542</v>
      </c>
      <c r="C5" s="42" t="s">
        <v>1375</v>
      </c>
      <c r="D5" s="45" t="s">
        <v>3624</v>
      </c>
    </row>
    <row r="6" spans="2:12" ht="14.45" customHeight="1" thickBot="1" x14ac:dyDescent="0.3">
      <c r="B6" s="172" t="s">
        <v>1542</v>
      </c>
      <c r="C6" s="43" t="s">
        <v>1543</v>
      </c>
      <c r="D6" s="46" t="s">
        <v>3623</v>
      </c>
    </row>
    <row r="7" spans="2:12" ht="14.45" customHeight="1" x14ac:dyDescent="0.2">
      <c r="L7" s="50"/>
    </row>
    <row r="8" spans="2:12" ht="14.45" customHeight="1" x14ac:dyDescent="0.2">
      <c r="B8" s="31"/>
    </row>
    <row r="9" spans="2:12" ht="14.45" customHeight="1" x14ac:dyDescent="0.2">
      <c r="B9" s="53"/>
    </row>
    <row r="13" spans="2:12" ht="14.45" customHeight="1" x14ac:dyDescent="0.2">
      <c r="B13" s="4"/>
    </row>
    <row r="27" spans="2:2" ht="14.45" customHeight="1" x14ac:dyDescent="0.2">
      <c r="B27" s="31"/>
    </row>
  </sheetData>
  <mergeCells count="1">
    <mergeCell ref="B2:C2"/>
  </mergeCells>
  <phoneticPr fontId="3" type="noConversion"/>
  <conditionalFormatting sqref="B3:D6">
    <cfRule type="expression" dxfId="3" priority="1">
      <formula>CELL("ROW")=ROW()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23CB6A-505E-46D7-87C0-9967A87FA597}">
  <sheetPr codeName="Sheet3"/>
  <dimension ref="B2:J151"/>
  <sheetViews>
    <sheetView showGridLines="0" workbookViewId="0">
      <pane ySplit="4" topLeftCell="A29" activePane="bottomLeft" state="frozen"/>
      <selection pane="bottomLeft" activeCell="I28" sqref="I28"/>
    </sheetView>
  </sheetViews>
  <sheetFormatPr defaultRowHeight="14.45" customHeight="1" x14ac:dyDescent="0.2"/>
  <cols>
    <col min="1" max="1" width="1.7109375" style="1" customWidth="1"/>
    <col min="2" max="2" width="20" style="1" customWidth="1"/>
    <col min="3" max="3" width="27.7109375" style="1" customWidth="1"/>
    <col min="4" max="4" width="38.7109375" style="1" customWidth="1"/>
    <col min="5" max="5" width="5.7109375" style="1" customWidth="1"/>
    <col min="6" max="8" width="6.7109375" style="1" customWidth="1"/>
    <col min="9" max="9" width="50.7109375" style="1" customWidth="1"/>
    <col min="10" max="10" width="4.42578125" style="1" customWidth="1"/>
    <col min="11" max="16384" width="9.140625" style="1"/>
  </cols>
  <sheetData>
    <row r="2" spans="2:10" ht="14.45" customHeight="1" thickBot="1" x14ac:dyDescent="0.25">
      <c r="B2" s="1" t="s">
        <v>3412</v>
      </c>
    </row>
    <row r="3" spans="2:10" ht="14.45" customHeight="1" x14ac:dyDescent="0.2">
      <c r="B3" s="34" t="s">
        <v>1514</v>
      </c>
      <c r="C3" s="63" t="s">
        <v>0</v>
      </c>
      <c r="D3" s="68" t="s">
        <v>1</v>
      </c>
      <c r="E3" s="281" t="s">
        <v>3522</v>
      </c>
      <c r="F3" s="282"/>
      <c r="G3" s="281" t="s">
        <v>3518</v>
      </c>
      <c r="H3" s="282"/>
      <c r="I3" s="102" t="s">
        <v>1277</v>
      </c>
      <c r="J3" s="34" t="s">
        <v>3538</v>
      </c>
    </row>
    <row r="4" spans="2:10" ht="14.45" customHeight="1" thickBot="1" x14ac:dyDescent="0.25">
      <c r="B4" s="35"/>
      <c r="C4" s="104"/>
      <c r="D4" s="105"/>
      <c r="E4" s="106" t="s">
        <v>3520</v>
      </c>
      <c r="F4" s="106" t="s">
        <v>3521</v>
      </c>
      <c r="G4" s="106" t="s">
        <v>3520</v>
      </c>
      <c r="H4" s="106" t="s">
        <v>3521</v>
      </c>
      <c r="I4" s="103"/>
      <c r="J4" s="35"/>
    </row>
    <row r="5" spans="2:10" ht="14.45" customHeight="1" x14ac:dyDescent="0.2">
      <c r="B5" s="74" t="s">
        <v>3413</v>
      </c>
      <c r="C5" s="70" t="s">
        <v>2518</v>
      </c>
      <c r="D5" s="66" t="s">
        <v>1345</v>
      </c>
      <c r="E5" s="67">
        <f>COUNTIFS(문제목록!J:J,기출빈도!D5,문제목록!N:N,"기출")</f>
        <v>0</v>
      </c>
      <c r="F5" s="99">
        <f>_xlfn.MAXIFS(문제목록!C:C,문제목록!J:J,기출빈도!D5,문제목록!N:N,"기출")</f>
        <v>0</v>
      </c>
      <c r="G5" s="99">
        <f>COUNTIFS(문제목록!J:J,기출빈도!D5,문제목록!N:N,"기출",문제목록!O:O,"개념 문제")</f>
        <v>0</v>
      </c>
      <c r="H5" s="99">
        <f>_xlfn.MAXIFS(문제목록!C:C,문제목록!J:J,기출빈도!D5,문제목록!N:N,"기출",문제목록!O:O,"개념 문제")</f>
        <v>0</v>
      </c>
      <c r="I5" s="94"/>
      <c r="J5" s="129" t="s">
        <v>2224</v>
      </c>
    </row>
    <row r="6" spans="2:10" ht="14.45" customHeight="1" x14ac:dyDescent="0.2">
      <c r="B6" s="75" t="s">
        <v>3413</v>
      </c>
      <c r="C6" s="71" t="s">
        <v>2518</v>
      </c>
      <c r="D6" s="19" t="s">
        <v>3474</v>
      </c>
      <c r="E6" s="65">
        <f>COUNTIFS(문제목록!J:J,기출빈도!D6,문제목록!N:N,"기출")</f>
        <v>0</v>
      </c>
      <c r="F6" s="100">
        <f>_xlfn.MAXIFS(문제목록!C:C,문제목록!J:J,기출빈도!D6,문제목록!N:N,"기출")</f>
        <v>0</v>
      </c>
      <c r="G6" s="100">
        <f>COUNTIFS(문제목록!J:J,기출빈도!D6,문제목록!N:N,"기출",문제목록!O:O,"개념 문제")</f>
        <v>0</v>
      </c>
      <c r="H6" s="100">
        <f>_xlfn.MAXIFS(문제목록!C:C,문제목록!J:J,기출빈도!D6,문제목록!N:N,"기출",문제목록!O:O,"개념 문제")</f>
        <v>0</v>
      </c>
      <c r="I6" s="95"/>
      <c r="J6" s="130" t="s">
        <v>2225</v>
      </c>
    </row>
    <row r="7" spans="2:10" ht="14.45" customHeight="1" x14ac:dyDescent="0.2">
      <c r="B7" s="75" t="s">
        <v>3413</v>
      </c>
      <c r="C7" s="71" t="s">
        <v>2518</v>
      </c>
      <c r="D7" s="19" t="s">
        <v>3414</v>
      </c>
      <c r="E7" s="65">
        <f>COUNTIFS(문제목록!J:J,기출빈도!D7,문제목록!N:N,"기출")</f>
        <v>1</v>
      </c>
      <c r="F7" s="101">
        <f>_xlfn.MAXIFS(문제목록!C:C,문제목록!J:J,기출빈도!D7,문제목록!N:N,"기출")</f>
        <v>2014</v>
      </c>
      <c r="G7" s="101">
        <f>COUNTIFS(문제목록!J:J,기출빈도!D7,문제목록!N:N,"기출",문제목록!O:O,"개념 문제")</f>
        <v>0</v>
      </c>
      <c r="H7" s="110">
        <f>_xlfn.MAXIFS(문제목록!C:C,문제목록!J:J,기출빈도!D7,문제목록!N:N,"기출",문제목록!O:O,"개념 문제")</f>
        <v>0</v>
      </c>
      <c r="I7" s="95" t="s">
        <v>3504</v>
      </c>
      <c r="J7" s="131" t="s">
        <v>2226</v>
      </c>
    </row>
    <row r="8" spans="2:10" ht="14.45" customHeight="1" thickBot="1" x14ac:dyDescent="0.25">
      <c r="B8" s="75" t="s">
        <v>3413</v>
      </c>
      <c r="C8" s="72" t="s">
        <v>2518</v>
      </c>
      <c r="D8" s="73" t="s">
        <v>3497</v>
      </c>
      <c r="E8" s="69">
        <f>SUM(E5:E7)</f>
        <v>1</v>
      </c>
      <c r="F8" s="92">
        <f>MAX(F5:F7)</f>
        <v>2014</v>
      </c>
      <c r="G8" s="92">
        <f>SUM(G5:G7)</f>
        <v>0</v>
      </c>
      <c r="H8" s="92">
        <f>MAX(H5:H7)</f>
        <v>0</v>
      </c>
      <c r="I8" s="96"/>
      <c r="J8" s="132"/>
    </row>
    <row r="9" spans="2:10" ht="14.45" customHeight="1" x14ac:dyDescent="0.2">
      <c r="B9" s="75" t="s">
        <v>3413</v>
      </c>
      <c r="C9" s="70" t="s">
        <v>2521</v>
      </c>
      <c r="D9" s="66" t="s">
        <v>3476</v>
      </c>
      <c r="E9" s="67">
        <f>COUNTIFS(문제목록!J:J,기출빈도!D9,문제목록!N:N,"기출")</f>
        <v>0</v>
      </c>
      <c r="F9" s="99">
        <f>_xlfn.MAXIFS(문제목록!C:C,문제목록!J:J,기출빈도!D9,문제목록!N:N,"기출")</f>
        <v>0</v>
      </c>
      <c r="G9" s="99">
        <f>COUNTIFS(문제목록!J:J,기출빈도!D9,문제목록!N:N,"기출",문제목록!O:O,"개념 문제")</f>
        <v>0</v>
      </c>
      <c r="H9" s="99">
        <f>_xlfn.MAXIFS(문제목록!C:C,문제목록!J:J,기출빈도!D9,문제목록!N:N,"기출",문제목록!O:O,"개념 문제")</f>
        <v>0</v>
      </c>
      <c r="I9" s="94"/>
      <c r="J9" s="129" t="s">
        <v>2227</v>
      </c>
    </row>
    <row r="10" spans="2:10" ht="14.45" customHeight="1" x14ac:dyDescent="0.2">
      <c r="B10" s="75" t="s">
        <v>3413</v>
      </c>
      <c r="C10" s="71" t="s">
        <v>2521</v>
      </c>
      <c r="D10" s="19" t="s">
        <v>3478</v>
      </c>
      <c r="E10" s="65">
        <f>COUNTIFS(문제목록!J:J,기출빈도!D10,문제목록!N:N,"기출")</f>
        <v>0</v>
      </c>
      <c r="F10" s="100">
        <f>_xlfn.MAXIFS(문제목록!C:C,문제목록!J:J,기출빈도!D10,문제목록!N:N,"기출")</f>
        <v>0</v>
      </c>
      <c r="G10" s="100">
        <f>COUNTIFS(문제목록!J:J,기출빈도!D10,문제목록!N:N,"기출",문제목록!O:O,"개념 문제")</f>
        <v>0</v>
      </c>
      <c r="H10" s="100">
        <f>_xlfn.MAXIFS(문제목록!C:C,문제목록!J:J,기출빈도!D10,문제목록!N:N,"기출",문제목록!O:O,"개념 문제")</f>
        <v>0</v>
      </c>
      <c r="I10" s="95"/>
      <c r="J10" s="130" t="s">
        <v>2228</v>
      </c>
    </row>
    <row r="11" spans="2:10" ht="14.45" customHeight="1" thickBot="1" x14ac:dyDescent="0.25">
      <c r="B11" s="75" t="s">
        <v>3413</v>
      </c>
      <c r="C11" s="72" t="s">
        <v>2521</v>
      </c>
      <c r="D11" s="73" t="s">
        <v>3497</v>
      </c>
      <c r="E11" s="69">
        <f>SUM(E9:E10)</f>
        <v>0</v>
      </c>
      <c r="F11" s="92">
        <f>MAX(F9:F10)</f>
        <v>0</v>
      </c>
      <c r="G11" s="92">
        <f>SUM(G9:G10)</f>
        <v>0</v>
      </c>
      <c r="H11" s="92">
        <f>MAX(H9:H10)</f>
        <v>0</v>
      </c>
      <c r="I11" s="96"/>
      <c r="J11" s="132"/>
    </row>
    <row r="12" spans="2:10" ht="14.45" customHeight="1" thickBot="1" x14ac:dyDescent="0.25">
      <c r="B12" s="111" t="s">
        <v>3413</v>
      </c>
      <c r="C12" s="112" t="s">
        <v>3497</v>
      </c>
      <c r="D12" s="113"/>
      <c r="E12" s="114">
        <f>SUM(E8,E11)</f>
        <v>1</v>
      </c>
      <c r="F12" s="115">
        <f>MAX(F8,F11)</f>
        <v>2014</v>
      </c>
      <c r="G12" s="115">
        <f>SUM(G8,G11)</f>
        <v>0</v>
      </c>
      <c r="H12" s="115">
        <f>MAX(H8,H11)</f>
        <v>0</v>
      </c>
      <c r="I12" s="116"/>
      <c r="J12" s="133"/>
    </row>
    <row r="13" spans="2:10" ht="14.45" customHeight="1" x14ac:dyDescent="0.2">
      <c r="B13" s="74" t="s">
        <v>2533</v>
      </c>
      <c r="C13" s="70" t="s">
        <v>2522</v>
      </c>
      <c r="D13" s="66" t="s">
        <v>3480</v>
      </c>
      <c r="E13" s="67">
        <f>COUNTIFS(문제목록!J:J,기출빈도!D13,문제목록!N:N,"기출")</f>
        <v>0</v>
      </c>
      <c r="F13" s="99">
        <f>_xlfn.MAXIFS(문제목록!C:C,문제목록!J:J,기출빈도!D13,문제목록!N:N,"기출")</f>
        <v>0</v>
      </c>
      <c r="G13" s="99">
        <f>COUNTIFS(문제목록!J:J,기출빈도!D13,문제목록!N:N,"기출",문제목록!O:O,"개념 문제")</f>
        <v>0</v>
      </c>
      <c r="H13" s="99">
        <f>_xlfn.MAXIFS(문제목록!C:C,문제목록!J:J,기출빈도!D13,문제목록!N:N,"기출",문제목록!O:O,"개념 문제")</f>
        <v>0</v>
      </c>
      <c r="I13" s="94"/>
      <c r="J13" s="129" t="s">
        <v>2229</v>
      </c>
    </row>
    <row r="14" spans="2:10" ht="14.45" customHeight="1" x14ac:dyDescent="0.2">
      <c r="B14" s="75" t="s">
        <v>2533</v>
      </c>
      <c r="C14" s="71" t="s">
        <v>2522</v>
      </c>
      <c r="D14" s="19" t="s">
        <v>1347</v>
      </c>
      <c r="E14" s="65">
        <f>COUNTIFS(문제목록!J:J,기출빈도!D14,문제목록!N:N,"기출")</f>
        <v>0</v>
      </c>
      <c r="F14" s="100">
        <f>_xlfn.MAXIFS(문제목록!C:C,문제목록!J:J,기출빈도!D14,문제목록!N:N,"기출")</f>
        <v>0</v>
      </c>
      <c r="G14" s="100">
        <f>COUNTIFS(문제목록!J:J,기출빈도!D14,문제목록!N:N,"기출",문제목록!O:O,"개념 문제")</f>
        <v>0</v>
      </c>
      <c r="H14" s="100">
        <f>_xlfn.MAXIFS(문제목록!C:C,문제목록!J:J,기출빈도!D14,문제목록!N:N,"기출",문제목록!O:O,"개념 문제")</f>
        <v>0</v>
      </c>
      <c r="I14" s="95"/>
      <c r="J14" s="130" t="s">
        <v>2230</v>
      </c>
    </row>
    <row r="15" spans="2:10" ht="14.45" customHeight="1" x14ac:dyDescent="0.2">
      <c r="B15" s="75" t="s">
        <v>2533</v>
      </c>
      <c r="C15" s="71" t="s">
        <v>2522</v>
      </c>
      <c r="D15" s="19" t="s">
        <v>3416</v>
      </c>
      <c r="E15" s="65">
        <f>COUNTIFS(문제목록!J:J,기출빈도!D15,문제목록!N:N,"기출")</f>
        <v>3</v>
      </c>
      <c r="F15" s="101">
        <f>_xlfn.MAXIFS(문제목록!C:C,문제목록!J:J,기출빈도!D15,문제목록!N:N,"기출")</f>
        <v>2020</v>
      </c>
      <c r="G15" s="101">
        <f>COUNTIFS(문제목록!J:J,기출빈도!D15,문제목록!N:N,"기출",문제목록!O:O,"개념 문제")</f>
        <v>0</v>
      </c>
      <c r="H15" s="110">
        <f>_xlfn.MAXIFS(문제목록!C:C,문제목록!J:J,기출빈도!D15,문제목록!N:N,"기출",문제목록!O:O,"개념 문제")</f>
        <v>0</v>
      </c>
      <c r="I15" s="95" t="s">
        <v>3523</v>
      </c>
      <c r="J15" s="131" t="s">
        <v>2231</v>
      </c>
    </row>
    <row r="16" spans="2:10" ht="14.45" customHeight="1" thickBot="1" x14ac:dyDescent="0.25">
      <c r="B16" s="75" t="s">
        <v>2533</v>
      </c>
      <c r="C16" s="72" t="s">
        <v>2522</v>
      </c>
      <c r="D16" s="73" t="s">
        <v>3497</v>
      </c>
      <c r="E16" s="69">
        <f>SUM(E13:E15)</f>
        <v>3</v>
      </c>
      <c r="F16" s="92">
        <f>MAX(F13:F15)</f>
        <v>2020</v>
      </c>
      <c r="G16" s="92">
        <f>SUM(G13:G15)</f>
        <v>0</v>
      </c>
      <c r="H16" s="92">
        <f>MAX(H13:H15)</f>
        <v>0</v>
      </c>
      <c r="I16" s="96"/>
      <c r="J16" s="132"/>
    </row>
    <row r="17" spans="2:10" ht="14.45" customHeight="1" x14ac:dyDescent="0.2">
      <c r="B17" s="75" t="s">
        <v>2533</v>
      </c>
      <c r="C17" s="70" t="s">
        <v>2524</v>
      </c>
      <c r="D17" s="66" t="s">
        <v>3417</v>
      </c>
      <c r="E17" s="67">
        <f>COUNTIFS(문제목록!J:J,기출빈도!D17,문제목록!N:N,"기출")</f>
        <v>1</v>
      </c>
      <c r="F17" s="99">
        <f>_xlfn.MAXIFS(문제목록!C:C,문제목록!J:J,기출빈도!D17,문제목록!N:N,"기출")</f>
        <v>2020</v>
      </c>
      <c r="G17" s="99">
        <f>COUNTIFS(문제목록!J:J,기출빈도!D17,문제목록!N:N,"기출",문제목록!O:O,"개념 문제")</f>
        <v>0</v>
      </c>
      <c r="H17" s="99">
        <f>_xlfn.MAXIFS(문제목록!C:C,문제목록!J:J,기출빈도!D17,문제목록!N:N,"기출",문제목록!O:O,"개념 문제")</f>
        <v>0</v>
      </c>
      <c r="I17" s="94"/>
      <c r="J17" s="129" t="s">
        <v>2232</v>
      </c>
    </row>
    <row r="18" spans="2:10" ht="14.45" customHeight="1" x14ac:dyDescent="0.2">
      <c r="B18" s="75" t="s">
        <v>2533</v>
      </c>
      <c r="C18" s="71" t="s">
        <v>2524</v>
      </c>
      <c r="D18" s="19" t="s">
        <v>3415</v>
      </c>
      <c r="E18" s="65">
        <f>COUNTIFS(문제목록!J:J,기출빈도!D18,문제목록!N:N,"기출")</f>
        <v>5</v>
      </c>
      <c r="F18" s="100">
        <f>_xlfn.MAXIFS(문제목록!C:C,문제목록!J:J,기출빈도!D18,문제목록!N:N,"기출")</f>
        <v>2021</v>
      </c>
      <c r="G18" s="100">
        <f>COUNTIFS(문제목록!J:J,기출빈도!D18,문제목록!N:N,"기출",문제목록!O:O,"개념 문제")</f>
        <v>0</v>
      </c>
      <c r="H18" s="100">
        <f>_xlfn.MAXIFS(문제목록!C:C,문제목록!J:J,기출빈도!D18,문제목록!N:N,"기출",문제목록!O:O,"개념 문제")</f>
        <v>0</v>
      </c>
      <c r="I18" s="95" t="s">
        <v>3524</v>
      </c>
      <c r="J18" s="130" t="s">
        <v>2233</v>
      </c>
    </row>
    <row r="19" spans="2:10" ht="14.45" customHeight="1" x14ac:dyDescent="0.2">
      <c r="B19" s="75" t="s">
        <v>2533</v>
      </c>
      <c r="C19" s="71" t="s">
        <v>2524</v>
      </c>
      <c r="D19" s="19" t="s">
        <v>3418</v>
      </c>
      <c r="E19" s="65">
        <f>COUNTIFS(문제목록!J:J,기출빈도!D19,문제목록!N:N,"기출")</f>
        <v>3</v>
      </c>
      <c r="F19" s="101">
        <f>_xlfn.MAXIFS(문제목록!C:C,문제목록!J:J,기출빈도!D19,문제목록!N:N,"기출")</f>
        <v>2018</v>
      </c>
      <c r="G19" s="101">
        <f>COUNTIFS(문제목록!J:J,기출빈도!D19,문제목록!N:N,"기출",문제목록!O:O,"개념 문제")</f>
        <v>0</v>
      </c>
      <c r="H19" s="110">
        <f>_xlfn.MAXIFS(문제목록!C:C,문제목록!J:J,기출빈도!D19,문제목록!N:N,"기출",문제목록!O:O,"개념 문제")</f>
        <v>0</v>
      </c>
      <c r="I19" s="95"/>
      <c r="J19" s="131" t="s">
        <v>2234</v>
      </c>
    </row>
    <row r="20" spans="2:10" ht="14.45" customHeight="1" thickBot="1" x14ac:dyDescent="0.25">
      <c r="B20" s="75" t="s">
        <v>2533</v>
      </c>
      <c r="C20" s="72" t="s">
        <v>2524</v>
      </c>
      <c r="D20" s="73" t="s">
        <v>3497</v>
      </c>
      <c r="E20" s="69">
        <f>SUM(E17:E19)</f>
        <v>9</v>
      </c>
      <c r="F20" s="92">
        <f>MAX(F17:F19)</f>
        <v>2021</v>
      </c>
      <c r="G20" s="92">
        <f>SUM(G17:G19)</f>
        <v>0</v>
      </c>
      <c r="H20" s="92">
        <f>MAX(H17:H19)</f>
        <v>0</v>
      </c>
      <c r="I20" s="96"/>
      <c r="J20" s="132"/>
    </row>
    <row r="21" spans="2:10" ht="14.45" customHeight="1" thickBot="1" x14ac:dyDescent="0.25">
      <c r="B21" s="111" t="s">
        <v>2533</v>
      </c>
      <c r="C21" s="112" t="s">
        <v>3497</v>
      </c>
      <c r="D21" s="113"/>
      <c r="E21" s="114">
        <f>SUM(E16,E20)</f>
        <v>12</v>
      </c>
      <c r="F21" s="115">
        <f>MAX(F16,F20)</f>
        <v>2021</v>
      </c>
      <c r="G21" s="115">
        <f>SUM(G16,G20)</f>
        <v>0</v>
      </c>
      <c r="H21" s="115">
        <f>MAX(H16,H20)</f>
        <v>0</v>
      </c>
      <c r="I21" s="116"/>
      <c r="J21" s="133"/>
    </row>
    <row r="22" spans="2:10" ht="14.45" customHeight="1" x14ac:dyDescent="0.2">
      <c r="B22" s="74" t="s">
        <v>2579</v>
      </c>
      <c r="C22" s="70" t="s">
        <v>2564</v>
      </c>
      <c r="D22" s="66" t="s">
        <v>3482</v>
      </c>
      <c r="E22" s="67">
        <f>COUNTIFS(문제목록!J:J,기출빈도!D22,문제목록!N:N,"기출")</f>
        <v>0</v>
      </c>
      <c r="F22" s="99">
        <f>_xlfn.MAXIFS(문제목록!C:C,문제목록!J:J,기출빈도!D22,문제목록!N:N,"기출")</f>
        <v>0</v>
      </c>
      <c r="G22" s="99">
        <f>COUNTIFS(문제목록!J:J,기출빈도!D22,문제목록!N:N,"기출",문제목록!O:O,"개념 문제")</f>
        <v>0</v>
      </c>
      <c r="H22" s="99">
        <f>_xlfn.MAXIFS(문제목록!C:C,문제목록!J:J,기출빈도!D22,문제목록!N:N,"기출",문제목록!O:O,"개념 문제")</f>
        <v>0</v>
      </c>
      <c r="I22" s="94"/>
      <c r="J22" s="129" t="s">
        <v>2267</v>
      </c>
    </row>
    <row r="23" spans="2:10" ht="14.45" customHeight="1" x14ac:dyDescent="0.2">
      <c r="B23" s="75" t="s">
        <v>2579</v>
      </c>
      <c r="C23" s="71" t="s">
        <v>2564</v>
      </c>
      <c r="D23" s="19" t="s">
        <v>3432</v>
      </c>
      <c r="E23" s="65">
        <f>COUNTIFS(문제목록!J:J,기출빈도!D23,문제목록!N:N,"기출")</f>
        <v>0</v>
      </c>
      <c r="F23" s="100">
        <f>_xlfn.MAXIFS(문제목록!C:C,문제목록!J:J,기출빈도!D23,문제목록!N:N,"기출")</f>
        <v>0</v>
      </c>
      <c r="G23" s="100">
        <f>COUNTIFS(문제목록!J:J,기출빈도!D23,문제목록!N:N,"기출",문제목록!O:O,"개념 문제")</f>
        <v>0</v>
      </c>
      <c r="H23" s="100">
        <f>_xlfn.MAXIFS(문제목록!C:C,문제목록!J:J,기출빈도!D23,문제목록!N:N,"기출",문제목록!O:O,"개념 문제")</f>
        <v>0</v>
      </c>
      <c r="I23" s="95"/>
      <c r="J23" s="130" t="s">
        <v>3540</v>
      </c>
    </row>
    <row r="24" spans="2:10" ht="14.45" customHeight="1" x14ac:dyDescent="0.2">
      <c r="B24" s="75" t="s">
        <v>2579</v>
      </c>
      <c r="C24" s="71" t="s">
        <v>2564</v>
      </c>
      <c r="D24" s="19" t="s">
        <v>3419</v>
      </c>
      <c r="E24" s="65">
        <f>COUNTIFS(문제목록!J:J,기출빈도!D24,문제목록!N:N,"기출")</f>
        <v>3</v>
      </c>
      <c r="F24" s="100">
        <f>_xlfn.MAXIFS(문제목록!C:C,문제목록!J:J,기출빈도!D24,문제목록!N:N,"기출")</f>
        <v>2025</v>
      </c>
      <c r="G24" s="100">
        <f>COUNTIFS(문제목록!J:J,기출빈도!D24,문제목록!N:N,"기출",문제목록!O:O,"개념 문제")</f>
        <v>0</v>
      </c>
      <c r="H24" s="100">
        <f>_xlfn.MAXIFS(문제목록!C:C,문제목록!J:J,기출빈도!D24,문제목록!N:N,"기출",문제목록!O:O,"개념 문제")</f>
        <v>0</v>
      </c>
      <c r="I24" s="95" t="s">
        <v>3525</v>
      </c>
      <c r="J24" s="130" t="s">
        <v>2268</v>
      </c>
    </row>
    <row r="25" spans="2:10" ht="14.45" customHeight="1" x14ac:dyDescent="0.2">
      <c r="B25" s="75" t="s">
        <v>2579</v>
      </c>
      <c r="C25" s="71" t="s">
        <v>2564</v>
      </c>
      <c r="D25" s="19" t="s">
        <v>3433</v>
      </c>
      <c r="E25" s="65">
        <f>COUNTIFS(문제목록!J:J,기출빈도!D25,문제목록!N:N,"기출")</f>
        <v>0</v>
      </c>
      <c r="F25" s="100">
        <f>_xlfn.MAXIFS(문제목록!C:C,문제목록!J:J,기출빈도!D25,문제목록!N:N,"기출")</f>
        <v>0</v>
      </c>
      <c r="G25" s="100">
        <f>COUNTIFS(문제목록!J:J,기출빈도!D25,문제목록!N:N,"기출",문제목록!O:O,"개념 문제")</f>
        <v>0</v>
      </c>
      <c r="H25" s="100">
        <f>_xlfn.MAXIFS(문제목록!C:C,문제목록!J:J,기출빈도!D25,문제목록!N:N,"기출",문제목록!O:O,"개념 문제")</f>
        <v>0</v>
      </c>
      <c r="I25" s="95"/>
      <c r="J25" s="130" t="s">
        <v>2269</v>
      </c>
    </row>
    <row r="26" spans="2:10" ht="14.45" customHeight="1" x14ac:dyDescent="0.2">
      <c r="B26" s="75" t="s">
        <v>2579</v>
      </c>
      <c r="C26" s="71" t="s">
        <v>2564</v>
      </c>
      <c r="D26" s="19" t="s">
        <v>3434</v>
      </c>
      <c r="E26" s="65">
        <f>COUNTIFS(문제목록!J:J,기출빈도!D26,문제목록!N:N,"기출")</f>
        <v>0</v>
      </c>
      <c r="F26" s="100">
        <f>_xlfn.MAXIFS(문제목록!C:C,문제목록!J:J,기출빈도!D26,문제목록!N:N,"기출")</f>
        <v>0</v>
      </c>
      <c r="G26" s="100">
        <f>COUNTIFS(문제목록!J:J,기출빈도!D26,문제목록!N:N,"기출",문제목록!O:O,"개념 문제")</f>
        <v>0</v>
      </c>
      <c r="H26" s="100">
        <f>_xlfn.MAXIFS(문제목록!C:C,문제목록!J:J,기출빈도!D26,문제목록!N:N,"기출",문제목록!O:O,"개념 문제")</f>
        <v>0</v>
      </c>
      <c r="I26" s="95"/>
      <c r="J26" s="130" t="s">
        <v>2270</v>
      </c>
    </row>
    <row r="27" spans="2:10" ht="14.45" customHeight="1" x14ac:dyDescent="0.2">
      <c r="B27" s="75" t="s">
        <v>2579</v>
      </c>
      <c r="C27" s="71" t="s">
        <v>2564</v>
      </c>
      <c r="D27" s="19" t="s">
        <v>3435</v>
      </c>
      <c r="E27" s="65">
        <f>COUNTIFS(문제목록!J:J,기출빈도!D27,문제목록!N:N,"기출")</f>
        <v>0</v>
      </c>
      <c r="F27" s="100">
        <f>_xlfn.MAXIFS(문제목록!C:C,문제목록!J:J,기출빈도!D27,문제목록!N:N,"기출")</f>
        <v>0</v>
      </c>
      <c r="G27" s="100">
        <f>COUNTIFS(문제목록!J:J,기출빈도!D27,문제목록!N:N,"기출",문제목록!O:O,"개념 문제")</f>
        <v>0</v>
      </c>
      <c r="H27" s="100">
        <f>_xlfn.MAXIFS(문제목록!C:C,문제목록!J:J,기출빈도!D27,문제목록!N:N,"기출",문제목록!O:O,"개념 문제")</f>
        <v>0</v>
      </c>
      <c r="I27" s="95"/>
      <c r="J27" s="130" t="s">
        <v>2271</v>
      </c>
    </row>
    <row r="28" spans="2:10" ht="14.45" customHeight="1" x14ac:dyDescent="0.2">
      <c r="B28" s="75" t="s">
        <v>2579</v>
      </c>
      <c r="C28" s="71" t="s">
        <v>2564</v>
      </c>
      <c r="D28" s="19" t="s">
        <v>3423</v>
      </c>
      <c r="E28" s="65">
        <f>COUNTIFS(문제목록!J:J,기출빈도!D28,문제목록!N:N,"기출")</f>
        <v>2</v>
      </c>
      <c r="F28" s="100">
        <f>_xlfn.MAXIFS(문제목록!C:C,문제목록!J:J,기출빈도!D28,문제목록!N:N,"기출")</f>
        <v>2023</v>
      </c>
      <c r="G28" s="100">
        <f>COUNTIFS(문제목록!J:J,기출빈도!D28,문제목록!N:N,"기출",문제목록!O:O,"개념 문제")</f>
        <v>0</v>
      </c>
      <c r="H28" s="100">
        <f>_xlfn.MAXIFS(문제목록!C:C,문제목록!J:J,기출빈도!D28,문제목록!N:N,"기출",문제목록!O:O,"개념 문제")</f>
        <v>0</v>
      </c>
      <c r="I28" s="95" t="s">
        <v>3526</v>
      </c>
      <c r="J28" s="130" t="s">
        <v>2272</v>
      </c>
    </row>
    <row r="29" spans="2:10" ht="14.45" customHeight="1" x14ac:dyDescent="0.2">
      <c r="B29" s="75" t="s">
        <v>2579</v>
      </c>
      <c r="C29" s="71" t="s">
        <v>2564</v>
      </c>
      <c r="D29" s="19" t="s">
        <v>3429</v>
      </c>
      <c r="E29" s="65">
        <f>COUNTIFS(문제목록!J:J,기출빈도!D29,문제목록!N:N,"기출")</f>
        <v>1</v>
      </c>
      <c r="F29" s="101">
        <f>_xlfn.MAXIFS(문제목록!C:C,문제목록!J:J,기출빈도!D29,문제목록!N:N,"기출")</f>
        <v>2012</v>
      </c>
      <c r="G29" s="101">
        <f>COUNTIFS(문제목록!J:J,기출빈도!D29,문제목록!N:N,"기출",문제목록!O:O,"개념 문제")</f>
        <v>0</v>
      </c>
      <c r="H29" s="110">
        <f>_xlfn.MAXIFS(문제목록!C:C,문제목록!J:J,기출빈도!D29,문제목록!N:N,"기출",문제목록!O:O,"개념 문제")</f>
        <v>0</v>
      </c>
      <c r="I29" s="95"/>
      <c r="J29" s="131" t="s">
        <v>2273</v>
      </c>
    </row>
    <row r="30" spans="2:10" ht="14.45" customHeight="1" thickBot="1" x14ac:dyDescent="0.25">
      <c r="B30" s="75" t="s">
        <v>2579</v>
      </c>
      <c r="C30" s="72" t="s">
        <v>2564</v>
      </c>
      <c r="D30" s="73" t="s">
        <v>3497</v>
      </c>
      <c r="E30" s="69">
        <f>SUM(E22:E29)</f>
        <v>6</v>
      </c>
      <c r="F30" s="92">
        <f>MAX(F22:F29)</f>
        <v>2025</v>
      </c>
      <c r="G30" s="92">
        <f>SUM(G22:G29)</f>
        <v>0</v>
      </c>
      <c r="H30" s="92">
        <f>MAX(H22:H29)</f>
        <v>0</v>
      </c>
      <c r="I30" s="96"/>
      <c r="J30" s="132"/>
    </row>
    <row r="31" spans="2:10" ht="14.45" customHeight="1" x14ac:dyDescent="0.2">
      <c r="B31" s="75" t="s">
        <v>2579</v>
      </c>
      <c r="C31" s="70" t="s">
        <v>2526</v>
      </c>
      <c r="D31" s="66" t="s">
        <v>3484</v>
      </c>
      <c r="E31" s="67">
        <f>COUNTIFS(문제목록!J:J,기출빈도!D31,문제목록!N:N,"기출")</f>
        <v>0</v>
      </c>
      <c r="F31" s="99">
        <f>_xlfn.MAXIFS(문제목록!C:C,문제목록!J:J,기출빈도!D31,문제목록!N:N,"기출")</f>
        <v>0</v>
      </c>
      <c r="G31" s="99">
        <f>COUNTIFS(문제목록!J:J,기출빈도!D31,문제목록!N:N,"기출",문제목록!O:O,"개념 문제")</f>
        <v>0</v>
      </c>
      <c r="H31" s="99">
        <f>_xlfn.MAXIFS(문제목록!C:C,문제목록!J:J,기출빈도!D31,문제목록!N:N,"기출",문제목록!O:O,"개념 문제")</f>
        <v>0</v>
      </c>
      <c r="I31" s="94"/>
      <c r="J31" s="129" t="s">
        <v>2274</v>
      </c>
    </row>
    <row r="32" spans="2:10" ht="14.45" customHeight="1" x14ac:dyDescent="0.2">
      <c r="B32" s="75" t="s">
        <v>2579</v>
      </c>
      <c r="C32" s="71" t="s">
        <v>2526</v>
      </c>
      <c r="D32" s="19" t="s">
        <v>3426</v>
      </c>
      <c r="E32" s="65">
        <f>COUNTIFS(문제목록!J:J,기출빈도!D32,문제목록!N:N,"기출")</f>
        <v>4</v>
      </c>
      <c r="F32" s="100">
        <f>_xlfn.MAXIFS(문제목록!C:C,문제목록!J:J,기출빈도!D32,문제목록!N:N,"기출")</f>
        <v>2020</v>
      </c>
      <c r="G32" s="100">
        <f>COUNTIFS(문제목록!J:J,기출빈도!D32,문제목록!N:N,"기출",문제목록!O:O,"개념 문제")</f>
        <v>0</v>
      </c>
      <c r="H32" s="100">
        <f>_xlfn.MAXIFS(문제목록!C:C,문제목록!J:J,기출빈도!D32,문제목록!N:N,"기출",문제목록!O:O,"개념 문제")</f>
        <v>0</v>
      </c>
      <c r="I32" s="95" t="s">
        <v>3527</v>
      </c>
      <c r="J32" s="130" t="s">
        <v>2275</v>
      </c>
    </row>
    <row r="33" spans="2:10" ht="14.45" customHeight="1" x14ac:dyDescent="0.2">
      <c r="B33" s="75" t="s">
        <v>2579</v>
      </c>
      <c r="C33" s="71" t="s">
        <v>2526</v>
      </c>
      <c r="D33" s="19" t="s">
        <v>3430</v>
      </c>
      <c r="E33" s="65">
        <f>COUNTIFS(문제목록!J:J,기출빈도!D33,문제목록!N:N,"기출")</f>
        <v>1</v>
      </c>
      <c r="F33" s="100">
        <f>_xlfn.MAXIFS(문제목록!C:C,문제목록!J:J,기출빈도!D33,문제목록!N:N,"기출")</f>
        <v>2012</v>
      </c>
      <c r="G33" s="100">
        <f>COUNTIFS(문제목록!J:J,기출빈도!D33,문제목록!N:N,"기출",문제목록!O:O,"개념 문제")</f>
        <v>0</v>
      </c>
      <c r="H33" s="100">
        <f>_xlfn.MAXIFS(문제목록!C:C,문제목록!J:J,기출빈도!D33,문제목록!N:N,"기출",문제목록!O:O,"개념 문제")</f>
        <v>0</v>
      </c>
      <c r="I33" s="95" t="s">
        <v>3528</v>
      </c>
      <c r="J33" s="130" t="s">
        <v>2276</v>
      </c>
    </row>
    <row r="34" spans="2:10" ht="14.45" customHeight="1" x14ac:dyDescent="0.2">
      <c r="B34" s="75" t="s">
        <v>2579</v>
      </c>
      <c r="C34" s="71" t="s">
        <v>2526</v>
      </c>
      <c r="D34" s="19" t="s">
        <v>3424</v>
      </c>
      <c r="E34" s="65">
        <f>COUNTIFS(문제목록!J:J,기출빈도!D34,문제목록!N:N,"기출")</f>
        <v>1</v>
      </c>
      <c r="F34" s="100">
        <f>_xlfn.MAXIFS(문제목록!C:C,문제목록!J:J,기출빈도!D34,문제목록!N:N,"기출")</f>
        <v>2022</v>
      </c>
      <c r="G34" s="100">
        <f>COUNTIFS(문제목록!J:J,기출빈도!D34,문제목록!N:N,"기출",문제목록!O:O,"개념 문제")</f>
        <v>0</v>
      </c>
      <c r="H34" s="100">
        <f>_xlfn.MAXIFS(문제목록!C:C,문제목록!J:J,기출빈도!D34,문제목록!N:N,"기출",문제목록!O:O,"개념 문제")</f>
        <v>0</v>
      </c>
      <c r="I34" s="95" t="s">
        <v>3529</v>
      </c>
      <c r="J34" s="130" t="s">
        <v>2277</v>
      </c>
    </row>
    <row r="35" spans="2:10" ht="14.45" customHeight="1" x14ac:dyDescent="0.2">
      <c r="B35" s="75"/>
      <c r="C35" s="71" t="s">
        <v>3541</v>
      </c>
      <c r="D35" s="19" t="s">
        <v>3539</v>
      </c>
      <c r="E35" s="65">
        <f>COUNTIFS(문제목록!J:J,기출빈도!D35,문제목록!N:N,"기출")</f>
        <v>0</v>
      </c>
      <c r="F35" s="100">
        <f>_xlfn.MAXIFS(문제목록!C:C,문제목록!J:J,기출빈도!D35,문제목록!N:N,"기출")</f>
        <v>0</v>
      </c>
      <c r="G35" s="100">
        <f>COUNTIFS(문제목록!J:J,기출빈도!D35,문제목록!N:N,"기출",문제목록!O:O,"개념 문제")</f>
        <v>0</v>
      </c>
      <c r="H35" s="100">
        <f>_xlfn.MAXIFS(문제목록!C:C,문제목록!J:J,기출빈도!D35,문제목록!N:N,"기출",문제목록!O:O,"개념 문제")</f>
        <v>0</v>
      </c>
      <c r="I35" s="95"/>
      <c r="J35" s="130" t="s">
        <v>2278</v>
      </c>
    </row>
    <row r="36" spans="2:10" ht="14.45" customHeight="1" x14ac:dyDescent="0.2">
      <c r="B36" s="75" t="s">
        <v>2579</v>
      </c>
      <c r="C36" s="71" t="s">
        <v>2526</v>
      </c>
      <c r="D36" s="19" t="s">
        <v>3428</v>
      </c>
      <c r="E36" s="65">
        <f>COUNTIFS(문제목록!J:J,기출빈도!D36,문제목록!N:N,"기출")</f>
        <v>1</v>
      </c>
      <c r="F36" s="100">
        <f>_xlfn.MAXIFS(문제목록!C:C,문제목록!J:J,기출빈도!D36,문제목록!N:N,"기출")</f>
        <v>2017</v>
      </c>
      <c r="G36" s="100">
        <f>COUNTIFS(문제목록!J:J,기출빈도!D36,문제목록!N:N,"기출",문제목록!O:O,"개념 문제")</f>
        <v>0</v>
      </c>
      <c r="H36" s="100">
        <f>_xlfn.MAXIFS(문제목록!C:C,문제목록!J:J,기출빈도!D36,문제목록!N:N,"기출",문제목록!O:O,"개념 문제")</f>
        <v>0</v>
      </c>
      <c r="I36" s="95" t="s">
        <v>3530</v>
      </c>
      <c r="J36" s="130" t="s">
        <v>2279</v>
      </c>
    </row>
    <row r="37" spans="2:10" ht="14.45" customHeight="1" x14ac:dyDescent="0.2">
      <c r="B37" s="75" t="s">
        <v>2579</v>
      </c>
      <c r="C37" s="71" t="s">
        <v>2526</v>
      </c>
      <c r="D37" s="19" t="s">
        <v>3422</v>
      </c>
      <c r="E37" s="65">
        <f>COUNTIFS(문제목록!J:J,기출빈도!D37,문제목록!N:N,"기출")</f>
        <v>3</v>
      </c>
      <c r="F37" s="100">
        <f>_xlfn.MAXIFS(문제목록!C:C,문제목록!J:J,기출빈도!D37,문제목록!N:N,"기출")</f>
        <v>2024</v>
      </c>
      <c r="G37" s="100">
        <f>COUNTIFS(문제목록!J:J,기출빈도!D37,문제목록!N:N,"기출",문제목록!O:O,"개념 문제")</f>
        <v>0</v>
      </c>
      <c r="H37" s="100">
        <f>_xlfn.MAXIFS(문제목록!C:C,문제목록!J:J,기출빈도!D37,문제목록!N:N,"기출",문제목록!O:O,"개념 문제")</f>
        <v>0</v>
      </c>
      <c r="I37" s="95" t="s">
        <v>3531</v>
      </c>
      <c r="J37" s="130" t="s">
        <v>2280</v>
      </c>
    </row>
    <row r="38" spans="2:10" ht="14.45" customHeight="1" x14ac:dyDescent="0.2">
      <c r="B38" s="75" t="s">
        <v>2579</v>
      </c>
      <c r="C38" s="71" t="s">
        <v>2526</v>
      </c>
      <c r="D38" s="19" t="s">
        <v>3436</v>
      </c>
      <c r="E38" s="65">
        <f>COUNTIFS(문제목록!J:J,기출빈도!D38,문제목록!N:N,"기출")</f>
        <v>0</v>
      </c>
      <c r="F38" s="101">
        <f>_xlfn.MAXIFS(문제목록!C:C,문제목록!J:J,기출빈도!D38,문제목록!N:N,"기출")</f>
        <v>0</v>
      </c>
      <c r="G38" s="101">
        <f>COUNTIFS(문제목록!J:J,기출빈도!D38,문제목록!N:N,"기출",문제목록!O:O,"개념 문제")</f>
        <v>0</v>
      </c>
      <c r="H38" s="110">
        <f>_xlfn.MAXIFS(문제목록!C:C,문제목록!J:J,기출빈도!D38,문제목록!N:N,"기출",문제목록!O:O,"개념 문제")</f>
        <v>0</v>
      </c>
      <c r="I38" s="95"/>
      <c r="J38" s="131" t="s">
        <v>2281</v>
      </c>
    </row>
    <row r="39" spans="2:10" ht="14.45" customHeight="1" thickBot="1" x14ac:dyDescent="0.25">
      <c r="B39" s="75" t="s">
        <v>2579</v>
      </c>
      <c r="C39" s="72" t="s">
        <v>2526</v>
      </c>
      <c r="D39" s="73" t="s">
        <v>3497</v>
      </c>
      <c r="E39" s="69">
        <f>SUM(E31:E38)</f>
        <v>10</v>
      </c>
      <c r="F39" s="92">
        <f>MAX(F31:F38)</f>
        <v>2024</v>
      </c>
      <c r="G39" s="92">
        <f>SUM(G31:G38)</f>
        <v>0</v>
      </c>
      <c r="H39" s="92">
        <f>MAX(H31:H38)</f>
        <v>0</v>
      </c>
      <c r="I39" s="96"/>
      <c r="J39" s="132"/>
    </row>
    <row r="40" spans="2:10" ht="14.45" customHeight="1" x14ac:dyDescent="0.2">
      <c r="B40" s="75" t="s">
        <v>2579</v>
      </c>
      <c r="C40" s="70" t="s">
        <v>2528</v>
      </c>
      <c r="D40" s="66" t="s">
        <v>3420</v>
      </c>
      <c r="E40" s="67">
        <f>COUNTIFS(문제목록!J:J,기출빈도!D40,문제목록!N:N,"기출")</f>
        <v>1</v>
      </c>
      <c r="F40" s="99">
        <f>_xlfn.MAXIFS(문제목록!C:C,문제목록!J:J,기출빈도!D40,문제목록!N:N,"기출")</f>
        <v>2025</v>
      </c>
      <c r="G40" s="99">
        <f>COUNTIFS(문제목록!J:J,기출빈도!D40,문제목록!N:N,"기출",문제목록!O:O,"개념 문제")</f>
        <v>0</v>
      </c>
      <c r="H40" s="99">
        <f>_xlfn.MAXIFS(문제목록!C:C,문제목록!J:J,기출빈도!D40,문제목록!N:N,"기출",문제목록!O:O,"개념 문제")</f>
        <v>0</v>
      </c>
      <c r="I40" s="94"/>
      <c r="J40" s="129" t="s">
        <v>2282</v>
      </c>
    </row>
    <row r="41" spans="2:10" ht="14.45" customHeight="1" x14ac:dyDescent="0.2">
      <c r="B41" s="75" t="s">
        <v>2579</v>
      </c>
      <c r="C41" s="71" t="s">
        <v>2528</v>
      </c>
      <c r="D41" s="19" t="s">
        <v>3437</v>
      </c>
      <c r="E41" s="65">
        <f>COUNTIFS(문제목록!J:J,기출빈도!D41,문제목록!N:N,"기출")</f>
        <v>0</v>
      </c>
      <c r="F41" s="100">
        <f>_xlfn.MAXIFS(문제목록!C:C,문제목록!J:J,기출빈도!D41,문제목록!N:N,"기출")</f>
        <v>0</v>
      </c>
      <c r="G41" s="100">
        <f>COUNTIFS(문제목록!J:J,기출빈도!D41,문제목록!N:N,"기출",문제목록!O:O,"개념 문제")</f>
        <v>0</v>
      </c>
      <c r="H41" s="100">
        <f>_xlfn.MAXIFS(문제목록!C:C,문제목록!J:J,기출빈도!D41,문제목록!N:N,"기출",문제목록!O:O,"개념 문제")</f>
        <v>0</v>
      </c>
      <c r="I41" s="95"/>
      <c r="J41" s="130" t="s">
        <v>2283</v>
      </c>
    </row>
    <row r="42" spans="2:10" ht="14.45" customHeight="1" x14ac:dyDescent="0.2">
      <c r="B42" s="75" t="s">
        <v>2579</v>
      </c>
      <c r="C42" s="71" t="s">
        <v>2528</v>
      </c>
      <c r="D42" s="19" t="s">
        <v>3425</v>
      </c>
      <c r="E42" s="65">
        <f>COUNTIFS(문제목록!J:J,기출빈도!D42,문제목록!N:N,"기출")</f>
        <v>3</v>
      </c>
      <c r="F42" s="100">
        <f>_xlfn.MAXIFS(문제목록!C:C,문제목록!J:J,기출빈도!D42,문제목록!N:N,"기출")</f>
        <v>2021</v>
      </c>
      <c r="G42" s="100">
        <f>COUNTIFS(문제목록!J:J,기출빈도!D42,문제목록!N:N,"기출",문제목록!O:O,"개념 문제")</f>
        <v>0</v>
      </c>
      <c r="H42" s="100">
        <f>_xlfn.MAXIFS(문제목록!C:C,문제목록!J:J,기출빈도!D42,문제목록!N:N,"기출",문제목록!O:O,"개념 문제")</f>
        <v>0</v>
      </c>
      <c r="I42" s="95" t="s">
        <v>3532</v>
      </c>
      <c r="J42" s="130" t="s">
        <v>2284</v>
      </c>
    </row>
    <row r="43" spans="2:10" ht="14.45" customHeight="1" x14ac:dyDescent="0.2">
      <c r="B43" s="75" t="s">
        <v>2579</v>
      </c>
      <c r="C43" s="71" t="s">
        <v>2528</v>
      </c>
      <c r="D43" s="19" t="s">
        <v>3427</v>
      </c>
      <c r="E43" s="65">
        <f>COUNTIFS(문제목록!J:J,기출빈도!D43,문제목록!N:N,"기출")</f>
        <v>2</v>
      </c>
      <c r="F43" s="100">
        <f>_xlfn.MAXIFS(문제목록!C:C,문제목록!J:J,기출빈도!D43,문제목록!N:N,"기출")</f>
        <v>2018</v>
      </c>
      <c r="G43" s="100">
        <f>COUNTIFS(문제목록!J:J,기출빈도!D43,문제목록!N:N,"기출",문제목록!O:O,"개념 문제")</f>
        <v>0</v>
      </c>
      <c r="H43" s="100">
        <f>_xlfn.MAXIFS(문제목록!C:C,문제목록!J:J,기출빈도!D43,문제목록!N:N,"기출",문제목록!O:O,"개념 문제")</f>
        <v>0</v>
      </c>
      <c r="I43" s="95" t="s">
        <v>3533</v>
      </c>
      <c r="J43" s="130" t="s">
        <v>2285</v>
      </c>
    </row>
    <row r="44" spans="2:10" ht="14.45" customHeight="1" x14ac:dyDescent="0.2">
      <c r="B44" s="75" t="s">
        <v>2579</v>
      </c>
      <c r="C44" s="71" t="s">
        <v>2528</v>
      </c>
      <c r="D44" s="19" t="s">
        <v>3431</v>
      </c>
      <c r="E44" s="65">
        <f>COUNTIFS(문제목록!J:J,기출빈도!D44,문제목록!N:N,"기출")</f>
        <v>1</v>
      </c>
      <c r="F44" s="100">
        <f>_xlfn.MAXIFS(문제목록!C:C,문제목록!J:J,기출빈도!D44,문제목록!N:N,"기출")</f>
        <v>2010</v>
      </c>
      <c r="G44" s="100">
        <f>COUNTIFS(문제목록!J:J,기출빈도!D44,문제목록!N:N,"기출",문제목록!O:O,"개념 문제")</f>
        <v>0</v>
      </c>
      <c r="H44" s="100">
        <f>_xlfn.MAXIFS(문제목록!C:C,문제목록!J:J,기출빈도!D44,문제목록!N:N,"기출",문제목록!O:O,"개념 문제")</f>
        <v>0</v>
      </c>
      <c r="I44" s="95" t="s">
        <v>3534</v>
      </c>
      <c r="J44" s="130" t="s">
        <v>2286</v>
      </c>
    </row>
    <row r="45" spans="2:10" ht="14.45" customHeight="1" x14ac:dyDescent="0.2">
      <c r="B45" s="75" t="s">
        <v>2579</v>
      </c>
      <c r="C45" s="71" t="s">
        <v>2528</v>
      </c>
      <c r="D45" s="19" t="s">
        <v>3421</v>
      </c>
      <c r="E45" s="65">
        <f>COUNTIFS(문제목록!J:J,기출빈도!D45,문제목록!N:N,"기출")</f>
        <v>1</v>
      </c>
      <c r="F45" s="101">
        <f>_xlfn.MAXIFS(문제목록!C:C,문제목록!J:J,기출빈도!D45,문제목록!N:N,"기출")</f>
        <v>2025</v>
      </c>
      <c r="G45" s="101">
        <f>COUNTIFS(문제목록!J:J,기출빈도!D45,문제목록!N:N,"기출",문제목록!O:O,"개념 문제")</f>
        <v>0</v>
      </c>
      <c r="H45" s="110">
        <f>_xlfn.MAXIFS(문제목록!C:C,문제목록!J:J,기출빈도!D45,문제목록!N:N,"기출",문제목록!O:O,"개념 문제")</f>
        <v>0</v>
      </c>
      <c r="I45" s="95"/>
      <c r="J45" s="131" t="s">
        <v>2287</v>
      </c>
    </row>
    <row r="46" spans="2:10" ht="14.45" customHeight="1" thickBot="1" x14ac:dyDescent="0.25">
      <c r="B46" s="75" t="s">
        <v>2579</v>
      </c>
      <c r="C46" s="72" t="s">
        <v>2528</v>
      </c>
      <c r="D46" s="73" t="s">
        <v>3497</v>
      </c>
      <c r="E46" s="69">
        <f>SUM(E40:E45)</f>
        <v>8</v>
      </c>
      <c r="F46" s="92">
        <f>MAX(F40:F45)</f>
        <v>2025</v>
      </c>
      <c r="G46" s="92">
        <f>SUM(G40:G45)</f>
        <v>0</v>
      </c>
      <c r="H46" s="92">
        <f>MAX(H40:H45)</f>
        <v>0</v>
      </c>
      <c r="I46" s="96"/>
      <c r="J46" s="132"/>
    </row>
    <row r="47" spans="2:10" ht="14.45" customHeight="1" thickBot="1" x14ac:dyDescent="0.25">
      <c r="B47" s="76" t="s">
        <v>2579</v>
      </c>
      <c r="C47" s="112" t="s">
        <v>3497</v>
      </c>
      <c r="D47" s="113"/>
      <c r="E47" s="114">
        <f>SUM(E30,E39,E46)</f>
        <v>24</v>
      </c>
      <c r="F47" s="115">
        <f>MAX(F30,F39,F46)</f>
        <v>2025</v>
      </c>
      <c r="G47" s="115">
        <f>SUM(G30,G39,G46)</f>
        <v>0</v>
      </c>
      <c r="H47" s="115">
        <f>MAX(H30,H39,H46)</f>
        <v>0</v>
      </c>
      <c r="I47" s="116"/>
      <c r="J47" s="133"/>
    </row>
    <row r="48" spans="2:10" ht="14.45" customHeight="1" x14ac:dyDescent="0.2">
      <c r="B48" s="120" t="s">
        <v>3535</v>
      </c>
      <c r="C48" s="122" t="s">
        <v>3536</v>
      </c>
      <c r="D48" s="66" t="s">
        <v>3499</v>
      </c>
      <c r="E48" s="67">
        <f>COUNTIFS(문제목록!J:J,기출빈도!D48,문제목록!N:N,"기출")</f>
        <v>0</v>
      </c>
      <c r="F48" s="123">
        <f>_xlfn.MAXIFS(문제목록!C:C,문제목록!J:J,기출빈도!D48,문제목록!N:N,"기출")</f>
        <v>0</v>
      </c>
      <c r="G48" s="123">
        <f>COUNTIFS(문제목록!J:J,기출빈도!D48,문제목록!N:N,"기출",문제목록!O:O,"개념 문제")</f>
        <v>0</v>
      </c>
      <c r="H48" s="123">
        <f>_xlfn.MAXIFS(문제목록!C:C,문제목록!J:J,기출빈도!D48,문제목록!N:N,"기출",문제목록!O:O,"개념 문제")</f>
        <v>0</v>
      </c>
      <c r="I48" s="94"/>
      <c r="J48" s="134" t="s">
        <v>2235</v>
      </c>
    </row>
    <row r="49" spans="2:10" ht="14.45" customHeight="1" x14ac:dyDescent="0.2">
      <c r="B49" s="75" t="s">
        <v>3535</v>
      </c>
      <c r="C49" s="128" t="s">
        <v>3536</v>
      </c>
      <c r="D49" s="19" t="s">
        <v>3500</v>
      </c>
      <c r="E49" s="65">
        <f>COUNTIFS(문제목록!J:J,기출빈도!D49,문제목록!N:N,"기출")</f>
        <v>0</v>
      </c>
      <c r="F49" s="100">
        <f>_xlfn.MAXIFS(문제목록!C:C,문제목록!J:J,기출빈도!D49,문제목록!N:N,"기출")</f>
        <v>0</v>
      </c>
      <c r="G49" s="100">
        <f>COUNTIFS(문제목록!J:J,기출빈도!D49,문제목록!N:N,"기출",문제목록!O:O,"개념 문제")</f>
        <v>0</v>
      </c>
      <c r="H49" s="100">
        <f>_xlfn.MAXIFS(문제목록!C:C,문제목록!J:J,기출빈도!D49,문제목록!N:N,"기출",문제목록!O:O,"개념 문제")</f>
        <v>0</v>
      </c>
      <c r="I49" s="95"/>
      <c r="J49" s="130" t="s">
        <v>2236</v>
      </c>
    </row>
    <row r="50" spans="2:10" ht="14.45" customHeight="1" thickBot="1" x14ac:dyDescent="0.25">
      <c r="B50" s="75" t="s">
        <v>3535</v>
      </c>
      <c r="C50" s="121"/>
      <c r="D50" s="124" t="s">
        <v>3537</v>
      </c>
      <c r="E50" s="125">
        <f>SUM(E48:E49)</f>
        <v>0</v>
      </c>
      <c r="F50" s="126">
        <f>MAX(F48:F49)</f>
        <v>0</v>
      </c>
      <c r="G50" s="126">
        <f>SUM(G48:G49)</f>
        <v>0</v>
      </c>
      <c r="H50" s="126">
        <f>MAX(H48:H49)</f>
        <v>0</v>
      </c>
      <c r="I50" s="127"/>
      <c r="J50" s="135"/>
    </row>
    <row r="51" spans="2:10" ht="14.45" customHeight="1" x14ac:dyDescent="0.2">
      <c r="B51" s="75" t="s">
        <v>3535</v>
      </c>
      <c r="C51" s="117" t="s">
        <v>2545</v>
      </c>
      <c r="D51" s="66" t="s">
        <v>3438</v>
      </c>
      <c r="E51" s="67">
        <f>COUNTIFS(문제목록!J:J,기출빈도!D51,문제목록!N:N,"기출")</f>
        <v>3</v>
      </c>
      <c r="F51" s="99">
        <f>_xlfn.MAXIFS(문제목록!C:C,문제목록!J:J,기출빈도!D51,문제목록!N:N,"기출")</f>
        <v>2025</v>
      </c>
      <c r="G51" s="99">
        <f>COUNTIFS(문제목록!J:J,기출빈도!D51,문제목록!N:N,"기출",문제목록!O:O,"개념 문제")</f>
        <v>0</v>
      </c>
      <c r="H51" s="99">
        <f>_xlfn.MAXIFS(문제목록!C:C,문제목록!J:J,기출빈도!D51,문제목록!N:N,"기출",문제목록!O:O,"개념 문제")</f>
        <v>0</v>
      </c>
      <c r="I51" s="94"/>
      <c r="J51" s="129" t="s">
        <v>2237</v>
      </c>
    </row>
    <row r="52" spans="2:10" ht="14.45" customHeight="1" x14ac:dyDescent="0.2">
      <c r="B52" s="75" t="s">
        <v>2534</v>
      </c>
      <c r="C52" s="118" t="s">
        <v>2545</v>
      </c>
      <c r="D52" s="19" t="s">
        <v>3441</v>
      </c>
      <c r="E52" s="65">
        <f>COUNTIFS(문제목록!J:J,기출빈도!D52,문제목록!N:N,"기출")</f>
        <v>0</v>
      </c>
      <c r="F52" s="100">
        <f>_xlfn.MAXIFS(문제목록!C:C,문제목록!J:J,기출빈도!D52,문제목록!N:N,"기출")</f>
        <v>0</v>
      </c>
      <c r="G52" s="100">
        <f>COUNTIFS(문제목록!J:J,기출빈도!D52,문제목록!N:N,"기출",문제목록!O:O,"개념 문제")</f>
        <v>0</v>
      </c>
      <c r="H52" s="100">
        <f>_xlfn.MAXIFS(문제목록!C:C,문제목록!J:J,기출빈도!D52,문제목록!N:N,"기출",문제목록!O:O,"개념 문제")</f>
        <v>0</v>
      </c>
      <c r="I52" s="95"/>
      <c r="J52" s="130" t="s">
        <v>2238</v>
      </c>
    </row>
    <row r="53" spans="2:10" ht="14.45" customHeight="1" x14ac:dyDescent="0.2">
      <c r="B53" s="75" t="s">
        <v>2534</v>
      </c>
      <c r="C53" s="118" t="s">
        <v>2545</v>
      </c>
      <c r="D53" s="19" t="s">
        <v>3440</v>
      </c>
      <c r="E53" s="65">
        <f>COUNTIFS(문제목록!J:J,기출빈도!D53,문제목록!N:N,"기출")</f>
        <v>1</v>
      </c>
      <c r="F53" s="101">
        <f>_xlfn.MAXIFS(문제목록!C:C,문제목록!J:J,기출빈도!D53,문제목록!N:N,"기출")</f>
        <v>2013</v>
      </c>
      <c r="G53" s="101">
        <f>COUNTIFS(문제목록!J:J,기출빈도!D53,문제목록!N:N,"기출",문제목록!O:O,"개념 문제")</f>
        <v>0</v>
      </c>
      <c r="H53" s="110">
        <f>_xlfn.MAXIFS(문제목록!C:C,문제목록!J:J,기출빈도!D53,문제목록!N:N,"기출",문제목록!O:O,"개념 문제")</f>
        <v>0</v>
      </c>
      <c r="I53" s="95"/>
      <c r="J53" s="131" t="s">
        <v>2239</v>
      </c>
    </row>
    <row r="54" spans="2:10" ht="14.45" customHeight="1" thickBot="1" x14ac:dyDescent="0.25">
      <c r="B54" s="75" t="s">
        <v>2534</v>
      </c>
      <c r="C54" s="119" t="s">
        <v>2545</v>
      </c>
      <c r="D54" s="73" t="s">
        <v>3497</v>
      </c>
      <c r="E54" s="69">
        <f>SUM(E51:E53)</f>
        <v>4</v>
      </c>
      <c r="F54" s="92">
        <f>MAX(F51:F53)</f>
        <v>2025</v>
      </c>
      <c r="G54" s="92">
        <f>SUM(G51:G53)</f>
        <v>0</v>
      </c>
      <c r="H54" s="92">
        <f>MAX(H51:H53)</f>
        <v>0</v>
      </c>
      <c r="I54" s="96"/>
      <c r="J54" s="132"/>
    </row>
    <row r="55" spans="2:10" ht="14.45" customHeight="1" x14ac:dyDescent="0.2">
      <c r="B55" s="75" t="s">
        <v>2534</v>
      </c>
      <c r="C55" s="117" t="s">
        <v>2547</v>
      </c>
      <c r="D55" s="66" t="s">
        <v>3486</v>
      </c>
      <c r="E55" s="67">
        <f>COUNTIFS(문제목록!J:J,기출빈도!D55,문제목록!N:N,"기출")</f>
        <v>0</v>
      </c>
      <c r="F55" s="99">
        <f>_xlfn.MAXIFS(문제목록!C:C,문제목록!J:J,기출빈도!D55,문제목록!N:N,"기출")</f>
        <v>0</v>
      </c>
      <c r="G55" s="99">
        <f>COUNTIFS(문제목록!J:J,기출빈도!D55,문제목록!N:N,"기출",문제목록!O:O,"개념 문제")</f>
        <v>0</v>
      </c>
      <c r="H55" s="99">
        <f>_xlfn.MAXIFS(문제목록!C:C,문제목록!J:J,기출빈도!D55,문제목록!N:N,"기출",문제목록!O:O,"개념 문제")</f>
        <v>0</v>
      </c>
      <c r="I55" s="94"/>
      <c r="J55" s="129" t="s">
        <v>2240</v>
      </c>
    </row>
    <row r="56" spans="2:10" ht="14.45" customHeight="1" x14ac:dyDescent="0.2">
      <c r="B56" s="75" t="s">
        <v>2534</v>
      </c>
      <c r="C56" s="118" t="s">
        <v>2547</v>
      </c>
      <c r="D56" s="19" t="s">
        <v>3439</v>
      </c>
      <c r="E56" s="65">
        <f>COUNTIFS(문제목록!J:J,기출빈도!D56,문제목록!N:N,"기출")</f>
        <v>4</v>
      </c>
      <c r="F56" s="100">
        <f>_xlfn.MAXIFS(문제목록!C:C,문제목록!J:J,기출빈도!D56,문제목록!N:N,"기출")</f>
        <v>2023</v>
      </c>
      <c r="G56" s="100">
        <f>COUNTIFS(문제목록!J:J,기출빈도!D56,문제목록!N:N,"기출",문제목록!O:O,"개념 문제")</f>
        <v>0</v>
      </c>
      <c r="H56" s="100">
        <f>_xlfn.MAXIFS(문제목록!C:C,문제목록!J:J,기출빈도!D56,문제목록!N:N,"기출",문제목록!O:O,"개념 문제")</f>
        <v>0</v>
      </c>
      <c r="I56" s="95"/>
      <c r="J56" s="130" t="s">
        <v>2241</v>
      </c>
    </row>
    <row r="57" spans="2:10" ht="14.45" customHeight="1" thickBot="1" x14ac:dyDescent="0.25">
      <c r="B57" s="75" t="s">
        <v>2534</v>
      </c>
      <c r="C57" s="119" t="s">
        <v>2547</v>
      </c>
      <c r="D57" s="73" t="s">
        <v>3497</v>
      </c>
      <c r="E57" s="69">
        <f>SUM(E55:E56)</f>
        <v>4</v>
      </c>
      <c r="F57" s="92">
        <f>MAX(F55:F56)</f>
        <v>2023</v>
      </c>
      <c r="G57" s="92">
        <f>SUM(G55:G56)</f>
        <v>0</v>
      </c>
      <c r="H57" s="92">
        <f>MAX(H55:H56)</f>
        <v>0</v>
      </c>
      <c r="I57" s="96"/>
      <c r="J57" s="132"/>
    </row>
    <row r="58" spans="2:10" ht="14.45" customHeight="1" thickBot="1" x14ac:dyDescent="0.25">
      <c r="B58" s="111" t="s">
        <v>2534</v>
      </c>
      <c r="C58" s="112" t="s">
        <v>3497</v>
      </c>
      <c r="D58" s="113"/>
      <c r="E58" s="114">
        <f>SUM(E50,E54,E57)</f>
        <v>8</v>
      </c>
      <c r="F58" s="115">
        <f>MAX(F50,F54,F57)</f>
        <v>2025</v>
      </c>
      <c r="G58" s="115">
        <f>SUM(G50,G54,G57)</f>
        <v>0</v>
      </c>
      <c r="H58" s="115">
        <f>MAX(H50,H54,H57)</f>
        <v>0</v>
      </c>
      <c r="I58" s="116"/>
      <c r="J58" s="133"/>
    </row>
    <row r="59" spans="2:10" ht="14.45" customHeight="1" x14ac:dyDescent="0.2">
      <c r="B59" s="74" t="s">
        <v>2535</v>
      </c>
      <c r="C59" s="70" t="s">
        <v>2549</v>
      </c>
      <c r="D59" s="66" t="s">
        <v>3442</v>
      </c>
      <c r="E59" s="67">
        <f>COUNTIFS(문제목록!J:J,기출빈도!D59,문제목록!N:N,"기출")</f>
        <v>3</v>
      </c>
      <c r="F59" s="99">
        <f>_xlfn.MAXIFS(문제목록!C:C,문제목록!J:J,기출빈도!D59,문제목록!N:N,"기출")</f>
        <v>2025</v>
      </c>
      <c r="G59" s="99">
        <f>COUNTIFS(문제목록!J:J,기출빈도!D59,문제목록!N:N,"기출",문제목록!O:O,"개념 문제")</f>
        <v>0</v>
      </c>
      <c r="H59" s="99">
        <f>_xlfn.MAXIFS(문제목록!C:C,문제목록!J:J,기출빈도!D59,문제목록!N:N,"기출",문제목록!O:O,"개념 문제")</f>
        <v>0</v>
      </c>
      <c r="I59" s="94"/>
      <c r="J59" s="129" t="s">
        <v>2242</v>
      </c>
    </row>
    <row r="60" spans="2:10" ht="14.45" customHeight="1" x14ac:dyDescent="0.2">
      <c r="B60" s="75" t="s">
        <v>2535</v>
      </c>
      <c r="C60" s="71" t="s">
        <v>2549</v>
      </c>
      <c r="D60" s="19" t="s">
        <v>3444</v>
      </c>
      <c r="E60" s="65">
        <f>COUNTIFS(문제목록!J:J,기출빈도!D60,문제목록!N:N,"기출")</f>
        <v>2</v>
      </c>
      <c r="F60" s="100">
        <f>_xlfn.MAXIFS(문제목록!C:C,문제목록!J:J,기출빈도!D60,문제목록!N:N,"기출")</f>
        <v>2021</v>
      </c>
      <c r="G60" s="100">
        <f>COUNTIFS(문제목록!J:J,기출빈도!D60,문제목록!N:N,"기출",문제목록!O:O,"개념 문제")</f>
        <v>0</v>
      </c>
      <c r="H60" s="100">
        <f>_xlfn.MAXIFS(문제목록!C:C,문제목록!J:J,기출빈도!D60,문제목록!N:N,"기출",문제목록!O:O,"개념 문제")</f>
        <v>0</v>
      </c>
      <c r="I60" s="95"/>
      <c r="J60" s="130" t="s">
        <v>2243</v>
      </c>
    </row>
    <row r="61" spans="2:10" ht="14.45" customHeight="1" thickBot="1" x14ac:dyDescent="0.25">
      <c r="B61" s="75" t="s">
        <v>2535</v>
      </c>
      <c r="C61" s="72" t="s">
        <v>2549</v>
      </c>
      <c r="D61" s="73" t="s">
        <v>3497</v>
      </c>
      <c r="E61" s="69">
        <f>SUM(E59:E60)</f>
        <v>5</v>
      </c>
      <c r="F61" s="92">
        <f>MAX(F59:F60)</f>
        <v>2025</v>
      </c>
      <c r="G61" s="92">
        <f>SUM(G59:G60)</f>
        <v>0</v>
      </c>
      <c r="H61" s="92">
        <f>MAX(H59:H60)</f>
        <v>0</v>
      </c>
      <c r="I61" s="96"/>
      <c r="J61" s="132"/>
    </row>
    <row r="62" spans="2:10" ht="14.45" customHeight="1" x14ac:dyDescent="0.2">
      <c r="B62" s="75" t="s">
        <v>2535</v>
      </c>
      <c r="C62" s="70" t="s">
        <v>2551</v>
      </c>
      <c r="D62" s="66" t="s">
        <v>3443</v>
      </c>
      <c r="E62" s="67">
        <f>COUNTIFS(문제목록!J:J,기출빈도!D62,문제목록!N:N,"기출")</f>
        <v>8</v>
      </c>
      <c r="F62" s="99">
        <f>_xlfn.MAXIFS(문제목록!C:C,문제목록!J:J,기출빈도!D62,문제목록!N:N,"기출")</f>
        <v>2024</v>
      </c>
      <c r="G62" s="99">
        <f>COUNTIFS(문제목록!J:J,기출빈도!D62,문제목록!N:N,"기출",문제목록!O:O,"개념 문제")</f>
        <v>0</v>
      </c>
      <c r="H62" s="99">
        <f>_xlfn.MAXIFS(문제목록!C:C,문제목록!J:J,기출빈도!D62,문제목록!N:N,"기출",문제목록!O:O,"개념 문제")</f>
        <v>0</v>
      </c>
      <c r="I62" s="94"/>
      <c r="J62" s="129" t="s">
        <v>2244</v>
      </c>
    </row>
    <row r="63" spans="2:10" ht="14.45" customHeight="1" x14ac:dyDescent="0.2">
      <c r="B63" s="75" t="s">
        <v>2535</v>
      </c>
      <c r="C63" s="71" t="s">
        <v>2551</v>
      </c>
      <c r="D63" s="19" t="s">
        <v>3445</v>
      </c>
      <c r="E63" s="65">
        <f>COUNTIFS(문제목록!J:J,기출빈도!D63,문제목록!N:N,"기출")</f>
        <v>4</v>
      </c>
      <c r="F63" s="100">
        <f>_xlfn.MAXIFS(문제목록!C:C,문제목록!J:J,기출빈도!D63,문제목록!N:N,"기출")</f>
        <v>2019</v>
      </c>
      <c r="G63" s="100">
        <f>COUNTIFS(문제목록!J:J,기출빈도!D63,문제목록!N:N,"기출",문제목록!O:O,"개념 문제")</f>
        <v>0</v>
      </c>
      <c r="H63" s="100">
        <f>_xlfn.MAXIFS(문제목록!C:C,문제목록!J:J,기출빈도!D63,문제목록!N:N,"기출",문제목록!O:O,"개념 문제")</f>
        <v>0</v>
      </c>
      <c r="I63" s="95"/>
      <c r="J63" s="130" t="s">
        <v>2245</v>
      </c>
    </row>
    <row r="64" spans="2:10" ht="14.45" customHeight="1" x14ac:dyDescent="0.2">
      <c r="B64" s="75" t="s">
        <v>2535</v>
      </c>
      <c r="C64" s="71" t="s">
        <v>2551</v>
      </c>
      <c r="D64" s="19" t="s">
        <v>3446</v>
      </c>
      <c r="E64" s="65">
        <f>COUNTIFS(문제목록!J:J,기출빈도!D64,문제목록!N:N,"기출")</f>
        <v>1</v>
      </c>
      <c r="F64" s="101">
        <f>_xlfn.MAXIFS(문제목록!C:C,문제목록!J:J,기출빈도!D64,문제목록!N:N,"기출")</f>
        <v>2017</v>
      </c>
      <c r="G64" s="101">
        <f>COUNTIFS(문제목록!J:J,기출빈도!D64,문제목록!N:N,"기출",문제목록!O:O,"개념 문제")</f>
        <v>0</v>
      </c>
      <c r="H64" s="110">
        <f>_xlfn.MAXIFS(문제목록!C:C,문제목록!J:J,기출빈도!D64,문제목록!N:N,"기출",문제목록!O:O,"개념 문제")</f>
        <v>0</v>
      </c>
      <c r="I64" s="95"/>
      <c r="J64" s="131" t="s">
        <v>2246</v>
      </c>
    </row>
    <row r="65" spans="2:10" ht="14.45" customHeight="1" thickBot="1" x14ac:dyDescent="0.25">
      <c r="B65" s="75" t="s">
        <v>2535</v>
      </c>
      <c r="C65" s="72" t="s">
        <v>2551</v>
      </c>
      <c r="D65" s="73" t="s">
        <v>3497</v>
      </c>
      <c r="E65" s="69">
        <f>SUM(E62:E64)</f>
        <v>13</v>
      </c>
      <c r="F65" s="92">
        <f>MAX(F62:F64)</f>
        <v>2024</v>
      </c>
      <c r="G65" s="92">
        <f>SUM(G62:G64)</f>
        <v>0</v>
      </c>
      <c r="H65" s="92">
        <f>MAX(H62:H64)</f>
        <v>0</v>
      </c>
      <c r="I65" s="96"/>
      <c r="J65" s="132"/>
    </row>
    <row r="66" spans="2:10" ht="14.45" customHeight="1" thickBot="1" x14ac:dyDescent="0.25">
      <c r="B66" s="111" t="s">
        <v>2535</v>
      </c>
      <c r="C66" s="112" t="s">
        <v>3497</v>
      </c>
      <c r="D66" s="113"/>
      <c r="E66" s="114">
        <f>SUM(E61,E65)</f>
        <v>18</v>
      </c>
      <c r="F66" s="115">
        <f>MAX(F61,F65)</f>
        <v>2025</v>
      </c>
      <c r="G66" s="115">
        <f>SUM(G61,G65)</f>
        <v>0</v>
      </c>
      <c r="H66" s="115">
        <f>MAX(H61,H65)</f>
        <v>0</v>
      </c>
      <c r="I66" s="116"/>
      <c r="J66" s="133"/>
    </row>
    <row r="67" spans="2:10" ht="14.45" customHeight="1" x14ac:dyDescent="0.2">
      <c r="B67" s="74" t="s">
        <v>2536</v>
      </c>
      <c r="C67" s="70" t="s">
        <v>2553</v>
      </c>
      <c r="D67" s="66" t="s">
        <v>3488</v>
      </c>
      <c r="E67" s="67">
        <f>COUNTIFS(문제목록!J:J,기출빈도!D67,문제목록!N:N,"기출")</f>
        <v>0</v>
      </c>
      <c r="F67" s="99">
        <f>_xlfn.MAXIFS(문제목록!C:C,문제목록!J:J,기출빈도!D67,문제목록!N:N,"기출")</f>
        <v>0</v>
      </c>
      <c r="G67" s="99">
        <f>COUNTIFS(문제목록!J:J,기출빈도!D67,문제목록!N:N,"기출",문제목록!O:O,"개념 문제")</f>
        <v>0</v>
      </c>
      <c r="H67" s="99">
        <f>_xlfn.MAXIFS(문제목록!C:C,문제목록!J:J,기출빈도!D67,문제목록!N:N,"기출",문제목록!O:O,"개념 문제")</f>
        <v>0</v>
      </c>
      <c r="I67" s="94"/>
      <c r="J67" s="129" t="s">
        <v>2247</v>
      </c>
    </row>
    <row r="68" spans="2:10" ht="14.45" customHeight="1" x14ac:dyDescent="0.2">
      <c r="B68" s="75" t="s">
        <v>2536</v>
      </c>
      <c r="C68" s="71" t="s">
        <v>2553</v>
      </c>
      <c r="D68" s="19" t="s">
        <v>3449</v>
      </c>
      <c r="E68" s="65">
        <f>COUNTIFS(문제목록!J:J,기출빈도!D68,문제목록!N:N,"기출")</f>
        <v>0</v>
      </c>
      <c r="F68" s="100">
        <f>_xlfn.MAXIFS(문제목록!C:C,문제목록!J:J,기출빈도!D68,문제목록!N:N,"기출")</f>
        <v>0</v>
      </c>
      <c r="G68" s="100">
        <f>COUNTIFS(문제목록!J:J,기출빈도!D68,문제목록!N:N,"기출",문제목록!O:O,"개념 문제")</f>
        <v>0</v>
      </c>
      <c r="H68" s="100">
        <f>_xlfn.MAXIFS(문제목록!C:C,문제목록!J:J,기출빈도!D68,문제목록!N:N,"기출",문제목록!O:O,"개념 문제")</f>
        <v>0</v>
      </c>
      <c r="I68" s="95"/>
      <c r="J68" s="130" t="s">
        <v>2248</v>
      </c>
    </row>
    <row r="69" spans="2:10" ht="14.45" customHeight="1" x14ac:dyDescent="0.2">
      <c r="B69" s="75" t="s">
        <v>2536</v>
      </c>
      <c r="C69" s="71" t="s">
        <v>2553</v>
      </c>
      <c r="D69" s="19" t="s">
        <v>3447</v>
      </c>
      <c r="E69" s="65">
        <f>COUNTIFS(문제목록!J:J,기출빈도!D69,문제목록!N:N,"기출")</f>
        <v>1</v>
      </c>
      <c r="F69" s="101">
        <f>_xlfn.MAXIFS(문제목록!C:C,문제목록!J:J,기출빈도!D69,문제목록!N:N,"기출")</f>
        <v>2024</v>
      </c>
      <c r="G69" s="101">
        <f>COUNTIFS(문제목록!J:J,기출빈도!D69,문제목록!N:N,"기출",문제목록!O:O,"개념 문제")</f>
        <v>0</v>
      </c>
      <c r="H69" s="110">
        <f>_xlfn.MAXIFS(문제목록!C:C,문제목록!J:J,기출빈도!D69,문제목록!N:N,"기출",문제목록!O:O,"개념 문제")</f>
        <v>0</v>
      </c>
      <c r="I69" s="95"/>
      <c r="J69" s="131" t="s">
        <v>2249</v>
      </c>
    </row>
    <row r="70" spans="2:10" ht="14.45" customHeight="1" thickBot="1" x14ac:dyDescent="0.25">
      <c r="B70" s="75" t="s">
        <v>2536</v>
      </c>
      <c r="C70" s="72" t="s">
        <v>2553</v>
      </c>
      <c r="D70" s="73" t="s">
        <v>3497</v>
      </c>
      <c r="E70" s="69">
        <f>SUM(E67:E69)</f>
        <v>1</v>
      </c>
      <c r="F70" s="92">
        <f>MAX(F67:F69)</f>
        <v>2024</v>
      </c>
      <c r="G70" s="92">
        <f>SUM(G67:G69)</f>
        <v>0</v>
      </c>
      <c r="H70" s="92">
        <f>MAX(H67:H69)</f>
        <v>0</v>
      </c>
      <c r="I70" s="96"/>
      <c r="J70" s="132"/>
    </row>
    <row r="71" spans="2:10" ht="14.45" customHeight="1" x14ac:dyDescent="0.2">
      <c r="B71" s="75" t="s">
        <v>2536</v>
      </c>
      <c r="C71" s="70" t="s">
        <v>2555</v>
      </c>
      <c r="D71" s="66" t="s">
        <v>3490</v>
      </c>
      <c r="E71" s="67">
        <f>COUNTIFS(문제목록!J:J,기출빈도!D71,문제목록!N:N,"기출")</f>
        <v>0</v>
      </c>
      <c r="F71" s="99">
        <f>_xlfn.MAXIFS(문제목록!C:C,문제목록!J:J,기출빈도!D71,문제목록!N:N,"기출")</f>
        <v>0</v>
      </c>
      <c r="G71" s="99">
        <f>COUNTIFS(문제목록!J:J,기출빈도!D71,문제목록!N:N,"기출",문제목록!O:O,"개념 문제")</f>
        <v>0</v>
      </c>
      <c r="H71" s="99">
        <f>_xlfn.MAXIFS(문제목록!C:C,문제목록!J:J,기출빈도!D71,문제목록!N:N,"기출",문제목록!O:O,"개념 문제")</f>
        <v>0</v>
      </c>
      <c r="I71" s="94"/>
      <c r="J71" s="129" t="s">
        <v>2250</v>
      </c>
    </row>
    <row r="72" spans="2:10" ht="14.45" customHeight="1" x14ac:dyDescent="0.2">
      <c r="B72" s="75" t="s">
        <v>2536</v>
      </c>
      <c r="C72" s="71" t="s">
        <v>2555</v>
      </c>
      <c r="D72" s="19" t="s">
        <v>3448</v>
      </c>
      <c r="E72" s="65">
        <f>COUNTIFS(문제목록!J:J,기출빈도!D72,문제목록!N:N,"기출")</f>
        <v>1</v>
      </c>
      <c r="F72" s="100">
        <f>_xlfn.MAXIFS(문제목록!C:C,문제목록!J:J,기출빈도!D72,문제목록!N:N,"기출")</f>
        <v>2023</v>
      </c>
      <c r="G72" s="100">
        <f>COUNTIFS(문제목록!J:J,기출빈도!D72,문제목록!N:N,"기출",문제목록!O:O,"개념 문제")</f>
        <v>0</v>
      </c>
      <c r="H72" s="100">
        <f>_xlfn.MAXIFS(문제목록!C:C,문제목록!J:J,기출빈도!D72,문제목록!N:N,"기출",문제목록!O:O,"개념 문제")</f>
        <v>0</v>
      </c>
      <c r="I72" s="95"/>
      <c r="J72" s="130" t="s">
        <v>2251</v>
      </c>
    </row>
    <row r="73" spans="2:10" ht="14.45" customHeight="1" x14ac:dyDescent="0.2">
      <c r="B73" s="75" t="s">
        <v>2536</v>
      </c>
      <c r="C73" s="71" t="s">
        <v>2555</v>
      </c>
      <c r="D73" s="19" t="s">
        <v>3450</v>
      </c>
      <c r="E73" s="65">
        <f>COUNTIFS(문제목록!J:J,기출빈도!D73,문제목록!N:N,"기출")</f>
        <v>0</v>
      </c>
      <c r="F73" s="100">
        <f>_xlfn.MAXIFS(문제목록!C:C,문제목록!J:J,기출빈도!D73,문제목록!N:N,"기출")</f>
        <v>0</v>
      </c>
      <c r="G73" s="100">
        <f>COUNTIFS(문제목록!J:J,기출빈도!D73,문제목록!N:N,"기출",문제목록!O:O,"개념 문제")</f>
        <v>0</v>
      </c>
      <c r="H73" s="100">
        <f>_xlfn.MAXIFS(문제목록!C:C,문제목록!J:J,기출빈도!D73,문제목록!N:N,"기출",문제목록!O:O,"개념 문제")</f>
        <v>0</v>
      </c>
      <c r="I73" s="95"/>
      <c r="J73" s="130" t="s">
        <v>2252</v>
      </c>
    </row>
    <row r="74" spans="2:10" ht="14.45" customHeight="1" x14ac:dyDescent="0.2">
      <c r="B74" s="75" t="s">
        <v>2536</v>
      </c>
      <c r="C74" s="71" t="s">
        <v>2555</v>
      </c>
      <c r="D74" s="19" t="s">
        <v>3451</v>
      </c>
      <c r="E74" s="65">
        <f>COUNTIFS(문제목록!J:J,기출빈도!D74,문제목록!N:N,"기출")</f>
        <v>0</v>
      </c>
      <c r="F74" s="101">
        <f>_xlfn.MAXIFS(문제목록!C:C,문제목록!J:J,기출빈도!D74,문제목록!N:N,"기출")</f>
        <v>0</v>
      </c>
      <c r="G74" s="101">
        <f>COUNTIFS(문제목록!J:J,기출빈도!D74,문제목록!N:N,"기출",문제목록!O:O,"개념 문제")</f>
        <v>0</v>
      </c>
      <c r="H74" s="110">
        <f>_xlfn.MAXIFS(문제목록!C:C,문제목록!J:J,기출빈도!D74,문제목록!N:N,"기출",문제목록!O:O,"개념 문제")</f>
        <v>0</v>
      </c>
      <c r="I74" s="95"/>
      <c r="J74" s="131" t="s">
        <v>2253</v>
      </c>
    </row>
    <row r="75" spans="2:10" ht="14.45" customHeight="1" thickBot="1" x14ac:dyDescent="0.25">
      <c r="B75" s="75" t="s">
        <v>2536</v>
      </c>
      <c r="C75" s="72" t="s">
        <v>2555</v>
      </c>
      <c r="D75" s="73" t="s">
        <v>3497</v>
      </c>
      <c r="E75" s="69">
        <f>SUM(E71:E74)</f>
        <v>1</v>
      </c>
      <c r="F75" s="92">
        <f>MAX(F71:F74)</f>
        <v>2023</v>
      </c>
      <c r="G75" s="92">
        <f>SUM(G71:G74)</f>
        <v>0</v>
      </c>
      <c r="H75" s="92">
        <f>MAX(H71:H74)</f>
        <v>0</v>
      </c>
      <c r="I75" s="96"/>
      <c r="J75" s="132"/>
    </row>
    <row r="76" spans="2:10" ht="14.45" customHeight="1" x14ac:dyDescent="0.2">
      <c r="B76" s="75" t="s">
        <v>2536</v>
      </c>
      <c r="C76" s="70" t="s">
        <v>2557</v>
      </c>
      <c r="D76" s="66" t="s">
        <v>3492</v>
      </c>
      <c r="E76" s="67">
        <f>COUNTIFS(문제목록!J:J,기출빈도!D76,문제목록!N:N,"기출")</f>
        <v>0</v>
      </c>
      <c r="F76" s="99">
        <f>_xlfn.MAXIFS(문제목록!C:C,문제목록!J:J,기출빈도!D76,문제목록!N:N,"기출")</f>
        <v>0</v>
      </c>
      <c r="G76" s="99">
        <f>COUNTIFS(문제목록!J:J,기출빈도!D76,문제목록!N:N,"기출",문제목록!O:O,"개념 문제")</f>
        <v>0</v>
      </c>
      <c r="H76" s="99">
        <f>_xlfn.MAXIFS(문제목록!C:C,문제목록!J:J,기출빈도!D76,문제목록!N:N,"기출",문제목록!O:O,"개념 문제")</f>
        <v>0</v>
      </c>
      <c r="I76" s="94"/>
      <c r="J76" s="129" t="s">
        <v>2254</v>
      </c>
    </row>
    <row r="77" spans="2:10" ht="14.45" customHeight="1" x14ac:dyDescent="0.2">
      <c r="B77" s="75" t="s">
        <v>2536</v>
      </c>
      <c r="C77" s="71" t="s">
        <v>2557</v>
      </c>
      <c r="D77" s="19" t="s">
        <v>3452</v>
      </c>
      <c r="E77" s="65">
        <f>COUNTIFS(문제목록!J:J,기출빈도!D77,문제목록!N:N,"기출")</f>
        <v>0</v>
      </c>
      <c r="F77" s="100">
        <f>_xlfn.MAXIFS(문제목록!C:C,문제목록!J:J,기출빈도!D77,문제목록!N:N,"기출")</f>
        <v>0</v>
      </c>
      <c r="G77" s="100">
        <f>COUNTIFS(문제목록!J:J,기출빈도!D77,문제목록!N:N,"기출",문제목록!O:O,"개념 문제")</f>
        <v>0</v>
      </c>
      <c r="H77" s="100">
        <f>_xlfn.MAXIFS(문제목록!C:C,문제목록!J:J,기출빈도!D77,문제목록!N:N,"기출",문제목록!O:O,"개념 문제")</f>
        <v>0</v>
      </c>
      <c r="I77" s="95"/>
      <c r="J77" s="130" t="s">
        <v>2255</v>
      </c>
    </row>
    <row r="78" spans="2:10" ht="14.45" customHeight="1" x14ac:dyDescent="0.2">
      <c r="B78" s="75" t="s">
        <v>2536</v>
      </c>
      <c r="C78" s="71" t="s">
        <v>2557</v>
      </c>
      <c r="D78" s="19" t="s">
        <v>3453</v>
      </c>
      <c r="E78" s="65">
        <f>COUNTIFS(문제목록!J:J,기출빈도!D78,문제목록!N:N,"기출")</f>
        <v>0</v>
      </c>
      <c r="F78" s="100">
        <f>_xlfn.MAXIFS(문제목록!C:C,문제목록!J:J,기출빈도!D78,문제목록!N:N,"기출")</f>
        <v>0</v>
      </c>
      <c r="G78" s="100">
        <f>COUNTIFS(문제목록!J:J,기출빈도!D78,문제목록!N:N,"기출",문제목록!O:O,"개념 문제")</f>
        <v>0</v>
      </c>
      <c r="H78" s="100">
        <f>_xlfn.MAXIFS(문제목록!C:C,문제목록!J:J,기출빈도!D78,문제목록!N:N,"기출",문제목록!O:O,"개념 문제")</f>
        <v>0</v>
      </c>
      <c r="I78" s="95"/>
      <c r="J78" s="130" t="s">
        <v>2256</v>
      </c>
    </row>
    <row r="79" spans="2:10" ht="14.45" customHeight="1" x14ac:dyDescent="0.2">
      <c r="B79" s="75" t="s">
        <v>2536</v>
      </c>
      <c r="C79" s="71" t="s">
        <v>2557</v>
      </c>
      <c r="D79" s="19" t="s">
        <v>3454</v>
      </c>
      <c r="E79" s="65">
        <f>COUNTIFS(문제목록!J:J,기출빈도!D79,문제목록!N:N,"기출")</f>
        <v>0</v>
      </c>
      <c r="F79" s="101">
        <f>_xlfn.MAXIFS(문제목록!C:C,문제목록!J:J,기출빈도!D79,문제목록!N:N,"기출")</f>
        <v>0</v>
      </c>
      <c r="G79" s="101">
        <f>COUNTIFS(문제목록!J:J,기출빈도!D79,문제목록!N:N,"기출",문제목록!O:O,"개념 문제")</f>
        <v>0</v>
      </c>
      <c r="H79" s="110">
        <f>_xlfn.MAXIFS(문제목록!C:C,문제목록!J:J,기출빈도!D79,문제목록!N:N,"기출",문제목록!O:O,"개념 문제")</f>
        <v>0</v>
      </c>
      <c r="I79" s="95"/>
      <c r="J79" s="131" t="s">
        <v>2257</v>
      </c>
    </row>
    <row r="80" spans="2:10" ht="14.45" customHeight="1" thickBot="1" x14ac:dyDescent="0.25">
      <c r="B80" s="75" t="s">
        <v>2536</v>
      </c>
      <c r="C80" s="72" t="s">
        <v>2557</v>
      </c>
      <c r="D80" s="73" t="s">
        <v>3497</v>
      </c>
      <c r="E80" s="69">
        <f>SUM(E76:E79)</f>
        <v>0</v>
      </c>
      <c r="F80" s="92">
        <f>MAX(F76:F79)</f>
        <v>0</v>
      </c>
      <c r="G80" s="92">
        <f>SUM(G76:G79)</f>
        <v>0</v>
      </c>
      <c r="H80" s="92">
        <f>MAX(H76:H79)</f>
        <v>0</v>
      </c>
      <c r="I80" s="96"/>
      <c r="J80" s="132"/>
    </row>
    <row r="81" spans="2:10" ht="14.45" customHeight="1" x14ac:dyDescent="0.2">
      <c r="B81" s="75" t="s">
        <v>2536</v>
      </c>
      <c r="C81" s="70" t="s">
        <v>2559</v>
      </c>
      <c r="D81" s="66" t="s">
        <v>3494</v>
      </c>
      <c r="E81" s="67">
        <f>COUNTIFS(문제목록!J:J,기출빈도!D81,문제목록!N:N,"기출")</f>
        <v>0</v>
      </c>
      <c r="F81" s="99">
        <f>_xlfn.MAXIFS(문제목록!C:C,문제목록!J:J,기출빈도!D81,문제목록!N:N,"기출")</f>
        <v>0</v>
      </c>
      <c r="G81" s="99">
        <f>COUNTIFS(문제목록!J:J,기출빈도!D81,문제목록!N:N,"기출",문제목록!O:O,"개념 문제")</f>
        <v>0</v>
      </c>
      <c r="H81" s="99">
        <f>_xlfn.MAXIFS(문제목록!C:C,문제목록!J:J,기출빈도!D81,문제목록!N:N,"기출",문제목록!O:O,"개념 문제")</f>
        <v>0</v>
      </c>
      <c r="I81" s="94"/>
      <c r="J81" s="129" t="s">
        <v>2258</v>
      </c>
    </row>
    <row r="82" spans="2:10" ht="14.45" customHeight="1" x14ac:dyDescent="0.2">
      <c r="B82" s="75" t="s">
        <v>2536</v>
      </c>
      <c r="C82" s="71" t="s">
        <v>2559</v>
      </c>
      <c r="D82" s="19" t="s">
        <v>3455</v>
      </c>
      <c r="E82" s="65">
        <f>COUNTIFS(문제목록!J:J,기출빈도!D82,문제목록!N:N,"기출")</f>
        <v>0</v>
      </c>
      <c r="F82" s="100">
        <f>_xlfn.MAXIFS(문제목록!C:C,문제목록!J:J,기출빈도!D82,문제목록!N:N,"기출")</f>
        <v>0</v>
      </c>
      <c r="G82" s="100">
        <f>COUNTIFS(문제목록!J:J,기출빈도!D82,문제목록!N:N,"기출",문제목록!O:O,"개념 문제")</f>
        <v>0</v>
      </c>
      <c r="H82" s="100">
        <f>_xlfn.MAXIFS(문제목록!C:C,문제목록!J:J,기출빈도!D82,문제목록!N:N,"기출",문제목록!O:O,"개념 문제")</f>
        <v>0</v>
      </c>
      <c r="I82" s="95"/>
      <c r="J82" s="130" t="s">
        <v>2259</v>
      </c>
    </row>
    <row r="83" spans="2:10" ht="14.45" customHeight="1" thickBot="1" x14ac:dyDescent="0.25">
      <c r="B83" s="75" t="s">
        <v>2536</v>
      </c>
      <c r="C83" s="72" t="s">
        <v>2559</v>
      </c>
      <c r="D83" s="73" t="s">
        <v>3497</v>
      </c>
      <c r="E83" s="69">
        <f>SUM(E81:E82)</f>
        <v>0</v>
      </c>
      <c r="F83" s="92">
        <f>MAX(F81:F82)</f>
        <v>0</v>
      </c>
      <c r="G83" s="92">
        <f>SUM(G81:G82)</f>
        <v>0</v>
      </c>
      <c r="H83" s="92">
        <f>MAX(H81:H82)</f>
        <v>0</v>
      </c>
      <c r="I83" s="96"/>
      <c r="J83" s="132"/>
    </row>
    <row r="84" spans="2:10" ht="14.45" customHeight="1" thickBot="1" x14ac:dyDescent="0.25">
      <c r="B84" s="111" t="s">
        <v>2536</v>
      </c>
      <c r="C84" s="112" t="s">
        <v>3497</v>
      </c>
      <c r="D84" s="113"/>
      <c r="E84" s="114">
        <f>SUM(E70,E75,E80,E83)</f>
        <v>2</v>
      </c>
      <c r="F84" s="115">
        <f>MAX(F70,F75,F80,F83)</f>
        <v>2024</v>
      </c>
      <c r="G84" s="115">
        <f>SUM(G70,G75,G80,G83)</f>
        <v>0</v>
      </c>
      <c r="H84" s="115">
        <f>MAX(H70,H75,H80,H83)</f>
        <v>0</v>
      </c>
      <c r="I84" s="116"/>
      <c r="J84" s="133"/>
    </row>
    <row r="85" spans="2:10" ht="14.45" customHeight="1" x14ac:dyDescent="0.2">
      <c r="B85" s="74" t="s">
        <v>2537</v>
      </c>
      <c r="C85" s="70" t="s">
        <v>2561</v>
      </c>
      <c r="D85" s="66" t="s">
        <v>3496</v>
      </c>
      <c r="E85" s="67">
        <f>COUNTIFS(문제목록!J:J,기출빈도!D85,문제목록!N:N,"기출")</f>
        <v>0</v>
      </c>
      <c r="F85" s="99">
        <f>_xlfn.MAXIFS(문제목록!C:C,문제목록!J:J,기출빈도!D85,문제목록!N:N,"기출")</f>
        <v>0</v>
      </c>
      <c r="G85" s="99">
        <f>COUNTIFS(문제목록!J:J,기출빈도!D85,문제목록!N:N,"기출",문제목록!O:O,"개념 문제")</f>
        <v>0</v>
      </c>
      <c r="H85" s="99">
        <f>_xlfn.MAXIFS(문제목록!C:C,문제목록!J:J,기출빈도!D85,문제목록!N:N,"기출",문제목록!O:O,"개념 문제")</f>
        <v>0</v>
      </c>
      <c r="I85" s="94"/>
      <c r="J85" s="129" t="s">
        <v>2260</v>
      </c>
    </row>
    <row r="86" spans="2:10" ht="14.45" customHeight="1" x14ac:dyDescent="0.2">
      <c r="B86" s="75" t="s">
        <v>2537</v>
      </c>
      <c r="C86" s="71" t="s">
        <v>2561</v>
      </c>
      <c r="D86" s="19" t="s">
        <v>3456</v>
      </c>
      <c r="E86" s="65">
        <f>COUNTIFS(문제목록!J:J,기출빈도!D86,문제목록!N:N,"기출")</f>
        <v>0</v>
      </c>
      <c r="F86" s="100">
        <f>_xlfn.MAXIFS(문제목록!C:C,문제목록!J:J,기출빈도!D86,문제목록!N:N,"기출")</f>
        <v>0</v>
      </c>
      <c r="G86" s="100">
        <f>COUNTIFS(문제목록!J:J,기출빈도!D86,문제목록!N:N,"기출",문제목록!O:O,"개념 문제")</f>
        <v>0</v>
      </c>
      <c r="H86" s="100">
        <f>_xlfn.MAXIFS(문제목록!C:C,문제목록!J:J,기출빈도!D86,문제목록!N:N,"기출",문제목록!O:O,"개념 문제")</f>
        <v>0</v>
      </c>
      <c r="I86" s="95"/>
      <c r="J86" s="130" t="s">
        <v>2261</v>
      </c>
    </row>
    <row r="87" spans="2:10" ht="14.45" customHeight="1" x14ac:dyDescent="0.2">
      <c r="B87" s="75" t="s">
        <v>2537</v>
      </c>
      <c r="C87" s="71" t="s">
        <v>2561</v>
      </c>
      <c r="D87" s="19" t="s">
        <v>3457</v>
      </c>
      <c r="E87" s="65">
        <f>COUNTIFS(문제목록!J:J,기출빈도!D87,문제목록!N:N,"기출")</f>
        <v>0</v>
      </c>
      <c r="F87" s="100">
        <f>_xlfn.MAXIFS(문제목록!C:C,문제목록!J:J,기출빈도!D87,문제목록!N:N,"기출")</f>
        <v>0</v>
      </c>
      <c r="G87" s="100">
        <f>COUNTIFS(문제목록!J:J,기출빈도!D87,문제목록!N:N,"기출",문제목록!O:O,"개념 문제")</f>
        <v>0</v>
      </c>
      <c r="H87" s="100">
        <f>_xlfn.MAXIFS(문제목록!C:C,문제목록!J:J,기출빈도!D87,문제목록!N:N,"기출",문제목록!O:O,"개념 문제")</f>
        <v>0</v>
      </c>
      <c r="I87" s="95"/>
      <c r="J87" s="130" t="s">
        <v>2262</v>
      </c>
    </row>
    <row r="88" spans="2:10" ht="14.45" customHeight="1" x14ac:dyDescent="0.2">
      <c r="B88" s="75" t="s">
        <v>2537</v>
      </c>
      <c r="C88" s="71" t="s">
        <v>2561</v>
      </c>
      <c r="D88" s="19" t="s">
        <v>3458</v>
      </c>
      <c r="E88" s="65">
        <f>COUNTIFS(문제목록!J:J,기출빈도!D88,문제목록!N:N,"기출")</f>
        <v>0</v>
      </c>
      <c r="F88" s="100">
        <f>_xlfn.MAXIFS(문제목록!C:C,문제목록!J:J,기출빈도!D88,문제목록!N:N,"기출")</f>
        <v>0</v>
      </c>
      <c r="G88" s="100">
        <f>COUNTIFS(문제목록!J:J,기출빈도!D88,문제목록!N:N,"기출",문제목록!O:O,"개념 문제")</f>
        <v>0</v>
      </c>
      <c r="H88" s="100">
        <f>_xlfn.MAXIFS(문제목록!C:C,문제목록!J:J,기출빈도!D88,문제목록!N:N,"기출",문제목록!O:O,"개념 문제")</f>
        <v>0</v>
      </c>
      <c r="I88" s="95"/>
      <c r="J88" s="130" t="s">
        <v>2263</v>
      </c>
    </row>
    <row r="89" spans="2:10" ht="14.45" customHeight="1" x14ac:dyDescent="0.2">
      <c r="B89" s="75" t="s">
        <v>2537</v>
      </c>
      <c r="C89" s="71" t="s">
        <v>2561</v>
      </c>
      <c r="D89" s="19" t="s">
        <v>3459</v>
      </c>
      <c r="E89" s="65">
        <f>COUNTIFS(문제목록!J:J,기출빈도!D89,문제목록!N:N,"기출")</f>
        <v>0</v>
      </c>
      <c r="F89" s="101">
        <f>_xlfn.MAXIFS(문제목록!C:C,문제목록!J:J,기출빈도!D89,문제목록!N:N,"기출")</f>
        <v>0</v>
      </c>
      <c r="G89" s="101">
        <f>COUNTIFS(문제목록!J:J,기출빈도!D89,문제목록!N:N,"기출",문제목록!O:O,"개념 문제")</f>
        <v>0</v>
      </c>
      <c r="H89" s="110">
        <f>_xlfn.MAXIFS(문제목록!C:C,문제목록!J:J,기출빈도!D89,문제목록!N:N,"기출",문제목록!O:O,"개념 문제")</f>
        <v>0</v>
      </c>
      <c r="I89" s="95"/>
      <c r="J89" s="131" t="s">
        <v>2264</v>
      </c>
    </row>
    <row r="90" spans="2:10" ht="14.45" customHeight="1" thickBot="1" x14ac:dyDescent="0.25">
      <c r="B90" s="75" t="s">
        <v>2537</v>
      </c>
      <c r="C90" s="72" t="s">
        <v>2561</v>
      </c>
      <c r="D90" s="73" t="s">
        <v>3497</v>
      </c>
      <c r="E90" s="69">
        <f>SUM(E85:E89)</f>
        <v>0</v>
      </c>
      <c r="F90" s="92">
        <f>MAX(F85:F89)</f>
        <v>0</v>
      </c>
      <c r="G90" s="92">
        <f>SUM(G85:G89)</f>
        <v>0</v>
      </c>
      <c r="H90" s="92">
        <f>MAX(H85:H89)</f>
        <v>0</v>
      </c>
      <c r="I90" s="96"/>
      <c r="J90" s="132"/>
    </row>
    <row r="91" spans="2:10" ht="14.45" customHeight="1" thickBot="1" x14ac:dyDescent="0.25">
      <c r="B91" s="76" t="s">
        <v>2537</v>
      </c>
      <c r="C91" s="77" t="s">
        <v>3497</v>
      </c>
      <c r="D91" s="78"/>
      <c r="E91" s="79">
        <f>SUM(E90)</f>
        <v>0</v>
      </c>
      <c r="F91" s="93">
        <f>MAX(F90)</f>
        <v>0</v>
      </c>
      <c r="G91" s="93">
        <f>SUM(G90)</f>
        <v>0</v>
      </c>
      <c r="H91" s="93">
        <f>MAX(H90)</f>
        <v>0</v>
      </c>
      <c r="I91" s="97"/>
      <c r="J91" s="136"/>
    </row>
    <row r="92" spans="2:10" ht="14.45" customHeight="1" x14ac:dyDescent="0.2">
      <c r="B92"/>
      <c r="C92"/>
      <c r="D92"/>
    </row>
    <row r="93" spans="2:10" ht="14.45" customHeight="1" x14ac:dyDescent="0.2">
      <c r="B93"/>
      <c r="C93"/>
      <c r="D93"/>
    </row>
    <row r="94" spans="2:10" ht="14.45" customHeight="1" x14ac:dyDescent="0.2">
      <c r="B94"/>
      <c r="C94"/>
      <c r="D94"/>
    </row>
    <row r="95" spans="2:10" ht="14.45" customHeight="1" x14ac:dyDescent="0.2">
      <c r="B95"/>
      <c r="C95"/>
      <c r="D95"/>
    </row>
    <row r="96" spans="2:10" ht="14.45" customHeight="1" x14ac:dyDescent="0.2">
      <c r="B96"/>
      <c r="C96"/>
      <c r="D96"/>
    </row>
    <row r="97" spans="2:4" ht="14.45" customHeight="1" x14ac:dyDescent="0.2">
      <c r="B97"/>
      <c r="C97"/>
      <c r="D97"/>
    </row>
    <row r="98" spans="2:4" ht="14.45" customHeight="1" x14ac:dyDescent="0.2">
      <c r="B98"/>
      <c r="C98"/>
      <c r="D98"/>
    </row>
    <row r="99" spans="2:4" ht="14.45" customHeight="1" x14ac:dyDescent="0.2">
      <c r="B99"/>
      <c r="C99"/>
      <c r="D99"/>
    </row>
    <row r="100" spans="2:4" ht="14.45" customHeight="1" x14ac:dyDescent="0.2">
      <c r="B100"/>
      <c r="C100"/>
      <c r="D100"/>
    </row>
    <row r="101" spans="2:4" ht="14.45" customHeight="1" x14ac:dyDescent="0.2">
      <c r="B101"/>
      <c r="C101"/>
      <c r="D101"/>
    </row>
    <row r="102" spans="2:4" ht="14.45" customHeight="1" x14ac:dyDescent="0.2">
      <c r="B102"/>
      <c r="C102"/>
      <c r="D102"/>
    </row>
    <row r="103" spans="2:4" ht="14.45" customHeight="1" x14ac:dyDescent="0.2">
      <c r="B103"/>
      <c r="C103"/>
      <c r="D103"/>
    </row>
    <row r="104" spans="2:4" ht="14.45" customHeight="1" x14ac:dyDescent="0.2">
      <c r="B104"/>
      <c r="C104"/>
      <c r="D104"/>
    </row>
    <row r="105" spans="2:4" ht="14.45" customHeight="1" x14ac:dyDescent="0.2">
      <c r="B105"/>
      <c r="C105"/>
      <c r="D105"/>
    </row>
    <row r="106" spans="2:4" ht="14.45" customHeight="1" x14ac:dyDescent="0.2">
      <c r="B106"/>
      <c r="C106"/>
      <c r="D106"/>
    </row>
    <row r="107" spans="2:4" ht="14.45" customHeight="1" x14ac:dyDescent="0.2">
      <c r="B107"/>
      <c r="C107"/>
      <c r="D107"/>
    </row>
    <row r="108" spans="2:4" ht="14.45" customHeight="1" x14ac:dyDescent="0.2">
      <c r="B108"/>
      <c r="C108"/>
      <c r="D108"/>
    </row>
    <row r="109" spans="2:4" ht="14.45" customHeight="1" x14ac:dyDescent="0.2">
      <c r="B109"/>
      <c r="C109"/>
      <c r="D109"/>
    </row>
    <row r="110" spans="2:4" ht="14.45" customHeight="1" x14ac:dyDescent="0.2">
      <c r="B110"/>
      <c r="C110"/>
      <c r="D110"/>
    </row>
    <row r="111" spans="2:4" ht="14.45" customHeight="1" x14ac:dyDescent="0.2">
      <c r="B111"/>
      <c r="C111"/>
      <c r="D111"/>
    </row>
    <row r="112" spans="2:4" ht="14.45" customHeight="1" x14ac:dyDescent="0.2">
      <c r="B112"/>
      <c r="C112"/>
      <c r="D112"/>
    </row>
    <row r="113" spans="2:4" ht="14.45" customHeight="1" x14ac:dyDescent="0.2">
      <c r="B113"/>
      <c r="C113"/>
      <c r="D113"/>
    </row>
    <row r="114" spans="2:4" ht="14.45" customHeight="1" x14ac:dyDescent="0.2">
      <c r="B114"/>
      <c r="C114"/>
      <c r="D114"/>
    </row>
    <row r="115" spans="2:4" ht="14.45" customHeight="1" x14ac:dyDescent="0.2">
      <c r="B115"/>
      <c r="C115"/>
      <c r="D115"/>
    </row>
    <row r="116" spans="2:4" ht="14.45" customHeight="1" x14ac:dyDescent="0.2">
      <c r="B116"/>
      <c r="C116"/>
      <c r="D116"/>
    </row>
    <row r="117" spans="2:4" ht="14.45" customHeight="1" x14ac:dyDescent="0.2">
      <c r="B117"/>
      <c r="C117"/>
      <c r="D117"/>
    </row>
    <row r="118" spans="2:4" ht="14.45" customHeight="1" x14ac:dyDescent="0.2">
      <c r="B118"/>
      <c r="C118"/>
      <c r="D118"/>
    </row>
    <row r="119" spans="2:4" ht="14.45" customHeight="1" x14ac:dyDescent="0.2">
      <c r="B119"/>
      <c r="C119"/>
      <c r="D119"/>
    </row>
    <row r="120" spans="2:4" ht="14.45" customHeight="1" x14ac:dyDescent="0.2">
      <c r="B120"/>
      <c r="C120"/>
      <c r="D120"/>
    </row>
    <row r="121" spans="2:4" ht="14.45" customHeight="1" x14ac:dyDescent="0.2">
      <c r="B121"/>
      <c r="C121"/>
      <c r="D121"/>
    </row>
    <row r="122" spans="2:4" ht="14.45" customHeight="1" x14ac:dyDescent="0.2">
      <c r="B122"/>
      <c r="C122"/>
      <c r="D122"/>
    </row>
    <row r="123" spans="2:4" ht="14.45" customHeight="1" x14ac:dyDescent="0.2">
      <c r="B123"/>
      <c r="C123"/>
      <c r="D123"/>
    </row>
    <row r="124" spans="2:4" ht="14.45" customHeight="1" x14ac:dyDescent="0.2">
      <c r="B124"/>
      <c r="C124"/>
      <c r="D124"/>
    </row>
    <row r="125" spans="2:4" ht="14.45" customHeight="1" x14ac:dyDescent="0.2">
      <c r="B125"/>
      <c r="C125"/>
      <c r="D125"/>
    </row>
    <row r="126" spans="2:4" ht="14.45" customHeight="1" x14ac:dyDescent="0.2">
      <c r="B126"/>
      <c r="C126"/>
      <c r="D126"/>
    </row>
    <row r="127" spans="2:4" ht="14.45" customHeight="1" x14ac:dyDescent="0.2">
      <c r="B127"/>
      <c r="C127"/>
      <c r="D127"/>
    </row>
    <row r="128" spans="2:4" ht="14.45" customHeight="1" x14ac:dyDescent="0.2">
      <c r="B128"/>
      <c r="C128"/>
      <c r="D128"/>
    </row>
    <row r="129" spans="2:4" ht="14.45" customHeight="1" x14ac:dyDescent="0.2">
      <c r="B129"/>
      <c r="C129"/>
      <c r="D129"/>
    </row>
    <row r="130" spans="2:4" ht="14.45" customHeight="1" x14ac:dyDescent="0.2">
      <c r="B130"/>
      <c r="C130"/>
      <c r="D130"/>
    </row>
    <row r="131" spans="2:4" ht="14.45" customHeight="1" x14ac:dyDescent="0.2">
      <c r="B131"/>
      <c r="C131"/>
      <c r="D131"/>
    </row>
    <row r="132" spans="2:4" ht="14.45" customHeight="1" x14ac:dyDescent="0.2">
      <c r="B132"/>
      <c r="C132"/>
      <c r="D132"/>
    </row>
    <row r="133" spans="2:4" ht="14.45" customHeight="1" x14ac:dyDescent="0.2">
      <c r="B133"/>
      <c r="C133"/>
      <c r="D133"/>
    </row>
    <row r="134" spans="2:4" ht="14.45" customHeight="1" x14ac:dyDescent="0.2">
      <c r="B134"/>
      <c r="C134"/>
      <c r="D134"/>
    </row>
    <row r="135" spans="2:4" ht="14.45" customHeight="1" x14ac:dyDescent="0.2">
      <c r="B135"/>
      <c r="C135"/>
      <c r="D135"/>
    </row>
    <row r="136" spans="2:4" ht="14.45" customHeight="1" x14ac:dyDescent="0.2">
      <c r="B136"/>
      <c r="C136"/>
      <c r="D136"/>
    </row>
    <row r="137" spans="2:4" ht="14.45" customHeight="1" x14ac:dyDescent="0.2">
      <c r="B137"/>
      <c r="C137"/>
      <c r="D137"/>
    </row>
    <row r="138" spans="2:4" ht="14.45" customHeight="1" x14ac:dyDescent="0.2">
      <c r="B138"/>
      <c r="C138"/>
      <c r="D138"/>
    </row>
    <row r="139" spans="2:4" ht="14.45" customHeight="1" x14ac:dyDescent="0.2">
      <c r="B139"/>
      <c r="C139"/>
      <c r="D139"/>
    </row>
    <row r="140" spans="2:4" ht="14.45" customHeight="1" x14ac:dyDescent="0.2">
      <c r="B140"/>
      <c r="C140"/>
      <c r="D140"/>
    </row>
    <row r="141" spans="2:4" ht="14.45" customHeight="1" x14ac:dyDescent="0.2">
      <c r="B141"/>
      <c r="C141"/>
      <c r="D141"/>
    </row>
    <row r="142" spans="2:4" ht="14.45" customHeight="1" x14ac:dyDescent="0.2">
      <c r="B142"/>
      <c r="C142"/>
      <c r="D142"/>
    </row>
    <row r="143" spans="2:4" ht="14.45" customHeight="1" x14ac:dyDescent="0.2">
      <c r="B143"/>
      <c r="C143"/>
      <c r="D143"/>
    </row>
    <row r="144" spans="2:4" ht="14.45" customHeight="1" x14ac:dyDescent="0.2">
      <c r="B144"/>
      <c r="C144"/>
      <c r="D144"/>
    </row>
    <row r="145" spans="2:4" ht="14.45" customHeight="1" x14ac:dyDescent="0.2">
      <c r="B145"/>
      <c r="C145"/>
      <c r="D145"/>
    </row>
    <row r="146" spans="2:4" ht="14.45" customHeight="1" x14ac:dyDescent="0.2">
      <c r="B146"/>
      <c r="C146"/>
      <c r="D146"/>
    </row>
    <row r="147" spans="2:4" ht="14.45" customHeight="1" x14ac:dyDescent="0.2">
      <c r="B147"/>
      <c r="C147"/>
      <c r="D147"/>
    </row>
    <row r="148" spans="2:4" ht="14.45" customHeight="1" x14ac:dyDescent="0.2">
      <c r="B148"/>
      <c r="C148"/>
      <c r="D148"/>
    </row>
    <row r="149" spans="2:4" ht="14.45" customHeight="1" x14ac:dyDescent="0.2">
      <c r="B149"/>
      <c r="C149"/>
      <c r="D149"/>
    </row>
    <row r="150" spans="2:4" ht="14.45" customHeight="1" x14ac:dyDescent="0.2">
      <c r="B150"/>
      <c r="C150"/>
      <c r="D150"/>
    </row>
    <row r="151" spans="2:4" ht="14.45" customHeight="1" x14ac:dyDescent="0.2">
      <c r="B151"/>
      <c r="C151"/>
      <c r="D151"/>
    </row>
  </sheetData>
  <mergeCells count="2">
    <mergeCell ref="E3:F3"/>
    <mergeCell ref="G3:H3"/>
  </mergeCells>
  <phoneticPr fontId="3" type="noConversion"/>
  <conditionalFormatting sqref="B5:J91">
    <cfRule type="expression" dxfId="2" priority="1">
      <formula>CELL("ROW")=ROW()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08C2F3-8FCF-448B-9119-1B2084C994AA}">
  <sheetPr codeName="Sheet15"/>
  <dimension ref="B1:T122"/>
  <sheetViews>
    <sheetView workbookViewId="0">
      <pane ySplit="3" topLeftCell="A109" activePane="bottomLeft" state="frozen"/>
      <selection pane="bottomLeft" activeCell="O4" sqref="O4:O122"/>
    </sheetView>
  </sheetViews>
  <sheetFormatPr defaultRowHeight="14.45" customHeight="1" x14ac:dyDescent="0.2"/>
  <cols>
    <col min="1" max="1" width="1.7109375" style="16" customWidth="1"/>
    <col min="2" max="2" width="3.7109375" style="21" customWidth="1"/>
    <col min="3" max="4" width="5.7109375" style="22" customWidth="1"/>
    <col min="5" max="5" width="3.7109375" style="22" customWidth="1"/>
    <col min="6" max="6" width="20.28515625" style="16" customWidth="1"/>
    <col min="7" max="7" width="3.7109375" style="21" customWidth="1"/>
    <col min="8" max="8" width="27.7109375" style="16" customWidth="1"/>
    <col min="9" max="9" width="3.7109375" style="16" customWidth="1"/>
    <col min="10" max="10" width="36.7109375" style="16" customWidth="1"/>
    <col min="11" max="11" width="3.7109375" style="16" customWidth="1"/>
    <col min="12" max="12" width="91.7109375" style="16" customWidth="1"/>
    <col min="13" max="14" width="4.42578125" style="16" customWidth="1"/>
    <col min="15" max="15" width="16" style="16" customWidth="1"/>
    <col min="16" max="20" width="6.7109375" style="16" customWidth="1"/>
    <col min="21" max="16384" width="9.140625" style="16"/>
  </cols>
  <sheetData>
    <row r="1" spans="2:20" ht="14.45" customHeight="1" x14ac:dyDescent="0.2">
      <c r="B1" s="2"/>
      <c r="C1" s="15"/>
      <c r="D1" s="15"/>
      <c r="E1" s="15"/>
      <c r="F1" s="1"/>
      <c r="G1" s="2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</row>
    <row r="2" spans="2:20" ht="14.45" customHeight="1" x14ac:dyDescent="0.2">
      <c r="B2" s="5" t="s">
        <v>1273</v>
      </c>
      <c r="C2" s="55" t="s">
        <v>1274</v>
      </c>
      <c r="D2" s="284" t="s">
        <v>1275</v>
      </c>
      <c r="E2" s="285"/>
      <c r="F2" s="283" t="s">
        <v>2</v>
      </c>
      <c r="G2" s="283"/>
      <c r="H2" s="283"/>
      <c r="I2" s="283"/>
      <c r="J2" s="283"/>
      <c r="K2" s="283"/>
      <c r="L2" s="5" t="s">
        <v>1276</v>
      </c>
      <c r="M2" s="5" t="s">
        <v>2332</v>
      </c>
      <c r="N2" s="5" t="s">
        <v>2333</v>
      </c>
      <c r="O2" s="5" t="s">
        <v>1277</v>
      </c>
      <c r="P2" s="283" t="s">
        <v>1278</v>
      </c>
      <c r="Q2" s="283"/>
      <c r="R2" s="283"/>
      <c r="S2" s="283"/>
      <c r="T2" s="283"/>
    </row>
    <row r="3" spans="2:20" ht="14.45" customHeight="1" x14ac:dyDescent="0.2">
      <c r="B3" s="54"/>
      <c r="C3" s="107"/>
      <c r="D3" s="286"/>
      <c r="E3" s="287"/>
      <c r="F3" s="288" t="s">
        <v>1514</v>
      </c>
      <c r="G3" s="289"/>
      <c r="H3" s="288" t="s">
        <v>2563</v>
      </c>
      <c r="I3" s="289"/>
      <c r="J3" s="283" t="s">
        <v>1</v>
      </c>
      <c r="K3" s="283"/>
      <c r="L3" s="54"/>
      <c r="M3" s="54"/>
      <c r="N3" s="54"/>
      <c r="O3" s="54"/>
      <c r="P3" s="59" t="s">
        <v>2565</v>
      </c>
      <c r="Q3" s="59" t="s">
        <v>2429</v>
      </c>
      <c r="R3" s="59" t="s">
        <v>2430</v>
      </c>
      <c r="S3" s="59" t="s">
        <v>1279</v>
      </c>
      <c r="T3" s="59" t="s">
        <v>1280</v>
      </c>
    </row>
    <row r="4" spans="2:20" ht="14.45" customHeight="1" x14ac:dyDescent="0.2">
      <c r="B4" s="24">
        <f t="shared" ref="B4:B35" si="0">ROW()-3</f>
        <v>1</v>
      </c>
      <c r="C4" s="109">
        <v>9.02</v>
      </c>
      <c r="D4" s="18" t="s">
        <v>1346</v>
      </c>
      <c r="E4" s="18" t="s">
        <v>1289</v>
      </c>
      <c r="F4" s="19" t="s">
        <v>2534</v>
      </c>
      <c r="G4" s="60" t="s">
        <v>2588</v>
      </c>
      <c r="H4" s="19" t="s">
        <v>2545</v>
      </c>
      <c r="I4" s="18" t="s">
        <v>1325</v>
      </c>
      <c r="J4" s="20" t="s">
        <v>1354</v>
      </c>
      <c r="K4" s="18" t="s">
        <v>1283</v>
      </c>
      <c r="L4" s="23" t="s">
        <v>218</v>
      </c>
      <c r="M4" s="56" t="s">
        <v>2188</v>
      </c>
      <c r="N4" s="56" t="s">
        <v>2334</v>
      </c>
      <c r="O4" s="98"/>
      <c r="P4" s="57" t="str">
        <f t="shared" ref="P4:P35" si="1">F4&amp;"&gt;"&amp;G4&amp;"&gt;"&amp;D4&amp;"&gt;"&amp;N4</f>
        <v>제04편 소송의 종료&gt;09&gt;1&gt;예상</v>
      </c>
      <c r="Q4" s="57" t="str">
        <f t="shared" ref="Q4:Q35" si="2">H4&amp;"&gt;"&amp;I4&amp;"&gt;"&amp;D4&amp;"&gt;"&amp;N4</f>
        <v>제09장 당사자 행위에 의한 종료&gt;05&gt;1&gt;예상</v>
      </c>
      <c r="R4" s="57" t="str">
        <f t="shared" ref="R4:R35" si="3">H4&amp;"&gt;"&amp;J4&amp;"&gt;"&amp;K4</f>
        <v>제09장 당사자 행위에 의한 종료&gt;제02절 청구의 포기・인낙&gt;01</v>
      </c>
      <c r="S4" s="57" t="str">
        <f t="shared" ref="S4:S35" si="4">N4&amp;"&gt;"&amp;C4&amp;"&gt;"&amp;E4</f>
        <v>예상&gt;9.02&gt;2</v>
      </c>
      <c r="T4" s="57" t="str">
        <f t="shared" ref="T4:T35" si="5">N4&amp;"&gt;"&amp;C4&amp;"&gt;"&amp;D4</f>
        <v>예상&gt;9.02&gt;1</v>
      </c>
    </row>
    <row r="5" spans="2:20" ht="14.45" customHeight="1" x14ac:dyDescent="0.2">
      <c r="B5" s="24">
        <f t="shared" si="0"/>
        <v>2</v>
      </c>
      <c r="C5" s="109">
        <v>9.02</v>
      </c>
      <c r="D5" s="18" t="s">
        <v>1328</v>
      </c>
      <c r="E5" s="18" t="s">
        <v>1291</v>
      </c>
      <c r="F5" s="19" t="s">
        <v>2534</v>
      </c>
      <c r="G5" s="60">
        <v>10</v>
      </c>
      <c r="H5" s="19" t="s">
        <v>2545</v>
      </c>
      <c r="I5" s="18" t="s">
        <v>1331</v>
      </c>
      <c r="J5" s="20" t="s">
        <v>1354</v>
      </c>
      <c r="K5" s="18" t="s">
        <v>1295</v>
      </c>
      <c r="L5" s="23" t="s">
        <v>219</v>
      </c>
      <c r="M5" s="56" t="s">
        <v>2189</v>
      </c>
      <c r="N5" s="56" t="s">
        <v>2334</v>
      </c>
      <c r="O5" s="98"/>
      <c r="P5" s="57" t="str">
        <f t="shared" si="1"/>
        <v>제04편 소송의 종료&gt;10&gt;2&gt;예상</v>
      </c>
      <c r="Q5" s="57" t="str">
        <f t="shared" si="2"/>
        <v>제09장 당사자 행위에 의한 종료&gt;06&gt;2&gt;예상</v>
      </c>
      <c r="R5" s="57" t="str">
        <f t="shared" si="3"/>
        <v>제09장 당사자 행위에 의한 종료&gt;제02절 청구의 포기・인낙&gt;02</v>
      </c>
      <c r="S5" s="57" t="str">
        <f t="shared" si="4"/>
        <v>예상&gt;9.02&gt;1</v>
      </c>
      <c r="T5" s="57" t="str">
        <f t="shared" si="5"/>
        <v>예상&gt;9.02&gt;2</v>
      </c>
    </row>
    <row r="6" spans="2:20" ht="14.45" customHeight="1" x14ac:dyDescent="0.2">
      <c r="B6" s="24">
        <f t="shared" si="0"/>
        <v>3</v>
      </c>
      <c r="C6" s="109">
        <v>7.06</v>
      </c>
      <c r="D6" s="18" t="s">
        <v>3592</v>
      </c>
      <c r="E6" s="18" t="s">
        <v>3592</v>
      </c>
      <c r="F6" s="19" t="s">
        <v>3599</v>
      </c>
      <c r="G6" s="60">
        <v>40</v>
      </c>
      <c r="H6" s="19" t="s">
        <v>3600</v>
      </c>
      <c r="I6" s="18" t="s">
        <v>3611</v>
      </c>
      <c r="J6" s="20" t="s">
        <v>1285</v>
      </c>
      <c r="K6" s="18" t="s">
        <v>3605</v>
      </c>
      <c r="L6" s="19" t="s">
        <v>3576</v>
      </c>
      <c r="M6" s="57" t="s">
        <v>3585</v>
      </c>
      <c r="N6" s="56" t="s">
        <v>3593</v>
      </c>
      <c r="O6" s="98" t="s">
        <v>3645</v>
      </c>
      <c r="P6" s="57" t="str">
        <f t="shared" si="1"/>
        <v>제03편 제1심 소송절차&gt;40&gt;1&gt;예상</v>
      </c>
      <c r="Q6" s="57" t="str">
        <f t="shared" si="2"/>
        <v>제07장 증거&gt;11&gt;1&gt;예상</v>
      </c>
      <c r="R6" s="57" t="str">
        <f t="shared" si="3"/>
        <v>제07장 증거&gt;제06절 증명책임&gt;02</v>
      </c>
      <c r="S6" s="57" t="str">
        <f t="shared" si="4"/>
        <v>예상&gt;7.06&gt;1</v>
      </c>
      <c r="T6" s="57" t="str">
        <f t="shared" si="5"/>
        <v>예상&gt;7.06&gt;1</v>
      </c>
    </row>
    <row r="7" spans="2:20" ht="14.45" customHeight="1" x14ac:dyDescent="0.2">
      <c r="B7" s="24">
        <f t="shared" si="0"/>
        <v>4</v>
      </c>
      <c r="C7" s="109">
        <v>7.02</v>
      </c>
      <c r="D7" s="18" t="s">
        <v>1346</v>
      </c>
      <c r="E7" s="18" t="s">
        <v>1289</v>
      </c>
      <c r="F7" s="19" t="s">
        <v>2579</v>
      </c>
      <c r="G7" s="58">
        <v>38</v>
      </c>
      <c r="H7" s="19" t="s">
        <v>2528</v>
      </c>
      <c r="I7" s="18" t="s">
        <v>1366</v>
      </c>
      <c r="J7" s="20" t="s">
        <v>1353</v>
      </c>
      <c r="K7" s="18" t="s">
        <v>1283</v>
      </c>
      <c r="L7" s="23" t="s">
        <v>215</v>
      </c>
      <c r="M7" s="56" t="s">
        <v>2183</v>
      </c>
      <c r="N7" s="56" t="s">
        <v>2334</v>
      </c>
      <c r="O7" s="98"/>
      <c r="P7" s="57" t="str">
        <f t="shared" si="1"/>
        <v>제03편 제1심 소송절차&gt;38&gt;1&gt;예상</v>
      </c>
      <c r="Q7" s="57" t="str">
        <f t="shared" si="2"/>
        <v>제07장 증거&gt;09&gt;1&gt;예상</v>
      </c>
      <c r="R7" s="57" t="str">
        <f t="shared" si="3"/>
        <v>제07장 증거&gt;제02절 증명의 대상&gt;01</v>
      </c>
      <c r="S7" s="57" t="str">
        <f t="shared" si="4"/>
        <v>예상&gt;7.02&gt;2</v>
      </c>
      <c r="T7" s="57" t="str">
        <f t="shared" si="5"/>
        <v>예상&gt;7.02&gt;1</v>
      </c>
    </row>
    <row r="8" spans="2:20" ht="14.45" customHeight="1" x14ac:dyDescent="0.2">
      <c r="B8" s="24">
        <f t="shared" si="0"/>
        <v>5</v>
      </c>
      <c r="C8" s="109">
        <v>7.02</v>
      </c>
      <c r="D8" s="18" t="s">
        <v>1328</v>
      </c>
      <c r="E8" s="18" t="s">
        <v>1291</v>
      </c>
      <c r="F8" s="19" t="s">
        <v>2579</v>
      </c>
      <c r="G8" s="58">
        <v>39</v>
      </c>
      <c r="H8" s="19" t="s">
        <v>2528</v>
      </c>
      <c r="I8" s="18" t="s">
        <v>1367</v>
      </c>
      <c r="J8" s="20" t="s">
        <v>1353</v>
      </c>
      <c r="K8" s="18" t="s">
        <v>1295</v>
      </c>
      <c r="L8" s="23" t="s">
        <v>216</v>
      </c>
      <c r="M8" s="56" t="s">
        <v>2184</v>
      </c>
      <c r="N8" s="56" t="s">
        <v>2334</v>
      </c>
      <c r="O8" s="98"/>
      <c r="P8" s="57" t="str">
        <f t="shared" si="1"/>
        <v>제03편 제1심 소송절차&gt;39&gt;2&gt;예상</v>
      </c>
      <c r="Q8" s="57" t="str">
        <f t="shared" si="2"/>
        <v>제07장 증거&gt;10&gt;2&gt;예상</v>
      </c>
      <c r="R8" s="57" t="str">
        <f t="shared" si="3"/>
        <v>제07장 증거&gt;제02절 증명의 대상&gt;02</v>
      </c>
      <c r="S8" s="57" t="str">
        <f t="shared" si="4"/>
        <v>예상&gt;7.02&gt;1</v>
      </c>
      <c r="T8" s="57" t="str">
        <f t="shared" si="5"/>
        <v>예상&gt;7.02&gt;2</v>
      </c>
    </row>
    <row r="9" spans="2:20" ht="14.45" customHeight="1" x14ac:dyDescent="0.2">
      <c r="B9" s="24">
        <f t="shared" si="0"/>
        <v>6</v>
      </c>
      <c r="C9" s="109">
        <v>6.08</v>
      </c>
      <c r="D9" s="18" t="s">
        <v>1346</v>
      </c>
      <c r="E9" s="18" t="s">
        <v>1289</v>
      </c>
      <c r="F9" s="19" t="s">
        <v>2579</v>
      </c>
      <c r="G9" s="58">
        <v>36</v>
      </c>
      <c r="H9" s="19" t="s">
        <v>2526</v>
      </c>
      <c r="I9" s="18" t="s">
        <v>1370</v>
      </c>
      <c r="J9" s="20" t="s">
        <v>1352</v>
      </c>
      <c r="K9" s="18" t="s">
        <v>1283</v>
      </c>
      <c r="L9" s="23" t="s">
        <v>213</v>
      </c>
      <c r="M9" s="56" t="s">
        <v>2181</v>
      </c>
      <c r="N9" s="56" t="s">
        <v>2334</v>
      </c>
      <c r="O9" s="98"/>
      <c r="P9" s="57" t="str">
        <f t="shared" si="1"/>
        <v>제03편 제1심 소송절차&gt;36&gt;1&gt;예상</v>
      </c>
      <c r="Q9" s="57" t="str">
        <f t="shared" si="2"/>
        <v>제06장 변론&gt;13&gt;1&gt;예상</v>
      </c>
      <c r="R9" s="57" t="str">
        <f t="shared" si="3"/>
        <v>제06장 변론&gt;제08절 소송절차의 정지&gt;01</v>
      </c>
      <c r="S9" s="57" t="str">
        <f t="shared" si="4"/>
        <v>예상&gt;6.08&gt;2</v>
      </c>
      <c r="T9" s="57" t="str">
        <f t="shared" si="5"/>
        <v>예상&gt;6.08&gt;1</v>
      </c>
    </row>
    <row r="10" spans="2:20" ht="14.45" customHeight="1" x14ac:dyDescent="0.2">
      <c r="B10" s="24">
        <f t="shared" si="0"/>
        <v>7</v>
      </c>
      <c r="C10" s="109">
        <v>6.08</v>
      </c>
      <c r="D10" s="18" t="s">
        <v>1328</v>
      </c>
      <c r="E10" s="18" t="s">
        <v>1291</v>
      </c>
      <c r="F10" s="19" t="s">
        <v>2579</v>
      </c>
      <c r="G10" s="58">
        <v>37</v>
      </c>
      <c r="H10" s="19" t="s">
        <v>2526</v>
      </c>
      <c r="I10" s="18" t="s">
        <v>1371</v>
      </c>
      <c r="J10" s="20" t="s">
        <v>1352</v>
      </c>
      <c r="K10" s="18" t="s">
        <v>1295</v>
      </c>
      <c r="L10" s="23" t="s">
        <v>214</v>
      </c>
      <c r="M10" s="56" t="s">
        <v>2182</v>
      </c>
      <c r="N10" s="56" t="s">
        <v>2334</v>
      </c>
      <c r="O10" s="98"/>
      <c r="P10" s="57" t="str">
        <f t="shared" si="1"/>
        <v>제03편 제1심 소송절차&gt;37&gt;2&gt;예상</v>
      </c>
      <c r="Q10" s="57" t="str">
        <f t="shared" si="2"/>
        <v>제06장 변론&gt;14&gt;2&gt;예상</v>
      </c>
      <c r="R10" s="57" t="str">
        <f t="shared" si="3"/>
        <v>제06장 변론&gt;제08절 소송절차의 정지&gt;02</v>
      </c>
      <c r="S10" s="57" t="str">
        <f t="shared" si="4"/>
        <v>예상&gt;6.08&gt;1</v>
      </c>
      <c r="T10" s="57" t="str">
        <f t="shared" si="5"/>
        <v>예상&gt;6.08&gt;2</v>
      </c>
    </row>
    <row r="11" spans="2:20" ht="14.45" customHeight="1" x14ac:dyDescent="0.2">
      <c r="B11" s="24">
        <f t="shared" si="0"/>
        <v>8</v>
      </c>
      <c r="C11" s="109">
        <v>6.02</v>
      </c>
      <c r="D11" s="18" t="s">
        <v>3592</v>
      </c>
      <c r="E11" s="18" t="s">
        <v>3598</v>
      </c>
      <c r="F11" s="19" t="s">
        <v>3599</v>
      </c>
      <c r="G11" s="58">
        <v>34</v>
      </c>
      <c r="H11" s="19" t="s">
        <v>2527</v>
      </c>
      <c r="I11" s="18" t="s">
        <v>3611</v>
      </c>
      <c r="J11" s="20" t="s">
        <v>1311</v>
      </c>
      <c r="K11" s="18" t="s">
        <v>3612</v>
      </c>
      <c r="L11" s="19" t="s">
        <v>3574</v>
      </c>
      <c r="M11" s="57" t="s">
        <v>3583</v>
      </c>
      <c r="N11" s="56" t="s">
        <v>3593</v>
      </c>
      <c r="O11" s="98" t="s">
        <v>3645</v>
      </c>
      <c r="P11" s="57" t="str">
        <f t="shared" si="1"/>
        <v>제03편 제1심 소송절차&gt;34&gt;1&gt;예상</v>
      </c>
      <c r="Q11" s="57" t="str">
        <f t="shared" si="2"/>
        <v>제06장 변론&gt;11&gt;1&gt;예상</v>
      </c>
      <c r="R11" s="57" t="str">
        <f t="shared" si="3"/>
        <v>제06장 변론&gt;제02절 심리에 관한 제 원칙&gt;05</v>
      </c>
      <c r="S11" s="57" t="str">
        <f t="shared" si="4"/>
        <v>예상&gt;6.02&gt;2</v>
      </c>
      <c r="T11" s="57" t="str">
        <f t="shared" si="5"/>
        <v>예상&gt;6.02&gt;1</v>
      </c>
    </row>
    <row r="12" spans="2:20" ht="14.45" customHeight="1" x14ac:dyDescent="0.2">
      <c r="B12" s="24">
        <f t="shared" si="0"/>
        <v>9</v>
      </c>
      <c r="C12" s="109">
        <v>6.02</v>
      </c>
      <c r="D12" s="18" t="s">
        <v>3598</v>
      </c>
      <c r="E12" s="18" t="s">
        <v>3592</v>
      </c>
      <c r="F12" s="19" t="s">
        <v>3599</v>
      </c>
      <c r="G12" s="58">
        <v>35</v>
      </c>
      <c r="H12" s="19" t="s">
        <v>2527</v>
      </c>
      <c r="I12" s="18" t="s">
        <v>3609</v>
      </c>
      <c r="J12" s="20" t="s">
        <v>1311</v>
      </c>
      <c r="K12" s="18" t="s">
        <v>3613</v>
      </c>
      <c r="L12" s="19" t="s">
        <v>3575</v>
      </c>
      <c r="M12" s="57" t="s">
        <v>3584</v>
      </c>
      <c r="N12" s="56" t="s">
        <v>3593</v>
      </c>
      <c r="O12" s="98" t="s">
        <v>3645</v>
      </c>
      <c r="P12" s="57" t="str">
        <f t="shared" si="1"/>
        <v>제03편 제1심 소송절차&gt;35&gt;2&gt;예상</v>
      </c>
      <c r="Q12" s="57" t="str">
        <f t="shared" si="2"/>
        <v>제06장 변론&gt;12&gt;2&gt;예상</v>
      </c>
      <c r="R12" s="57" t="str">
        <f t="shared" si="3"/>
        <v>제06장 변론&gt;제02절 심리에 관한 제 원칙&gt;06</v>
      </c>
      <c r="S12" s="57" t="str">
        <f t="shared" si="4"/>
        <v>예상&gt;6.02&gt;1</v>
      </c>
      <c r="T12" s="57" t="str">
        <f t="shared" si="5"/>
        <v>예상&gt;6.02&gt;2</v>
      </c>
    </row>
    <row r="13" spans="2:20" ht="14.45" customHeight="1" x14ac:dyDescent="0.2">
      <c r="B13" s="24">
        <f t="shared" si="0"/>
        <v>10</v>
      </c>
      <c r="C13" s="109">
        <v>5.0599999999999996</v>
      </c>
      <c r="D13" s="18" t="s">
        <v>1346</v>
      </c>
      <c r="E13" s="18" t="s">
        <v>1289</v>
      </c>
      <c r="F13" s="19" t="s">
        <v>2579</v>
      </c>
      <c r="G13" s="58">
        <v>32</v>
      </c>
      <c r="H13" s="19" t="s">
        <v>2564</v>
      </c>
      <c r="I13" s="18" t="s">
        <v>1371</v>
      </c>
      <c r="J13" s="20" t="s">
        <v>1351</v>
      </c>
      <c r="K13" s="18" t="s">
        <v>1283</v>
      </c>
      <c r="L13" s="23" t="s">
        <v>211</v>
      </c>
      <c r="M13" s="56" t="s">
        <v>2175</v>
      </c>
      <c r="N13" s="56" t="s">
        <v>2334</v>
      </c>
      <c r="O13" s="98"/>
      <c r="P13" s="57" t="str">
        <f t="shared" si="1"/>
        <v>제03편 제1심 소송절차&gt;32&gt;1&gt;예상</v>
      </c>
      <c r="Q13" s="57" t="str">
        <f t="shared" si="2"/>
        <v>제05장 소송 개시와 심리 대상&gt;14&gt;1&gt;예상</v>
      </c>
      <c r="R13" s="57" t="str">
        <f t="shared" si="3"/>
        <v>제05장 소송 개시와 심리 대상&gt;제06절 재판장의 소장심사와 그 후의 조치&gt;01</v>
      </c>
      <c r="S13" s="57" t="str">
        <f t="shared" si="4"/>
        <v>예상&gt;5.06&gt;2</v>
      </c>
      <c r="T13" s="57" t="str">
        <f t="shared" si="5"/>
        <v>예상&gt;5.06&gt;1</v>
      </c>
    </row>
    <row r="14" spans="2:20" ht="14.45" customHeight="1" x14ac:dyDescent="0.2">
      <c r="B14" s="24">
        <f t="shared" si="0"/>
        <v>11</v>
      </c>
      <c r="C14" s="109">
        <v>5.0599999999999996</v>
      </c>
      <c r="D14" s="18" t="s">
        <v>1328</v>
      </c>
      <c r="E14" s="18" t="s">
        <v>1291</v>
      </c>
      <c r="F14" s="19" t="s">
        <v>2579</v>
      </c>
      <c r="G14" s="58">
        <v>33</v>
      </c>
      <c r="H14" s="19" t="s">
        <v>2564</v>
      </c>
      <c r="I14" s="18" t="s">
        <v>3615</v>
      </c>
      <c r="J14" s="20" t="s">
        <v>1351</v>
      </c>
      <c r="K14" s="18" t="s">
        <v>1295</v>
      </c>
      <c r="L14" s="23" t="s">
        <v>212</v>
      </c>
      <c r="M14" s="56" t="s">
        <v>2176</v>
      </c>
      <c r="N14" s="56" t="s">
        <v>2334</v>
      </c>
      <c r="O14" s="98"/>
      <c r="P14" s="57" t="str">
        <f t="shared" si="1"/>
        <v>제03편 제1심 소송절차&gt;33&gt;2&gt;예상</v>
      </c>
      <c r="Q14" s="57" t="str">
        <f t="shared" si="2"/>
        <v>제05장 소송 개시와 심리 대상&gt;15&gt;2&gt;예상</v>
      </c>
      <c r="R14" s="57" t="str">
        <f t="shared" si="3"/>
        <v>제05장 소송 개시와 심리 대상&gt;제06절 재판장의 소장심사와 그 후의 조치&gt;02</v>
      </c>
      <c r="S14" s="57" t="str">
        <f t="shared" si="4"/>
        <v>예상&gt;5.06&gt;1</v>
      </c>
      <c r="T14" s="57" t="str">
        <f t="shared" si="5"/>
        <v>예상&gt;5.06&gt;2</v>
      </c>
    </row>
    <row r="15" spans="2:20" ht="14.45" customHeight="1" x14ac:dyDescent="0.2">
      <c r="B15" s="24">
        <f t="shared" si="0"/>
        <v>12</v>
      </c>
      <c r="C15" s="109">
        <v>5.05</v>
      </c>
      <c r="D15" s="18" t="s">
        <v>1346</v>
      </c>
      <c r="E15" s="18" t="s">
        <v>1289</v>
      </c>
      <c r="F15" s="19" t="s">
        <v>2579</v>
      </c>
      <c r="G15" s="58">
        <v>30</v>
      </c>
      <c r="H15" s="19" t="s">
        <v>2564</v>
      </c>
      <c r="I15" s="18" t="s">
        <v>1369</v>
      </c>
      <c r="J15" s="20" t="s">
        <v>1350</v>
      </c>
      <c r="K15" s="18" t="s">
        <v>1283</v>
      </c>
      <c r="L15" s="23" t="s">
        <v>209</v>
      </c>
      <c r="M15" s="56" t="s">
        <v>2173</v>
      </c>
      <c r="N15" s="56" t="s">
        <v>2334</v>
      </c>
      <c r="O15" s="98"/>
      <c r="P15" s="57" t="str">
        <f t="shared" si="1"/>
        <v>제03편 제1심 소송절차&gt;30&gt;1&gt;예상</v>
      </c>
      <c r="Q15" s="57" t="str">
        <f t="shared" si="2"/>
        <v>제05장 소송 개시와 심리 대상&gt;12&gt;1&gt;예상</v>
      </c>
      <c r="R15" s="57" t="str">
        <f t="shared" si="3"/>
        <v>제05장 소송 개시와 심리 대상&gt;제05절 소의 제기&gt;01</v>
      </c>
      <c r="S15" s="57" t="str">
        <f t="shared" si="4"/>
        <v>예상&gt;5.05&gt;2</v>
      </c>
      <c r="T15" s="57" t="str">
        <f t="shared" si="5"/>
        <v>예상&gt;5.05&gt;1</v>
      </c>
    </row>
    <row r="16" spans="2:20" ht="14.45" customHeight="1" x14ac:dyDescent="0.2">
      <c r="B16" s="24">
        <f t="shared" si="0"/>
        <v>13</v>
      </c>
      <c r="C16" s="109">
        <v>5.05</v>
      </c>
      <c r="D16" s="18" t="s">
        <v>1328</v>
      </c>
      <c r="E16" s="18" t="s">
        <v>1291</v>
      </c>
      <c r="F16" s="19" t="s">
        <v>2579</v>
      </c>
      <c r="G16" s="58">
        <v>31</v>
      </c>
      <c r="H16" s="19" t="s">
        <v>2564</v>
      </c>
      <c r="I16" s="18" t="s">
        <v>1370</v>
      </c>
      <c r="J16" s="20" t="s">
        <v>1350</v>
      </c>
      <c r="K16" s="18" t="s">
        <v>1295</v>
      </c>
      <c r="L16" s="23" t="s">
        <v>210</v>
      </c>
      <c r="M16" s="56" t="s">
        <v>2174</v>
      </c>
      <c r="N16" s="56" t="s">
        <v>2334</v>
      </c>
      <c r="O16" s="98"/>
      <c r="P16" s="57" t="str">
        <f t="shared" si="1"/>
        <v>제03편 제1심 소송절차&gt;31&gt;2&gt;예상</v>
      </c>
      <c r="Q16" s="57" t="str">
        <f t="shared" si="2"/>
        <v>제05장 소송 개시와 심리 대상&gt;13&gt;2&gt;예상</v>
      </c>
      <c r="R16" s="57" t="str">
        <f t="shared" si="3"/>
        <v>제05장 소송 개시와 심리 대상&gt;제05절 소의 제기&gt;02</v>
      </c>
      <c r="S16" s="57" t="str">
        <f t="shared" si="4"/>
        <v>예상&gt;5.05&gt;1</v>
      </c>
      <c r="T16" s="57" t="str">
        <f t="shared" si="5"/>
        <v>예상&gt;5.05&gt;2</v>
      </c>
    </row>
    <row r="17" spans="2:20" ht="14.45" customHeight="1" x14ac:dyDescent="0.2">
      <c r="B17" s="24">
        <f t="shared" si="0"/>
        <v>14</v>
      </c>
      <c r="C17" s="109">
        <v>5.04</v>
      </c>
      <c r="D17" s="18" t="s">
        <v>1346</v>
      </c>
      <c r="E17" s="18" t="s">
        <v>1289</v>
      </c>
      <c r="F17" s="19" t="s">
        <v>2579</v>
      </c>
      <c r="G17" s="58">
        <v>28</v>
      </c>
      <c r="H17" s="19" t="s">
        <v>2564</v>
      </c>
      <c r="I17" s="18" t="s">
        <v>1367</v>
      </c>
      <c r="J17" s="20" t="s">
        <v>2596</v>
      </c>
      <c r="K17" s="18" t="s">
        <v>1283</v>
      </c>
      <c r="L17" s="23" t="s">
        <v>207</v>
      </c>
      <c r="M17" s="56" t="s">
        <v>2171</v>
      </c>
      <c r="N17" s="56" t="s">
        <v>2334</v>
      </c>
      <c r="O17" s="98"/>
      <c r="P17" s="57" t="str">
        <f t="shared" si="1"/>
        <v>제03편 제1심 소송절차&gt;28&gt;1&gt;예상</v>
      </c>
      <c r="Q17" s="57" t="str">
        <f t="shared" si="2"/>
        <v>제05장 소송 개시와 심리 대상&gt;10&gt;1&gt;예상</v>
      </c>
      <c r="R17" s="57" t="str">
        <f t="shared" si="3"/>
        <v>제05장 소송 개시와 심리 대상&gt;제04절 소송물&gt;01</v>
      </c>
      <c r="S17" s="57" t="str">
        <f t="shared" si="4"/>
        <v>예상&gt;5.04&gt;2</v>
      </c>
      <c r="T17" s="57" t="str">
        <f t="shared" si="5"/>
        <v>예상&gt;5.04&gt;1</v>
      </c>
    </row>
    <row r="18" spans="2:20" ht="14.45" customHeight="1" x14ac:dyDescent="0.2">
      <c r="B18" s="24">
        <f t="shared" si="0"/>
        <v>15</v>
      </c>
      <c r="C18" s="109">
        <v>5.04</v>
      </c>
      <c r="D18" s="18" t="s">
        <v>1328</v>
      </c>
      <c r="E18" s="18" t="s">
        <v>1291</v>
      </c>
      <c r="F18" s="19" t="s">
        <v>2579</v>
      </c>
      <c r="G18" s="58">
        <v>29</v>
      </c>
      <c r="H18" s="19" t="s">
        <v>2564</v>
      </c>
      <c r="I18" s="18" t="s">
        <v>1368</v>
      </c>
      <c r="J18" s="20" t="s">
        <v>2596</v>
      </c>
      <c r="K18" s="18" t="s">
        <v>1295</v>
      </c>
      <c r="L18" s="23" t="s">
        <v>208</v>
      </c>
      <c r="M18" s="56" t="s">
        <v>2172</v>
      </c>
      <c r="N18" s="56" t="s">
        <v>2334</v>
      </c>
      <c r="O18" s="98"/>
      <c r="P18" s="57" t="str">
        <f t="shared" si="1"/>
        <v>제03편 제1심 소송절차&gt;29&gt;2&gt;예상</v>
      </c>
      <c r="Q18" s="57" t="str">
        <f t="shared" si="2"/>
        <v>제05장 소송 개시와 심리 대상&gt;11&gt;2&gt;예상</v>
      </c>
      <c r="R18" s="57" t="str">
        <f t="shared" si="3"/>
        <v>제05장 소송 개시와 심리 대상&gt;제04절 소송물&gt;02</v>
      </c>
      <c r="S18" s="57" t="str">
        <f t="shared" si="4"/>
        <v>예상&gt;5.04&gt;1</v>
      </c>
      <c r="T18" s="57" t="str">
        <f t="shared" si="5"/>
        <v>예상&gt;5.04&gt;2</v>
      </c>
    </row>
    <row r="19" spans="2:20" ht="14.45" customHeight="1" x14ac:dyDescent="0.2">
      <c r="B19" s="24">
        <f t="shared" si="0"/>
        <v>16</v>
      </c>
      <c r="C19" s="109">
        <v>5.0199999999999996</v>
      </c>
      <c r="D19" s="18" t="s">
        <v>1346</v>
      </c>
      <c r="E19" s="18" t="s">
        <v>1287</v>
      </c>
      <c r="F19" s="19" t="s">
        <v>2579</v>
      </c>
      <c r="G19" s="58">
        <v>25</v>
      </c>
      <c r="H19" s="19" t="s">
        <v>2564</v>
      </c>
      <c r="I19" s="18" t="s">
        <v>1332</v>
      </c>
      <c r="J19" s="20" t="s">
        <v>1349</v>
      </c>
      <c r="K19" s="18" t="s">
        <v>1283</v>
      </c>
      <c r="L19" s="23" t="s">
        <v>2291</v>
      </c>
      <c r="M19" s="56" t="s">
        <v>2392</v>
      </c>
      <c r="N19" s="56" t="s">
        <v>2334</v>
      </c>
      <c r="O19" s="98"/>
      <c r="P19" s="57" t="str">
        <f t="shared" si="1"/>
        <v>제03편 제1심 소송절차&gt;25&gt;1&gt;예상</v>
      </c>
      <c r="Q19" s="57" t="str">
        <f t="shared" si="2"/>
        <v>제05장 소송 개시와 심리 대상&gt;07&gt;1&gt;예상</v>
      </c>
      <c r="R19" s="57" t="str">
        <f t="shared" si="3"/>
        <v>제05장 소송 개시와 심리 대상&gt;제02절 소송요건&gt;01</v>
      </c>
      <c r="S19" s="57" t="str">
        <f t="shared" si="4"/>
        <v>예상&gt;5.02&gt;3</v>
      </c>
      <c r="T19" s="57" t="str">
        <f t="shared" si="5"/>
        <v>예상&gt;5.02&gt;1</v>
      </c>
    </row>
    <row r="20" spans="2:20" ht="14.45" customHeight="1" x14ac:dyDescent="0.2">
      <c r="B20" s="24">
        <f t="shared" si="0"/>
        <v>17</v>
      </c>
      <c r="C20" s="109">
        <v>5.0199999999999996</v>
      </c>
      <c r="D20" s="18" t="s">
        <v>1328</v>
      </c>
      <c r="E20" s="18" t="s">
        <v>1289</v>
      </c>
      <c r="F20" s="19" t="s">
        <v>2579</v>
      </c>
      <c r="G20" s="58">
        <v>26</v>
      </c>
      <c r="H20" s="19" t="s">
        <v>2564</v>
      </c>
      <c r="I20" s="18" t="s">
        <v>1343</v>
      </c>
      <c r="J20" s="20" t="s">
        <v>1349</v>
      </c>
      <c r="K20" s="18" t="s">
        <v>1295</v>
      </c>
      <c r="L20" s="23" t="s">
        <v>2293</v>
      </c>
      <c r="M20" s="56" t="s">
        <v>2393</v>
      </c>
      <c r="N20" s="56" t="s">
        <v>2334</v>
      </c>
      <c r="O20" s="98"/>
      <c r="P20" s="57" t="str">
        <f t="shared" si="1"/>
        <v>제03편 제1심 소송절차&gt;26&gt;2&gt;예상</v>
      </c>
      <c r="Q20" s="57" t="str">
        <f t="shared" si="2"/>
        <v>제05장 소송 개시와 심리 대상&gt;08&gt;2&gt;예상</v>
      </c>
      <c r="R20" s="57" t="str">
        <f t="shared" si="3"/>
        <v>제05장 소송 개시와 심리 대상&gt;제02절 소송요건&gt;02</v>
      </c>
      <c r="S20" s="57" t="str">
        <f t="shared" si="4"/>
        <v>예상&gt;5.02&gt;2</v>
      </c>
      <c r="T20" s="57" t="str">
        <f t="shared" si="5"/>
        <v>예상&gt;5.02&gt;2</v>
      </c>
    </row>
    <row r="21" spans="2:20" ht="14.45" customHeight="1" x14ac:dyDescent="0.2">
      <c r="B21" s="24">
        <f t="shared" si="0"/>
        <v>18</v>
      </c>
      <c r="C21" s="109">
        <v>5.0199999999999996</v>
      </c>
      <c r="D21" s="18" t="s">
        <v>3636</v>
      </c>
      <c r="E21" s="18" t="s">
        <v>3637</v>
      </c>
      <c r="F21" s="19" t="s">
        <v>2579</v>
      </c>
      <c r="G21" s="58">
        <v>27</v>
      </c>
      <c r="H21" s="19" t="s">
        <v>2564</v>
      </c>
      <c r="I21" s="18" t="s">
        <v>3638</v>
      </c>
      <c r="J21" s="20" t="s">
        <v>3432</v>
      </c>
      <c r="K21" s="18" t="s">
        <v>3639</v>
      </c>
      <c r="L21" s="23" t="s">
        <v>3640</v>
      </c>
      <c r="M21" s="56" t="s">
        <v>3634</v>
      </c>
      <c r="N21" s="56" t="s">
        <v>3635</v>
      </c>
      <c r="O21" s="98" t="s">
        <v>3645</v>
      </c>
      <c r="P21" s="57" t="str">
        <f t="shared" si="1"/>
        <v>제03편 제1심 소송절차&gt;27&gt;3&gt;예상</v>
      </c>
      <c r="Q21" s="57" t="str">
        <f t="shared" si="2"/>
        <v>제05장 소송 개시와 심리 대상&gt;09&gt;3&gt;예상</v>
      </c>
      <c r="R21" s="57" t="str">
        <f t="shared" si="3"/>
        <v>제05장 소송 개시와 심리 대상&gt;제02절 소송요건&gt;03</v>
      </c>
      <c r="S21" s="57" t="str">
        <f t="shared" si="4"/>
        <v>예상&gt;5.02&gt;1</v>
      </c>
      <c r="T21" s="57" t="str">
        <f t="shared" si="5"/>
        <v>예상&gt;5.02&gt;3</v>
      </c>
    </row>
    <row r="22" spans="2:20" ht="14.45" customHeight="1" x14ac:dyDescent="0.2">
      <c r="B22" s="24">
        <f t="shared" si="0"/>
        <v>19</v>
      </c>
      <c r="C22" s="109">
        <v>4.03</v>
      </c>
      <c r="D22" s="18" t="s">
        <v>3592</v>
      </c>
      <c r="E22" s="18" t="s">
        <v>3592</v>
      </c>
      <c r="F22" s="19" t="s">
        <v>3596</v>
      </c>
      <c r="G22" s="58">
        <v>20</v>
      </c>
      <c r="H22" s="19" t="s">
        <v>2525</v>
      </c>
      <c r="I22" s="18" t="s">
        <v>3618</v>
      </c>
      <c r="J22" s="20" t="s">
        <v>1317</v>
      </c>
      <c r="K22" s="18" t="s">
        <v>3608</v>
      </c>
      <c r="L22" s="19" t="s">
        <v>3573</v>
      </c>
      <c r="M22" s="57" t="s">
        <v>3582</v>
      </c>
      <c r="N22" s="56" t="s">
        <v>3593</v>
      </c>
      <c r="O22" s="98" t="s">
        <v>3645</v>
      </c>
      <c r="P22" s="57" t="str">
        <f t="shared" si="1"/>
        <v>제02편 소송의 주체&gt;20&gt;1&gt;예상</v>
      </c>
      <c r="Q22" s="57" t="str">
        <f t="shared" si="2"/>
        <v>제04장 당사자&gt;13&gt;1&gt;예상</v>
      </c>
      <c r="R22" s="57" t="str">
        <f t="shared" si="3"/>
        <v>제04장 당사자&gt;제03절 소송상의 대리인&gt;04</v>
      </c>
      <c r="S22" s="57" t="str">
        <f t="shared" si="4"/>
        <v>예상&gt;4.03&gt;1</v>
      </c>
      <c r="T22" s="57" t="str">
        <f t="shared" si="5"/>
        <v>예상&gt;4.03&gt;1</v>
      </c>
    </row>
    <row r="23" spans="2:20" ht="14.45" customHeight="1" x14ac:dyDescent="0.2">
      <c r="B23" s="24">
        <f t="shared" si="0"/>
        <v>20</v>
      </c>
      <c r="C23" s="109">
        <v>4.0199999999999996</v>
      </c>
      <c r="D23" s="18" t="s">
        <v>3598</v>
      </c>
      <c r="E23" s="18" t="s">
        <v>3598</v>
      </c>
      <c r="F23" s="19" t="s">
        <v>3596</v>
      </c>
      <c r="G23" s="58">
        <v>19</v>
      </c>
      <c r="H23" s="19" t="s">
        <v>2525</v>
      </c>
      <c r="I23" s="18" t="s">
        <v>3609</v>
      </c>
      <c r="J23" s="20" t="s">
        <v>1307</v>
      </c>
      <c r="K23" s="18" t="s">
        <v>3607</v>
      </c>
      <c r="L23" s="19" t="s">
        <v>3577</v>
      </c>
      <c r="M23" s="57" t="s">
        <v>3581</v>
      </c>
      <c r="N23" s="56" t="s">
        <v>3593</v>
      </c>
      <c r="O23" s="98" t="s">
        <v>3645</v>
      </c>
      <c r="P23" s="57" t="str">
        <f t="shared" si="1"/>
        <v>제02편 소송의 주체&gt;19&gt;2&gt;예상</v>
      </c>
      <c r="Q23" s="57" t="str">
        <f t="shared" si="2"/>
        <v>제04장 당사자&gt;12&gt;2&gt;예상</v>
      </c>
      <c r="R23" s="57" t="str">
        <f t="shared" si="3"/>
        <v>제04장 당사자&gt;제02절 당사자의 자격&gt;07</v>
      </c>
      <c r="S23" s="57" t="str">
        <f t="shared" si="4"/>
        <v>예상&gt;4.02&gt;2</v>
      </c>
      <c r="T23" s="57" t="str">
        <f t="shared" si="5"/>
        <v>예상&gt;4.02&gt;2</v>
      </c>
    </row>
    <row r="24" spans="2:20" ht="14.45" customHeight="1" x14ac:dyDescent="0.2">
      <c r="B24" s="24">
        <f t="shared" si="0"/>
        <v>21</v>
      </c>
      <c r="C24" s="109">
        <v>4.0199999999999996</v>
      </c>
      <c r="D24" s="18" t="s">
        <v>2376</v>
      </c>
      <c r="E24" s="18" t="s">
        <v>2376</v>
      </c>
      <c r="F24" s="19" t="s">
        <v>2533</v>
      </c>
      <c r="G24" s="58">
        <v>18</v>
      </c>
      <c r="H24" s="19" t="s">
        <v>2524</v>
      </c>
      <c r="I24" s="18" t="s">
        <v>2382</v>
      </c>
      <c r="J24" s="20" t="s">
        <v>1307</v>
      </c>
      <c r="K24" s="18" t="s">
        <v>2378</v>
      </c>
      <c r="L24" s="19" t="s">
        <v>3508</v>
      </c>
      <c r="M24" s="57" t="s">
        <v>3509</v>
      </c>
      <c r="N24" s="56" t="s">
        <v>2334</v>
      </c>
      <c r="O24" s="98"/>
      <c r="P24" s="57" t="str">
        <f t="shared" si="1"/>
        <v>제02편 소송의 주체&gt;18&gt;1&gt;예상</v>
      </c>
      <c r="Q24" s="57" t="str">
        <f t="shared" si="2"/>
        <v>제04장 당사자&gt;11&gt;1&gt;예상</v>
      </c>
      <c r="R24" s="57" t="str">
        <f t="shared" si="3"/>
        <v>제04장 당사자&gt;제02절 당사자의 자격&gt;06</v>
      </c>
      <c r="S24" s="57" t="str">
        <f t="shared" si="4"/>
        <v>예상&gt;4.02&gt;1</v>
      </c>
      <c r="T24" s="57" t="str">
        <f t="shared" si="5"/>
        <v>예상&gt;4.02&gt;1</v>
      </c>
    </row>
    <row r="25" spans="2:20" ht="14.45" customHeight="1" x14ac:dyDescent="0.2">
      <c r="B25" s="24">
        <f t="shared" si="0"/>
        <v>22</v>
      </c>
      <c r="C25" s="109">
        <v>4.01</v>
      </c>
      <c r="D25" s="18" t="s">
        <v>2376</v>
      </c>
      <c r="E25" s="18" t="s">
        <v>2376</v>
      </c>
      <c r="F25" s="19" t="s">
        <v>2533</v>
      </c>
      <c r="G25" s="58">
        <v>17</v>
      </c>
      <c r="H25" s="19" t="s">
        <v>2524</v>
      </c>
      <c r="I25" s="18" t="s">
        <v>2377</v>
      </c>
      <c r="J25" s="20" t="s">
        <v>1669</v>
      </c>
      <c r="K25" s="18" t="s">
        <v>2379</v>
      </c>
      <c r="L25" s="19" t="s">
        <v>2381</v>
      </c>
      <c r="M25" s="57" t="s">
        <v>2388</v>
      </c>
      <c r="N25" s="56" t="s">
        <v>2334</v>
      </c>
      <c r="O25" s="98"/>
      <c r="P25" s="57" t="str">
        <f t="shared" si="1"/>
        <v>제02편 소송의 주체&gt;17&gt;1&gt;예상</v>
      </c>
      <c r="Q25" s="57" t="str">
        <f t="shared" si="2"/>
        <v>제04장 당사자&gt;10&gt;1&gt;예상</v>
      </c>
      <c r="R25" s="57" t="str">
        <f t="shared" si="3"/>
        <v>제04장 당사자&gt;제01절 당사자의 개관&gt;02</v>
      </c>
      <c r="S25" s="57" t="str">
        <f t="shared" si="4"/>
        <v>예상&gt;4.01&gt;1</v>
      </c>
      <c r="T25" s="57" t="str">
        <f t="shared" si="5"/>
        <v>예상&gt;4.01&gt;1</v>
      </c>
    </row>
    <row r="26" spans="2:20" ht="14.45" customHeight="1" x14ac:dyDescent="0.2">
      <c r="B26" s="24">
        <f t="shared" si="0"/>
        <v>23</v>
      </c>
      <c r="C26" s="109">
        <v>3.02</v>
      </c>
      <c r="D26" s="18" t="s">
        <v>1346</v>
      </c>
      <c r="E26" s="18" t="s">
        <v>1284</v>
      </c>
      <c r="F26" s="19" t="s">
        <v>2533</v>
      </c>
      <c r="G26" s="58">
        <v>13</v>
      </c>
      <c r="H26" s="19" t="s">
        <v>2522</v>
      </c>
      <c r="I26" s="18" t="s">
        <v>1312</v>
      </c>
      <c r="J26" s="20" t="s">
        <v>1348</v>
      </c>
      <c r="K26" s="18" t="s">
        <v>1283</v>
      </c>
      <c r="L26" s="23" t="s">
        <v>2295</v>
      </c>
      <c r="M26" s="56" t="s">
        <v>2387</v>
      </c>
      <c r="N26" s="56" t="s">
        <v>2334</v>
      </c>
      <c r="O26" s="98"/>
      <c r="P26" s="57" t="str">
        <f t="shared" si="1"/>
        <v>제02편 소송의 주체&gt;13&gt;1&gt;예상</v>
      </c>
      <c r="Q26" s="57" t="str">
        <f t="shared" si="2"/>
        <v>제03장 법원&gt;04&gt;1&gt;예상</v>
      </c>
      <c r="R26" s="57" t="str">
        <f t="shared" si="3"/>
        <v>제03장 법원&gt;제02절 법관의 제척・기피・회피&gt;01</v>
      </c>
      <c r="S26" s="57" t="str">
        <f t="shared" si="4"/>
        <v>예상&gt;3.02&gt;4</v>
      </c>
      <c r="T26" s="57" t="str">
        <f t="shared" si="5"/>
        <v>예상&gt;3.02&gt;1</v>
      </c>
    </row>
    <row r="27" spans="2:20" ht="14.45" customHeight="1" x14ac:dyDescent="0.2">
      <c r="B27" s="24">
        <f t="shared" si="0"/>
        <v>24</v>
      </c>
      <c r="C27" s="109">
        <v>3.02</v>
      </c>
      <c r="D27" s="18" t="s">
        <v>1328</v>
      </c>
      <c r="E27" s="18" t="s">
        <v>1287</v>
      </c>
      <c r="F27" s="19" t="s">
        <v>2533</v>
      </c>
      <c r="G27" s="58">
        <v>14</v>
      </c>
      <c r="H27" s="19" t="s">
        <v>2522</v>
      </c>
      <c r="I27" s="18" t="s">
        <v>1325</v>
      </c>
      <c r="J27" s="20" t="s">
        <v>1347</v>
      </c>
      <c r="K27" s="18" t="s">
        <v>1295</v>
      </c>
      <c r="L27" s="23" t="s">
        <v>205</v>
      </c>
      <c r="M27" s="56" t="s">
        <v>2165</v>
      </c>
      <c r="N27" s="56" t="s">
        <v>2334</v>
      </c>
      <c r="O27" s="98"/>
      <c r="P27" s="57" t="str">
        <f t="shared" si="1"/>
        <v>제02편 소송의 주체&gt;14&gt;2&gt;예상</v>
      </c>
      <c r="Q27" s="57" t="str">
        <f t="shared" si="2"/>
        <v>제03장 법원&gt;05&gt;2&gt;예상</v>
      </c>
      <c r="R27" s="57" t="str">
        <f t="shared" si="3"/>
        <v>제03장 법원&gt;제02절 법관의 제척・기피・회피&gt;02</v>
      </c>
      <c r="S27" s="57" t="str">
        <f t="shared" si="4"/>
        <v>예상&gt;3.02&gt;3</v>
      </c>
      <c r="T27" s="57" t="str">
        <f t="shared" si="5"/>
        <v>예상&gt;3.02&gt;2</v>
      </c>
    </row>
    <row r="28" spans="2:20" ht="14.45" customHeight="1" x14ac:dyDescent="0.2">
      <c r="B28" s="24">
        <f t="shared" si="0"/>
        <v>25</v>
      </c>
      <c r="C28" s="109">
        <v>3.02</v>
      </c>
      <c r="D28" s="18" t="s">
        <v>1329</v>
      </c>
      <c r="E28" s="18" t="s">
        <v>1289</v>
      </c>
      <c r="F28" s="19" t="s">
        <v>2533</v>
      </c>
      <c r="G28" s="58">
        <v>15</v>
      </c>
      <c r="H28" s="19" t="s">
        <v>2522</v>
      </c>
      <c r="I28" s="18" t="s">
        <v>1331</v>
      </c>
      <c r="J28" s="20" t="s">
        <v>1347</v>
      </c>
      <c r="K28" s="18" t="s">
        <v>1305</v>
      </c>
      <c r="L28" s="23" t="s">
        <v>206</v>
      </c>
      <c r="M28" s="56" t="s">
        <v>2166</v>
      </c>
      <c r="N28" s="56" t="s">
        <v>2334</v>
      </c>
      <c r="O28" s="98"/>
      <c r="P28" s="57" t="str">
        <f t="shared" si="1"/>
        <v>제02편 소송의 주체&gt;15&gt;3&gt;예상</v>
      </c>
      <c r="Q28" s="57" t="str">
        <f t="shared" si="2"/>
        <v>제03장 법원&gt;06&gt;3&gt;예상</v>
      </c>
      <c r="R28" s="57" t="str">
        <f t="shared" si="3"/>
        <v>제03장 법원&gt;제02절 법관의 제척・기피・회피&gt;03</v>
      </c>
      <c r="S28" s="57" t="str">
        <f t="shared" si="4"/>
        <v>예상&gt;3.02&gt;2</v>
      </c>
      <c r="T28" s="57" t="str">
        <f t="shared" si="5"/>
        <v>예상&gt;3.02&gt;3</v>
      </c>
    </row>
    <row r="29" spans="2:20" ht="14.45" customHeight="1" x14ac:dyDescent="0.2">
      <c r="B29" s="24">
        <f t="shared" si="0"/>
        <v>26</v>
      </c>
      <c r="C29" s="109">
        <v>3.02</v>
      </c>
      <c r="D29" s="18" t="s">
        <v>3595</v>
      </c>
      <c r="E29" s="18" t="s">
        <v>3592</v>
      </c>
      <c r="F29" s="19" t="s">
        <v>3596</v>
      </c>
      <c r="G29" s="58">
        <v>16</v>
      </c>
      <c r="H29" s="19" t="s">
        <v>3597</v>
      </c>
      <c r="I29" s="18" t="s">
        <v>3607</v>
      </c>
      <c r="J29" s="20" t="s">
        <v>1348</v>
      </c>
      <c r="K29" s="18" t="s">
        <v>3608</v>
      </c>
      <c r="L29" s="23" t="s">
        <v>3572</v>
      </c>
      <c r="M29" s="56" t="s">
        <v>3580</v>
      </c>
      <c r="N29" s="56" t="s">
        <v>3593</v>
      </c>
      <c r="O29" s="98" t="s">
        <v>3645</v>
      </c>
      <c r="P29" s="57" t="str">
        <f t="shared" si="1"/>
        <v>제02편 소송의 주체&gt;16&gt;4&gt;예상</v>
      </c>
      <c r="Q29" s="57" t="str">
        <f t="shared" si="2"/>
        <v>제03장 법원&gt;07&gt;4&gt;예상</v>
      </c>
      <c r="R29" s="57" t="str">
        <f t="shared" si="3"/>
        <v>제03장 법원&gt;제02절 법관의 제척・기피・회피&gt;04</v>
      </c>
      <c r="S29" s="57" t="str">
        <f t="shared" si="4"/>
        <v>예상&gt;3.02&gt;1</v>
      </c>
      <c r="T29" s="57" t="str">
        <f t="shared" si="5"/>
        <v>예상&gt;3.02&gt;4</v>
      </c>
    </row>
    <row r="30" spans="2:20" ht="14.45" customHeight="1" x14ac:dyDescent="0.2">
      <c r="B30" s="24">
        <f t="shared" si="0"/>
        <v>27</v>
      </c>
      <c r="C30" s="109">
        <v>17.05</v>
      </c>
      <c r="D30" s="18" t="s">
        <v>1346</v>
      </c>
      <c r="E30" s="18" t="s">
        <v>1289</v>
      </c>
      <c r="F30" s="19" t="s">
        <v>2537</v>
      </c>
      <c r="G30" s="60" t="s">
        <v>3616</v>
      </c>
      <c r="H30" s="19" t="s">
        <v>2561</v>
      </c>
      <c r="I30" s="18" t="s">
        <v>1343</v>
      </c>
      <c r="J30" s="20" t="s">
        <v>1365</v>
      </c>
      <c r="K30" s="18" t="s">
        <v>1283</v>
      </c>
      <c r="L30" s="23" t="s">
        <v>238</v>
      </c>
      <c r="M30" s="56" t="s">
        <v>2219</v>
      </c>
      <c r="N30" s="56" t="s">
        <v>2334</v>
      </c>
      <c r="O30" s="98"/>
      <c r="P30" s="57" t="str">
        <f t="shared" si="1"/>
        <v>제07편 재심절차&gt;08&gt;1&gt;예상</v>
      </c>
      <c r="Q30" s="57" t="str">
        <f t="shared" si="2"/>
        <v>제17장 재심&gt;08&gt;1&gt;예상</v>
      </c>
      <c r="R30" s="57" t="str">
        <f t="shared" si="3"/>
        <v>제17장 재심&gt;제05절 준재심&gt;01</v>
      </c>
      <c r="S30" s="57" t="str">
        <f t="shared" si="4"/>
        <v>예상&gt;17.05&gt;2</v>
      </c>
      <c r="T30" s="57" t="str">
        <f t="shared" si="5"/>
        <v>예상&gt;17.05&gt;1</v>
      </c>
    </row>
    <row r="31" spans="2:20" ht="14.45" customHeight="1" x14ac:dyDescent="0.2">
      <c r="B31" s="24">
        <f t="shared" si="0"/>
        <v>28</v>
      </c>
      <c r="C31" s="109">
        <v>17.05</v>
      </c>
      <c r="D31" s="18" t="s">
        <v>1328</v>
      </c>
      <c r="E31" s="18" t="s">
        <v>1291</v>
      </c>
      <c r="F31" s="19" t="s">
        <v>2537</v>
      </c>
      <c r="G31" s="60" t="s">
        <v>3617</v>
      </c>
      <c r="H31" s="19" t="s">
        <v>2561</v>
      </c>
      <c r="I31" s="18" t="s">
        <v>1366</v>
      </c>
      <c r="J31" s="20" t="s">
        <v>1365</v>
      </c>
      <c r="K31" s="18" t="s">
        <v>1295</v>
      </c>
      <c r="L31" s="23" t="s">
        <v>2591</v>
      </c>
      <c r="M31" s="56" t="s">
        <v>2592</v>
      </c>
      <c r="N31" s="56" t="s">
        <v>2334</v>
      </c>
      <c r="O31" s="98"/>
      <c r="P31" s="57" t="str">
        <f t="shared" si="1"/>
        <v>제07편 재심절차&gt;09&gt;2&gt;예상</v>
      </c>
      <c r="Q31" s="57" t="str">
        <f t="shared" si="2"/>
        <v>제17장 재심&gt;09&gt;2&gt;예상</v>
      </c>
      <c r="R31" s="57" t="str">
        <f t="shared" si="3"/>
        <v>제17장 재심&gt;제05절 준재심&gt;02</v>
      </c>
      <c r="S31" s="57" t="str">
        <f t="shared" si="4"/>
        <v>예상&gt;17.05&gt;1</v>
      </c>
      <c r="T31" s="57" t="str">
        <f t="shared" si="5"/>
        <v>예상&gt;17.05&gt;2</v>
      </c>
    </row>
    <row r="32" spans="2:20" ht="14.45" customHeight="1" x14ac:dyDescent="0.2">
      <c r="B32" s="24">
        <f t="shared" si="0"/>
        <v>29</v>
      </c>
      <c r="C32" s="109">
        <v>17.04</v>
      </c>
      <c r="D32" s="18" t="s">
        <v>1346</v>
      </c>
      <c r="E32" s="18" t="s">
        <v>1289</v>
      </c>
      <c r="F32" s="19" t="s">
        <v>2537</v>
      </c>
      <c r="G32" s="60" t="s">
        <v>3613</v>
      </c>
      <c r="H32" s="19" t="s">
        <v>2561</v>
      </c>
      <c r="I32" s="18" t="s">
        <v>1331</v>
      </c>
      <c r="J32" s="20" t="s">
        <v>1364</v>
      </c>
      <c r="K32" s="18" t="s">
        <v>1283</v>
      </c>
      <c r="L32" s="23" t="s">
        <v>236</v>
      </c>
      <c r="M32" s="56" t="s">
        <v>2217</v>
      </c>
      <c r="N32" s="56" t="s">
        <v>2334</v>
      </c>
      <c r="O32" s="98"/>
      <c r="P32" s="57" t="str">
        <f t="shared" si="1"/>
        <v>제07편 재심절차&gt;06&gt;1&gt;예상</v>
      </c>
      <c r="Q32" s="57" t="str">
        <f t="shared" si="2"/>
        <v>제17장 재심&gt;06&gt;1&gt;예상</v>
      </c>
      <c r="R32" s="57" t="str">
        <f t="shared" si="3"/>
        <v>제17장 재심&gt;제04절 재심절차&gt;01</v>
      </c>
      <c r="S32" s="57" t="str">
        <f t="shared" si="4"/>
        <v>예상&gt;17.04&gt;2</v>
      </c>
      <c r="T32" s="57" t="str">
        <f t="shared" si="5"/>
        <v>예상&gt;17.04&gt;1</v>
      </c>
    </row>
    <row r="33" spans="2:20" ht="14.45" customHeight="1" x14ac:dyDescent="0.2">
      <c r="B33" s="24">
        <f t="shared" si="0"/>
        <v>30</v>
      </c>
      <c r="C33" s="109">
        <v>17.04</v>
      </c>
      <c r="D33" s="18" t="s">
        <v>1328</v>
      </c>
      <c r="E33" s="18" t="s">
        <v>1291</v>
      </c>
      <c r="F33" s="19" t="s">
        <v>2537</v>
      </c>
      <c r="G33" s="60" t="s">
        <v>3607</v>
      </c>
      <c r="H33" s="19" t="s">
        <v>2561</v>
      </c>
      <c r="I33" s="18" t="s">
        <v>1332</v>
      </c>
      <c r="J33" s="20" t="s">
        <v>1364</v>
      </c>
      <c r="K33" s="18" t="s">
        <v>1295</v>
      </c>
      <c r="L33" s="23" t="s">
        <v>237</v>
      </c>
      <c r="M33" s="56" t="s">
        <v>2218</v>
      </c>
      <c r="N33" s="56" t="s">
        <v>2334</v>
      </c>
      <c r="O33" s="98"/>
      <c r="P33" s="57" t="str">
        <f t="shared" si="1"/>
        <v>제07편 재심절차&gt;07&gt;2&gt;예상</v>
      </c>
      <c r="Q33" s="57" t="str">
        <f t="shared" si="2"/>
        <v>제17장 재심&gt;07&gt;2&gt;예상</v>
      </c>
      <c r="R33" s="57" t="str">
        <f t="shared" si="3"/>
        <v>제17장 재심&gt;제04절 재심절차&gt;02</v>
      </c>
      <c r="S33" s="57" t="str">
        <f t="shared" si="4"/>
        <v>예상&gt;17.04&gt;1</v>
      </c>
      <c r="T33" s="57" t="str">
        <f t="shared" si="5"/>
        <v>예상&gt;17.04&gt;2</v>
      </c>
    </row>
    <row r="34" spans="2:20" ht="14.45" customHeight="1" x14ac:dyDescent="0.2">
      <c r="B34" s="24">
        <f t="shared" si="0"/>
        <v>31</v>
      </c>
      <c r="C34" s="109">
        <v>17.03</v>
      </c>
      <c r="D34" s="18" t="s">
        <v>1346</v>
      </c>
      <c r="E34" s="18" t="s">
        <v>1287</v>
      </c>
      <c r="F34" s="19" t="s">
        <v>2537</v>
      </c>
      <c r="G34" s="58" t="s">
        <v>2568</v>
      </c>
      <c r="H34" s="19" t="s">
        <v>2561</v>
      </c>
      <c r="I34" s="18" t="s">
        <v>1305</v>
      </c>
      <c r="J34" s="20" t="s">
        <v>1363</v>
      </c>
      <c r="K34" s="18" t="s">
        <v>1283</v>
      </c>
      <c r="L34" s="23" t="s">
        <v>234</v>
      </c>
      <c r="M34" s="56" t="s">
        <v>2215</v>
      </c>
      <c r="N34" s="56" t="s">
        <v>2334</v>
      </c>
      <c r="O34" s="98"/>
      <c r="P34" s="57" t="str">
        <f t="shared" si="1"/>
        <v>제07편 재심절차&gt;03&gt;1&gt;예상</v>
      </c>
      <c r="Q34" s="57" t="str">
        <f t="shared" si="2"/>
        <v>제17장 재심&gt;03&gt;1&gt;예상</v>
      </c>
      <c r="R34" s="57" t="str">
        <f t="shared" si="3"/>
        <v>제17장 재심&gt;제03절 적법요건&gt;01</v>
      </c>
      <c r="S34" s="57" t="str">
        <f t="shared" si="4"/>
        <v>예상&gt;17.03&gt;3</v>
      </c>
      <c r="T34" s="57" t="str">
        <f t="shared" si="5"/>
        <v>예상&gt;17.03&gt;1</v>
      </c>
    </row>
    <row r="35" spans="2:20" ht="14.45" customHeight="1" x14ac:dyDescent="0.2">
      <c r="B35" s="24">
        <f t="shared" si="0"/>
        <v>32</v>
      </c>
      <c r="C35" s="109">
        <v>17.03</v>
      </c>
      <c r="D35" s="18" t="s">
        <v>1328</v>
      </c>
      <c r="E35" s="18" t="s">
        <v>1289</v>
      </c>
      <c r="F35" s="19" t="s">
        <v>2537</v>
      </c>
      <c r="G35" s="58" t="s">
        <v>2569</v>
      </c>
      <c r="H35" s="19" t="s">
        <v>2561</v>
      </c>
      <c r="I35" s="18" t="s">
        <v>1312</v>
      </c>
      <c r="J35" s="20" t="s">
        <v>1363</v>
      </c>
      <c r="K35" s="18" t="s">
        <v>1295</v>
      </c>
      <c r="L35" s="23" t="s">
        <v>235</v>
      </c>
      <c r="M35" s="56" t="s">
        <v>2216</v>
      </c>
      <c r="N35" s="56" t="s">
        <v>2334</v>
      </c>
      <c r="O35" s="98"/>
      <c r="P35" s="57" t="str">
        <f t="shared" si="1"/>
        <v>제07편 재심절차&gt;04&gt;2&gt;예상</v>
      </c>
      <c r="Q35" s="57" t="str">
        <f t="shared" si="2"/>
        <v>제17장 재심&gt;04&gt;2&gt;예상</v>
      </c>
      <c r="R35" s="57" t="str">
        <f t="shared" si="3"/>
        <v>제17장 재심&gt;제03절 적법요건&gt;02</v>
      </c>
      <c r="S35" s="57" t="str">
        <f t="shared" si="4"/>
        <v>예상&gt;17.03&gt;2</v>
      </c>
      <c r="T35" s="57" t="str">
        <f t="shared" si="5"/>
        <v>예상&gt;17.03&gt;2</v>
      </c>
    </row>
    <row r="36" spans="2:20" ht="14.45" customHeight="1" x14ac:dyDescent="0.2">
      <c r="B36" s="24">
        <f t="shared" ref="B36:B57" si="6">ROW()-3</f>
        <v>33</v>
      </c>
      <c r="C36" s="109">
        <v>17.03</v>
      </c>
      <c r="D36" s="18" t="s">
        <v>3610</v>
      </c>
      <c r="E36" s="18" t="s">
        <v>3592</v>
      </c>
      <c r="F36" s="19" t="s">
        <v>3602</v>
      </c>
      <c r="G36" s="60" t="s">
        <v>3612</v>
      </c>
      <c r="H36" s="19" t="s">
        <v>3603</v>
      </c>
      <c r="I36" s="18" t="s">
        <v>3612</v>
      </c>
      <c r="J36" s="20" t="s">
        <v>3604</v>
      </c>
      <c r="K36" s="18" t="s">
        <v>3606</v>
      </c>
      <c r="L36" s="23" t="s">
        <v>3590</v>
      </c>
      <c r="M36" s="56" t="s">
        <v>3591</v>
      </c>
      <c r="N36" s="56" t="s">
        <v>3593</v>
      </c>
      <c r="O36" s="98" t="s">
        <v>3645</v>
      </c>
      <c r="P36" s="57" t="str">
        <f t="shared" ref="P36:P57" si="7">F36&amp;"&gt;"&amp;G36&amp;"&gt;"&amp;D36&amp;"&gt;"&amp;N36</f>
        <v>제07편 재심절차&gt;05&gt;3&gt;예상</v>
      </c>
      <c r="Q36" s="57" t="str">
        <f t="shared" ref="Q36:Q57" si="8">H36&amp;"&gt;"&amp;I36&amp;"&gt;"&amp;D36&amp;"&gt;"&amp;N36</f>
        <v>제17장 재심&gt;05&gt;3&gt;예상</v>
      </c>
      <c r="R36" s="57" t="str">
        <f t="shared" ref="R36:R57" si="9">H36&amp;"&gt;"&amp;J36&amp;"&gt;"&amp;K36</f>
        <v>제17장 재심&gt;제03절 적법요건&gt;03</v>
      </c>
      <c r="S36" s="57" t="str">
        <f t="shared" ref="S36:S57" si="10">N36&amp;"&gt;"&amp;C36&amp;"&gt;"&amp;E36</f>
        <v>예상&gt;17.03&gt;1</v>
      </c>
      <c r="T36" s="57" t="str">
        <f t="shared" ref="T36:T57" si="11">N36&amp;"&gt;"&amp;C36&amp;"&gt;"&amp;D36</f>
        <v>예상&gt;17.03&gt;3</v>
      </c>
    </row>
    <row r="37" spans="2:20" ht="14.45" customHeight="1" x14ac:dyDescent="0.2">
      <c r="B37" s="24">
        <f t="shared" si="6"/>
        <v>34</v>
      </c>
      <c r="C37" s="109">
        <v>17.02</v>
      </c>
      <c r="D37" s="18" t="s">
        <v>1346</v>
      </c>
      <c r="E37" s="18" t="s">
        <v>1289</v>
      </c>
      <c r="F37" s="19" t="s">
        <v>2537</v>
      </c>
      <c r="G37" s="58" t="s">
        <v>2566</v>
      </c>
      <c r="H37" s="19" t="s">
        <v>2561</v>
      </c>
      <c r="I37" s="18" t="s">
        <v>1283</v>
      </c>
      <c r="J37" s="20" t="s">
        <v>1362</v>
      </c>
      <c r="K37" s="18" t="s">
        <v>1283</v>
      </c>
      <c r="L37" s="23" t="s">
        <v>232</v>
      </c>
      <c r="M37" s="56" t="s">
        <v>2213</v>
      </c>
      <c r="N37" s="56" t="s">
        <v>2334</v>
      </c>
      <c r="O37" s="98"/>
      <c r="P37" s="57" t="str">
        <f t="shared" si="7"/>
        <v>제07편 재심절차&gt;01&gt;1&gt;예상</v>
      </c>
      <c r="Q37" s="57" t="str">
        <f t="shared" si="8"/>
        <v>제17장 재심&gt;01&gt;1&gt;예상</v>
      </c>
      <c r="R37" s="57" t="str">
        <f t="shared" si="9"/>
        <v>제17장 재심&gt;제02절 재심의 소송물&gt;01</v>
      </c>
      <c r="S37" s="57" t="str">
        <f t="shared" si="10"/>
        <v>예상&gt;17.02&gt;2</v>
      </c>
      <c r="T37" s="57" t="str">
        <f t="shared" si="11"/>
        <v>예상&gt;17.02&gt;1</v>
      </c>
    </row>
    <row r="38" spans="2:20" ht="14.45" customHeight="1" x14ac:dyDescent="0.2">
      <c r="B38" s="24">
        <f t="shared" si="6"/>
        <v>35</v>
      </c>
      <c r="C38" s="109">
        <v>17.02</v>
      </c>
      <c r="D38" s="18" t="s">
        <v>1328</v>
      </c>
      <c r="E38" s="18" t="s">
        <v>1291</v>
      </c>
      <c r="F38" s="19" t="s">
        <v>2537</v>
      </c>
      <c r="G38" s="58" t="s">
        <v>2567</v>
      </c>
      <c r="H38" s="19" t="s">
        <v>2561</v>
      </c>
      <c r="I38" s="18" t="s">
        <v>1295</v>
      </c>
      <c r="J38" s="20" t="s">
        <v>1362</v>
      </c>
      <c r="K38" s="18" t="s">
        <v>1295</v>
      </c>
      <c r="L38" s="23" t="s">
        <v>233</v>
      </c>
      <c r="M38" s="56" t="s">
        <v>2214</v>
      </c>
      <c r="N38" s="56" t="s">
        <v>2334</v>
      </c>
      <c r="O38" s="98"/>
      <c r="P38" s="57" t="str">
        <f t="shared" si="7"/>
        <v>제07편 재심절차&gt;02&gt;2&gt;예상</v>
      </c>
      <c r="Q38" s="57" t="str">
        <f t="shared" si="8"/>
        <v>제17장 재심&gt;02&gt;2&gt;예상</v>
      </c>
      <c r="R38" s="57" t="str">
        <f t="shared" si="9"/>
        <v>제17장 재심&gt;제02절 재심의 소송물&gt;02</v>
      </c>
      <c r="S38" s="57" t="str">
        <f t="shared" si="10"/>
        <v>예상&gt;17.02&gt;1</v>
      </c>
      <c r="T38" s="57" t="str">
        <f t="shared" si="11"/>
        <v>예상&gt;17.02&gt;2</v>
      </c>
    </row>
    <row r="39" spans="2:20" ht="14.45" customHeight="1" x14ac:dyDescent="0.2">
      <c r="B39" s="24">
        <f t="shared" si="6"/>
        <v>36</v>
      </c>
      <c r="C39" s="109">
        <v>16.02</v>
      </c>
      <c r="D39" s="18" t="s">
        <v>1346</v>
      </c>
      <c r="E39" s="18" t="s">
        <v>1289</v>
      </c>
      <c r="F39" s="19" t="s">
        <v>2536</v>
      </c>
      <c r="G39" s="58">
        <v>15</v>
      </c>
      <c r="H39" s="19" t="s">
        <v>2559</v>
      </c>
      <c r="I39" s="18" t="s">
        <v>1283</v>
      </c>
      <c r="J39" s="20" t="s">
        <v>1361</v>
      </c>
      <c r="K39" s="18" t="s">
        <v>1283</v>
      </c>
      <c r="L39" s="23" t="s">
        <v>230</v>
      </c>
      <c r="M39" s="56" t="s">
        <v>2211</v>
      </c>
      <c r="N39" s="56" t="s">
        <v>2334</v>
      </c>
      <c r="O39" s="98"/>
      <c r="P39" s="57" t="str">
        <f t="shared" si="7"/>
        <v>제06편 상소심절차&gt;15&gt;1&gt;예상</v>
      </c>
      <c r="Q39" s="57" t="str">
        <f t="shared" si="8"/>
        <v>제16장 항고&gt;01&gt;1&gt;예상</v>
      </c>
      <c r="R39" s="57" t="str">
        <f t="shared" si="9"/>
        <v>제16장 항고&gt;제02절 항고의 절차&gt;01</v>
      </c>
      <c r="S39" s="57" t="str">
        <f t="shared" si="10"/>
        <v>예상&gt;16.02&gt;2</v>
      </c>
      <c r="T39" s="57" t="str">
        <f t="shared" si="11"/>
        <v>예상&gt;16.02&gt;1</v>
      </c>
    </row>
    <row r="40" spans="2:20" ht="14.45" customHeight="1" x14ac:dyDescent="0.2">
      <c r="B40" s="24">
        <f t="shared" si="6"/>
        <v>37</v>
      </c>
      <c r="C40" s="109">
        <v>16.02</v>
      </c>
      <c r="D40" s="18" t="s">
        <v>1328</v>
      </c>
      <c r="E40" s="18" t="s">
        <v>1291</v>
      </c>
      <c r="F40" s="19" t="s">
        <v>2536</v>
      </c>
      <c r="G40" s="58">
        <v>16</v>
      </c>
      <c r="H40" s="19" t="s">
        <v>2559</v>
      </c>
      <c r="I40" s="18" t="s">
        <v>1295</v>
      </c>
      <c r="J40" s="20" t="s">
        <v>1361</v>
      </c>
      <c r="K40" s="18" t="s">
        <v>1295</v>
      </c>
      <c r="L40" s="23" t="s">
        <v>231</v>
      </c>
      <c r="M40" s="56" t="s">
        <v>2212</v>
      </c>
      <c r="N40" s="56" t="s">
        <v>2334</v>
      </c>
      <c r="O40" s="98"/>
      <c r="P40" s="57" t="str">
        <f t="shared" si="7"/>
        <v>제06편 상소심절차&gt;16&gt;2&gt;예상</v>
      </c>
      <c r="Q40" s="57" t="str">
        <f t="shared" si="8"/>
        <v>제16장 항고&gt;02&gt;2&gt;예상</v>
      </c>
      <c r="R40" s="57" t="str">
        <f t="shared" si="9"/>
        <v>제16장 항고&gt;제02절 항고의 절차&gt;02</v>
      </c>
      <c r="S40" s="57" t="str">
        <f t="shared" si="10"/>
        <v>예상&gt;16.02&gt;1</v>
      </c>
      <c r="T40" s="57" t="str">
        <f t="shared" si="11"/>
        <v>예상&gt;16.02&gt;2</v>
      </c>
    </row>
    <row r="41" spans="2:20" ht="14.45" customHeight="1" x14ac:dyDescent="0.2">
      <c r="B41" s="24">
        <f t="shared" si="6"/>
        <v>38</v>
      </c>
      <c r="C41" s="109">
        <v>15.04</v>
      </c>
      <c r="D41" s="18" t="s">
        <v>1346</v>
      </c>
      <c r="E41" s="18" t="s">
        <v>1289</v>
      </c>
      <c r="F41" s="19" t="s">
        <v>2536</v>
      </c>
      <c r="G41" s="58">
        <v>13</v>
      </c>
      <c r="H41" s="19" t="s">
        <v>2557</v>
      </c>
      <c r="I41" s="18" t="s">
        <v>1325</v>
      </c>
      <c r="J41" s="20" t="s">
        <v>1360</v>
      </c>
      <c r="K41" s="18" t="s">
        <v>1283</v>
      </c>
      <c r="L41" s="23" t="s">
        <v>228</v>
      </c>
      <c r="M41" s="56" t="s">
        <v>2209</v>
      </c>
      <c r="N41" s="56" t="s">
        <v>2334</v>
      </c>
      <c r="O41" s="98"/>
      <c r="P41" s="57" t="str">
        <f t="shared" si="7"/>
        <v>제06편 상소심절차&gt;13&gt;1&gt;예상</v>
      </c>
      <c r="Q41" s="57" t="str">
        <f t="shared" si="8"/>
        <v>제15장 상고&gt;05&gt;1&gt;예상</v>
      </c>
      <c r="R41" s="57" t="str">
        <f t="shared" si="9"/>
        <v>제15장 상고&gt;제04절 상고심의 종국재판&gt;01</v>
      </c>
      <c r="S41" s="57" t="str">
        <f t="shared" si="10"/>
        <v>예상&gt;15.04&gt;2</v>
      </c>
      <c r="T41" s="57" t="str">
        <f t="shared" si="11"/>
        <v>예상&gt;15.04&gt;1</v>
      </c>
    </row>
    <row r="42" spans="2:20" ht="14.45" customHeight="1" x14ac:dyDescent="0.2">
      <c r="B42" s="24">
        <f t="shared" si="6"/>
        <v>39</v>
      </c>
      <c r="C42" s="109">
        <v>15.04</v>
      </c>
      <c r="D42" s="18" t="s">
        <v>1328</v>
      </c>
      <c r="E42" s="18" t="s">
        <v>1291</v>
      </c>
      <c r="F42" s="19" t="s">
        <v>2536</v>
      </c>
      <c r="G42" s="58">
        <v>14</v>
      </c>
      <c r="H42" s="19" t="s">
        <v>2557</v>
      </c>
      <c r="I42" s="18" t="s">
        <v>1331</v>
      </c>
      <c r="J42" s="20" t="s">
        <v>1360</v>
      </c>
      <c r="K42" s="18" t="s">
        <v>1295</v>
      </c>
      <c r="L42" s="23" t="s">
        <v>229</v>
      </c>
      <c r="M42" s="56" t="s">
        <v>2210</v>
      </c>
      <c r="N42" s="56" t="s">
        <v>2334</v>
      </c>
      <c r="O42" s="98"/>
      <c r="P42" s="57" t="str">
        <f t="shared" si="7"/>
        <v>제06편 상소심절차&gt;14&gt;2&gt;예상</v>
      </c>
      <c r="Q42" s="57" t="str">
        <f t="shared" si="8"/>
        <v>제15장 상고&gt;06&gt;2&gt;예상</v>
      </c>
      <c r="R42" s="57" t="str">
        <f t="shared" si="9"/>
        <v>제15장 상고&gt;제04절 상고심의 종국재판&gt;02</v>
      </c>
      <c r="S42" s="57" t="str">
        <f t="shared" si="10"/>
        <v>예상&gt;15.04&gt;1</v>
      </c>
      <c r="T42" s="57" t="str">
        <f t="shared" si="11"/>
        <v>예상&gt;15.04&gt;2</v>
      </c>
    </row>
    <row r="43" spans="2:20" ht="14.45" customHeight="1" x14ac:dyDescent="0.2">
      <c r="B43" s="24">
        <f t="shared" si="6"/>
        <v>40</v>
      </c>
      <c r="C43" s="109">
        <v>15.03</v>
      </c>
      <c r="D43" s="18" t="s">
        <v>1346</v>
      </c>
      <c r="E43" s="18" t="s">
        <v>1289</v>
      </c>
      <c r="F43" s="19" t="s">
        <v>2536</v>
      </c>
      <c r="G43" s="58">
        <v>11</v>
      </c>
      <c r="H43" s="19" t="s">
        <v>2557</v>
      </c>
      <c r="I43" s="18" t="s">
        <v>1305</v>
      </c>
      <c r="J43" s="20" t="s">
        <v>1359</v>
      </c>
      <c r="K43" s="18" t="s">
        <v>1283</v>
      </c>
      <c r="L43" s="23" t="s">
        <v>226</v>
      </c>
      <c r="M43" s="56" t="s">
        <v>2207</v>
      </c>
      <c r="N43" s="56" t="s">
        <v>2334</v>
      </c>
      <c r="O43" s="98"/>
      <c r="P43" s="57" t="str">
        <f t="shared" si="7"/>
        <v>제06편 상소심절차&gt;11&gt;1&gt;예상</v>
      </c>
      <c r="Q43" s="57" t="str">
        <f t="shared" si="8"/>
        <v>제15장 상고&gt;03&gt;1&gt;예상</v>
      </c>
      <c r="R43" s="57" t="str">
        <f t="shared" si="9"/>
        <v>제15장 상고&gt;제03절 상고심절차의 개시와 심리&gt;01</v>
      </c>
      <c r="S43" s="57" t="str">
        <f t="shared" si="10"/>
        <v>예상&gt;15.03&gt;2</v>
      </c>
      <c r="T43" s="57" t="str">
        <f t="shared" si="11"/>
        <v>예상&gt;15.03&gt;1</v>
      </c>
    </row>
    <row r="44" spans="2:20" ht="14.45" customHeight="1" x14ac:dyDescent="0.2">
      <c r="B44" s="24">
        <f t="shared" si="6"/>
        <v>41</v>
      </c>
      <c r="C44" s="109">
        <v>15.03</v>
      </c>
      <c r="D44" s="18" t="s">
        <v>1328</v>
      </c>
      <c r="E44" s="18" t="s">
        <v>1291</v>
      </c>
      <c r="F44" s="19" t="s">
        <v>2536</v>
      </c>
      <c r="G44" s="58">
        <v>12</v>
      </c>
      <c r="H44" s="19" t="s">
        <v>2557</v>
      </c>
      <c r="I44" s="18" t="s">
        <v>1312</v>
      </c>
      <c r="J44" s="20" t="s">
        <v>1359</v>
      </c>
      <c r="K44" s="18" t="s">
        <v>1295</v>
      </c>
      <c r="L44" s="23" t="s">
        <v>227</v>
      </c>
      <c r="M44" s="56" t="s">
        <v>2208</v>
      </c>
      <c r="N44" s="56" t="s">
        <v>2334</v>
      </c>
      <c r="O44" s="98"/>
      <c r="P44" s="57" t="str">
        <f t="shared" si="7"/>
        <v>제06편 상소심절차&gt;12&gt;2&gt;예상</v>
      </c>
      <c r="Q44" s="57" t="str">
        <f t="shared" si="8"/>
        <v>제15장 상고&gt;04&gt;2&gt;예상</v>
      </c>
      <c r="R44" s="57" t="str">
        <f t="shared" si="9"/>
        <v>제15장 상고&gt;제03절 상고심절차의 개시와 심리&gt;02</v>
      </c>
      <c r="S44" s="57" t="str">
        <f t="shared" si="10"/>
        <v>예상&gt;15.03&gt;1</v>
      </c>
      <c r="T44" s="57" t="str">
        <f t="shared" si="11"/>
        <v>예상&gt;15.03&gt;2</v>
      </c>
    </row>
    <row r="45" spans="2:20" ht="14.45" customHeight="1" x14ac:dyDescent="0.2">
      <c r="B45" s="24">
        <f t="shared" si="6"/>
        <v>42</v>
      </c>
      <c r="C45" s="109">
        <v>15.02</v>
      </c>
      <c r="D45" s="18" t="s">
        <v>1346</v>
      </c>
      <c r="E45" s="18" t="s">
        <v>1289</v>
      </c>
      <c r="F45" s="19" t="s">
        <v>2536</v>
      </c>
      <c r="G45" s="60" t="s">
        <v>2588</v>
      </c>
      <c r="H45" s="19" t="s">
        <v>2557</v>
      </c>
      <c r="I45" s="18" t="s">
        <v>1283</v>
      </c>
      <c r="J45" s="20" t="s">
        <v>1358</v>
      </c>
      <c r="K45" s="18" t="s">
        <v>1283</v>
      </c>
      <c r="L45" s="23" t="s">
        <v>225</v>
      </c>
      <c r="M45" s="56" t="s">
        <v>2206</v>
      </c>
      <c r="N45" s="56" t="s">
        <v>2334</v>
      </c>
      <c r="O45" s="98"/>
      <c r="P45" s="57" t="str">
        <f t="shared" si="7"/>
        <v>제06편 상소심절차&gt;09&gt;1&gt;예상</v>
      </c>
      <c r="Q45" s="57" t="str">
        <f t="shared" si="8"/>
        <v>제15장 상고&gt;01&gt;1&gt;예상</v>
      </c>
      <c r="R45" s="57" t="str">
        <f t="shared" si="9"/>
        <v>제15장 상고&gt;제02절 상고이유&gt;01</v>
      </c>
      <c r="S45" s="57" t="str">
        <f t="shared" si="10"/>
        <v>예상&gt;15.02&gt;2</v>
      </c>
      <c r="T45" s="57" t="str">
        <f t="shared" si="11"/>
        <v>예상&gt;15.02&gt;1</v>
      </c>
    </row>
    <row r="46" spans="2:20" ht="14.45" customHeight="1" x14ac:dyDescent="0.2">
      <c r="B46" s="24">
        <f t="shared" si="6"/>
        <v>43</v>
      </c>
      <c r="C46" s="109">
        <v>15.02</v>
      </c>
      <c r="D46" s="18" t="s">
        <v>1328</v>
      </c>
      <c r="E46" s="18" t="s">
        <v>1291</v>
      </c>
      <c r="F46" s="19" t="s">
        <v>2536</v>
      </c>
      <c r="G46" s="58">
        <v>10</v>
      </c>
      <c r="H46" s="19" t="s">
        <v>2557</v>
      </c>
      <c r="I46" s="18" t="s">
        <v>1295</v>
      </c>
      <c r="J46" s="20" t="s">
        <v>1358</v>
      </c>
      <c r="K46" s="18" t="s">
        <v>1295</v>
      </c>
      <c r="L46" s="23" t="s">
        <v>2597</v>
      </c>
      <c r="M46" s="56" t="s">
        <v>2598</v>
      </c>
      <c r="N46" s="56" t="s">
        <v>2334</v>
      </c>
      <c r="O46" s="98"/>
      <c r="P46" s="57" t="str">
        <f t="shared" si="7"/>
        <v>제06편 상소심절차&gt;10&gt;2&gt;예상</v>
      </c>
      <c r="Q46" s="57" t="str">
        <f t="shared" si="8"/>
        <v>제15장 상고&gt;02&gt;2&gt;예상</v>
      </c>
      <c r="R46" s="57" t="str">
        <f t="shared" si="9"/>
        <v>제15장 상고&gt;제02절 상고이유&gt;02</v>
      </c>
      <c r="S46" s="57" t="str">
        <f t="shared" si="10"/>
        <v>예상&gt;15.02&gt;1</v>
      </c>
      <c r="T46" s="57" t="str">
        <f t="shared" si="11"/>
        <v>예상&gt;15.02&gt;2</v>
      </c>
    </row>
    <row r="47" spans="2:20" ht="14.45" customHeight="1" x14ac:dyDescent="0.2">
      <c r="B47" s="24">
        <f t="shared" si="6"/>
        <v>44</v>
      </c>
      <c r="C47" s="109">
        <v>14.04</v>
      </c>
      <c r="D47" s="18" t="s">
        <v>1346</v>
      </c>
      <c r="E47" s="18" t="s">
        <v>1289</v>
      </c>
      <c r="F47" s="19" t="s">
        <v>2536</v>
      </c>
      <c r="G47" s="60" t="s">
        <v>2586</v>
      </c>
      <c r="H47" s="19" t="s">
        <v>2555</v>
      </c>
      <c r="I47" s="18" t="s">
        <v>1312</v>
      </c>
      <c r="J47" s="20" t="s">
        <v>1357</v>
      </c>
      <c r="K47" s="18" t="s">
        <v>1283</v>
      </c>
      <c r="L47" s="23" t="s">
        <v>2369</v>
      </c>
      <c r="M47" s="56" t="s">
        <v>2370</v>
      </c>
      <c r="N47" s="56" t="s">
        <v>2334</v>
      </c>
      <c r="O47" s="98"/>
      <c r="P47" s="57" t="str">
        <f t="shared" si="7"/>
        <v>제06편 상소심절차&gt;07&gt;1&gt;예상</v>
      </c>
      <c r="Q47" s="57" t="str">
        <f t="shared" si="8"/>
        <v>제14장 항소&gt;04&gt;1&gt;예상</v>
      </c>
      <c r="R47" s="57" t="str">
        <f t="shared" si="9"/>
        <v>제14장 항소&gt;제04절 항소심의 종국재판&gt;01</v>
      </c>
      <c r="S47" s="57" t="str">
        <f t="shared" si="10"/>
        <v>예상&gt;14.04&gt;2</v>
      </c>
      <c r="T47" s="57" t="str">
        <f t="shared" si="11"/>
        <v>예상&gt;14.04&gt;1</v>
      </c>
    </row>
    <row r="48" spans="2:20" ht="14.45" customHeight="1" x14ac:dyDescent="0.2">
      <c r="B48" s="24">
        <f t="shared" si="6"/>
        <v>45</v>
      </c>
      <c r="C48" s="109">
        <v>14.04</v>
      </c>
      <c r="D48" s="18" t="s">
        <v>1328</v>
      </c>
      <c r="E48" s="18" t="s">
        <v>1291</v>
      </c>
      <c r="F48" s="19" t="s">
        <v>2536</v>
      </c>
      <c r="G48" s="60" t="s">
        <v>2587</v>
      </c>
      <c r="H48" s="19" t="s">
        <v>2555</v>
      </c>
      <c r="I48" s="18" t="s">
        <v>1325</v>
      </c>
      <c r="J48" s="20" t="s">
        <v>1357</v>
      </c>
      <c r="K48" s="18" t="s">
        <v>1295</v>
      </c>
      <c r="L48" s="23" t="s">
        <v>224</v>
      </c>
      <c r="M48" s="56" t="s">
        <v>2205</v>
      </c>
      <c r="N48" s="56" t="s">
        <v>2334</v>
      </c>
      <c r="O48" s="98"/>
      <c r="P48" s="57" t="str">
        <f t="shared" si="7"/>
        <v>제06편 상소심절차&gt;08&gt;2&gt;예상</v>
      </c>
      <c r="Q48" s="57" t="str">
        <f t="shared" si="8"/>
        <v>제14장 항소&gt;05&gt;2&gt;예상</v>
      </c>
      <c r="R48" s="57" t="str">
        <f t="shared" si="9"/>
        <v>제14장 항소&gt;제04절 항소심의 종국재판&gt;02</v>
      </c>
      <c r="S48" s="57" t="str">
        <f t="shared" si="10"/>
        <v>예상&gt;14.04&gt;1</v>
      </c>
      <c r="T48" s="57" t="str">
        <f t="shared" si="11"/>
        <v>예상&gt;14.04&gt;2</v>
      </c>
    </row>
    <row r="49" spans="2:20" ht="14.45" customHeight="1" x14ac:dyDescent="0.2">
      <c r="B49" s="24">
        <f t="shared" si="6"/>
        <v>46</v>
      </c>
      <c r="C49" s="109">
        <v>14.03</v>
      </c>
      <c r="D49" s="18" t="s">
        <v>1346</v>
      </c>
      <c r="E49" s="18" t="s">
        <v>1289</v>
      </c>
      <c r="F49" s="19" t="s">
        <v>2536</v>
      </c>
      <c r="G49" s="60" t="s">
        <v>2584</v>
      </c>
      <c r="H49" s="19" t="s">
        <v>2555</v>
      </c>
      <c r="I49" s="18" t="s">
        <v>1295</v>
      </c>
      <c r="J49" s="20" t="s">
        <v>1356</v>
      </c>
      <c r="K49" s="18" t="s">
        <v>1283</v>
      </c>
      <c r="L49" s="23" t="s">
        <v>222</v>
      </c>
      <c r="M49" s="56" t="s">
        <v>2203</v>
      </c>
      <c r="N49" s="56" t="s">
        <v>2334</v>
      </c>
      <c r="O49" s="98"/>
      <c r="P49" s="57" t="str">
        <f t="shared" si="7"/>
        <v>제06편 상소심절차&gt;05&gt;1&gt;예상</v>
      </c>
      <c r="Q49" s="57" t="str">
        <f t="shared" si="8"/>
        <v>제14장 항소&gt;02&gt;1&gt;예상</v>
      </c>
      <c r="R49" s="57" t="str">
        <f t="shared" si="9"/>
        <v>제14장 항소&gt;제03절 항소심의 심리&gt;01</v>
      </c>
      <c r="S49" s="57" t="str">
        <f t="shared" si="10"/>
        <v>예상&gt;14.03&gt;2</v>
      </c>
      <c r="T49" s="57" t="str">
        <f t="shared" si="11"/>
        <v>예상&gt;14.03&gt;1</v>
      </c>
    </row>
    <row r="50" spans="2:20" ht="14.45" customHeight="1" x14ac:dyDescent="0.2">
      <c r="B50" s="24">
        <f t="shared" si="6"/>
        <v>47</v>
      </c>
      <c r="C50" s="109">
        <v>14.03</v>
      </c>
      <c r="D50" s="18" t="s">
        <v>1328</v>
      </c>
      <c r="E50" s="18" t="s">
        <v>1291</v>
      </c>
      <c r="F50" s="19" t="s">
        <v>2536</v>
      </c>
      <c r="G50" s="60" t="s">
        <v>2585</v>
      </c>
      <c r="H50" s="19" t="s">
        <v>2555</v>
      </c>
      <c r="I50" s="18" t="s">
        <v>1305</v>
      </c>
      <c r="J50" s="20" t="s">
        <v>1356</v>
      </c>
      <c r="K50" s="18" t="s">
        <v>1295</v>
      </c>
      <c r="L50" s="23" t="s">
        <v>223</v>
      </c>
      <c r="M50" s="56" t="s">
        <v>2204</v>
      </c>
      <c r="N50" s="56" t="s">
        <v>2334</v>
      </c>
      <c r="O50" s="98"/>
      <c r="P50" s="57" t="str">
        <f t="shared" si="7"/>
        <v>제06편 상소심절차&gt;06&gt;2&gt;예상</v>
      </c>
      <c r="Q50" s="57" t="str">
        <f t="shared" si="8"/>
        <v>제14장 항소&gt;03&gt;2&gt;예상</v>
      </c>
      <c r="R50" s="57" t="str">
        <f t="shared" si="9"/>
        <v>제14장 항소&gt;제03절 항소심의 심리&gt;02</v>
      </c>
      <c r="S50" s="57" t="str">
        <f t="shared" si="10"/>
        <v>예상&gt;14.03&gt;1</v>
      </c>
      <c r="T50" s="57" t="str">
        <f t="shared" si="11"/>
        <v>예상&gt;14.03&gt;2</v>
      </c>
    </row>
    <row r="51" spans="2:20" ht="14.45" customHeight="1" x14ac:dyDescent="0.2">
      <c r="B51" s="24">
        <f t="shared" si="6"/>
        <v>48</v>
      </c>
      <c r="C51" s="109">
        <v>13.02</v>
      </c>
      <c r="D51" s="18" t="s">
        <v>1346</v>
      </c>
      <c r="E51" s="18" t="s">
        <v>1289</v>
      </c>
      <c r="F51" s="19" t="s">
        <v>2536</v>
      </c>
      <c r="G51" s="60" t="s">
        <v>2581</v>
      </c>
      <c r="H51" s="19" t="s">
        <v>2553</v>
      </c>
      <c r="I51" s="18" t="s">
        <v>1295</v>
      </c>
      <c r="J51" s="20" t="s">
        <v>1355</v>
      </c>
      <c r="K51" s="18" t="s">
        <v>1283</v>
      </c>
      <c r="L51" s="23" t="s">
        <v>220</v>
      </c>
      <c r="M51" s="56" t="s">
        <v>2200</v>
      </c>
      <c r="N51" s="56" t="s">
        <v>2334</v>
      </c>
      <c r="O51" s="98"/>
      <c r="P51" s="57" t="str">
        <f t="shared" si="7"/>
        <v>제06편 상소심절차&gt;03&gt;1&gt;예상</v>
      </c>
      <c r="Q51" s="57" t="str">
        <f t="shared" si="8"/>
        <v>제13장 총설&gt;02&gt;1&gt;예상</v>
      </c>
      <c r="R51" s="57" t="str">
        <f t="shared" si="9"/>
        <v>제13장 총설&gt;제02절 상소의 적법요건&gt;01</v>
      </c>
      <c r="S51" s="57" t="str">
        <f t="shared" si="10"/>
        <v>예상&gt;13.02&gt;2</v>
      </c>
      <c r="T51" s="57" t="str">
        <f t="shared" si="11"/>
        <v>예상&gt;13.02&gt;1</v>
      </c>
    </row>
    <row r="52" spans="2:20" ht="14.45" customHeight="1" x14ac:dyDescent="0.2">
      <c r="B52" s="24">
        <f t="shared" si="6"/>
        <v>49</v>
      </c>
      <c r="C52" s="109">
        <v>13.02</v>
      </c>
      <c r="D52" s="18" t="s">
        <v>1328</v>
      </c>
      <c r="E52" s="18" t="s">
        <v>1291</v>
      </c>
      <c r="F52" s="19" t="s">
        <v>2536</v>
      </c>
      <c r="G52" s="60" t="s">
        <v>2583</v>
      </c>
      <c r="H52" s="19" t="s">
        <v>2553</v>
      </c>
      <c r="I52" s="18" t="s">
        <v>1305</v>
      </c>
      <c r="J52" s="20" t="s">
        <v>1355</v>
      </c>
      <c r="K52" s="18" t="s">
        <v>1295</v>
      </c>
      <c r="L52" s="23" t="s">
        <v>221</v>
      </c>
      <c r="M52" s="56" t="s">
        <v>2201</v>
      </c>
      <c r="N52" s="56" t="s">
        <v>2334</v>
      </c>
      <c r="O52" s="98"/>
      <c r="P52" s="57" t="str">
        <f t="shared" si="7"/>
        <v>제06편 상소심절차&gt;04&gt;2&gt;예상</v>
      </c>
      <c r="Q52" s="57" t="str">
        <f t="shared" si="8"/>
        <v>제13장 총설&gt;03&gt;2&gt;예상</v>
      </c>
      <c r="R52" s="57" t="str">
        <f t="shared" si="9"/>
        <v>제13장 총설&gt;제02절 상소의 적법요건&gt;02</v>
      </c>
      <c r="S52" s="57" t="str">
        <f t="shared" si="10"/>
        <v>예상&gt;13.02&gt;1</v>
      </c>
      <c r="T52" s="57" t="str">
        <f t="shared" si="11"/>
        <v>예상&gt;13.02&gt;2</v>
      </c>
    </row>
    <row r="53" spans="2:20" ht="14.45" customHeight="1" x14ac:dyDescent="0.2">
      <c r="B53" s="24">
        <f t="shared" si="6"/>
        <v>50</v>
      </c>
      <c r="C53" s="109">
        <v>12.01</v>
      </c>
      <c r="D53" s="18" t="s">
        <v>2376</v>
      </c>
      <c r="E53" s="18" t="s">
        <v>1289</v>
      </c>
      <c r="F53" s="19" t="s">
        <v>2535</v>
      </c>
      <c r="G53" s="58">
        <v>20</v>
      </c>
      <c r="H53" s="19" t="s">
        <v>2551</v>
      </c>
      <c r="I53" s="18" t="s">
        <v>2396</v>
      </c>
      <c r="J53" s="20" t="s">
        <v>2383</v>
      </c>
      <c r="K53" s="18" t="s">
        <v>2395</v>
      </c>
      <c r="L53" s="19" t="s">
        <v>2385</v>
      </c>
      <c r="M53" s="57" t="s">
        <v>2394</v>
      </c>
      <c r="N53" s="56" t="s">
        <v>2334</v>
      </c>
      <c r="O53" s="98"/>
      <c r="P53" s="57" t="str">
        <f t="shared" si="7"/>
        <v>제05편 병합소송&gt;20&gt;1&gt;예상</v>
      </c>
      <c r="Q53" s="57" t="str">
        <f t="shared" si="8"/>
        <v>제12장 다수당사자소송&gt;14&gt;1&gt;예상</v>
      </c>
      <c r="R53" s="57" t="str">
        <f t="shared" si="9"/>
        <v>제12장 다수당사자소송&gt;제01절 공동소송&gt;09</v>
      </c>
      <c r="S53" s="57" t="str">
        <f t="shared" si="10"/>
        <v>예상&gt;12.01&gt;2</v>
      </c>
      <c r="T53" s="57" t="str">
        <f t="shared" si="11"/>
        <v>예상&gt;12.01&gt;1</v>
      </c>
    </row>
    <row r="54" spans="2:20" ht="14.45" customHeight="1" x14ac:dyDescent="0.2">
      <c r="B54" s="24">
        <f t="shared" si="6"/>
        <v>51</v>
      </c>
      <c r="C54" s="109">
        <v>12.01</v>
      </c>
      <c r="D54" s="18" t="s">
        <v>3598</v>
      </c>
      <c r="E54" s="18" t="s">
        <v>3592</v>
      </c>
      <c r="F54" s="19" t="s">
        <v>3601</v>
      </c>
      <c r="G54" s="58">
        <v>21</v>
      </c>
      <c r="H54" s="19" t="s">
        <v>2552</v>
      </c>
      <c r="I54" s="18" t="s">
        <v>3615</v>
      </c>
      <c r="J54" s="20" t="s">
        <v>1293</v>
      </c>
      <c r="K54" s="18" t="s">
        <v>3614</v>
      </c>
      <c r="L54" s="19" t="s">
        <v>3579</v>
      </c>
      <c r="M54" s="57" t="s">
        <v>3587</v>
      </c>
      <c r="N54" s="56" t="s">
        <v>3593</v>
      </c>
      <c r="O54" s="98" t="s">
        <v>3645</v>
      </c>
      <c r="P54" s="57" t="str">
        <f t="shared" si="7"/>
        <v>제05편 병합소송&gt;21&gt;2&gt;예상</v>
      </c>
      <c r="Q54" s="57" t="str">
        <f t="shared" si="8"/>
        <v>제12장 다수당사자소송&gt;15&gt;2&gt;예상</v>
      </c>
      <c r="R54" s="57" t="str">
        <f t="shared" si="9"/>
        <v>제12장 다수당사자소송&gt;제01절 공동소송&gt;10</v>
      </c>
      <c r="S54" s="57" t="str">
        <f t="shared" si="10"/>
        <v>예상&gt;12.01&gt;1</v>
      </c>
      <c r="T54" s="57" t="str">
        <f t="shared" si="11"/>
        <v>예상&gt;12.01&gt;2</v>
      </c>
    </row>
    <row r="55" spans="2:20" ht="14.45" customHeight="1" x14ac:dyDescent="0.2">
      <c r="B55" s="24">
        <f t="shared" si="6"/>
        <v>52</v>
      </c>
      <c r="C55" s="109">
        <v>11.02</v>
      </c>
      <c r="D55" s="18" t="s">
        <v>3592</v>
      </c>
      <c r="E55" s="18" t="s">
        <v>3592</v>
      </c>
      <c r="F55" s="19" t="s">
        <v>3601</v>
      </c>
      <c r="G55" s="58">
        <v>19</v>
      </c>
      <c r="H55" s="19" t="s">
        <v>2550</v>
      </c>
      <c r="I55" s="18" t="s">
        <v>3613</v>
      </c>
      <c r="J55" s="20" t="s">
        <v>1308</v>
      </c>
      <c r="K55" s="18" t="s">
        <v>3606</v>
      </c>
      <c r="L55" s="19" t="s">
        <v>3578</v>
      </c>
      <c r="M55" s="57" t="s">
        <v>3586</v>
      </c>
      <c r="N55" s="56" t="s">
        <v>3593</v>
      </c>
      <c r="O55" s="98" t="s">
        <v>3645</v>
      </c>
      <c r="P55" s="57" t="str">
        <f t="shared" si="7"/>
        <v>제05편 병합소송&gt;19&gt;1&gt;예상</v>
      </c>
      <c r="Q55" s="57" t="str">
        <f t="shared" si="8"/>
        <v>제11장 병합청구소송&gt;06&gt;1&gt;예상</v>
      </c>
      <c r="R55" s="57" t="str">
        <f t="shared" si="9"/>
        <v>제11장 병합청구소송&gt;제02절 청구의 후발적 병합&gt;03</v>
      </c>
      <c r="S55" s="57" t="str">
        <f t="shared" si="10"/>
        <v>예상&gt;11.02&gt;1</v>
      </c>
      <c r="T55" s="57" t="str">
        <f t="shared" si="11"/>
        <v>예상&gt;11.02&gt;1</v>
      </c>
    </row>
    <row r="56" spans="2:20" ht="14.45" customHeight="1" x14ac:dyDescent="0.2">
      <c r="B56" s="24">
        <f t="shared" si="6"/>
        <v>53</v>
      </c>
      <c r="C56" s="109">
        <v>1.03</v>
      </c>
      <c r="D56" s="18" t="s">
        <v>3592</v>
      </c>
      <c r="E56" s="18" t="s">
        <v>3592</v>
      </c>
      <c r="F56" s="19" t="s">
        <v>2532</v>
      </c>
      <c r="G56" s="60" t="s">
        <v>3606</v>
      </c>
      <c r="H56" s="19" t="s">
        <v>3594</v>
      </c>
      <c r="I56" s="18" t="s">
        <v>3606</v>
      </c>
      <c r="J56" s="20" t="s">
        <v>1330</v>
      </c>
      <c r="K56" s="18" t="s">
        <v>3605</v>
      </c>
      <c r="L56" s="19" t="s">
        <v>3588</v>
      </c>
      <c r="M56" s="57" t="s">
        <v>3589</v>
      </c>
      <c r="N56" s="56" t="s">
        <v>3593</v>
      </c>
      <c r="O56" s="98" t="s">
        <v>3645</v>
      </c>
      <c r="P56" s="57" t="str">
        <f t="shared" si="7"/>
        <v>제01편 총설&gt;03&gt;1&gt;예상</v>
      </c>
      <c r="Q56" s="57" t="str">
        <f t="shared" si="8"/>
        <v>제01장 민사소송&gt;03&gt;1&gt;예상</v>
      </c>
      <c r="R56" s="57" t="str">
        <f t="shared" si="9"/>
        <v>제01장 민사소송&gt;제03절 민사소송의 이상과 신의성실의 원칙&gt;02</v>
      </c>
      <c r="S56" s="57" t="str">
        <f t="shared" si="10"/>
        <v>예상&gt;1.03&gt;1</v>
      </c>
      <c r="T56" s="57" t="str">
        <f t="shared" si="11"/>
        <v>예상&gt;1.03&gt;1</v>
      </c>
    </row>
    <row r="57" spans="2:20" ht="14.45" customHeight="1" x14ac:dyDescent="0.2">
      <c r="B57" s="24">
        <f t="shared" si="6"/>
        <v>54</v>
      </c>
      <c r="C57" s="109">
        <v>1.01</v>
      </c>
      <c r="D57" s="18">
        <v>1</v>
      </c>
      <c r="E57" s="18" t="s">
        <v>1291</v>
      </c>
      <c r="F57" s="19" t="s">
        <v>2532</v>
      </c>
      <c r="G57" s="58" t="s">
        <v>2567</v>
      </c>
      <c r="H57" s="19" t="s">
        <v>2518</v>
      </c>
      <c r="I57" s="18" t="s">
        <v>1295</v>
      </c>
      <c r="J57" s="20" t="s">
        <v>1345</v>
      </c>
      <c r="K57" s="18" t="s">
        <v>1283</v>
      </c>
      <c r="L57" s="23" t="s">
        <v>242</v>
      </c>
      <c r="M57" s="56" t="s">
        <v>2386</v>
      </c>
      <c r="N57" s="56" t="s">
        <v>2334</v>
      </c>
      <c r="O57" s="98"/>
      <c r="P57" s="57" t="str">
        <f t="shared" si="7"/>
        <v>제01편 총설&gt;02&gt;1&gt;예상</v>
      </c>
      <c r="Q57" s="57" t="str">
        <f t="shared" si="8"/>
        <v>제01장 민사소송&gt;02&gt;1&gt;예상</v>
      </c>
      <c r="R57" s="57" t="str">
        <f t="shared" si="9"/>
        <v>제01장 민사소송&gt;제01절 개관&gt;01</v>
      </c>
      <c r="S57" s="57" t="str">
        <f t="shared" si="10"/>
        <v>예상&gt;1.01&gt;1</v>
      </c>
      <c r="T57" s="57" t="str">
        <f t="shared" si="11"/>
        <v>예상&gt;1.01&gt;1</v>
      </c>
    </row>
    <row r="58" spans="2:20" ht="14.45" customHeight="1" x14ac:dyDescent="0.2">
      <c r="B58" s="24">
        <f t="shared" ref="B58:B89" si="12">ROW()-3</f>
        <v>55</v>
      </c>
      <c r="C58" s="108">
        <v>2010</v>
      </c>
      <c r="D58" s="18" t="s">
        <v>1291</v>
      </c>
      <c r="E58" s="18" t="s">
        <v>1287</v>
      </c>
      <c r="F58" s="19" t="s">
        <v>2579</v>
      </c>
      <c r="G58" s="58">
        <v>24</v>
      </c>
      <c r="H58" s="19" t="s">
        <v>2528</v>
      </c>
      <c r="I58" s="18" t="s">
        <v>1343</v>
      </c>
      <c r="J58" s="20" t="s">
        <v>1342</v>
      </c>
      <c r="K58" s="18" t="s">
        <v>1283</v>
      </c>
      <c r="L58" s="19" t="s">
        <v>176</v>
      </c>
      <c r="M58" s="57" t="s">
        <v>2187</v>
      </c>
      <c r="N58" s="56" t="s">
        <v>2335</v>
      </c>
      <c r="O58" s="98" t="s">
        <v>3645</v>
      </c>
      <c r="P58" s="57" t="str">
        <f t="shared" ref="P58:P89" si="13">F58&amp;"&gt;"&amp;G58&amp;"&gt;"&amp;D58&amp;"&gt;"&amp;N58</f>
        <v>제03편 제1심 소송절차&gt;24&gt;1&gt;기출</v>
      </c>
      <c r="Q58" s="57" t="str">
        <f t="shared" ref="Q58:Q89" si="14">H58&amp;"&gt;"&amp;I58&amp;"&gt;"&amp;D58&amp;"&gt;"&amp;N58</f>
        <v>제07장 증거&gt;08&gt;1&gt;기출</v>
      </c>
      <c r="R58" s="57" t="str">
        <f t="shared" ref="R58:R89" si="15">H58&amp;"&gt;"&amp;J58&amp;"&gt;"&amp;K58</f>
        <v>제07장 증거&gt;제05절 자유심증주의&gt;01</v>
      </c>
      <c r="S58" s="57" t="str">
        <f t="shared" ref="S58:S89" si="16">N58&amp;"&gt;"&amp;C58&amp;"&gt;"&amp;E58</f>
        <v>기출&gt;2010&gt;3</v>
      </c>
      <c r="T58" s="57" t="str">
        <f t="shared" ref="T58:T89" si="17">N58&amp;"&gt;"&amp;C58&amp;"&gt;"&amp;D58</f>
        <v>기출&gt;2010&gt;1</v>
      </c>
    </row>
    <row r="59" spans="2:20" ht="14.45" customHeight="1" x14ac:dyDescent="0.2">
      <c r="B59" s="24">
        <f t="shared" si="12"/>
        <v>56</v>
      </c>
      <c r="C59" s="108">
        <v>2010</v>
      </c>
      <c r="D59" s="18" t="s">
        <v>1338</v>
      </c>
      <c r="E59" s="18" t="s">
        <v>1289</v>
      </c>
      <c r="F59" s="19" t="s">
        <v>2533</v>
      </c>
      <c r="G59" s="58">
        <v>12</v>
      </c>
      <c r="H59" s="19" t="s">
        <v>2524</v>
      </c>
      <c r="I59" s="18" t="s">
        <v>1366</v>
      </c>
      <c r="J59" s="20" t="s">
        <v>1307</v>
      </c>
      <c r="K59" s="18" t="s">
        <v>1325</v>
      </c>
      <c r="L59" s="19" t="s">
        <v>2436</v>
      </c>
      <c r="M59" s="57" t="s">
        <v>2437</v>
      </c>
      <c r="N59" s="56" t="s">
        <v>2335</v>
      </c>
      <c r="O59" s="98" t="s">
        <v>3645</v>
      </c>
      <c r="P59" s="57" t="str">
        <f t="shared" si="13"/>
        <v>제02편 소송의 주체&gt;12&gt;2-1&gt;기출</v>
      </c>
      <c r="Q59" s="57" t="str">
        <f t="shared" si="14"/>
        <v>제04장 당사자&gt;09&gt;2-1&gt;기출</v>
      </c>
      <c r="R59" s="57" t="str">
        <f t="shared" si="15"/>
        <v>제04장 당사자&gt;제02절 당사자의 자격&gt;05</v>
      </c>
      <c r="S59" s="57" t="str">
        <f t="shared" si="16"/>
        <v>기출&gt;2010&gt;2</v>
      </c>
      <c r="T59" s="57" t="str">
        <f t="shared" si="17"/>
        <v>기출&gt;2010&gt;2-1</v>
      </c>
    </row>
    <row r="60" spans="2:20" ht="14.45" customHeight="1" x14ac:dyDescent="0.2">
      <c r="B60" s="24">
        <f t="shared" si="12"/>
        <v>57</v>
      </c>
      <c r="C60" s="108">
        <v>2010</v>
      </c>
      <c r="D60" s="18" t="s">
        <v>1340</v>
      </c>
      <c r="E60" s="18" t="s">
        <v>1291</v>
      </c>
      <c r="F60" s="19" t="s">
        <v>2535</v>
      </c>
      <c r="G60" s="58">
        <v>18</v>
      </c>
      <c r="H60" s="19" t="s">
        <v>2551</v>
      </c>
      <c r="I60" s="18" t="s">
        <v>1370</v>
      </c>
      <c r="J60" s="20" t="s">
        <v>1293</v>
      </c>
      <c r="K60" s="18" t="s">
        <v>1343</v>
      </c>
      <c r="L60" s="19" t="s">
        <v>1344</v>
      </c>
      <c r="M60" s="57" t="s">
        <v>2197</v>
      </c>
      <c r="N60" s="56" t="s">
        <v>2335</v>
      </c>
      <c r="O60" s="98" t="s">
        <v>3645</v>
      </c>
      <c r="P60" s="57" t="str">
        <f t="shared" si="13"/>
        <v>제05편 병합소송&gt;18&gt;2-2&gt;기출</v>
      </c>
      <c r="Q60" s="57" t="str">
        <f t="shared" si="14"/>
        <v>제12장 다수당사자소송&gt;13&gt;2-2&gt;기출</v>
      </c>
      <c r="R60" s="57" t="str">
        <f t="shared" si="15"/>
        <v>제12장 다수당사자소송&gt;제01절 공동소송&gt;08</v>
      </c>
      <c r="S60" s="57" t="str">
        <f t="shared" si="16"/>
        <v>기출&gt;2010&gt;1</v>
      </c>
      <c r="T60" s="57" t="str">
        <f t="shared" si="17"/>
        <v>기출&gt;2010&gt;2-2</v>
      </c>
    </row>
    <row r="61" spans="2:20" ht="14.45" customHeight="1" x14ac:dyDescent="0.2">
      <c r="B61" s="24">
        <f t="shared" si="12"/>
        <v>58</v>
      </c>
      <c r="C61" s="108">
        <v>2011</v>
      </c>
      <c r="D61" s="18" t="s">
        <v>1291</v>
      </c>
      <c r="E61" s="18" t="s">
        <v>1287</v>
      </c>
      <c r="F61" s="19" t="s">
        <v>2579</v>
      </c>
      <c r="G61" s="58">
        <v>22</v>
      </c>
      <c r="H61" s="19" t="s">
        <v>2526</v>
      </c>
      <c r="I61" s="18" t="s">
        <v>1367</v>
      </c>
      <c r="J61" s="20" t="s">
        <v>1311</v>
      </c>
      <c r="K61" s="18" t="s">
        <v>1312</v>
      </c>
      <c r="L61" s="19" t="s">
        <v>1337</v>
      </c>
      <c r="M61" s="57" t="s">
        <v>2178</v>
      </c>
      <c r="N61" s="56" t="s">
        <v>2335</v>
      </c>
      <c r="O61" s="98"/>
      <c r="P61" s="57" t="str">
        <f t="shared" si="13"/>
        <v>제03편 제1심 소송절차&gt;22&gt;1&gt;기출</v>
      </c>
      <c r="Q61" s="57" t="str">
        <f t="shared" si="14"/>
        <v>제06장 변론&gt;10&gt;1&gt;기출</v>
      </c>
      <c r="R61" s="57" t="str">
        <f t="shared" si="15"/>
        <v>제06장 변론&gt;제02절 심리에 관한 제 원칙&gt;04</v>
      </c>
      <c r="S61" s="57" t="str">
        <f t="shared" si="16"/>
        <v>기출&gt;2011&gt;3</v>
      </c>
      <c r="T61" s="57" t="str">
        <f t="shared" si="17"/>
        <v>기출&gt;2011&gt;1</v>
      </c>
    </row>
    <row r="62" spans="2:20" ht="14.45" customHeight="1" x14ac:dyDescent="0.2">
      <c r="B62" s="24">
        <f t="shared" si="12"/>
        <v>59</v>
      </c>
      <c r="C62" s="108">
        <v>2011</v>
      </c>
      <c r="D62" s="18" t="s">
        <v>1338</v>
      </c>
      <c r="E62" s="18" t="s">
        <v>1289</v>
      </c>
      <c r="F62" s="19" t="s">
        <v>2535</v>
      </c>
      <c r="G62" s="58">
        <v>17</v>
      </c>
      <c r="H62" s="19" t="s">
        <v>2551</v>
      </c>
      <c r="I62" s="18" t="s">
        <v>1369</v>
      </c>
      <c r="J62" s="20" t="s">
        <v>1315</v>
      </c>
      <c r="K62" s="18" t="s">
        <v>1312</v>
      </c>
      <c r="L62" s="19" t="s">
        <v>1339</v>
      </c>
      <c r="M62" s="57" t="s">
        <v>2199</v>
      </c>
      <c r="N62" s="56" t="s">
        <v>2335</v>
      </c>
      <c r="O62" s="98" t="s">
        <v>3645</v>
      </c>
      <c r="P62" s="57" t="str">
        <f t="shared" si="13"/>
        <v>제05편 병합소송&gt;17&gt;2-1&gt;기출</v>
      </c>
      <c r="Q62" s="57" t="str">
        <f t="shared" si="14"/>
        <v>제12장 다수당사자소송&gt;12&gt;2-1&gt;기출</v>
      </c>
      <c r="R62" s="57" t="str">
        <f t="shared" si="15"/>
        <v>제12장 다수당사자소송&gt;제02절 제3자의 소송참가&gt;04</v>
      </c>
      <c r="S62" s="57" t="str">
        <f t="shared" si="16"/>
        <v>기출&gt;2011&gt;2</v>
      </c>
      <c r="T62" s="57" t="str">
        <f t="shared" si="17"/>
        <v>기출&gt;2011&gt;2-1</v>
      </c>
    </row>
    <row r="63" spans="2:20" ht="14.45" customHeight="1" x14ac:dyDescent="0.2">
      <c r="B63" s="24">
        <f t="shared" si="12"/>
        <v>60</v>
      </c>
      <c r="C63" s="108">
        <v>2011</v>
      </c>
      <c r="D63" s="18" t="s">
        <v>1340</v>
      </c>
      <c r="E63" s="18" t="s">
        <v>1291</v>
      </c>
      <c r="F63" s="19" t="s">
        <v>2579</v>
      </c>
      <c r="G63" s="58">
        <v>23</v>
      </c>
      <c r="H63" s="19" t="s">
        <v>2528</v>
      </c>
      <c r="I63" s="18" t="s">
        <v>1332</v>
      </c>
      <c r="J63" s="20" t="s">
        <v>1303</v>
      </c>
      <c r="K63" s="18" t="s">
        <v>1305</v>
      </c>
      <c r="L63" s="19" t="s">
        <v>1341</v>
      </c>
      <c r="M63" s="57" t="s">
        <v>2186</v>
      </c>
      <c r="N63" s="56" t="s">
        <v>2335</v>
      </c>
      <c r="O63" s="98" t="s">
        <v>3645</v>
      </c>
      <c r="P63" s="57" t="str">
        <f t="shared" si="13"/>
        <v>제03편 제1심 소송절차&gt;23&gt;2-2&gt;기출</v>
      </c>
      <c r="Q63" s="57" t="str">
        <f t="shared" si="14"/>
        <v>제07장 증거&gt;07&gt;2-2&gt;기출</v>
      </c>
      <c r="R63" s="57" t="str">
        <f t="shared" si="15"/>
        <v>제07장 증거&gt;제03절 불요증사실&gt;03</v>
      </c>
      <c r="S63" s="57" t="str">
        <f t="shared" si="16"/>
        <v>기출&gt;2011&gt;1</v>
      </c>
      <c r="T63" s="57" t="str">
        <f t="shared" si="17"/>
        <v>기출&gt;2011&gt;2-2</v>
      </c>
    </row>
    <row r="64" spans="2:20" ht="14.45" customHeight="1" x14ac:dyDescent="0.2">
      <c r="B64" s="24">
        <f t="shared" si="12"/>
        <v>61</v>
      </c>
      <c r="C64" s="108">
        <v>2012</v>
      </c>
      <c r="D64" s="18" t="s">
        <v>1291</v>
      </c>
      <c r="E64" s="18" t="s">
        <v>1287</v>
      </c>
      <c r="F64" s="19" t="s">
        <v>2579</v>
      </c>
      <c r="G64" s="58">
        <v>20</v>
      </c>
      <c r="H64" s="19" t="s">
        <v>2564</v>
      </c>
      <c r="I64" s="18" t="s">
        <v>1331</v>
      </c>
      <c r="J64" s="20" t="s">
        <v>1335</v>
      </c>
      <c r="K64" s="18" t="s">
        <v>1283</v>
      </c>
      <c r="L64" s="19" t="s">
        <v>162</v>
      </c>
      <c r="M64" s="57" t="s">
        <v>2177</v>
      </c>
      <c r="N64" s="56" t="s">
        <v>2335</v>
      </c>
      <c r="O64" s="98"/>
      <c r="P64" s="57" t="str">
        <f t="shared" si="13"/>
        <v>제03편 제1심 소송절차&gt;20&gt;1&gt;기출</v>
      </c>
      <c r="Q64" s="57" t="str">
        <f t="shared" si="14"/>
        <v>제05장 소송 개시와 심리 대상&gt;06&gt;1&gt;기출</v>
      </c>
      <c r="R64" s="57" t="str">
        <f t="shared" si="15"/>
        <v>제05장 소송 개시와 심리 대상&gt;제08절 채권자대위소송에 대한 주요논점&gt;01</v>
      </c>
      <c r="S64" s="57" t="str">
        <f t="shared" si="16"/>
        <v>기출&gt;2012&gt;3</v>
      </c>
      <c r="T64" s="57" t="str">
        <f t="shared" si="17"/>
        <v>기출&gt;2012&gt;1</v>
      </c>
    </row>
    <row r="65" spans="2:20" ht="14.45" customHeight="1" x14ac:dyDescent="0.2">
      <c r="B65" s="24">
        <f t="shared" si="12"/>
        <v>62</v>
      </c>
      <c r="C65" s="108">
        <v>2012</v>
      </c>
      <c r="D65" s="18" t="s">
        <v>1289</v>
      </c>
      <c r="E65" s="18" t="s">
        <v>1289</v>
      </c>
      <c r="F65" s="19" t="s">
        <v>2579</v>
      </c>
      <c r="G65" s="58">
        <v>21</v>
      </c>
      <c r="H65" s="19" t="s">
        <v>2526</v>
      </c>
      <c r="I65" s="18" t="s">
        <v>1366</v>
      </c>
      <c r="J65" s="20" t="s">
        <v>1336</v>
      </c>
      <c r="K65" s="18" t="s">
        <v>1283</v>
      </c>
      <c r="L65" s="19" t="s">
        <v>166</v>
      </c>
      <c r="M65" s="57" t="s">
        <v>2179</v>
      </c>
      <c r="N65" s="56" t="s">
        <v>2335</v>
      </c>
      <c r="O65" s="98" t="s">
        <v>3645</v>
      </c>
      <c r="P65" s="57" t="str">
        <f t="shared" si="13"/>
        <v>제03편 제1심 소송절차&gt;21&gt;2&gt;기출</v>
      </c>
      <c r="Q65" s="57" t="str">
        <f t="shared" si="14"/>
        <v>제06장 변론&gt;09&gt;2&gt;기출</v>
      </c>
      <c r="R65" s="57" t="str">
        <f t="shared" si="15"/>
        <v>제06장 변론&gt;제03절 변론의 준비&gt;01</v>
      </c>
      <c r="S65" s="57" t="str">
        <f t="shared" si="16"/>
        <v>기출&gt;2012&gt;2</v>
      </c>
      <c r="T65" s="57" t="str">
        <f t="shared" si="17"/>
        <v>기출&gt;2012&gt;2</v>
      </c>
    </row>
    <row r="66" spans="2:20" ht="14.45" customHeight="1" x14ac:dyDescent="0.2">
      <c r="B66" s="24">
        <f t="shared" si="12"/>
        <v>63</v>
      </c>
      <c r="C66" s="108">
        <v>2012</v>
      </c>
      <c r="D66" s="18" t="s">
        <v>1287</v>
      </c>
      <c r="E66" s="18" t="s">
        <v>1291</v>
      </c>
      <c r="F66" s="19" t="s">
        <v>2535</v>
      </c>
      <c r="G66" s="58">
        <v>16</v>
      </c>
      <c r="H66" s="19" t="s">
        <v>2549</v>
      </c>
      <c r="I66" s="18" t="s">
        <v>1325</v>
      </c>
      <c r="J66" s="20" t="s">
        <v>1308</v>
      </c>
      <c r="K66" s="18" t="s">
        <v>1295</v>
      </c>
      <c r="L66" s="19" t="s">
        <v>2508</v>
      </c>
      <c r="M66" s="57" t="s">
        <v>2507</v>
      </c>
      <c r="N66" s="56" t="s">
        <v>2335</v>
      </c>
      <c r="O66" s="98" t="s">
        <v>3645</v>
      </c>
      <c r="P66" s="57" t="str">
        <f t="shared" si="13"/>
        <v>제05편 병합소송&gt;16&gt;3&gt;기출</v>
      </c>
      <c r="Q66" s="57" t="str">
        <f t="shared" si="14"/>
        <v>제11장 병합청구소송&gt;05&gt;3&gt;기출</v>
      </c>
      <c r="R66" s="57" t="str">
        <f t="shared" si="15"/>
        <v>제11장 병합청구소송&gt;제02절 청구의 후발적 병합&gt;02</v>
      </c>
      <c r="S66" s="57" t="str">
        <f t="shared" si="16"/>
        <v>기출&gt;2012&gt;1</v>
      </c>
      <c r="T66" s="57" t="str">
        <f t="shared" si="17"/>
        <v>기출&gt;2012&gt;3</v>
      </c>
    </row>
    <row r="67" spans="2:20" ht="14.45" customHeight="1" x14ac:dyDescent="0.2">
      <c r="B67" s="24">
        <f t="shared" si="12"/>
        <v>64</v>
      </c>
      <c r="C67" s="108">
        <v>2013</v>
      </c>
      <c r="D67" s="18" t="s">
        <v>1324</v>
      </c>
      <c r="E67" s="18" t="s">
        <v>1282</v>
      </c>
      <c r="F67" s="19" t="s">
        <v>2533</v>
      </c>
      <c r="G67" s="58">
        <v>11</v>
      </c>
      <c r="H67" s="19" t="s">
        <v>2524</v>
      </c>
      <c r="I67" s="18" t="s">
        <v>1343</v>
      </c>
      <c r="J67" s="20" t="s">
        <v>1317</v>
      </c>
      <c r="K67" s="18" t="s">
        <v>1305</v>
      </c>
      <c r="L67" s="19" t="s">
        <v>2439</v>
      </c>
      <c r="M67" s="57" t="s">
        <v>2440</v>
      </c>
      <c r="N67" s="56" t="s">
        <v>2335</v>
      </c>
      <c r="O67" s="98"/>
      <c r="P67" s="57" t="str">
        <f t="shared" si="13"/>
        <v>제02편 소송의 주체&gt;11&gt;1-1&gt;기출</v>
      </c>
      <c r="Q67" s="57" t="str">
        <f t="shared" si="14"/>
        <v>제04장 당사자&gt;08&gt;1-1&gt;기출</v>
      </c>
      <c r="R67" s="57" t="str">
        <f t="shared" si="15"/>
        <v>제04장 당사자&gt;제03절 소송상의 대리인&gt;03</v>
      </c>
      <c r="S67" s="57" t="str">
        <f t="shared" si="16"/>
        <v>기출&gt;2013&gt;5</v>
      </c>
      <c r="T67" s="57" t="str">
        <f t="shared" si="17"/>
        <v>기출&gt;2013&gt;1-1</v>
      </c>
    </row>
    <row r="68" spans="2:20" ht="14.45" customHeight="1" x14ac:dyDescent="0.2">
      <c r="B68" s="24">
        <f t="shared" si="12"/>
        <v>65</v>
      </c>
      <c r="C68" s="108">
        <v>2013</v>
      </c>
      <c r="D68" s="18" t="s">
        <v>1324</v>
      </c>
      <c r="E68" s="18" t="s">
        <v>1284</v>
      </c>
      <c r="F68" s="19" t="s">
        <v>2535</v>
      </c>
      <c r="G68" s="58">
        <v>14</v>
      </c>
      <c r="H68" s="19" t="s">
        <v>2551</v>
      </c>
      <c r="I68" s="18" t="s">
        <v>1367</v>
      </c>
      <c r="J68" s="20" t="s">
        <v>1293</v>
      </c>
      <c r="K68" s="18" t="s">
        <v>1331</v>
      </c>
      <c r="L68" s="19" t="s">
        <v>2439</v>
      </c>
      <c r="M68" s="57" t="s">
        <v>2438</v>
      </c>
      <c r="N68" s="56" t="s">
        <v>2335</v>
      </c>
      <c r="O68" s="98"/>
      <c r="P68" s="57" t="str">
        <f t="shared" si="13"/>
        <v>제05편 병합소송&gt;14&gt;1-1&gt;기출</v>
      </c>
      <c r="Q68" s="57" t="str">
        <f t="shared" si="14"/>
        <v>제12장 다수당사자소송&gt;10&gt;1-1&gt;기출</v>
      </c>
      <c r="R68" s="57" t="str">
        <f t="shared" si="15"/>
        <v>제12장 다수당사자소송&gt;제01절 공동소송&gt;06</v>
      </c>
      <c r="S68" s="57" t="str">
        <f t="shared" si="16"/>
        <v>기출&gt;2013&gt;4</v>
      </c>
      <c r="T68" s="57" t="str">
        <f t="shared" si="17"/>
        <v>기출&gt;2013&gt;1-1</v>
      </c>
    </row>
    <row r="69" spans="2:20" ht="14.45" customHeight="1" x14ac:dyDescent="0.2">
      <c r="B69" s="24">
        <f t="shared" si="12"/>
        <v>66</v>
      </c>
      <c r="C69" s="108">
        <v>2013</v>
      </c>
      <c r="D69" s="18" t="s">
        <v>1327</v>
      </c>
      <c r="E69" s="18" t="s">
        <v>1287</v>
      </c>
      <c r="F69" s="19" t="s">
        <v>2535</v>
      </c>
      <c r="G69" s="58">
        <v>15</v>
      </c>
      <c r="H69" s="19" t="s">
        <v>2551</v>
      </c>
      <c r="I69" s="18" t="s">
        <v>1368</v>
      </c>
      <c r="J69" s="20" t="s">
        <v>1293</v>
      </c>
      <c r="K69" s="18" t="s">
        <v>1332</v>
      </c>
      <c r="L69" s="19" t="s">
        <v>1333</v>
      </c>
      <c r="M69" s="57" t="s">
        <v>2196</v>
      </c>
      <c r="N69" s="56" t="s">
        <v>2335</v>
      </c>
      <c r="O69" s="98"/>
      <c r="P69" s="57" t="str">
        <f t="shared" si="13"/>
        <v>제05편 병합소송&gt;15&gt;1-2&gt;기출</v>
      </c>
      <c r="Q69" s="57" t="str">
        <f t="shared" si="14"/>
        <v>제12장 다수당사자소송&gt;11&gt;1-2&gt;기출</v>
      </c>
      <c r="R69" s="57" t="str">
        <f t="shared" si="15"/>
        <v>제12장 다수당사자소송&gt;제01절 공동소송&gt;07</v>
      </c>
      <c r="S69" s="57" t="str">
        <f t="shared" si="16"/>
        <v>기출&gt;2013&gt;3</v>
      </c>
      <c r="T69" s="57" t="str">
        <f t="shared" si="17"/>
        <v>기출&gt;2013&gt;1-2</v>
      </c>
    </row>
    <row r="70" spans="2:20" ht="14.45" customHeight="1" x14ac:dyDescent="0.2">
      <c r="B70" s="24">
        <f t="shared" si="12"/>
        <v>67</v>
      </c>
      <c r="C70" s="108">
        <v>2013</v>
      </c>
      <c r="D70" s="18" t="s">
        <v>1328</v>
      </c>
      <c r="E70" s="18" t="s">
        <v>1289</v>
      </c>
      <c r="F70" s="19" t="s">
        <v>2534</v>
      </c>
      <c r="G70" s="60" t="s">
        <v>2587</v>
      </c>
      <c r="H70" s="19" t="s">
        <v>2545</v>
      </c>
      <c r="I70" s="18" t="s">
        <v>1312</v>
      </c>
      <c r="J70" s="20" t="s">
        <v>1334</v>
      </c>
      <c r="K70" s="18" t="s">
        <v>1283</v>
      </c>
      <c r="L70" s="19" t="s">
        <v>2465</v>
      </c>
      <c r="M70" s="57" t="s">
        <v>2466</v>
      </c>
      <c r="N70" s="56" t="s">
        <v>2335</v>
      </c>
      <c r="O70" s="98" t="s">
        <v>3645</v>
      </c>
      <c r="P70" s="57" t="str">
        <f t="shared" si="13"/>
        <v>제04편 소송의 종료&gt;08&gt;2&gt;기출</v>
      </c>
      <c r="Q70" s="57" t="str">
        <f t="shared" si="14"/>
        <v>제09장 당사자 행위에 의한 종료&gt;04&gt;2&gt;기출</v>
      </c>
      <c r="R70" s="57" t="str">
        <f t="shared" si="15"/>
        <v>제09장 당사자 행위에 의한 종료&gt;제03절 재판상 화해&gt;01</v>
      </c>
      <c r="S70" s="57" t="str">
        <f t="shared" si="16"/>
        <v>기출&gt;2013&gt;2</v>
      </c>
      <c r="T70" s="57" t="str">
        <f t="shared" si="17"/>
        <v>기출&gt;2013&gt;2</v>
      </c>
    </row>
    <row r="71" spans="2:20" ht="14.45" customHeight="1" x14ac:dyDescent="0.2">
      <c r="B71" s="24">
        <f t="shared" si="12"/>
        <v>68</v>
      </c>
      <c r="C71" s="108">
        <v>2013</v>
      </c>
      <c r="D71" s="18" t="s">
        <v>1329</v>
      </c>
      <c r="E71" s="18" t="s">
        <v>1291</v>
      </c>
      <c r="F71" s="19" t="s">
        <v>2579</v>
      </c>
      <c r="G71" s="58">
        <v>19</v>
      </c>
      <c r="H71" s="19" t="s">
        <v>2528</v>
      </c>
      <c r="I71" s="18" t="s">
        <v>1331</v>
      </c>
      <c r="J71" s="20" t="s">
        <v>1319</v>
      </c>
      <c r="K71" s="18" t="s">
        <v>1295</v>
      </c>
      <c r="L71" s="19" t="s">
        <v>2488</v>
      </c>
      <c r="M71" s="57" t="s">
        <v>2487</v>
      </c>
      <c r="N71" s="56" t="s">
        <v>2335</v>
      </c>
      <c r="O71" s="98" t="s">
        <v>3645</v>
      </c>
      <c r="P71" s="57" t="str">
        <f t="shared" si="13"/>
        <v>제03편 제1심 소송절차&gt;19&gt;3&gt;기출</v>
      </c>
      <c r="Q71" s="57" t="str">
        <f t="shared" si="14"/>
        <v>제07장 증거&gt;06&gt;3&gt;기출</v>
      </c>
      <c r="R71" s="57" t="str">
        <f t="shared" si="15"/>
        <v>제07장 증거&gt;제04절 증거조사의 개시와 실시&gt;02</v>
      </c>
      <c r="S71" s="57" t="str">
        <f t="shared" si="16"/>
        <v>기출&gt;2013&gt;1</v>
      </c>
      <c r="T71" s="57" t="str">
        <f t="shared" si="17"/>
        <v>기출&gt;2013&gt;3</v>
      </c>
    </row>
    <row r="72" spans="2:20" ht="14.45" customHeight="1" x14ac:dyDescent="0.2">
      <c r="B72" s="24">
        <f t="shared" si="12"/>
        <v>69</v>
      </c>
      <c r="C72" s="108">
        <v>2014</v>
      </c>
      <c r="D72" s="18" t="s">
        <v>1324</v>
      </c>
      <c r="E72" s="18" t="s">
        <v>1284</v>
      </c>
      <c r="F72" s="19" t="s">
        <v>2533</v>
      </c>
      <c r="G72" s="60">
        <v>10</v>
      </c>
      <c r="H72" s="19" t="s">
        <v>2524</v>
      </c>
      <c r="I72" s="18" t="s">
        <v>1332</v>
      </c>
      <c r="J72" s="20" t="s">
        <v>1307</v>
      </c>
      <c r="K72" s="18" t="s">
        <v>1312</v>
      </c>
      <c r="L72" s="19" t="s">
        <v>2301</v>
      </c>
      <c r="M72" s="57" t="s">
        <v>2390</v>
      </c>
      <c r="N72" s="56" t="s">
        <v>2335</v>
      </c>
      <c r="O72" s="98"/>
      <c r="P72" s="57" t="str">
        <f t="shared" si="13"/>
        <v>제02편 소송의 주체&gt;10&gt;1-1&gt;기출</v>
      </c>
      <c r="Q72" s="57" t="str">
        <f t="shared" si="14"/>
        <v>제04장 당사자&gt;07&gt;1-1&gt;기출</v>
      </c>
      <c r="R72" s="57" t="str">
        <f t="shared" si="15"/>
        <v>제04장 당사자&gt;제02절 당사자의 자격&gt;04</v>
      </c>
      <c r="S72" s="57" t="str">
        <f t="shared" si="16"/>
        <v>기출&gt;2014&gt;4</v>
      </c>
      <c r="T72" s="57" t="str">
        <f t="shared" si="17"/>
        <v>기출&gt;2014&gt;1-1</v>
      </c>
    </row>
    <row r="73" spans="2:20" ht="14.45" customHeight="1" x14ac:dyDescent="0.2">
      <c r="B73" s="24">
        <f t="shared" si="12"/>
        <v>70</v>
      </c>
      <c r="C73" s="108">
        <v>2014</v>
      </c>
      <c r="D73" s="18" t="s">
        <v>1327</v>
      </c>
      <c r="E73" s="18" t="s">
        <v>1287</v>
      </c>
      <c r="F73" s="19" t="s">
        <v>2579</v>
      </c>
      <c r="G73" s="58">
        <v>17</v>
      </c>
      <c r="H73" s="19" t="s">
        <v>2526</v>
      </c>
      <c r="I73" s="18" t="s">
        <v>1343</v>
      </c>
      <c r="J73" s="20" t="s">
        <v>1311</v>
      </c>
      <c r="K73" s="18" t="s">
        <v>1305</v>
      </c>
      <c r="L73" s="19" t="s">
        <v>2372</v>
      </c>
      <c r="M73" s="57" t="s">
        <v>2358</v>
      </c>
      <c r="N73" s="56" t="s">
        <v>2335</v>
      </c>
      <c r="O73" s="98"/>
      <c r="P73" s="57" t="str">
        <f t="shared" si="13"/>
        <v>제03편 제1심 소송절차&gt;17&gt;1-2&gt;기출</v>
      </c>
      <c r="Q73" s="57" t="str">
        <f t="shared" si="14"/>
        <v>제06장 변론&gt;08&gt;1-2&gt;기출</v>
      </c>
      <c r="R73" s="57" t="str">
        <f t="shared" si="15"/>
        <v>제06장 변론&gt;제02절 심리에 관한 제 원칙&gt;03</v>
      </c>
      <c r="S73" s="57" t="str">
        <f t="shared" si="16"/>
        <v>기출&gt;2014&gt;3</v>
      </c>
      <c r="T73" s="57" t="str">
        <f t="shared" si="17"/>
        <v>기출&gt;2014&gt;1-2</v>
      </c>
    </row>
    <row r="74" spans="2:20" ht="14.45" customHeight="1" x14ac:dyDescent="0.2">
      <c r="B74" s="24">
        <f t="shared" si="12"/>
        <v>71</v>
      </c>
      <c r="C74" s="108">
        <v>2014</v>
      </c>
      <c r="D74" s="18" t="s">
        <v>1328</v>
      </c>
      <c r="E74" s="18" t="s">
        <v>1289</v>
      </c>
      <c r="F74" s="19" t="s">
        <v>2532</v>
      </c>
      <c r="G74" s="58" t="s">
        <v>2566</v>
      </c>
      <c r="H74" s="19" t="s">
        <v>3460</v>
      </c>
      <c r="I74" s="18" t="s">
        <v>1283</v>
      </c>
      <c r="J74" s="20" t="s">
        <v>1330</v>
      </c>
      <c r="K74" s="18" t="s">
        <v>1283</v>
      </c>
      <c r="L74" s="19" t="s">
        <v>145</v>
      </c>
      <c r="M74" s="57" t="s">
        <v>2164</v>
      </c>
      <c r="N74" s="56" t="s">
        <v>2335</v>
      </c>
      <c r="O74" s="98"/>
      <c r="P74" s="57" t="str">
        <f t="shared" si="13"/>
        <v>제01편 총설&gt;01&gt;2&gt;기출</v>
      </c>
      <c r="Q74" s="57" t="str">
        <f t="shared" si="14"/>
        <v>제01장 민사소송&gt;01&gt;2&gt;기출</v>
      </c>
      <c r="R74" s="57" t="str">
        <f t="shared" si="15"/>
        <v>제01장 민사소송&gt;제03절 민사소송의 이상과 신의성실의 원칙&gt;01</v>
      </c>
      <c r="S74" s="57" t="str">
        <f t="shared" si="16"/>
        <v>기출&gt;2014&gt;2</v>
      </c>
      <c r="T74" s="57" t="str">
        <f t="shared" si="17"/>
        <v>기출&gt;2014&gt;2</v>
      </c>
    </row>
    <row r="75" spans="2:20" ht="14.45" customHeight="1" x14ac:dyDescent="0.2">
      <c r="B75" s="24">
        <f t="shared" si="12"/>
        <v>72</v>
      </c>
      <c r="C75" s="108">
        <v>2014</v>
      </c>
      <c r="D75" s="18" t="s">
        <v>1329</v>
      </c>
      <c r="E75" s="18" t="s">
        <v>1291</v>
      </c>
      <c r="F75" s="19" t="s">
        <v>2579</v>
      </c>
      <c r="G75" s="58">
        <v>18</v>
      </c>
      <c r="H75" s="19" t="s">
        <v>2564</v>
      </c>
      <c r="I75" s="18" t="s">
        <v>1325</v>
      </c>
      <c r="J75" s="20" t="s">
        <v>1297</v>
      </c>
      <c r="K75" s="18" t="s">
        <v>1295</v>
      </c>
      <c r="L75" s="19" t="s">
        <v>2455</v>
      </c>
      <c r="M75" s="57" t="s">
        <v>2454</v>
      </c>
      <c r="N75" s="56" t="s">
        <v>2335</v>
      </c>
      <c r="O75" s="98" t="s">
        <v>3645</v>
      </c>
      <c r="P75" s="57" t="str">
        <f t="shared" si="13"/>
        <v>제03편 제1심 소송절차&gt;18&gt;3&gt;기출</v>
      </c>
      <c r="Q75" s="57" t="str">
        <f t="shared" si="14"/>
        <v>제05장 소송 개시와 심리 대상&gt;05&gt;3&gt;기출</v>
      </c>
      <c r="R75" s="57" t="str">
        <f t="shared" si="15"/>
        <v>제05장 소송 개시와 심리 대상&gt;제07절 소제기의 효과&gt;02</v>
      </c>
      <c r="S75" s="57" t="str">
        <f t="shared" si="16"/>
        <v>기출&gt;2014&gt;1</v>
      </c>
      <c r="T75" s="57" t="str">
        <f t="shared" si="17"/>
        <v>기출&gt;2014&gt;3</v>
      </c>
    </row>
    <row r="76" spans="2:20" ht="14.45" customHeight="1" x14ac:dyDescent="0.2">
      <c r="B76" s="24">
        <f t="shared" si="12"/>
        <v>73</v>
      </c>
      <c r="C76" s="108">
        <v>2015</v>
      </c>
      <c r="D76" s="18" t="s">
        <v>1324</v>
      </c>
      <c r="E76" s="18" t="s">
        <v>1284</v>
      </c>
      <c r="F76" s="19" t="s">
        <v>2535</v>
      </c>
      <c r="G76" s="58">
        <v>13</v>
      </c>
      <c r="H76" s="19" t="s">
        <v>2551</v>
      </c>
      <c r="I76" s="18" t="s">
        <v>1366</v>
      </c>
      <c r="J76" s="20" t="s">
        <v>1293</v>
      </c>
      <c r="K76" s="18" t="s">
        <v>1325</v>
      </c>
      <c r="L76" s="19" t="s">
        <v>1326</v>
      </c>
      <c r="M76" s="57" t="s">
        <v>2195</v>
      </c>
      <c r="N76" s="56" t="s">
        <v>2335</v>
      </c>
      <c r="O76" s="98"/>
      <c r="P76" s="57" t="str">
        <f t="shared" si="13"/>
        <v>제05편 병합소송&gt;13&gt;1-1&gt;기출</v>
      </c>
      <c r="Q76" s="57" t="str">
        <f t="shared" si="14"/>
        <v>제12장 다수당사자소송&gt;09&gt;1-1&gt;기출</v>
      </c>
      <c r="R76" s="57" t="str">
        <f t="shared" si="15"/>
        <v>제12장 다수당사자소송&gt;제01절 공동소송&gt;05</v>
      </c>
      <c r="S76" s="57" t="str">
        <f t="shared" si="16"/>
        <v>기출&gt;2015&gt;4</v>
      </c>
      <c r="T76" s="57" t="str">
        <f t="shared" si="17"/>
        <v>기출&gt;2015&gt;1-1</v>
      </c>
    </row>
    <row r="77" spans="2:20" ht="14.45" customHeight="1" x14ac:dyDescent="0.2">
      <c r="B77" s="24">
        <f t="shared" si="12"/>
        <v>74</v>
      </c>
      <c r="C77" s="108">
        <v>2015</v>
      </c>
      <c r="D77" s="18" t="s">
        <v>1327</v>
      </c>
      <c r="E77" s="18" t="s">
        <v>1287</v>
      </c>
      <c r="F77" s="19" t="s">
        <v>2579</v>
      </c>
      <c r="G77" s="58">
        <v>16</v>
      </c>
      <c r="H77" s="19" t="s">
        <v>2526</v>
      </c>
      <c r="I77" s="18" t="s">
        <v>1332</v>
      </c>
      <c r="J77" s="20" t="s">
        <v>1296</v>
      </c>
      <c r="K77" s="18" t="s">
        <v>1305</v>
      </c>
      <c r="L77" s="19" t="s">
        <v>2373</v>
      </c>
      <c r="M77" s="57" t="s">
        <v>2361</v>
      </c>
      <c r="N77" s="56" t="s">
        <v>2335</v>
      </c>
      <c r="O77" s="98"/>
      <c r="P77" s="57" t="str">
        <f t="shared" si="13"/>
        <v>제03편 제1심 소송절차&gt;16&gt;1-2&gt;기출</v>
      </c>
      <c r="Q77" s="57" t="str">
        <f t="shared" si="14"/>
        <v>제06장 변론&gt;07&gt;1-2&gt;기출</v>
      </c>
      <c r="R77" s="57" t="str">
        <f t="shared" si="15"/>
        <v>제06장 변론&gt;제07절 기일・기간 및 송달&gt;03</v>
      </c>
      <c r="S77" s="57" t="str">
        <f t="shared" si="16"/>
        <v>기출&gt;2015&gt;3</v>
      </c>
      <c r="T77" s="57" t="str">
        <f t="shared" si="17"/>
        <v>기출&gt;2015&gt;1-2</v>
      </c>
    </row>
    <row r="78" spans="2:20" ht="14.45" customHeight="1" x14ac:dyDescent="0.2">
      <c r="B78" s="24">
        <f t="shared" si="12"/>
        <v>75</v>
      </c>
      <c r="C78" s="108">
        <v>2015</v>
      </c>
      <c r="D78" s="18" t="s">
        <v>1328</v>
      </c>
      <c r="E78" s="18" t="s">
        <v>1289</v>
      </c>
      <c r="F78" s="19" t="s">
        <v>2533</v>
      </c>
      <c r="G78" s="60" t="s">
        <v>2578</v>
      </c>
      <c r="H78" s="19" t="s">
        <v>2522</v>
      </c>
      <c r="I78" s="18" t="s">
        <v>1305</v>
      </c>
      <c r="J78" s="20" t="s">
        <v>1309</v>
      </c>
      <c r="K78" s="18" t="s">
        <v>1305</v>
      </c>
      <c r="L78" s="19" t="s">
        <v>2433</v>
      </c>
      <c r="M78" s="57" t="s">
        <v>2432</v>
      </c>
      <c r="N78" s="56" t="s">
        <v>2335</v>
      </c>
      <c r="O78" s="98" t="s">
        <v>3645</v>
      </c>
      <c r="P78" s="57" t="str">
        <f t="shared" si="13"/>
        <v>제02편 소송의 주체&gt;09&gt;2&gt;기출</v>
      </c>
      <c r="Q78" s="57" t="str">
        <f t="shared" si="14"/>
        <v>제03장 법원&gt;03&gt;2&gt;기출</v>
      </c>
      <c r="R78" s="57" t="str">
        <f t="shared" si="15"/>
        <v>제03장 법원&gt;제03절 관할&gt;03</v>
      </c>
      <c r="S78" s="57" t="str">
        <f t="shared" si="16"/>
        <v>기출&gt;2015&gt;2</v>
      </c>
      <c r="T78" s="57" t="str">
        <f t="shared" si="17"/>
        <v>기출&gt;2015&gt;2</v>
      </c>
    </row>
    <row r="79" spans="2:20" ht="14.45" customHeight="1" x14ac:dyDescent="0.2">
      <c r="B79" s="24">
        <f t="shared" si="12"/>
        <v>76</v>
      </c>
      <c r="C79" s="108">
        <v>2015</v>
      </c>
      <c r="D79" s="18" t="s">
        <v>1329</v>
      </c>
      <c r="E79" s="18" t="s">
        <v>1291</v>
      </c>
      <c r="F79" s="19" t="s">
        <v>2534</v>
      </c>
      <c r="G79" s="60" t="s">
        <v>2586</v>
      </c>
      <c r="H79" s="19" t="s">
        <v>2545</v>
      </c>
      <c r="I79" s="18" t="s">
        <v>1305</v>
      </c>
      <c r="J79" s="20" t="s">
        <v>1292</v>
      </c>
      <c r="K79" s="18" t="s">
        <v>1305</v>
      </c>
      <c r="L79" s="19" t="s">
        <v>2464</v>
      </c>
      <c r="M79" s="57" t="s">
        <v>2463</v>
      </c>
      <c r="N79" s="56" t="s">
        <v>2335</v>
      </c>
      <c r="O79" s="98" t="s">
        <v>3645</v>
      </c>
      <c r="P79" s="57" t="str">
        <f t="shared" si="13"/>
        <v>제04편 소송의 종료&gt;07&gt;3&gt;기출</v>
      </c>
      <c r="Q79" s="57" t="str">
        <f t="shared" si="14"/>
        <v>제09장 당사자 행위에 의한 종료&gt;03&gt;3&gt;기출</v>
      </c>
      <c r="R79" s="57" t="str">
        <f t="shared" si="15"/>
        <v>제09장 당사자 행위에 의한 종료&gt;제01절 소의 취하와 재소금지&gt;03</v>
      </c>
      <c r="S79" s="57" t="str">
        <f t="shared" si="16"/>
        <v>기출&gt;2015&gt;1</v>
      </c>
      <c r="T79" s="57" t="str">
        <f t="shared" si="17"/>
        <v>기출&gt;2015&gt;3</v>
      </c>
    </row>
    <row r="80" spans="2:20" ht="14.45" customHeight="1" x14ac:dyDescent="0.2">
      <c r="B80" s="24">
        <f t="shared" si="12"/>
        <v>77</v>
      </c>
      <c r="C80" s="108">
        <v>2016</v>
      </c>
      <c r="D80" s="18" t="s">
        <v>1281</v>
      </c>
      <c r="E80" s="18" t="s">
        <v>1284</v>
      </c>
      <c r="F80" s="19" t="s">
        <v>2533</v>
      </c>
      <c r="G80" s="60" t="s">
        <v>2576</v>
      </c>
      <c r="H80" s="19" t="s">
        <v>2524</v>
      </c>
      <c r="I80" s="18" t="s">
        <v>1325</v>
      </c>
      <c r="J80" s="20" t="s">
        <v>1307</v>
      </c>
      <c r="K80" s="18" t="s">
        <v>1305</v>
      </c>
      <c r="L80" s="19" t="s">
        <v>2297</v>
      </c>
      <c r="M80" s="57" t="s">
        <v>2389</v>
      </c>
      <c r="N80" s="56" t="s">
        <v>2335</v>
      </c>
      <c r="O80" s="98"/>
      <c r="P80" s="57" t="str">
        <f t="shared" si="13"/>
        <v>제02편 소송의 주체&gt;07&gt;1-1&gt;기출</v>
      </c>
      <c r="Q80" s="57" t="str">
        <f t="shared" si="14"/>
        <v>제04장 당사자&gt;05&gt;1-1&gt;기출</v>
      </c>
      <c r="R80" s="57" t="str">
        <f t="shared" si="15"/>
        <v>제04장 당사자&gt;제02절 당사자의 자격&gt;03</v>
      </c>
      <c r="S80" s="57" t="str">
        <f t="shared" si="16"/>
        <v>기출&gt;2016&gt;4</v>
      </c>
      <c r="T80" s="57" t="str">
        <f t="shared" si="17"/>
        <v>기출&gt;2016&gt;1-1</v>
      </c>
    </row>
    <row r="81" spans="2:20" ht="14.45" customHeight="1" x14ac:dyDescent="0.2">
      <c r="B81" s="24">
        <f t="shared" si="12"/>
        <v>78</v>
      </c>
      <c r="C81" s="108">
        <v>2016</v>
      </c>
      <c r="D81" s="18" t="s">
        <v>1286</v>
      </c>
      <c r="E81" s="18" t="s">
        <v>1287</v>
      </c>
      <c r="F81" s="19" t="s">
        <v>2533</v>
      </c>
      <c r="G81" s="60" t="s">
        <v>2577</v>
      </c>
      <c r="H81" s="19" t="s">
        <v>2524</v>
      </c>
      <c r="I81" s="18" t="s">
        <v>1331</v>
      </c>
      <c r="J81" s="20" t="s">
        <v>1317</v>
      </c>
      <c r="K81" s="18" t="s">
        <v>1295</v>
      </c>
      <c r="L81" s="19" t="s">
        <v>2299</v>
      </c>
      <c r="M81" s="57" t="s">
        <v>2391</v>
      </c>
      <c r="N81" s="56" t="s">
        <v>2335</v>
      </c>
      <c r="O81" s="98"/>
      <c r="P81" s="57" t="str">
        <f t="shared" si="13"/>
        <v>제02편 소송의 주체&gt;08&gt;1-2&gt;기출</v>
      </c>
      <c r="Q81" s="57" t="str">
        <f t="shared" si="14"/>
        <v>제04장 당사자&gt;06&gt;1-2&gt;기출</v>
      </c>
      <c r="R81" s="57" t="str">
        <f t="shared" si="15"/>
        <v>제04장 당사자&gt;제03절 소송상의 대리인&gt;02</v>
      </c>
      <c r="S81" s="57" t="str">
        <f t="shared" si="16"/>
        <v>기출&gt;2016&gt;3</v>
      </c>
      <c r="T81" s="57" t="str">
        <f t="shared" si="17"/>
        <v>기출&gt;2016&gt;1-2</v>
      </c>
    </row>
    <row r="82" spans="2:20" ht="14.45" customHeight="1" x14ac:dyDescent="0.2">
      <c r="B82" s="24">
        <f t="shared" si="12"/>
        <v>79</v>
      </c>
      <c r="C82" s="108">
        <v>2016</v>
      </c>
      <c r="D82" s="18" t="s">
        <v>1289</v>
      </c>
      <c r="E82" s="18" t="s">
        <v>1289</v>
      </c>
      <c r="F82" s="19" t="s">
        <v>2579</v>
      </c>
      <c r="G82" s="58">
        <v>15</v>
      </c>
      <c r="H82" s="19" t="s">
        <v>2526</v>
      </c>
      <c r="I82" s="18" t="s">
        <v>1331</v>
      </c>
      <c r="J82" s="20" t="s">
        <v>1296</v>
      </c>
      <c r="K82" s="18" t="s">
        <v>1295</v>
      </c>
      <c r="L82" s="19" t="s">
        <v>1323</v>
      </c>
      <c r="M82" s="57" t="s">
        <v>2180</v>
      </c>
      <c r="N82" s="56" t="s">
        <v>2335</v>
      </c>
      <c r="O82" s="98" t="s">
        <v>3645</v>
      </c>
      <c r="P82" s="57" t="str">
        <f t="shared" si="13"/>
        <v>제03편 제1심 소송절차&gt;15&gt;2&gt;기출</v>
      </c>
      <c r="Q82" s="57" t="str">
        <f t="shared" si="14"/>
        <v>제06장 변론&gt;06&gt;2&gt;기출</v>
      </c>
      <c r="R82" s="57" t="str">
        <f t="shared" si="15"/>
        <v>제06장 변론&gt;제07절 기일・기간 및 송달&gt;02</v>
      </c>
      <c r="S82" s="57" t="str">
        <f t="shared" si="16"/>
        <v>기출&gt;2016&gt;2</v>
      </c>
      <c r="T82" s="57" t="str">
        <f t="shared" si="17"/>
        <v>기출&gt;2016&gt;2</v>
      </c>
    </row>
    <row r="83" spans="2:20" ht="14.45" customHeight="1" x14ac:dyDescent="0.2">
      <c r="B83" s="24">
        <f t="shared" si="12"/>
        <v>80</v>
      </c>
      <c r="C83" s="108">
        <v>2016</v>
      </c>
      <c r="D83" s="18" t="s">
        <v>1287</v>
      </c>
      <c r="E83" s="18" t="s">
        <v>1291</v>
      </c>
      <c r="F83" s="19" t="s">
        <v>2535</v>
      </c>
      <c r="G83" s="58">
        <v>12</v>
      </c>
      <c r="H83" s="19" t="s">
        <v>2549</v>
      </c>
      <c r="I83" s="18" t="s">
        <v>1312</v>
      </c>
      <c r="J83" s="20" t="s">
        <v>1288</v>
      </c>
      <c r="K83" s="18" t="s">
        <v>1305</v>
      </c>
      <c r="L83" s="19" t="s">
        <v>2502</v>
      </c>
      <c r="M83" s="57" t="s">
        <v>2501</v>
      </c>
      <c r="N83" s="56" t="s">
        <v>2335</v>
      </c>
      <c r="O83" s="98" t="s">
        <v>3645</v>
      </c>
      <c r="P83" s="57" t="str">
        <f t="shared" si="13"/>
        <v>제05편 병합소송&gt;12&gt;3&gt;기출</v>
      </c>
      <c r="Q83" s="57" t="str">
        <f t="shared" si="14"/>
        <v>제11장 병합청구소송&gt;04&gt;3&gt;기출</v>
      </c>
      <c r="R83" s="57" t="str">
        <f t="shared" si="15"/>
        <v>제11장 병합청구소송&gt;제01절 청구의 원시적 병합&gt;03</v>
      </c>
      <c r="S83" s="57" t="str">
        <f t="shared" si="16"/>
        <v>기출&gt;2016&gt;1</v>
      </c>
      <c r="T83" s="57" t="str">
        <f t="shared" si="17"/>
        <v>기출&gt;2016&gt;3</v>
      </c>
    </row>
    <row r="84" spans="2:20" ht="14.45" customHeight="1" x14ac:dyDescent="0.2">
      <c r="B84" s="24">
        <f t="shared" si="12"/>
        <v>81</v>
      </c>
      <c r="C84" s="108">
        <v>2017</v>
      </c>
      <c r="D84" s="18" t="s">
        <v>1281</v>
      </c>
      <c r="E84" s="18" t="s">
        <v>3505</v>
      </c>
      <c r="F84" s="19" t="s">
        <v>2535</v>
      </c>
      <c r="G84" s="58">
        <v>10</v>
      </c>
      <c r="H84" s="19" t="s">
        <v>2551</v>
      </c>
      <c r="I84" s="18" t="s">
        <v>1332</v>
      </c>
      <c r="J84" s="20" t="s">
        <v>1315</v>
      </c>
      <c r="K84" s="18" t="s">
        <v>1305</v>
      </c>
      <c r="L84" s="19" t="s">
        <v>2375</v>
      </c>
      <c r="M84" s="57" t="s">
        <v>2367</v>
      </c>
      <c r="N84" s="56" t="s">
        <v>2335</v>
      </c>
      <c r="O84" s="98"/>
      <c r="P84" s="57" t="str">
        <f t="shared" si="13"/>
        <v>제05편 병합소송&gt;10&gt;1-1&gt;기출</v>
      </c>
      <c r="Q84" s="57" t="str">
        <f t="shared" si="14"/>
        <v>제12장 다수당사자소송&gt;07&gt;1-1&gt;기출</v>
      </c>
      <c r="R84" s="57" t="str">
        <f t="shared" si="15"/>
        <v>제12장 다수당사자소송&gt;제02절 제3자의 소송참가&gt;03</v>
      </c>
      <c r="S84" s="57" t="str">
        <f t="shared" si="16"/>
        <v>기출&gt;2017&gt;6</v>
      </c>
      <c r="T84" s="57" t="str">
        <f t="shared" si="17"/>
        <v>기출&gt;2017&gt;1-1</v>
      </c>
    </row>
    <row r="85" spans="2:20" ht="14.45" customHeight="1" x14ac:dyDescent="0.2">
      <c r="B85" s="24">
        <f t="shared" si="12"/>
        <v>82</v>
      </c>
      <c r="C85" s="108">
        <v>2017</v>
      </c>
      <c r="D85" s="18" t="s">
        <v>1286</v>
      </c>
      <c r="E85" s="18" t="s">
        <v>1282</v>
      </c>
      <c r="F85" s="19" t="s">
        <v>2533</v>
      </c>
      <c r="G85" s="60" t="s">
        <v>2575</v>
      </c>
      <c r="H85" s="19" t="s">
        <v>2524</v>
      </c>
      <c r="I85" s="18" t="s">
        <v>1312</v>
      </c>
      <c r="J85" s="20" t="s">
        <v>1307</v>
      </c>
      <c r="K85" s="18" t="s">
        <v>1295</v>
      </c>
      <c r="L85" s="19" t="s">
        <v>1320</v>
      </c>
      <c r="M85" s="57" t="s">
        <v>2169</v>
      </c>
      <c r="N85" s="56" t="s">
        <v>2335</v>
      </c>
      <c r="O85" s="98"/>
      <c r="P85" s="57" t="str">
        <f t="shared" si="13"/>
        <v>제02편 소송의 주체&gt;06&gt;1-2&gt;기출</v>
      </c>
      <c r="Q85" s="57" t="str">
        <f t="shared" si="14"/>
        <v>제04장 당사자&gt;04&gt;1-2&gt;기출</v>
      </c>
      <c r="R85" s="57" t="str">
        <f t="shared" si="15"/>
        <v>제04장 당사자&gt;제02절 당사자의 자격&gt;02</v>
      </c>
      <c r="S85" s="57" t="str">
        <f t="shared" si="16"/>
        <v>기출&gt;2017&gt;5</v>
      </c>
      <c r="T85" s="57" t="str">
        <f t="shared" si="17"/>
        <v>기출&gt;2017&gt;1-2</v>
      </c>
    </row>
    <row r="86" spans="2:20" ht="14.45" customHeight="1" x14ac:dyDescent="0.2">
      <c r="B86" s="24">
        <f t="shared" si="12"/>
        <v>83</v>
      </c>
      <c r="C86" s="108">
        <v>2017</v>
      </c>
      <c r="D86" s="18" t="s">
        <v>1286</v>
      </c>
      <c r="E86" s="18" t="s">
        <v>1284</v>
      </c>
      <c r="F86" s="19" t="s">
        <v>2535</v>
      </c>
      <c r="G86" s="58">
        <v>11</v>
      </c>
      <c r="H86" s="19" t="s">
        <v>2551</v>
      </c>
      <c r="I86" s="18" t="s">
        <v>1343</v>
      </c>
      <c r="J86" s="20" t="s">
        <v>1321</v>
      </c>
      <c r="K86" s="18" t="s">
        <v>1283</v>
      </c>
      <c r="L86" s="19" t="s">
        <v>1320</v>
      </c>
      <c r="M86" s="57" t="s">
        <v>2169</v>
      </c>
      <c r="N86" s="56" t="s">
        <v>2335</v>
      </c>
      <c r="O86" s="98"/>
      <c r="P86" s="57" t="str">
        <f t="shared" si="13"/>
        <v>제05편 병합소송&gt;11&gt;1-2&gt;기출</v>
      </c>
      <c r="Q86" s="57" t="str">
        <f t="shared" si="14"/>
        <v>제12장 다수당사자소송&gt;08&gt;1-2&gt;기출</v>
      </c>
      <c r="R86" s="57" t="str">
        <f t="shared" si="15"/>
        <v>제12장 다수당사자소송&gt;제03절 당사자의 변경&gt;01</v>
      </c>
      <c r="S86" s="57" t="str">
        <f t="shared" si="16"/>
        <v>기출&gt;2017&gt;4</v>
      </c>
      <c r="T86" s="57" t="str">
        <f t="shared" si="17"/>
        <v>기출&gt;2017&gt;1-2</v>
      </c>
    </row>
    <row r="87" spans="2:20" ht="14.45" customHeight="1" x14ac:dyDescent="0.2">
      <c r="B87" s="24">
        <f t="shared" si="12"/>
        <v>84</v>
      </c>
      <c r="C87" s="108">
        <v>2017</v>
      </c>
      <c r="D87" s="18" t="s">
        <v>1289</v>
      </c>
      <c r="E87" s="18" t="s">
        <v>1287</v>
      </c>
      <c r="F87" s="19" t="s">
        <v>2579</v>
      </c>
      <c r="G87" s="58">
        <v>13</v>
      </c>
      <c r="H87" s="19" t="s">
        <v>2526</v>
      </c>
      <c r="I87" s="18" t="s">
        <v>1325</v>
      </c>
      <c r="J87" s="20" t="s">
        <v>1322</v>
      </c>
      <c r="K87" s="18" t="s">
        <v>1283</v>
      </c>
      <c r="L87" s="19" t="s">
        <v>2478</v>
      </c>
      <c r="M87" s="57" t="s">
        <v>2479</v>
      </c>
      <c r="N87" s="56" t="s">
        <v>2335</v>
      </c>
      <c r="O87" s="98" t="s">
        <v>3645</v>
      </c>
      <c r="P87" s="57" t="str">
        <f t="shared" si="13"/>
        <v>제03편 제1심 소송절차&gt;13&gt;2&gt;기출</v>
      </c>
      <c r="Q87" s="57" t="str">
        <f t="shared" si="14"/>
        <v>제06장 변론&gt;05&gt;2&gt;기출</v>
      </c>
      <c r="R87" s="57" t="str">
        <f t="shared" si="15"/>
        <v>제06장 변론&gt;제06절 변론기일에서의 당사자의 결석&gt;01</v>
      </c>
      <c r="S87" s="57" t="str">
        <f t="shared" si="16"/>
        <v>기출&gt;2017&gt;3</v>
      </c>
      <c r="T87" s="57" t="str">
        <f t="shared" si="17"/>
        <v>기출&gt;2017&gt;2</v>
      </c>
    </row>
    <row r="88" spans="2:20" ht="14.45" customHeight="1" x14ac:dyDescent="0.2">
      <c r="B88" s="24">
        <f t="shared" si="12"/>
        <v>85</v>
      </c>
      <c r="C88" s="108">
        <v>2017</v>
      </c>
      <c r="D88" s="18" t="s">
        <v>1289</v>
      </c>
      <c r="E88" s="18" t="s">
        <v>1289</v>
      </c>
      <c r="F88" s="19" t="s">
        <v>2579</v>
      </c>
      <c r="G88" s="58">
        <v>14</v>
      </c>
      <c r="H88" s="19" t="s">
        <v>2528</v>
      </c>
      <c r="I88" s="18" t="s">
        <v>1325</v>
      </c>
      <c r="J88" s="20" t="s">
        <v>1303</v>
      </c>
      <c r="K88" s="18" t="s">
        <v>1295</v>
      </c>
      <c r="L88" s="19" t="s">
        <v>2478</v>
      </c>
      <c r="M88" s="57" t="s">
        <v>2479</v>
      </c>
      <c r="N88" s="56" t="s">
        <v>2335</v>
      </c>
      <c r="O88" s="98" t="s">
        <v>3645</v>
      </c>
      <c r="P88" s="57" t="str">
        <f t="shared" si="13"/>
        <v>제03편 제1심 소송절차&gt;14&gt;2&gt;기출</v>
      </c>
      <c r="Q88" s="57" t="str">
        <f t="shared" si="14"/>
        <v>제07장 증거&gt;05&gt;2&gt;기출</v>
      </c>
      <c r="R88" s="57" t="str">
        <f t="shared" si="15"/>
        <v>제07장 증거&gt;제03절 불요증사실&gt;02</v>
      </c>
      <c r="S88" s="57" t="str">
        <f t="shared" si="16"/>
        <v>기출&gt;2017&gt;2</v>
      </c>
      <c r="T88" s="57" t="str">
        <f t="shared" si="17"/>
        <v>기출&gt;2017&gt;2</v>
      </c>
    </row>
    <row r="89" spans="2:20" ht="14.45" customHeight="1" x14ac:dyDescent="0.2">
      <c r="B89" s="24">
        <f t="shared" si="12"/>
        <v>86</v>
      </c>
      <c r="C89" s="108">
        <v>2017</v>
      </c>
      <c r="D89" s="18" t="s">
        <v>1287</v>
      </c>
      <c r="E89" s="18" t="s">
        <v>1291</v>
      </c>
      <c r="F89" s="19" t="s">
        <v>2534</v>
      </c>
      <c r="G89" s="60" t="s">
        <v>2585</v>
      </c>
      <c r="H89" s="19" t="s">
        <v>2547</v>
      </c>
      <c r="I89" s="18" t="s">
        <v>1312</v>
      </c>
      <c r="J89" s="20" t="s">
        <v>1298</v>
      </c>
      <c r="K89" s="18" t="s">
        <v>1312</v>
      </c>
      <c r="L89" s="19" t="s">
        <v>2499</v>
      </c>
      <c r="M89" s="57" t="s">
        <v>2498</v>
      </c>
      <c r="N89" s="56" t="s">
        <v>2335</v>
      </c>
      <c r="O89" s="98" t="s">
        <v>3645</v>
      </c>
      <c r="P89" s="57" t="str">
        <f t="shared" si="13"/>
        <v>제04편 소송의 종료&gt;06&gt;3&gt;기출</v>
      </c>
      <c r="Q89" s="57" t="str">
        <f t="shared" si="14"/>
        <v>제10장 종국판결에 의한 종료&gt;04&gt;3&gt;기출</v>
      </c>
      <c r="R89" s="57" t="str">
        <f t="shared" si="15"/>
        <v>제10장 종국판결에 의한 종료&gt;제02절 판결&gt;04</v>
      </c>
      <c r="S89" s="57" t="str">
        <f t="shared" si="16"/>
        <v>기출&gt;2017&gt;1</v>
      </c>
      <c r="T89" s="57" t="str">
        <f t="shared" si="17"/>
        <v>기출&gt;2017&gt;3</v>
      </c>
    </row>
    <row r="90" spans="2:20" ht="14.45" customHeight="1" x14ac:dyDescent="0.2">
      <c r="B90" s="24">
        <f t="shared" ref="B90:B122" si="18">ROW()-3</f>
        <v>87</v>
      </c>
      <c r="C90" s="108">
        <v>2018</v>
      </c>
      <c r="D90" s="18" t="s">
        <v>1281</v>
      </c>
      <c r="E90" s="18" t="s">
        <v>1284</v>
      </c>
      <c r="F90" s="19" t="s">
        <v>2579</v>
      </c>
      <c r="G90" s="58">
        <v>11</v>
      </c>
      <c r="H90" s="19" t="s">
        <v>2564</v>
      </c>
      <c r="I90" s="18" t="s">
        <v>1312</v>
      </c>
      <c r="J90" s="20" t="s">
        <v>1290</v>
      </c>
      <c r="K90" s="18" t="s">
        <v>1305</v>
      </c>
      <c r="L90" s="19" t="s">
        <v>2449</v>
      </c>
      <c r="M90" s="57" t="s">
        <v>2448</v>
      </c>
      <c r="N90" s="56" t="s">
        <v>2335</v>
      </c>
      <c r="O90" s="98"/>
      <c r="P90" s="57" t="str">
        <f t="shared" ref="P90:P122" si="19">F90&amp;"&gt;"&amp;G90&amp;"&gt;"&amp;D90&amp;"&gt;"&amp;N90</f>
        <v>제03편 제1심 소송절차&gt;11&gt;1-1&gt;기출</v>
      </c>
      <c r="Q90" s="57" t="str">
        <f t="shared" ref="Q90:Q122" si="20">H90&amp;"&gt;"&amp;I90&amp;"&gt;"&amp;D90&amp;"&gt;"&amp;N90</f>
        <v>제05장 소송 개시와 심리 대상&gt;04&gt;1-1&gt;기출</v>
      </c>
      <c r="R90" s="57" t="str">
        <f t="shared" ref="R90:R122" si="21">H90&amp;"&gt;"&amp;J90&amp;"&gt;"&amp;K90</f>
        <v>제05장 소송 개시와 심리 대상&gt;제03절 소의 이익&gt;03</v>
      </c>
      <c r="S90" s="57" t="str">
        <f t="shared" ref="S90:S122" si="22">N90&amp;"&gt;"&amp;C90&amp;"&gt;"&amp;E90</f>
        <v>기출&gt;2018&gt;4</v>
      </c>
      <c r="T90" s="57" t="str">
        <f t="shared" ref="T90:T122" si="23">N90&amp;"&gt;"&amp;C90&amp;"&gt;"&amp;D90</f>
        <v>기출&gt;2018&gt;1-1</v>
      </c>
    </row>
    <row r="91" spans="2:20" ht="14.45" customHeight="1" x14ac:dyDescent="0.2">
      <c r="B91" s="24">
        <f t="shared" si="18"/>
        <v>88</v>
      </c>
      <c r="C91" s="108">
        <v>2018</v>
      </c>
      <c r="D91" s="18" t="s">
        <v>1286</v>
      </c>
      <c r="E91" s="18" t="s">
        <v>1287</v>
      </c>
      <c r="F91" s="19" t="s">
        <v>2533</v>
      </c>
      <c r="G91" s="60" t="s">
        <v>2574</v>
      </c>
      <c r="H91" s="19" t="s">
        <v>2524</v>
      </c>
      <c r="I91" s="18" t="s">
        <v>1305</v>
      </c>
      <c r="J91" s="20" t="s">
        <v>1317</v>
      </c>
      <c r="K91" s="18" t="s">
        <v>1283</v>
      </c>
      <c r="L91" s="19" t="s">
        <v>1318</v>
      </c>
      <c r="M91" s="57" t="s">
        <v>2170</v>
      </c>
      <c r="N91" s="56" t="s">
        <v>2335</v>
      </c>
      <c r="O91" s="98"/>
      <c r="P91" s="57" t="str">
        <f t="shared" si="19"/>
        <v>제02편 소송의 주체&gt;05&gt;1-2&gt;기출</v>
      </c>
      <c r="Q91" s="57" t="str">
        <f t="shared" si="20"/>
        <v>제04장 당사자&gt;03&gt;1-2&gt;기출</v>
      </c>
      <c r="R91" s="57" t="str">
        <f t="shared" si="21"/>
        <v>제04장 당사자&gt;제03절 소송상의 대리인&gt;01</v>
      </c>
      <c r="S91" s="57" t="str">
        <f t="shared" si="22"/>
        <v>기출&gt;2018&gt;3</v>
      </c>
      <c r="T91" s="57" t="str">
        <f t="shared" si="23"/>
        <v>기출&gt;2018&gt;1-2</v>
      </c>
    </row>
    <row r="92" spans="2:20" ht="14.45" customHeight="1" x14ac:dyDescent="0.2">
      <c r="B92" s="24">
        <f t="shared" si="18"/>
        <v>89</v>
      </c>
      <c r="C92" s="108">
        <v>2018</v>
      </c>
      <c r="D92" s="18" t="s">
        <v>1289</v>
      </c>
      <c r="E92" s="18" t="s">
        <v>1289</v>
      </c>
      <c r="F92" s="19" t="s">
        <v>2535</v>
      </c>
      <c r="G92" s="60" t="s">
        <v>2588</v>
      </c>
      <c r="H92" s="19" t="s">
        <v>2551</v>
      </c>
      <c r="I92" s="18" t="s">
        <v>1331</v>
      </c>
      <c r="J92" s="20" t="s">
        <v>1315</v>
      </c>
      <c r="K92" s="18" t="s">
        <v>1295</v>
      </c>
      <c r="L92" s="19" t="s">
        <v>2472</v>
      </c>
      <c r="M92" s="57" t="s">
        <v>2471</v>
      </c>
      <c r="N92" s="56" t="s">
        <v>2335</v>
      </c>
      <c r="O92" s="98" t="s">
        <v>3645</v>
      </c>
      <c r="P92" s="57" t="str">
        <f t="shared" si="19"/>
        <v>제05편 병합소송&gt;09&gt;2&gt;기출</v>
      </c>
      <c r="Q92" s="57" t="str">
        <f t="shared" si="20"/>
        <v>제12장 다수당사자소송&gt;06&gt;2&gt;기출</v>
      </c>
      <c r="R92" s="57" t="str">
        <f t="shared" si="21"/>
        <v>제12장 다수당사자소송&gt;제02절 제3자의 소송참가&gt;02</v>
      </c>
      <c r="S92" s="57" t="str">
        <f t="shared" si="22"/>
        <v>기출&gt;2018&gt;2</v>
      </c>
      <c r="T92" s="57" t="str">
        <f t="shared" si="23"/>
        <v>기출&gt;2018&gt;2</v>
      </c>
    </row>
    <row r="93" spans="2:20" ht="14.45" customHeight="1" x14ac:dyDescent="0.2">
      <c r="B93" s="24">
        <f t="shared" si="18"/>
        <v>90</v>
      </c>
      <c r="C93" s="108">
        <v>2018</v>
      </c>
      <c r="D93" s="18" t="s">
        <v>1287</v>
      </c>
      <c r="E93" s="18" t="s">
        <v>1291</v>
      </c>
      <c r="F93" s="19" t="s">
        <v>2579</v>
      </c>
      <c r="G93" s="58">
        <v>12</v>
      </c>
      <c r="H93" s="19" t="s">
        <v>2528</v>
      </c>
      <c r="I93" s="18" t="s">
        <v>1312</v>
      </c>
      <c r="J93" s="20" t="s">
        <v>1319</v>
      </c>
      <c r="K93" s="18" t="s">
        <v>1283</v>
      </c>
      <c r="L93" s="19" t="s">
        <v>2485</v>
      </c>
      <c r="M93" s="57" t="s">
        <v>2484</v>
      </c>
      <c r="N93" s="56" t="s">
        <v>2335</v>
      </c>
      <c r="O93" s="98" t="s">
        <v>3645</v>
      </c>
      <c r="P93" s="57" t="str">
        <f t="shared" si="19"/>
        <v>제03편 제1심 소송절차&gt;12&gt;3&gt;기출</v>
      </c>
      <c r="Q93" s="57" t="str">
        <f t="shared" si="20"/>
        <v>제07장 증거&gt;04&gt;3&gt;기출</v>
      </c>
      <c r="R93" s="57" t="str">
        <f t="shared" si="21"/>
        <v>제07장 증거&gt;제04절 증거조사의 개시와 실시&gt;01</v>
      </c>
      <c r="S93" s="57" t="str">
        <f t="shared" si="22"/>
        <v>기출&gt;2018&gt;1</v>
      </c>
      <c r="T93" s="57" t="str">
        <f t="shared" si="23"/>
        <v>기출&gt;2018&gt;3</v>
      </c>
    </row>
    <row r="94" spans="2:20" ht="14.45" customHeight="1" x14ac:dyDescent="0.2">
      <c r="B94" s="24">
        <f t="shared" si="18"/>
        <v>91</v>
      </c>
      <c r="C94" s="108">
        <v>2019</v>
      </c>
      <c r="D94" s="18" t="s">
        <v>1281</v>
      </c>
      <c r="E94" s="18" t="s">
        <v>1284</v>
      </c>
      <c r="F94" s="19" t="s">
        <v>2579</v>
      </c>
      <c r="G94" s="58">
        <v>10</v>
      </c>
      <c r="H94" s="19" t="s">
        <v>2526</v>
      </c>
      <c r="I94" s="18" t="s">
        <v>1312</v>
      </c>
      <c r="J94" s="20" t="s">
        <v>1311</v>
      </c>
      <c r="K94" s="18" t="s">
        <v>1295</v>
      </c>
      <c r="L94" s="19" t="s">
        <v>2458</v>
      </c>
      <c r="M94" s="57" t="s">
        <v>2459</v>
      </c>
      <c r="N94" s="56" t="s">
        <v>2335</v>
      </c>
      <c r="O94" s="98"/>
      <c r="P94" s="57" t="str">
        <f t="shared" si="19"/>
        <v>제03편 제1심 소송절차&gt;10&gt;1-1&gt;기출</v>
      </c>
      <c r="Q94" s="57" t="str">
        <f t="shared" si="20"/>
        <v>제06장 변론&gt;04&gt;1-1&gt;기출</v>
      </c>
      <c r="R94" s="57" t="str">
        <f t="shared" si="21"/>
        <v>제06장 변론&gt;제02절 심리에 관한 제 원칙&gt;02</v>
      </c>
      <c r="S94" s="57" t="str">
        <f t="shared" si="22"/>
        <v>기출&gt;2019&gt;4</v>
      </c>
      <c r="T94" s="57" t="str">
        <f t="shared" si="23"/>
        <v>기출&gt;2019&gt;1-1</v>
      </c>
    </row>
    <row r="95" spans="2:20" ht="14.45" customHeight="1" x14ac:dyDescent="0.2">
      <c r="B95" s="24">
        <f t="shared" si="18"/>
        <v>92</v>
      </c>
      <c r="C95" s="108">
        <v>2019</v>
      </c>
      <c r="D95" s="18" t="s">
        <v>1286</v>
      </c>
      <c r="E95" s="18" t="s">
        <v>1287</v>
      </c>
      <c r="F95" s="19" t="s">
        <v>2534</v>
      </c>
      <c r="G95" s="60" t="s">
        <v>2584</v>
      </c>
      <c r="H95" s="19" t="s">
        <v>2547</v>
      </c>
      <c r="I95" s="18" t="s">
        <v>1305</v>
      </c>
      <c r="J95" s="20" t="s">
        <v>1298</v>
      </c>
      <c r="K95" s="18" t="s">
        <v>1305</v>
      </c>
      <c r="L95" s="19" t="s">
        <v>1314</v>
      </c>
      <c r="M95" s="57" t="s">
        <v>2190</v>
      </c>
      <c r="N95" s="56" t="s">
        <v>2335</v>
      </c>
      <c r="O95" s="98"/>
      <c r="P95" s="57" t="str">
        <f t="shared" si="19"/>
        <v>제04편 소송의 종료&gt;05&gt;1-2&gt;기출</v>
      </c>
      <c r="Q95" s="57" t="str">
        <f t="shared" si="20"/>
        <v>제10장 종국판결에 의한 종료&gt;03&gt;1-2&gt;기출</v>
      </c>
      <c r="R95" s="57" t="str">
        <f t="shared" si="21"/>
        <v>제10장 종국판결에 의한 종료&gt;제02절 판결&gt;03</v>
      </c>
      <c r="S95" s="57" t="str">
        <f t="shared" si="22"/>
        <v>기출&gt;2019&gt;3</v>
      </c>
      <c r="T95" s="57" t="str">
        <f t="shared" si="23"/>
        <v>기출&gt;2019&gt;1-2</v>
      </c>
    </row>
    <row r="96" spans="2:20" ht="14.45" customHeight="1" x14ac:dyDescent="0.2">
      <c r="B96" s="24">
        <f t="shared" si="18"/>
        <v>93</v>
      </c>
      <c r="C96" s="108">
        <v>2019</v>
      </c>
      <c r="D96" s="18" t="s">
        <v>1289</v>
      </c>
      <c r="E96" s="18" t="s">
        <v>1289</v>
      </c>
      <c r="F96" s="19" t="s">
        <v>2533</v>
      </c>
      <c r="G96" s="60" t="s">
        <v>2573</v>
      </c>
      <c r="H96" s="19" t="s">
        <v>3461</v>
      </c>
      <c r="I96" s="18" t="s">
        <v>1295</v>
      </c>
      <c r="J96" s="20" t="s">
        <v>1309</v>
      </c>
      <c r="K96" s="18" t="s">
        <v>1295</v>
      </c>
      <c r="L96" s="19" t="s">
        <v>2427</v>
      </c>
      <c r="M96" s="57" t="s">
        <v>2428</v>
      </c>
      <c r="N96" s="56" t="s">
        <v>2335</v>
      </c>
      <c r="O96" s="98" t="s">
        <v>3645</v>
      </c>
      <c r="P96" s="57" t="str">
        <f t="shared" si="19"/>
        <v>제02편 소송의 주체&gt;04&gt;2&gt;기출</v>
      </c>
      <c r="Q96" s="57" t="str">
        <f t="shared" si="20"/>
        <v>제03장 법원&gt;02&gt;2&gt;기출</v>
      </c>
      <c r="R96" s="57" t="str">
        <f t="shared" si="21"/>
        <v>제03장 법원&gt;제03절 관할&gt;02</v>
      </c>
      <c r="S96" s="57" t="str">
        <f t="shared" si="22"/>
        <v>기출&gt;2019&gt;2</v>
      </c>
      <c r="T96" s="57" t="str">
        <f t="shared" si="23"/>
        <v>기출&gt;2019&gt;2</v>
      </c>
    </row>
    <row r="97" spans="2:20" ht="14.45" customHeight="1" x14ac:dyDescent="0.2">
      <c r="B97" s="24">
        <f t="shared" si="18"/>
        <v>94</v>
      </c>
      <c r="C97" s="108">
        <v>2019</v>
      </c>
      <c r="D97" s="18" t="s">
        <v>1287</v>
      </c>
      <c r="E97" s="18" t="s">
        <v>1291</v>
      </c>
      <c r="F97" s="19" t="s">
        <v>2535</v>
      </c>
      <c r="G97" s="60" t="s">
        <v>2587</v>
      </c>
      <c r="H97" s="19" t="s">
        <v>2551</v>
      </c>
      <c r="I97" s="18" t="s">
        <v>1325</v>
      </c>
      <c r="J97" s="20" t="s">
        <v>1315</v>
      </c>
      <c r="K97" s="18" t="s">
        <v>1283</v>
      </c>
      <c r="L97" s="19" t="s">
        <v>1316</v>
      </c>
      <c r="M97" s="57" t="s">
        <v>2198</v>
      </c>
      <c r="N97" s="56" t="s">
        <v>2335</v>
      </c>
      <c r="O97" s="98" t="s">
        <v>3645</v>
      </c>
      <c r="P97" s="57" t="str">
        <f t="shared" si="19"/>
        <v>제05편 병합소송&gt;08&gt;3&gt;기출</v>
      </c>
      <c r="Q97" s="57" t="str">
        <f t="shared" si="20"/>
        <v>제12장 다수당사자소송&gt;05&gt;3&gt;기출</v>
      </c>
      <c r="R97" s="57" t="str">
        <f t="shared" si="21"/>
        <v>제12장 다수당사자소송&gt;제02절 제3자의 소송참가&gt;01</v>
      </c>
      <c r="S97" s="57" t="str">
        <f t="shared" si="22"/>
        <v>기출&gt;2019&gt;1</v>
      </c>
      <c r="T97" s="57" t="str">
        <f t="shared" si="23"/>
        <v>기출&gt;2019&gt;3</v>
      </c>
    </row>
    <row r="98" spans="2:20" ht="14.45" customHeight="1" x14ac:dyDescent="0.2">
      <c r="B98" s="24">
        <f t="shared" si="18"/>
        <v>95</v>
      </c>
      <c r="C98" s="108">
        <v>2020</v>
      </c>
      <c r="D98" s="18" t="s">
        <v>1281</v>
      </c>
      <c r="E98" s="18" t="s">
        <v>1284</v>
      </c>
      <c r="F98" s="19" t="s">
        <v>2533</v>
      </c>
      <c r="G98" s="60" t="s">
        <v>2572</v>
      </c>
      <c r="H98" s="19" t="s">
        <v>3461</v>
      </c>
      <c r="I98" s="18" t="s">
        <v>1283</v>
      </c>
      <c r="J98" s="20" t="s">
        <v>1309</v>
      </c>
      <c r="K98" s="18" t="s">
        <v>1283</v>
      </c>
      <c r="L98" s="19" t="s">
        <v>1310</v>
      </c>
      <c r="M98" s="57" t="s">
        <v>2167</v>
      </c>
      <c r="N98" s="56" t="s">
        <v>2335</v>
      </c>
      <c r="O98" s="98"/>
      <c r="P98" s="57" t="str">
        <f t="shared" si="19"/>
        <v>제02편 소송의 주체&gt;02&gt;1-1&gt;기출</v>
      </c>
      <c r="Q98" s="57" t="str">
        <f t="shared" si="20"/>
        <v>제03장 법원&gt;01&gt;1-1&gt;기출</v>
      </c>
      <c r="R98" s="57" t="str">
        <f t="shared" si="21"/>
        <v>제03장 법원&gt;제03절 관할&gt;01</v>
      </c>
      <c r="S98" s="57" t="str">
        <f t="shared" si="22"/>
        <v>기출&gt;2020&gt;4</v>
      </c>
      <c r="T98" s="57" t="str">
        <f t="shared" si="23"/>
        <v>기출&gt;2020&gt;1-1</v>
      </c>
    </row>
    <row r="99" spans="2:20" ht="14.45" customHeight="1" x14ac:dyDescent="0.2">
      <c r="B99" s="24">
        <f t="shared" si="18"/>
        <v>96</v>
      </c>
      <c r="C99" s="108">
        <v>2020</v>
      </c>
      <c r="D99" s="18" t="s">
        <v>1286</v>
      </c>
      <c r="E99" s="18" t="s">
        <v>1287</v>
      </c>
      <c r="F99" s="19" t="s">
        <v>2533</v>
      </c>
      <c r="G99" s="60" t="s">
        <v>2571</v>
      </c>
      <c r="H99" s="19" t="s">
        <v>3462</v>
      </c>
      <c r="I99" s="18" t="s">
        <v>1295</v>
      </c>
      <c r="J99" s="20" t="s">
        <v>1669</v>
      </c>
      <c r="K99" s="18" t="s">
        <v>1283</v>
      </c>
      <c r="L99" s="19" t="s">
        <v>149</v>
      </c>
      <c r="M99" s="57" t="s">
        <v>2168</v>
      </c>
      <c r="N99" s="56" t="s">
        <v>2335</v>
      </c>
      <c r="O99" s="98"/>
      <c r="P99" s="57" t="str">
        <f t="shared" si="19"/>
        <v>제02편 소송의 주체&gt;03&gt;1-2&gt;기출</v>
      </c>
      <c r="Q99" s="57" t="str">
        <f t="shared" si="20"/>
        <v>제04장 당사자&gt;02&gt;1-2&gt;기출</v>
      </c>
      <c r="R99" s="57" t="str">
        <f t="shared" si="21"/>
        <v>제04장 당사자&gt;제01절 당사자의 개관&gt;01</v>
      </c>
      <c r="S99" s="57" t="str">
        <f t="shared" si="22"/>
        <v>기출&gt;2020&gt;3</v>
      </c>
      <c r="T99" s="57" t="str">
        <f t="shared" si="23"/>
        <v>기출&gt;2020&gt;1-2</v>
      </c>
    </row>
    <row r="100" spans="2:20" ht="14.45" customHeight="1" x14ac:dyDescent="0.2">
      <c r="B100" s="24">
        <f t="shared" si="18"/>
        <v>97</v>
      </c>
      <c r="C100" s="108">
        <v>2020</v>
      </c>
      <c r="D100" s="18" t="s">
        <v>1289</v>
      </c>
      <c r="E100" s="18" t="s">
        <v>1289</v>
      </c>
      <c r="F100" s="19" t="s">
        <v>2579</v>
      </c>
      <c r="G100" s="60" t="s">
        <v>2588</v>
      </c>
      <c r="H100" s="19" t="s">
        <v>3464</v>
      </c>
      <c r="I100" s="18" t="s">
        <v>1305</v>
      </c>
      <c r="J100" s="20" t="s">
        <v>1311</v>
      </c>
      <c r="K100" s="18" t="s">
        <v>1283</v>
      </c>
      <c r="L100" s="19" t="s">
        <v>2475</v>
      </c>
      <c r="M100" s="57" t="s">
        <v>2474</v>
      </c>
      <c r="N100" s="56" t="s">
        <v>2335</v>
      </c>
      <c r="O100" s="98" t="s">
        <v>3645</v>
      </c>
      <c r="P100" s="57" t="str">
        <f t="shared" si="19"/>
        <v>제03편 제1심 소송절차&gt;09&gt;2&gt;기출</v>
      </c>
      <c r="Q100" s="57" t="str">
        <f t="shared" si="20"/>
        <v>제06장 변론&gt;03&gt;2&gt;기출</v>
      </c>
      <c r="R100" s="57" t="str">
        <f t="shared" si="21"/>
        <v>제06장 변론&gt;제02절 심리에 관한 제 원칙&gt;01</v>
      </c>
      <c r="S100" s="57" t="str">
        <f t="shared" si="22"/>
        <v>기출&gt;2020&gt;2</v>
      </c>
      <c r="T100" s="57" t="str">
        <f t="shared" si="23"/>
        <v>기출&gt;2020&gt;2</v>
      </c>
    </row>
    <row r="101" spans="2:20" ht="14.45" customHeight="1" x14ac:dyDescent="0.2">
      <c r="B101" s="24">
        <f t="shared" si="18"/>
        <v>98</v>
      </c>
      <c r="C101" s="108">
        <v>2020</v>
      </c>
      <c r="D101" s="18" t="s">
        <v>1287</v>
      </c>
      <c r="E101" s="18" t="s">
        <v>1291</v>
      </c>
      <c r="F101" s="19" t="s">
        <v>2535</v>
      </c>
      <c r="G101" s="60" t="s">
        <v>2586</v>
      </c>
      <c r="H101" s="19" t="s">
        <v>2551</v>
      </c>
      <c r="I101" s="18" t="s">
        <v>1312</v>
      </c>
      <c r="J101" s="20" t="s">
        <v>1293</v>
      </c>
      <c r="K101" s="18" t="s">
        <v>1312</v>
      </c>
      <c r="L101" s="19" t="s">
        <v>1313</v>
      </c>
      <c r="M101" s="57" t="s">
        <v>2194</v>
      </c>
      <c r="N101" s="56" t="s">
        <v>2335</v>
      </c>
      <c r="O101" s="98" t="s">
        <v>3645</v>
      </c>
      <c r="P101" s="57" t="str">
        <f t="shared" si="19"/>
        <v>제05편 병합소송&gt;07&gt;3&gt;기출</v>
      </c>
      <c r="Q101" s="57" t="str">
        <f t="shared" si="20"/>
        <v>제12장 다수당사자소송&gt;04&gt;3&gt;기출</v>
      </c>
      <c r="R101" s="57" t="str">
        <f t="shared" si="21"/>
        <v>제12장 다수당사자소송&gt;제01절 공동소송&gt;04</v>
      </c>
      <c r="S101" s="57" t="str">
        <f t="shared" si="22"/>
        <v>기출&gt;2020&gt;1</v>
      </c>
      <c r="T101" s="57" t="str">
        <f t="shared" si="23"/>
        <v>기출&gt;2020&gt;3</v>
      </c>
    </row>
    <row r="102" spans="2:20" ht="14.45" customHeight="1" x14ac:dyDescent="0.2">
      <c r="B102" s="24">
        <f t="shared" si="18"/>
        <v>99</v>
      </c>
      <c r="C102" s="108">
        <v>2021</v>
      </c>
      <c r="D102" s="18" t="s">
        <v>1281</v>
      </c>
      <c r="E102" s="18" t="s">
        <v>1284</v>
      </c>
      <c r="F102" s="19" t="s">
        <v>2579</v>
      </c>
      <c r="G102" s="60" t="s">
        <v>2587</v>
      </c>
      <c r="H102" s="19" t="s">
        <v>2528</v>
      </c>
      <c r="I102" s="18" t="s">
        <v>1305</v>
      </c>
      <c r="J102" s="20" t="s">
        <v>1303</v>
      </c>
      <c r="K102" s="18" t="s">
        <v>1283</v>
      </c>
      <c r="L102" s="19" t="s">
        <v>1304</v>
      </c>
      <c r="M102" s="57" t="s">
        <v>2185</v>
      </c>
      <c r="N102" s="56" t="s">
        <v>2335</v>
      </c>
      <c r="O102" s="98"/>
      <c r="P102" s="57" t="str">
        <f t="shared" si="19"/>
        <v>제03편 제1심 소송절차&gt;08&gt;1-1&gt;기출</v>
      </c>
      <c r="Q102" s="57" t="str">
        <f t="shared" si="20"/>
        <v>제07장 증거&gt;03&gt;1-1&gt;기출</v>
      </c>
      <c r="R102" s="57" t="str">
        <f t="shared" si="21"/>
        <v>제07장 증거&gt;제03절 불요증사실&gt;01</v>
      </c>
      <c r="S102" s="57" t="str">
        <f t="shared" si="22"/>
        <v>기출&gt;2021&gt;4</v>
      </c>
      <c r="T102" s="57" t="str">
        <f t="shared" si="23"/>
        <v>기출&gt;2021&gt;1-1</v>
      </c>
    </row>
    <row r="103" spans="2:20" ht="14.45" customHeight="1" x14ac:dyDescent="0.2">
      <c r="B103" s="24">
        <f t="shared" si="18"/>
        <v>100</v>
      </c>
      <c r="C103" s="108">
        <v>2021</v>
      </c>
      <c r="D103" s="18" t="s">
        <v>1286</v>
      </c>
      <c r="E103" s="18" t="s">
        <v>1287</v>
      </c>
      <c r="F103" s="19" t="s">
        <v>2535</v>
      </c>
      <c r="G103" s="60" t="s">
        <v>2584</v>
      </c>
      <c r="H103" s="19" t="s">
        <v>2551</v>
      </c>
      <c r="I103" s="18" t="s">
        <v>1305</v>
      </c>
      <c r="J103" s="20" t="s">
        <v>1293</v>
      </c>
      <c r="K103" s="18" t="s">
        <v>1305</v>
      </c>
      <c r="L103" s="19" t="s">
        <v>1306</v>
      </c>
      <c r="M103" s="57" t="s">
        <v>2193</v>
      </c>
      <c r="N103" s="56" t="s">
        <v>2335</v>
      </c>
      <c r="O103" s="98"/>
      <c r="P103" s="57" t="str">
        <f t="shared" si="19"/>
        <v>제05편 병합소송&gt;05&gt;1-2&gt;기출</v>
      </c>
      <c r="Q103" s="57" t="str">
        <f t="shared" si="20"/>
        <v>제12장 다수당사자소송&gt;03&gt;1-2&gt;기출</v>
      </c>
      <c r="R103" s="57" t="str">
        <f t="shared" si="21"/>
        <v>제12장 다수당사자소송&gt;제01절 공동소송&gt;03</v>
      </c>
      <c r="S103" s="57" t="str">
        <f t="shared" si="22"/>
        <v>기출&gt;2021&gt;3</v>
      </c>
      <c r="T103" s="57" t="str">
        <f t="shared" si="23"/>
        <v>기출&gt;2021&gt;1-2</v>
      </c>
    </row>
    <row r="104" spans="2:20" ht="14.45" customHeight="1" x14ac:dyDescent="0.2">
      <c r="B104" s="24">
        <f t="shared" si="18"/>
        <v>101</v>
      </c>
      <c r="C104" s="108">
        <v>2021</v>
      </c>
      <c r="D104" s="18" t="s">
        <v>1289</v>
      </c>
      <c r="E104" s="18" t="s">
        <v>1289</v>
      </c>
      <c r="F104" s="19" t="s">
        <v>2533</v>
      </c>
      <c r="G104" s="60" t="s">
        <v>2570</v>
      </c>
      <c r="H104" s="19" t="s">
        <v>2524</v>
      </c>
      <c r="I104" s="18" t="s">
        <v>1283</v>
      </c>
      <c r="J104" s="20" t="s">
        <v>1307</v>
      </c>
      <c r="K104" s="18" t="s">
        <v>1283</v>
      </c>
      <c r="L104" s="19" t="s">
        <v>3512</v>
      </c>
      <c r="M104" s="57" t="s">
        <v>3513</v>
      </c>
      <c r="N104" s="56" t="s">
        <v>2335</v>
      </c>
      <c r="O104" s="98" t="s">
        <v>3645</v>
      </c>
      <c r="P104" s="57" t="str">
        <f t="shared" si="19"/>
        <v>제02편 소송의 주체&gt;01&gt;2&gt;기출</v>
      </c>
      <c r="Q104" s="57" t="str">
        <f t="shared" si="20"/>
        <v>제04장 당사자&gt;01&gt;2&gt;기출</v>
      </c>
      <c r="R104" s="57" t="str">
        <f t="shared" si="21"/>
        <v>제04장 당사자&gt;제02절 당사자의 자격&gt;01</v>
      </c>
      <c r="S104" s="57" t="str">
        <f t="shared" si="22"/>
        <v>기출&gt;2021&gt;2</v>
      </c>
      <c r="T104" s="57" t="str">
        <f t="shared" si="23"/>
        <v>기출&gt;2021&gt;2</v>
      </c>
    </row>
    <row r="105" spans="2:20" ht="14.45" customHeight="1" x14ac:dyDescent="0.2">
      <c r="B105" s="24">
        <f t="shared" si="18"/>
        <v>102</v>
      </c>
      <c r="C105" s="108">
        <v>2021</v>
      </c>
      <c r="D105" s="18" t="s">
        <v>1287</v>
      </c>
      <c r="E105" s="18" t="s">
        <v>1291</v>
      </c>
      <c r="F105" s="19" t="s">
        <v>2535</v>
      </c>
      <c r="G105" s="60" t="s">
        <v>2585</v>
      </c>
      <c r="H105" s="19" t="s">
        <v>2549</v>
      </c>
      <c r="I105" s="18" t="s">
        <v>1305</v>
      </c>
      <c r="J105" s="20" t="s">
        <v>1308</v>
      </c>
      <c r="K105" s="18" t="s">
        <v>1283</v>
      </c>
      <c r="L105" s="19" t="s">
        <v>2505</v>
      </c>
      <c r="M105" s="57" t="s">
        <v>2504</v>
      </c>
      <c r="N105" s="56" t="s">
        <v>2335</v>
      </c>
      <c r="O105" s="98" t="s">
        <v>3645</v>
      </c>
      <c r="P105" s="57" t="str">
        <f t="shared" si="19"/>
        <v>제05편 병합소송&gt;06&gt;3&gt;기출</v>
      </c>
      <c r="Q105" s="57" t="str">
        <f t="shared" si="20"/>
        <v>제11장 병합청구소송&gt;03&gt;3&gt;기출</v>
      </c>
      <c r="R105" s="57" t="str">
        <f t="shared" si="21"/>
        <v>제11장 병합청구소송&gt;제02절 청구의 후발적 병합&gt;01</v>
      </c>
      <c r="S105" s="57" t="str">
        <f t="shared" si="22"/>
        <v>기출&gt;2021&gt;1</v>
      </c>
      <c r="T105" s="57" t="str">
        <f t="shared" si="23"/>
        <v>기출&gt;2021&gt;3</v>
      </c>
    </row>
    <row r="106" spans="2:20" ht="14.45" customHeight="1" x14ac:dyDescent="0.2">
      <c r="B106" s="24">
        <f t="shared" si="18"/>
        <v>103</v>
      </c>
      <c r="C106" s="108">
        <v>2022</v>
      </c>
      <c r="D106" s="18" t="s">
        <v>1281</v>
      </c>
      <c r="E106" s="18" t="s">
        <v>1284</v>
      </c>
      <c r="F106" s="19" t="s">
        <v>2535</v>
      </c>
      <c r="G106" s="60" t="s">
        <v>2581</v>
      </c>
      <c r="H106" s="19" t="s">
        <v>2549</v>
      </c>
      <c r="I106" s="18" t="s">
        <v>1295</v>
      </c>
      <c r="J106" s="20" t="s">
        <v>1288</v>
      </c>
      <c r="K106" s="18" t="s">
        <v>1295</v>
      </c>
      <c r="L106" s="19" t="s">
        <v>1300</v>
      </c>
      <c r="M106" s="57" t="s">
        <v>2191</v>
      </c>
      <c r="N106" s="56" t="s">
        <v>2335</v>
      </c>
      <c r="O106" s="98"/>
      <c r="P106" s="57" t="str">
        <f t="shared" si="19"/>
        <v>제05편 병합소송&gt;03&gt;1-1&gt;기출</v>
      </c>
      <c r="Q106" s="57" t="str">
        <f t="shared" si="20"/>
        <v>제11장 병합청구소송&gt;02&gt;1-1&gt;기출</v>
      </c>
      <c r="R106" s="57" t="str">
        <f t="shared" si="21"/>
        <v>제11장 병합청구소송&gt;제01절 청구의 원시적 병합&gt;02</v>
      </c>
      <c r="S106" s="57" t="str">
        <f t="shared" si="22"/>
        <v>기출&gt;2022&gt;4</v>
      </c>
      <c r="T106" s="57" t="str">
        <f t="shared" si="23"/>
        <v>기출&gt;2022&gt;1-1</v>
      </c>
    </row>
    <row r="107" spans="2:20" ht="14.45" customHeight="1" x14ac:dyDescent="0.2">
      <c r="B107" s="24">
        <f t="shared" si="18"/>
        <v>104</v>
      </c>
      <c r="C107" s="108">
        <v>2022</v>
      </c>
      <c r="D107" s="18" t="s">
        <v>1286</v>
      </c>
      <c r="E107" s="18" t="s">
        <v>1287</v>
      </c>
      <c r="F107" s="19" t="s">
        <v>2535</v>
      </c>
      <c r="G107" s="60" t="s">
        <v>2583</v>
      </c>
      <c r="H107" s="19" t="s">
        <v>2551</v>
      </c>
      <c r="I107" s="18" t="s">
        <v>1295</v>
      </c>
      <c r="J107" s="20" t="s">
        <v>1293</v>
      </c>
      <c r="K107" s="18" t="s">
        <v>1295</v>
      </c>
      <c r="L107" s="19" t="s">
        <v>1301</v>
      </c>
      <c r="M107" s="57" t="s">
        <v>2192</v>
      </c>
      <c r="N107" s="56" t="s">
        <v>2335</v>
      </c>
      <c r="O107" s="98"/>
      <c r="P107" s="57" t="str">
        <f t="shared" si="19"/>
        <v>제05편 병합소송&gt;04&gt;1-2&gt;기출</v>
      </c>
      <c r="Q107" s="57" t="str">
        <f t="shared" si="20"/>
        <v>제12장 다수당사자소송&gt;02&gt;1-2&gt;기출</v>
      </c>
      <c r="R107" s="57" t="str">
        <f t="shared" si="21"/>
        <v>제12장 다수당사자소송&gt;제01절 공동소송&gt;02</v>
      </c>
      <c r="S107" s="57" t="str">
        <f t="shared" si="22"/>
        <v>기출&gt;2022&gt;3</v>
      </c>
      <c r="T107" s="57" t="str">
        <f t="shared" si="23"/>
        <v>기출&gt;2022&gt;1-2</v>
      </c>
    </row>
    <row r="108" spans="2:20" ht="14.45" customHeight="1" x14ac:dyDescent="0.2">
      <c r="B108" s="24">
        <f t="shared" si="18"/>
        <v>105</v>
      </c>
      <c r="C108" s="108">
        <v>2022</v>
      </c>
      <c r="D108" s="18" t="s">
        <v>1289</v>
      </c>
      <c r="E108" s="18" t="s">
        <v>1289</v>
      </c>
      <c r="F108" s="19" t="s">
        <v>2579</v>
      </c>
      <c r="G108" s="60" t="s">
        <v>2586</v>
      </c>
      <c r="H108" s="19" t="s">
        <v>2526</v>
      </c>
      <c r="I108" s="18" t="s">
        <v>1295</v>
      </c>
      <c r="J108" s="20" t="s">
        <v>1302</v>
      </c>
      <c r="K108" s="18" t="s">
        <v>1283</v>
      </c>
      <c r="L108" s="19" t="s">
        <v>2476</v>
      </c>
      <c r="M108" s="57" t="s">
        <v>2477</v>
      </c>
      <c r="N108" s="56" t="s">
        <v>2335</v>
      </c>
      <c r="O108" s="98" t="s">
        <v>3645</v>
      </c>
      <c r="P108" s="57" t="str">
        <f t="shared" si="19"/>
        <v>제03편 제1심 소송절차&gt;07&gt;2&gt;기출</v>
      </c>
      <c r="Q108" s="57" t="str">
        <f t="shared" si="20"/>
        <v>제06장 변론&gt;02&gt;2&gt;기출</v>
      </c>
      <c r="R108" s="57" t="str">
        <f t="shared" si="21"/>
        <v>제06장 변론&gt;제04절 변론&gt;01</v>
      </c>
      <c r="S108" s="57" t="str">
        <f t="shared" si="22"/>
        <v>기출&gt;2022&gt;2</v>
      </c>
      <c r="T108" s="57" t="str">
        <f t="shared" si="23"/>
        <v>기출&gt;2022&gt;2</v>
      </c>
    </row>
    <row r="109" spans="2:20" ht="14.45" customHeight="1" x14ac:dyDescent="0.2">
      <c r="B109" s="24">
        <f t="shared" si="18"/>
        <v>106</v>
      </c>
      <c r="C109" s="108">
        <v>2022</v>
      </c>
      <c r="D109" s="18" t="s">
        <v>1287</v>
      </c>
      <c r="E109" s="18" t="s">
        <v>1291</v>
      </c>
      <c r="F109" s="19" t="s">
        <v>2534</v>
      </c>
      <c r="G109" s="60" t="s">
        <v>2583</v>
      </c>
      <c r="H109" s="19" t="s">
        <v>2547</v>
      </c>
      <c r="I109" s="18" t="s">
        <v>1295</v>
      </c>
      <c r="J109" s="20" t="s">
        <v>1298</v>
      </c>
      <c r="K109" s="18" t="s">
        <v>1295</v>
      </c>
      <c r="L109" s="19" t="s">
        <v>2496</v>
      </c>
      <c r="M109" s="57" t="s">
        <v>2495</v>
      </c>
      <c r="N109" s="56" t="s">
        <v>2335</v>
      </c>
      <c r="O109" s="98" t="s">
        <v>3645</v>
      </c>
      <c r="P109" s="57" t="str">
        <f t="shared" si="19"/>
        <v>제04편 소송의 종료&gt;04&gt;3&gt;기출</v>
      </c>
      <c r="Q109" s="57" t="str">
        <f t="shared" si="20"/>
        <v>제10장 종국판결에 의한 종료&gt;02&gt;3&gt;기출</v>
      </c>
      <c r="R109" s="57" t="str">
        <f t="shared" si="21"/>
        <v>제10장 종국판결에 의한 종료&gt;제02절 판결&gt;02</v>
      </c>
      <c r="S109" s="57" t="str">
        <f t="shared" si="22"/>
        <v>기출&gt;2022&gt;1</v>
      </c>
      <c r="T109" s="57" t="str">
        <f t="shared" si="23"/>
        <v>기출&gt;2022&gt;3</v>
      </c>
    </row>
    <row r="110" spans="2:20" ht="14.45" customHeight="1" x14ac:dyDescent="0.2">
      <c r="B110" s="24">
        <f t="shared" si="18"/>
        <v>107</v>
      </c>
      <c r="C110" s="108">
        <v>2023</v>
      </c>
      <c r="D110" s="18" t="s">
        <v>1281</v>
      </c>
      <c r="E110" s="18" t="s">
        <v>1284</v>
      </c>
      <c r="F110" s="19" t="s">
        <v>2579</v>
      </c>
      <c r="G110" s="60" t="s">
        <v>2584</v>
      </c>
      <c r="H110" s="19" t="s">
        <v>2564</v>
      </c>
      <c r="I110" s="18" t="s">
        <v>1295</v>
      </c>
      <c r="J110" s="20" t="s">
        <v>1297</v>
      </c>
      <c r="K110" s="18" t="s">
        <v>1283</v>
      </c>
      <c r="L110" s="19" t="s">
        <v>2589</v>
      </c>
      <c r="M110" s="57" t="s">
        <v>2590</v>
      </c>
      <c r="N110" s="56" t="s">
        <v>2335</v>
      </c>
      <c r="O110" s="98"/>
      <c r="P110" s="57" t="str">
        <f t="shared" si="19"/>
        <v>제03편 제1심 소송절차&gt;05&gt;1-1&gt;기출</v>
      </c>
      <c r="Q110" s="57" t="str">
        <f t="shared" si="20"/>
        <v>제05장 소송 개시와 심리 대상&gt;02&gt;1-1&gt;기출</v>
      </c>
      <c r="R110" s="57" t="str">
        <f t="shared" si="21"/>
        <v>제05장 소송 개시와 심리 대상&gt;제07절 소제기의 효과&gt;01</v>
      </c>
      <c r="S110" s="57" t="str">
        <f t="shared" si="22"/>
        <v>기출&gt;2023&gt;4</v>
      </c>
      <c r="T110" s="57" t="str">
        <f t="shared" si="23"/>
        <v>기출&gt;2023&gt;1-1</v>
      </c>
    </row>
    <row r="111" spans="2:20" ht="14.45" customHeight="1" x14ac:dyDescent="0.2">
      <c r="B111" s="24">
        <f t="shared" si="18"/>
        <v>108</v>
      </c>
      <c r="C111" s="108">
        <v>2023</v>
      </c>
      <c r="D111" s="18" t="s">
        <v>1286</v>
      </c>
      <c r="E111" s="18" t="s">
        <v>1287</v>
      </c>
      <c r="F111" s="19" t="s">
        <v>2534</v>
      </c>
      <c r="G111" s="60" t="s">
        <v>2581</v>
      </c>
      <c r="H111" s="19" t="s">
        <v>3467</v>
      </c>
      <c r="I111" s="18" t="s">
        <v>1283</v>
      </c>
      <c r="J111" s="20" t="s">
        <v>1298</v>
      </c>
      <c r="K111" s="18" t="s">
        <v>1283</v>
      </c>
      <c r="L111" s="19" t="s">
        <v>2452</v>
      </c>
      <c r="M111" s="57" t="s">
        <v>2451</v>
      </c>
      <c r="N111" s="56" t="s">
        <v>2335</v>
      </c>
      <c r="O111" s="98"/>
      <c r="P111" s="57" t="str">
        <f t="shared" si="19"/>
        <v>제04편 소송의 종료&gt;03&gt;1-2&gt;기출</v>
      </c>
      <c r="Q111" s="57" t="str">
        <f t="shared" si="20"/>
        <v>제10장 종국판결에 의한 종료&gt;01&gt;1-2&gt;기출</v>
      </c>
      <c r="R111" s="57" t="str">
        <f t="shared" si="21"/>
        <v>제10장 종국판결에 의한 종료&gt;제02절 판결&gt;01</v>
      </c>
      <c r="S111" s="57" t="str">
        <f t="shared" si="22"/>
        <v>기출&gt;2023&gt;3</v>
      </c>
      <c r="T111" s="57" t="str">
        <f t="shared" si="23"/>
        <v>기출&gt;2023&gt;1-2</v>
      </c>
    </row>
    <row r="112" spans="2:20" ht="14.45" customHeight="1" x14ac:dyDescent="0.2">
      <c r="B112" s="24">
        <f t="shared" si="18"/>
        <v>109</v>
      </c>
      <c r="C112" s="108">
        <v>2023</v>
      </c>
      <c r="D112" s="18" t="s">
        <v>1289</v>
      </c>
      <c r="E112" s="18" t="s">
        <v>1289</v>
      </c>
      <c r="F112" s="19" t="s">
        <v>2579</v>
      </c>
      <c r="G112" s="60" t="s">
        <v>2585</v>
      </c>
      <c r="H112" s="19" t="s">
        <v>2564</v>
      </c>
      <c r="I112" s="18" t="s">
        <v>1305</v>
      </c>
      <c r="J112" s="20" t="s">
        <v>1290</v>
      </c>
      <c r="K112" s="18" t="s">
        <v>1295</v>
      </c>
      <c r="L112" s="19" t="s">
        <v>2446</v>
      </c>
      <c r="M112" s="57" t="s">
        <v>2445</v>
      </c>
      <c r="N112" s="56" t="s">
        <v>2335</v>
      </c>
      <c r="O112" s="98" t="s">
        <v>3645</v>
      </c>
      <c r="P112" s="57" t="str">
        <f t="shared" si="19"/>
        <v>제03편 제1심 소송절차&gt;06&gt;2&gt;기출</v>
      </c>
      <c r="Q112" s="57" t="str">
        <f t="shared" si="20"/>
        <v>제05장 소송 개시와 심리 대상&gt;03&gt;2&gt;기출</v>
      </c>
      <c r="R112" s="57" t="str">
        <f t="shared" si="21"/>
        <v>제05장 소송 개시와 심리 대상&gt;제03절 소의 이익&gt;02</v>
      </c>
      <c r="S112" s="57" t="str">
        <f t="shared" si="22"/>
        <v>기출&gt;2023&gt;2</v>
      </c>
      <c r="T112" s="57" t="str">
        <f t="shared" si="23"/>
        <v>기출&gt;2023&gt;2</v>
      </c>
    </row>
    <row r="113" spans="2:20" ht="14.45" customHeight="1" x14ac:dyDescent="0.2">
      <c r="B113" s="24">
        <f t="shared" si="18"/>
        <v>110</v>
      </c>
      <c r="C113" s="108">
        <v>2023</v>
      </c>
      <c r="D113" s="18" t="s">
        <v>1287</v>
      </c>
      <c r="E113" s="18" t="s">
        <v>1291</v>
      </c>
      <c r="F113" s="19" t="s">
        <v>2536</v>
      </c>
      <c r="G113" s="60" t="s">
        <v>2580</v>
      </c>
      <c r="H113" s="19" t="s">
        <v>3471</v>
      </c>
      <c r="I113" s="18" t="s">
        <v>1283</v>
      </c>
      <c r="J113" s="20" t="s">
        <v>1299</v>
      </c>
      <c r="K113" s="18" t="s">
        <v>1283</v>
      </c>
      <c r="L113" s="19" t="s">
        <v>2509</v>
      </c>
      <c r="M113" s="57" t="s">
        <v>2510</v>
      </c>
      <c r="N113" s="56" t="s">
        <v>2335</v>
      </c>
      <c r="O113" s="98" t="s">
        <v>3645</v>
      </c>
      <c r="P113" s="57" t="str">
        <f t="shared" si="19"/>
        <v>제06편 상소심절차&gt;02&gt;3&gt;기출</v>
      </c>
      <c r="Q113" s="57" t="str">
        <f t="shared" si="20"/>
        <v>제14장 항소&gt;01&gt;3&gt;기출</v>
      </c>
      <c r="R113" s="57" t="str">
        <f t="shared" si="21"/>
        <v>제14장 항소&gt;제02절 항소의 제기&gt;01</v>
      </c>
      <c r="S113" s="57" t="str">
        <f t="shared" si="22"/>
        <v>기출&gt;2023&gt;1</v>
      </c>
      <c r="T113" s="57" t="str">
        <f t="shared" si="23"/>
        <v>기출&gt;2023&gt;3</v>
      </c>
    </row>
    <row r="114" spans="2:20" ht="14.45" customHeight="1" x14ac:dyDescent="0.2">
      <c r="B114" s="24">
        <f t="shared" si="18"/>
        <v>111</v>
      </c>
      <c r="C114" s="108">
        <v>2024</v>
      </c>
      <c r="D114" s="18" t="s">
        <v>1281</v>
      </c>
      <c r="E114" s="18" t="s">
        <v>1284</v>
      </c>
      <c r="F114" s="19" t="s">
        <v>2535</v>
      </c>
      <c r="G114" s="60" t="s">
        <v>2580</v>
      </c>
      <c r="H114" s="19" t="s">
        <v>3469</v>
      </c>
      <c r="I114" s="18" t="s">
        <v>1283</v>
      </c>
      <c r="J114" s="20" t="s">
        <v>1293</v>
      </c>
      <c r="K114" s="18" t="s">
        <v>1283</v>
      </c>
      <c r="L114" s="19" t="s">
        <v>2374</v>
      </c>
      <c r="M114" s="57" t="s">
        <v>2364</v>
      </c>
      <c r="N114" s="56" t="s">
        <v>2335</v>
      </c>
      <c r="O114" s="98"/>
      <c r="P114" s="57" t="str">
        <f t="shared" si="19"/>
        <v>제05편 병합소송&gt;02&gt;1-1&gt;기출</v>
      </c>
      <c r="Q114" s="57" t="str">
        <f t="shared" si="20"/>
        <v>제12장 다수당사자소송&gt;01&gt;1-1&gt;기출</v>
      </c>
      <c r="R114" s="57" t="str">
        <f t="shared" si="21"/>
        <v>제12장 다수당사자소송&gt;제01절 공동소송&gt;01</v>
      </c>
      <c r="S114" s="57" t="str">
        <f t="shared" si="22"/>
        <v>기출&gt;2024&gt;4</v>
      </c>
      <c r="T114" s="57" t="str">
        <f t="shared" si="23"/>
        <v>기출&gt;2024&gt;1-1</v>
      </c>
    </row>
    <row r="115" spans="2:20" ht="14.45" customHeight="1" x14ac:dyDescent="0.2">
      <c r="B115" s="24">
        <f t="shared" si="18"/>
        <v>112</v>
      </c>
      <c r="C115" s="108">
        <v>2024</v>
      </c>
      <c r="D115" s="18" t="s">
        <v>1286</v>
      </c>
      <c r="E115" s="18" t="s">
        <v>1287</v>
      </c>
      <c r="F115" s="19" t="s">
        <v>2536</v>
      </c>
      <c r="G115" s="60" t="s">
        <v>2582</v>
      </c>
      <c r="H115" s="19" t="s">
        <v>3470</v>
      </c>
      <c r="I115" s="18" t="s">
        <v>1283</v>
      </c>
      <c r="J115" s="20" t="s">
        <v>1294</v>
      </c>
      <c r="K115" s="18" t="s">
        <v>1283</v>
      </c>
      <c r="L115" s="19" t="s">
        <v>203</v>
      </c>
      <c r="M115" s="57" t="s">
        <v>2202</v>
      </c>
      <c r="N115" s="56" t="s">
        <v>2335</v>
      </c>
      <c r="O115" s="98"/>
      <c r="P115" s="57" t="str">
        <f t="shared" si="19"/>
        <v>제06편 상소심절차&gt;01&gt;1-2&gt;기출</v>
      </c>
      <c r="Q115" s="57" t="str">
        <f t="shared" si="20"/>
        <v>제13장 총설&gt;01&gt;1-2&gt;기출</v>
      </c>
      <c r="R115" s="57" t="str">
        <f t="shared" si="21"/>
        <v>제13장 총설&gt;제03절 상소의 효력&gt;01</v>
      </c>
      <c r="S115" s="57" t="str">
        <f t="shared" si="22"/>
        <v>기출&gt;2024&gt;3</v>
      </c>
      <c r="T115" s="57" t="str">
        <f t="shared" si="23"/>
        <v>기출&gt;2024&gt;1-2</v>
      </c>
    </row>
    <row r="116" spans="2:20" ht="14.45" customHeight="1" x14ac:dyDescent="0.2">
      <c r="B116" s="24">
        <f t="shared" si="18"/>
        <v>113</v>
      </c>
      <c r="C116" s="108">
        <v>2024</v>
      </c>
      <c r="D116" s="18" t="s">
        <v>1289</v>
      </c>
      <c r="E116" s="18" t="s">
        <v>1289</v>
      </c>
      <c r="F116" s="19" t="s">
        <v>2534</v>
      </c>
      <c r="G116" s="58" t="s">
        <v>2567</v>
      </c>
      <c r="H116" s="19" t="s">
        <v>2545</v>
      </c>
      <c r="I116" s="18" t="s">
        <v>1295</v>
      </c>
      <c r="J116" s="20" t="s">
        <v>1292</v>
      </c>
      <c r="K116" s="18" t="s">
        <v>1295</v>
      </c>
      <c r="L116" s="19" t="s">
        <v>2492</v>
      </c>
      <c r="M116" s="57" t="s">
        <v>3519</v>
      </c>
      <c r="N116" s="56" t="s">
        <v>2335</v>
      </c>
      <c r="O116" s="98" t="s">
        <v>3645</v>
      </c>
      <c r="P116" s="57" t="str">
        <f t="shared" si="19"/>
        <v>제04편 소송의 종료&gt;02&gt;2&gt;기출</v>
      </c>
      <c r="Q116" s="57" t="str">
        <f t="shared" si="20"/>
        <v>제09장 당사자 행위에 의한 종료&gt;02&gt;2&gt;기출</v>
      </c>
      <c r="R116" s="57" t="str">
        <f t="shared" si="21"/>
        <v>제09장 당사자 행위에 의한 종료&gt;제01절 소의 취하와 재소금지&gt;02</v>
      </c>
      <c r="S116" s="57" t="str">
        <f t="shared" si="22"/>
        <v>기출&gt;2024&gt;2</v>
      </c>
      <c r="T116" s="57" t="str">
        <f t="shared" si="23"/>
        <v>기출&gt;2024&gt;2</v>
      </c>
    </row>
    <row r="117" spans="2:20" ht="14.45" customHeight="1" x14ac:dyDescent="0.2">
      <c r="B117" s="24">
        <f t="shared" si="18"/>
        <v>114</v>
      </c>
      <c r="C117" s="108">
        <v>2024</v>
      </c>
      <c r="D117" s="18" t="s">
        <v>1287</v>
      </c>
      <c r="E117" s="18" t="s">
        <v>1291</v>
      </c>
      <c r="F117" s="19" t="s">
        <v>2579</v>
      </c>
      <c r="G117" s="60" t="s">
        <v>2583</v>
      </c>
      <c r="H117" s="19" t="s">
        <v>2526</v>
      </c>
      <c r="I117" s="18" t="s">
        <v>1283</v>
      </c>
      <c r="J117" s="20" t="s">
        <v>1296</v>
      </c>
      <c r="K117" s="18" t="s">
        <v>1283</v>
      </c>
      <c r="L117" s="19" t="s">
        <v>2482</v>
      </c>
      <c r="M117" s="57" t="s">
        <v>2481</v>
      </c>
      <c r="N117" s="56" t="s">
        <v>2335</v>
      </c>
      <c r="O117" s="98" t="s">
        <v>3645</v>
      </c>
      <c r="P117" s="57" t="str">
        <f t="shared" si="19"/>
        <v>제03편 제1심 소송절차&gt;04&gt;3&gt;기출</v>
      </c>
      <c r="Q117" s="57" t="str">
        <f t="shared" si="20"/>
        <v>제06장 변론&gt;01&gt;3&gt;기출</v>
      </c>
      <c r="R117" s="57" t="str">
        <f t="shared" si="21"/>
        <v>제06장 변론&gt;제07절 기일・기간 및 송달&gt;01</v>
      </c>
      <c r="S117" s="57" t="str">
        <f t="shared" si="22"/>
        <v>기출&gt;2024&gt;1</v>
      </c>
      <c r="T117" s="57" t="str">
        <f t="shared" si="23"/>
        <v>기출&gt;2024&gt;3</v>
      </c>
    </row>
    <row r="118" spans="2:20" ht="14.45" customHeight="1" x14ac:dyDescent="0.2">
      <c r="B118" s="24">
        <f t="shared" si="18"/>
        <v>115</v>
      </c>
      <c r="C118" s="108">
        <v>2025</v>
      </c>
      <c r="D118" s="18" t="s">
        <v>1281</v>
      </c>
      <c r="E118" s="18" t="s">
        <v>1282</v>
      </c>
      <c r="F118" s="19" t="s">
        <v>2579</v>
      </c>
      <c r="G118" s="60" t="s">
        <v>1283</v>
      </c>
      <c r="H118" s="19" t="s">
        <v>3465</v>
      </c>
      <c r="I118" s="18" t="s">
        <v>1283</v>
      </c>
      <c r="J118" s="20" t="s">
        <v>1668</v>
      </c>
      <c r="K118" s="18" t="s">
        <v>1283</v>
      </c>
      <c r="L118" s="19" t="s">
        <v>2467</v>
      </c>
      <c r="M118" s="57" t="s">
        <v>2469</v>
      </c>
      <c r="N118" s="56" t="s">
        <v>2335</v>
      </c>
      <c r="O118" s="98"/>
      <c r="P118" s="57" t="str">
        <f t="shared" si="19"/>
        <v>제03편 제1심 소송절차&gt;01&gt;1-1&gt;기출</v>
      </c>
      <c r="Q118" s="57" t="str">
        <f t="shared" si="20"/>
        <v>제07장 증거&gt;01&gt;1-1&gt;기출</v>
      </c>
      <c r="R118" s="57" t="str">
        <f t="shared" si="21"/>
        <v>제07장 증거&gt;제01절 증거의 총설&gt;01</v>
      </c>
      <c r="S118" s="57" t="str">
        <f t="shared" si="22"/>
        <v>기출&gt;2025&gt;5</v>
      </c>
      <c r="T118" s="57" t="str">
        <f t="shared" si="23"/>
        <v>기출&gt;2025&gt;1-1</v>
      </c>
    </row>
    <row r="119" spans="2:20" ht="14.45" customHeight="1" x14ac:dyDescent="0.2">
      <c r="B119" s="24">
        <f t="shared" si="18"/>
        <v>116</v>
      </c>
      <c r="C119" s="108">
        <v>2025</v>
      </c>
      <c r="D119" s="18" t="s">
        <v>1281</v>
      </c>
      <c r="E119" s="18" t="s">
        <v>1284</v>
      </c>
      <c r="F119" s="19" t="s">
        <v>2579</v>
      </c>
      <c r="G119" s="60" t="s">
        <v>1295</v>
      </c>
      <c r="H119" s="19" t="s">
        <v>2528</v>
      </c>
      <c r="I119" s="18" t="s">
        <v>1295</v>
      </c>
      <c r="J119" s="20" t="s">
        <v>1285</v>
      </c>
      <c r="K119" s="18" t="s">
        <v>1283</v>
      </c>
      <c r="L119" s="19" t="s">
        <v>2467</v>
      </c>
      <c r="M119" s="57" t="s">
        <v>2469</v>
      </c>
      <c r="N119" s="56" t="s">
        <v>2335</v>
      </c>
      <c r="O119" s="98"/>
      <c r="P119" s="57" t="str">
        <f t="shared" si="19"/>
        <v>제03편 제1심 소송절차&gt;02&gt;1-1&gt;기출</v>
      </c>
      <c r="Q119" s="57" t="str">
        <f t="shared" si="20"/>
        <v>제07장 증거&gt;02&gt;1-1&gt;기출</v>
      </c>
      <c r="R119" s="57" t="str">
        <f t="shared" si="21"/>
        <v>제07장 증거&gt;제06절 증명책임&gt;01</v>
      </c>
      <c r="S119" s="57" t="str">
        <f t="shared" si="22"/>
        <v>기출&gt;2025&gt;4</v>
      </c>
      <c r="T119" s="57" t="str">
        <f t="shared" si="23"/>
        <v>기출&gt;2025&gt;1-1</v>
      </c>
    </row>
    <row r="120" spans="2:20" ht="14.45" customHeight="1" x14ac:dyDescent="0.2">
      <c r="B120" s="24">
        <f t="shared" si="18"/>
        <v>117</v>
      </c>
      <c r="C120" s="108">
        <v>2025</v>
      </c>
      <c r="D120" s="18" t="s">
        <v>1286</v>
      </c>
      <c r="E120" s="18" t="s">
        <v>1287</v>
      </c>
      <c r="F120" s="19" t="s">
        <v>2535</v>
      </c>
      <c r="G120" s="60" t="s">
        <v>2582</v>
      </c>
      <c r="H120" s="19" t="s">
        <v>3468</v>
      </c>
      <c r="I120" s="18" t="s">
        <v>1283</v>
      </c>
      <c r="J120" s="20" t="s">
        <v>1288</v>
      </c>
      <c r="K120" s="18" t="s">
        <v>1283</v>
      </c>
      <c r="L120" s="19" t="s">
        <v>2460</v>
      </c>
      <c r="M120" s="57" t="s">
        <v>2511</v>
      </c>
      <c r="N120" s="56" t="s">
        <v>2335</v>
      </c>
      <c r="O120" s="98"/>
      <c r="P120" s="57" t="str">
        <f t="shared" si="19"/>
        <v>제05편 병합소송&gt;01&gt;1-2&gt;기출</v>
      </c>
      <c r="Q120" s="57" t="str">
        <f t="shared" si="20"/>
        <v>제11장 병합청구소송&gt;01&gt;1-2&gt;기출</v>
      </c>
      <c r="R120" s="57" t="str">
        <f t="shared" si="21"/>
        <v>제11장 병합청구소송&gt;제01절 청구의 원시적 병합&gt;01</v>
      </c>
      <c r="S120" s="57" t="str">
        <f t="shared" si="22"/>
        <v>기출&gt;2025&gt;3</v>
      </c>
      <c r="T120" s="57" t="str">
        <f t="shared" si="23"/>
        <v>기출&gt;2025&gt;1-2</v>
      </c>
    </row>
    <row r="121" spans="2:20" ht="14.45" customHeight="1" x14ac:dyDescent="0.2">
      <c r="B121" s="24">
        <f t="shared" si="18"/>
        <v>118</v>
      </c>
      <c r="C121" s="108">
        <v>2025</v>
      </c>
      <c r="D121" s="18" t="s">
        <v>1289</v>
      </c>
      <c r="E121" s="18" t="s">
        <v>1289</v>
      </c>
      <c r="F121" s="19" t="s">
        <v>2579</v>
      </c>
      <c r="G121" s="60" t="s">
        <v>1305</v>
      </c>
      <c r="H121" s="19" t="s">
        <v>3463</v>
      </c>
      <c r="I121" s="18" t="s">
        <v>1283</v>
      </c>
      <c r="J121" s="20" t="s">
        <v>1290</v>
      </c>
      <c r="K121" s="18" t="s">
        <v>1283</v>
      </c>
      <c r="L121" s="19" t="s">
        <v>2443</v>
      </c>
      <c r="M121" s="57" t="s">
        <v>2442</v>
      </c>
      <c r="N121" s="56" t="s">
        <v>2335</v>
      </c>
      <c r="O121" s="98" t="s">
        <v>3645</v>
      </c>
      <c r="P121" s="57" t="str">
        <f t="shared" si="19"/>
        <v>제03편 제1심 소송절차&gt;03&gt;2&gt;기출</v>
      </c>
      <c r="Q121" s="57" t="str">
        <f t="shared" si="20"/>
        <v>제05장 소송 개시와 심리 대상&gt;01&gt;2&gt;기출</v>
      </c>
      <c r="R121" s="57" t="str">
        <f t="shared" si="21"/>
        <v>제05장 소송 개시와 심리 대상&gt;제03절 소의 이익&gt;01</v>
      </c>
      <c r="S121" s="57" t="str">
        <f t="shared" si="22"/>
        <v>기출&gt;2025&gt;2</v>
      </c>
      <c r="T121" s="57" t="str">
        <f t="shared" si="23"/>
        <v>기출&gt;2025&gt;2</v>
      </c>
    </row>
    <row r="122" spans="2:20" ht="14.45" customHeight="1" x14ac:dyDescent="0.2">
      <c r="B122" s="24">
        <f t="shared" si="18"/>
        <v>119</v>
      </c>
      <c r="C122" s="108">
        <v>2025</v>
      </c>
      <c r="D122" s="18" t="s">
        <v>1287</v>
      </c>
      <c r="E122" s="18" t="s">
        <v>1291</v>
      </c>
      <c r="F122" s="19" t="s">
        <v>2534</v>
      </c>
      <c r="G122" s="58" t="s">
        <v>2566</v>
      </c>
      <c r="H122" s="19" t="s">
        <v>3466</v>
      </c>
      <c r="I122" s="18" t="s">
        <v>1283</v>
      </c>
      <c r="J122" s="20" t="s">
        <v>1292</v>
      </c>
      <c r="K122" s="18" t="s">
        <v>1283</v>
      </c>
      <c r="L122" s="19" t="s">
        <v>2491</v>
      </c>
      <c r="M122" s="57" t="s">
        <v>2490</v>
      </c>
      <c r="N122" s="56" t="s">
        <v>2335</v>
      </c>
      <c r="O122" s="98" t="s">
        <v>3645</v>
      </c>
      <c r="P122" s="57" t="str">
        <f t="shared" si="19"/>
        <v>제04편 소송의 종료&gt;01&gt;3&gt;기출</v>
      </c>
      <c r="Q122" s="57" t="str">
        <f t="shared" si="20"/>
        <v>제09장 당사자 행위에 의한 종료&gt;01&gt;3&gt;기출</v>
      </c>
      <c r="R122" s="57" t="str">
        <f t="shared" si="21"/>
        <v>제09장 당사자 행위에 의한 종료&gt;제01절 소의 취하와 재소금지&gt;01</v>
      </c>
      <c r="S122" s="57" t="str">
        <f t="shared" si="22"/>
        <v>기출&gt;2025&gt;1</v>
      </c>
      <c r="T122" s="57" t="str">
        <f t="shared" si="23"/>
        <v>기출&gt;2025&gt;3</v>
      </c>
    </row>
  </sheetData>
  <autoFilter ref="B3:T122" xr:uid="{E508C2F3-8FCF-448B-9119-1B2084C994AA}">
    <filterColumn colId="2" showButton="0"/>
    <filterColumn colId="4" showButton="0"/>
    <filterColumn colId="6" showButton="0"/>
    <filterColumn colId="8" showButton="0"/>
    <sortState xmlns:xlrd2="http://schemas.microsoft.com/office/spreadsheetml/2017/richdata2" ref="B58:T122">
      <sortCondition ref="T3:T122"/>
    </sortState>
  </autoFilter>
  <mergeCells count="7">
    <mergeCell ref="P2:T2"/>
    <mergeCell ref="J3:K3"/>
    <mergeCell ref="F2:K2"/>
    <mergeCell ref="D2:E2"/>
    <mergeCell ref="D3:E3"/>
    <mergeCell ref="H3:I3"/>
    <mergeCell ref="F3:G3"/>
  </mergeCells>
  <phoneticPr fontId="3" type="noConversion"/>
  <conditionalFormatting sqref="B4:T122">
    <cfRule type="expression" dxfId="1" priority="1">
      <formula>CELL("ROW")=ROW()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AC6D25-28DA-469F-8AA5-9FBA38CDD426}">
  <sheetPr codeName="Sheet13" filterMode="1">
    <pageSetUpPr fitToPage="1"/>
  </sheetPr>
  <dimension ref="B1:O584"/>
  <sheetViews>
    <sheetView showGridLines="0" tabSelected="1" zoomScaleNormal="100" workbookViewId="0">
      <pane ySplit="3" topLeftCell="A4" activePane="bottomLeft" state="frozen"/>
      <selection pane="bottomLeft" activeCell="H22" sqref="H22"/>
    </sheetView>
  </sheetViews>
  <sheetFormatPr defaultRowHeight="14.45" customHeight="1" x14ac:dyDescent="0.2"/>
  <cols>
    <col min="1" max="1" width="1.7109375" style="1" customWidth="1"/>
    <col min="2" max="2" width="20.7109375" style="1" customWidth="1"/>
    <col min="3" max="3" width="27.7109375" style="1" customWidth="1"/>
    <col min="4" max="4" width="36.7109375" style="1" customWidth="1"/>
    <col min="5" max="5" width="4.7109375" style="1" customWidth="1"/>
    <col min="6" max="6" width="44" style="1" customWidth="1"/>
    <col min="7" max="7" width="3.28515625" style="1" customWidth="1"/>
    <col min="8" max="8" width="90.7109375" style="1" customWidth="1"/>
    <col min="9" max="9" width="4.42578125" style="3" customWidth="1"/>
    <col min="10" max="10" width="7.28515625" style="3" customWidth="1"/>
    <col min="11" max="11" width="4.28515625" style="2" customWidth="1"/>
    <col min="12" max="12" width="14.7109375" style="2" customWidth="1"/>
    <col min="13" max="13" width="6.7109375" style="2" customWidth="1"/>
    <col min="14" max="15" width="5.7109375" style="2" customWidth="1"/>
    <col min="16" max="16384" width="9.140625" style="1"/>
  </cols>
  <sheetData>
    <row r="1" spans="2:15" ht="14.45" customHeight="1" thickBot="1" x14ac:dyDescent="0.25">
      <c r="K1" s="3"/>
      <c r="L1" s="3"/>
      <c r="M1" s="3"/>
      <c r="N1" s="3"/>
      <c r="O1" s="3"/>
    </row>
    <row r="2" spans="2:15" ht="14.45" customHeight="1" x14ac:dyDescent="0.2">
      <c r="B2" s="267" t="s">
        <v>2</v>
      </c>
      <c r="C2" s="268"/>
      <c r="D2" s="269"/>
      <c r="E2" s="270" t="s">
        <v>5</v>
      </c>
      <c r="F2" s="271"/>
      <c r="G2" s="271"/>
      <c r="H2" s="272"/>
      <c r="I2" s="273" t="s">
        <v>240</v>
      </c>
      <c r="J2" s="274"/>
      <c r="K2" s="252" t="s">
        <v>2512</v>
      </c>
      <c r="L2" s="252" t="s">
        <v>1277</v>
      </c>
      <c r="M2" s="252" t="s">
        <v>3644</v>
      </c>
      <c r="N2" s="267" t="s">
        <v>2517</v>
      </c>
      <c r="O2" s="275"/>
    </row>
    <row r="3" spans="2:15" ht="14.45" customHeight="1" thickBot="1" x14ac:dyDescent="0.25">
      <c r="B3" s="253" t="s">
        <v>1514</v>
      </c>
      <c r="C3" s="253" t="s">
        <v>0</v>
      </c>
      <c r="D3" s="254" t="s">
        <v>1</v>
      </c>
      <c r="E3" s="253" t="s">
        <v>6</v>
      </c>
      <c r="F3" s="36" t="s">
        <v>1549</v>
      </c>
      <c r="G3" s="254"/>
      <c r="H3" s="255" t="s">
        <v>1550</v>
      </c>
      <c r="I3" s="256" t="s">
        <v>2331</v>
      </c>
      <c r="J3" s="255" t="s">
        <v>241</v>
      </c>
      <c r="K3" s="257"/>
      <c r="L3" s="257"/>
      <c r="M3" s="258"/>
      <c r="N3" s="253" t="s">
        <v>8</v>
      </c>
      <c r="O3" s="255" t="s">
        <v>9</v>
      </c>
    </row>
    <row r="4" spans="2:15" ht="14.45" customHeight="1" x14ac:dyDescent="0.2">
      <c r="B4" s="61" t="s">
        <v>2600</v>
      </c>
      <c r="C4" s="64" t="s">
        <v>2519</v>
      </c>
      <c r="D4" s="84" t="s">
        <v>3498</v>
      </c>
      <c r="E4" s="137" t="s">
        <v>7</v>
      </c>
      <c r="F4" s="138" t="s">
        <v>70</v>
      </c>
      <c r="G4" s="293" t="s">
        <v>2566</v>
      </c>
      <c r="H4" s="139" t="s">
        <v>2221</v>
      </c>
      <c r="I4" s="140" t="s">
        <v>2224</v>
      </c>
      <c r="J4" s="141">
        <v>3416</v>
      </c>
      <c r="K4" s="244" t="s">
        <v>2595</v>
      </c>
      <c r="L4" s="169"/>
      <c r="M4" s="244" t="str">
        <f>B4&amp;"-"&amp;C4&amp;"-"&amp;D4&amp;"-"&amp;G4</f>
        <v>제1편 총설-제01장 민사소송-제01절 민사소송의 개관-01</v>
      </c>
      <c r="N4" s="209"/>
      <c r="O4" s="259"/>
    </row>
    <row r="5" spans="2:15" ht="14.45" customHeight="1" x14ac:dyDescent="0.2">
      <c r="B5" s="80" t="s">
        <v>2538</v>
      </c>
      <c r="C5" s="85" t="s">
        <v>2518</v>
      </c>
      <c r="D5" s="89" t="s">
        <v>3498</v>
      </c>
      <c r="E5" s="213" t="s">
        <v>2426</v>
      </c>
      <c r="F5" s="214" t="s">
        <v>3549</v>
      </c>
      <c r="G5" s="290" t="s">
        <v>2567</v>
      </c>
      <c r="H5" s="215" t="s">
        <v>242</v>
      </c>
      <c r="I5" s="216" t="s">
        <v>2303</v>
      </c>
      <c r="J5" s="217">
        <v>1517</v>
      </c>
      <c r="K5" s="245" t="s">
        <v>2595</v>
      </c>
      <c r="L5" s="219"/>
      <c r="M5" s="245" t="str">
        <f t="shared" ref="M5:M68" si="0">B5&amp;"-"&amp;C5&amp;"-"&amp;D5&amp;"-"&amp;G5</f>
        <v>제1편 총설-제01장 민사소송-제01절 민사소송의 개관-02</v>
      </c>
      <c r="N5" s="218"/>
      <c r="O5" s="260"/>
    </row>
    <row r="6" spans="2:15" ht="14.45" customHeight="1" x14ac:dyDescent="0.2">
      <c r="B6" s="80" t="s">
        <v>2538</v>
      </c>
      <c r="C6" s="85" t="s">
        <v>2518</v>
      </c>
      <c r="D6" s="32" t="s">
        <v>3473</v>
      </c>
      <c r="E6" s="220" t="s">
        <v>7</v>
      </c>
      <c r="F6" s="221" t="s">
        <v>70</v>
      </c>
      <c r="G6" s="294" t="s">
        <v>2566</v>
      </c>
      <c r="H6" s="222" t="s">
        <v>3472</v>
      </c>
      <c r="I6" s="223" t="s">
        <v>2225</v>
      </c>
      <c r="J6" s="224">
        <v>2369</v>
      </c>
      <c r="K6" s="246" t="s">
        <v>2595</v>
      </c>
      <c r="L6" s="226"/>
      <c r="M6" s="246" t="str">
        <f t="shared" si="0"/>
        <v>제1편 총설-제01장 민사소송-제02절 민사소송의 의의와 목적-01</v>
      </c>
      <c r="N6" s="225"/>
      <c r="O6" s="261"/>
    </row>
    <row r="7" spans="2:15" ht="14.45" customHeight="1" x14ac:dyDescent="0.2">
      <c r="B7" s="80" t="s">
        <v>2538</v>
      </c>
      <c r="C7" s="85" t="s">
        <v>2518</v>
      </c>
      <c r="D7" s="83" t="s">
        <v>3414</v>
      </c>
      <c r="E7" s="143" t="s">
        <v>7</v>
      </c>
      <c r="F7" s="144" t="s">
        <v>70</v>
      </c>
      <c r="G7" s="295" t="s">
        <v>2566</v>
      </c>
      <c r="H7" s="145" t="s">
        <v>88</v>
      </c>
      <c r="I7" s="146" t="s">
        <v>2226</v>
      </c>
      <c r="J7" s="147">
        <v>2671</v>
      </c>
      <c r="K7" s="247" t="s">
        <v>2595</v>
      </c>
      <c r="L7" s="168"/>
      <c r="M7" s="247" t="str">
        <f t="shared" si="0"/>
        <v>제1편 총설-제01장 민사소송-제03절 민사소송의 이상과 신의성실의 원칙-01</v>
      </c>
      <c r="N7" s="210"/>
      <c r="O7" s="262"/>
    </row>
    <row r="8" spans="2:15" ht="14.45" customHeight="1" x14ac:dyDescent="0.2">
      <c r="B8" s="80" t="s">
        <v>2538</v>
      </c>
      <c r="C8" s="85" t="s">
        <v>2518</v>
      </c>
      <c r="D8" s="90" t="s">
        <v>3414</v>
      </c>
      <c r="E8" s="148" t="s">
        <v>2425</v>
      </c>
      <c r="F8" s="149" t="s">
        <v>2306</v>
      </c>
      <c r="G8" s="291" t="s">
        <v>2567</v>
      </c>
      <c r="H8" s="150" t="s">
        <v>145</v>
      </c>
      <c r="I8" s="151" t="s">
        <v>2164</v>
      </c>
      <c r="J8" s="152">
        <v>1492</v>
      </c>
      <c r="K8" s="248" t="s">
        <v>2595</v>
      </c>
      <c r="L8" s="153"/>
      <c r="M8" s="248" t="str">
        <f t="shared" si="0"/>
        <v>제1편 총설-제01장 민사소송-제03절 민사소송의 이상과 신의성실의 원칙-02</v>
      </c>
      <c r="N8" s="211"/>
      <c r="O8" s="263">
        <v>46206</v>
      </c>
    </row>
    <row r="9" spans="2:15" ht="14.45" customHeight="1" thickBot="1" x14ac:dyDescent="0.25">
      <c r="B9" s="80" t="s">
        <v>2538</v>
      </c>
      <c r="C9" s="85" t="s">
        <v>2518</v>
      </c>
      <c r="D9" s="90" t="s">
        <v>3414</v>
      </c>
      <c r="E9" s="148" t="s">
        <v>2426</v>
      </c>
      <c r="F9" s="149" t="s">
        <v>3542</v>
      </c>
      <c r="G9" s="291" t="s">
        <v>2568</v>
      </c>
      <c r="H9" s="150" t="s">
        <v>3588</v>
      </c>
      <c r="I9" s="151" t="s">
        <v>3589</v>
      </c>
      <c r="J9" s="152">
        <v>1234</v>
      </c>
      <c r="K9" s="248" t="s">
        <v>2593</v>
      </c>
      <c r="L9" s="153" t="s">
        <v>3645</v>
      </c>
      <c r="M9" s="248" t="str">
        <f t="shared" si="0"/>
        <v>제1편 총설-제01장 민사소송-제03절 민사소송의 이상과 신의성실의 원칙-03</v>
      </c>
      <c r="N9" s="211"/>
      <c r="O9" s="263">
        <v>46211</v>
      </c>
    </row>
    <row r="10" spans="2:15" ht="14.45" hidden="1" customHeight="1" x14ac:dyDescent="0.25">
      <c r="B10" s="80" t="s">
        <v>2538</v>
      </c>
      <c r="C10" s="85" t="s">
        <v>2518</v>
      </c>
      <c r="D10" s="90" t="s">
        <v>3414</v>
      </c>
      <c r="E10" s="148" t="s">
        <v>1553</v>
      </c>
      <c r="F10" s="149" t="s">
        <v>3700</v>
      </c>
      <c r="G10" s="291" t="s">
        <v>2569</v>
      </c>
      <c r="H10" s="150" t="s">
        <v>3001</v>
      </c>
      <c r="I10" s="151" t="s">
        <v>2605</v>
      </c>
      <c r="J10" s="152">
        <v>267</v>
      </c>
      <c r="K10" s="248" t="s">
        <v>2595</v>
      </c>
      <c r="L10" s="153"/>
      <c r="M10" s="248" t="str">
        <f t="shared" si="0"/>
        <v>제1편 총설-제01장 민사소송-제03절 민사소송의 이상과 신의성실의 원칙-04</v>
      </c>
      <c r="N10" s="211"/>
      <c r="O10" s="263"/>
    </row>
    <row r="11" spans="2:15" ht="14.45" hidden="1" customHeight="1" x14ac:dyDescent="0.25">
      <c r="B11" s="80" t="s">
        <v>2538</v>
      </c>
      <c r="C11" s="85" t="s">
        <v>2518</v>
      </c>
      <c r="D11" s="90" t="s">
        <v>3414</v>
      </c>
      <c r="E11" s="148" t="s">
        <v>1553</v>
      </c>
      <c r="F11" s="149" t="s">
        <v>3701</v>
      </c>
      <c r="G11" s="291" t="s">
        <v>3646</v>
      </c>
      <c r="H11" s="150" t="s">
        <v>3002</v>
      </c>
      <c r="I11" s="151" t="s">
        <v>2606</v>
      </c>
      <c r="J11" s="152">
        <v>260</v>
      </c>
      <c r="K11" s="248" t="s">
        <v>2595</v>
      </c>
      <c r="L11" s="153"/>
      <c r="M11" s="248" t="str">
        <f t="shared" si="0"/>
        <v>제1편 총설-제01장 민사소송-제03절 민사소송의 이상과 신의성실의 원칙-05</v>
      </c>
      <c r="N11" s="211"/>
      <c r="O11" s="263"/>
    </row>
    <row r="12" spans="2:15" ht="14.45" hidden="1" customHeight="1" x14ac:dyDescent="0.25">
      <c r="B12" s="80" t="s">
        <v>2538</v>
      </c>
      <c r="C12" s="85" t="s">
        <v>2518</v>
      </c>
      <c r="D12" s="90" t="s">
        <v>3414</v>
      </c>
      <c r="E12" s="148" t="s">
        <v>1553</v>
      </c>
      <c r="F12" s="149" t="s">
        <v>3702</v>
      </c>
      <c r="G12" s="291" t="s">
        <v>3647</v>
      </c>
      <c r="H12" s="150" t="s">
        <v>3003</v>
      </c>
      <c r="I12" s="151" t="s">
        <v>2607</v>
      </c>
      <c r="J12" s="152">
        <v>333</v>
      </c>
      <c r="K12" s="248" t="s">
        <v>2595</v>
      </c>
      <c r="L12" s="153"/>
      <c r="M12" s="248" t="str">
        <f t="shared" si="0"/>
        <v>제1편 총설-제01장 민사소송-제03절 민사소송의 이상과 신의성실의 원칙-06</v>
      </c>
      <c r="N12" s="211"/>
      <c r="O12" s="263"/>
    </row>
    <row r="13" spans="2:15" ht="14.45" hidden="1" customHeight="1" x14ac:dyDescent="0.25">
      <c r="B13" s="80" t="s">
        <v>2538</v>
      </c>
      <c r="C13" s="85" t="s">
        <v>2518</v>
      </c>
      <c r="D13" s="90" t="s">
        <v>3414</v>
      </c>
      <c r="E13" s="148" t="s">
        <v>1553</v>
      </c>
      <c r="F13" s="149" t="s">
        <v>3703</v>
      </c>
      <c r="G13" s="291" t="s">
        <v>3648</v>
      </c>
      <c r="H13" s="150" t="s">
        <v>3004</v>
      </c>
      <c r="I13" s="151" t="s">
        <v>2608</v>
      </c>
      <c r="J13" s="152">
        <v>245</v>
      </c>
      <c r="K13" s="248" t="s">
        <v>2595</v>
      </c>
      <c r="L13" s="153"/>
      <c r="M13" s="248" t="str">
        <f t="shared" si="0"/>
        <v>제1편 총설-제01장 민사소송-제03절 민사소송의 이상과 신의성실의 원칙-07</v>
      </c>
      <c r="N13" s="211"/>
      <c r="O13" s="263"/>
    </row>
    <row r="14" spans="2:15" ht="14.45" hidden="1" customHeight="1" x14ac:dyDescent="0.25">
      <c r="B14" s="80" t="s">
        <v>2538</v>
      </c>
      <c r="C14" s="85" t="s">
        <v>2518</v>
      </c>
      <c r="D14" s="90" t="s">
        <v>3414</v>
      </c>
      <c r="E14" s="148" t="s">
        <v>1553</v>
      </c>
      <c r="F14" s="149" t="s">
        <v>3704</v>
      </c>
      <c r="G14" s="291" t="s">
        <v>3649</v>
      </c>
      <c r="H14" s="150" t="s">
        <v>3005</v>
      </c>
      <c r="I14" s="151" t="s">
        <v>2609</v>
      </c>
      <c r="J14" s="152">
        <v>543</v>
      </c>
      <c r="K14" s="248" t="s">
        <v>2595</v>
      </c>
      <c r="L14" s="153"/>
      <c r="M14" s="248" t="str">
        <f t="shared" si="0"/>
        <v>제1편 총설-제01장 민사소송-제03절 민사소송의 이상과 신의성실의 원칙-08</v>
      </c>
      <c r="N14" s="211"/>
      <c r="O14" s="263"/>
    </row>
    <row r="15" spans="2:15" ht="14.45" hidden="1" customHeight="1" x14ac:dyDescent="0.25">
      <c r="B15" s="80" t="s">
        <v>2538</v>
      </c>
      <c r="C15" s="85" t="s">
        <v>2518</v>
      </c>
      <c r="D15" s="90" t="s">
        <v>3414</v>
      </c>
      <c r="E15" s="148" t="s">
        <v>1553</v>
      </c>
      <c r="F15" s="149" t="s">
        <v>3705</v>
      </c>
      <c r="G15" s="291" t="s">
        <v>3650</v>
      </c>
      <c r="H15" s="150" t="s">
        <v>3006</v>
      </c>
      <c r="I15" s="151" t="s">
        <v>2610</v>
      </c>
      <c r="J15" s="152">
        <v>293</v>
      </c>
      <c r="K15" s="248" t="s">
        <v>2595</v>
      </c>
      <c r="L15" s="153"/>
      <c r="M15" s="248" t="str">
        <f t="shared" si="0"/>
        <v>제1편 총설-제01장 민사소송-제03절 민사소송의 이상과 신의성실의 원칙-09</v>
      </c>
      <c r="N15" s="211"/>
      <c r="O15" s="263"/>
    </row>
    <row r="16" spans="2:15" ht="14.45" hidden="1" customHeight="1" x14ac:dyDescent="0.25">
      <c r="B16" s="80" t="s">
        <v>2538</v>
      </c>
      <c r="C16" s="85" t="s">
        <v>2518</v>
      </c>
      <c r="D16" s="90" t="s">
        <v>3414</v>
      </c>
      <c r="E16" s="148" t="s">
        <v>1553</v>
      </c>
      <c r="F16" s="149" t="s">
        <v>3706</v>
      </c>
      <c r="G16" s="291" t="s">
        <v>3651</v>
      </c>
      <c r="H16" s="150" t="s">
        <v>3007</v>
      </c>
      <c r="I16" s="151" t="s">
        <v>2611</v>
      </c>
      <c r="J16" s="152">
        <v>308</v>
      </c>
      <c r="K16" s="248" t="s">
        <v>2593</v>
      </c>
      <c r="L16" s="153"/>
      <c r="M16" s="248" t="str">
        <f t="shared" si="0"/>
        <v>제1편 총설-제01장 민사소송-제03절 민사소송의 이상과 신의성실의 원칙-10</v>
      </c>
      <c r="N16" s="211"/>
      <c r="O16" s="263"/>
    </row>
    <row r="17" spans="2:15" ht="14.45" hidden="1" customHeight="1" x14ac:dyDescent="0.25">
      <c r="B17" s="80" t="s">
        <v>2538</v>
      </c>
      <c r="C17" s="85" t="s">
        <v>2518</v>
      </c>
      <c r="D17" s="90" t="s">
        <v>3414</v>
      </c>
      <c r="E17" s="148" t="s">
        <v>1553</v>
      </c>
      <c r="F17" s="149" t="s">
        <v>3707</v>
      </c>
      <c r="G17" s="291" t="s">
        <v>3652</v>
      </c>
      <c r="H17" s="150" t="s">
        <v>3008</v>
      </c>
      <c r="I17" s="151" t="s">
        <v>2612</v>
      </c>
      <c r="J17" s="152">
        <v>381</v>
      </c>
      <c r="K17" s="248" t="s">
        <v>2595</v>
      </c>
      <c r="L17" s="153"/>
      <c r="M17" s="248" t="str">
        <f t="shared" si="0"/>
        <v>제1편 총설-제01장 민사소송-제03절 민사소송의 이상과 신의성실의 원칙-11</v>
      </c>
      <c r="N17" s="211"/>
      <c r="O17" s="263"/>
    </row>
    <row r="18" spans="2:15" ht="14.45" hidden="1" customHeight="1" thickBot="1" x14ac:dyDescent="0.25">
      <c r="B18" s="80" t="s">
        <v>2538</v>
      </c>
      <c r="C18" s="86" t="s">
        <v>2518</v>
      </c>
      <c r="D18" s="91" t="s">
        <v>3414</v>
      </c>
      <c r="E18" s="154" t="s">
        <v>1553</v>
      </c>
      <c r="F18" s="155" t="s">
        <v>3708</v>
      </c>
      <c r="G18" s="292" t="s">
        <v>3653</v>
      </c>
      <c r="H18" s="156" t="s">
        <v>3009</v>
      </c>
      <c r="I18" s="157" t="s">
        <v>2613</v>
      </c>
      <c r="J18" s="158">
        <v>174</v>
      </c>
      <c r="K18" s="249" t="s">
        <v>2595</v>
      </c>
      <c r="L18" s="170"/>
      <c r="M18" s="249" t="str">
        <f t="shared" si="0"/>
        <v>제1편 총설-제01장 민사소송-제03절 민사소송의 이상과 신의성실의 원칙-12</v>
      </c>
      <c r="N18" s="212"/>
      <c r="O18" s="264"/>
    </row>
    <row r="19" spans="2:15" ht="14.45" customHeight="1" x14ac:dyDescent="0.2">
      <c r="B19" s="80" t="s">
        <v>2538</v>
      </c>
      <c r="C19" s="64" t="s">
        <v>2521</v>
      </c>
      <c r="D19" s="227" t="s">
        <v>3475</v>
      </c>
      <c r="E19" s="228" t="s">
        <v>7</v>
      </c>
      <c r="F19" s="229" t="s">
        <v>71</v>
      </c>
      <c r="G19" s="296" t="s">
        <v>2566</v>
      </c>
      <c r="H19" s="230" t="s">
        <v>89</v>
      </c>
      <c r="I19" s="231" t="s">
        <v>2227</v>
      </c>
      <c r="J19" s="232">
        <v>2021</v>
      </c>
      <c r="K19" s="250" t="s">
        <v>2595</v>
      </c>
      <c r="L19" s="234"/>
      <c r="M19" s="250" t="str">
        <f t="shared" si="0"/>
        <v>제1편 총설-제02장 민사소송법-제01절 민사소송법의 의의와 성격-01</v>
      </c>
      <c r="N19" s="233"/>
      <c r="O19" s="265"/>
    </row>
    <row r="20" spans="2:15" ht="14.45" customHeight="1" thickBot="1" x14ac:dyDescent="0.25">
      <c r="B20" s="81" t="s">
        <v>2538</v>
      </c>
      <c r="C20" s="172" t="s">
        <v>2520</v>
      </c>
      <c r="D20" s="33" t="s">
        <v>3477</v>
      </c>
      <c r="E20" s="237" t="s">
        <v>7</v>
      </c>
      <c r="F20" s="238" t="s">
        <v>71</v>
      </c>
      <c r="G20" s="297" t="s">
        <v>2566</v>
      </c>
      <c r="H20" s="239" t="s">
        <v>90</v>
      </c>
      <c r="I20" s="240" t="s">
        <v>2228</v>
      </c>
      <c r="J20" s="241">
        <v>1815</v>
      </c>
      <c r="K20" s="251" t="s">
        <v>2595</v>
      </c>
      <c r="L20" s="243"/>
      <c r="M20" s="251" t="str">
        <f t="shared" si="0"/>
        <v>제1편 총설-제02장 민사소송법-제02절 민사소송법규의 종류-01</v>
      </c>
      <c r="N20" s="242"/>
      <c r="O20" s="266"/>
    </row>
    <row r="21" spans="2:15" ht="14.45" customHeight="1" x14ac:dyDescent="0.2">
      <c r="B21" s="61" t="s">
        <v>2601</v>
      </c>
      <c r="C21" s="64" t="s">
        <v>2523</v>
      </c>
      <c r="D21" s="227" t="s">
        <v>3479</v>
      </c>
      <c r="E21" s="228" t="s">
        <v>7</v>
      </c>
      <c r="F21" s="229" t="s">
        <v>72</v>
      </c>
      <c r="G21" s="296" t="s">
        <v>2566</v>
      </c>
      <c r="H21" s="230" t="s">
        <v>91</v>
      </c>
      <c r="I21" s="231" t="s">
        <v>2229</v>
      </c>
      <c r="J21" s="232">
        <v>2015</v>
      </c>
      <c r="K21" s="250" t="s">
        <v>2595</v>
      </c>
      <c r="L21" s="234"/>
      <c r="M21" s="250" t="str">
        <f t="shared" si="0"/>
        <v>제2편 소송의 주체-제03장 법원-제01절 민사재판권-01</v>
      </c>
      <c r="N21" s="233"/>
      <c r="O21" s="265"/>
    </row>
    <row r="22" spans="2:15" ht="14.45" customHeight="1" x14ac:dyDescent="0.2">
      <c r="B22" s="80" t="s">
        <v>2539</v>
      </c>
      <c r="C22" s="85" t="s">
        <v>2522</v>
      </c>
      <c r="D22" s="83" t="s">
        <v>1347</v>
      </c>
      <c r="E22" s="143" t="s">
        <v>7</v>
      </c>
      <c r="F22" s="144" t="s">
        <v>72</v>
      </c>
      <c r="G22" s="295" t="s">
        <v>2566</v>
      </c>
      <c r="H22" s="145" t="s">
        <v>92</v>
      </c>
      <c r="I22" s="146" t="s">
        <v>2230</v>
      </c>
      <c r="J22" s="147">
        <v>1927</v>
      </c>
      <c r="K22" s="247" t="s">
        <v>2595</v>
      </c>
      <c r="L22" s="168"/>
      <c r="M22" s="247" t="str">
        <f t="shared" si="0"/>
        <v>제2편 소송의 주체-제03장 법원-제02절 법관의 제척・기피・회피-01</v>
      </c>
      <c r="N22" s="210"/>
      <c r="O22" s="262"/>
    </row>
    <row r="23" spans="2:15" ht="14.45" customHeight="1" x14ac:dyDescent="0.2">
      <c r="B23" s="80" t="s">
        <v>2539</v>
      </c>
      <c r="C23" s="85" t="s">
        <v>2522</v>
      </c>
      <c r="D23" s="90" t="s">
        <v>1347</v>
      </c>
      <c r="E23" s="148" t="s">
        <v>2426</v>
      </c>
      <c r="F23" s="149" t="s">
        <v>3544</v>
      </c>
      <c r="G23" s="291" t="s">
        <v>2567</v>
      </c>
      <c r="H23" s="150" t="s">
        <v>2295</v>
      </c>
      <c r="I23" s="151" t="s">
        <v>2296</v>
      </c>
      <c r="J23" s="152">
        <v>1746</v>
      </c>
      <c r="K23" s="248" t="s">
        <v>2595</v>
      </c>
      <c r="L23" s="153"/>
      <c r="M23" s="248" t="str">
        <f t="shared" si="0"/>
        <v>제2편 소송의 주체-제03장 법원-제02절 법관의 제척・기피・회피-02</v>
      </c>
      <c r="N23" s="211"/>
      <c r="O23" s="263"/>
    </row>
    <row r="24" spans="2:15" ht="14.45" customHeight="1" x14ac:dyDescent="0.2">
      <c r="B24" s="80" t="s">
        <v>2539</v>
      </c>
      <c r="C24" s="85" t="s">
        <v>2522</v>
      </c>
      <c r="D24" s="90" t="s">
        <v>1347</v>
      </c>
      <c r="E24" s="148" t="s">
        <v>2426</v>
      </c>
      <c r="F24" s="149" t="s">
        <v>3545</v>
      </c>
      <c r="G24" s="291" t="s">
        <v>2568</v>
      </c>
      <c r="H24" s="150" t="s">
        <v>205</v>
      </c>
      <c r="I24" s="151" t="s">
        <v>2165</v>
      </c>
      <c r="J24" s="152">
        <v>1891</v>
      </c>
      <c r="K24" s="248" t="s">
        <v>2595</v>
      </c>
      <c r="L24" s="153"/>
      <c r="M24" s="248" t="str">
        <f t="shared" si="0"/>
        <v>제2편 소송의 주체-제03장 법원-제02절 법관의 제척・기피・회피-03</v>
      </c>
      <c r="N24" s="211"/>
      <c r="O24" s="263"/>
    </row>
    <row r="25" spans="2:15" ht="14.45" customHeight="1" x14ac:dyDescent="0.2">
      <c r="B25" s="80" t="s">
        <v>2539</v>
      </c>
      <c r="C25" s="85" t="s">
        <v>2522</v>
      </c>
      <c r="D25" s="90" t="s">
        <v>1347</v>
      </c>
      <c r="E25" s="148" t="s">
        <v>2426</v>
      </c>
      <c r="F25" s="149" t="s">
        <v>3546</v>
      </c>
      <c r="G25" s="291" t="s">
        <v>2569</v>
      </c>
      <c r="H25" s="150" t="s">
        <v>206</v>
      </c>
      <c r="I25" s="151" t="s">
        <v>2166</v>
      </c>
      <c r="J25" s="152">
        <v>1611</v>
      </c>
      <c r="K25" s="248" t="s">
        <v>2594</v>
      </c>
      <c r="L25" s="153"/>
      <c r="M25" s="248" t="str">
        <f t="shared" si="0"/>
        <v>제2편 소송의 주체-제03장 법원-제02절 법관의 제척・기피・회피-04</v>
      </c>
      <c r="N25" s="211"/>
      <c r="O25" s="263"/>
    </row>
    <row r="26" spans="2:15" ht="14.45" customHeight="1" x14ac:dyDescent="0.2">
      <c r="B26" s="80" t="s">
        <v>2539</v>
      </c>
      <c r="C26" s="85" t="s">
        <v>2522</v>
      </c>
      <c r="D26" s="90" t="s">
        <v>1347</v>
      </c>
      <c r="E26" s="148" t="s">
        <v>2426</v>
      </c>
      <c r="F26" s="149" t="s">
        <v>3543</v>
      </c>
      <c r="G26" s="291" t="s">
        <v>3646</v>
      </c>
      <c r="H26" s="150" t="s">
        <v>3572</v>
      </c>
      <c r="I26" s="151" t="s">
        <v>3580</v>
      </c>
      <c r="J26" s="152">
        <v>1679</v>
      </c>
      <c r="K26" s="248" t="s">
        <v>2593</v>
      </c>
      <c r="L26" s="153" t="s">
        <v>3645</v>
      </c>
      <c r="M26" s="248" t="str">
        <f t="shared" si="0"/>
        <v>제2편 소송의 주체-제03장 법원-제02절 법관의 제척・기피・회피-05</v>
      </c>
      <c r="N26" s="211"/>
      <c r="O26" s="263">
        <v>46211</v>
      </c>
    </row>
    <row r="27" spans="2:15" ht="14.45" hidden="1" customHeight="1" x14ac:dyDescent="0.2">
      <c r="B27" s="80" t="s">
        <v>2539</v>
      </c>
      <c r="C27" s="85" t="s">
        <v>2522</v>
      </c>
      <c r="D27" s="90" t="s">
        <v>1347</v>
      </c>
      <c r="E27" s="148" t="s">
        <v>1553</v>
      </c>
      <c r="F27" s="149" t="s">
        <v>3709</v>
      </c>
      <c r="G27" s="291" t="s">
        <v>3647</v>
      </c>
      <c r="H27" s="150" t="s">
        <v>3013</v>
      </c>
      <c r="I27" s="151" t="s">
        <v>2617</v>
      </c>
      <c r="J27" s="152">
        <v>730</v>
      </c>
      <c r="K27" s="248" t="s">
        <v>2595</v>
      </c>
      <c r="L27" s="153"/>
      <c r="M27" s="248" t="str">
        <f t="shared" si="0"/>
        <v>제2편 소송의 주체-제03장 법원-제02절 법관의 제척・기피・회피-06</v>
      </c>
      <c r="N27" s="211"/>
      <c r="O27" s="263"/>
    </row>
    <row r="28" spans="2:15" ht="14.45" hidden="1" customHeight="1" x14ac:dyDescent="0.2">
      <c r="B28" s="80" t="s">
        <v>2539</v>
      </c>
      <c r="C28" s="85" t="s">
        <v>2522</v>
      </c>
      <c r="D28" s="90" t="s">
        <v>1347</v>
      </c>
      <c r="E28" s="148" t="s">
        <v>1553</v>
      </c>
      <c r="F28" s="149" t="s">
        <v>3710</v>
      </c>
      <c r="G28" s="291" t="s">
        <v>3648</v>
      </c>
      <c r="H28" s="150" t="s">
        <v>3014</v>
      </c>
      <c r="I28" s="151" t="s">
        <v>2618</v>
      </c>
      <c r="J28" s="152">
        <v>221</v>
      </c>
      <c r="K28" s="248" t="s">
        <v>2595</v>
      </c>
      <c r="L28" s="153"/>
      <c r="M28" s="248" t="str">
        <f t="shared" si="0"/>
        <v>제2편 소송의 주체-제03장 법원-제02절 법관의 제척・기피・회피-07</v>
      </c>
      <c r="N28" s="211"/>
      <c r="O28" s="263"/>
    </row>
    <row r="29" spans="2:15" ht="14.45" hidden="1" customHeight="1" x14ac:dyDescent="0.2">
      <c r="B29" s="80" t="s">
        <v>2539</v>
      </c>
      <c r="C29" s="85" t="s">
        <v>2522</v>
      </c>
      <c r="D29" s="90" t="s">
        <v>1347</v>
      </c>
      <c r="E29" s="148" t="s">
        <v>1553</v>
      </c>
      <c r="F29" s="149" t="s">
        <v>3711</v>
      </c>
      <c r="G29" s="291" t="s">
        <v>3649</v>
      </c>
      <c r="H29" s="150" t="s">
        <v>3015</v>
      </c>
      <c r="I29" s="151" t="s">
        <v>2619</v>
      </c>
      <c r="J29" s="152">
        <v>261</v>
      </c>
      <c r="K29" s="248" t="s">
        <v>2595</v>
      </c>
      <c r="L29" s="153"/>
      <c r="M29" s="248" t="str">
        <f t="shared" si="0"/>
        <v>제2편 소송의 주체-제03장 법원-제02절 법관의 제척・기피・회피-08</v>
      </c>
      <c r="N29" s="211"/>
      <c r="O29" s="263"/>
    </row>
    <row r="30" spans="2:15" ht="14.45" hidden="1" customHeight="1" x14ac:dyDescent="0.2">
      <c r="B30" s="80" t="s">
        <v>2539</v>
      </c>
      <c r="C30" s="85" t="s">
        <v>2522</v>
      </c>
      <c r="D30" s="90" t="s">
        <v>1347</v>
      </c>
      <c r="E30" s="148" t="s">
        <v>1553</v>
      </c>
      <c r="F30" s="149" t="s">
        <v>3712</v>
      </c>
      <c r="G30" s="291" t="s">
        <v>3650</v>
      </c>
      <c r="H30" s="150" t="s">
        <v>3016</v>
      </c>
      <c r="I30" s="151" t="s">
        <v>2620</v>
      </c>
      <c r="J30" s="152">
        <v>645</v>
      </c>
      <c r="K30" s="248" t="s">
        <v>2593</v>
      </c>
      <c r="L30" s="153"/>
      <c r="M30" s="248" t="str">
        <f t="shared" si="0"/>
        <v>제2편 소송의 주체-제03장 법원-제02절 법관의 제척・기피・회피-09</v>
      </c>
      <c r="N30" s="211"/>
      <c r="O30" s="263"/>
    </row>
    <row r="31" spans="2:15" ht="14.45" hidden="1" customHeight="1" x14ac:dyDescent="0.2">
      <c r="B31" s="80" t="s">
        <v>2539</v>
      </c>
      <c r="C31" s="85" t="s">
        <v>2522</v>
      </c>
      <c r="D31" s="90" t="s">
        <v>1347</v>
      </c>
      <c r="E31" s="148" t="s">
        <v>1553</v>
      </c>
      <c r="F31" s="149" t="s">
        <v>3713</v>
      </c>
      <c r="G31" s="291" t="s">
        <v>3651</v>
      </c>
      <c r="H31" s="150" t="s">
        <v>3017</v>
      </c>
      <c r="I31" s="151" t="s">
        <v>2621</v>
      </c>
      <c r="J31" s="152">
        <v>239</v>
      </c>
      <c r="K31" s="248" t="s">
        <v>2595</v>
      </c>
      <c r="L31" s="153" t="s">
        <v>3517</v>
      </c>
      <c r="M31" s="248" t="str">
        <f t="shared" si="0"/>
        <v>제2편 소송의 주체-제03장 법원-제02절 법관의 제척・기피・회피-10</v>
      </c>
      <c r="N31" s="211"/>
      <c r="O31" s="263"/>
    </row>
    <row r="32" spans="2:15" ht="14.45" hidden="1" customHeight="1" x14ac:dyDescent="0.2">
      <c r="B32" s="80" t="s">
        <v>2539</v>
      </c>
      <c r="C32" s="85" t="s">
        <v>2522</v>
      </c>
      <c r="D32" s="89" t="s">
        <v>1347</v>
      </c>
      <c r="E32" s="213" t="s">
        <v>1553</v>
      </c>
      <c r="F32" s="214" t="s">
        <v>3714</v>
      </c>
      <c r="G32" s="290" t="s">
        <v>3652</v>
      </c>
      <c r="H32" s="215" t="s">
        <v>3018</v>
      </c>
      <c r="I32" s="216" t="s">
        <v>2622</v>
      </c>
      <c r="J32" s="217">
        <v>368</v>
      </c>
      <c r="K32" s="245" t="s">
        <v>2595</v>
      </c>
      <c r="L32" s="219"/>
      <c r="M32" s="245" t="str">
        <f t="shared" si="0"/>
        <v>제2편 소송의 주체-제03장 법원-제02절 법관의 제척・기피・회피-11</v>
      </c>
      <c r="N32" s="218"/>
      <c r="O32" s="260"/>
    </row>
    <row r="33" spans="2:15" ht="14.45" customHeight="1" x14ac:dyDescent="0.2">
      <c r="B33" s="80" t="s">
        <v>2539</v>
      </c>
      <c r="C33" s="85" t="s">
        <v>2522</v>
      </c>
      <c r="D33" s="83" t="s">
        <v>3416</v>
      </c>
      <c r="E33" s="143" t="s">
        <v>7</v>
      </c>
      <c r="F33" s="144" t="s">
        <v>72</v>
      </c>
      <c r="G33" s="295" t="s">
        <v>2566</v>
      </c>
      <c r="H33" s="145" t="s">
        <v>93</v>
      </c>
      <c r="I33" s="146" t="s">
        <v>2231</v>
      </c>
      <c r="J33" s="147">
        <v>5962</v>
      </c>
      <c r="K33" s="247" t="s">
        <v>2595</v>
      </c>
      <c r="L33" s="168"/>
      <c r="M33" s="247" t="str">
        <f t="shared" si="0"/>
        <v>제2편 소송의 주체-제03장 법원-제03절 관할-01</v>
      </c>
      <c r="N33" s="210"/>
      <c r="O33" s="262"/>
    </row>
    <row r="34" spans="2:15" ht="14.45" customHeight="1" x14ac:dyDescent="0.2">
      <c r="B34" s="80" t="s">
        <v>2539</v>
      </c>
      <c r="C34" s="85" t="s">
        <v>2522</v>
      </c>
      <c r="D34" s="90" t="s">
        <v>3416</v>
      </c>
      <c r="E34" s="148" t="s">
        <v>2425</v>
      </c>
      <c r="F34" s="149" t="s">
        <v>148</v>
      </c>
      <c r="G34" s="291" t="s">
        <v>2567</v>
      </c>
      <c r="H34" s="150" t="s">
        <v>2431</v>
      </c>
      <c r="I34" s="151" t="s">
        <v>2432</v>
      </c>
      <c r="J34" s="152">
        <v>1502</v>
      </c>
      <c r="K34" s="248" t="s">
        <v>2595</v>
      </c>
      <c r="L34" s="153" t="s">
        <v>3645</v>
      </c>
      <c r="M34" s="248" t="str">
        <f t="shared" si="0"/>
        <v>제2편 소송의 주체-제03장 법원-제03절 관할-02</v>
      </c>
      <c r="N34" s="211"/>
      <c r="O34" s="263">
        <v>46206</v>
      </c>
    </row>
    <row r="35" spans="2:15" ht="14.45" customHeight="1" x14ac:dyDescent="0.2">
      <c r="B35" s="80" t="s">
        <v>2539</v>
      </c>
      <c r="C35" s="85" t="s">
        <v>2522</v>
      </c>
      <c r="D35" s="90" t="s">
        <v>3416</v>
      </c>
      <c r="E35" s="148" t="s">
        <v>2425</v>
      </c>
      <c r="F35" s="149" t="s">
        <v>2307</v>
      </c>
      <c r="G35" s="291" t="s">
        <v>2568</v>
      </c>
      <c r="H35" s="150" t="s">
        <v>2427</v>
      </c>
      <c r="I35" s="151" t="s">
        <v>2428</v>
      </c>
      <c r="J35" s="152">
        <v>1540</v>
      </c>
      <c r="K35" s="248" t="s">
        <v>2595</v>
      </c>
      <c r="L35" s="153" t="s">
        <v>3645</v>
      </c>
      <c r="M35" s="248" t="str">
        <f t="shared" si="0"/>
        <v>제2편 소송의 주체-제03장 법원-제03절 관할-03</v>
      </c>
      <c r="N35" s="211"/>
      <c r="O35" s="263">
        <v>46206</v>
      </c>
    </row>
    <row r="36" spans="2:15" ht="14.45" customHeight="1" thickBot="1" x14ac:dyDescent="0.25">
      <c r="B36" s="80" t="s">
        <v>2539</v>
      </c>
      <c r="C36" s="85" t="s">
        <v>2522</v>
      </c>
      <c r="D36" s="90" t="s">
        <v>3416</v>
      </c>
      <c r="E36" s="148" t="s">
        <v>2425</v>
      </c>
      <c r="F36" s="149" t="s">
        <v>147</v>
      </c>
      <c r="G36" s="291" t="s">
        <v>2569</v>
      </c>
      <c r="H36" s="150" t="s">
        <v>146</v>
      </c>
      <c r="I36" s="151" t="s">
        <v>2167</v>
      </c>
      <c r="J36" s="152">
        <v>1851</v>
      </c>
      <c r="K36" s="248" t="s">
        <v>2595</v>
      </c>
      <c r="L36" s="153"/>
      <c r="M36" s="248" t="str">
        <f t="shared" si="0"/>
        <v>제2편 소송의 주체-제03장 법원-제03절 관할-04</v>
      </c>
      <c r="N36" s="211"/>
      <c r="O36" s="263">
        <v>46206</v>
      </c>
    </row>
    <row r="37" spans="2:15" ht="14.45" hidden="1" customHeight="1" x14ac:dyDescent="0.25">
      <c r="B37" s="80" t="s">
        <v>2539</v>
      </c>
      <c r="C37" s="85" t="s">
        <v>2522</v>
      </c>
      <c r="D37" s="90" t="s">
        <v>3416</v>
      </c>
      <c r="E37" s="148" t="s">
        <v>1553</v>
      </c>
      <c r="F37" s="149" t="s">
        <v>3715</v>
      </c>
      <c r="G37" s="291" t="s">
        <v>3646</v>
      </c>
      <c r="H37" s="150" t="s">
        <v>3010</v>
      </c>
      <c r="I37" s="151" t="s">
        <v>2614</v>
      </c>
      <c r="J37" s="152">
        <v>306</v>
      </c>
      <c r="K37" s="248" t="s">
        <v>2594</v>
      </c>
      <c r="L37" s="153"/>
      <c r="M37" s="248" t="str">
        <f t="shared" si="0"/>
        <v>제2편 소송의 주체-제03장 법원-제03절 관할-05</v>
      </c>
      <c r="N37" s="211"/>
      <c r="O37" s="263"/>
    </row>
    <row r="38" spans="2:15" ht="14.45" hidden="1" customHeight="1" x14ac:dyDescent="0.25">
      <c r="B38" s="80" t="s">
        <v>2539</v>
      </c>
      <c r="C38" s="85" t="s">
        <v>2522</v>
      </c>
      <c r="D38" s="90" t="s">
        <v>3416</v>
      </c>
      <c r="E38" s="148" t="s">
        <v>1553</v>
      </c>
      <c r="F38" s="149" t="s">
        <v>3716</v>
      </c>
      <c r="G38" s="291" t="s">
        <v>3647</v>
      </c>
      <c r="H38" s="150" t="s">
        <v>3011</v>
      </c>
      <c r="I38" s="151" t="s">
        <v>2615</v>
      </c>
      <c r="J38" s="152">
        <v>385</v>
      </c>
      <c r="K38" s="248" t="s">
        <v>2594</v>
      </c>
      <c r="L38" s="153"/>
      <c r="M38" s="248" t="str">
        <f t="shared" si="0"/>
        <v>제2편 소송의 주체-제03장 법원-제03절 관할-06</v>
      </c>
      <c r="N38" s="211"/>
      <c r="O38" s="263"/>
    </row>
    <row r="39" spans="2:15" ht="14.45" hidden="1" customHeight="1" x14ac:dyDescent="0.25">
      <c r="B39" s="80" t="s">
        <v>2539</v>
      </c>
      <c r="C39" s="85" t="s">
        <v>2522</v>
      </c>
      <c r="D39" s="90" t="s">
        <v>3416</v>
      </c>
      <c r="E39" s="148" t="s">
        <v>1553</v>
      </c>
      <c r="F39" s="149" t="s">
        <v>3717</v>
      </c>
      <c r="G39" s="291" t="s">
        <v>3648</v>
      </c>
      <c r="H39" s="150" t="s">
        <v>3012</v>
      </c>
      <c r="I39" s="151" t="s">
        <v>2616</v>
      </c>
      <c r="J39" s="152">
        <v>555</v>
      </c>
      <c r="K39" s="248" t="s">
        <v>2594</v>
      </c>
      <c r="L39" s="153"/>
      <c r="M39" s="248" t="str">
        <f t="shared" si="0"/>
        <v>제2편 소송의 주체-제03장 법원-제03절 관할-07</v>
      </c>
      <c r="N39" s="211"/>
      <c r="O39" s="263"/>
    </row>
    <row r="40" spans="2:15" ht="14.45" hidden="1" customHeight="1" x14ac:dyDescent="0.25">
      <c r="B40" s="80" t="s">
        <v>2539</v>
      </c>
      <c r="C40" s="85" t="s">
        <v>2522</v>
      </c>
      <c r="D40" s="90" t="s">
        <v>3416</v>
      </c>
      <c r="E40" s="148" t="s">
        <v>1553</v>
      </c>
      <c r="F40" s="149" t="s">
        <v>3718</v>
      </c>
      <c r="G40" s="291" t="s">
        <v>3649</v>
      </c>
      <c r="H40" s="150" t="s">
        <v>3019</v>
      </c>
      <c r="I40" s="151" t="s">
        <v>2623</v>
      </c>
      <c r="J40" s="152">
        <v>524</v>
      </c>
      <c r="K40" s="248" t="s">
        <v>2595</v>
      </c>
      <c r="L40" s="153" t="s">
        <v>3408</v>
      </c>
      <c r="M40" s="248" t="str">
        <f t="shared" si="0"/>
        <v>제2편 소송의 주체-제03장 법원-제03절 관할-08</v>
      </c>
      <c r="N40" s="211"/>
      <c r="O40" s="263"/>
    </row>
    <row r="41" spans="2:15" ht="14.45" hidden="1" customHeight="1" x14ac:dyDescent="0.25">
      <c r="B41" s="80" t="s">
        <v>2539</v>
      </c>
      <c r="C41" s="85" t="s">
        <v>2522</v>
      </c>
      <c r="D41" s="90" t="s">
        <v>3416</v>
      </c>
      <c r="E41" s="148" t="s">
        <v>1553</v>
      </c>
      <c r="F41" s="149" t="s">
        <v>3719</v>
      </c>
      <c r="G41" s="291" t="s">
        <v>3650</v>
      </c>
      <c r="H41" s="150" t="s">
        <v>3020</v>
      </c>
      <c r="I41" s="151" t="s">
        <v>2624</v>
      </c>
      <c r="J41" s="152">
        <v>512</v>
      </c>
      <c r="K41" s="248" t="s">
        <v>2593</v>
      </c>
      <c r="L41" s="153"/>
      <c r="M41" s="248" t="str">
        <f t="shared" si="0"/>
        <v>제2편 소송의 주체-제03장 법원-제03절 관할-09</v>
      </c>
      <c r="N41" s="211"/>
      <c r="O41" s="263"/>
    </row>
    <row r="42" spans="2:15" ht="14.45" hidden="1" customHeight="1" x14ac:dyDescent="0.25">
      <c r="B42" s="80" t="s">
        <v>2539</v>
      </c>
      <c r="C42" s="85" t="s">
        <v>2522</v>
      </c>
      <c r="D42" s="90" t="s">
        <v>3416</v>
      </c>
      <c r="E42" s="148" t="s">
        <v>1553</v>
      </c>
      <c r="F42" s="149" t="s">
        <v>3720</v>
      </c>
      <c r="G42" s="291" t="s">
        <v>3651</v>
      </c>
      <c r="H42" s="150" t="s">
        <v>3021</v>
      </c>
      <c r="I42" s="151" t="s">
        <v>2625</v>
      </c>
      <c r="J42" s="152">
        <v>250</v>
      </c>
      <c r="K42" s="248" t="s">
        <v>2593</v>
      </c>
      <c r="L42" s="153"/>
      <c r="M42" s="248" t="str">
        <f t="shared" si="0"/>
        <v>제2편 소송의 주체-제03장 법원-제03절 관할-10</v>
      </c>
      <c r="N42" s="211"/>
      <c r="O42" s="263"/>
    </row>
    <row r="43" spans="2:15" ht="14.45" hidden="1" customHeight="1" x14ac:dyDescent="0.25">
      <c r="B43" s="80" t="s">
        <v>2539</v>
      </c>
      <c r="C43" s="85" t="s">
        <v>2522</v>
      </c>
      <c r="D43" s="90" t="s">
        <v>3416</v>
      </c>
      <c r="E43" s="148" t="s">
        <v>1553</v>
      </c>
      <c r="F43" s="149" t="s">
        <v>3721</v>
      </c>
      <c r="G43" s="291" t="s">
        <v>3652</v>
      </c>
      <c r="H43" s="150" t="s">
        <v>3022</v>
      </c>
      <c r="I43" s="151" t="s">
        <v>2626</v>
      </c>
      <c r="J43" s="152">
        <v>246</v>
      </c>
      <c r="K43" s="248" t="s">
        <v>2593</v>
      </c>
      <c r="L43" s="153"/>
      <c r="M43" s="248" t="str">
        <f t="shared" si="0"/>
        <v>제2편 소송의 주체-제03장 법원-제03절 관할-11</v>
      </c>
      <c r="N43" s="211"/>
      <c r="O43" s="263"/>
    </row>
    <row r="44" spans="2:15" ht="14.45" hidden="1" customHeight="1" x14ac:dyDescent="0.25">
      <c r="B44" s="80" t="s">
        <v>2539</v>
      </c>
      <c r="C44" s="85" t="s">
        <v>2522</v>
      </c>
      <c r="D44" s="90" t="s">
        <v>3416</v>
      </c>
      <c r="E44" s="148" t="s">
        <v>1553</v>
      </c>
      <c r="F44" s="149" t="s">
        <v>3722</v>
      </c>
      <c r="G44" s="291" t="s">
        <v>3653</v>
      </c>
      <c r="H44" s="150" t="s">
        <v>3023</v>
      </c>
      <c r="I44" s="151" t="s">
        <v>2627</v>
      </c>
      <c r="J44" s="152">
        <v>300</v>
      </c>
      <c r="K44" s="248" t="s">
        <v>2593</v>
      </c>
      <c r="L44" s="153"/>
      <c r="M44" s="248" t="str">
        <f t="shared" si="0"/>
        <v>제2편 소송의 주체-제03장 법원-제03절 관할-12</v>
      </c>
      <c r="N44" s="211"/>
      <c r="O44" s="263"/>
    </row>
    <row r="45" spans="2:15" ht="14.45" hidden="1" customHeight="1" x14ac:dyDescent="0.25">
      <c r="B45" s="80" t="s">
        <v>2539</v>
      </c>
      <c r="C45" s="85" t="s">
        <v>2522</v>
      </c>
      <c r="D45" s="90" t="s">
        <v>3416</v>
      </c>
      <c r="E45" s="148" t="s">
        <v>1553</v>
      </c>
      <c r="F45" s="149" t="s">
        <v>3723</v>
      </c>
      <c r="G45" s="291" t="s">
        <v>3654</v>
      </c>
      <c r="H45" s="150" t="s">
        <v>3024</v>
      </c>
      <c r="I45" s="151" t="s">
        <v>2628</v>
      </c>
      <c r="J45" s="152">
        <v>184</v>
      </c>
      <c r="K45" s="248" t="s">
        <v>2593</v>
      </c>
      <c r="L45" s="153"/>
      <c r="M45" s="248" t="str">
        <f t="shared" si="0"/>
        <v>제2편 소송의 주체-제03장 법원-제03절 관할-13</v>
      </c>
      <c r="N45" s="211"/>
      <c r="O45" s="263"/>
    </row>
    <row r="46" spans="2:15" ht="14.45" hidden="1" customHeight="1" x14ac:dyDescent="0.25">
      <c r="B46" s="80" t="s">
        <v>2539</v>
      </c>
      <c r="C46" s="85" t="s">
        <v>2522</v>
      </c>
      <c r="D46" s="90" t="s">
        <v>3416</v>
      </c>
      <c r="E46" s="148" t="s">
        <v>1553</v>
      </c>
      <c r="F46" s="149" t="s">
        <v>3724</v>
      </c>
      <c r="G46" s="291" t="s">
        <v>3655</v>
      </c>
      <c r="H46" s="150" t="s">
        <v>3025</v>
      </c>
      <c r="I46" s="151" t="s">
        <v>2629</v>
      </c>
      <c r="J46" s="152">
        <v>318</v>
      </c>
      <c r="K46" s="248" t="s">
        <v>2595</v>
      </c>
      <c r="L46" s="153"/>
      <c r="M46" s="248" t="str">
        <f t="shared" si="0"/>
        <v>제2편 소송의 주체-제03장 법원-제03절 관할-14</v>
      </c>
      <c r="N46" s="211"/>
      <c r="O46" s="263"/>
    </row>
    <row r="47" spans="2:15" ht="14.45" hidden="1" customHeight="1" x14ac:dyDescent="0.25">
      <c r="B47" s="80" t="s">
        <v>2539</v>
      </c>
      <c r="C47" s="85" t="s">
        <v>2522</v>
      </c>
      <c r="D47" s="90" t="s">
        <v>3416</v>
      </c>
      <c r="E47" s="148" t="s">
        <v>1553</v>
      </c>
      <c r="F47" s="149" t="s">
        <v>3725</v>
      </c>
      <c r="G47" s="291" t="s">
        <v>3656</v>
      </c>
      <c r="H47" s="150" t="s">
        <v>3026</v>
      </c>
      <c r="I47" s="151" t="s">
        <v>2630</v>
      </c>
      <c r="J47" s="152">
        <v>288</v>
      </c>
      <c r="K47" s="248" t="s">
        <v>2595</v>
      </c>
      <c r="L47" s="153"/>
      <c r="M47" s="248" t="str">
        <f t="shared" si="0"/>
        <v>제2편 소송의 주체-제03장 법원-제03절 관할-15</v>
      </c>
      <c r="N47" s="211"/>
      <c r="O47" s="263"/>
    </row>
    <row r="48" spans="2:15" ht="14.45" hidden="1" customHeight="1" thickBot="1" x14ac:dyDescent="0.25">
      <c r="B48" s="80" t="s">
        <v>2539</v>
      </c>
      <c r="C48" s="86" t="s">
        <v>2522</v>
      </c>
      <c r="D48" s="91" t="s">
        <v>3416</v>
      </c>
      <c r="E48" s="154" t="s">
        <v>1553</v>
      </c>
      <c r="F48" s="155" t="s">
        <v>3726</v>
      </c>
      <c r="G48" s="292" t="s">
        <v>3657</v>
      </c>
      <c r="H48" s="156" t="s">
        <v>3027</v>
      </c>
      <c r="I48" s="157" t="s">
        <v>2631</v>
      </c>
      <c r="J48" s="158">
        <v>541</v>
      </c>
      <c r="K48" s="249" t="s">
        <v>2595</v>
      </c>
      <c r="L48" s="170"/>
      <c r="M48" s="249" t="str">
        <f t="shared" si="0"/>
        <v>제2편 소송의 주체-제03장 법원-제03절 관할-16</v>
      </c>
      <c r="N48" s="212"/>
      <c r="O48" s="264"/>
    </row>
    <row r="49" spans="2:15" ht="14.45" customHeight="1" x14ac:dyDescent="0.2">
      <c r="B49" s="80" t="s">
        <v>2539</v>
      </c>
      <c r="C49" s="64" t="s">
        <v>2525</v>
      </c>
      <c r="D49" s="84" t="s">
        <v>3417</v>
      </c>
      <c r="E49" s="137" t="s">
        <v>7</v>
      </c>
      <c r="F49" s="138" t="s">
        <v>73</v>
      </c>
      <c r="G49" s="293" t="s">
        <v>2566</v>
      </c>
      <c r="H49" s="139" t="s">
        <v>1548</v>
      </c>
      <c r="I49" s="140" t="s">
        <v>2232</v>
      </c>
      <c r="J49" s="141">
        <v>3432</v>
      </c>
      <c r="K49" s="244" t="s">
        <v>2595</v>
      </c>
      <c r="L49" s="169"/>
      <c r="M49" s="244" t="str">
        <f t="shared" si="0"/>
        <v>제2편 소송의 주체-제04장 당사자-제01절 당사자의 개관-01</v>
      </c>
      <c r="N49" s="209"/>
      <c r="O49" s="259"/>
    </row>
    <row r="50" spans="2:15" ht="14.45" customHeight="1" x14ac:dyDescent="0.2">
      <c r="B50" s="80" t="s">
        <v>2539</v>
      </c>
      <c r="C50" s="85" t="s">
        <v>2524</v>
      </c>
      <c r="D50" s="90" t="s">
        <v>3417</v>
      </c>
      <c r="E50" s="148" t="s">
        <v>2425</v>
      </c>
      <c r="F50" s="149" t="s">
        <v>2308</v>
      </c>
      <c r="G50" s="291" t="s">
        <v>2567</v>
      </c>
      <c r="H50" s="150" t="s">
        <v>149</v>
      </c>
      <c r="I50" s="151" t="s">
        <v>2168</v>
      </c>
      <c r="J50" s="152">
        <v>1665</v>
      </c>
      <c r="K50" s="248" t="s">
        <v>2595</v>
      </c>
      <c r="L50" s="153"/>
      <c r="M50" s="248" t="str">
        <f t="shared" si="0"/>
        <v>제2편 소송의 주체-제04장 당사자-제01절 당사자의 개관-02</v>
      </c>
      <c r="N50" s="211"/>
      <c r="O50" s="263">
        <v>46206</v>
      </c>
    </row>
    <row r="51" spans="2:15" ht="14.45" customHeight="1" x14ac:dyDescent="0.2">
      <c r="B51" s="80" t="s">
        <v>2539</v>
      </c>
      <c r="C51" s="85" t="s">
        <v>2524</v>
      </c>
      <c r="D51" s="90" t="s">
        <v>3417</v>
      </c>
      <c r="E51" s="148" t="s">
        <v>2426</v>
      </c>
      <c r="F51" s="149" t="s">
        <v>3550</v>
      </c>
      <c r="G51" s="291" t="s">
        <v>2568</v>
      </c>
      <c r="H51" s="150" t="s">
        <v>2380</v>
      </c>
      <c r="I51" s="151" t="s">
        <v>2304</v>
      </c>
      <c r="J51" s="152">
        <v>1755</v>
      </c>
      <c r="K51" s="248" t="s">
        <v>2593</v>
      </c>
      <c r="L51" s="153"/>
      <c r="M51" s="248" t="str">
        <f t="shared" si="0"/>
        <v>제2편 소송의 주체-제04장 당사자-제01절 당사자의 개관-03</v>
      </c>
      <c r="N51" s="211"/>
      <c r="O51" s="263"/>
    </row>
    <row r="52" spans="2:15" ht="14.45" hidden="1" customHeight="1" x14ac:dyDescent="0.2">
      <c r="B52" s="80" t="s">
        <v>2539</v>
      </c>
      <c r="C52" s="85" t="s">
        <v>2524</v>
      </c>
      <c r="D52" s="90" t="s">
        <v>3417</v>
      </c>
      <c r="E52" s="148" t="s">
        <v>1553</v>
      </c>
      <c r="F52" s="149" t="s">
        <v>3727</v>
      </c>
      <c r="G52" s="291" t="s">
        <v>2569</v>
      </c>
      <c r="H52" s="150" t="s">
        <v>3028</v>
      </c>
      <c r="I52" s="151" t="s">
        <v>2632</v>
      </c>
      <c r="J52" s="152">
        <v>257</v>
      </c>
      <c r="K52" s="248" t="s">
        <v>2593</v>
      </c>
      <c r="L52" s="153"/>
      <c r="M52" s="248" t="str">
        <f t="shared" si="0"/>
        <v>제2편 소송의 주체-제04장 당사자-제01절 당사자의 개관-04</v>
      </c>
      <c r="N52" s="211"/>
      <c r="O52" s="263"/>
    </row>
    <row r="53" spans="2:15" ht="14.45" hidden="1" customHeight="1" x14ac:dyDescent="0.2">
      <c r="B53" s="80" t="s">
        <v>2539</v>
      </c>
      <c r="C53" s="85" t="s">
        <v>2524</v>
      </c>
      <c r="D53" s="90" t="s">
        <v>3417</v>
      </c>
      <c r="E53" s="148" t="s">
        <v>1553</v>
      </c>
      <c r="F53" s="149" t="s">
        <v>3728</v>
      </c>
      <c r="G53" s="291" t="s">
        <v>3646</v>
      </c>
      <c r="H53" s="150" t="s">
        <v>3029</v>
      </c>
      <c r="I53" s="151" t="s">
        <v>2633</v>
      </c>
      <c r="J53" s="152">
        <v>237</v>
      </c>
      <c r="K53" s="248" t="s">
        <v>2593</v>
      </c>
      <c r="L53" s="153"/>
      <c r="M53" s="248" t="str">
        <f t="shared" si="0"/>
        <v>제2편 소송의 주체-제04장 당사자-제01절 당사자의 개관-05</v>
      </c>
      <c r="N53" s="211"/>
      <c r="O53" s="263"/>
    </row>
    <row r="54" spans="2:15" ht="14.45" hidden="1" customHeight="1" x14ac:dyDescent="0.2">
      <c r="B54" s="80" t="s">
        <v>2539</v>
      </c>
      <c r="C54" s="85" t="s">
        <v>2524</v>
      </c>
      <c r="D54" s="90" t="s">
        <v>3417</v>
      </c>
      <c r="E54" s="148" t="s">
        <v>1553</v>
      </c>
      <c r="F54" s="149" t="s">
        <v>3729</v>
      </c>
      <c r="G54" s="291" t="s">
        <v>3647</v>
      </c>
      <c r="H54" s="150" t="s">
        <v>3030</v>
      </c>
      <c r="I54" s="151" t="s">
        <v>2634</v>
      </c>
      <c r="J54" s="152">
        <v>415</v>
      </c>
      <c r="K54" s="248" t="s">
        <v>2593</v>
      </c>
      <c r="L54" s="153"/>
      <c r="M54" s="248" t="str">
        <f t="shared" si="0"/>
        <v>제2편 소송의 주체-제04장 당사자-제01절 당사자의 개관-06</v>
      </c>
      <c r="N54" s="211"/>
      <c r="O54" s="263"/>
    </row>
    <row r="55" spans="2:15" ht="14.45" hidden="1" customHeight="1" x14ac:dyDescent="0.2">
      <c r="B55" s="80" t="s">
        <v>2539</v>
      </c>
      <c r="C55" s="85" t="s">
        <v>2524</v>
      </c>
      <c r="D55" s="89" t="s">
        <v>3417</v>
      </c>
      <c r="E55" s="213" t="s">
        <v>1553</v>
      </c>
      <c r="F55" s="214" t="s">
        <v>3730</v>
      </c>
      <c r="G55" s="290" t="s">
        <v>3648</v>
      </c>
      <c r="H55" s="215" t="s">
        <v>3031</v>
      </c>
      <c r="I55" s="216" t="s">
        <v>2635</v>
      </c>
      <c r="J55" s="217">
        <v>353</v>
      </c>
      <c r="K55" s="245" t="s">
        <v>2593</v>
      </c>
      <c r="L55" s="219"/>
      <c r="M55" s="245" t="str">
        <f t="shared" si="0"/>
        <v>제2편 소송의 주체-제04장 당사자-제01절 당사자의 개관-07</v>
      </c>
      <c r="N55" s="218"/>
      <c r="O55" s="260"/>
    </row>
    <row r="56" spans="2:15" ht="14.45" customHeight="1" x14ac:dyDescent="0.2">
      <c r="B56" s="80" t="s">
        <v>2539</v>
      </c>
      <c r="C56" s="85" t="s">
        <v>2524</v>
      </c>
      <c r="D56" s="83" t="s">
        <v>3415</v>
      </c>
      <c r="E56" s="143" t="s">
        <v>7</v>
      </c>
      <c r="F56" s="144" t="s">
        <v>73</v>
      </c>
      <c r="G56" s="295" t="s">
        <v>2566</v>
      </c>
      <c r="H56" s="145" t="s">
        <v>94</v>
      </c>
      <c r="I56" s="146" t="s">
        <v>2233</v>
      </c>
      <c r="J56" s="147">
        <v>3612</v>
      </c>
      <c r="K56" s="247" t="s">
        <v>2593</v>
      </c>
      <c r="L56" s="168"/>
      <c r="M56" s="247" t="str">
        <f t="shared" si="0"/>
        <v>제2편 소송의 주체-제04장 당사자-제02절 당사자의 자격-01</v>
      </c>
      <c r="N56" s="210"/>
      <c r="O56" s="262"/>
    </row>
    <row r="57" spans="2:15" ht="14.45" customHeight="1" x14ac:dyDescent="0.2">
      <c r="B57" s="80" t="s">
        <v>2539</v>
      </c>
      <c r="C57" s="85" t="s">
        <v>2524</v>
      </c>
      <c r="D57" s="90" t="s">
        <v>3415</v>
      </c>
      <c r="E57" s="148" t="s">
        <v>2425</v>
      </c>
      <c r="F57" s="149" t="s">
        <v>155</v>
      </c>
      <c r="G57" s="291" t="s">
        <v>2567</v>
      </c>
      <c r="H57" s="150" t="s">
        <v>2434</v>
      </c>
      <c r="I57" s="151" t="s">
        <v>2435</v>
      </c>
      <c r="J57" s="152">
        <v>1341</v>
      </c>
      <c r="K57" s="248" t="s">
        <v>2593</v>
      </c>
      <c r="L57" s="153" t="s">
        <v>3645</v>
      </c>
      <c r="M57" s="248" t="str">
        <f t="shared" si="0"/>
        <v>제2편 소송의 주체-제04장 당사자-제02절 당사자의 자격-02</v>
      </c>
      <c r="N57" s="211"/>
      <c r="O57" s="263"/>
    </row>
    <row r="58" spans="2:15" ht="14.45" customHeight="1" x14ac:dyDescent="0.2">
      <c r="B58" s="80" t="s">
        <v>2539</v>
      </c>
      <c r="C58" s="85" t="s">
        <v>2524</v>
      </c>
      <c r="D58" s="90" t="s">
        <v>3415</v>
      </c>
      <c r="E58" s="148" t="s">
        <v>2425</v>
      </c>
      <c r="F58" s="149" t="s">
        <v>204</v>
      </c>
      <c r="G58" s="291" t="s">
        <v>2568</v>
      </c>
      <c r="H58" s="150" t="s">
        <v>2301</v>
      </c>
      <c r="I58" s="151" t="s">
        <v>2302</v>
      </c>
      <c r="J58" s="152">
        <v>1633</v>
      </c>
      <c r="K58" s="248" t="s">
        <v>2593</v>
      </c>
      <c r="L58" s="153"/>
      <c r="M58" s="248" t="str">
        <f t="shared" si="0"/>
        <v>제2편 소송의 주체-제04장 당사자-제02절 당사자의 자격-03</v>
      </c>
      <c r="N58" s="211"/>
      <c r="O58" s="263"/>
    </row>
    <row r="59" spans="2:15" ht="14.45" customHeight="1" x14ac:dyDescent="0.2">
      <c r="B59" s="80" t="s">
        <v>2539</v>
      </c>
      <c r="C59" s="85" t="s">
        <v>2524</v>
      </c>
      <c r="D59" s="90" t="s">
        <v>3415</v>
      </c>
      <c r="E59" s="148" t="s">
        <v>2425</v>
      </c>
      <c r="F59" s="149" t="s">
        <v>152</v>
      </c>
      <c r="G59" s="291" t="s">
        <v>2569</v>
      </c>
      <c r="H59" s="150" t="s">
        <v>2297</v>
      </c>
      <c r="I59" s="151" t="s">
        <v>2298</v>
      </c>
      <c r="J59" s="152">
        <v>1768</v>
      </c>
      <c r="K59" s="248" t="s">
        <v>2593</v>
      </c>
      <c r="L59" s="153"/>
      <c r="M59" s="248" t="str">
        <f t="shared" si="0"/>
        <v>제2편 소송의 주체-제04장 당사자-제02절 당사자의 자격-04</v>
      </c>
      <c r="N59" s="211"/>
      <c r="O59" s="263"/>
    </row>
    <row r="60" spans="2:15" ht="14.45" customHeight="1" x14ac:dyDescent="0.2">
      <c r="B60" s="80" t="s">
        <v>2539</v>
      </c>
      <c r="C60" s="85" t="s">
        <v>2524</v>
      </c>
      <c r="D60" s="90" t="s">
        <v>3415</v>
      </c>
      <c r="E60" s="148" t="s">
        <v>2425</v>
      </c>
      <c r="F60" s="149" t="s">
        <v>153</v>
      </c>
      <c r="G60" s="291" t="s">
        <v>3646</v>
      </c>
      <c r="H60" s="150" t="s">
        <v>150</v>
      </c>
      <c r="I60" s="151" t="s">
        <v>2169</v>
      </c>
      <c r="J60" s="152">
        <v>1504</v>
      </c>
      <c r="K60" s="248" t="s">
        <v>2593</v>
      </c>
      <c r="L60" s="153"/>
      <c r="M60" s="248" t="str">
        <f t="shared" si="0"/>
        <v>제2편 소송의 주체-제04장 당사자-제02절 당사자의 자격-05</v>
      </c>
      <c r="N60" s="211"/>
      <c r="O60" s="263"/>
    </row>
    <row r="61" spans="2:15" ht="14.45" customHeight="1" x14ac:dyDescent="0.2">
      <c r="B61" s="80" t="s">
        <v>2539</v>
      </c>
      <c r="C61" s="85" t="s">
        <v>2524</v>
      </c>
      <c r="D61" s="90" t="s">
        <v>3415</v>
      </c>
      <c r="E61" s="148" t="s">
        <v>2425</v>
      </c>
      <c r="F61" s="149" t="s">
        <v>2309</v>
      </c>
      <c r="G61" s="291" t="s">
        <v>3647</v>
      </c>
      <c r="H61" s="150" t="s">
        <v>3510</v>
      </c>
      <c r="I61" s="151" t="s">
        <v>3511</v>
      </c>
      <c r="J61" s="152">
        <v>1838</v>
      </c>
      <c r="K61" s="248" t="s">
        <v>2593</v>
      </c>
      <c r="L61" s="153" t="s">
        <v>3645</v>
      </c>
      <c r="M61" s="248" t="str">
        <f t="shared" si="0"/>
        <v>제2편 소송의 주체-제04장 당사자-제02절 당사자의 자격-06</v>
      </c>
      <c r="N61" s="211"/>
      <c r="O61" s="263"/>
    </row>
    <row r="62" spans="2:15" ht="14.45" customHeight="1" x14ac:dyDescent="0.2">
      <c r="B62" s="80" t="s">
        <v>2601</v>
      </c>
      <c r="C62" s="85" t="s">
        <v>2525</v>
      </c>
      <c r="D62" s="90" t="s">
        <v>1307</v>
      </c>
      <c r="E62" s="148" t="s">
        <v>2426</v>
      </c>
      <c r="F62" s="149" t="s">
        <v>3547</v>
      </c>
      <c r="G62" s="291" t="s">
        <v>3648</v>
      </c>
      <c r="H62" s="150" t="s">
        <v>3508</v>
      </c>
      <c r="I62" s="151" t="s">
        <v>3507</v>
      </c>
      <c r="J62" s="152">
        <v>1972</v>
      </c>
      <c r="K62" s="248" t="s">
        <v>2593</v>
      </c>
      <c r="L62" s="153"/>
      <c r="M62" s="248" t="str">
        <f t="shared" si="0"/>
        <v>제2편 소송의 주체-제04장 당사자-제02절 당사자의 자격-07</v>
      </c>
      <c r="N62" s="211"/>
      <c r="O62" s="263"/>
    </row>
    <row r="63" spans="2:15" ht="14.45" customHeight="1" x14ac:dyDescent="0.2">
      <c r="B63" s="80" t="s">
        <v>2601</v>
      </c>
      <c r="C63" s="85" t="s">
        <v>2525</v>
      </c>
      <c r="D63" s="90" t="s">
        <v>1307</v>
      </c>
      <c r="E63" s="148" t="s">
        <v>2426</v>
      </c>
      <c r="F63" s="149" t="s">
        <v>3548</v>
      </c>
      <c r="G63" s="291" t="s">
        <v>3649</v>
      </c>
      <c r="H63" s="150" t="s">
        <v>3577</v>
      </c>
      <c r="I63" s="151" t="s">
        <v>3581</v>
      </c>
      <c r="J63" s="152">
        <v>1394</v>
      </c>
      <c r="K63" s="248" t="s">
        <v>2593</v>
      </c>
      <c r="L63" s="153" t="s">
        <v>3645</v>
      </c>
      <c r="M63" s="248" t="str">
        <f t="shared" si="0"/>
        <v>제2편 소송의 주체-제04장 당사자-제02절 당사자의 자격-08</v>
      </c>
      <c r="N63" s="211"/>
      <c r="O63" s="263">
        <v>46211</v>
      </c>
    </row>
    <row r="64" spans="2:15" ht="14.45" hidden="1" customHeight="1" x14ac:dyDescent="0.2">
      <c r="B64" s="80" t="s">
        <v>2539</v>
      </c>
      <c r="C64" s="85" t="s">
        <v>2524</v>
      </c>
      <c r="D64" s="90" t="s">
        <v>3415</v>
      </c>
      <c r="E64" s="148" t="s">
        <v>1553</v>
      </c>
      <c r="F64" s="149" t="s">
        <v>3731</v>
      </c>
      <c r="G64" s="291" t="s">
        <v>3650</v>
      </c>
      <c r="H64" s="150" t="s">
        <v>3032</v>
      </c>
      <c r="I64" s="151" t="s">
        <v>2636</v>
      </c>
      <c r="J64" s="152">
        <v>172</v>
      </c>
      <c r="K64" s="248"/>
      <c r="L64" s="153"/>
      <c r="M64" s="248" t="str">
        <f t="shared" si="0"/>
        <v>제2편 소송의 주체-제04장 당사자-제02절 당사자의 자격-09</v>
      </c>
      <c r="N64" s="211"/>
      <c r="O64" s="263"/>
    </row>
    <row r="65" spans="2:15" ht="14.45" hidden="1" customHeight="1" x14ac:dyDescent="0.2">
      <c r="B65" s="80" t="s">
        <v>2539</v>
      </c>
      <c r="C65" s="85" t="s">
        <v>2524</v>
      </c>
      <c r="D65" s="90" t="s">
        <v>3415</v>
      </c>
      <c r="E65" s="148" t="s">
        <v>1553</v>
      </c>
      <c r="F65" s="149" t="s">
        <v>3732</v>
      </c>
      <c r="G65" s="291" t="s">
        <v>3651</v>
      </c>
      <c r="H65" s="150" t="s">
        <v>3033</v>
      </c>
      <c r="I65" s="151" t="s">
        <v>2637</v>
      </c>
      <c r="J65" s="152">
        <v>451</v>
      </c>
      <c r="K65" s="248"/>
      <c r="L65" s="153"/>
      <c r="M65" s="248" t="str">
        <f t="shared" si="0"/>
        <v>제2편 소송의 주체-제04장 당사자-제02절 당사자의 자격-10</v>
      </c>
      <c r="N65" s="211"/>
      <c r="O65" s="263"/>
    </row>
    <row r="66" spans="2:15" ht="14.45" hidden="1" customHeight="1" x14ac:dyDescent="0.2">
      <c r="B66" s="80" t="s">
        <v>2539</v>
      </c>
      <c r="C66" s="85" t="s">
        <v>2524</v>
      </c>
      <c r="D66" s="90" t="s">
        <v>3415</v>
      </c>
      <c r="E66" s="148" t="s">
        <v>1553</v>
      </c>
      <c r="F66" s="149" t="s">
        <v>3733</v>
      </c>
      <c r="G66" s="291" t="s">
        <v>3652</v>
      </c>
      <c r="H66" s="150" t="s">
        <v>3034</v>
      </c>
      <c r="I66" s="151" t="s">
        <v>2638</v>
      </c>
      <c r="J66" s="152">
        <v>197</v>
      </c>
      <c r="K66" s="248"/>
      <c r="L66" s="153"/>
      <c r="M66" s="248" t="str">
        <f t="shared" si="0"/>
        <v>제2편 소송의 주체-제04장 당사자-제02절 당사자의 자격-11</v>
      </c>
      <c r="N66" s="211"/>
      <c r="O66" s="263"/>
    </row>
    <row r="67" spans="2:15" ht="14.45" hidden="1" customHeight="1" x14ac:dyDescent="0.2">
      <c r="B67" s="80" t="s">
        <v>2539</v>
      </c>
      <c r="C67" s="85" t="s">
        <v>2524</v>
      </c>
      <c r="D67" s="90" t="s">
        <v>3415</v>
      </c>
      <c r="E67" s="148" t="s">
        <v>1553</v>
      </c>
      <c r="F67" s="149" t="s">
        <v>3734</v>
      </c>
      <c r="G67" s="291" t="s">
        <v>3653</v>
      </c>
      <c r="H67" s="150" t="s">
        <v>3035</v>
      </c>
      <c r="I67" s="151" t="s">
        <v>2639</v>
      </c>
      <c r="J67" s="152">
        <v>210</v>
      </c>
      <c r="K67" s="248"/>
      <c r="L67" s="153"/>
      <c r="M67" s="248" t="str">
        <f t="shared" si="0"/>
        <v>제2편 소송의 주체-제04장 당사자-제02절 당사자의 자격-12</v>
      </c>
      <c r="N67" s="211"/>
      <c r="O67" s="263"/>
    </row>
    <row r="68" spans="2:15" ht="14.45" hidden="1" customHeight="1" x14ac:dyDescent="0.2">
      <c r="B68" s="80" t="s">
        <v>2539</v>
      </c>
      <c r="C68" s="85" t="s">
        <v>2524</v>
      </c>
      <c r="D68" s="90" t="s">
        <v>3415</v>
      </c>
      <c r="E68" s="148" t="s">
        <v>1553</v>
      </c>
      <c r="F68" s="149" t="s">
        <v>3735</v>
      </c>
      <c r="G68" s="291" t="s">
        <v>3654</v>
      </c>
      <c r="H68" s="150" t="s">
        <v>3036</v>
      </c>
      <c r="I68" s="151" t="s">
        <v>2640</v>
      </c>
      <c r="J68" s="152">
        <v>254</v>
      </c>
      <c r="K68" s="248"/>
      <c r="L68" s="153"/>
      <c r="M68" s="248" t="str">
        <f t="shared" si="0"/>
        <v>제2편 소송의 주체-제04장 당사자-제02절 당사자의 자격-13</v>
      </c>
      <c r="N68" s="211"/>
      <c r="O68" s="263"/>
    </row>
    <row r="69" spans="2:15" ht="14.45" hidden="1" customHeight="1" x14ac:dyDescent="0.2">
      <c r="B69" s="80" t="s">
        <v>2539</v>
      </c>
      <c r="C69" s="85" t="s">
        <v>2524</v>
      </c>
      <c r="D69" s="90" t="s">
        <v>3415</v>
      </c>
      <c r="E69" s="148" t="s">
        <v>1553</v>
      </c>
      <c r="F69" s="149" t="s">
        <v>3736</v>
      </c>
      <c r="G69" s="291" t="s">
        <v>3655</v>
      </c>
      <c r="H69" s="150" t="s">
        <v>3037</v>
      </c>
      <c r="I69" s="151" t="s">
        <v>2641</v>
      </c>
      <c r="J69" s="152">
        <v>511</v>
      </c>
      <c r="K69" s="248"/>
      <c r="L69" s="153"/>
      <c r="M69" s="248" t="str">
        <f t="shared" ref="M69:M132" si="1">B69&amp;"-"&amp;C69&amp;"-"&amp;D69&amp;"-"&amp;G69</f>
        <v>제2편 소송의 주체-제04장 당사자-제02절 당사자의 자격-14</v>
      </c>
      <c r="N69" s="211"/>
      <c r="O69" s="263"/>
    </row>
    <row r="70" spans="2:15" ht="14.45" hidden="1" customHeight="1" x14ac:dyDescent="0.2">
      <c r="B70" s="80" t="s">
        <v>2539</v>
      </c>
      <c r="C70" s="85" t="s">
        <v>2524</v>
      </c>
      <c r="D70" s="90" t="s">
        <v>3415</v>
      </c>
      <c r="E70" s="148" t="s">
        <v>1553</v>
      </c>
      <c r="F70" s="149" t="s">
        <v>3737</v>
      </c>
      <c r="G70" s="291" t="s">
        <v>3656</v>
      </c>
      <c r="H70" s="150" t="s">
        <v>3038</v>
      </c>
      <c r="I70" s="151" t="s">
        <v>2642</v>
      </c>
      <c r="J70" s="152">
        <v>207</v>
      </c>
      <c r="K70" s="248"/>
      <c r="L70" s="153"/>
      <c r="M70" s="248" t="str">
        <f t="shared" si="1"/>
        <v>제2편 소송의 주체-제04장 당사자-제02절 당사자의 자격-15</v>
      </c>
      <c r="N70" s="211"/>
      <c r="O70" s="263"/>
    </row>
    <row r="71" spans="2:15" ht="14.45" hidden="1" customHeight="1" x14ac:dyDescent="0.2">
      <c r="B71" s="80" t="s">
        <v>2539</v>
      </c>
      <c r="C71" s="85" t="s">
        <v>2524</v>
      </c>
      <c r="D71" s="90" t="s">
        <v>3415</v>
      </c>
      <c r="E71" s="148" t="s">
        <v>1553</v>
      </c>
      <c r="F71" s="149" t="s">
        <v>3738</v>
      </c>
      <c r="G71" s="291" t="s">
        <v>3657</v>
      </c>
      <c r="H71" s="150" t="s">
        <v>3039</v>
      </c>
      <c r="I71" s="151" t="s">
        <v>2643</v>
      </c>
      <c r="J71" s="152">
        <v>267</v>
      </c>
      <c r="K71" s="248"/>
      <c r="L71" s="153"/>
      <c r="M71" s="248" t="str">
        <f t="shared" si="1"/>
        <v>제2편 소송의 주체-제04장 당사자-제02절 당사자의 자격-16</v>
      </c>
      <c r="N71" s="211"/>
      <c r="O71" s="263"/>
    </row>
    <row r="72" spans="2:15" ht="14.45" hidden="1" customHeight="1" x14ac:dyDescent="0.2">
      <c r="B72" s="80" t="s">
        <v>2539</v>
      </c>
      <c r="C72" s="85" t="s">
        <v>2524</v>
      </c>
      <c r="D72" s="89" t="s">
        <v>3415</v>
      </c>
      <c r="E72" s="213" t="s">
        <v>1553</v>
      </c>
      <c r="F72" s="214" t="s">
        <v>3739</v>
      </c>
      <c r="G72" s="290" t="s">
        <v>3658</v>
      </c>
      <c r="H72" s="215" t="s">
        <v>3040</v>
      </c>
      <c r="I72" s="216" t="s">
        <v>2644</v>
      </c>
      <c r="J72" s="217">
        <v>639</v>
      </c>
      <c r="K72" s="245" t="s">
        <v>2593</v>
      </c>
      <c r="L72" s="219"/>
      <c r="M72" s="245" t="str">
        <f t="shared" si="1"/>
        <v>제2편 소송의 주체-제04장 당사자-제02절 당사자의 자격-17</v>
      </c>
      <c r="N72" s="218"/>
      <c r="O72" s="260"/>
    </row>
    <row r="73" spans="2:15" ht="14.45" customHeight="1" x14ac:dyDescent="0.2">
      <c r="B73" s="80" t="s">
        <v>2539</v>
      </c>
      <c r="C73" s="85" t="s">
        <v>2524</v>
      </c>
      <c r="D73" s="83" t="s">
        <v>3418</v>
      </c>
      <c r="E73" s="143" t="s">
        <v>7</v>
      </c>
      <c r="F73" s="144" t="s">
        <v>73</v>
      </c>
      <c r="G73" s="295" t="s">
        <v>2566</v>
      </c>
      <c r="H73" s="145" t="s">
        <v>95</v>
      </c>
      <c r="I73" s="146" t="s">
        <v>2234</v>
      </c>
      <c r="J73" s="147">
        <v>3177</v>
      </c>
      <c r="K73" s="247" t="s">
        <v>2593</v>
      </c>
      <c r="L73" s="168"/>
      <c r="M73" s="247" t="str">
        <f t="shared" si="1"/>
        <v>제2편 소송의 주체-제04장 당사자-제03절 소송상의 대리인-01</v>
      </c>
      <c r="N73" s="210"/>
      <c r="O73" s="262"/>
    </row>
    <row r="74" spans="2:15" ht="14.45" customHeight="1" x14ac:dyDescent="0.2">
      <c r="B74" s="80" t="s">
        <v>2539</v>
      </c>
      <c r="C74" s="85" t="s">
        <v>2524</v>
      </c>
      <c r="D74" s="90" t="s">
        <v>1317</v>
      </c>
      <c r="E74" s="148" t="s">
        <v>2425</v>
      </c>
      <c r="F74" s="149" t="s">
        <v>158</v>
      </c>
      <c r="G74" s="291" t="s">
        <v>2567</v>
      </c>
      <c r="H74" s="150" t="s">
        <v>2439</v>
      </c>
      <c r="I74" s="151" t="s">
        <v>2438</v>
      </c>
      <c r="J74" s="152">
        <v>1858</v>
      </c>
      <c r="K74" s="248" t="s">
        <v>2593</v>
      </c>
      <c r="L74" s="153"/>
      <c r="M74" s="248" t="str">
        <f t="shared" si="1"/>
        <v>제2편 소송의 주체-제04장 당사자-제03절 소송상의 대리인-02</v>
      </c>
      <c r="N74" s="211"/>
      <c r="O74" s="263"/>
    </row>
    <row r="75" spans="2:15" ht="14.45" customHeight="1" x14ac:dyDescent="0.2">
      <c r="B75" s="80" t="s">
        <v>2539</v>
      </c>
      <c r="C75" s="85" t="s">
        <v>2524</v>
      </c>
      <c r="D75" s="90" t="s">
        <v>3418</v>
      </c>
      <c r="E75" s="148" t="s">
        <v>2425</v>
      </c>
      <c r="F75" s="149" t="s">
        <v>2310</v>
      </c>
      <c r="G75" s="291" t="s">
        <v>2568</v>
      </c>
      <c r="H75" s="150" t="s">
        <v>2299</v>
      </c>
      <c r="I75" s="151" t="s">
        <v>2300</v>
      </c>
      <c r="J75" s="152">
        <v>3009</v>
      </c>
      <c r="K75" s="248" t="s">
        <v>2593</v>
      </c>
      <c r="L75" s="153" t="s">
        <v>3632</v>
      </c>
      <c r="M75" s="248" t="str">
        <f t="shared" si="1"/>
        <v>제2편 소송의 주체-제04장 당사자-제03절 소송상의 대리인-03</v>
      </c>
      <c r="N75" s="211"/>
      <c r="O75" s="263"/>
    </row>
    <row r="76" spans="2:15" ht="14.45" customHeight="1" x14ac:dyDescent="0.2">
      <c r="B76" s="80" t="s">
        <v>2539</v>
      </c>
      <c r="C76" s="85" t="s">
        <v>2524</v>
      </c>
      <c r="D76" s="90" t="s">
        <v>3418</v>
      </c>
      <c r="E76" s="148" t="s">
        <v>2425</v>
      </c>
      <c r="F76" s="149" t="s">
        <v>157</v>
      </c>
      <c r="G76" s="291" t="s">
        <v>2569</v>
      </c>
      <c r="H76" s="150" t="s">
        <v>156</v>
      </c>
      <c r="I76" s="151" t="s">
        <v>2170</v>
      </c>
      <c r="J76" s="152">
        <v>1483</v>
      </c>
      <c r="K76" s="248" t="s">
        <v>2593</v>
      </c>
      <c r="L76" s="153"/>
      <c r="M76" s="248" t="str">
        <f t="shared" si="1"/>
        <v>제2편 소송의 주체-제04장 당사자-제03절 소송상의 대리인-04</v>
      </c>
      <c r="N76" s="211"/>
      <c r="O76" s="263"/>
    </row>
    <row r="77" spans="2:15" ht="14.45" customHeight="1" thickBot="1" x14ac:dyDescent="0.25">
      <c r="B77" s="80" t="s">
        <v>2539</v>
      </c>
      <c r="C77" s="85" t="s">
        <v>2524</v>
      </c>
      <c r="D77" s="90" t="s">
        <v>3418</v>
      </c>
      <c r="E77" s="148" t="s">
        <v>2426</v>
      </c>
      <c r="F77" s="149" t="s">
        <v>3565</v>
      </c>
      <c r="G77" s="291" t="s">
        <v>3646</v>
      </c>
      <c r="H77" s="150" t="s">
        <v>3573</v>
      </c>
      <c r="I77" s="151" t="s">
        <v>3582</v>
      </c>
      <c r="J77" s="152">
        <v>1288</v>
      </c>
      <c r="K77" s="248" t="s">
        <v>2593</v>
      </c>
      <c r="L77" s="153" t="s">
        <v>3645</v>
      </c>
      <c r="M77" s="248" t="str">
        <f t="shared" si="1"/>
        <v>제2편 소송의 주체-제04장 당사자-제03절 소송상의 대리인-05</v>
      </c>
      <c r="N77" s="211"/>
      <c r="O77" s="263">
        <v>46211</v>
      </c>
    </row>
    <row r="78" spans="2:15" ht="14.45" hidden="1" customHeight="1" x14ac:dyDescent="0.25">
      <c r="B78" s="80" t="s">
        <v>2539</v>
      </c>
      <c r="C78" s="85" t="s">
        <v>2524</v>
      </c>
      <c r="D78" s="90" t="s">
        <v>3418</v>
      </c>
      <c r="E78" s="148" t="s">
        <v>1553</v>
      </c>
      <c r="F78" s="149" t="s">
        <v>3740</v>
      </c>
      <c r="G78" s="291" t="s">
        <v>3647</v>
      </c>
      <c r="H78" s="150" t="s">
        <v>3041</v>
      </c>
      <c r="I78" s="151" t="s">
        <v>2645</v>
      </c>
      <c r="J78" s="152">
        <v>319</v>
      </c>
      <c r="K78" s="248" t="s">
        <v>2595</v>
      </c>
      <c r="L78" s="153"/>
      <c r="M78" s="248" t="str">
        <f t="shared" si="1"/>
        <v>제2편 소송의 주체-제04장 당사자-제03절 소송상의 대리인-06</v>
      </c>
      <c r="N78" s="211"/>
      <c r="O78" s="263"/>
    </row>
    <row r="79" spans="2:15" ht="14.45" hidden="1" customHeight="1" x14ac:dyDescent="0.25">
      <c r="B79" s="80" t="s">
        <v>2539</v>
      </c>
      <c r="C79" s="85" t="s">
        <v>2524</v>
      </c>
      <c r="D79" s="90" t="s">
        <v>3418</v>
      </c>
      <c r="E79" s="148" t="s">
        <v>1553</v>
      </c>
      <c r="F79" s="149" t="s">
        <v>3741</v>
      </c>
      <c r="G79" s="291" t="s">
        <v>3648</v>
      </c>
      <c r="H79" s="150" t="s">
        <v>3042</v>
      </c>
      <c r="I79" s="151" t="s">
        <v>2646</v>
      </c>
      <c r="J79" s="152">
        <v>174</v>
      </c>
      <c r="K79" s="248" t="s">
        <v>2595</v>
      </c>
      <c r="L79" s="153"/>
      <c r="M79" s="248" t="str">
        <f t="shared" si="1"/>
        <v>제2편 소송의 주체-제04장 당사자-제03절 소송상의 대리인-07</v>
      </c>
      <c r="N79" s="211"/>
      <c r="O79" s="263"/>
    </row>
    <row r="80" spans="2:15" ht="14.45" hidden="1" customHeight="1" x14ac:dyDescent="0.25">
      <c r="B80" s="80" t="s">
        <v>2539</v>
      </c>
      <c r="C80" s="85" t="s">
        <v>2524</v>
      </c>
      <c r="D80" s="90" t="s">
        <v>3418</v>
      </c>
      <c r="E80" s="148" t="s">
        <v>1553</v>
      </c>
      <c r="F80" s="149" t="s">
        <v>3742</v>
      </c>
      <c r="G80" s="291" t="s">
        <v>3649</v>
      </c>
      <c r="H80" s="150" t="s">
        <v>3043</v>
      </c>
      <c r="I80" s="151" t="s">
        <v>2647</v>
      </c>
      <c r="J80" s="152">
        <v>174</v>
      </c>
      <c r="K80" s="248"/>
      <c r="L80" s="153"/>
      <c r="M80" s="248" t="str">
        <f t="shared" si="1"/>
        <v>제2편 소송의 주체-제04장 당사자-제03절 소송상의 대리인-08</v>
      </c>
      <c r="N80" s="211"/>
      <c r="O80" s="263"/>
    </row>
    <row r="81" spans="2:15" ht="14.45" hidden="1" customHeight="1" x14ac:dyDescent="0.25">
      <c r="B81" s="80" t="s">
        <v>2539</v>
      </c>
      <c r="C81" s="85" t="s">
        <v>2524</v>
      </c>
      <c r="D81" s="90" t="s">
        <v>3418</v>
      </c>
      <c r="E81" s="148" t="s">
        <v>1553</v>
      </c>
      <c r="F81" s="149" t="s">
        <v>3743</v>
      </c>
      <c r="G81" s="291" t="s">
        <v>3650</v>
      </c>
      <c r="H81" s="150" t="s">
        <v>3044</v>
      </c>
      <c r="I81" s="151" t="s">
        <v>2648</v>
      </c>
      <c r="J81" s="152">
        <v>394</v>
      </c>
      <c r="K81" s="248"/>
      <c r="L81" s="153"/>
      <c r="M81" s="248" t="str">
        <f t="shared" si="1"/>
        <v>제2편 소송의 주체-제04장 당사자-제03절 소송상의 대리인-09</v>
      </c>
      <c r="N81" s="211"/>
      <c r="O81" s="263"/>
    </row>
    <row r="82" spans="2:15" ht="14.45" hidden="1" customHeight="1" x14ac:dyDescent="0.25">
      <c r="B82" s="80" t="s">
        <v>2539</v>
      </c>
      <c r="C82" s="85" t="s">
        <v>2524</v>
      </c>
      <c r="D82" s="90" t="s">
        <v>3418</v>
      </c>
      <c r="E82" s="148" t="s">
        <v>1553</v>
      </c>
      <c r="F82" s="149" t="s">
        <v>3744</v>
      </c>
      <c r="G82" s="291" t="s">
        <v>3651</v>
      </c>
      <c r="H82" s="150" t="s">
        <v>3045</v>
      </c>
      <c r="I82" s="151" t="s">
        <v>2649</v>
      </c>
      <c r="J82" s="152">
        <v>323</v>
      </c>
      <c r="K82" s="248"/>
      <c r="L82" s="153"/>
      <c r="M82" s="248" t="str">
        <f t="shared" si="1"/>
        <v>제2편 소송의 주체-제04장 당사자-제03절 소송상의 대리인-10</v>
      </c>
      <c r="N82" s="211"/>
      <c r="O82" s="263"/>
    </row>
    <row r="83" spans="2:15" ht="14.45" hidden="1" customHeight="1" x14ac:dyDescent="0.25">
      <c r="B83" s="80" t="s">
        <v>2539</v>
      </c>
      <c r="C83" s="85" t="s">
        <v>2524</v>
      </c>
      <c r="D83" s="90" t="s">
        <v>3418</v>
      </c>
      <c r="E83" s="148" t="s">
        <v>1553</v>
      </c>
      <c r="F83" s="149" t="s">
        <v>3745</v>
      </c>
      <c r="G83" s="291" t="s">
        <v>3652</v>
      </c>
      <c r="H83" s="150" t="s">
        <v>3046</v>
      </c>
      <c r="I83" s="151" t="s">
        <v>2650</v>
      </c>
      <c r="J83" s="152">
        <v>625</v>
      </c>
      <c r="K83" s="248"/>
      <c r="L83" s="153"/>
      <c r="M83" s="248" t="str">
        <f t="shared" si="1"/>
        <v>제2편 소송의 주체-제04장 당사자-제03절 소송상의 대리인-11</v>
      </c>
      <c r="N83" s="211"/>
      <c r="O83" s="263"/>
    </row>
    <row r="84" spans="2:15" ht="14.45" hidden="1" customHeight="1" x14ac:dyDescent="0.25">
      <c r="B84" s="80" t="s">
        <v>2539</v>
      </c>
      <c r="C84" s="85" t="s">
        <v>2524</v>
      </c>
      <c r="D84" s="90" t="s">
        <v>3418</v>
      </c>
      <c r="E84" s="148" t="s">
        <v>1553</v>
      </c>
      <c r="F84" s="149" t="s">
        <v>3746</v>
      </c>
      <c r="G84" s="291" t="s">
        <v>3653</v>
      </c>
      <c r="H84" s="150" t="s">
        <v>3047</v>
      </c>
      <c r="I84" s="151" t="s">
        <v>2651</v>
      </c>
      <c r="J84" s="152">
        <v>277</v>
      </c>
      <c r="K84" s="248"/>
      <c r="L84" s="153"/>
      <c r="M84" s="248" t="str">
        <f t="shared" si="1"/>
        <v>제2편 소송의 주체-제04장 당사자-제03절 소송상의 대리인-12</v>
      </c>
      <c r="N84" s="211"/>
      <c r="O84" s="263"/>
    </row>
    <row r="85" spans="2:15" ht="14.45" hidden="1" customHeight="1" x14ac:dyDescent="0.25">
      <c r="B85" s="80" t="s">
        <v>2539</v>
      </c>
      <c r="C85" s="85" t="s">
        <v>2524</v>
      </c>
      <c r="D85" s="90" t="s">
        <v>3418</v>
      </c>
      <c r="E85" s="148" t="s">
        <v>1553</v>
      </c>
      <c r="F85" s="149" t="s">
        <v>3747</v>
      </c>
      <c r="G85" s="291" t="s">
        <v>3654</v>
      </c>
      <c r="H85" s="150" t="s">
        <v>3048</v>
      </c>
      <c r="I85" s="151" t="s">
        <v>2652</v>
      </c>
      <c r="J85" s="152">
        <v>259</v>
      </c>
      <c r="K85" s="248"/>
      <c r="L85" s="153"/>
      <c r="M85" s="248" t="str">
        <f t="shared" si="1"/>
        <v>제2편 소송의 주체-제04장 당사자-제03절 소송상의 대리인-13</v>
      </c>
      <c r="N85" s="211"/>
      <c r="O85" s="263"/>
    </row>
    <row r="86" spans="2:15" ht="14.45" hidden="1" customHeight="1" x14ac:dyDescent="0.25">
      <c r="B86" s="80" t="s">
        <v>2539</v>
      </c>
      <c r="C86" s="85" t="s">
        <v>2524</v>
      </c>
      <c r="D86" s="90" t="s">
        <v>3418</v>
      </c>
      <c r="E86" s="148" t="s">
        <v>1553</v>
      </c>
      <c r="F86" s="149" t="s">
        <v>3748</v>
      </c>
      <c r="G86" s="291" t="s">
        <v>3655</v>
      </c>
      <c r="H86" s="150" t="s">
        <v>3049</v>
      </c>
      <c r="I86" s="151" t="s">
        <v>2653</v>
      </c>
      <c r="J86" s="152">
        <v>242</v>
      </c>
      <c r="K86" s="248"/>
      <c r="L86" s="153"/>
      <c r="M86" s="248" t="str">
        <f t="shared" si="1"/>
        <v>제2편 소송의 주체-제04장 당사자-제03절 소송상의 대리인-14</v>
      </c>
      <c r="N86" s="211"/>
      <c r="O86" s="263"/>
    </row>
    <row r="87" spans="2:15" ht="14.45" hidden="1" customHeight="1" x14ac:dyDescent="0.25">
      <c r="B87" s="80" t="s">
        <v>2539</v>
      </c>
      <c r="C87" s="85" t="s">
        <v>2524</v>
      </c>
      <c r="D87" s="90" t="s">
        <v>3418</v>
      </c>
      <c r="E87" s="148" t="s">
        <v>1553</v>
      </c>
      <c r="F87" s="149" t="s">
        <v>3749</v>
      </c>
      <c r="G87" s="291" t="s">
        <v>3656</v>
      </c>
      <c r="H87" s="150" t="s">
        <v>3050</v>
      </c>
      <c r="I87" s="151" t="s">
        <v>2654</v>
      </c>
      <c r="J87" s="152">
        <v>460</v>
      </c>
      <c r="K87" s="248" t="s">
        <v>2594</v>
      </c>
      <c r="L87" s="153"/>
      <c r="M87" s="248" t="str">
        <f t="shared" si="1"/>
        <v>제2편 소송의 주체-제04장 당사자-제03절 소송상의 대리인-15</v>
      </c>
      <c r="N87" s="211"/>
      <c r="O87" s="263"/>
    </row>
    <row r="88" spans="2:15" ht="14.45" hidden="1" customHeight="1" x14ac:dyDescent="0.25">
      <c r="B88" s="80" t="s">
        <v>2539</v>
      </c>
      <c r="C88" s="85" t="s">
        <v>2524</v>
      </c>
      <c r="D88" s="90" t="s">
        <v>3418</v>
      </c>
      <c r="E88" s="148" t="s">
        <v>1553</v>
      </c>
      <c r="F88" s="149" t="s">
        <v>3750</v>
      </c>
      <c r="G88" s="291" t="s">
        <v>3657</v>
      </c>
      <c r="H88" s="150" t="s">
        <v>3051</v>
      </c>
      <c r="I88" s="151" t="s">
        <v>2655</v>
      </c>
      <c r="J88" s="152">
        <v>231</v>
      </c>
      <c r="K88" s="248"/>
      <c r="L88" s="153"/>
      <c r="M88" s="248" t="str">
        <f t="shared" si="1"/>
        <v>제2편 소송의 주체-제04장 당사자-제03절 소송상의 대리인-16</v>
      </c>
      <c r="N88" s="211"/>
      <c r="O88" s="263"/>
    </row>
    <row r="89" spans="2:15" ht="14.45" hidden="1" customHeight="1" x14ac:dyDescent="0.25">
      <c r="B89" s="80" t="s">
        <v>2539</v>
      </c>
      <c r="C89" s="85" t="s">
        <v>2524</v>
      </c>
      <c r="D89" s="90" t="s">
        <v>3418</v>
      </c>
      <c r="E89" s="148" t="s">
        <v>1553</v>
      </c>
      <c r="F89" s="149" t="s">
        <v>3751</v>
      </c>
      <c r="G89" s="291" t="s">
        <v>3658</v>
      </c>
      <c r="H89" s="150" t="s">
        <v>3052</v>
      </c>
      <c r="I89" s="151" t="s">
        <v>2656</v>
      </c>
      <c r="J89" s="152">
        <v>134</v>
      </c>
      <c r="K89" s="248"/>
      <c r="L89" s="153"/>
      <c r="M89" s="248" t="str">
        <f t="shared" si="1"/>
        <v>제2편 소송의 주체-제04장 당사자-제03절 소송상의 대리인-17</v>
      </c>
      <c r="N89" s="211"/>
      <c r="O89" s="263"/>
    </row>
    <row r="90" spans="2:15" ht="14.45" hidden="1" customHeight="1" x14ac:dyDescent="0.25">
      <c r="B90" s="80" t="s">
        <v>2539</v>
      </c>
      <c r="C90" s="85" t="s">
        <v>2524</v>
      </c>
      <c r="D90" s="90" t="s">
        <v>3418</v>
      </c>
      <c r="E90" s="148" t="s">
        <v>1553</v>
      </c>
      <c r="F90" s="149" t="s">
        <v>3752</v>
      </c>
      <c r="G90" s="291" t="s">
        <v>3659</v>
      </c>
      <c r="H90" s="150" t="s">
        <v>3053</v>
      </c>
      <c r="I90" s="151" t="s">
        <v>2657</v>
      </c>
      <c r="J90" s="152">
        <v>341</v>
      </c>
      <c r="K90" s="248" t="s">
        <v>2593</v>
      </c>
      <c r="L90" s="153"/>
      <c r="M90" s="248" t="str">
        <f t="shared" si="1"/>
        <v>제2편 소송의 주체-제04장 당사자-제03절 소송상의 대리인-18</v>
      </c>
      <c r="N90" s="211"/>
      <c r="O90" s="263"/>
    </row>
    <row r="91" spans="2:15" ht="14.45" hidden="1" customHeight="1" x14ac:dyDescent="0.25">
      <c r="B91" s="80" t="s">
        <v>2539</v>
      </c>
      <c r="C91" s="85" t="s">
        <v>2524</v>
      </c>
      <c r="D91" s="90" t="s">
        <v>3418</v>
      </c>
      <c r="E91" s="148" t="s">
        <v>1553</v>
      </c>
      <c r="F91" s="149" t="s">
        <v>3753</v>
      </c>
      <c r="G91" s="291" t="s">
        <v>3660</v>
      </c>
      <c r="H91" s="150" t="s">
        <v>3054</v>
      </c>
      <c r="I91" s="151" t="s">
        <v>2658</v>
      </c>
      <c r="J91" s="152">
        <v>107</v>
      </c>
      <c r="K91" s="248"/>
      <c r="L91" s="153"/>
      <c r="M91" s="248" t="str">
        <f t="shared" si="1"/>
        <v>제2편 소송의 주체-제04장 당사자-제03절 소송상의 대리인-19</v>
      </c>
      <c r="N91" s="211"/>
      <c r="O91" s="263"/>
    </row>
    <row r="92" spans="2:15" ht="14.45" hidden="1" customHeight="1" x14ac:dyDescent="0.25">
      <c r="B92" s="80" t="s">
        <v>2539</v>
      </c>
      <c r="C92" s="85" t="s">
        <v>2524</v>
      </c>
      <c r="D92" s="90" t="s">
        <v>3418</v>
      </c>
      <c r="E92" s="148" t="s">
        <v>1553</v>
      </c>
      <c r="F92" s="149" t="s">
        <v>3754</v>
      </c>
      <c r="G92" s="291" t="s">
        <v>3661</v>
      </c>
      <c r="H92" s="150" t="s">
        <v>3055</v>
      </c>
      <c r="I92" s="151" t="s">
        <v>2659</v>
      </c>
      <c r="J92" s="152">
        <v>550</v>
      </c>
      <c r="K92" s="248"/>
      <c r="L92" s="153"/>
      <c r="M92" s="248" t="str">
        <f t="shared" si="1"/>
        <v>제2편 소송의 주체-제04장 당사자-제03절 소송상의 대리인-20</v>
      </c>
      <c r="N92" s="211"/>
      <c r="O92" s="263"/>
    </row>
    <row r="93" spans="2:15" ht="14.45" hidden="1" customHeight="1" thickBot="1" x14ac:dyDescent="0.25">
      <c r="B93" s="81" t="s">
        <v>2539</v>
      </c>
      <c r="C93" s="86" t="s">
        <v>2524</v>
      </c>
      <c r="D93" s="91" t="s">
        <v>3418</v>
      </c>
      <c r="E93" s="154" t="s">
        <v>1553</v>
      </c>
      <c r="F93" s="155" t="s">
        <v>3755</v>
      </c>
      <c r="G93" s="292" t="s">
        <v>3662</v>
      </c>
      <c r="H93" s="156" t="s">
        <v>3056</v>
      </c>
      <c r="I93" s="157" t="s">
        <v>2660</v>
      </c>
      <c r="J93" s="158">
        <v>184</v>
      </c>
      <c r="K93" s="249"/>
      <c r="L93" s="170"/>
      <c r="M93" s="249" t="str">
        <f t="shared" si="1"/>
        <v>제2편 소송의 주체-제04장 당사자-제03절 소송상의 대리인-21</v>
      </c>
      <c r="N93" s="212"/>
      <c r="O93" s="264"/>
    </row>
    <row r="94" spans="2:15" ht="14.45" customHeight="1" x14ac:dyDescent="0.2">
      <c r="B94" s="61" t="s">
        <v>2602</v>
      </c>
      <c r="C94" s="64" t="s">
        <v>3463</v>
      </c>
      <c r="D94" s="84" t="s">
        <v>3481</v>
      </c>
      <c r="E94" s="137" t="s">
        <v>7</v>
      </c>
      <c r="F94" s="138" t="s">
        <v>2223</v>
      </c>
      <c r="G94" s="293" t="s">
        <v>2566</v>
      </c>
      <c r="H94" s="139" t="s">
        <v>96</v>
      </c>
      <c r="I94" s="140" t="s">
        <v>2267</v>
      </c>
      <c r="J94" s="141">
        <v>1440</v>
      </c>
      <c r="K94" s="244" t="s">
        <v>2595</v>
      </c>
      <c r="L94" s="169"/>
      <c r="M94" s="244" t="str">
        <f t="shared" si="1"/>
        <v>제3편 제1심의 소송절차-제05장 소송 개시와 심리 대상-제01절 소송의 개시-01</v>
      </c>
      <c r="N94" s="209"/>
      <c r="O94" s="259"/>
    </row>
    <row r="95" spans="2:15" ht="14.45" hidden="1" customHeight="1" x14ac:dyDescent="0.2">
      <c r="B95" s="80" t="s">
        <v>2540</v>
      </c>
      <c r="C95" s="85" t="s">
        <v>2564</v>
      </c>
      <c r="D95" s="90" t="s">
        <v>3481</v>
      </c>
      <c r="E95" s="148" t="s">
        <v>1553</v>
      </c>
      <c r="F95" s="149" t="s">
        <v>3756</v>
      </c>
      <c r="G95" s="291" t="s">
        <v>2567</v>
      </c>
      <c r="H95" s="150" t="s">
        <v>3057</v>
      </c>
      <c r="I95" s="151" t="s">
        <v>2661</v>
      </c>
      <c r="J95" s="152">
        <v>263</v>
      </c>
      <c r="K95" s="248"/>
      <c r="L95" s="153"/>
      <c r="M95" s="248" t="str">
        <f t="shared" si="1"/>
        <v>제3편 제1심의 소송절차-제05장 소송 개시와 심리 대상-제01절 소송의 개시-02</v>
      </c>
      <c r="N95" s="211"/>
      <c r="O95" s="263"/>
    </row>
    <row r="96" spans="2:15" ht="14.45" hidden="1" customHeight="1" x14ac:dyDescent="0.2">
      <c r="B96" s="80" t="s">
        <v>2540</v>
      </c>
      <c r="C96" s="85" t="s">
        <v>2564</v>
      </c>
      <c r="D96" s="90" t="s">
        <v>3481</v>
      </c>
      <c r="E96" s="148" t="s">
        <v>1553</v>
      </c>
      <c r="F96" s="149" t="s">
        <v>3757</v>
      </c>
      <c r="G96" s="291" t="s">
        <v>2568</v>
      </c>
      <c r="H96" s="150" t="s">
        <v>3058</v>
      </c>
      <c r="I96" s="151" t="s">
        <v>2662</v>
      </c>
      <c r="J96" s="152">
        <v>657</v>
      </c>
      <c r="K96" s="248"/>
      <c r="L96" s="153"/>
      <c r="M96" s="248" t="str">
        <f t="shared" si="1"/>
        <v>제3편 제1심의 소송절차-제05장 소송 개시와 심리 대상-제01절 소송의 개시-03</v>
      </c>
      <c r="N96" s="211"/>
      <c r="O96" s="263"/>
    </row>
    <row r="97" spans="2:15" ht="14.45" hidden="1" customHeight="1" x14ac:dyDescent="0.2">
      <c r="B97" s="80" t="s">
        <v>2540</v>
      </c>
      <c r="C97" s="85" t="s">
        <v>2564</v>
      </c>
      <c r="D97" s="90" t="s">
        <v>3481</v>
      </c>
      <c r="E97" s="148" t="s">
        <v>1553</v>
      </c>
      <c r="F97" s="149" t="s">
        <v>3758</v>
      </c>
      <c r="G97" s="291" t="s">
        <v>2569</v>
      </c>
      <c r="H97" s="150" t="s">
        <v>3059</v>
      </c>
      <c r="I97" s="151" t="s">
        <v>2663</v>
      </c>
      <c r="J97" s="152">
        <v>472</v>
      </c>
      <c r="K97" s="248"/>
      <c r="L97" s="153"/>
      <c r="M97" s="248" t="str">
        <f t="shared" si="1"/>
        <v>제3편 제1심의 소송절차-제05장 소송 개시와 심리 대상-제01절 소송의 개시-04</v>
      </c>
      <c r="N97" s="211"/>
      <c r="O97" s="263"/>
    </row>
    <row r="98" spans="2:15" ht="14.45" hidden="1" customHeight="1" x14ac:dyDescent="0.2">
      <c r="B98" s="80" t="s">
        <v>2540</v>
      </c>
      <c r="C98" s="85" t="s">
        <v>2564</v>
      </c>
      <c r="D98" s="90" t="s">
        <v>3481</v>
      </c>
      <c r="E98" s="148" t="s">
        <v>1553</v>
      </c>
      <c r="F98" s="149" t="s">
        <v>3759</v>
      </c>
      <c r="G98" s="291" t="s">
        <v>3646</v>
      </c>
      <c r="H98" s="150" t="s">
        <v>3069</v>
      </c>
      <c r="I98" s="151" t="s">
        <v>2673</v>
      </c>
      <c r="J98" s="152">
        <v>313</v>
      </c>
      <c r="K98" s="248"/>
      <c r="L98" s="153"/>
      <c r="M98" s="248" t="str">
        <f t="shared" si="1"/>
        <v>제3편 제1심의 소송절차-제05장 소송 개시와 심리 대상-제01절 소송의 개시-05</v>
      </c>
      <c r="N98" s="211"/>
      <c r="O98" s="263"/>
    </row>
    <row r="99" spans="2:15" ht="14.45" hidden="1" customHeight="1" x14ac:dyDescent="0.2">
      <c r="B99" s="80" t="s">
        <v>2540</v>
      </c>
      <c r="C99" s="85" t="s">
        <v>2564</v>
      </c>
      <c r="D99" s="90" t="s">
        <v>3481</v>
      </c>
      <c r="E99" s="148" t="s">
        <v>1553</v>
      </c>
      <c r="F99" s="149" t="s">
        <v>3759</v>
      </c>
      <c r="G99" s="291" t="s">
        <v>3647</v>
      </c>
      <c r="H99" s="150" t="s">
        <v>3069</v>
      </c>
      <c r="I99" s="151" t="s">
        <v>2673</v>
      </c>
      <c r="J99" s="152">
        <v>313</v>
      </c>
      <c r="K99" s="248"/>
      <c r="L99" s="153"/>
      <c r="M99" s="248" t="str">
        <f t="shared" si="1"/>
        <v>제3편 제1심의 소송절차-제05장 소송 개시와 심리 대상-제01절 소송의 개시-06</v>
      </c>
      <c r="N99" s="211"/>
      <c r="O99" s="263"/>
    </row>
    <row r="100" spans="2:15" ht="14.45" hidden="1" customHeight="1" x14ac:dyDescent="0.2">
      <c r="B100" s="80" t="s">
        <v>2540</v>
      </c>
      <c r="C100" s="85" t="s">
        <v>2564</v>
      </c>
      <c r="D100" s="90" t="s">
        <v>3481</v>
      </c>
      <c r="E100" s="148" t="s">
        <v>1553</v>
      </c>
      <c r="F100" s="149" t="s">
        <v>3760</v>
      </c>
      <c r="G100" s="291" t="s">
        <v>3648</v>
      </c>
      <c r="H100" s="150" t="s">
        <v>3070</v>
      </c>
      <c r="I100" s="151" t="s">
        <v>2674</v>
      </c>
      <c r="J100" s="152">
        <v>693</v>
      </c>
      <c r="K100" s="248"/>
      <c r="L100" s="153"/>
      <c r="M100" s="248" t="str">
        <f t="shared" si="1"/>
        <v>제3편 제1심의 소송절차-제05장 소송 개시와 심리 대상-제01절 소송의 개시-07</v>
      </c>
      <c r="N100" s="211"/>
      <c r="O100" s="263"/>
    </row>
    <row r="101" spans="2:15" ht="14.45" hidden="1" customHeight="1" x14ac:dyDescent="0.2">
      <c r="B101" s="80" t="s">
        <v>2540</v>
      </c>
      <c r="C101" s="85" t="s">
        <v>2564</v>
      </c>
      <c r="D101" s="90" t="s">
        <v>3481</v>
      </c>
      <c r="E101" s="148" t="s">
        <v>1553</v>
      </c>
      <c r="F101" s="149" t="s">
        <v>3760</v>
      </c>
      <c r="G101" s="291" t="s">
        <v>3649</v>
      </c>
      <c r="H101" s="150" t="s">
        <v>3070</v>
      </c>
      <c r="I101" s="151" t="s">
        <v>2674</v>
      </c>
      <c r="J101" s="152">
        <v>693</v>
      </c>
      <c r="K101" s="248"/>
      <c r="L101" s="153"/>
      <c r="M101" s="248" t="str">
        <f t="shared" si="1"/>
        <v>제3편 제1심의 소송절차-제05장 소송 개시와 심리 대상-제01절 소송의 개시-08</v>
      </c>
      <c r="N101" s="211"/>
      <c r="O101" s="263"/>
    </row>
    <row r="102" spans="2:15" ht="14.45" hidden="1" customHeight="1" x14ac:dyDescent="0.2">
      <c r="B102" s="80" t="s">
        <v>2540</v>
      </c>
      <c r="C102" s="85" t="s">
        <v>2564</v>
      </c>
      <c r="D102" s="90" t="s">
        <v>3481</v>
      </c>
      <c r="E102" s="148" t="s">
        <v>1553</v>
      </c>
      <c r="F102" s="149" t="s">
        <v>3761</v>
      </c>
      <c r="G102" s="291" t="s">
        <v>3650</v>
      </c>
      <c r="H102" s="150" t="s">
        <v>3071</v>
      </c>
      <c r="I102" s="151" t="s">
        <v>2675</v>
      </c>
      <c r="J102" s="152">
        <v>1182</v>
      </c>
      <c r="K102" s="248"/>
      <c r="L102" s="153"/>
      <c r="M102" s="248" t="str">
        <f t="shared" si="1"/>
        <v>제3편 제1심의 소송절차-제05장 소송 개시와 심리 대상-제01절 소송의 개시-09</v>
      </c>
      <c r="N102" s="211"/>
      <c r="O102" s="263"/>
    </row>
    <row r="103" spans="2:15" ht="14.45" hidden="1" customHeight="1" x14ac:dyDescent="0.2">
      <c r="B103" s="80" t="s">
        <v>2540</v>
      </c>
      <c r="C103" s="85" t="s">
        <v>2564</v>
      </c>
      <c r="D103" s="89" t="s">
        <v>3481</v>
      </c>
      <c r="E103" s="213" t="s">
        <v>1553</v>
      </c>
      <c r="F103" s="214" t="s">
        <v>3762</v>
      </c>
      <c r="G103" s="290" t="s">
        <v>3651</v>
      </c>
      <c r="H103" s="215" t="s">
        <v>3072</v>
      </c>
      <c r="I103" s="216" t="s">
        <v>2676</v>
      </c>
      <c r="J103" s="217">
        <v>264</v>
      </c>
      <c r="K103" s="245"/>
      <c r="L103" s="219"/>
      <c r="M103" s="245" t="str">
        <f t="shared" si="1"/>
        <v>제3편 제1심의 소송절차-제05장 소송 개시와 심리 대상-제01절 소송의 개시-10</v>
      </c>
      <c r="N103" s="218"/>
      <c r="O103" s="260"/>
    </row>
    <row r="104" spans="2:15" ht="14.45" customHeight="1" x14ac:dyDescent="0.2">
      <c r="B104" s="80" t="s">
        <v>2540</v>
      </c>
      <c r="C104" s="85" t="s">
        <v>2564</v>
      </c>
      <c r="D104" s="83" t="s">
        <v>3432</v>
      </c>
      <c r="E104" s="143" t="s">
        <v>7</v>
      </c>
      <c r="F104" s="144" t="s">
        <v>2223</v>
      </c>
      <c r="G104" s="295" t="s">
        <v>2566</v>
      </c>
      <c r="H104" s="145" t="s">
        <v>97</v>
      </c>
      <c r="I104" s="146" t="s">
        <v>2288</v>
      </c>
      <c r="J104" s="147">
        <v>2565</v>
      </c>
      <c r="K104" s="247" t="s">
        <v>2595</v>
      </c>
      <c r="L104" s="168"/>
      <c r="M104" s="247" t="str">
        <f t="shared" si="1"/>
        <v>제3편 제1심의 소송절차-제05장 소송 개시와 심리 대상-제02절 소송요건-01</v>
      </c>
      <c r="N104" s="210"/>
      <c r="O104" s="262"/>
    </row>
    <row r="105" spans="2:15" ht="14.45" customHeight="1" x14ac:dyDescent="0.2">
      <c r="B105" s="80" t="s">
        <v>2540</v>
      </c>
      <c r="C105" s="85" t="s">
        <v>2564</v>
      </c>
      <c r="D105" s="90" t="s">
        <v>3432</v>
      </c>
      <c r="E105" s="148" t="s">
        <v>2426</v>
      </c>
      <c r="F105" s="149" t="s">
        <v>3551</v>
      </c>
      <c r="G105" s="291" t="s">
        <v>2567</v>
      </c>
      <c r="H105" s="150" t="s">
        <v>2291</v>
      </c>
      <c r="I105" s="151" t="s">
        <v>2292</v>
      </c>
      <c r="J105" s="152">
        <v>2288</v>
      </c>
      <c r="K105" s="248" t="s">
        <v>2595</v>
      </c>
      <c r="L105" s="153"/>
      <c r="M105" s="248" t="str">
        <f t="shared" si="1"/>
        <v>제3편 제1심의 소송절차-제05장 소송 개시와 심리 대상-제02절 소송요건-02</v>
      </c>
      <c r="N105" s="211"/>
      <c r="O105" s="263"/>
    </row>
    <row r="106" spans="2:15" ht="14.45" customHeight="1" x14ac:dyDescent="0.2">
      <c r="B106" s="80" t="s">
        <v>2540</v>
      </c>
      <c r="C106" s="85" t="s">
        <v>2564</v>
      </c>
      <c r="D106" s="90" t="s">
        <v>3432</v>
      </c>
      <c r="E106" s="148" t="s">
        <v>2426</v>
      </c>
      <c r="F106" s="149" t="s">
        <v>3552</v>
      </c>
      <c r="G106" s="291" t="s">
        <v>2568</v>
      </c>
      <c r="H106" s="150" t="s">
        <v>2293</v>
      </c>
      <c r="I106" s="151" t="s">
        <v>2294</v>
      </c>
      <c r="J106" s="152">
        <v>2132</v>
      </c>
      <c r="K106" s="248" t="s">
        <v>2595</v>
      </c>
      <c r="L106" s="153"/>
      <c r="M106" s="248" t="str">
        <f t="shared" si="1"/>
        <v>제3편 제1심의 소송절차-제05장 소송 개시와 심리 대상-제02절 소송요건-03</v>
      </c>
      <c r="N106" s="211"/>
      <c r="O106" s="263"/>
    </row>
    <row r="107" spans="2:15" ht="14.45" customHeight="1" x14ac:dyDescent="0.2">
      <c r="B107" s="80" t="s">
        <v>2540</v>
      </c>
      <c r="C107" s="85" t="s">
        <v>2564</v>
      </c>
      <c r="D107" s="90" t="s">
        <v>3432</v>
      </c>
      <c r="E107" s="148" t="s">
        <v>2334</v>
      </c>
      <c r="F107" s="149" t="s">
        <v>3633</v>
      </c>
      <c r="G107" s="291" t="s">
        <v>2569</v>
      </c>
      <c r="H107" s="150" t="s">
        <v>3640</v>
      </c>
      <c r="I107" s="151" t="s">
        <v>3634</v>
      </c>
      <c r="J107" s="152">
        <v>1198</v>
      </c>
      <c r="K107" s="248" t="s">
        <v>2593</v>
      </c>
      <c r="L107" s="153" t="s">
        <v>3645</v>
      </c>
      <c r="M107" s="248" t="str">
        <f t="shared" si="1"/>
        <v>제3편 제1심의 소송절차-제05장 소송 개시와 심리 대상-제02절 소송요건-04</v>
      </c>
      <c r="N107" s="211"/>
      <c r="O107" s="263">
        <v>46212</v>
      </c>
    </row>
    <row r="108" spans="2:15" ht="14.45" hidden="1" customHeight="1" x14ac:dyDescent="0.2">
      <c r="B108" s="80" t="s">
        <v>2540</v>
      </c>
      <c r="C108" s="85" t="s">
        <v>2564</v>
      </c>
      <c r="D108" s="90" t="s">
        <v>3432</v>
      </c>
      <c r="E108" s="148" t="s">
        <v>1553</v>
      </c>
      <c r="F108" s="149" t="s">
        <v>3763</v>
      </c>
      <c r="G108" s="291" t="s">
        <v>3646</v>
      </c>
      <c r="H108" s="150" t="s">
        <v>3060</v>
      </c>
      <c r="I108" s="151" t="s">
        <v>2664</v>
      </c>
      <c r="J108" s="152">
        <v>205</v>
      </c>
      <c r="K108" s="248"/>
      <c r="L108" s="153"/>
      <c r="M108" s="248" t="str">
        <f t="shared" si="1"/>
        <v>제3편 제1심의 소송절차-제05장 소송 개시와 심리 대상-제02절 소송요건-05</v>
      </c>
      <c r="N108" s="211"/>
      <c r="O108" s="263"/>
    </row>
    <row r="109" spans="2:15" ht="14.45" hidden="1" customHeight="1" x14ac:dyDescent="0.2">
      <c r="B109" s="80" t="s">
        <v>2540</v>
      </c>
      <c r="C109" s="85" t="s">
        <v>2564</v>
      </c>
      <c r="D109" s="90" t="s">
        <v>3432</v>
      </c>
      <c r="E109" s="148" t="s">
        <v>1553</v>
      </c>
      <c r="F109" s="149" t="s">
        <v>3764</v>
      </c>
      <c r="G109" s="291" t="s">
        <v>3647</v>
      </c>
      <c r="H109" s="150" t="s">
        <v>3061</v>
      </c>
      <c r="I109" s="151" t="s">
        <v>2665</v>
      </c>
      <c r="J109" s="152">
        <v>211</v>
      </c>
      <c r="K109" s="248"/>
      <c r="L109" s="153"/>
      <c r="M109" s="248" t="str">
        <f t="shared" si="1"/>
        <v>제3편 제1심의 소송절차-제05장 소송 개시와 심리 대상-제02절 소송요건-06</v>
      </c>
      <c r="N109" s="211"/>
      <c r="O109" s="263"/>
    </row>
    <row r="110" spans="2:15" ht="14.45" hidden="1" customHeight="1" x14ac:dyDescent="0.2">
      <c r="B110" s="80" t="s">
        <v>2540</v>
      </c>
      <c r="C110" s="85" t="s">
        <v>2564</v>
      </c>
      <c r="D110" s="89" t="s">
        <v>3432</v>
      </c>
      <c r="E110" s="213" t="s">
        <v>1553</v>
      </c>
      <c r="F110" s="214" t="s">
        <v>3765</v>
      </c>
      <c r="G110" s="290" t="s">
        <v>3648</v>
      </c>
      <c r="H110" s="215" t="s">
        <v>3062</v>
      </c>
      <c r="I110" s="216" t="s">
        <v>2666</v>
      </c>
      <c r="J110" s="217">
        <v>295</v>
      </c>
      <c r="K110" s="245"/>
      <c r="L110" s="219"/>
      <c r="M110" s="245" t="str">
        <f t="shared" si="1"/>
        <v>제3편 제1심의 소송절차-제05장 소송 개시와 심리 대상-제02절 소송요건-07</v>
      </c>
      <c r="N110" s="218"/>
      <c r="O110" s="260"/>
    </row>
    <row r="111" spans="2:15" ht="14.45" customHeight="1" x14ac:dyDescent="0.2">
      <c r="B111" s="80" t="s">
        <v>2540</v>
      </c>
      <c r="C111" s="85" t="s">
        <v>2564</v>
      </c>
      <c r="D111" s="83" t="s">
        <v>3419</v>
      </c>
      <c r="E111" s="143" t="s">
        <v>7</v>
      </c>
      <c r="F111" s="144" t="s">
        <v>2223</v>
      </c>
      <c r="G111" s="295" t="s">
        <v>2566</v>
      </c>
      <c r="H111" s="145" t="s">
        <v>98</v>
      </c>
      <c r="I111" s="146" t="s">
        <v>2268</v>
      </c>
      <c r="J111" s="147">
        <v>2433</v>
      </c>
      <c r="K111" s="247" t="s">
        <v>2594</v>
      </c>
      <c r="L111" s="168"/>
      <c r="M111" s="247" t="str">
        <f t="shared" si="1"/>
        <v>제3편 제1심의 소송절차-제05장 소송 개시와 심리 대상-제03절 소의 이익-01</v>
      </c>
      <c r="N111" s="210"/>
      <c r="O111" s="262"/>
    </row>
    <row r="112" spans="2:15" ht="14.45" customHeight="1" x14ac:dyDescent="0.2">
      <c r="B112" s="80" t="s">
        <v>2540</v>
      </c>
      <c r="C112" s="85" t="s">
        <v>2564</v>
      </c>
      <c r="D112" s="90" t="s">
        <v>3419</v>
      </c>
      <c r="E112" s="148" t="s">
        <v>2425</v>
      </c>
      <c r="F112" s="149" t="s">
        <v>160</v>
      </c>
      <c r="G112" s="291" t="s">
        <v>2567</v>
      </c>
      <c r="H112" s="150" t="s">
        <v>2447</v>
      </c>
      <c r="I112" s="151" t="s">
        <v>2448</v>
      </c>
      <c r="J112" s="152">
        <v>1668</v>
      </c>
      <c r="K112" s="248" t="s">
        <v>2594</v>
      </c>
      <c r="L112" s="153"/>
      <c r="M112" s="248" t="str">
        <f t="shared" si="1"/>
        <v>제3편 제1심의 소송절차-제05장 소송 개시와 심리 대상-제03절 소의 이익-02</v>
      </c>
      <c r="N112" s="211"/>
      <c r="O112" s="263"/>
    </row>
    <row r="113" spans="2:15" ht="14.45" customHeight="1" x14ac:dyDescent="0.2">
      <c r="B113" s="80" t="s">
        <v>2540</v>
      </c>
      <c r="C113" s="85" t="s">
        <v>2564</v>
      </c>
      <c r="D113" s="90" t="s">
        <v>3419</v>
      </c>
      <c r="E113" s="148" t="s">
        <v>2425</v>
      </c>
      <c r="F113" s="149" t="s">
        <v>2311</v>
      </c>
      <c r="G113" s="291" t="s">
        <v>2568</v>
      </c>
      <c r="H113" s="150" t="s">
        <v>2444</v>
      </c>
      <c r="I113" s="151" t="s">
        <v>2445</v>
      </c>
      <c r="J113" s="152">
        <v>1691</v>
      </c>
      <c r="K113" s="248" t="s">
        <v>2594</v>
      </c>
      <c r="L113" s="153" t="s">
        <v>3645</v>
      </c>
      <c r="M113" s="248" t="str">
        <f t="shared" si="1"/>
        <v>제3편 제1심의 소송절차-제05장 소송 개시와 심리 대상-제03절 소의 이익-03</v>
      </c>
      <c r="N113" s="211"/>
      <c r="O113" s="263"/>
    </row>
    <row r="114" spans="2:15" ht="14.45" customHeight="1" x14ac:dyDescent="0.2">
      <c r="B114" s="80" t="s">
        <v>2540</v>
      </c>
      <c r="C114" s="85" t="s">
        <v>2564</v>
      </c>
      <c r="D114" s="90" t="s">
        <v>3419</v>
      </c>
      <c r="E114" s="148" t="s">
        <v>2425</v>
      </c>
      <c r="F114" s="149" t="s">
        <v>159</v>
      </c>
      <c r="G114" s="291" t="s">
        <v>2569</v>
      </c>
      <c r="H114" s="150" t="s">
        <v>2441</v>
      </c>
      <c r="I114" s="151" t="s">
        <v>2442</v>
      </c>
      <c r="J114" s="152">
        <v>1135</v>
      </c>
      <c r="K114" s="248" t="s">
        <v>2594</v>
      </c>
      <c r="L114" s="153" t="s">
        <v>3645</v>
      </c>
      <c r="M114" s="248" t="str">
        <f t="shared" si="1"/>
        <v>제3편 제1심의 소송절차-제05장 소송 개시와 심리 대상-제03절 소의 이익-04</v>
      </c>
      <c r="N114" s="211"/>
      <c r="O114" s="263"/>
    </row>
    <row r="115" spans="2:15" ht="14.45" hidden="1" customHeight="1" x14ac:dyDescent="0.2">
      <c r="B115" s="80" t="s">
        <v>2540</v>
      </c>
      <c r="C115" s="85" t="s">
        <v>2564</v>
      </c>
      <c r="D115" s="90" t="s">
        <v>3419</v>
      </c>
      <c r="E115" s="148" t="s">
        <v>1553</v>
      </c>
      <c r="F115" s="149" t="s">
        <v>3766</v>
      </c>
      <c r="G115" s="291" t="s">
        <v>3646</v>
      </c>
      <c r="H115" s="150" t="s">
        <v>3063</v>
      </c>
      <c r="I115" s="151" t="s">
        <v>2667</v>
      </c>
      <c r="J115" s="152">
        <v>1250</v>
      </c>
      <c r="K115" s="248"/>
      <c r="L115" s="153"/>
      <c r="M115" s="248" t="str">
        <f t="shared" si="1"/>
        <v>제3편 제1심의 소송절차-제05장 소송 개시와 심리 대상-제03절 소의 이익-05</v>
      </c>
      <c r="N115" s="211"/>
      <c r="O115" s="263"/>
    </row>
    <row r="116" spans="2:15" ht="14.45" hidden="1" customHeight="1" x14ac:dyDescent="0.2">
      <c r="B116" s="80" t="s">
        <v>2540</v>
      </c>
      <c r="C116" s="85" t="s">
        <v>2564</v>
      </c>
      <c r="D116" s="90" t="s">
        <v>3419</v>
      </c>
      <c r="E116" s="148" t="s">
        <v>1553</v>
      </c>
      <c r="F116" s="149" t="s">
        <v>3767</v>
      </c>
      <c r="G116" s="291" t="s">
        <v>3647</v>
      </c>
      <c r="H116" s="150" t="s">
        <v>3064</v>
      </c>
      <c r="I116" s="151" t="s">
        <v>2668</v>
      </c>
      <c r="J116" s="152">
        <v>415</v>
      </c>
      <c r="K116" s="248"/>
      <c r="L116" s="153"/>
      <c r="M116" s="248" t="str">
        <f t="shared" si="1"/>
        <v>제3편 제1심의 소송절차-제05장 소송 개시와 심리 대상-제03절 소의 이익-06</v>
      </c>
      <c r="N116" s="211"/>
      <c r="O116" s="263"/>
    </row>
    <row r="117" spans="2:15" ht="14.45" hidden="1" customHeight="1" x14ac:dyDescent="0.2">
      <c r="B117" s="80" t="s">
        <v>2540</v>
      </c>
      <c r="C117" s="85" t="s">
        <v>2564</v>
      </c>
      <c r="D117" s="90" t="s">
        <v>3419</v>
      </c>
      <c r="E117" s="148" t="s">
        <v>1553</v>
      </c>
      <c r="F117" s="149" t="s">
        <v>3768</v>
      </c>
      <c r="G117" s="291" t="s">
        <v>3648</v>
      </c>
      <c r="H117" s="150" t="s">
        <v>3065</v>
      </c>
      <c r="I117" s="151" t="s">
        <v>2669</v>
      </c>
      <c r="J117" s="152">
        <v>323</v>
      </c>
      <c r="K117" s="248"/>
      <c r="L117" s="153"/>
      <c r="M117" s="248" t="str">
        <f t="shared" si="1"/>
        <v>제3편 제1심의 소송절차-제05장 소송 개시와 심리 대상-제03절 소의 이익-07</v>
      </c>
      <c r="N117" s="211"/>
      <c r="O117" s="263"/>
    </row>
    <row r="118" spans="2:15" ht="14.45" hidden="1" customHeight="1" x14ac:dyDescent="0.2">
      <c r="B118" s="80" t="s">
        <v>2540</v>
      </c>
      <c r="C118" s="85" t="s">
        <v>2564</v>
      </c>
      <c r="D118" s="90" t="s">
        <v>3419</v>
      </c>
      <c r="E118" s="148" t="s">
        <v>1553</v>
      </c>
      <c r="F118" s="149" t="s">
        <v>3769</v>
      </c>
      <c r="G118" s="291" t="s">
        <v>3649</v>
      </c>
      <c r="H118" s="150" t="s">
        <v>3066</v>
      </c>
      <c r="I118" s="151" t="s">
        <v>2670</v>
      </c>
      <c r="J118" s="152">
        <v>513</v>
      </c>
      <c r="K118" s="248"/>
      <c r="L118" s="153"/>
      <c r="M118" s="248" t="str">
        <f t="shared" si="1"/>
        <v>제3편 제1심의 소송절차-제05장 소송 개시와 심리 대상-제03절 소의 이익-08</v>
      </c>
      <c r="N118" s="211"/>
      <c r="O118" s="263"/>
    </row>
    <row r="119" spans="2:15" ht="14.45" hidden="1" customHeight="1" x14ac:dyDescent="0.2">
      <c r="B119" s="80" t="s">
        <v>2540</v>
      </c>
      <c r="C119" s="85" t="s">
        <v>2564</v>
      </c>
      <c r="D119" s="90" t="s">
        <v>3419</v>
      </c>
      <c r="E119" s="148" t="s">
        <v>1553</v>
      </c>
      <c r="F119" s="149" t="s">
        <v>3770</v>
      </c>
      <c r="G119" s="291" t="s">
        <v>3650</v>
      </c>
      <c r="H119" s="150" t="s">
        <v>3067</v>
      </c>
      <c r="I119" s="151" t="s">
        <v>2671</v>
      </c>
      <c r="J119" s="152">
        <v>241</v>
      </c>
      <c r="K119" s="248"/>
      <c r="L119" s="153"/>
      <c r="M119" s="248" t="str">
        <f t="shared" si="1"/>
        <v>제3편 제1심의 소송절차-제05장 소송 개시와 심리 대상-제03절 소의 이익-09</v>
      </c>
      <c r="N119" s="211"/>
      <c r="O119" s="263"/>
    </row>
    <row r="120" spans="2:15" ht="14.45" hidden="1" customHeight="1" x14ac:dyDescent="0.2">
      <c r="B120" s="80" t="s">
        <v>2540</v>
      </c>
      <c r="C120" s="85" t="s">
        <v>2564</v>
      </c>
      <c r="D120" s="90" t="s">
        <v>3419</v>
      </c>
      <c r="E120" s="148" t="s">
        <v>1553</v>
      </c>
      <c r="F120" s="149" t="s">
        <v>3771</v>
      </c>
      <c r="G120" s="291" t="s">
        <v>3651</v>
      </c>
      <c r="H120" s="150" t="s">
        <v>3068</v>
      </c>
      <c r="I120" s="151" t="s">
        <v>2672</v>
      </c>
      <c r="J120" s="152">
        <v>323</v>
      </c>
      <c r="K120" s="248"/>
      <c r="L120" s="153"/>
      <c r="M120" s="248" t="str">
        <f t="shared" si="1"/>
        <v>제3편 제1심의 소송절차-제05장 소송 개시와 심리 대상-제03절 소의 이익-10</v>
      </c>
      <c r="N120" s="211"/>
      <c r="O120" s="263"/>
    </row>
    <row r="121" spans="2:15" ht="14.45" hidden="1" customHeight="1" x14ac:dyDescent="0.2">
      <c r="B121" s="80" t="s">
        <v>2540</v>
      </c>
      <c r="C121" s="85" t="s">
        <v>2564</v>
      </c>
      <c r="D121" s="90" t="s">
        <v>3419</v>
      </c>
      <c r="E121" s="148" t="s">
        <v>1553</v>
      </c>
      <c r="F121" s="149" t="s">
        <v>3772</v>
      </c>
      <c r="G121" s="291" t="s">
        <v>3652</v>
      </c>
      <c r="H121" s="150" t="s">
        <v>3073</v>
      </c>
      <c r="I121" s="151" t="s">
        <v>2677</v>
      </c>
      <c r="J121" s="152">
        <v>265</v>
      </c>
      <c r="K121" s="248"/>
      <c r="L121" s="153"/>
      <c r="M121" s="248" t="str">
        <f t="shared" si="1"/>
        <v>제3편 제1심의 소송절차-제05장 소송 개시와 심리 대상-제03절 소의 이익-11</v>
      </c>
      <c r="N121" s="211"/>
      <c r="O121" s="263"/>
    </row>
    <row r="122" spans="2:15" ht="14.45" hidden="1" customHeight="1" x14ac:dyDescent="0.2">
      <c r="B122" s="80" t="s">
        <v>2540</v>
      </c>
      <c r="C122" s="85" t="s">
        <v>2564</v>
      </c>
      <c r="D122" s="90" t="s">
        <v>3419</v>
      </c>
      <c r="E122" s="148" t="s">
        <v>1553</v>
      </c>
      <c r="F122" s="149" t="s">
        <v>3773</v>
      </c>
      <c r="G122" s="291" t="s">
        <v>3653</v>
      </c>
      <c r="H122" s="150" t="s">
        <v>3074</v>
      </c>
      <c r="I122" s="151" t="s">
        <v>2678</v>
      </c>
      <c r="J122" s="152">
        <v>364</v>
      </c>
      <c r="K122" s="248"/>
      <c r="L122" s="153"/>
      <c r="M122" s="248" t="str">
        <f t="shared" si="1"/>
        <v>제3편 제1심의 소송절차-제05장 소송 개시와 심리 대상-제03절 소의 이익-12</v>
      </c>
      <c r="N122" s="211"/>
      <c r="O122" s="263"/>
    </row>
    <row r="123" spans="2:15" ht="14.45" hidden="1" customHeight="1" x14ac:dyDescent="0.2">
      <c r="B123" s="80" t="s">
        <v>2540</v>
      </c>
      <c r="C123" s="85" t="s">
        <v>2564</v>
      </c>
      <c r="D123" s="90" t="s">
        <v>3419</v>
      </c>
      <c r="E123" s="148" t="s">
        <v>1553</v>
      </c>
      <c r="F123" s="149" t="s">
        <v>3774</v>
      </c>
      <c r="G123" s="291" t="s">
        <v>3654</v>
      </c>
      <c r="H123" s="150" t="s">
        <v>3075</v>
      </c>
      <c r="I123" s="151" t="s">
        <v>2679</v>
      </c>
      <c r="J123" s="152">
        <v>388</v>
      </c>
      <c r="K123" s="248"/>
      <c r="L123" s="153"/>
      <c r="M123" s="248" t="str">
        <f t="shared" si="1"/>
        <v>제3편 제1심의 소송절차-제05장 소송 개시와 심리 대상-제03절 소의 이익-13</v>
      </c>
      <c r="N123" s="211"/>
      <c r="O123" s="263"/>
    </row>
    <row r="124" spans="2:15" ht="14.45" hidden="1" customHeight="1" x14ac:dyDescent="0.2">
      <c r="B124" s="80" t="s">
        <v>2540</v>
      </c>
      <c r="C124" s="85" t="s">
        <v>2564</v>
      </c>
      <c r="D124" s="90" t="s">
        <v>3419</v>
      </c>
      <c r="E124" s="148" t="s">
        <v>1553</v>
      </c>
      <c r="F124" s="149" t="s">
        <v>3775</v>
      </c>
      <c r="G124" s="291" t="s">
        <v>3655</v>
      </c>
      <c r="H124" s="150" t="s">
        <v>3076</v>
      </c>
      <c r="I124" s="151" t="s">
        <v>2680</v>
      </c>
      <c r="J124" s="152">
        <v>251</v>
      </c>
      <c r="K124" s="248"/>
      <c r="L124" s="153"/>
      <c r="M124" s="248" t="str">
        <f t="shared" si="1"/>
        <v>제3편 제1심의 소송절차-제05장 소송 개시와 심리 대상-제03절 소의 이익-14</v>
      </c>
      <c r="N124" s="211"/>
      <c r="O124" s="263"/>
    </row>
    <row r="125" spans="2:15" ht="14.45" hidden="1" customHeight="1" x14ac:dyDescent="0.2">
      <c r="B125" s="80" t="s">
        <v>2540</v>
      </c>
      <c r="C125" s="85" t="s">
        <v>2564</v>
      </c>
      <c r="D125" s="90" t="s">
        <v>3419</v>
      </c>
      <c r="E125" s="148" t="s">
        <v>1553</v>
      </c>
      <c r="F125" s="149" t="s">
        <v>3776</v>
      </c>
      <c r="G125" s="291" t="s">
        <v>3656</v>
      </c>
      <c r="H125" s="150" t="s">
        <v>3077</v>
      </c>
      <c r="I125" s="151" t="s">
        <v>2681</v>
      </c>
      <c r="J125" s="152">
        <v>272</v>
      </c>
      <c r="K125" s="248"/>
      <c r="L125" s="153"/>
      <c r="M125" s="248" t="str">
        <f t="shared" si="1"/>
        <v>제3편 제1심의 소송절차-제05장 소송 개시와 심리 대상-제03절 소의 이익-15</v>
      </c>
      <c r="N125" s="211"/>
      <c r="O125" s="263"/>
    </row>
    <row r="126" spans="2:15" ht="14.45" hidden="1" customHeight="1" x14ac:dyDescent="0.2">
      <c r="B126" s="80" t="s">
        <v>2540</v>
      </c>
      <c r="C126" s="85" t="s">
        <v>2564</v>
      </c>
      <c r="D126" s="90" t="s">
        <v>3419</v>
      </c>
      <c r="E126" s="148" t="s">
        <v>1553</v>
      </c>
      <c r="F126" s="149" t="s">
        <v>3777</v>
      </c>
      <c r="G126" s="291" t="s">
        <v>3657</v>
      </c>
      <c r="H126" s="150" t="s">
        <v>3078</v>
      </c>
      <c r="I126" s="151" t="s">
        <v>2682</v>
      </c>
      <c r="J126" s="152">
        <v>533</v>
      </c>
      <c r="K126" s="248"/>
      <c r="L126" s="153"/>
      <c r="M126" s="248" t="str">
        <f t="shared" si="1"/>
        <v>제3편 제1심의 소송절차-제05장 소송 개시와 심리 대상-제03절 소의 이익-16</v>
      </c>
      <c r="N126" s="211"/>
      <c r="O126" s="263"/>
    </row>
    <row r="127" spans="2:15" ht="14.45" hidden="1" customHeight="1" x14ac:dyDescent="0.2">
      <c r="B127" s="80" t="s">
        <v>2540</v>
      </c>
      <c r="C127" s="85" t="s">
        <v>2564</v>
      </c>
      <c r="D127" s="89" t="s">
        <v>3419</v>
      </c>
      <c r="E127" s="213" t="s">
        <v>1553</v>
      </c>
      <c r="F127" s="214" t="s">
        <v>3778</v>
      </c>
      <c r="G127" s="290" t="s">
        <v>3658</v>
      </c>
      <c r="H127" s="215" t="s">
        <v>3079</v>
      </c>
      <c r="I127" s="216" t="s">
        <v>2683</v>
      </c>
      <c r="J127" s="217">
        <v>357</v>
      </c>
      <c r="K127" s="245"/>
      <c r="L127" s="219"/>
      <c r="M127" s="245" t="str">
        <f t="shared" si="1"/>
        <v>제3편 제1심의 소송절차-제05장 소송 개시와 심리 대상-제03절 소의 이익-17</v>
      </c>
      <c r="N127" s="218"/>
      <c r="O127" s="260"/>
    </row>
    <row r="128" spans="2:15" ht="14.45" customHeight="1" x14ac:dyDescent="0.2">
      <c r="B128" s="80" t="s">
        <v>2540</v>
      </c>
      <c r="C128" s="85" t="s">
        <v>2564</v>
      </c>
      <c r="D128" s="83" t="s">
        <v>3433</v>
      </c>
      <c r="E128" s="143" t="s">
        <v>7</v>
      </c>
      <c r="F128" s="144" t="s">
        <v>2223</v>
      </c>
      <c r="G128" s="295" t="s">
        <v>2566</v>
      </c>
      <c r="H128" s="145" t="s">
        <v>99</v>
      </c>
      <c r="I128" s="146" t="s">
        <v>2269</v>
      </c>
      <c r="J128" s="147">
        <v>2609</v>
      </c>
      <c r="K128" s="247" t="s">
        <v>2595</v>
      </c>
      <c r="L128" s="168"/>
      <c r="M128" s="247" t="str">
        <f t="shared" si="1"/>
        <v>제3편 제1심의 소송절차-제05장 소송 개시와 심리 대상-제04절 소송물-01</v>
      </c>
      <c r="N128" s="210"/>
      <c r="O128" s="262"/>
    </row>
    <row r="129" spans="2:15" ht="14.45" customHeight="1" x14ac:dyDescent="0.2">
      <c r="B129" s="80" t="s">
        <v>2540</v>
      </c>
      <c r="C129" s="85" t="s">
        <v>2564</v>
      </c>
      <c r="D129" s="90" t="s">
        <v>3433</v>
      </c>
      <c r="E129" s="148" t="s">
        <v>2426</v>
      </c>
      <c r="F129" s="149" t="s">
        <v>3553</v>
      </c>
      <c r="G129" s="291" t="s">
        <v>2567</v>
      </c>
      <c r="H129" s="150" t="s">
        <v>207</v>
      </c>
      <c r="I129" s="151" t="s">
        <v>2171</v>
      </c>
      <c r="J129" s="152">
        <v>1844</v>
      </c>
      <c r="K129" s="248" t="s">
        <v>2595</v>
      </c>
      <c r="L129" s="153"/>
      <c r="M129" s="248" t="str">
        <f t="shared" si="1"/>
        <v>제3편 제1심의 소송절차-제05장 소송 개시와 심리 대상-제04절 소송물-02</v>
      </c>
      <c r="N129" s="211"/>
      <c r="O129" s="263"/>
    </row>
    <row r="130" spans="2:15" ht="14.45" customHeight="1" x14ac:dyDescent="0.2">
      <c r="B130" s="80" t="s">
        <v>2540</v>
      </c>
      <c r="C130" s="85" t="s">
        <v>2564</v>
      </c>
      <c r="D130" s="90" t="s">
        <v>3433</v>
      </c>
      <c r="E130" s="148" t="s">
        <v>2426</v>
      </c>
      <c r="F130" s="149" t="s">
        <v>3554</v>
      </c>
      <c r="G130" s="291" t="s">
        <v>2568</v>
      </c>
      <c r="H130" s="150" t="s">
        <v>208</v>
      </c>
      <c r="I130" s="151" t="s">
        <v>2172</v>
      </c>
      <c r="J130" s="152">
        <v>2035</v>
      </c>
      <c r="K130" s="248" t="s">
        <v>2595</v>
      </c>
      <c r="L130" s="153"/>
      <c r="M130" s="248" t="str">
        <f t="shared" si="1"/>
        <v>제3편 제1심의 소송절차-제05장 소송 개시와 심리 대상-제04절 소송물-03</v>
      </c>
      <c r="N130" s="211"/>
      <c r="O130" s="263"/>
    </row>
    <row r="131" spans="2:15" ht="14.45" hidden="1" customHeight="1" x14ac:dyDescent="0.2">
      <c r="B131" s="80" t="s">
        <v>2540</v>
      </c>
      <c r="C131" s="85" t="s">
        <v>2564</v>
      </c>
      <c r="D131" s="90" t="s">
        <v>3433</v>
      </c>
      <c r="E131" s="148" t="s">
        <v>1553</v>
      </c>
      <c r="F131" s="149" t="s">
        <v>3779</v>
      </c>
      <c r="G131" s="291" t="s">
        <v>2569</v>
      </c>
      <c r="H131" s="150" t="s">
        <v>3080</v>
      </c>
      <c r="I131" s="151" t="s">
        <v>2684</v>
      </c>
      <c r="J131" s="152">
        <v>315</v>
      </c>
      <c r="K131" s="248"/>
      <c r="L131" s="153"/>
      <c r="M131" s="248" t="str">
        <f t="shared" si="1"/>
        <v>제3편 제1심의 소송절차-제05장 소송 개시와 심리 대상-제04절 소송물-04</v>
      </c>
      <c r="N131" s="211"/>
      <c r="O131" s="263"/>
    </row>
    <row r="132" spans="2:15" ht="14.45" hidden="1" customHeight="1" x14ac:dyDescent="0.2">
      <c r="B132" s="80" t="s">
        <v>2540</v>
      </c>
      <c r="C132" s="85" t="s">
        <v>2564</v>
      </c>
      <c r="D132" s="90" t="s">
        <v>3433</v>
      </c>
      <c r="E132" s="148" t="s">
        <v>1553</v>
      </c>
      <c r="F132" s="149" t="s">
        <v>3780</v>
      </c>
      <c r="G132" s="291" t="s">
        <v>3646</v>
      </c>
      <c r="H132" s="150" t="s">
        <v>3081</v>
      </c>
      <c r="I132" s="151" t="s">
        <v>2685</v>
      </c>
      <c r="J132" s="152">
        <v>241</v>
      </c>
      <c r="K132" s="248"/>
      <c r="L132" s="153"/>
      <c r="M132" s="248" t="str">
        <f t="shared" si="1"/>
        <v>제3편 제1심의 소송절차-제05장 소송 개시와 심리 대상-제04절 소송물-05</v>
      </c>
      <c r="N132" s="211"/>
      <c r="O132" s="263"/>
    </row>
    <row r="133" spans="2:15" ht="14.45" hidden="1" customHeight="1" x14ac:dyDescent="0.2">
      <c r="B133" s="80" t="s">
        <v>2540</v>
      </c>
      <c r="C133" s="85" t="s">
        <v>2564</v>
      </c>
      <c r="D133" s="90" t="s">
        <v>3433</v>
      </c>
      <c r="E133" s="148" t="s">
        <v>1553</v>
      </c>
      <c r="F133" s="149" t="s">
        <v>3781</v>
      </c>
      <c r="G133" s="291" t="s">
        <v>3647</v>
      </c>
      <c r="H133" s="150" t="s">
        <v>3082</v>
      </c>
      <c r="I133" s="151" t="s">
        <v>2686</v>
      </c>
      <c r="J133" s="152">
        <v>251</v>
      </c>
      <c r="K133" s="248"/>
      <c r="L133" s="153"/>
      <c r="M133" s="248" t="str">
        <f t="shared" ref="M133:M196" si="2">B133&amp;"-"&amp;C133&amp;"-"&amp;D133&amp;"-"&amp;G133</f>
        <v>제3편 제1심의 소송절차-제05장 소송 개시와 심리 대상-제04절 소송물-06</v>
      </c>
      <c r="N133" s="211"/>
      <c r="O133" s="263"/>
    </row>
    <row r="134" spans="2:15" ht="14.45" hidden="1" customHeight="1" x14ac:dyDescent="0.2">
      <c r="B134" s="80" t="s">
        <v>2540</v>
      </c>
      <c r="C134" s="85" t="s">
        <v>2564</v>
      </c>
      <c r="D134" s="90" t="s">
        <v>3433</v>
      </c>
      <c r="E134" s="148" t="s">
        <v>1553</v>
      </c>
      <c r="F134" s="149" t="s">
        <v>3782</v>
      </c>
      <c r="G134" s="291" t="s">
        <v>3648</v>
      </c>
      <c r="H134" s="150" t="s">
        <v>3083</v>
      </c>
      <c r="I134" s="151" t="s">
        <v>2687</v>
      </c>
      <c r="J134" s="152">
        <v>218</v>
      </c>
      <c r="K134" s="248"/>
      <c r="L134" s="153"/>
      <c r="M134" s="248" t="str">
        <f t="shared" si="2"/>
        <v>제3편 제1심의 소송절차-제05장 소송 개시와 심리 대상-제04절 소송물-07</v>
      </c>
      <c r="N134" s="211"/>
      <c r="O134" s="263"/>
    </row>
    <row r="135" spans="2:15" ht="14.45" hidden="1" customHeight="1" x14ac:dyDescent="0.2">
      <c r="B135" s="80" t="s">
        <v>2540</v>
      </c>
      <c r="C135" s="85" t="s">
        <v>2564</v>
      </c>
      <c r="D135" s="90" t="s">
        <v>3433</v>
      </c>
      <c r="E135" s="148" t="s">
        <v>1553</v>
      </c>
      <c r="F135" s="149" t="s">
        <v>3783</v>
      </c>
      <c r="G135" s="291" t="s">
        <v>3649</v>
      </c>
      <c r="H135" s="150" t="s">
        <v>3084</v>
      </c>
      <c r="I135" s="151" t="s">
        <v>2688</v>
      </c>
      <c r="J135" s="152">
        <v>233</v>
      </c>
      <c r="K135" s="248"/>
      <c r="L135" s="153"/>
      <c r="M135" s="248" t="str">
        <f t="shared" si="2"/>
        <v>제3편 제1심의 소송절차-제05장 소송 개시와 심리 대상-제04절 소송물-08</v>
      </c>
      <c r="N135" s="211"/>
      <c r="O135" s="263"/>
    </row>
    <row r="136" spans="2:15" ht="14.45" hidden="1" customHeight="1" x14ac:dyDescent="0.2">
      <c r="B136" s="80" t="s">
        <v>2540</v>
      </c>
      <c r="C136" s="85" t="s">
        <v>2564</v>
      </c>
      <c r="D136" s="90" t="s">
        <v>3433</v>
      </c>
      <c r="E136" s="148" t="s">
        <v>1553</v>
      </c>
      <c r="F136" s="149" t="s">
        <v>3784</v>
      </c>
      <c r="G136" s="291" t="s">
        <v>3650</v>
      </c>
      <c r="H136" s="150" t="s">
        <v>3085</v>
      </c>
      <c r="I136" s="151" t="s">
        <v>2689</v>
      </c>
      <c r="J136" s="152">
        <v>280</v>
      </c>
      <c r="K136" s="248"/>
      <c r="L136" s="153"/>
      <c r="M136" s="248" t="str">
        <f t="shared" si="2"/>
        <v>제3편 제1심의 소송절차-제05장 소송 개시와 심리 대상-제04절 소송물-09</v>
      </c>
      <c r="N136" s="211"/>
      <c r="O136" s="263"/>
    </row>
    <row r="137" spans="2:15" ht="14.45" hidden="1" customHeight="1" x14ac:dyDescent="0.2">
      <c r="B137" s="80" t="s">
        <v>2540</v>
      </c>
      <c r="C137" s="85" t="s">
        <v>2564</v>
      </c>
      <c r="D137" s="90" t="s">
        <v>3433</v>
      </c>
      <c r="E137" s="148" t="s">
        <v>1553</v>
      </c>
      <c r="F137" s="149" t="s">
        <v>3785</v>
      </c>
      <c r="G137" s="291" t="s">
        <v>3651</v>
      </c>
      <c r="H137" s="150" t="s">
        <v>3086</v>
      </c>
      <c r="I137" s="151" t="s">
        <v>2690</v>
      </c>
      <c r="J137" s="152">
        <v>347</v>
      </c>
      <c r="K137" s="248"/>
      <c r="L137" s="153"/>
      <c r="M137" s="248" t="str">
        <f t="shared" si="2"/>
        <v>제3편 제1심의 소송절차-제05장 소송 개시와 심리 대상-제04절 소송물-10</v>
      </c>
      <c r="N137" s="211"/>
      <c r="O137" s="263"/>
    </row>
    <row r="138" spans="2:15" ht="14.45" hidden="1" customHeight="1" x14ac:dyDescent="0.2">
      <c r="B138" s="80" t="s">
        <v>2540</v>
      </c>
      <c r="C138" s="85" t="s">
        <v>2564</v>
      </c>
      <c r="D138" s="90" t="s">
        <v>3433</v>
      </c>
      <c r="E138" s="148" t="s">
        <v>1553</v>
      </c>
      <c r="F138" s="149" t="s">
        <v>3786</v>
      </c>
      <c r="G138" s="291" t="s">
        <v>3652</v>
      </c>
      <c r="H138" s="150" t="s">
        <v>3087</v>
      </c>
      <c r="I138" s="151" t="s">
        <v>2691</v>
      </c>
      <c r="J138" s="152">
        <v>431</v>
      </c>
      <c r="K138" s="248"/>
      <c r="L138" s="153"/>
      <c r="M138" s="248" t="str">
        <f t="shared" si="2"/>
        <v>제3편 제1심의 소송절차-제05장 소송 개시와 심리 대상-제04절 소송물-11</v>
      </c>
      <c r="N138" s="211"/>
      <c r="O138" s="263"/>
    </row>
    <row r="139" spans="2:15" ht="14.45" hidden="1" customHeight="1" x14ac:dyDescent="0.2">
      <c r="B139" s="80" t="s">
        <v>2540</v>
      </c>
      <c r="C139" s="85" t="s">
        <v>2564</v>
      </c>
      <c r="D139" s="90" t="s">
        <v>3433</v>
      </c>
      <c r="E139" s="148" t="s">
        <v>1553</v>
      </c>
      <c r="F139" s="149" t="s">
        <v>3787</v>
      </c>
      <c r="G139" s="291" t="s">
        <v>3653</v>
      </c>
      <c r="H139" s="150" t="s">
        <v>3088</v>
      </c>
      <c r="I139" s="151" t="s">
        <v>2692</v>
      </c>
      <c r="J139" s="152">
        <v>533</v>
      </c>
      <c r="K139" s="248"/>
      <c r="L139" s="153"/>
      <c r="M139" s="248" t="str">
        <f t="shared" si="2"/>
        <v>제3편 제1심의 소송절차-제05장 소송 개시와 심리 대상-제04절 소송물-12</v>
      </c>
      <c r="N139" s="211"/>
      <c r="O139" s="263"/>
    </row>
    <row r="140" spans="2:15" ht="14.45" hidden="1" customHeight="1" x14ac:dyDescent="0.2">
      <c r="B140" s="80" t="s">
        <v>2540</v>
      </c>
      <c r="C140" s="85" t="s">
        <v>2564</v>
      </c>
      <c r="D140" s="90" t="s">
        <v>3433</v>
      </c>
      <c r="E140" s="148" t="s">
        <v>1553</v>
      </c>
      <c r="F140" s="149" t="s">
        <v>3788</v>
      </c>
      <c r="G140" s="291" t="s">
        <v>3654</v>
      </c>
      <c r="H140" s="150" t="s">
        <v>3089</v>
      </c>
      <c r="I140" s="151" t="s">
        <v>2693</v>
      </c>
      <c r="J140" s="152">
        <v>191</v>
      </c>
      <c r="K140" s="248"/>
      <c r="L140" s="153"/>
      <c r="M140" s="248" t="str">
        <f t="shared" si="2"/>
        <v>제3편 제1심의 소송절차-제05장 소송 개시와 심리 대상-제04절 소송물-13</v>
      </c>
      <c r="N140" s="211"/>
      <c r="O140" s="263"/>
    </row>
    <row r="141" spans="2:15" ht="14.45" hidden="1" customHeight="1" x14ac:dyDescent="0.2">
      <c r="B141" s="80" t="s">
        <v>2540</v>
      </c>
      <c r="C141" s="85" t="s">
        <v>2564</v>
      </c>
      <c r="D141" s="90" t="s">
        <v>3433</v>
      </c>
      <c r="E141" s="148" t="s">
        <v>1553</v>
      </c>
      <c r="F141" s="149" t="s">
        <v>3789</v>
      </c>
      <c r="G141" s="291" t="s">
        <v>3655</v>
      </c>
      <c r="H141" s="150" t="s">
        <v>3090</v>
      </c>
      <c r="I141" s="151" t="s">
        <v>2694</v>
      </c>
      <c r="J141" s="152">
        <v>209</v>
      </c>
      <c r="K141" s="248"/>
      <c r="L141" s="153"/>
      <c r="M141" s="248" t="str">
        <f t="shared" si="2"/>
        <v>제3편 제1심의 소송절차-제05장 소송 개시와 심리 대상-제04절 소송물-14</v>
      </c>
      <c r="N141" s="211"/>
      <c r="O141" s="263"/>
    </row>
    <row r="142" spans="2:15" ht="14.45" hidden="1" customHeight="1" x14ac:dyDescent="0.2">
      <c r="B142" s="80" t="s">
        <v>2540</v>
      </c>
      <c r="C142" s="85" t="s">
        <v>2564</v>
      </c>
      <c r="D142" s="90" t="s">
        <v>3433</v>
      </c>
      <c r="E142" s="148" t="s">
        <v>1553</v>
      </c>
      <c r="F142" s="149" t="s">
        <v>3790</v>
      </c>
      <c r="G142" s="291" t="s">
        <v>3656</v>
      </c>
      <c r="H142" s="150" t="s">
        <v>3091</v>
      </c>
      <c r="I142" s="151" t="s">
        <v>2695</v>
      </c>
      <c r="J142" s="152">
        <v>254</v>
      </c>
      <c r="K142" s="248"/>
      <c r="L142" s="153"/>
      <c r="M142" s="248" t="str">
        <f t="shared" si="2"/>
        <v>제3편 제1심의 소송절차-제05장 소송 개시와 심리 대상-제04절 소송물-15</v>
      </c>
      <c r="N142" s="211"/>
      <c r="O142" s="263"/>
    </row>
    <row r="143" spans="2:15" ht="14.45" hidden="1" customHeight="1" x14ac:dyDescent="0.2">
      <c r="B143" s="80" t="s">
        <v>2540</v>
      </c>
      <c r="C143" s="85" t="s">
        <v>2564</v>
      </c>
      <c r="D143" s="89" t="s">
        <v>3433</v>
      </c>
      <c r="E143" s="213" t="s">
        <v>1553</v>
      </c>
      <c r="F143" s="214" t="s">
        <v>3791</v>
      </c>
      <c r="G143" s="290" t="s">
        <v>3657</v>
      </c>
      <c r="H143" s="215" t="s">
        <v>3092</v>
      </c>
      <c r="I143" s="216" t="s">
        <v>2696</v>
      </c>
      <c r="J143" s="217">
        <v>305</v>
      </c>
      <c r="K143" s="245"/>
      <c r="L143" s="219"/>
      <c r="M143" s="245" t="str">
        <f t="shared" si="2"/>
        <v>제3편 제1심의 소송절차-제05장 소송 개시와 심리 대상-제04절 소송물-16</v>
      </c>
      <c r="N143" s="218"/>
      <c r="O143" s="260"/>
    </row>
    <row r="144" spans="2:15" ht="14.45" customHeight="1" x14ac:dyDescent="0.2">
      <c r="B144" s="80" t="s">
        <v>2540</v>
      </c>
      <c r="C144" s="85" t="s">
        <v>2564</v>
      </c>
      <c r="D144" s="83" t="s">
        <v>3434</v>
      </c>
      <c r="E144" s="143" t="s">
        <v>7</v>
      </c>
      <c r="F144" s="144" t="s">
        <v>2223</v>
      </c>
      <c r="G144" s="295" t="s">
        <v>2566</v>
      </c>
      <c r="H144" s="145" t="s">
        <v>100</v>
      </c>
      <c r="I144" s="146" t="s">
        <v>2270</v>
      </c>
      <c r="J144" s="147">
        <v>1191</v>
      </c>
      <c r="K144" s="247" t="s">
        <v>2595</v>
      </c>
      <c r="L144" s="168"/>
      <c r="M144" s="247" t="str">
        <f t="shared" si="2"/>
        <v>제3편 제1심의 소송절차-제05장 소송 개시와 심리 대상-제05절 소의 제기-01</v>
      </c>
      <c r="N144" s="210"/>
      <c r="O144" s="262"/>
    </row>
    <row r="145" spans="2:15" ht="14.45" customHeight="1" x14ac:dyDescent="0.2">
      <c r="B145" s="80" t="s">
        <v>2540</v>
      </c>
      <c r="C145" s="85" t="s">
        <v>2564</v>
      </c>
      <c r="D145" s="90" t="s">
        <v>3434</v>
      </c>
      <c r="E145" s="148" t="s">
        <v>2426</v>
      </c>
      <c r="F145" s="149" t="s">
        <v>3555</v>
      </c>
      <c r="G145" s="291" t="s">
        <v>2567</v>
      </c>
      <c r="H145" s="150" t="s">
        <v>209</v>
      </c>
      <c r="I145" s="151" t="s">
        <v>2173</v>
      </c>
      <c r="J145" s="152">
        <v>1761</v>
      </c>
      <c r="K145" s="248" t="s">
        <v>2595</v>
      </c>
      <c r="L145" s="153"/>
      <c r="M145" s="248" t="str">
        <f t="shared" si="2"/>
        <v>제3편 제1심의 소송절차-제05장 소송 개시와 심리 대상-제05절 소의 제기-02</v>
      </c>
      <c r="N145" s="211"/>
      <c r="O145" s="263"/>
    </row>
    <row r="146" spans="2:15" ht="14.45" customHeight="1" x14ac:dyDescent="0.2">
      <c r="B146" s="80" t="s">
        <v>2540</v>
      </c>
      <c r="C146" s="85" t="s">
        <v>2564</v>
      </c>
      <c r="D146" s="89" t="s">
        <v>3434</v>
      </c>
      <c r="E146" s="213" t="s">
        <v>2426</v>
      </c>
      <c r="F146" s="214" t="s">
        <v>3556</v>
      </c>
      <c r="G146" s="290" t="s">
        <v>2568</v>
      </c>
      <c r="H146" s="215" t="s">
        <v>210</v>
      </c>
      <c r="I146" s="216" t="s">
        <v>2174</v>
      </c>
      <c r="J146" s="217">
        <v>1974</v>
      </c>
      <c r="K146" s="245" t="s">
        <v>2595</v>
      </c>
      <c r="L146" s="219"/>
      <c r="M146" s="245" t="str">
        <f t="shared" si="2"/>
        <v>제3편 제1심의 소송절차-제05장 소송 개시와 심리 대상-제05절 소의 제기-03</v>
      </c>
      <c r="N146" s="218"/>
      <c r="O146" s="260"/>
    </row>
    <row r="147" spans="2:15" ht="14.45" customHeight="1" x14ac:dyDescent="0.2">
      <c r="B147" s="80" t="s">
        <v>2540</v>
      </c>
      <c r="C147" s="85" t="s">
        <v>2564</v>
      </c>
      <c r="D147" s="83" t="s">
        <v>3435</v>
      </c>
      <c r="E147" s="143" t="s">
        <v>7</v>
      </c>
      <c r="F147" s="144" t="s">
        <v>2223</v>
      </c>
      <c r="G147" s="295" t="s">
        <v>2566</v>
      </c>
      <c r="H147" s="145" t="s">
        <v>101</v>
      </c>
      <c r="I147" s="146" t="s">
        <v>2271</v>
      </c>
      <c r="J147" s="147">
        <v>1512</v>
      </c>
      <c r="K147" s="247" t="s">
        <v>2595</v>
      </c>
      <c r="L147" s="168"/>
      <c r="M147" s="247" t="str">
        <f t="shared" si="2"/>
        <v>제3편 제1심의 소송절차-제05장 소송 개시와 심리 대상-제06절 재판장의 소장심사와 그 후의 조치-01</v>
      </c>
      <c r="N147" s="210"/>
      <c r="O147" s="262"/>
    </row>
    <row r="148" spans="2:15" ht="14.45" customHeight="1" x14ac:dyDescent="0.2">
      <c r="B148" s="80" t="s">
        <v>2540</v>
      </c>
      <c r="C148" s="85" t="s">
        <v>2564</v>
      </c>
      <c r="D148" s="90" t="s">
        <v>3435</v>
      </c>
      <c r="E148" s="148" t="s">
        <v>2426</v>
      </c>
      <c r="F148" s="149" t="s">
        <v>3557</v>
      </c>
      <c r="G148" s="291" t="s">
        <v>2567</v>
      </c>
      <c r="H148" s="150" t="s">
        <v>211</v>
      </c>
      <c r="I148" s="151" t="s">
        <v>2175</v>
      </c>
      <c r="J148" s="152">
        <v>1970</v>
      </c>
      <c r="K148" s="248" t="s">
        <v>2595</v>
      </c>
      <c r="L148" s="153"/>
      <c r="M148" s="248" t="str">
        <f t="shared" si="2"/>
        <v>제3편 제1심의 소송절차-제05장 소송 개시와 심리 대상-제06절 재판장의 소장심사와 그 후의 조치-02</v>
      </c>
      <c r="N148" s="211"/>
      <c r="O148" s="263"/>
    </row>
    <row r="149" spans="2:15" ht="14.45" customHeight="1" x14ac:dyDescent="0.2">
      <c r="B149" s="80" t="s">
        <v>2540</v>
      </c>
      <c r="C149" s="85" t="s">
        <v>2564</v>
      </c>
      <c r="D149" s="89" t="s">
        <v>3435</v>
      </c>
      <c r="E149" s="213" t="s">
        <v>2426</v>
      </c>
      <c r="F149" s="214" t="s">
        <v>3558</v>
      </c>
      <c r="G149" s="290" t="s">
        <v>2568</v>
      </c>
      <c r="H149" s="215" t="s">
        <v>212</v>
      </c>
      <c r="I149" s="216" t="s">
        <v>2176</v>
      </c>
      <c r="J149" s="217">
        <v>2051</v>
      </c>
      <c r="K149" s="245" t="s">
        <v>2595</v>
      </c>
      <c r="L149" s="219"/>
      <c r="M149" s="245" t="str">
        <f t="shared" si="2"/>
        <v>제3편 제1심의 소송절차-제05장 소송 개시와 심리 대상-제06절 재판장의 소장심사와 그 후의 조치-03</v>
      </c>
      <c r="N149" s="218"/>
      <c r="O149" s="260"/>
    </row>
    <row r="150" spans="2:15" ht="14.45" customHeight="1" x14ac:dyDescent="0.2">
      <c r="B150" s="80" t="s">
        <v>2540</v>
      </c>
      <c r="C150" s="85" t="s">
        <v>2564</v>
      </c>
      <c r="D150" s="83" t="s">
        <v>3423</v>
      </c>
      <c r="E150" s="143" t="s">
        <v>7</v>
      </c>
      <c r="F150" s="144" t="s">
        <v>2223</v>
      </c>
      <c r="G150" s="295" t="s">
        <v>2566</v>
      </c>
      <c r="H150" s="145" t="s">
        <v>102</v>
      </c>
      <c r="I150" s="146" t="s">
        <v>2272</v>
      </c>
      <c r="J150" s="147">
        <v>2421</v>
      </c>
      <c r="K150" s="247" t="s">
        <v>2593</v>
      </c>
      <c r="L150" s="168" t="s">
        <v>3630</v>
      </c>
      <c r="M150" s="247" t="str">
        <f t="shared" si="2"/>
        <v>제3편 제1심의 소송절차-제05장 소송 개시와 심리 대상-제07절 소제기의 효과-01</v>
      </c>
      <c r="N150" s="210"/>
      <c r="O150" s="262"/>
    </row>
    <row r="151" spans="2:15" ht="14.45" customHeight="1" x14ac:dyDescent="0.2">
      <c r="B151" s="80" t="s">
        <v>2540</v>
      </c>
      <c r="C151" s="85" t="s">
        <v>2564</v>
      </c>
      <c r="D151" s="90" t="s">
        <v>3423</v>
      </c>
      <c r="E151" s="148" t="s">
        <v>2425</v>
      </c>
      <c r="F151" s="149" t="s">
        <v>161</v>
      </c>
      <c r="G151" s="291" t="s">
        <v>2567</v>
      </c>
      <c r="H151" s="150" t="s">
        <v>2453</v>
      </c>
      <c r="I151" s="151" t="s">
        <v>2454</v>
      </c>
      <c r="J151" s="152">
        <v>1554</v>
      </c>
      <c r="K151" s="248" t="s">
        <v>2593</v>
      </c>
      <c r="L151" s="153" t="s">
        <v>3645</v>
      </c>
      <c r="M151" s="248" t="str">
        <f t="shared" si="2"/>
        <v>제3편 제1심의 소송절차-제05장 소송 개시와 심리 대상-제07절 소제기의 효과-02</v>
      </c>
      <c r="N151" s="211"/>
      <c r="O151" s="263"/>
    </row>
    <row r="152" spans="2:15" ht="14.45" customHeight="1" x14ac:dyDescent="0.2">
      <c r="B152" s="80" t="s">
        <v>2540</v>
      </c>
      <c r="C152" s="85" t="s">
        <v>2564</v>
      </c>
      <c r="D152" s="90" t="s">
        <v>3423</v>
      </c>
      <c r="E152" s="148" t="s">
        <v>2425</v>
      </c>
      <c r="F152" s="149" t="s">
        <v>2312</v>
      </c>
      <c r="G152" s="291" t="s">
        <v>2568</v>
      </c>
      <c r="H152" s="150" t="s">
        <v>2589</v>
      </c>
      <c r="I152" s="151" t="s">
        <v>2590</v>
      </c>
      <c r="J152" s="152">
        <v>2001</v>
      </c>
      <c r="K152" s="248" t="s">
        <v>2594</v>
      </c>
      <c r="L152" s="153"/>
      <c r="M152" s="248" t="str">
        <f t="shared" si="2"/>
        <v>제3편 제1심의 소송절차-제05장 소송 개시와 심리 대상-제07절 소제기의 효과-03</v>
      </c>
      <c r="N152" s="211"/>
      <c r="O152" s="263"/>
    </row>
    <row r="153" spans="2:15" ht="14.45" hidden="1" customHeight="1" x14ac:dyDescent="0.2">
      <c r="B153" s="80" t="s">
        <v>2540</v>
      </c>
      <c r="C153" s="85" t="s">
        <v>2564</v>
      </c>
      <c r="D153" s="90" t="s">
        <v>3423</v>
      </c>
      <c r="E153" s="148" t="s">
        <v>1553</v>
      </c>
      <c r="F153" s="149" t="s">
        <v>3792</v>
      </c>
      <c r="G153" s="291" t="s">
        <v>2569</v>
      </c>
      <c r="H153" s="150" t="s">
        <v>3095</v>
      </c>
      <c r="I153" s="151" t="s">
        <v>2699</v>
      </c>
      <c r="J153" s="152">
        <v>921</v>
      </c>
      <c r="K153" s="248"/>
      <c r="L153" s="153"/>
      <c r="M153" s="248" t="str">
        <f t="shared" si="2"/>
        <v>제3편 제1심의 소송절차-제05장 소송 개시와 심리 대상-제07절 소제기의 효과-04</v>
      </c>
      <c r="N153" s="211"/>
      <c r="O153" s="263"/>
    </row>
    <row r="154" spans="2:15" ht="14.45" hidden="1" customHeight="1" x14ac:dyDescent="0.2">
      <c r="B154" s="80" t="s">
        <v>2540</v>
      </c>
      <c r="C154" s="85" t="s">
        <v>2564</v>
      </c>
      <c r="D154" s="90" t="s">
        <v>3423</v>
      </c>
      <c r="E154" s="148" t="s">
        <v>1553</v>
      </c>
      <c r="F154" s="149" t="s">
        <v>3793</v>
      </c>
      <c r="G154" s="291" t="s">
        <v>3646</v>
      </c>
      <c r="H154" s="150" t="s">
        <v>3097</v>
      </c>
      <c r="I154" s="151" t="s">
        <v>2701</v>
      </c>
      <c r="J154" s="152">
        <v>406</v>
      </c>
      <c r="K154" s="248"/>
      <c r="L154" s="153"/>
      <c r="M154" s="248" t="str">
        <f t="shared" si="2"/>
        <v>제3편 제1심의 소송절차-제05장 소송 개시와 심리 대상-제07절 소제기의 효과-05</v>
      </c>
      <c r="N154" s="211"/>
      <c r="O154" s="263"/>
    </row>
    <row r="155" spans="2:15" ht="14.45" hidden="1" customHeight="1" x14ac:dyDescent="0.2">
      <c r="B155" s="80" t="s">
        <v>2540</v>
      </c>
      <c r="C155" s="85" t="s">
        <v>2564</v>
      </c>
      <c r="D155" s="90" t="s">
        <v>3423</v>
      </c>
      <c r="E155" s="148" t="s">
        <v>1553</v>
      </c>
      <c r="F155" s="149" t="s">
        <v>3794</v>
      </c>
      <c r="G155" s="291" t="s">
        <v>3647</v>
      </c>
      <c r="H155" s="150" t="s">
        <v>3098</v>
      </c>
      <c r="I155" s="151" t="s">
        <v>2702</v>
      </c>
      <c r="J155" s="152">
        <v>251</v>
      </c>
      <c r="K155" s="248"/>
      <c r="L155" s="153"/>
      <c r="M155" s="248" t="str">
        <f t="shared" si="2"/>
        <v>제3편 제1심의 소송절차-제05장 소송 개시와 심리 대상-제07절 소제기의 효과-06</v>
      </c>
      <c r="N155" s="211"/>
      <c r="O155" s="263"/>
    </row>
    <row r="156" spans="2:15" ht="14.45" hidden="1" customHeight="1" x14ac:dyDescent="0.2">
      <c r="B156" s="80" t="s">
        <v>2540</v>
      </c>
      <c r="C156" s="85" t="s">
        <v>2564</v>
      </c>
      <c r="D156" s="90" t="s">
        <v>3423</v>
      </c>
      <c r="E156" s="148" t="s">
        <v>1553</v>
      </c>
      <c r="F156" s="149" t="s">
        <v>3795</v>
      </c>
      <c r="G156" s="291" t="s">
        <v>3648</v>
      </c>
      <c r="H156" s="150" t="s">
        <v>3099</v>
      </c>
      <c r="I156" s="151" t="s">
        <v>2703</v>
      </c>
      <c r="J156" s="152">
        <v>331</v>
      </c>
      <c r="K156" s="248"/>
      <c r="L156" s="153"/>
      <c r="M156" s="248" t="str">
        <f t="shared" si="2"/>
        <v>제3편 제1심의 소송절차-제05장 소송 개시와 심리 대상-제07절 소제기의 효과-07</v>
      </c>
      <c r="N156" s="211"/>
      <c r="O156" s="263"/>
    </row>
    <row r="157" spans="2:15" ht="14.45" hidden="1" customHeight="1" x14ac:dyDescent="0.2">
      <c r="B157" s="80" t="s">
        <v>2540</v>
      </c>
      <c r="C157" s="85" t="s">
        <v>2564</v>
      </c>
      <c r="D157" s="90" t="s">
        <v>3423</v>
      </c>
      <c r="E157" s="148" t="s">
        <v>1553</v>
      </c>
      <c r="F157" s="149" t="s">
        <v>3796</v>
      </c>
      <c r="G157" s="291" t="s">
        <v>3649</v>
      </c>
      <c r="H157" s="150" t="s">
        <v>3100</v>
      </c>
      <c r="I157" s="151" t="s">
        <v>2704</v>
      </c>
      <c r="J157" s="152">
        <v>205</v>
      </c>
      <c r="K157" s="248"/>
      <c r="L157" s="153"/>
      <c r="M157" s="248" t="str">
        <f t="shared" si="2"/>
        <v>제3편 제1심의 소송절차-제05장 소송 개시와 심리 대상-제07절 소제기의 효과-08</v>
      </c>
      <c r="N157" s="211"/>
      <c r="O157" s="263"/>
    </row>
    <row r="158" spans="2:15" ht="14.45" hidden="1" customHeight="1" x14ac:dyDescent="0.2">
      <c r="B158" s="80" t="s">
        <v>2540</v>
      </c>
      <c r="C158" s="85" t="s">
        <v>2564</v>
      </c>
      <c r="D158" s="90" t="s">
        <v>3423</v>
      </c>
      <c r="E158" s="148" t="s">
        <v>1553</v>
      </c>
      <c r="F158" s="149" t="s">
        <v>3797</v>
      </c>
      <c r="G158" s="291" t="s">
        <v>3650</v>
      </c>
      <c r="H158" s="150" t="s">
        <v>3101</v>
      </c>
      <c r="I158" s="151" t="s">
        <v>2705</v>
      </c>
      <c r="J158" s="152">
        <v>548</v>
      </c>
      <c r="K158" s="248"/>
      <c r="L158" s="153"/>
      <c r="M158" s="248" t="str">
        <f t="shared" si="2"/>
        <v>제3편 제1심의 소송절차-제05장 소송 개시와 심리 대상-제07절 소제기의 효과-09</v>
      </c>
      <c r="N158" s="211"/>
      <c r="O158" s="263"/>
    </row>
    <row r="159" spans="2:15" ht="14.45" hidden="1" customHeight="1" x14ac:dyDescent="0.2">
      <c r="B159" s="80" t="s">
        <v>2540</v>
      </c>
      <c r="C159" s="85" t="s">
        <v>2564</v>
      </c>
      <c r="D159" s="90" t="s">
        <v>3423</v>
      </c>
      <c r="E159" s="148" t="s">
        <v>1553</v>
      </c>
      <c r="F159" s="149" t="s">
        <v>3798</v>
      </c>
      <c r="G159" s="291" t="s">
        <v>3651</v>
      </c>
      <c r="H159" s="150" t="s">
        <v>3102</v>
      </c>
      <c r="I159" s="151" t="s">
        <v>2706</v>
      </c>
      <c r="J159" s="152">
        <v>383</v>
      </c>
      <c r="K159" s="248"/>
      <c r="L159" s="153"/>
      <c r="M159" s="248" t="str">
        <f t="shared" si="2"/>
        <v>제3편 제1심의 소송절차-제05장 소송 개시와 심리 대상-제07절 소제기의 효과-10</v>
      </c>
      <c r="N159" s="211"/>
      <c r="O159" s="263"/>
    </row>
    <row r="160" spans="2:15" ht="14.45" hidden="1" customHeight="1" x14ac:dyDescent="0.2">
      <c r="B160" s="80" t="s">
        <v>2540</v>
      </c>
      <c r="C160" s="85" t="s">
        <v>2564</v>
      </c>
      <c r="D160" s="90" t="s">
        <v>3423</v>
      </c>
      <c r="E160" s="148" t="s">
        <v>1553</v>
      </c>
      <c r="F160" s="149" t="s">
        <v>3799</v>
      </c>
      <c r="G160" s="291" t="s">
        <v>3652</v>
      </c>
      <c r="H160" s="150" t="s">
        <v>3103</v>
      </c>
      <c r="I160" s="151" t="s">
        <v>2707</v>
      </c>
      <c r="J160" s="152">
        <v>547</v>
      </c>
      <c r="K160" s="248"/>
      <c r="L160" s="153"/>
      <c r="M160" s="248" t="str">
        <f t="shared" si="2"/>
        <v>제3편 제1심의 소송절차-제05장 소송 개시와 심리 대상-제07절 소제기의 효과-11</v>
      </c>
      <c r="N160" s="211"/>
      <c r="O160" s="263"/>
    </row>
    <row r="161" spans="2:15" ht="14.45" hidden="1" customHeight="1" x14ac:dyDescent="0.2">
      <c r="B161" s="80" t="s">
        <v>2540</v>
      </c>
      <c r="C161" s="85" t="s">
        <v>2564</v>
      </c>
      <c r="D161" s="89" t="s">
        <v>3423</v>
      </c>
      <c r="E161" s="213" t="s">
        <v>1553</v>
      </c>
      <c r="F161" s="214" t="s">
        <v>3800</v>
      </c>
      <c r="G161" s="290" t="s">
        <v>3653</v>
      </c>
      <c r="H161" s="215" t="s">
        <v>3104</v>
      </c>
      <c r="I161" s="216" t="s">
        <v>2708</v>
      </c>
      <c r="J161" s="217">
        <v>745</v>
      </c>
      <c r="K161" s="245"/>
      <c r="L161" s="219"/>
      <c r="M161" s="245" t="str">
        <f t="shared" si="2"/>
        <v>제3편 제1심의 소송절차-제05장 소송 개시와 심리 대상-제07절 소제기의 효과-12</v>
      </c>
      <c r="N161" s="218"/>
      <c r="O161" s="260"/>
    </row>
    <row r="162" spans="2:15" ht="14.45" customHeight="1" x14ac:dyDescent="0.2">
      <c r="B162" s="80" t="s">
        <v>2540</v>
      </c>
      <c r="C162" s="85" t="s">
        <v>2564</v>
      </c>
      <c r="D162" s="83" t="s">
        <v>3429</v>
      </c>
      <c r="E162" s="143" t="s">
        <v>7</v>
      </c>
      <c r="F162" s="144" t="s">
        <v>2223</v>
      </c>
      <c r="G162" s="295" t="s">
        <v>2566</v>
      </c>
      <c r="H162" s="145" t="s">
        <v>103</v>
      </c>
      <c r="I162" s="146" t="s">
        <v>2273</v>
      </c>
      <c r="J162" s="147">
        <v>2764</v>
      </c>
      <c r="K162" s="247" t="s">
        <v>2595</v>
      </c>
      <c r="L162" s="168"/>
      <c r="M162" s="247" t="str">
        <f t="shared" si="2"/>
        <v>제3편 제1심의 소송절차-제05장 소송 개시와 심리 대상-제08절 채권자대위소송에 대한 주요논점-01</v>
      </c>
      <c r="N162" s="210"/>
      <c r="O162" s="262"/>
    </row>
    <row r="163" spans="2:15" ht="14.45" customHeight="1" thickBot="1" x14ac:dyDescent="0.25">
      <c r="B163" s="80" t="s">
        <v>2540</v>
      </c>
      <c r="C163" s="85" t="s">
        <v>2564</v>
      </c>
      <c r="D163" s="90" t="s">
        <v>3429</v>
      </c>
      <c r="E163" s="148" t="s">
        <v>2425</v>
      </c>
      <c r="F163" s="149" t="s">
        <v>2313</v>
      </c>
      <c r="G163" s="291" t="s">
        <v>2567</v>
      </c>
      <c r="H163" s="150" t="s">
        <v>162</v>
      </c>
      <c r="I163" s="151" t="s">
        <v>2177</v>
      </c>
      <c r="J163" s="152">
        <v>2042</v>
      </c>
      <c r="K163" s="248" t="s">
        <v>2595</v>
      </c>
      <c r="L163" s="153"/>
      <c r="M163" s="248" t="str">
        <f t="shared" si="2"/>
        <v>제3편 제1심의 소송절차-제05장 소송 개시와 심리 대상-제08절 채권자대위소송에 대한 주요논점-02</v>
      </c>
      <c r="N163" s="211"/>
      <c r="O163" s="263"/>
    </row>
    <row r="164" spans="2:15" ht="14.45" hidden="1" customHeight="1" x14ac:dyDescent="0.25">
      <c r="B164" s="80" t="s">
        <v>2540</v>
      </c>
      <c r="C164" s="85" t="s">
        <v>2564</v>
      </c>
      <c r="D164" s="90" t="s">
        <v>3429</v>
      </c>
      <c r="E164" s="148" t="s">
        <v>1553</v>
      </c>
      <c r="F164" s="149" t="s">
        <v>3801</v>
      </c>
      <c r="G164" s="291" t="s">
        <v>2568</v>
      </c>
      <c r="H164" s="150" t="s">
        <v>3093</v>
      </c>
      <c r="I164" s="151" t="s">
        <v>2697</v>
      </c>
      <c r="J164" s="152">
        <v>237</v>
      </c>
      <c r="K164" s="248"/>
      <c r="L164" s="153"/>
      <c r="M164" s="248" t="str">
        <f t="shared" si="2"/>
        <v>제3편 제1심의 소송절차-제05장 소송 개시와 심리 대상-제08절 채권자대위소송에 대한 주요논점-03</v>
      </c>
      <c r="N164" s="211"/>
      <c r="O164" s="263"/>
    </row>
    <row r="165" spans="2:15" ht="14.45" hidden="1" customHeight="1" x14ac:dyDescent="0.25">
      <c r="B165" s="80" t="s">
        <v>2540</v>
      </c>
      <c r="C165" s="85" t="s">
        <v>2564</v>
      </c>
      <c r="D165" s="90" t="s">
        <v>3429</v>
      </c>
      <c r="E165" s="148" t="s">
        <v>1553</v>
      </c>
      <c r="F165" s="149" t="s">
        <v>3802</v>
      </c>
      <c r="G165" s="291" t="s">
        <v>2569</v>
      </c>
      <c r="H165" s="150" t="s">
        <v>3094</v>
      </c>
      <c r="I165" s="151" t="s">
        <v>2698</v>
      </c>
      <c r="J165" s="152">
        <v>210</v>
      </c>
      <c r="K165" s="248"/>
      <c r="L165" s="153"/>
      <c r="M165" s="248" t="str">
        <f t="shared" si="2"/>
        <v>제3편 제1심의 소송절차-제05장 소송 개시와 심리 대상-제08절 채권자대위소송에 대한 주요논점-04</v>
      </c>
      <c r="N165" s="211"/>
      <c r="O165" s="263"/>
    </row>
    <row r="166" spans="2:15" ht="14.45" hidden="1" customHeight="1" thickBot="1" x14ac:dyDescent="0.25">
      <c r="B166" s="80" t="s">
        <v>2540</v>
      </c>
      <c r="C166" s="86" t="s">
        <v>2564</v>
      </c>
      <c r="D166" s="91" t="s">
        <v>3429</v>
      </c>
      <c r="E166" s="154" t="s">
        <v>1553</v>
      </c>
      <c r="F166" s="155" t="s">
        <v>3803</v>
      </c>
      <c r="G166" s="292" t="s">
        <v>3646</v>
      </c>
      <c r="H166" s="156" t="s">
        <v>3096</v>
      </c>
      <c r="I166" s="157" t="s">
        <v>2700</v>
      </c>
      <c r="J166" s="158">
        <v>423</v>
      </c>
      <c r="K166" s="249"/>
      <c r="L166" s="170"/>
      <c r="M166" s="249" t="str">
        <f t="shared" si="2"/>
        <v>제3편 제1심의 소송절차-제05장 소송 개시와 심리 대상-제08절 채권자대위소송에 대한 주요논점-05</v>
      </c>
      <c r="N166" s="212"/>
      <c r="O166" s="264"/>
    </row>
    <row r="167" spans="2:15" ht="14.45" customHeight="1" x14ac:dyDescent="0.2">
      <c r="B167" s="80" t="s">
        <v>2540</v>
      </c>
      <c r="C167" s="64" t="s">
        <v>2527</v>
      </c>
      <c r="D167" s="227" t="s">
        <v>3483</v>
      </c>
      <c r="E167" s="228" t="s">
        <v>7</v>
      </c>
      <c r="F167" s="229" t="s">
        <v>2265</v>
      </c>
      <c r="G167" s="296" t="s">
        <v>2566</v>
      </c>
      <c r="H167" s="230" t="s">
        <v>104</v>
      </c>
      <c r="I167" s="231" t="s">
        <v>2274</v>
      </c>
      <c r="J167" s="232">
        <v>1439</v>
      </c>
      <c r="K167" s="250" t="s">
        <v>2595</v>
      </c>
      <c r="L167" s="234"/>
      <c r="M167" s="250" t="str">
        <f t="shared" si="2"/>
        <v>제3편 제1심의 소송절차-제06장 변론-제01절 변론의 의의와 종류-01</v>
      </c>
      <c r="N167" s="233"/>
      <c r="O167" s="265"/>
    </row>
    <row r="168" spans="2:15" ht="14.45" customHeight="1" x14ac:dyDescent="0.2">
      <c r="B168" s="80" t="s">
        <v>2540</v>
      </c>
      <c r="C168" s="85" t="s">
        <v>2526</v>
      </c>
      <c r="D168" s="83" t="s">
        <v>3426</v>
      </c>
      <c r="E168" s="143" t="s">
        <v>7</v>
      </c>
      <c r="F168" s="144" t="s">
        <v>2265</v>
      </c>
      <c r="G168" s="295" t="s">
        <v>2566</v>
      </c>
      <c r="H168" s="145" t="s">
        <v>105</v>
      </c>
      <c r="I168" s="146" t="s">
        <v>2275</v>
      </c>
      <c r="J168" s="147">
        <v>2777</v>
      </c>
      <c r="K168" s="247" t="s">
        <v>2593</v>
      </c>
      <c r="L168" s="168" t="s">
        <v>3626</v>
      </c>
      <c r="M168" s="247" t="str">
        <f t="shared" si="2"/>
        <v>제3편 제1심의 소송절차-제06장 변론-제02절 심리에 관한 제 원칙-01</v>
      </c>
      <c r="N168" s="210"/>
      <c r="O168" s="262"/>
    </row>
    <row r="169" spans="2:15" ht="14.45" customHeight="1" x14ac:dyDescent="0.2">
      <c r="B169" s="80" t="s">
        <v>2540</v>
      </c>
      <c r="C169" s="85" t="s">
        <v>2526</v>
      </c>
      <c r="D169" s="90" t="s">
        <v>3426</v>
      </c>
      <c r="E169" s="148" t="s">
        <v>2425</v>
      </c>
      <c r="F169" s="149" t="s">
        <v>165</v>
      </c>
      <c r="G169" s="291" t="s">
        <v>2567</v>
      </c>
      <c r="H169" s="150" t="s">
        <v>163</v>
      </c>
      <c r="I169" s="151" t="s">
        <v>2178</v>
      </c>
      <c r="J169" s="152">
        <v>1571</v>
      </c>
      <c r="K169" s="248" t="s">
        <v>2593</v>
      </c>
      <c r="L169" s="153"/>
      <c r="M169" s="248" t="str">
        <f t="shared" si="2"/>
        <v>제3편 제1심의 소송절차-제06장 변론-제02절 심리에 관한 제 원칙-02</v>
      </c>
      <c r="N169" s="211"/>
      <c r="O169" s="263"/>
    </row>
    <row r="170" spans="2:15" ht="14.45" customHeight="1" x14ac:dyDescent="0.2">
      <c r="B170" s="80" t="s">
        <v>2540</v>
      </c>
      <c r="C170" s="85" t="s">
        <v>2526</v>
      </c>
      <c r="D170" s="90" t="s">
        <v>3426</v>
      </c>
      <c r="E170" s="148" t="s">
        <v>2425</v>
      </c>
      <c r="F170" s="149" t="s">
        <v>154</v>
      </c>
      <c r="G170" s="291" t="s">
        <v>2568</v>
      </c>
      <c r="H170" s="150" t="s">
        <v>2357</v>
      </c>
      <c r="I170" s="151" t="s">
        <v>2359</v>
      </c>
      <c r="J170" s="152">
        <v>1413</v>
      </c>
      <c r="K170" s="248" t="s">
        <v>2593</v>
      </c>
      <c r="L170" s="153"/>
      <c r="M170" s="248" t="str">
        <f t="shared" si="2"/>
        <v>제3편 제1심의 소송절차-제06장 변론-제02절 심리에 관한 제 원칙-03</v>
      </c>
      <c r="N170" s="211"/>
      <c r="O170" s="263"/>
    </row>
    <row r="171" spans="2:15" ht="14.45" customHeight="1" x14ac:dyDescent="0.2">
      <c r="B171" s="80" t="s">
        <v>2540</v>
      </c>
      <c r="C171" s="85" t="s">
        <v>2526</v>
      </c>
      <c r="D171" s="90" t="s">
        <v>3426</v>
      </c>
      <c r="E171" s="148" t="s">
        <v>2425</v>
      </c>
      <c r="F171" s="149" t="s">
        <v>2314</v>
      </c>
      <c r="G171" s="291" t="s">
        <v>2569</v>
      </c>
      <c r="H171" s="150" t="s">
        <v>2456</v>
      </c>
      <c r="I171" s="151" t="s">
        <v>2457</v>
      </c>
      <c r="J171" s="152">
        <v>1582</v>
      </c>
      <c r="K171" s="248" t="s">
        <v>2593</v>
      </c>
      <c r="L171" s="153"/>
      <c r="M171" s="248" t="str">
        <f t="shared" si="2"/>
        <v>제3편 제1심의 소송절차-제06장 변론-제02절 심리에 관한 제 원칙-04</v>
      </c>
      <c r="N171" s="211"/>
      <c r="O171" s="263"/>
    </row>
    <row r="172" spans="2:15" ht="14.45" customHeight="1" x14ac:dyDescent="0.2">
      <c r="B172" s="80" t="s">
        <v>2540</v>
      </c>
      <c r="C172" s="85" t="s">
        <v>2526</v>
      </c>
      <c r="D172" s="90" t="s">
        <v>3426</v>
      </c>
      <c r="E172" s="148" t="s">
        <v>2425</v>
      </c>
      <c r="F172" s="149" t="s">
        <v>164</v>
      </c>
      <c r="G172" s="291" t="s">
        <v>3646</v>
      </c>
      <c r="H172" s="150" t="s">
        <v>2473</v>
      </c>
      <c r="I172" s="151" t="s">
        <v>2474</v>
      </c>
      <c r="J172" s="152">
        <v>1639</v>
      </c>
      <c r="K172" s="248" t="s">
        <v>2593</v>
      </c>
      <c r="L172" s="153" t="s">
        <v>3645</v>
      </c>
      <c r="M172" s="248" t="str">
        <f t="shared" si="2"/>
        <v>제3편 제1심의 소송절차-제06장 변론-제02절 심리에 관한 제 원칙-05</v>
      </c>
      <c r="N172" s="211"/>
      <c r="O172" s="263"/>
    </row>
    <row r="173" spans="2:15" ht="14.45" customHeight="1" x14ac:dyDescent="0.2">
      <c r="B173" s="80" t="s">
        <v>2540</v>
      </c>
      <c r="C173" s="85" t="s">
        <v>2526</v>
      </c>
      <c r="D173" s="90" t="s">
        <v>3426</v>
      </c>
      <c r="E173" s="148" t="s">
        <v>2426</v>
      </c>
      <c r="F173" s="149" t="s">
        <v>3566</v>
      </c>
      <c r="G173" s="291" t="s">
        <v>3647</v>
      </c>
      <c r="H173" s="150" t="s">
        <v>3574</v>
      </c>
      <c r="I173" s="151" t="s">
        <v>3583</v>
      </c>
      <c r="J173" s="152">
        <v>1131</v>
      </c>
      <c r="K173" s="248" t="s">
        <v>2593</v>
      </c>
      <c r="L173" s="153" t="s">
        <v>3645</v>
      </c>
      <c r="M173" s="248" t="str">
        <f t="shared" si="2"/>
        <v>제3편 제1심의 소송절차-제06장 변론-제02절 심리에 관한 제 원칙-06</v>
      </c>
      <c r="N173" s="211"/>
      <c r="O173" s="263"/>
    </row>
    <row r="174" spans="2:15" ht="14.45" customHeight="1" x14ac:dyDescent="0.2">
      <c r="B174" s="80" t="s">
        <v>2540</v>
      </c>
      <c r="C174" s="85" t="s">
        <v>2526</v>
      </c>
      <c r="D174" s="90" t="s">
        <v>3426</v>
      </c>
      <c r="E174" s="148" t="s">
        <v>2426</v>
      </c>
      <c r="F174" s="149" t="s">
        <v>3571</v>
      </c>
      <c r="G174" s="291" t="s">
        <v>3648</v>
      </c>
      <c r="H174" s="150" t="s">
        <v>3575</v>
      </c>
      <c r="I174" s="151" t="s">
        <v>3584</v>
      </c>
      <c r="J174" s="152">
        <v>1269</v>
      </c>
      <c r="K174" s="248" t="s">
        <v>2593</v>
      </c>
      <c r="L174" s="153" t="s">
        <v>3645</v>
      </c>
      <c r="M174" s="248" t="str">
        <f t="shared" si="2"/>
        <v>제3편 제1심의 소송절차-제06장 변론-제02절 심리에 관한 제 원칙-07</v>
      </c>
      <c r="N174" s="211"/>
      <c r="O174" s="263"/>
    </row>
    <row r="175" spans="2:15" ht="14.45" hidden="1" customHeight="1" x14ac:dyDescent="0.2">
      <c r="B175" s="80" t="s">
        <v>2540</v>
      </c>
      <c r="C175" s="85" t="s">
        <v>2526</v>
      </c>
      <c r="D175" s="90" t="s">
        <v>3426</v>
      </c>
      <c r="E175" s="148" t="s">
        <v>1553</v>
      </c>
      <c r="F175" s="149" t="s">
        <v>3804</v>
      </c>
      <c r="G175" s="291" t="s">
        <v>3649</v>
      </c>
      <c r="H175" s="150" t="s">
        <v>3105</v>
      </c>
      <c r="I175" s="151" t="s">
        <v>2709</v>
      </c>
      <c r="J175" s="152">
        <v>465</v>
      </c>
      <c r="K175" s="248"/>
      <c r="L175" s="153"/>
      <c r="M175" s="248" t="str">
        <f t="shared" si="2"/>
        <v>제3편 제1심의 소송절차-제06장 변론-제02절 심리에 관한 제 원칙-08</v>
      </c>
      <c r="N175" s="211"/>
      <c r="O175" s="263"/>
    </row>
    <row r="176" spans="2:15" ht="14.45" hidden="1" customHeight="1" x14ac:dyDescent="0.2">
      <c r="B176" s="80" t="s">
        <v>2540</v>
      </c>
      <c r="C176" s="85" t="s">
        <v>2526</v>
      </c>
      <c r="D176" s="90" t="s">
        <v>3426</v>
      </c>
      <c r="E176" s="148" t="s">
        <v>1553</v>
      </c>
      <c r="F176" s="149" t="s">
        <v>3805</v>
      </c>
      <c r="G176" s="291" t="s">
        <v>3650</v>
      </c>
      <c r="H176" s="150" t="s">
        <v>3106</v>
      </c>
      <c r="I176" s="151" t="s">
        <v>2710</v>
      </c>
      <c r="J176" s="152">
        <v>179</v>
      </c>
      <c r="K176" s="248"/>
      <c r="L176" s="153"/>
      <c r="M176" s="248" t="str">
        <f t="shared" si="2"/>
        <v>제3편 제1심의 소송절차-제06장 변론-제02절 심리에 관한 제 원칙-09</v>
      </c>
      <c r="N176" s="211"/>
      <c r="O176" s="263"/>
    </row>
    <row r="177" spans="2:15" ht="14.45" hidden="1" customHeight="1" x14ac:dyDescent="0.2">
      <c r="B177" s="80" t="s">
        <v>2540</v>
      </c>
      <c r="C177" s="85" t="s">
        <v>2526</v>
      </c>
      <c r="D177" s="90" t="s">
        <v>3426</v>
      </c>
      <c r="E177" s="148" t="s">
        <v>1553</v>
      </c>
      <c r="F177" s="149" t="s">
        <v>3806</v>
      </c>
      <c r="G177" s="291" t="s">
        <v>3651</v>
      </c>
      <c r="H177" s="150" t="s">
        <v>3107</v>
      </c>
      <c r="I177" s="151" t="s">
        <v>2711</v>
      </c>
      <c r="J177" s="152">
        <v>267</v>
      </c>
      <c r="K177" s="248"/>
      <c r="L177" s="153"/>
      <c r="M177" s="248" t="str">
        <f t="shared" si="2"/>
        <v>제3편 제1심의 소송절차-제06장 변론-제02절 심리에 관한 제 원칙-10</v>
      </c>
      <c r="N177" s="211"/>
      <c r="O177" s="263"/>
    </row>
    <row r="178" spans="2:15" ht="14.45" hidden="1" customHeight="1" x14ac:dyDescent="0.2">
      <c r="B178" s="80" t="s">
        <v>2540</v>
      </c>
      <c r="C178" s="85" t="s">
        <v>2526</v>
      </c>
      <c r="D178" s="90" t="s">
        <v>3426</v>
      </c>
      <c r="E178" s="148" t="s">
        <v>1553</v>
      </c>
      <c r="F178" s="149" t="s">
        <v>3807</v>
      </c>
      <c r="G178" s="291" t="s">
        <v>3652</v>
      </c>
      <c r="H178" s="150" t="s">
        <v>3108</v>
      </c>
      <c r="I178" s="151" t="s">
        <v>2712</v>
      </c>
      <c r="J178" s="152">
        <v>222</v>
      </c>
      <c r="K178" s="248"/>
      <c r="L178" s="153"/>
      <c r="M178" s="248" t="str">
        <f t="shared" si="2"/>
        <v>제3편 제1심의 소송절차-제06장 변론-제02절 심리에 관한 제 원칙-11</v>
      </c>
      <c r="N178" s="211"/>
      <c r="O178" s="263"/>
    </row>
    <row r="179" spans="2:15" ht="14.45" hidden="1" customHeight="1" x14ac:dyDescent="0.2">
      <c r="B179" s="80" t="s">
        <v>2540</v>
      </c>
      <c r="C179" s="85" t="s">
        <v>2526</v>
      </c>
      <c r="D179" s="90" t="s">
        <v>3426</v>
      </c>
      <c r="E179" s="148" t="s">
        <v>1553</v>
      </c>
      <c r="F179" s="149" t="s">
        <v>3808</v>
      </c>
      <c r="G179" s="291" t="s">
        <v>3653</v>
      </c>
      <c r="H179" s="150" t="s">
        <v>3109</v>
      </c>
      <c r="I179" s="151" t="s">
        <v>2713</v>
      </c>
      <c r="J179" s="152">
        <v>440</v>
      </c>
      <c r="K179" s="248"/>
      <c r="L179" s="153"/>
      <c r="M179" s="248" t="str">
        <f t="shared" si="2"/>
        <v>제3편 제1심의 소송절차-제06장 변론-제02절 심리에 관한 제 원칙-12</v>
      </c>
      <c r="N179" s="211"/>
      <c r="O179" s="263"/>
    </row>
    <row r="180" spans="2:15" ht="14.45" hidden="1" customHeight="1" x14ac:dyDescent="0.2">
      <c r="B180" s="80" t="s">
        <v>2540</v>
      </c>
      <c r="C180" s="85" t="s">
        <v>2526</v>
      </c>
      <c r="D180" s="90" t="s">
        <v>3426</v>
      </c>
      <c r="E180" s="148" t="s">
        <v>1553</v>
      </c>
      <c r="F180" s="149" t="s">
        <v>3809</v>
      </c>
      <c r="G180" s="291" t="s">
        <v>3654</v>
      </c>
      <c r="H180" s="150" t="s">
        <v>3110</v>
      </c>
      <c r="I180" s="151" t="s">
        <v>2714</v>
      </c>
      <c r="J180" s="152">
        <v>412</v>
      </c>
      <c r="K180" s="248"/>
      <c r="L180" s="153"/>
      <c r="M180" s="248" t="str">
        <f t="shared" si="2"/>
        <v>제3편 제1심의 소송절차-제06장 변론-제02절 심리에 관한 제 원칙-13</v>
      </c>
      <c r="N180" s="211"/>
      <c r="O180" s="263"/>
    </row>
    <row r="181" spans="2:15" ht="14.45" hidden="1" customHeight="1" x14ac:dyDescent="0.2">
      <c r="B181" s="80" t="s">
        <v>2540</v>
      </c>
      <c r="C181" s="85" t="s">
        <v>2526</v>
      </c>
      <c r="D181" s="90" t="s">
        <v>3426</v>
      </c>
      <c r="E181" s="148" t="s">
        <v>1553</v>
      </c>
      <c r="F181" s="149" t="s">
        <v>3810</v>
      </c>
      <c r="G181" s="291" t="s">
        <v>3655</v>
      </c>
      <c r="H181" s="150" t="s">
        <v>3111</v>
      </c>
      <c r="I181" s="151" t="s">
        <v>2715</v>
      </c>
      <c r="J181" s="152">
        <v>233</v>
      </c>
      <c r="K181" s="248"/>
      <c r="L181" s="153"/>
      <c r="M181" s="248" t="str">
        <f t="shared" si="2"/>
        <v>제3편 제1심의 소송절차-제06장 변론-제02절 심리에 관한 제 원칙-14</v>
      </c>
      <c r="N181" s="211"/>
      <c r="O181" s="263"/>
    </row>
    <row r="182" spans="2:15" ht="14.45" hidden="1" customHeight="1" x14ac:dyDescent="0.2">
      <c r="B182" s="80" t="s">
        <v>2540</v>
      </c>
      <c r="C182" s="85" t="s">
        <v>2526</v>
      </c>
      <c r="D182" s="90" t="s">
        <v>3426</v>
      </c>
      <c r="E182" s="148" t="s">
        <v>1553</v>
      </c>
      <c r="F182" s="149" t="s">
        <v>3811</v>
      </c>
      <c r="G182" s="291" t="s">
        <v>3656</v>
      </c>
      <c r="H182" s="150" t="s">
        <v>3112</v>
      </c>
      <c r="I182" s="151" t="s">
        <v>2716</v>
      </c>
      <c r="J182" s="152">
        <v>199</v>
      </c>
      <c r="K182" s="248"/>
      <c r="L182" s="153"/>
      <c r="M182" s="248" t="str">
        <f t="shared" si="2"/>
        <v>제3편 제1심의 소송절차-제06장 변론-제02절 심리에 관한 제 원칙-15</v>
      </c>
      <c r="N182" s="211"/>
      <c r="O182" s="263"/>
    </row>
    <row r="183" spans="2:15" ht="14.45" hidden="1" customHeight="1" x14ac:dyDescent="0.2">
      <c r="B183" s="80" t="s">
        <v>2540</v>
      </c>
      <c r="C183" s="85" t="s">
        <v>2526</v>
      </c>
      <c r="D183" s="90" t="s">
        <v>3426</v>
      </c>
      <c r="E183" s="148" t="s">
        <v>1553</v>
      </c>
      <c r="F183" s="149" t="s">
        <v>3812</v>
      </c>
      <c r="G183" s="291" t="s">
        <v>3657</v>
      </c>
      <c r="H183" s="150" t="s">
        <v>3113</v>
      </c>
      <c r="I183" s="151" t="s">
        <v>2717</v>
      </c>
      <c r="J183" s="152">
        <v>275</v>
      </c>
      <c r="K183" s="248"/>
      <c r="L183" s="153"/>
      <c r="M183" s="248" t="str">
        <f t="shared" si="2"/>
        <v>제3편 제1심의 소송절차-제06장 변론-제02절 심리에 관한 제 원칙-16</v>
      </c>
      <c r="N183" s="211"/>
      <c r="O183" s="263"/>
    </row>
    <row r="184" spans="2:15" ht="14.45" hidden="1" customHeight="1" x14ac:dyDescent="0.2">
      <c r="B184" s="80" t="s">
        <v>2540</v>
      </c>
      <c r="C184" s="85" t="s">
        <v>2526</v>
      </c>
      <c r="D184" s="90" t="s">
        <v>3426</v>
      </c>
      <c r="E184" s="148" t="s">
        <v>1553</v>
      </c>
      <c r="F184" s="149" t="s">
        <v>3813</v>
      </c>
      <c r="G184" s="291" t="s">
        <v>3658</v>
      </c>
      <c r="H184" s="150" t="s">
        <v>3114</v>
      </c>
      <c r="I184" s="151" t="s">
        <v>2718</v>
      </c>
      <c r="J184" s="152">
        <v>167</v>
      </c>
      <c r="K184" s="248"/>
      <c r="L184" s="153"/>
      <c r="M184" s="248" t="str">
        <f t="shared" si="2"/>
        <v>제3편 제1심의 소송절차-제06장 변론-제02절 심리에 관한 제 원칙-17</v>
      </c>
      <c r="N184" s="211"/>
      <c r="O184" s="263"/>
    </row>
    <row r="185" spans="2:15" ht="14.45" hidden="1" customHeight="1" x14ac:dyDescent="0.2">
      <c r="B185" s="80" t="s">
        <v>2540</v>
      </c>
      <c r="C185" s="85" t="s">
        <v>2526</v>
      </c>
      <c r="D185" s="90" t="s">
        <v>3426</v>
      </c>
      <c r="E185" s="148" t="s">
        <v>1553</v>
      </c>
      <c r="F185" s="149" t="s">
        <v>3814</v>
      </c>
      <c r="G185" s="291" t="s">
        <v>3659</v>
      </c>
      <c r="H185" s="150" t="s">
        <v>3115</v>
      </c>
      <c r="I185" s="151" t="s">
        <v>2719</v>
      </c>
      <c r="J185" s="152">
        <v>234</v>
      </c>
      <c r="K185" s="248"/>
      <c r="L185" s="153"/>
      <c r="M185" s="248" t="str">
        <f t="shared" si="2"/>
        <v>제3편 제1심의 소송절차-제06장 변론-제02절 심리에 관한 제 원칙-18</v>
      </c>
      <c r="N185" s="211"/>
      <c r="O185" s="263"/>
    </row>
    <row r="186" spans="2:15" ht="14.45" hidden="1" customHeight="1" x14ac:dyDescent="0.2">
      <c r="B186" s="80" t="s">
        <v>2540</v>
      </c>
      <c r="C186" s="85" t="s">
        <v>2526</v>
      </c>
      <c r="D186" s="90" t="s">
        <v>3426</v>
      </c>
      <c r="E186" s="148" t="s">
        <v>1553</v>
      </c>
      <c r="F186" s="149" t="s">
        <v>3815</v>
      </c>
      <c r="G186" s="291" t="s">
        <v>3660</v>
      </c>
      <c r="H186" s="150" t="s">
        <v>3116</v>
      </c>
      <c r="I186" s="151" t="s">
        <v>2720</v>
      </c>
      <c r="J186" s="152">
        <v>299</v>
      </c>
      <c r="K186" s="248"/>
      <c r="L186" s="153"/>
      <c r="M186" s="248" t="str">
        <f t="shared" si="2"/>
        <v>제3편 제1심의 소송절차-제06장 변론-제02절 심리에 관한 제 원칙-19</v>
      </c>
      <c r="N186" s="211"/>
      <c r="O186" s="263"/>
    </row>
    <row r="187" spans="2:15" ht="14.45" hidden="1" customHeight="1" x14ac:dyDescent="0.2">
      <c r="B187" s="80" t="s">
        <v>2540</v>
      </c>
      <c r="C187" s="85" t="s">
        <v>2526</v>
      </c>
      <c r="D187" s="90" t="s">
        <v>3426</v>
      </c>
      <c r="E187" s="148" t="s">
        <v>1553</v>
      </c>
      <c r="F187" s="149" t="s">
        <v>3816</v>
      </c>
      <c r="G187" s="291" t="s">
        <v>3661</v>
      </c>
      <c r="H187" s="150" t="s">
        <v>3117</v>
      </c>
      <c r="I187" s="151" t="s">
        <v>2721</v>
      </c>
      <c r="J187" s="152">
        <v>267</v>
      </c>
      <c r="K187" s="248"/>
      <c r="L187" s="153"/>
      <c r="M187" s="248" t="str">
        <f t="shared" si="2"/>
        <v>제3편 제1심의 소송절차-제06장 변론-제02절 심리에 관한 제 원칙-20</v>
      </c>
      <c r="N187" s="211"/>
      <c r="O187" s="263"/>
    </row>
    <row r="188" spans="2:15" ht="14.45" hidden="1" customHeight="1" x14ac:dyDescent="0.2">
      <c r="B188" s="80" t="s">
        <v>2540</v>
      </c>
      <c r="C188" s="85" t="s">
        <v>2526</v>
      </c>
      <c r="D188" s="90" t="s">
        <v>3426</v>
      </c>
      <c r="E188" s="148" t="s">
        <v>1553</v>
      </c>
      <c r="F188" s="149" t="s">
        <v>3817</v>
      </c>
      <c r="G188" s="291" t="s">
        <v>3662</v>
      </c>
      <c r="H188" s="150" t="s">
        <v>3118</v>
      </c>
      <c r="I188" s="151" t="s">
        <v>2722</v>
      </c>
      <c r="J188" s="152">
        <v>266</v>
      </c>
      <c r="K188" s="248"/>
      <c r="L188" s="153"/>
      <c r="M188" s="248" t="str">
        <f t="shared" si="2"/>
        <v>제3편 제1심의 소송절차-제06장 변론-제02절 심리에 관한 제 원칙-21</v>
      </c>
      <c r="N188" s="211"/>
      <c r="O188" s="263"/>
    </row>
    <row r="189" spans="2:15" ht="14.45" hidden="1" customHeight="1" x14ac:dyDescent="0.2">
      <c r="B189" s="80" t="s">
        <v>2540</v>
      </c>
      <c r="C189" s="85" t="s">
        <v>2526</v>
      </c>
      <c r="D189" s="90" t="s">
        <v>3426</v>
      </c>
      <c r="E189" s="148" t="s">
        <v>1553</v>
      </c>
      <c r="F189" s="149" t="s">
        <v>3818</v>
      </c>
      <c r="G189" s="291" t="s">
        <v>3663</v>
      </c>
      <c r="H189" s="150" t="s">
        <v>3119</v>
      </c>
      <c r="I189" s="151" t="s">
        <v>2723</v>
      </c>
      <c r="J189" s="152">
        <v>274</v>
      </c>
      <c r="K189" s="248"/>
      <c r="L189" s="153"/>
      <c r="M189" s="248" t="str">
        <f t="shared" si="2"/>
        <v>제3편 제1심의 소송절차-제06장 변론-제02절 심리에 관한 제 원칙-22</v>
      </c>
      <c r="N189" s="211"/>
      <c r="O189" s="263"/>
    </row>
    <row r="190" spans="2:15" ht="14.45" hidden="1" customHeight="1" x14ac:dyDescent="0.2">
      <c r="B190" s="80" t="s">
        <v>2540</v>
      </c>
      <c r="C190" s="85" t="s">
        <v>2526</v>
      </c>
      <c r="D190" s="90" t="s">
        <v>3426</v>
      </c>
      <c r="E190" s="148" t="s">
        <v>1553</v>
      </c>
      <c r="F190" s="149" t="s">
        <v>3819</v>
      </c>
      <c r="G190" s="291" t="s">
        <v>3664</v>
      </c>
      <c r="H190" s="150" t="s">
        <v>3120</v>
      </c>
      <c r="I190" s="151" t="s">
        <v>2724</v>
      </c>
      <c r="J190" s="152">
        <v>337</v>
      </c>
      <c r="K190" s="248"/>
      <c r="L190" s="153"/>
      <c r="M190" s="248" t="str">
        <f t="shared" si="2"/>
        <v>제3편 제1심의 소송절차-제06장 변론-제02절 심리에 관한 제 원칙-23</v>
      </c>
      <c r="N190" s="211"/>
      <c r="O190" s="263"/>
    </row>
    <row r="191" spans="2:15" ht="14.45" hidden="1" customHeight="1" x14ac:dyDescent="0.2">
      <c r="B191" s="80" t="s">
        <v>2540</v>
      </c>
      <c r="C191" s="85" t="s">
        <v>2526</v>
      </c>
      <c r="D191" s="90" t="s">
        <v>3426</v>
      </c>
      <c r="E191" s="148" t="s">
        <v>1553</v>
      </c>
      <c r="F191" s="149" t="s">
        <v>3820</v>
      </c>
      <c r="G191" s="291" t="s">
        <v>3665</v>
      </c>
      <c r="H191" s="150" t="s">
        <v>3121</v>
      </c>
      <c r="I191" s="151" t="s">
        <v>2725</v>
      </c>
      <c r="J191" s="152">
        <v>331</v>
      </c>
      <c r="K191" s="248"/>
      <c r="L191" s="153"/>
      <c r="M191" s="248" t="str">
        <f t="shared" si="2"/>
        <v>제3편 제1심의 소송절차-제06장 변론-제02절 심리에 관한 제 원칙-24</v>
      </c>
      <c r="N191" s="211"/>
      <c r="O191" s="263"/>
    </row>
    <row r="192" spans="2:15" ht="14.45" hidden="1" customHeight="1" x14ac:dyDescent="0.2">
      <c r="B192" s="80" t="s">
        <v>2540</v>
      </c>
      <c r="C192" s="85" t="s">
        <v>2526</v>
      </c>
      <c r="D192" s="90" t="s">
        <v>3426</v>
      </c>
      <c r="E192" s="148" t="s">
        <v>1553</v>
      </c>
      <c r="F192" s="149" t="s">
        <v>3821</v>
      </c>
      <c r="G192" s="291" t="s">
        <v>3666</v>
      </c>
      <c r="H192" s="150" t="s">
        <v>3122</v>
      </c>
      <c r="I192" s="151" t="s">
        <v>2726</v>
      </c>
      <c r="J192" s="152">
        <v>274</v>
      </c>
      <c r="K192" s="248"/>
      <c r="L192" s="153"/>
      <c r="M192" s="248" t="str">
        <f t="shared" si="2"/>
        <v>제3편 제1심의 소송절차-제06장 변론-제02절 심리에 관한 제 원칙-25</v>
      </c>
      <c r="N192" s="211"/>
      <c r="O192" s="263"/>
    </row>
    <row r="193" spans="2:15" ht="14.45" hidden="1" customHeight="1" x14ac:dyDescent="0.2">
      <c r="B193" s="80" t="s">
        <v>2540</v>
      </c>
      <c r="C193" s="85" t="s">
        <v>2526</v>
      </c>
      <c r="D193" s="90" t="s">
        <v>3426</v>
      </c>
      <c r="E193" s="148" t="s">
        <v>1553</v>
      </c>
      <c r="F193" s="149" t="s">
        <v>3822</v>
      </c>
      <c r="G193" s="291" t="s">
        <v>3667</v>
      </c>
      <c r="H193" s="150" t="s">
        <v>3123</v>
      </c>
      <c r="I193" s="151" t="s">
        <v>2727</v>
      </c>
      <c r="J193" s="152">
        <v>350</v>
      </c>
      <c r="K193" s="248"/>
      <c r="L193" s="153"/>
      <c r="M193" s="248" t="str">
        <f t="shared" si="2"/>
        <v>제3편 제1심의 소송절차-제06장 변론-제02절 심리에 관한 제 원칙-26</v>
      </c>
      <c r="N193" s="211"/>
      <c r="O193" s="263"/>
    </row>
    <row r="194" spans="2:15" ht="14.45" hidden="1" customHeight="1" x14ac:dyDescent="0.2">
      <c r="B194" s="80" t="s">
        <v>2540</v>
      </c>
      <c r="C194" s="85" t="s">
        <v>2526</v>
      </c>
      <c r="D194" s="90" t="s">
        <v>3426</v>
      </c>
      <c r="E194" s="148" t="s">
        <v>1553</v>
      </c>
      <c r="F194" s="149" t="s">
        <v>3823</v>
      </c>
      <c r="G194" s="291" t="s">
        <v>3668</v>
      </c>
      <c r="H194" s="150" t="s">
        <v>3124</v>
      </c>
      <c r="I194" s="151" t="s">
        <v>2728</v>
      </c>
      <c r="J194" s="152">
        <v>353</v>
      </c>
      <c r="K194" s="248"/>
      <c r="L194" s="153"/>
      <c r="M194" s="248" t="str">
        <f t="shared" si="2"/>
        <v>제3편 제1심의 소송절차-제06장 변론-제02절 심리에 관한 제 원칙-27</v>
      </c>
      <c r="N194" s="211"/>
      <c r="O194" s="263"/>
    </row>
    <row r="195" spans="2:15" ht="14.45" hidden="1" customHeight="1" x14ac:dyDescent="0.2">
      <c r="B195" s="80" t="s">
        <v>2540</v>
      </c>
      <c r="C195" s="85" t="s">
        <v>2526</v>
      </c>
      <c r="D195" s="90" t="s">
        <v>3426</v>
      </c>
      <c r="E195" s="148" t="s">
        <v>1553</v>
      </c>
      <c r="F195" s="149" t="s">
        <v>3824</v>
      </c>
      <c r="G195" s="291" t="s">
        <v>3669</v>
      </c>
      <c r="H195" s="150" t="s">
        <v>3125</v>
      </c>
      <c r="I195" s="151" t="s">
        <v>2729</v>
      </c>
      <c r="J195" s="152">
        <v>182</v>
      </c>
      <c r="K195" s="248"/>
      <c r="L195" s="153"/>
      <c r="M195" s="248" t="str">
        <f t="shared" si="2"/>
        <v>제3편 제1심의 소송절차-제06장 변론-제02절 심리에 관한 제 원칙-28</v>
      </c>
      <c r="N195" s="211"/>
      <c r="O195" s="263"/>
    </row>
    <row r="196" spans="2:15" ht="14.45" hidden="1" customHeight="1" x14ac:dyDescent="0.2">
      <c r="B196" s="80" t="s">
        <v>2540</v>
      </c>
      <c r="C196" s="85" t="s">
        <v>2526</v>
      </c>
      <c r="D196" s="90" t="s">
        <v>3426</v>
      </c>
      <c r="E196" s="148" t="s">
        <v>1553</v>
      </c>
      <c r="F196" s="149" t="s">
        <v>3825</v>
      </c>
      <c r="G196" s="291" t="s">
        <v>3670</v>
      </c>
      <c r="H196" s="150" t="s">
        <v>3126</v>
      </c>
      <c r="I196" s="151" t="s">
        <v>2730</v>
      </c>
      <c r="J196" s="152">
        <v>284</v>
      </c>
      <c r="K196" s="248"/>
      <c r="L196" s="153"/>
      <c r="M196" s="248" t="str">
        <f t="shared" si="2"/>
        <v>제3편 제1심의 소송절차-제06장 변론-제02절 심리에 관한 제 원칙-29</v>
      </c>
      <c r="N196" s="211"/>
      <c r="O196" s="263"/>
    </row>
    <row r="197" spans="2:15" ht="14.45" hidden="1" customHeight="1" x14ac:dyDescent="0.2">
      <c r="B197" s="80" t="s">
        <v>2540</v>
      </c>
      <c r="C197" s="85" t="s">
        <v>2526</v>
      </c>
      <c r="D197" s="89" t="s">
        <v>3426</v>
      </c>
      <c r="E197" s="213" t="s">
        <v>1553</v>
      </c>
      <c r="F197" s="214" t="s">
        <v>3826</v>
      </c>
      <c r="G197" s="290" t="s">
        <v>3671</v>
      </c>
      <c r="H197" s="215" t="s">
        <v>3127</v>
      </c>
      <c r="I197" s="216" t="s">
        <v>2731</v>
      </c>
      <c r="J197" s="217">
        <v>144</v>
      </c>
      <c r="K197" s="245"/>
      <c r="L197" s="219"/>
      <c r="M197" s="245" t="str">
        <f t="shared" ref="M197:M260" si="3">B197&amp;"-"&amp;C197&amp;"-"&amp;D197&amp;"-"&amp;G197</f>
        <v>제3편 제1심의 소송절차-제06장 변론-제02절 심리에 관한 제 원칙-30</v>
      </c>
      <c r="N197" s="218"/>
      <c r="O197" s="260"/>
    </row>
    <row r="198" spans="2:15" ht="14.45" customHeight="1" x14ac:dyDescent="0.2">
      <c r="B198" s="80" t="s">
        <v>2540</v>
      </c>
      <c r="C198" s="85" t="s">
        <v>2526</v>
      </c>
      <c r="D198" s="83" t="s">
        <v>3430</v>
      </c>
      <c r="E198" s="143" t="s">
        <v>7</v>
      </c>
      <c r="F198" s="144" t="s">
        <v>2265</v>
      </c>
      <c r="G198" s="295" t="s">
        <v>2566</v>
      </c>
      <c r="H198" s="145" t="s">
        <v>106</v>
      </c>
      <c r="I198" s="146" t="s">
        <v>2276</v>
      </c>
      <c r="J198" s="147">
        <v>1682</v>
      </c>
      <c r="K198" s="247" t="s">
        <v>2595</v>
      </c>
      <c r="L198" s="168"/>
      <c r="M198" s="247" t="str">
        <f t="shared" si="3"/>
        <v>제3편 제1심의 소송절차-제06장 변론-제03절 변론의 준비-01</v>
      </c>
      <c r="N198" s="210"/>
      <c r="O198" s="262"/>
    </row>
    <row r="199" spans="2:15" ht="14.45" customHeight="1" x14ac:dyDescent="0.2">
      <c r="B199" s="80" t="s">
        <v>2540</v>
      </c>
      <c r="C199" s="85" t="s">
        <v>2526</v>
      </c>
      <c r="D199" s="90" t="s">
        <v>3430</v>
      </c>
      <c r="E199" s="148" t="s">
        <v>2425</v>
      </c>
      <c r="F199" s="149" t="s">
        <v>2315</v>
      </c>
      <c r="G199" s="291" t="s">
        <v>2567</v>
      </c>
      <c r="H199" s="150" t="s">
        <v>166</v>
      </c>
      <c r="I199" s="151" t="s">
        <v>2179</v>
      </c>
      <c r="J199" s="152">
        <v>1336</v>
      </c>
      <c r="K199" s="248" t="s">
        <v>2595</v>
      </c>
      <c r="L199" s="153" t="s">
        <v>3645</v>
      </c>
      <c r="M199" s="248" t="str">
        <f t="shared" si="3"/>
        <v>제3편 제1심의 소송절차-제06장 변론-제03절 변론의 준비-02</v>
      </c>
      <c r="N199" s="211"/>
      <c r="O199" s="263"/>
    </row>
    <row r="200" spans="2:15" ht="14.45" hidden="1" customHeight="1" x14ac:dyDescent="0.2">
      <c r="B200" s="80" t="s">
        <v>2540</v>
      </c>
      <c r="C200" s="85" t="s">
        <v>2526</v>
      </c>
      <c r="D200" s="89" t="s">
        <v>3430</v>
      </c>
      <c r="E200" s="213" t="s">
        <v>1553</v>
      </c>
      <c r="F200" s="214" t="s">
        <v>3827</v>
      </c>
      <c r="G200" s="290" t="s">
        <v>2568</v>
      </c>
      <c r="H200" s="215" t="s">
        <v>3133</v>
      </c>
      <c r="I200" s="216" t="s">
        <v>2737</v>
      </c>
      <c r="J200" s="217">
        <v>153</v>
      </c>
      <c r="K200" s="245"/>
      <c r="L200" s="219"/>
      <c r="M200" s="245" t="str">
        <f t="shared" si="3"/>
        <v>제3편 제1심의 소송절차-제06장 변론-제03절 변론의 준비-03</v>
      </c>
      <c r="N200" s="218"/>
      <c r="O200" s="260"/>
    </row>
    <row r="201" spans="2:15" ht="14.45" customHeight="1" x14ac:dyDescent="0.2">
      <c r="B201" s="80" t="s">
        <v>2540</v>
      </c>
      <c r="C201" s="85" t="s">
        <v>2526</v>
      </c>
      <c r="D201" s="83" t="s">
        <v>3424</v>
      </c>
      <c r="E201" s="143" t="s">
        <v>7</v>
      </c>
      <c r="F201" s="144" t="s">
        <v>2265</v>
      </c>
      <c r="G201" s="295" t="s">
        <v>2566</v>
      </c>
      <c r="H201" s="145" t="s">
        <v>107</v>
      </c>
      <c r="I201" s="146" t="s">
        <v>2277</v>
      </c>
      <c r="J201" s="147">
        <v>2598</v>
      </c>
      <c r="K201" s="247" t="s">
        <v>2595</v>
      </c>
      <c r="L201" s="168"/>
      <c r="M201" s="247" t="str">
        <f t="shared" si="3"/>
        <v>제3편 제1심의 소송절차-제06장 변론-제04절 변론-01</v>
      </c>
      <c r="N201" s="210"/>
      <c r="O201" s="262"/>
    </row>
    <row r="202" spans="2:15" ht="14.45" customHeight="1" x14ac:dyDescent="0.2">
      <c r="B202" s="80" t="s">
        <v>2540</v>
      </c>
      <c r="C202" s="85" t="s">
        <v>2526</v>
      </c>
      <c r="D202" s="90" t="s">
        <v>3424</v>
      </c>
      <c r="E202" s="148" t="s">
        <v>2425</v>
      </c>
      <c r="F202" s="149" t="s">
        <v>2316</v>
      </c>
      <c r="G202" s="291" t="s">
        <v>2567</v>
      </c>
      <c r="H202" s="150" t="s">
        <v>2476</v>
      </c>
      <c r="I202" s="151" t="s">
        <v>2477</v>
      </c>
      <c r="J202" s="152">
        <v>1385</v>
      </c>
      <c r="K202" s="248" t="s">
        <v>2595</v>
      </c>
      <c r="L202" s="153" t="s">
        <v>3645</v>
      </c>
      <c r="M202" s="248" t="str">
        <f t="shared" si="3"/>
        <v>제3편 제1심의 소송절차-제06장 변론-제04절 변론-02</v>
      </c>
      <c r="N202" s="211"/>
      <c r="O202" s="263"/>
    </row>
    <row r="203" spans="2:15" ht="14.45" hidden="1" customHeight="1" x14ac:dyDescent="0.2">
      <c r="B203" s="80" t="s">
        <v>2540</v>
      </c>
      <c r="C203" s="85" t="s">
        <v>2526</v>
      </c>
      <c r="D203" s="90" t="s">
        <v>3424</v>
      </c>
      <c r="E203" s="148" t="s">
        <v>1553</v>
      </c>
      <c r="F203" s="149" t="s">
        <v>3828</v>
      </c>
      <c r="G203" s="291" t="s">
        <v>2568</v>
      </c>
      <c r="H203" s="150" t="s">
        <v>3128</v>
      </c>
      <c r="I203" s="151" t="s">
        <v>2732</v>
      </c>
      <c r="J203" s="152">
        <v>406</v>
      </c>
      <c r="K203" s="248"/>
      <c r="L203" s="153"/>
      <c r="M203" s="248" t="str">
        <f t="shared" si="3"/>
        <v>제3편 제1심의 소송절차-제06장 변론-제04절 변론-03</v>
      </c>
      <c r="N203" s="211"/>
      <c r="O203" s="263"/>
    </row>
    <row r="204" spans="2:15" ht="14.45" hidden="1" customHeight="1" x14ac:dyDescent="0.2">
      <c r="B204" s="80" t="s">
        <v>2540</v>
      </c>
      <c r="C204" s="85" t="s">
        <v>2526</v>
      </c>
      <c r="D204" s="90" t="s">
        <v>3424</v>
      </c>
      <c r="E204" s="148" t="s">
        <v>1553</v>
      </c>
      <c r="F204" s="149" t="s">
        <v>3829</v>
      </c>
      <c r="G204" s="291" t="s">
        <v>2569</v>
      </c>
      <c r="H204" s="150" t="s">
        <v>3129</v>
      </c>
      <c r="I204" s="151" t="s">
        <v>2733</v>
      </c>
      <c r="J204" s="152">
        <v>226</v>
      </c>
      <c r="K204" s="248"/>
      <c r="L204" s="153"/>
      <c r="M204" s="248" t="str">
        <f t="shared" si="3"/>
        <v>제3편 제1심의 소송절차-제06장 변론-제04절 변론-04</v>
      </c>
      <c r="N204" s="211"/>
      <c r="O204" s="263"/>
    </row>
    <row r="205" spans="2:15" ht="14.45" hidden="1" customHeight="1" x14ac:dyDescent="0.2">
      <c r="B205" s="80" t="s">
        <v>2540</v>
      </c>
      <c r="C205" s="85" t="s">
        <v>2526</v>
      </c>
      <c r="D205" s="90" t="s">
        <v>3424</v>
      </c>
      <c r="E205" s="148" t="s">
        <v>1553</v>
      </c>
      <c r="F205" s="149" t="s">
        <v>3830</v>
      </c>
      <c r="G205" s="291" t="s">
        <v>3646</v>
      </c>
      <c r="H205" s="150" t="s">
        <v>3130</v>
      </c>
      <c r="I205" s="151" t="s">
        <v>2734</v>
      </c>
      <c r="J205" s="152">
        <v>302</v>
      </c>
      <c r="K205" s="248"/>
      <c r="L205" s="153"/>
      <c r="M205" s="248" t="str">
        <f t="shared" si="3"/>
        <v>제3편 제1심의 소송절차-제06장 변론-제04절 변론-05</v>
      </c>
      <c r="N205" s="211"/>
      <c r="O205" s="263"/>
    </row>
    <row r="206" spans="2:15" ht="14.45" hidden="1" customHeight="1" x14ac:dyDescent="0.2">
      <c r="B206" s="80" t="s">
        <v>2540</v>
      </c>
      <c r="C206" s="85" t="s">
        <v>2526</v>
      </c>
      <c r="D206" s="90" t="s">
        <v>3424</v>
      </c>
      <c r="E206" s="148" t="s">
        <v>1553</v>
      </c>
      <c r="F206" s="149" t="s">
        <v>3831</v>
      </c>
      <c r="G206" s="291" t="s">
        <v>3647</v>
      </c>
      <c r="H206" s="150" t="s">
        <v>3131</v>
      </c>
      <c r="I206" s="151" t="s">
        <v>2735</v>
      </c>
      <c r="J206" s="152">
        <v>205</v>
      </c>
      <c r="K206" s="248"/>
      <c r="L206" s="153"/>
      <c r="M206" s="248" t="str">
        <f t="shared" si="3"/>
        <v>제3편 제1심의 소송절차-제06장 변론-제04절 변론-06</v>
      </c>
      <c r="N206" s="211"/>
      <c r="O206" s="263"/>
    </row>
    <row r="207" spans="2:15" ht="14.45" hidden="1" customHeight="1" x14ac:dyDescent="0.2">
      <c r="B207" s="80" t="s">
        <v>2540</v>
      </c>
      <c r="C207" s="85" t="s">
        <v>2526</v>
      </c>
      <c r="D207" s="90" t="s">
        <v>3424</v>
      </c>
      <c r="E207" s="148" t="s">
        <v>1553</v>
      </c>
      <c r="F207" s="149" t="s">
        <v>3832</v>
      </c>
      <c r="G207" s="291" t="s">
        <v>3648</v>
      </c>
      <c r="H207" s="150" t="s">
        <v>3132</v>
      </c>
      <c r="I207" s="151" t="s">
        <v>2736</v>
      </c>
      <c r="J207" s="152">
        <v>190</v>
      </c>
      <c r="K207" s="248"/>
      <c r="L207" s="153"/>
      <c r="M207" s="248" t="str">
        <f t="shared" si="3"/>
        <v>제3편 제1심의 소송절차-제06장 변론-제04절 변론-07</v>
      </c>
      <c r="N207" s="211"/>
      <c r="O207" s="263"/>
    </row>
    <row r="208" spans="2:15" ht="14.45" hidden="1" customHeight="1" x14ac:dyDescent="0.2">
      <c r="B208" s="80" t="s">
        <v>2540</v>
      </c>
      <c r="C208" s="85" t="s">
        <v>2526</v>
      </c>
      <c r="D208" s="90" t="s">
        <v>3424</v>
      </c>
      <c r="E208" s="148" t="s">
        <v>1553</v>
      </c>
      <c r="F208" s="149" t="s">
        <v>3833</v>
      </c>
      <c r="G208" s="291" t="s">
        <v>3649</v>
      </c>
      <c r="H208" s="150" t="s">
        <v>3135</v>
      </c>
      <c r="I208" s="151" t="s">
        <v>2739</v>
      </c>
      <c r="J208" s="152">
        <v>197</v>
      </c>
      <c r="K208" s="248"/>
      <c r="L208" s="153"/>
      <c r="M208" s="248" t="str">
        <f t="shared" si="3"/>
        <v>제3편 제1심의 소송절차-제06장 변론-제04절 변론-08</v>
      </c>
      <c r="N208" s="211"/>
      <c r="O208" s="263"/>
    </row>
    <row r="209" spans="2:15" ht="14.45" hidden="1" customHeight="1" x14ac:dyDescent="0.2">
      <c r="B209" s="80" t="s">
        <v>2540</v>
      </c>
      <c r="C209" s="85" t="s">
        <v>2526</v>
      </c>
      <c r="D209" s="90" t="s">
        <v>3424</v>
      </c>
      <c r="E209" s="148" t="s">
        <v>1553</v>
      </c>
      <c r="F209" s="149" t="s">
        <v>3834</v>
      </c>
      <c r="G209" s="291" t="s">
        <v>3650</v>
      </c>
      <c r="H209" s="150" t="s">
        <v>3136</v>
      </c>
      <c r="I209" s="151" t="s">
        <v>2740</v>
      </c>
      <c r="J209" s="152">
        <v>198</v>
      </c>
      <c r="K209" s="248"/>
      <c r="L209" s="153"/>
      <c r="M209" s="248" t="str">
        <f t="shared" si="3"/>
        <v>제3편 제1심의 소송절차-제06장 변론-제04절 변론-09</v>
      </c>
      <c r="N209" s="211"/>
      <c r="O209" s="263"/>
    </row>
    <row r="210" spans="2:15" ht="14.45" hidden="1" customHeight="1" x14ac:dyDescent="0.2">
      <c r="B210" s="80" t="s">
        <v>2540</v>
      </c>
      <c r="C210" s="85" t="s">
        <v>2526</v>
      </c>
      <c r="D210" s="90" t="s">
        <v>3424</v>
      </c>
      <c r="E210" s="148" t="s">
        <v>1553</v>
      </c>
      <c r="F210" s="149" t="s">
        <v>3835</v>
      </c>
      <c r="G210" s="291" t="s">
        <v>3651</v>
      </c>
      <c r="H210" s="150" t="s">
        <v>3137</v>
      </c>
      <c r="I210" s="151" t="s">
        <v>2741</v>
      </c>
      <c r="J210" s="152">
        <v>550</v>
      </c>
      <c r="K210" s="248"/>
      <c r="L210" s="153"/>
      <c r="M210" s="248" t="str">
        <f t="shared" si="3"/>
        <v>제3편 제1심의 소송절차-제06장 변론-제04절 변론-10</v>
      </c>
      <c r="N210" s="211"/>
      <c r="O210" s="263"/>
    </row>
    <row r="211" spans="2:15" ht="14.45" hidden="1" customHeight="1" x14ac:dyDescent="0.2">
      <c r="B211" s="80" t="s">
        <v>2540</v>
      </c>
      <c r="C211" s="85" t="s">
        <v>2526</v>
      </c>
      <c r="D211" s="90" t="s">
        <v>3424</v>
      </c>
      <c r="E211" s="148" t="s">
        <v>1553</v>
      </c>
      <c r="F211" s="149" t="s">
        <v>3836</v>
      </c>
      <c r="G211" s="291" t="s">
        <v>3652</v>
      </c>
      <c r="H211" s="150" t="s">
        <v>3138</v>
      </c>
      <c r="I211" s="151" t="s">
        <v>2742</v>
      </c>
      <c r="J211" s="152">
        <v>323</v>
      </c>
      <c r="K211" s="248"/>
      <c r="L211" s="153"/>
      <c r="M211" s="248" t="str">
        <f t="shared" si="3"/>
        <v>제3편 제1심의 소송절차-제06장 변론-제04절 변론-11</v>
      </c>
      <c r="N211" s="211"/>
      <c r="O211" s="263"/>
    </row>
    <row r="212" spans="2:15" ht="14.45" hidden="1" customHeight="1" x14ac:dyDescent="0.2">
      <c r="B212" s="80" t="s">
        <v>2540</v>
      </c>
      <c r="C212" s="85" t="s">
        <v>2526</v>
      </c>
      <c r="D212" s="90" t="s">
        <v>3424</v>
      </c>
      <c r="E212" s="148" t="s">
        <v>1553</v>
      </c>
      <c r="F212" s="149" t="s">
        <v>3837</v>
      </c>
      <c r="G212" s="291" t="s">
        <v>3653</v>
      </c>
      <c r="H212" s="150" t="s">
        <v>3139</v>
      </c>
      <c r="I212" s="151" t="s">
        <v>2743</v>
      </c>
      <c r="J212" s="152">
        <v>246</v>
      </c>
      <c r="K212" s="248"/>
      <c r="L212" s="153" t="s">
        <v>3409</v>
      </c>
      <c r="M212" s="248" t="str">
        <f t="shared" si="3"/>
        <v>제3편 제1심의 소송절차-제06장 변론-제04절 변론-12</v>
      </c>
      <c r="N212" s="211"/>
      <c r="O212" s="263"/>
    </row>
    <row r="213" spans="2:15" ht="14.45" hidden="1" customHeight="1" x14ac:dyDescent="0.2">
      <c r="B213" s="80" t="s">
        <v>2540</v>
      </c>
      <c r="C213" s="85" t="s">
        <v>2526</v>
      </c>
      <c r="D213" s="90" t="s">
        <v>3424</v>
      </c>
      <c r="E213" s="148" t="s">
        <v>1553</v>
      </c>
      <c r="F213" s="149" t="s">
        <v>3838</v>
      </c>
      <c r="G213" s="291" t="s">
        <v>3654</v>
      </c>
      <c r="H213" s="150" t="s">
        <v>3140</v>
      </c>
      <c r="I213" s="151" t="s">
        <v>2744</v>
      </c>
      <c r="J213" s="152">
        <v>173</v>
      </c>
      <c r="K213" s="248"/>
      <c r="L213" s="153"/>
      <c r="M213" s="248" t="str">
        <f t="shared" si="3"/>
        <v>제3편 제1심의 소송절차-제06장 변론-제04절 변론-13</v>
      </c>
      <c r="N213" s="211"/>
      <c r="O213" s="263"/>
    </row>
    <row r="214" spans="2:15" ht="14.45" hidden="1" customHeight="1" x14ac:dyDescent="0.2">
      <c r="B214" s="80" t="s">
        <v>2540</v>
      </c>
      <c r="C214" s="85" t="s">
        <v>2526</v>
      </c>
      <c r="D214" s="90" t="s">
        <v>3424</v>
      </c>
      <c r="E214" s="148" t="s">
        <v>1553</v>
      </c>
      <c r="F214" s="149" t="s">
        <v>3839</v>
      </c>
      <c r="G214" s="291" t="s">
        <v>3655</v>
      </c>
      <c r="H214" s="150" t="s">
        <v>3141</v>
      </c>
      <c r="I214" s="151" t="s">
        <v>2745</v>
      </c>
      <c r="J214" s="152">
        <v>189</v>
      </c>
      <c r="K214" s="248"/>
      <c r="L214" s="153"/>
      <c r="M214" s="248" t="str">
        <f t="shared" si="3"/>
        <v>제3편 제1심의 소송절차-제06장 변론-제04절 변론-14</v>
      </c>
      <c r="N214" s="211"/>
      <c r="O214" s="263"/>
    </row>
    <row r="215" spans="2:15" ht="14.45" hidden="1" customHeight="1" x14ac:dyDescent="0.2">
      <c r="B215" s="80" t="s">
        <v>2540</v>
      </c>
      <c r="C215" s="85" t="s">
        <v>2526</v>
      </c>
      <c r="D215" s="90" t="s">
        <v>3424</v>
      </c>
      <c r="E215" s="148" t="s">
        <v>1553</v>
      </c>
      <c r="F215" s="149" t="s">
        <v>3840</v>
      </c>
      <c r="G215" s="291" t="s">
        <v>3656</v>
      </c>
      <c r="H215" s="150" t="s">
        <v>3142</v>
      </c>
      <c r="I215" s="151" t="s">
        <v>2746</v>
      </c>
      <c r="J215" s="152">
        <v>205</v>
      </c>
      <c r="K215" s="248"/>
      <c r="L215" s="153"/>
      <c r="M215" s="248" t="str">
        <f t="shared" si="3"/>
        <v>제3편 제1심의 소송절차-제06장 변론-제04절 변론-15</v>
      </c>
      <c r="N215" s="211"/>
      <c r="O215" s="263"/>
    </row>
    <row r="216" spans="2:15" ht="14.45" hidden="1" customHeight="1" x14ac:dyDescent="0.2">
      <c r="B216" s="80" t="s">
        <v>2540</v>
      </c>
      <c r="C216" s="85" t="s">
        <v>2526</v>
      </c>
      <c r="D216" s="89" t="s">
        <v>3424</v>
      </c>
      <c r="E216" s="213" t="s">
        <v>1553</v>
      </c>
      <c r="F216" s="214" t="s">
        <v>3841</v>
      </c>
      <c r="G216" s="290" t="s">
        <v>3657</v>
      </c>
      <c r="H216" s="215" t="s">
        <v>3143</v>
      </c>
      <c r="I216" s="216" t="s">
        <v>2747</v>
      </c>
      <c r="J216" s="217">
        <v>400</v>
      </c>
      <c r="K216" s="245"/>
      <c r="L216" s="219"/>
      <c r="M216" s="245" t="str">
        <f t="shared" si="3"/>
        <v>제3편 제1심의 소송절차-제06장 변론-제04절 변론-16</v>
      </c>
      <c r="N216" s="218"/>
      <c r="O216" s="260"/>
    </row>
    <row r="217" spans="2:15" ht="14.45" customHeight="1" x14ac:dyDescent="0.2">
      <c r="B217" s="80" t="s">
        <v>2540</v>
      </c>
      <c r="C217" s="85" t="s">
        <v>2526</v>
      </c>
      <c r="D217" s="83" t="s">
        <v>3539</v>
      </c>
      <c r="E217" s="143" t="s">
        <v>7</v>
      </c>
      <c r="F217" s="144" t="s">
        <v>1551</v>
      </c>
      <c r="G217" s="295" t="s">
        <v>2566</v>
      </c>
      <c r="H217" s="145" t="s">
        <v>108</v>
      </c>
      <c r="I217" s="146" t="s">
        <v>2278</v>
      </c>
      <c r="J217" s="147">
        <v>1445</v>
      </c>
      <c r="K217" s="247" t="s">
        <v>2595</v>
      </c>
      <c r="L217" s="168"/>
      <c r="M217" s="247" t="str">
        <f t="shared" si="3"/>
        <v>제3편 제1심의 소송절차-제06장 변론-제05절 변론의 실시-01</v>
      </c>
      <c r="N217" s="210"/>
      <c r="O217" s="262"/>
    </row>
    <row r="218" spans="2:15" ht="14.45" hidden="1" customHeight="1" x14ac:dyDescent="0.2">
      <c r="B218" s="80" t="s">
        <v>2540</v>
      </c>
      <c r="C218" s="85" t="s">
        <v>2526</v>
      </c>
      <c r="D218" s="90" t="s">
        <v>3501</v>
      </c>
      <c r="E218" s="148" t="s">
        <v>1553</v>
      </c>
      <c r="F218" s="149" t="s">
        <v>3842</v>
      </c>
      <c r="G218" s="291" t="s">
        <v>2567</v>
      </c>
      <c r="H218" s="150" t="s">
        <v>3144</v>
      </c>
      <c r="I218" s="151" t="s">
        <v>2748</v>
      </c>
      <c r="J218" s="152">
        <v>231</v>
      </c>
      <c r="K218" s="248"/>
      <c r="L218" s="153"/>
      <c r="M218" s="248" t="str">
        <f t="shared" si="3"/>
        <v>제3편 제1심의 소송절차-제06장 변론-제05절 변론의 실시-02</v>
      </c>
      <c r="N218" s="211"/>
      <c r="O218" s="263"/>
    </row>
    <row r="219" spans="2:15" ht="14.45" hidden="1" customHeight="1" x14ac:dyDescent="0.2">
      <c r="B219" s="80" t="s">
        <v>2540</v>
      </c>
      <c r="C219" s="85" t="s">
        <v>2526</v>
      </c>
      <c r="D219" s="89" t="s">
        <v>3501</v>
      </c>
      <c r="E219" s="213" t="s">
        <v>1553</v>
      </c>
      <c r="F219" s="214" t="s">
        <v>3843</v>
      </c>
      <c r="G219" s="290" t="s">
        <v>2568</v>
      </c>
      <c r="H219" s="215" t="s">
        <v>3145</v>
      </c>
      <c r="I219" s="216" t="s">
        <v>2749</v>
      </c>
      <c r="J219" s="217">
        <v>491</v>
      </c>
      <c r="K219" s="245"/>
      <c r="L219" s="219"/>
      <c r="M219" s="245" t="str">
        <f t="shared" si="3"/>
        <v>제3편 제1심의 소송절차-제06장 변론-제05절 변론의 실시-03</v>
      </c>
      <c r="N219" s="218"/>
      <c r="O219" s="260"/>
    </row>
    <row r="220" spans="2:15" ht="14.45" customHeight="1" x14ac:dyDescent="0.2">
      <c r="B220" s="80" t="s">
        <v>2540</v>
      </c>
      <c r="C220" s="85" t="s">
        <v>2526</v>
      </c>
      <c r="D220" s="83" t="s">
        <v>3428</v>
      </c>
      <c r="E220" s="143" t="s">
        <v>7</v>
      </c>
      <c r="F220" s="144" t="s">
        <v>1551</v>
      </c>
      <c r="G220" s="295" t="s">
        <v>2566</v>
      </c>
      <c r="H220" s="145" t="s">
        <v>141</v>
      </c>
      <c r="I220" s="146" t="s">
        <v>2279</v>
      </c>
      <c r="J220" s="147">
        <v>1946</v>
      </c>
      <c r="K220" s="247" t="s">
        <v>2595</v>
      </c>
      <c r="L220" s="168"/>
      <c r="M220" s="247" t="str">
        <f t="shared" si="3"/>
        <v>제3편 제1심의 소송절차-제06장 변론-제06절 변론기일에서의 당사자의 결석-01</v>
      </c>
      <c r="N220" s="210"/>
      <c r="O220" s="262"/>
    </row>
    <row r="221" spans="2:15" ht="14.45" customHeight="1" x14ac:dyDescent="0.2">
      <c r="B221" s="80" t="s">
        <v>2540</v>
      </c>
      <c r="C221" s="85" t="s">
        <v>2526</v>
      </c>
      <c r="D221" s="90" t="s">
        <v>3428</v>
      </c>
      <c r="E221" s="148" t="s">
        <v>2425</v>
      </c>
      <c r="F221" s="149" t="s">
        <v>2317</v>
      </c>
      <c r="G221" s="291" t="s">
        <v>2567</v>
      </c>
      <c r="H221" s="150" t="s">
        <v>2478</v>
      </c>
      <c r="I221" s="151" t="s">
        <v>2479</v>
      </c>
      <c r="J221" s="152">
        <v>1733</v>
      </c>
      <c r="K221" s="248" t="s">
        <v>2595</v>
      </c>
      <c r="L221" s="153" t="s">
        <v>3645</v>
      </c>
      <c r="M221" s="248" t="str">
        <f t="shared" si="3"/>
        <v>제3편 제1심의 소송절차-제06장 변론-제06절 변론기일에서의 당사자의 결석-02</v>
      </c>
      <c r="N221" s="211"/>
      <c r="O221" s="263"/>
    </row>
    <row r="222" spans="2:15" ht="14.45" hidden="1" customHeight="1" x14ac:dyDescent="0.2">
      <c r="B222" s="80" t="s">
        <v>2540</v>
      </c>
      <c r="C222" s="85" t="s">
        <v>2526</v>
      </c>
      <c r="D222" s="90" t="s">
        <v>3428</v>
      </c>
      <c r="E222" s="148" t="s">
        <v>1553</v>
      </c>
      <c r="F222" s="149" t="s">
        <v>3844</v>
      </c>
      <c r="G222" s="291" t="s">
        <v>2568</v>
      </c>
      <c r="H222" s="150" t="s">
        <v>3134</v>
      </c>
      <c r="I222" s="151" t="s">
        <v>2738</v>
      </c>
      <c r="J222" s="152">
        <v>363</v>
      </c>
      <c r="K222" s="248"/>
      <c r="L222" s="153"/>
      <c r="M222" s="248" t="str">
        <f t="shared" si="3"/>
        <v>제3편 제1심의 소송절차-제06장 변론-제06절 변론기일에서의 당사자의 결석-03</v>
      </c>
      <c r="N222" s="211"/>
      <c r="O222" s="263"/>
    </row>
    <row r="223" spans="2:15" ht="14.45" hidden="1" customHeight="1" x14ac:dyDescent="0.2">
      <c r="B223" s="80" t="s">
        <v>2540</v>
      </c>
      <c r="C223" s="85" t="s">
        <v>2526</v>
      </c>
      <c r="D223" s="89" t="s">
        <v>3428</v>
      </c>
      <c r="E223" s="213" t="s">
        <v>1553</v>
      </c>
      <c r="F223" s="214" t="s">
        <v>3845</v>
      </c>
      <c r="G223" s="290" t="s">
        <v>2569</v>
      </c>
      <c r="H223" s="215" t="s">
        <v>3146</v>
      </c>
      <c r="I223" s="216" t="s">
        <v>2750</v>
      </c>
      <c r="J223" s="217">
        <v>294</v>
      </c>
      <c r="K223" s="245"/>
      <c r="L223" s="219"/>
      <c r="M223" s="245" t="str">
        <f t="shared" si="3"/>
        <v>제3편 제1심의 소송절차-제06장 변론-제06절 변론기일에서의 당사자의 결석-04</v>
      </c>
      <c r="N223" s="218"/>
      <c r="O223" s="260"/>
    </row>
    <row r="224" spans="2:15" ht="14.45" customHeight="1" x14ac:dyDescent="0.2">
      <c r="B224" s="80" t="s">
        <v>2540</v>
      </c>
      <c r="C224" s="85" t="s">
        <v>2526</v>
      </c>
      <c r="D224" s="83" t="s">
        <v>3422</v>
      </c>
      <c r="E224" s="143" t="s">
        <v>7</v>
      </c>
      <c r="F224" s="144" t="s">
        <v>1551</v>
      </c>
      <c r="G224" s="295" t="s">
        <v>2566</v>
      </c>
      <c r="H224" s="145" t="s">
        <v>109</v>
      </c>
      <c r="I224" s="146" t="s">
        <v>2280</v>
      </c>
      <c r="J224" s="147">
        <v>2714</v>
      </c>
      <c r="K224" s="247" t="s">
        <v>2594</v>
      </c>
      <c r="L224" s="168"/>
      <c r="M224" s="247" t="str">
        <f t="shared" si="3"/>
        <v>제3편 제1심의 소송절차-제06장 변론-제07절 기일・기간 및 송달-01</v>
      </c>
      <c r="N224" s="210"/>
      <c r="O224" s="262"/>
    </row>
    <row r="225" spans="2:15" ht="14.45" customHeight="1" x14ac:dyDescent="0.2">
      <c r="B225" s="80" t="s">
        <v>2540</v>
      </c>
      <c r="C225" s="85" t="s">
        <v>2526</v>
      </c>
      <c r="D225" s="90" t="s">
        <v>3422</v>
      </c>
      <c r="E225" s="148" t="s">
        <v>2425</v>
      </c>
      <c r="F225" s="149" t="s">
        <v>169</v>
      </c>
      <c r="G225" s="291" t="s">
        <v>2567</v>
      </c>
      <c r="H225" s="150" t="s">
        <v>2360</v>
      </c>
      <c r="I225" s="151" t="s">
        <v>2362</v>
      </c>
      <c r="J225" s="152">
        <v>1812</v>
      </c>
      <c r="K225" s="248" t="s">
        <v>2594</v>
      </c>
      <c r="L225" s="153"/>
      <c r="M225" s="248" t="str">
        <f t="shared" si="3"/>
        <v>제3편 제1심의 소송절차-제06장 변론-제07절 기일・기간 및 송달-02</v>
      </c>
      <c r="N225" s="211"/>
      <c r="O225" s="263"/>
    </row>
    <row r="226" spans="2:15" ht="14.45" customHeight="1" x14ac:dyDescent="0.2">
      <c r="B226" s="80" t="s">
        <v>2540</v>
      </c>
      <c r="C226" s="85" t="s">
        <v>2526</v>
      </c>
      <c r="D226" s="90" t="s">
        <v>3422</v>
      </c>
      <c r="E226" s="148" t="s">
        <v>2425</v>
      </c>
      <c r="F226" s="149" t="s">
        <v>2318</v>
      </c>
      <c r="G226" s="291" t="s">
        <v>2568</v>
      </c>
      <c r="H226" s="150" t="s">
        <v>167</v>
      </c>
      <c r="I226" s="151" t="s">
        <v>2180</v>
      </c>
      <c r="J226" s="152">
        <v>1500</v>
      </c>
      <c r="K226" s="248" t="s">
        <v>2594</v>
      </c>
      <c r="L226" s="153" t="s">
        <v>3645</v>
      </c>
      <c r="M226" s="248" t="str">
        <f t="shared" si="3"/>
        <v>제3편 제1심의 소송절차-제06장 변론-제07절 기일・기간 및 송달-03</v>
      </c>
      <c r="N226" s="211"/>
      <c r="O226" s="263"/>
    </row>
    <row r="227" spans="2:15" ht="14.45" customHeight="1" x14ac:dyDescent="0.2">
      <c r="B227" s="80" t="s">
        <v>2540</v>
      </c>
      <c r="C227" s="85" t="s">
        <v>2526</v>
      </c>
      <c r="D227" s="90" t="s">
        <v>3422</v>
      </c>
      <c r="E227" s="148" t="s">
        <v>2425</v>
      </c>
      <c r="F227" s="149" t="s">
        <v>168</v>
      </c>
      <c r="G227" s="291" t="s">
        <v>2569</v>
      </c>
      <c r="H227" s="150" t="s">
        <v>2480</v>
      </c>
      <c r="I227" s="151" t="s">
        <v>2481</v>
      </c>
      <c r="J227" s="152">
        <v>1413</v>
      </c>
      <c r="K227" s="248" t="s">
        <v>2594</v>
      </c>
      <c r="L227" s="153" t="s">
        <v>3645</v>
      </c>
      <c r="M227" s="248" t="str">
        <f t="shared" si="3"/>
        <v>제3편 제1심의 소송절차-제06장 변론-제07절 기일・기간 및 송달-04</v>
      </c>
      <c r="N227" s="211"/>
      <c r="O227" s="263"/>
    </row>
    <row r="228" spans="2:15" ht="14.45" hidden="1" customHeight="1" x14ac:dyDescent="0.2">
      <c r="B228" s="80" t="s">
        <v>2540</v>
      </c>
      <c r="C228" s="85" t="s">
        <v>2526</v>
      </c>
      <c r="D228" s="90" t="s">
        <v>3422</v>
      </c>
      <c r="E228" s="148" t="s">
        <v>1553</v>
      </c>
      <c r="F228" s="149" t="s">
        <v>3846</v>
      </c>
      <c r="G228" s="291" t="s">
        <v>3646</v>
      </c>
      <c r="H228" s="150" t="s">
        <v>3148</v>
      </c>
      <c r="I228" s="151" t="s">
        <v>2752</v>
      </c>
      <c r="J228" s="152">
        <v>187</v>
      </c>
      <c r="K228" s="248"/>
      <c r="L228" s="153"/>
      <c r="M228" s="248" t="str">
        <f t="shared" si="3"/>
        <v>제3편 제1심의 소송절차-제06장 변론-제07절 기일・기간 및 송달-05</v>
      </c>
      <c r="N228" s="211"/>
      <c r="O228" s="263"/>
    </row>
    <row r="229" spans="2:15" ht="14.45" hidden="1" customHeight="1" x14ac:dyDescent="0.2">
      <c r="B229" s="80" t="s">
        <v>2540</v>
      </c>
      <c r="C229" s="85" t="s">
        <v>2526</v>
      </c>
      <c r="D229" s="90" t="s">
        <v>3422</v>
      </c>
      <c r="E229" s="148" t="s">
        <v>1553</v>
      </c>
      <c r="F229" s="149" t="s">
        <v>3847</v>
      </c>
      <c r="G229" s="291" t="s">
        <v>3647</v>
      </c>
      <c r="H229" s="150" t="s">
        <v>3149</v>
      </c>
      <c r="I229" s="151" t="s">
        <v>2753</v>
      </c>
      <c r="J229" s="152">
        <v>309</v>
      </c>
      <c r="K229" s="248"/>
      <c r="L229" s="153"/>
      <c r="M229" s="248" t="str">
        <f t="shared" si="3"/>
        <v>제3편 제1심의 소송절차-제06장 변론-제07절 기일・기간 및 송달-06</v>
      </c>
      <c r="N229" s="211"/>
      <c r="O229" s="263"/>
    </row>
    <row r="230" spans="2:15" ht="14.45" hidden="1" customHeight="1" x14ac:dyDescent="0.2">
      <c r="B230" s="80" t="s">
        <v>2540</v>
      </c>
      <c r="C230" s="85" t="s">
        <v>2526</v>
      </c>
      <c r="D230" s="90" t="s">
        <v>3422</v>
      </c>
      <c r="E230" s="148" t="s">
        <v>1553</v>
      </c>
      <c r="F230" s="149" t="s">
        <v>3848</v>
      </c>
      <c r="G230" s="291" t="s">
        <v>3648</v>
      </c>
      <c r="H230" s="150" t="s">
        <v>3150</v>
      </c>
      <c r="I230" s="151" t="s">
        <v>2754</v>
      </c>
      <c r="J230" s="152">
        <v>497</v>
      </c>
      <c r="K230" s="248"/>
      <c r="L230" s="153"/>
      <c r="M230" s="248" t="str">
        <f t="shared" si="3"/>
        <v>제3편 제1심의 소송절차-제06장 변론-제07절 기일・기간 및 송달-07</v>
      </c>
      <c r="N230" s="211"/>
      <c r="O230" s="263"/>
    </row>
    <row r="231" spans="2:15" ht="14.45" hidden="1" customHeight="1" x14ac:dyDescent="0.2">
      <c r="B231" s="80" t="s">
        <v>2540</v>
      </c>
      <c r="C231" s="85" t="s">
        <v>2526</v>
      </c>
      <c r="D231" s="90" t="s">
        <v>3422</v>
      </c>
      <c r="E231" s="148" t="s">
        <v>1553</v>
      </c>
      <c r="F231" s="149" t="s">
        <v>3849</v>
      </c>
      <c r="G231" s="291" t="s">
        <v>3649</v>
      </c>
      <c r="H231" s="150" t="s">
        <v>3151</v>
      </c>
      <c r="I231" s="151" t="s">
        <v>2755</v>
      </c>
      <c r="J231" s="152">
        <v>511</v>
      </c>
      <c r="K231" s="248"/>
      <c r="L231" s="153"/>
      <c r="M231" s="248" t="str">
        <f t="shared" si="3"/>
        <v>제3편 제1심의 소송절차-제06장 변론-제07절 기일・기간 및 송달-08</v>
      </c>
      <c r="N231" s="211"/>
      <c r="O231" s="263"/>
    </row>
    <row r="232" spans="2:15" ht="14.45" hidden="1" customHeight="1" x14ac:dyDescent="0.2">
      <c r="B232" s="80" t="s">
        <v>2540</v>
      </c>
      <c r="C232" s="85" t="s">
        <v>2526</v>
      </c>
      <c r="D232" s="90" t="s">
        <v>3422</v>
      </c>
      <c r="E232" s="148" t="s">
        <v>1553</v>
      </c>
      <c r="F232" s="149" t="s">
        <v>3850</v>
      </c>
      <c r="G232" s="291" t="s">
        <v>3650</v>
      </c>
      <c r="H232" s="150" t="s">
        <v>3152</v>
      </c>
      <c r="I232" s="151" t="s">
        <v>2756</v>
      </c>
      <c r="J232" s="152">
        <v>185</v>
      </c>
      <c r="K232" s="248"/>
      <c r="L232" s="153"/>
      <c r="M232" s="248" t="str">
        <f t="shared" si="3"/>
        <v>제3편 제1심의 소송절차-제06장 변론-제07절 기일・기간 및 송달-09</v>
      </c>
      <c r="N232" s="211"/>
      <c r="O232" s="263"/>
    </row>
    <row r="233" spans="2:15" ht="14.45" hidden="1" customHeight="1" x14ac:dyDescent="0.2">
      <c r="B233" s="80" t="s">
        <v>2540</v>
      </c>
      <c r="C233" s="85" t="s">
        <v>2526</v>
      </c>
      <c r="D233" s="90" t="s">
        <v>3422</v>
      </c>
      <c r="E233" s="148" t="s">
        <v>1553</v>
      </c>
      <c r="F233" s="149" t="s">
        <v>3851</v>
      </c>
      <c r="G233" s="291" t="s">
        <v>3651</v>
      </c>
      <c r="H233" s="150" t="s">
        <v>3153</v>
      </c>
      <c r="I233" s="151" t="s">
        <v>2757</v>
      </c>
      <c r="J233" s="152">
        <v>141</v>
      </c>
      <c r="K233" s="248"/>
      <c r="L233" s="153"/>
      <c r="M233" s="248" t="str">
        <f t="shared" si="3"/>
        <v>제3편 제1심의 소송절차-제06장 변론-제07절 기일・기간 및 송달-10</v>
      </c>
      <c r="N233" s="211"/>
      <c r="O233" s="263"/>
    </row>
    <row r="234" spans="2:15" ht="14.45" hidden="1" customHeight="1" x14ac:dyDescent="0.2">
      <c r="B234" s="80" t="s">
        <v>2540</v>
      </c>
      <c r="C234" s="85" t="s">
        <v>2526</v>
      </c>
      <c r="D234" s="90" t="s">
        <v>3422</v>
      </c>
      <c r="E234" s="148" t="s">
        <v>1553</v>
      </c>
      <c r="F234" s="149" t="s">
        <v>3852</v>
      </c>
      <c r="G234" s="291" t="s">
        <v>3652</v>
      </c>
      <c r="H234" s="150" t="s">
        <v>3154</v>
      </c>
      <c r="I234" s="151" t="s">
        <v>2758</v>
      </c>
      <c r="J234" s="152">
        <v>313</v>
      </c>
      <c r="K234" s="248"/>
      <c r="L234" s="153"/>
      <c r="M234" s="248" t="str">
        <f t="shared" si="3"/>
        <v>제3편 제1심의 소송절차-제06장 변론-제07절 기일・기간 및 송달-11</v>
      </c>
      <c r="N234" s="211"/>
      <c r="O234" s="263"/>
    </row>
    <row r="235" spans="2:15" ht="14.45" hidden="1" customHeight="1" x14ac:dyDescent="0.2">
      <c r="B235" s="80" t="s">
        <v>2540</v>
      </c>
      <c r="C235" s="85" t="s">
        <v>2526</v>
      </c>
      <c r="D235" s="90" t="s">
        <v>3422</v>
      </c>
      <c r="E235" s="148" t="s">
        <v>1553</v>
      </c>
      <c r="F235" s="149" t="s">
        <v>3853</v>
      </c>
      <c r="G235" s="291" t="s">
        <v>3653</v>
      </c>
      <c r="H235" s="150" t="s">
        <v>3155</v>
      </c>
      <c r="I235" s="151" t="s">
        <v>2759</v>
      </c>
      <c r="J235" s="152">
        <v>317</v>
      </c>
      <c r="K235" s="248"/>
      <c r="L235" s="153"/>
      <c r="M235" s="248" t="str">
        <f t="shared" si="3"/>
        <v>제3편 제1심의 소송절차-제06장 변론-제07절 기일・기간 및 송달-12</v>
      </c>
      <c r="N235" s="211"/>
      <c r="O235" s="263"/>
    </row>
    <row r="236" spans="2:15" ht="14.45" hidden="1" customHeight="1" x14ac:dyDescent="0.2">
      <c r="B236" s="80" t="s">
        <v>2540</v>
      </c>
      <c r="C236" s="85" t="s">
        <v>2526</v>
      </c>
      <c r="D236" s="90" t="s">
        <v>3422</v>
      </c>
      <c r="E236" s="148" t="s">
        <v>1553</v>
      </c>
      <c r="F236" s="149" t="s">
        <v>3854</v>
      </c>
      <c r="G236" s="291" t="s">
        <v>3654</v>
      </c>
      <c r="H236" s="150" t="s">
        <v>3156</v>
      </c>
      <c r="I236" s="151" t="s">
        <v>2760</v>
      </c>
      <c r="J236" s="152">
        <v>376</v>
      </c>
      <c r="K236" s="248"/>
      <c r="L236" s="153"/>
      <c r="M236" s="248" t="str">
        <f t="shared" si="3"/>
        <v>제3편 제1심의 소송절차-제06장 변론-제07절 기일・기간 및 송달-13</v>
      </c>
      <c r="N236" s="211"/>
      <c r="O236" s="263"/>
    </row>
    <row r="237" spans="2:15" ht="14.45" hidden="1" customHeight="1" x14ac:dyDescent="0.2">
      <c r="B237" s="80" t="s">
        <v>2540</v>
      </c>
      <c r="C237" s="85" t="s">
        <v>2526</v>
      </c>
      <c r="D237" s="90" t="s">
        <v>3422</v>
      </c>
      <c r="E237" s="148" t="s">
        <v>1553</v>
      </c>
      <c r="F237" s="149" t="s">
        <v>3855</v>
      </c>
      <c r="G237" s="291" t="s">
        <v>3655</v>
      </c>
      <c r="H237" s="150" t="s">
        <v>3157</v>
      </c>
      <c r="I237" s="151" t="s">
        <v>2761</v>
      </c>
      <c r="J237" s="152">
        <v>365</v>
      </c>
      <c r="K237" s="248"/>
      <c r="L237" s="153"/>
      <c r="M237" s="248" t="str">
        <f t="shared" si="3"/>
        <v>제3편 제1심의 소송절차-제06장 변론-제07절 기일・기간 및 송달-14</v>
      </c>
      <c r="N237" s="211"/>
      <c r="O237" s="263"/>
    </row>
    <row r="238" spans="2:15" ht="14.45" hidden="1" customHeight="1" x14ac:dyDescent="0.2">
      <c r="B238" s="80" t="s">
        <v>2540</v>
      </c>
      <c r="C238" s="85" t="s">
        <v>2526</v>
      </c>
      <c r="D238" s="90" t="s">
        <v>3422</v>
      </c>
      <c r="E238" s="148" t="s">
        <v>1553</v>
      </c>
      <c r="F238" s="149" t="s">
        <v>3856</v>
      </c>
      <c r="G238" s="291" t="s">
        <v>3656</v>
      </c>
      <c r="H238" s="150" t="s">
        <v>3158</v>
      </c>
      <c r="I238" s="151" t="s">
        <v>2762</v>
      </c>
      <c r="J238" s="152">
        <v>518</v>
      </c>
      <c r="K238" s="248"/>
      <c r="L238" s="153"/>
      <c r="M238" s="248" t="str">
        <f t="shared" si="3"/>
        <v>제3편 제1심의 소송절차-제06장 변론-제07절 기일・기간 및 송달-15</v>
      </c>
      <c r="N238" s="211"/>
      <c r="O238" s="263"/>
    </row>
    <row r="239" spans="2:15" ht="14.45" hidden="1" customHeight="1" x14ac:dyDescent="0.2">
      <c r="B239" s="80" t="s">
        <v>2540</v>
      </c>
      <c r="C239" s="85" t="s">
        <v>2526</v>
      </c>
      <c r="D239" s="89" t="s">
        <v>3422</v>
      </c>
      <c r="E239" s="213" t="s">
        <v>1553</v>
      </c>
      <c r="F239" s="214" t="s">
        <v>3857</v>
      </c>
      <c r="G239" s="290" t="s">
        <v>3657</v>
      </c>
      <c r="H239" s="215" t="s">
        <v>3159</v>
      </c>
      <c r="I239" s="216" t="s">
        <v>2763</v>
      </c>
      <c r="J239" s="217">
        <v>142</v>
      </c>
      <c r="K239" s="245"/>
      <c r="L239" s="219"/>
      <c r="M239" s="245" t="str">
        <f t="shared" si="3"/>
        <v>제3편 제1심의 소송절차-제06장 변론-제07절 기일・기간 및 송달-16</v>
      </c>
      <c r="N239" s="218"/>
      <c r="O239" s="260"/>
    </row>
    <row r="240" spans="2:15" ht="14.45" customHeight="1" x14ac:dyDescent="0.2">
      <c r="B240" s="80" t="s">
        <v>2540</v>
      </c>
      <c r="C240" s="85" t="s">
        <v>2526</v>
      </c>
      <c r="D240" s="83" t="s">
        <v>3436</v>
      </c>
      <c r="E240" s="143" t="s">
        <v>7</v>
      </c>
      <c r="F240" s="144" t="s">
        <v>1551</v>
      </c>
      <c r="G240" s="295" t="s">
        <v>2566</v>
      </c>
      <c r="H240" s="145" t="s">
        <v>110</v>
      </c>
      <c r="I240" s="146" t="s">
        <v>2281</v>
      </c>
      <c r="J240" s="147">
        <v>2187</v>
      </c>
      <c r="K240" s="247" t="s">
        <v>2595</v>
      </c>
      <c r="L240" s="168"/>
      <c r="M240" s="247" t="str">
        <f t="shared" si="3"/>
        <v>제3편 제1심의 소송절차-제06장 변론-제08절 소송절차의 정지-01</v>
      </c>
      <c r="N240" s="210"/>
      <c r="O240" s="262"/>
    </row>
    <row r="241" spans="2:15" ht="14.45" customHeight="1" x14ac:dyDescent="0.2">
      <c r="B241" s="80" t="s">
        <v>2540</v>
      </c>
      <c r="C241" s="85" t="s">
        <v>2526</v>
      </c>
      <c r="D241" s="90" t="s">
        <v>3436</v>
      </c>
      <c r="E241" s="148" t="s">
        <v>2426</v>
      </c>
      <c r="F241" s="149" t="s">
        <v>3559</v>
      </c>
      <c r="G241" s="291" t="s">
        <v>2567</v>
      </c>
      <c r="H241" s="150" t="s">
        <v>213</v>
      </c>
      <c r="I241" s="151" t="s">
        <v>2181</v>
      </c>
      <c r="J241" s="152">
        <v>1767</v>
      </c>
      <c r="K241" s="248" t="s">
        <v>2595</v>
      </c>
      <c r="L241" s="153"/>
      <c r="M241" s="248" t="str">
        <f t="shared" si="3"/>
        <v>제3편 제1심의 소송절차-제06장 변론-제08절 소송절차의 정지-02</v>
      </c>
      <c r="N241" s="211"/>
      <c r="O241" s="263"/>
    </row>
    <row r="242" spans="2:15" ht="14.45" customHeight="1" thickBot="1" x14ac:dyDescent="0.25">
      <c r="B242" s="80" t="s">
        <v>2540</v>
      </c>
      <c r="C242" s="85" t="s">
        <v>2526</v>
      </c>
      <c r="D242" s="90" t="s">
        <v>3436</v>
      </c>
      <c r="E242" s="148" t="s">
        <v>2426</v>
      </c>
      <c r="F242" s="149" t="s">
        <v>3560</v>
      </c>
      <c r="G242" s="291" t="s">
        <v>2568</v>
      </c>
      <c r="H242" s="150" t="s">
        <v>214</v>
      </c>
      <c r="I242" s="151" t="s">
        <v>2182</v>
      </c>
      <c r="J242" s="152">
        <v>1767</v>
      </c>
      <c r="K242" s="248" t="s">
        <v>2595</v>
      </c>
      <c r="L242" s="153"/>
      <c r="M242" s="248" t="str">
        <f t="shared" si="3"/>
        <v>제3편 제1심의 소송절차-제06장 변론-제08절 소송절차의 정지-03</v>
      </c>
      <c r="N242" s="211"/>
      <c r="O242" s="263"/>
    </row>
    <row r="243" spans="2:15" ht="14.45" hidden="1" customHeight="1" x14ac:dyDescent="0.25">
      <c r="B243" s="80" t="s">
        <v>2540</v>
      </c>
      <c r="C243" s="85" t="s">
        <v>2526</v>
      </c>
      <c r="D243" s="90" t="s">
        <v>3436</v>
      </c>
      <c r="E243" s="148" t="s">
        <v>1553</v>
      </c>
      <c r="F243" s="149" t="s">
        <v>3858</v>
      </c>
      <c r="G243" s="291" t="s">
        <v>2569</v>
      </c>
      <c r="H243" s="150" t="s">
        <v>3160</v>
      </c>
      <c r="I243" s="151" t="s">
        <v>2764</v>
      </c>
      <c r="J243" s="152">
        <v>276</v>
      </c>
      <c r="K243" s="248"/>
      <c r="L243" s="153"/>
      <c r="M243" s="248" t="str">
        <f t="shared" si="3"/>
        <v>제3편 제1심의 소송절차-제06장 변론-제08절 소송절차의 정지-04</v>
      </c>
      <c r="N243" s="211"/>
      <c r="O243" s="263"/>
    </row>
    <row r="244" spans="2:15" ht="14.45" hidden="1" customHeight="1" x14ac:dyDescent="0.25">
      <c r="B244" s="80" t="s">
        <v>2540</v>
      </c>
      <c r="C244" s="85" t="s">
        <v>2526</v>
      </c>
      <c r="D244" s="90" t="s">
        <v>3436</v>
      </c>
      <c r="E244" s="148" t="s">
        <v>1553</v>
      </c>
      <c r="F244" s="149" t="s">
        <v>3859</v>
      </c>
      <c r="G244" s="291" t="s">
        <v>3646</v>
      </c>
      <c r="H244" s="150" t="s">
        <v>3161</v>
      </c>
      <c r="I244" s="151" t="s">
        <v>2765</v>
      </c>
      <c r="J244" s="152">
        <v>495</v>
      </c>
      <c r="K244" s="248"/>
      <c r="L244" s="153"/>
      <c r="M244" s="248" t="str">
        <f t="shared" si="3"/>
        <v>제3편 제1심의 소송절차-제06장 변론-제08절 소송절차의 정지-05</v>
      </c>
      <c r="N244" s="211"/>
      <c r="O244" s="263"/>
    </row>
    <row r="245" spans="2:15" ht="14.45" hidden="1" customHeight="1" x14ac:dyDescent="0.25">
      <c r="B245" s="80" t="s">
        <v>2540</v>
      </c>
      <c r="C245" s="85" t="s">
        <v>2526</v>
      </c>
      <c r="D245" s="90" t="s">
        <v>3436</v>
      </c>
      <c r="E245" s="148" t="s">
        <v>1553</v>
      </c>
      <c r="F245" s="149" t="s">
        <v>3860</v>
      </c>
      <c r="G245" s="291" t="s">
        <v>3647</v>
      </c>
      <c r="H245" s="150" t="s">
        <v>3162</v>
      </c>
      <c r="I245" s="151" t="s">
        <v>2766</v>
      </c>
      <c r="J245" s="152">
        <v>1469</v>
      </c>
      <c r="K245" s="248"/>
      <c r="L245" s="153"/>
      <c r="M245" s="248" t="str">
        <f t="shared" si="3"/>
        <v>제3편 제1심의 소송절차-제06장 변론-제08절 소송절차의 정지-06</v>
      </c>
      <c r="N245" s="211"/>
      <c r="O245" s="263"/>
    </row>
    <row r="246" spans="2:15" ht="14.45" hidden="1" customHeight="1" x14ac:dyDescent="0.25">
      <c r="B246" s="80" t="s">
        <v>2540</v>
      </c>
      <c r="C246" s="85" t="s">
        <v>2526</v>
      </c>
      <c r="D246" s="90" t="s">
        <v>3436</v>
      </c>
      <c r="E246" s="148" t="s">
        <v>1553</v>
      </c>
      <c r="F246" s="149" t="s">
        <v>3861</v>
      </c>
      <c r="G246" s="291" t="s">
        <v>3648</v>
      </c>
      <c r="H246" s="150" t="s">
        <v>3163</v>
      </c>
      <c r="I246" s="151" t="s">
        <v>2767</v>
      </c>
      <c r="J246" s="152">
        <v>427</v>
      </c>
      <c r="K246" s="248"/>
      <c r="L246" s="153"/>
      <c r="M246" s="248" t="str">
        <f t="shared" si="3"/>
        <v>제3편 제1심의 소송절차-제06장 변론-제08절 소송절차의 정지-07</v>
      </c>
      <c r="N246" s="211"/>
      <c r="O246" s="263"/>
    </row>
    <row r="247" spans="2:15" ht="14.45" hidden="1" customHeight="1" thickBot="1" x14ac:dyDescent="0.25">
      <c r="B247" s="80" t="s">
        <v>2540</v>
      </c>
      <c r="C247" s="86" t="s">
        <v>2526</v>
      </c>
      <c r="D247" s="91" t="s">
        <v>3436</v>
      </c>
      <c r="E247" s="154" t="s">
        <v>1553</v>
      </c>
      <c r="F247" s="155" t="s">
        <v>3862</v>
      </c>
      <c r="G247" s="292" t="s">
        <v>3649</v>
      </c>
      <c r="H247" s="156" t="s">
        <v>3164</v>
      </c>
      <c r="I247" s="157" t="s">
        <v>2768</v>
      </c>
      <c r="J247" s="158">
        <v>177</v>
      </c>
      <c r="K247" s="249"/>
      <c r="L247" s="170"/>
      <c r="M247" s="249" t="str">
        <f t="shared" si="3"/>
        <v>제3편 제1심의 소송절차-제06장 변론-제08절 소송절차의 정지-08</v>
      </c>
      <c r="N247" s="212"/>
      <c r="O247" s="264"/>
    </row>
    <row r="248" spans="2:15" ht="14.45" customHeight="1" x14ac:dyDescent="0.2">
      <c r="B248" s="80" t="s">
        <v>2540</v>
      </c>
      <c r="C248" s="64" t="s">
        <v>2529</v>
      </c>
      <c r="D248" s="84" t="s">
        <v>3420</v>
      </c>
      <c r="E248" s="137" t="s">
        <v>7</v>
      </c>
      <c r="F248" s="138" t="s">
        <v>1552</v>
      </c>
      <c r="G248" s="293" t="s">
        <v>2566</v>
      </c>
      <c r="H248" s="139" t="s">
        <v>1667</v>
      </c>
      <c r="I248" s="140" t="s">
        <v>2282</v>
      </c>
      <c r="J248" s="141">
        <v>1986</v>
      </c>
      <c r="K248" s="244" t="s">
        <v>2594</v>
      </c>
      <c r="L248" s="169"/>
      <c r="M248" s="244" t="str">
        <f t="shared" si="3"/>
        <v>제3편 제1심의 소송절차-제07장 증거-제01절 증거의 총설-01</v>
      </c>
      <c r="N248" s="209"/>
      <c r="O248" s="259"/>
    </row>
    <row r="249" spans="2:15" ht="14.45" customHeight="1" x14ac:dyDescent="0.2">
      <c r="B249" s="80" t="s">
        <v>2540</v>
      </c>
      <c r="C249" s="85" t="s">
        <v>2528</v>
      </c>
      <c r="D249" s="90" t="s">
        <v>3420</v>
      </c>
      <c r="E249" s="148" t="s">
        <v>2425</v>
      </c>
      <c r="F249" s="149" t="s">
        <v>2319</v>
      </c>
      <c r="G249" s="291" t="s">
        <v>2567</v>
      </c>
      <c r="H249" s="150" t="s">
        <v>2467</v>
      </c>
      <c r="I249" s="151" t="s">
        <v>2468</v>
      </c>
      <c r="J249" s="152">
        <v>2154</v>
      </c>
      <c r="K249" s="248" t="s">
        <v>2594</v>
      </c>
      <c r="L249" s="153"/>
      <c r="M249" s="248" t="str">
        <f t="shared" si="3"/>
        <v>제3편 제1심의 소송절차-제07장 증거-제01절 증거의 총설-02</v>
      </c>
      <c r="N249" s="211"/>
      <c r="O249" s="263"/>
    </row>
    <row r="250" spans="2:15" ht="14.45" hidden="1" customHeight="1" x14ac:dyDescent="0.2">
      <c r="B250" s="80" t="s">
        <v>2540</v>
      </c>
      <c r="C250" s="85" t="s">
        <v>2528</v>
      </c>
      <c r="D250" s="89" t="s">
        <v>3420</v>
      </c>
      <c r="E250" s="213" t="s">
        <v>1553</v>
      </c>
      <c r="F250" s="214" t="s">
        <v>3863</v>
      </c>
      <c r="G250" s="290" t="s">
        <v>2568</v>
      </c>
      <c r="H250" s="215" t="s">
        <v>3167</v>
      </c>
      <c r="I250" s="216" t="s">
        <v>2771</v>
      </c>
      <c r="J250" s="217">
        <v>373</v>
      </c>
      <c r="K250" s="245"/>
      <c r="L250" s="219"/>
      <c r="M250" s="245" t="str">
        <f t="shared" si="3"/>
        <v>제3편 제1심의 소송절차-제07장 증거-제01절 증거의 총설-03</v>
      </c>
      <c r="N250" s="218"/>
      <c r="O250" s="260"/>
    </row>
    <row r="251" spans="2:15" ht="14.45" customHeight="1" x14ac:dyDescent="0.2">
      <c r="B251" s="80" t="s">
        <v>2540</v>
      </c>
      <c r="C251" s="85" t="s">
        <v>2528</v>
      </c>
      <c r="D251" s="83" t="s">
        <v>3437</v>
      </c>
      <c r="E251" s="143" t="s">
        <v>7</v>
      </c>
      <c r="F251" s="144" t="s">
        <v>1552</v>
      </c>
      <c r="G251" s="295" t="s">
        <v>2566</v>
      </c>
      <c r="H251" s="145" t="s">
        <v>111</v>
      </c>
      <c r="I251" s="146" t="s">
        <v>2283</v>
      </c>
      <c r="J251" s="147">
        <v>2132</v>
      </c>
      <c r="K251" s="247" t="s">
        <v>2594</v>
      </c>
      <c r="L251" s="168"/>
      <c r="M251" s="247" t="str">
        <f t="shared" si="3"/>
        <v>제3편 제1심의 소송절차-제07장 증거-제02절 증명의 대상-01</v>
      </c>
      <c r="N251" s="210"/>
      <c r="O251" s="262"/>
    </row>
    <row r="252" spans="2:15" ht="14.45" customHeight="1" x14ac:dyDescent="0.2">
      <c r="B252" s="80" t="s">
        <v>2540</v>
      </c>
      <c r="C252" s="85" t="s">
        <v>2528</v>
      </c>
      <c r="D252" s="90" t="s">
        <v>3437</v>
      </c>
      <c r="E252" s="148" t="s">
        <v>2426</v>
      </c>
      <c r="F252" s="149" t="s">
        <v>3561</v>
      </c>
      <c r="G252" s="291" t="s">
        <v>2567</v>
      </c>
      <c r="H252" s="150" t="s">
        <v>215</v>
      </c>
      <c r="I252" s="151" t="s">
        <v>2183</v>
      </c>
      <c r="J252" s="152">
        <v>2044</v>
      </c>
      <c r="K252" s="248" t="s">
        <v>2594</v>
      </c>
      <c r="L252" s="153"/>
      <c r="M252" s="248" t="str">
        <f t="shared" si="3"/>
        <v>제3편 제1심의 소송절차-제07장 증거-제02절 증명의 대상-02</v>
      </c>
      <c r="N252" s="211"/>
      <c r="O252" s="263"/>
    </row>
    <row r="253" spans="2:15" ht="14.45" customHeight="1" x14ac:dyDescent="0.2">
      <c r="B253" s="80" t="s">
        <v>2540</v>
      </c>
      <c r="C253" s="85" t="s">
        <v>2528</v>
      </c>
      <c r="D253" s="89" t="s">
        <v>3437</v>
      </c>
      <c r="E253" s="213" t="s">
        <v>2426</v>
      </c>
      <c r="F253" s="214" t="s">
        <v>3562</v>
      </c>
      <c r="G253" s="290" t="s">
        <v>2568</v>
      </c>
      <c r="H253" s="215" t="s">
        <v>216</v>
      </c>
      <c r="I253" s="216" t="s">
        <v>2184</v>
      </c>
      <c r="J253" s="217">
        <v>2054</v>
      </c>
      <c r="K253" s="245" t="s">
        <v>2594</v>
      </c>
      <c r="L253" s="219"/>
      <c r="M253" s="245" t="str">
        <f t="shared" si="3"/>
        <v>제3편 제1심의 소송절차-제07장 증거-제02절 증명의 대상-03</v>
      </c>
      <c r="N253" s="218"/>
      <c r="O253" s="260"/>
    </row>
    <row r="254" spans="2:15" ht="14.45" customHeight="1" x14ac:dyDescent="0.2">
      <c r="B254" s="80" t="s">
        <v>2540</v>
      </c>
      <c r="C254" s="85" t="s">
        <v>2528</v>
      </c>
      <c r="D254" s="83" t="s">
        <v>3425</v>
      </c>
      <c r="E254" s="143" t="s">
        <v>7</v>
      </c>
      <c r="F254" s="144" t="s">
        <v>1552</v>
      </c>
      <c r="G254" s="295" t="s">
        <v>2566</v>
      </c>
      <c r="H254" s="145" t="s">
        <v>112</v>
      </c>
      <c r="I254" s="146" t="s">
        <v>2284</v>
      </c>
      <c r="J254" s="147">
        <v>2613</v>
      </c>
      <c r="K254" s="247" t="s">
        <v>2593</v>
      </c>
      <c r="L254" s="168"/>
      <c r="M254" s="247" t="str">
        <f t="shared" si="3"/>
        <v>제3편 제1심의 소송절차-제07장 증거-제03절 불요증사실-01</v>
      </c>
      <c r="N254" s="210"/>
      <c r="O254" s="262"/>
    </row>
    <row r="255" spans="2:15" ht="14.45" customHeight="1" x14ac:dyDescent="0.2">
      <c r="B255" s="80" t="s">
        <v>2540</v>
      </c>
      <c r="C255" s="85" t="s">
        <v>2528</v>
      </c>
      <c r="D255" s="90" t="s">
        <v>3425</v>
      </c>
      <c r="E255" s="148" t="s">
        <v>2425</v>
      </c>
      <c r="F255" s="149" t="s">
        <v>174</v>
      </c>
      <c r="G255" s="291" t="s">
        <v>2567</v>
      </c>
      <c r="H255" s="150" t="s">
        <v>172</v>
      </c>
      <c r="I255" s="151" t="s">
        <v>2186</v>
      </c>
      <c r="J255" s="152">
        <v>1527</v>
      </c>
      <c r="K255" s="248" t="s">
        <v>2593</v>
      </c>
      <c r="L255" s="153" t="s">
        <v>3645</v>
      </c>
      <c r="M255" s="248" t="str">
        <f t="shared" si="3"/>
        <v>제3편 제1심의 소송절차-제07장 증거-제03절 불요증사실-02</v>
      </c>
      <c r="N255" s="211"/>
      <c r="O255" s="263"/>
    </row>
    <row r="256" spans="2:15" ht="14.45" customHeight="1" x14ac:dyDescent="0.2">
      <c r="B256" s="80" t="s">
        <v>2540</v>
      </c>
      <c r="C256" s="85" t="s">
        <v>2528</v>
      </c>
      <c r="D256" s="90" t="s">
        <v>3425</v>
      </c>
      <c r="E256" s="148" t="s">
        <v>2425</v>
      </c>
      <c r="F256" s="149" t="s">
        <v>2317</v>
      </c>
      <c r="G256" s="291" t="s">
        <v>2568</v>
      </c>
      <c r="H256" s="150" t="s">
        <v>2478</v>
      </c>
      <c r="I256" s="151" t="s">
        <v>2479</v>
      </c>
      <c r="J256" s="152">
        <v>1733</v>
      </c>
      <c r="K256" s="248" t="s">
        <v>2593</v>
      </c>
      <c r="L256" s="153" t="s">
        <v>3506</v>
      </c>
      <c r="M256" s="248" t="str">
        <f t="shared" si="3"/>
        <v>제3편 제1심의 소송절차-제07장 증거-제03절 불요증사실-03</v>
      </c>
      <c r="N256" s="211"/>
      <c r="O256" s="263"/>
    </row>
    <row r="257" spans="2:15" ht="14.45" customHeight="1" x14ac:dyDescent="0.2">
      <c r="B257" s="80" t="s">
        <v>2540</v>
      </c>
      <c r="C257" s="85" t="s">
        <v>2528</v>
      </c>
      <c r="D257" s="90" t="s">
        <v>3425</v>
      </c>
      <c r="E257" s="148" t="s">
        <v>2425</v>
      </c>
      <c r="F257" s="149" t="s">
        <v>170</v>
      </c>
      <c r="G257" s="291" t="s">
        <v>2569</v>
      </c>
      <c r="H257" s="150" t="s">
        <v>171</v>
      </c>
      <c r="I257" s="151" t="s">
        <v>2185</v>
      </c>
      <c r="J257" s="152">
        <v>2214</v>
      </c>
      <c r="K257" s="248" t="s">
        <v>2593</v>
      </c>
      <c r="L257" s="153"/>
      <c r="M257" s="248" t="str">
        <f t="shared" si="3"/>
        <v>제3편 제1심의 소송절차-제07장 증거-제03절 불요증사실-04</v>
      </c>
      <c r="N257" s="211"/>
      <c r="O257" s="263"/>
    </row>
    <row r="258" spans="2:15" ht="14.45" hidden="1" customHeight="1" x14ac:dyDescent="0.2">
      <c r="B258" s="80" t="s">
        <v>2540</v>
      </c>
      <c r="C258" s="85" t="s">
        <v>2528</v>
      </c>
      <c r="D258" s="90" t="s">
        <v>3425</v>
      </c>
      <c r="E258" s="148" t="s">
        <v>1553</v>
      </c>
      <c r="F258" s="149" t="s">
        <v>3864</v>
      </c>
      <c r="G258" s="291" t="s">
        <v>3646</v>
      </c>
      <c r="H258" s="150" t="s">
        <v>3147</v>
      </c>
      <c r="I258" s="151" t="s">
        <v>2751</v>
      </c>
      <c r="J258" s="152">
        <v>251</v>
      </c>
      <c r="K258" s="248"/>
      <c r="L258" s="153" t="s">
        <v>3410</v>
      </c>
      <c r="M258" s="248" t="str">
        <f t="shared" si="3"/>
        <v>제3편 제1심의 소송절차-제07장 증거-제03절 불요증사실-05</v>
      </c>
      <c r="N258" s="211"/>
      <c r="O258" s="263"/>
    </row>
    <row r="259" spans="2:15" ht="14.45" hidden="1" customHeight="1" x14ac:dyDescent="0.2">
      <c r="B259" s="80" t="s">
        <v>2540</v>
      </c>
      <c r="C259" s="85" t="s">
        <v>2528</v>
      </c>
      <c r="D259" s="90" t="s">
        <v>3425</v>
      </c>
      <c r="E259" s="148" t="s">
        <v>1553</v>
      </c>
      <c r="F259" s="149" t="s">
        <v>3865</v>
      </c>
      <c r="G259" s="291" t="s">
        <v>3647</v>
      </c>
      <c r="H259" s="150" t="s">
        <v>3168</v>
      </c>
      <c r="I259" s="151" t="s">
        <v>2772</v>
      </c>
      <c r="J259" s="152">
        <v>199</v>
      </c>
      <c r="K259" s="248"/>
      <c r="L259" s="153"/>
      <c r="M259" s="248" t="str">
        <f t="shared" si="3"/>
        <v>제3편 제1심의 소송절차-제07장 증거-제03절 불요증사실-06</v>
      </c>
      <c r="N259" s="211"/>
      <c r="O259" s="263"/>
    </row>
    <row r="260" spans="2:15" ht="14.45" hidden="1" customHeight="1" x14ac:dyDescent="0.2">
      <c r="B260" s="80" t="s">
        <v>2540</v>
      </c>
      <c r="C260" s="85" t="s">
        <v>2528</v>
      </c>
      <c r="D260" s="90" t="s">
        <v>3425</v>
      </c>
      <c r="E260" s="148" t="s">
        <v>1553</v>
      </c>
      <c r="F260" s="149" t="s">
        <v>3866</v>
      </c>
      <c r="G260" s="291" t="s">
        <v>3648</v>
      </c>
      <c r="H260" s="150" t="s">
        <v>3169</v>
      </c>
      <c r="I260" s="151" t="s">
        <v>2773</v>
      </c>
      <c r="J260" s="152">
        <v>183</v>
      </c>
      <c r="K260" s="248"/>
      <c r="L260" s="153"/>
      <c r="M260" s="248" t="str">
        <f t="shared" si="3"/>
        <v>제3편 제1심의 소송절차-제07장 증거-제03절 불요증사실-07</v>
      </c>
      <c r="N260" s="211"/>
      <c r="O260" s="263"/>
    </row>
    <row r="261" spans="2:15" ht="14.45" hidden="1" customHeight="1" x14ac:dyDescent="0.2">
      <c r="B261" s="80" t="s">
        <v>2540</v>
      </c>
      <c r="C261" s="85" t="s">
        <v>2528</v>
      </c>
      <c r="D261" s="90" t="s">
        <v>3425</v>
      </c>
      <c r="E261" s="148" t="s">
        <v>1553</v>
      </c>
      <c r="F261" s="149" t="s">
        <v>3867</v>
      </c>
      <c r="G261" s="291" t="s">
        <v>3649</v>
      </c>
      <c r="H261" s="150" t="s">
        <v>3170</v>
      </c>
      <c r="I261" s="151" t="s">
        <v>2774</v>
      </c>
      <c r="J261" s="152">
        <v>219</v>
      </c>
      <c r="K261" s="248"/>
      <c r="L261" s="153"/>
      <c r="M261" s="248" t="str">
        <f t="shared" ref="M261:M324" si="4">B261&amp;"-"&amp;C261&amp;"-"&amp;D261&amp;"-"&amp;G261</f>
        <v>제3편 제1심의 소송절차-제07장 증거-제03절 불요증사실-08</v>
      </c>
      <c r="N261" s="211"/>
      <c r="O261" s="263"/>
    </row>
    <row r="262" spans="2:15" ht="14.45" hidden="1" customHeight="1" x14ac:dyDescent="0.2">
      <c r="B262" s="80" t="s">
        <v>2540</v>
      </c>
      <c r="C262" s="85" t="s">
        <v>2528</v>
      </c>
      <c r="D262" s="90" t="s">
        <v>3425</v>
      </c>
      <c r="E262" s="148" t="s">
        <v>1553</v>
      </c>
      <c r="F262" s="149" t="s">
        <v>3868</v>
      </c>
      <c r="G262" s="291" t="s">
        <v>3650</v>
      </c>
      <c r="H262" s="150" t="s">
        <v>3171</v>
      </c>
      <c r="I262" s="151" t="s">
        <v>2775</v>
      </c>
      <c r="J262" s="152">
        <v>166</v>
      </c>
      <c r="K262" s="248"/>
      <c r="L262" s="153"/>
      <c r="M262" s="248" t="str">
        <f t="shared" si="4"/>
        <v>제3편 제1심의 소송절차-제07장 증거-제03절 불요증사실-09</v>
      </c>
      <c r="N262" s="211"/>
      <c r="O262" s="263"/>
    </row>
    <row r="263" spans="2:15" ht="14.45" hidden="1" customHeight="1" x14ac:dyDescent="0.2">
      <c r="B263" s="80" t="s">
        <v>2540</v>
      </c>
      <c r="C263" s="85" t="s">
        <v>2528</v>
      </c>
      <c r="D263" s="90" t="s">
        <v>3425</v>
      </c>
      <c r="E263" s="148" t="s">
        <v>1553</v>
      </c>
      <c r="F263" s="149" t="s">
        <v>3869</v>
      </c>
      <c r="G263" s="291" t="s">
        <v>3651</v>
      </c>
      <c r="H263" s="150" t="s">
        <v>3172</v>
      </c>
      <c r="I263" s="151" t="s">
        <v>2776</v>
      </c>
      <c r="J263" s="152">
        <v>202</v>
      </c>
      <c r="K263" s="248"/>
      <c r="L263" s="153"/>
      <c r="M263" s="248" t="str">
        <f t="shared" si="4"/>
        <v>제3편 제1심의 소송절차-제07장 증거-제03절 불요증사실-10</v>
      </c>
      <c r="N263" s="211"/>
      <c r="O263" s="263"/>
    </row>
    <row r="264" spans="2:15" ht="14.45" hidden="1" customHeight="1" x14ac:dyDescent="0.2">
      <c r="B264" s="80" t="s">
        <v>2540</v>
      </c>
      <c r="C264" s="85" t="s">
        <v>2528</v>
      </c>
      <c r="D264" s="90" t="s">
        <v>3425</v>
      </c>
      <c r="E264" s="148" t="s">
        <v>1553</v>
      </c>
      <c r="F264" s="149" t="s">
        <v>3870</v>
      </c>
      <c r="G264" s="291" t="s">
        <v>3652</v>
      </c>
      <c r="H264" s="150" t="s">
        <v>3173</v>
      </c>
      <c r="I264" s="151" t="s">
        <v>2777</v>
      </c>
      <c r="J264" s="152">
        <v>256</v>
      </c>
      <c r="K264" s="248"/>
      <c r="L264" s="153"/>
      <c r="M264" s="248" t="str">
        <f t="shared" si="4"/>
        <v>제3편 제1심의 소송절차-제07장 증거-제03절 불요증사실-11</v>
      </c>
      <c r="N264" s="211"/>
      <c r="O264" s="263"/>
    </row>
    <row r="265" spans="2:15" ht="14.45" hidden="1" customHeight="1" x14ac:dyDescent="0.2">
      <c r="B265" s="80" t="s">
        <v>2540</v>
      </c>
      <c r="C265" s="85" t="s">
        <v>2528</v>
      </c>
      <c r="D265" s="90" t="s">
        <v>3425</v>
      </c>
      <c r="E265" s="148" t="s">
        <v>1553</v>
      </c>
      <c r="F265" s="149" t="s">
        <v>3871</v>
      </c>
      <c r="G265" s="291" t="s">
        <v>3653</v>
      </c>
      <c r="H265" s="150" t="s">
        <v>3174</v>
      </c>
      <c r="I265" s="151" t="s">
        <v>2778</v>
      </c>
      <c r="J265" s="152">
        <v>240</v>
      </c>
      <c r="K265" s="248"/>
      <c r="L265" s="153"/>
      <c r="M265" s="248" t="str">
        <f t="shared" si="4"/>
        <v>제3편 제1심의 소송절차-제07장 증거-제03절 불요증사실-12</v>
      </c>
      <c r="N265" s="211"/>
      <c r="O265" s="263"/>
    </row>
    <row r="266" spans="2:15" ht="14.45" hidden="1" customHeight="1" x14ac:dyDescent="0.2">
      <c r="B266" s="80" t="s">
        <v>2540</v>
      </c>
      <c r="C266" s="85" t="s">
        <v>2528</v>
      </c>
      <c r="D266" s="90" t="s">
        <v>3425</v>
      </c>
      <c r="E266" s="148" t="s">
        <v>1553</v>
      </c>
      <c r="F266" s="149" t="s">
        <v>3872</v>
      </c>
      <c r="G266" s="291" t="s">
        <v>3654</v>
      </c>
      <c r="H266" s="150" t="s">
        <v>3175</v>
      </c>
      <c r="I266" s="151" t="s">
        <v>2779</v>
      </c>
      <c r="J266" s="152">
        <v>304</v>
      </c>
      <c r="K266" s="248"/>
      <c r="L266" s="153"/>
      <c r="M266" s="248" t="str">
        <f t="shared" si="4"/>
        <v>제3편 제1심의 소송절차-제07장 증거-제03절 불요증사실-13</v>
      </c>
      <c r="N266" s="211"/>
      <c r="O266" s="263"/>
    </row>
    <row r="267" spans="2:15" ht="14.45" hidden="1" customHeight="1" x14ac:dyDescent="0.2">
      <c r="B267" s="80" t="s">
        <v>2540</v>
      </c>
      <c r="C267" s="85" t="s">
        <v>2528</v>
      </c>
      <c r="D267" s="90" t="s">
        <v>3425</v>
      </c>
      <c r="E267" s="148" t="s">
        <v>1553</v>
      </c>
      <c r="F267" s="149" t="s">
        <v>3873</v>
      </c>
      <c r="G267" s="291" t="s">
        <v>3655</v>
      </c>
      <c r="H267" s="150" t="s">
        <v>3176</v>
      </c>
      <c r="I267" s="151" t="s">
        <v>2780</v>
      </c>
      <c r="J267" s="152">
        <v>326</v>
      </c>
      <c r="K267" s="248"/>
      <c r="L267" s="153"/>
      <c r="M267" s="248" t="str">
        <f t="shared" si="4"/>
        <v>제3편 제1심의 소송절차-제07장 증거-제03절 불요증사실-14</v>
      </c>
      <c r="N267" s="211"/>
      <c r="O267" s="263"/>
    </row>
    <row r="268" spans="2:15" ht="14.45" hidden="1" customHeight="1" x14ac:dyDescent="0.2">
      <c r="B268" s="80" t="s">
        <v>2540</v>
      </c>
      <c r="C268" s="85" t="s">
        <v>2528</v>
      </c>
      <c r="D268" s="90" t="s">
        <v>3425</v>
      </c>
      <c r="E268" s="148" t="s">
        <v>1553</v>
      </c>
      <c r="F268" s="149" t="s">
        <v>3874</v>
      </c>
      <c r="G268" s="291" t="s">
        <v>3656</v>
      </c>
      <c r="H268" s="150" t="s">
        <v>3177</v>
      </c>
      <c r="I268" s="151" t="s">
        <v>2781</v>
      </c>
      <c r="J268" s="152">
        <v>539</v>
      </c>
      <c r="K268" s="248" t="s">
        <v>2593</v>
      </c>
      <c r="L268" s="153"/>
      <c r="M268" s="248" t="str">
        <f t="shared" si="4"/>
        <v>제3편 제1심의 소송절차-제07장 증거-제03절 불요증사실-15</v>
      </c>
      <c r="N268" s="211"/>
      <c r="O268" s="263"/>
    </row>
    <row r="269" spans="2:15" ht="14.45" hidden="1" customHeight="1" x14ac:dyDescent="0.2">
      <c r="B269" s="80" t="s">
        <v>2540</v>
      </c>
      <c r="C269" s="85" t="s">
        <v>2528</v>
      </c>
      <c r="D269" s="89" t="s">
        <v>3425</v>
      </c>
      <c r="E269" s="213" t="s">
        <v>1553</v>
      </c>
      <c r="F269" s="214" t="s">
        <v>3875</v>
      </c>
      <c r="G269" s="290" t="s">
        <v>3657</v>
      </c>
      <c r="H269" s="215" t="s">
        <v>3178</v>
      </c>
      <c r="I269" s="216" t="s">
        <v>2782</v>
      </c>
      <c r="J269" s="217">
        <v>354</v>
      </c>
      <c r="K269" s="245" t="s">
        <v>2593</v>
      </c>
      <c r="L269" s="219"/>
      <c r="M269" s="245" t="str">
        <f t="shared" si="4"/>
        <v>제3편 제1심의 소송절차-제07장 증거-제03절 불요증사실-16</v>
      </c>
      <c r="N269" s="218"/>
      <c r="O269" s="260"/>
    </row>
    <row r="270" spans="2:15" ht="14.45" customHeight="1" x14ac:dyDescent="0.2">
      <c r="B270" s="80" t="s">
        <v>2540</v>
      </c>
      <c r="C270" s="85" t="s">
        <v>2528</v>
      </c>
      <c r="D270" s="83" t="s">
        <v>3427</v>
      </c>
      <c r="E270" s="143" t="s">
        <v>7</v>
      </c>
      <c r="F270" s="144" t="s">
        <v>1552</v>
      </c>
      <c r="G270" s="295" t="s">
        <v>2566</v>
      </c>
      <c r="H270" s="145" t="s">
        <v>113</v>
      </c>
      <c r="I270" s="146" t="s">
        <v>2285</v>
      </c>
      <c r="J270" s="147">
        <v>2774</v>
      </c>
      <c r="K270" s="247" t="s">
        <v>2594</v>
      </c>
      <c r="L270" s="168"/>
      <c r="M270" s="247" t="str">
        <f t="shared" si="4"/>
        <v>제3편 제1심의 소송절차-제07장 증거-제04절 증거조사의 개시와 실시-01</v>
      </c>
      <c r="N270" s="210"/>
      <c r="O270" s="262"/>
    </row>
    <row r="271" spans="2:15" ht="14.45" customHeight="1" x14ac:dyDescent="0.2">
      <c r="B271" s="80" t="s">
        <v>2540</v>
      </c>
      <c r="C271" s="85" t="s">
        <v>2528</v>
      </c>
      <c r="D271" s="90" t="s">
        <v>3427</v>
      </c>
      <c r="E271" s="148" t="s">
        <v>2425</v>
      </c>
      <c r="F271" s="149" t="s">
        <v>2320</v>
      </c>
      <c r="G271" s="291" t="s">
        <v>2567</v>
      </c>
      <c r="H271" s="150" t="s">
        <v>2486</v>
      </c>
      <c r="I271" s="151" t="s">
        <v>2487</v>
      </c>
      <c r="J271" s="152">
        <v>1446</v>
      </c>
      <c r="K271" s="248" t="s">
        <v>2594</v>
      </c>
      <c r="L271" s="153" t="s">
        <v>3645</v>
      </c>
      <c r="M271" s="248" t="str">
        <f t="shared" si="4"/>
        <v>제3편 제1심의 소송절차-제07장 증거-제04절 증거조사의 개시와 실시-02</v>
      </c>
      <c r="N271" s="211"/>
      <c r="O271" s="263"/>
    </row>
    <row r="272" spans="2:15" ht="14.45" customHeight="1" x14ac:dyDescent="0.2">
      <c r="B272" s="80" t="s">
        <v>2540</v>
      </c>
      <c r="C272" s="85" t="s">
        <v>2528</v>
      </c>
      <c r="D272" s="90" t="s">
        <v>3427</v>
      </c>
      <c r="E272" s="148" t="s">
        <v>2425</v>
      </c>
      <c r="F272" s="149" t="s">
        <v>175</v>
      </c>
      <c r="G272" s="291" t="s">
        <v>2568</v>
      </c>
      <c r="H272" s="150" t="s">
        <v>2483</v>
      </c>
      <c r="I272" s="151" t="s">
        <v>2484</v>
      </c>
      <c r="J272" s="152">
        <v>1322</v>
      </c>
      <c r="K272" s="248" t="s">
        <v>2594</v>
      </c>
      <c r="L272" s="153" t="s">
        <v>3645</v>
      </c>
      <c r="M272" s="248" t="str">
        <f t="shared" si="4"/>
        <v>제3편 제1심의 소송절차-제07장 증거-제04절 증거조사의 개시와 실시-03</v>
      </c>
      <c r="N272" s="211"/>
      <c r="O272" s="263"/>
    </row>
    <row r="273" spans="2:15" ht="14.45" hidden="1" customHeight="1" x14ac:dyDescent="0.2">
      <c r="B273" s="80" t="s">
        <v>2540</v>
      </c>
      <c r="C273" s="85" t="s">
        <v>2528</v>
      </c>
      <c r="D273" s="90" t="s">
        <v>3427</v>
      </c>
      <c r="E273" s="148" t="s">
        <v>1553</v>
      </c>
      <c r="F273" s="149" t="s">
        <v>3876</v>
      </c>
      <c r="G273" s="291" t="s">
        <v>2569</v>
      </c>
      <c r="H273" s="150" t="s">
        <v>3179</v>
      </c>
      <c r="I273" s="151" t="s">
        <v>2783</v>
      </c>
      <c r="J273" s="152">
        <v>479</v>
      </c>
      <c r="K273" s="248"/>
      <c r="L273" s="153"/>
      <c r="M273" s="248" t="str">
        <f t="shared" si="4"/>
        <v>제3편 제1심의 소송절차-제07장 증거-제04절 증거조사의 개시와 실시-04</v>
      </c>
      <c r="N273" s="211"/>
      <c r="O273" s="263"/>
    </row>
    <row r="274" spans="2:15" ht="14.45" hidden="1" customHeight="1" x14ac:dyDescent="0.2">
      <c r="B274" s="80" t="s">
        <v>2540</v>
      </c>
      <c r="C274" s="85" t="s">
        <v>2528</v>
      </c>
      <c r="D274" s="90" t="s">
        <v>3427</v>
      </c>
      <c r="E274" s="148" t="s">
        <v>1553</v>
      </c>
      <c r="F274" s="149" t="s">
        <v>3877</v>
      </c>
      <c r="G274" s="291" t="s">
        <v>3646</v>
      </c>
      <c r="H274" s="150" t="s">
        <v>3180</v>
      </c>
      <c r="I274" s="151" t="s">
        <v>2784</v>
      </c>
      <c r="J274" s="152">
        <v>824</v>
      </c>
      <c r="K274" s="248"/>
      <c r="L274" s="153"/>
      <c r="M274" s="248" t="str">
        <f t="shared" si="4"/>
        <v>제3편 제1심의 소송절차-제07장 증거-제04절 증거조사의 개시와 실시-05</v>
      </c>
      <c r="N274" s="211"/>
      <c r="O274" s="263"/>
    </row>
    <row r="275" spans="2:15" ht="14.45" hidden="1" customHeight="1" x14ac:dyDescent="0.2">
      <c r="B275" s="80" t="s">
        <v>2540</v>
      </c>
      <c r="C275" s="85" t="s">
        <v>2528</v>
      </c>
      <c r="D275" s="90" t="s">
        <v>3427</v>
      </c>
      <c r="E275" s="148" t="s">
        <v>1553</v>
      </c>
      <c r="F275" s="149" t="s">
        <v>3878</v>
      </c>
      <c r="G275" s="291" t="s">
        <v>3647</v>
      </c>
      <c r="H275" s="150" t="s">
        <v>3181</v>
      </c>
      <c r="I275" s="151" t="s">
        <v>2785</v>
      </c>
      <c r="J275" s="152">
        <v>558</v>
      </c>
      <c r="K275" s="248"/>
      <c r="L275" s="153"/>
      <c r="M275" s="248" t="str">
        <f t="shared" si="4"/>
        <v>제3편 제1심의 소송절차-제07장 증거-제04절 증거조사의 개시와 실시-06</v>
      </c>
      <c r="N275" s="211"/>
      <c r="O275" s="263"/>
    </row>
    <row r="276" spans="2:15" ht="14.45" hidden="1" customHeight="1" x14ac:dyDescent="0.2">
      <c r="B276" s="80" t="s">
        <v>2540</v>
      </c>
      <c r="C276" s="85" t="s">
        <v>2528</v>
      </c>
      <c r="D276" s="90" t="s">
        <v>3427</v>
      </c>
      <c r="E276" s="148" t="s">
        <v>1553</v>
      </c>
      <c r="F276" s="149" t="s">
        <v>3879</v>
      </c>
      <c r="G276" s="291" t="s">
        <v>3648</v>
      </c>
      <c r="H276" s="150" t="s">
        <v>3182</v>
      </c>
      <c r="I276" s="151" t="s">
        <v>2786</v>
      </c>
      <c r="J276" s="152">
        <v>558</v>
      </c>
      <c r="K276" s="248"/>
      <c r="L276" s="153"/>
      <c r="M276" s="248" t="str">
        <f t="shared" si="4"/>
        <v>제3편 제1심의 소송절차-제07장 증거-제04절 증거조사의 개시와 실시-07</v>
      </c>
      <c r="N276" s="211"/>
      <c r="O276" s="263"/>
    </row>
    <row r="277" spans="2:15" ht="14.45" hidden="1" customHeight="1" x14ac:dyDescent="0.2">
      <c r="B277" s="80" t="s">
        <v>2540</v>
      </c>
      <c r="C277" s="85" t="s">
        <v>2528</v>
      </c>
      <c r="D277" s="90" t="s">
        <v>3427</v>
      </c>
      <c r="E277" s="148" t="s">
        <v>1553</v>
      </c>
      <c r="F277" s="149" t="s">
        <v>3880</v>
      </c>
      <c r="G277" s="291" t="s">
        <v>3649</v>
      </c>
      <c r="H277" s="150" t="s">
        <v>3183</v>
      </c>
      <c r="I277" s="151" t="s">
        <v>2787</v>
      </c>
      <c r="J277" s="152">
        <v>482</v>
      </c>
      <c r="K277" s="248"/>
      <c r="L277" s="153"/>
      <c r="M277" s="248" t="str">
        <f t="shared" si="4"/>
        <v>제3편 제1심의 소송절차-제07장 증거-제04절 증거조사의 개시와 실시-08</v>
      </c>
      <c r="N277" s="211"/>
      <c r="O277" s="263"/>
    </row>
    <row r="278" spans="2:15" ht="14.45" hidden="1" customHeight="1" x14ac:dyDescent="0.2">
      <c r="B278" s="80" t="s">
        <v>2540</v>
      </c>
      <c r="C278" s="85" t="s">
        <v>2528</v>
      </c>
      <c r="D278" s="90" t="s">
        <v>3427</v>
      </c>
      <c r="E278" s="148" t="s">
        <v>1553</v>
      </c>
      <c r="F278" s="149" t="s">
        <v>3881</v>
      </c>
      <c r="G278" s="291" t="s">
        <v>3650</v>
      </c>
      <c r="H278" s="150" t="s">
        <v>3184</v>
      </c>
      <c r="I278" s="151" t="s">
        <v>2788</v>
      </c>
      <c r="J278" s="152">
        <v>427</v>
      </c>
      <c r="K278" s="248"/>
      <c r="L278" s="153"/>
      <c r="M278" s="248" t="str">
        <f t="shared" si="4"/>
        <v>제3편 제1심의 소송절차-제07장 증거-제04절 증거조사의 개시와 실시-09</v>
      </c>
      <c r="N278" s="211"/>
      <c r="O278" s="263"/>
    </row>
    <row r="279" spans="2:15" ht="14.45" hidden="1" customHeight="1" x14ac:dyDescent="0.2">
      <c r="B279" s="80" t="s">
        <v>2540</v>
      </c>
      <c r="C279" s="85" t="s">
        <v>2528</v>
      </c>
      <c r="D279" s="90" t="s">
        <v>3427</v>
      </c>
      <c r="E279" s="148" t="s">
        <v>1553</v>
      </c>
      <c r="F279" s="149" t="s">
        <v>3882</v>
      </c>
      <c r="G279" s="291" t="s">
        <v>3651</v>
      </c>
      <c r="H279" s="150" t="s">
        <v>3185</v>
      </c>
      <c r="I279" s="151" t="s">
        <v>2789</v>
      </c>
      <c r="J279" s="152">
        <v>628</v>
      </c>
      <c r="K279" s="248"/>
      <c r="L279" s="153"/>
      <c r="M279" s="248" t="str">
        <f t="shared" si="4"/>
        <v>제3편 제1심의 소송절차-제07장 증거-제04절 증거조사의 개시와 실시-10</v>
      </c>
      <c r="N279" s="211"/>
      <c r="O279" s="263"/>
    </row>
    <row r="280" spans="2:15" ht="14.45" hidden="1" customHeight="1" x14ac:dyDescent="0.2">
      <c r="B280" s="80" t="s">
        <v>2540</v>
      </c>
      <c r="C280" s="85" t="s">
        <v>2528</v>
      </c>
      <c r="D280" s="90" t="s">
        <v>3427</v>
      </c>
      <c r="E280" s="148" t="s">
        <v>1553</v>
      </c>
      <c r="F280" s="149" t="s">
        <v>3883</v>
      </c>
      <c r="G280" s="291" t="s">
        <v>3652</v>
      </c>
      <c r="H280" s="150" t="s">
        <v>3186</v>
      </c>
      <c r="I280" s="151" t="s">
        <v>2790</v>
      </c>
      <c r="J280" s="152">
        <v>409</v>
      </c>
      <c r="K280" s="248"/>
      <c r="L280" s="153"/>
      <c r="M280" s="248" t="str">
        <f t="shared" si="4"/>
        <v>제3편 제1심의 소송절차-제07장 증거-제04절 증거조사의 개시와 실시-11</v>
      </c>
      <c r="N280" s="211"/>
      <c r="O280" s="263"/>
    </row>
    <row r="281" spans="2:15" ht="14.45" hidden="1" customHeight="1" x14ac:dyDescent="0.2">
      <c r="B281" s="80" t="s">
        <v>2540</v>
      </c>
      <c r="C281" s="85" t="s">
        <v>2528</v>
      </c>
      <c r="D281" s="90" t="s">
        <v>3427</v>
      </c>
      <c r="E281" s="148" t="s">
        <v>1553</v>
      </c>
      <c r="F281" s="149" t="s">
        <v>3884</v>
      </c>
      <c r="G281" s="291" t="s">
        <v>3653</v>
      </c>
      <c r="H281" s="150" t="s">
        <v>3187</v>
      </c>
      <c r="I281" s="151" t="s">
        <v>2791</v>
      </c>
      <c r="J281" s="152">
        <v>222</v>
      </c>
      <c r="K281" s="248"/>
      <c r="L281" s="153"/>
      <c r="M281" s="248" t="str">
        <f t="shared" si="4"/>
        <v>제3편 제1심의 소송절차-제07장 증거-제04절 증거조사의 개시와 실시-12</v>
      </c>
      <c r="N281" s="211"/>
      <c r="O281" s="263"/>
    </row>
    <row r="282" spans="2:15" ht="14.45" hidden="1" customHeight="1" x14ac:dyDescent="0.2">
      <c r="B282" s="80" t="s">
        <v>2540</v>
      </c>
      <c r="C282" s="85" t="s">
        <v>2528</v>
      </c>
      <c r="D282" s="90" t="s">
        <v>3427</v>
      </c>
      <c r="E282" s="148" t="s">
        <v>1553</v>
      </c>
      <c r="F282" s="149" t="s">
        <v>3885</v>
      </c>
      <c r="G282" s="291" t="s">
        <v>3654</v>
      </c>
      <c r="H282" s="150" t="s">
        <v>3188</v>
      </c>
      <c r="I282" s="151" t="s">
        <v>2792</v>
      </c>
      <c r="J282" s="152">
        <v>324</v>
      </c>
      <c r="K282" s="248"/>
      <c r="L282" s="153" t="s">
        <v>3410</v>
      </c>
      <c r="M282" s="248" t="str">
        <f t="shared" si="4"/>
        <v>제3편 제1심의 소송절차-제07장 증거-제04절 증거조사의 개시와 실시-13</v>
      </c>
      <c r="N282" s="211"/>
      <c r="O282" s="263"/>
    </row>
    <row r="283" spans="2:15" ht="14.45" hidden="1" customHeight="1" x14ac:dyDescent="0.2">
      <c r="B283" s="80" t="s">
        <v>2540</v>
      </c>
      <c r="C283" s="85" t="s">
        <v>2528</v>
      </c>
      <c r="D283" s="90" t="s">
        <v>3427</v>
      </c>
      <c r="E283" s="148" t="s">
        <v>1553</v>
      </c>
      <c r="F283" s="149" t="s">
        <v>3886</v>
      </c>
      <c r="G283" s="291" t="s">
        <v>3655</v>
      </c>
      <c r="H283" s="150" t="s">
        <v>3189</v>
      </c>
      <c r="I283" s="151" t="s">
        <v>2793</v>
      </c>
      <c r="J283" s="152">
        <v>313</v>
      </c>
      <c r="K283" s="248"/>
      <c r="L283" s="153"/>
      <c r="M283" s="248" t="str">
        <f t="shared" si="4"/>
        <v>제3편 제1심의 소송절차-제07장 증거-제04절 증거조사의 개시와 실시-14</v>
      </c>
      <c r="N283" s="211"/>
      <c r="O283" s="263"/>
    </row>
    <row r="284" spans="2:15" ht="14.45" hidden="1" customHeight="1" x14ac:dyDescent="0.2">
      <c r="B284" s="80" t="s">
        <v>2540</v>
      </c>
      <c r="C284" s="85" t="s">
        <v>2528</v>
      </c>
      <c r="D284" s="89" t="s">
        <v>3427</v>
      </c>
      <c r="E284" s="213" t="s">
        <v>1553</v>
      </c>
      <c r="F284" s="214" t="s">
        <v>3887</v>
      </c>
      <c r="G284" s="290" t="s">
        <v>3656</v>
      </c>
      <c r="H284" s="215" t="s">
        <v>3190</v>
      </c>
      <c r="I284" s="216" t="s">
        <v>2794</v>
      </c>
      <c r="J284" s="217">
        <v>163</v>
      </c>
      <c r="K284" s="245"/>
      <c r="L284" s="219"/>
      <c r="M284" s="245" t="str">
        <f t="shared" si="4"/>
        <v>제3편 제1심의 소송절차-제07장 증거-제04절 증거조사의 개시와 실시-15</v>
      </c>
      <c r="N284" s="218"/>
      <c r="O284" s="260"/>
    </row>
    <row r="285" spans="2:15" ht="14.45" customHeight="1" x14ac:dyDescent="0.2">
      <c r="B285" s="80" t="s">
        <v>2540</v>
      </c>
      <c r="C285" s="85" t="s">
        <v>2528</v>
      </c>
      <c r="D285" s="83" t="s">
        <v>3431</v>
      </c>
      <c r="E285" s="143" t="s">
        <v>7</v>
      </c>
      <c r="F285" s="144" t="s">
        <v>1552</v>
      </c>
      <c r="G285" s="295" t="s">
        <v>2566</v>
      </c>
      <c r="H285" s="145" t="s">
        <v>114</v>
      </c>
      <c r="I285" s="146" t="s">
        <v>2286</v>
      </c>
      <c r="J285" s="147">
        <v>2789</v>
      </c>
      <c r="K285" s="247" t="s">
        <v>2595</v>
      </c>
      <c r="L285" s="168"/>
      <c r="M285" s="247" t="str">
        <f t="shared" si="4"/>
        <v>제3편 제1심의 소송절차-제07장 증거-제05절 자유심증주의-01</v>
      </c>
      <c r="N285" s="210"/>
      <c r="O285" s="262"/>
    </row>
    <row r="286" spans="2:15" ht="14.45" customHeight="1" x14ac:dyDescent="0.2">
      <c r="B286" s="80" t="s">
        <v>2540</v>
      </c>
      <c r="C286" s="85" t="s">
        <v>2528</v>
      </c>
      <c r="D286" s="90" t="s">
        <v>3431</v>
      </c>
      <c r="E286" s="148" t="s">
        <v>2425</v>
      </c>
      <c r="F286" s="149" t="s">
        <v>2321</v>
      </c>
      <c r="G286" s="291" t="s">
        <v>2567</v>
      </c>
      <c r="H286" s="150" t="s">
        <v>176</v>
      </c>
      <c r="I286" s="151" t="s">
        <v>2187</v>
      </c>
      <c r="J286" s="152">
        <v>1663</v>
      </c>
      <c r="K286" s="248" t="s">
        <v>2595</v>
      </c>
      <c r="L286" s="153"/>
      <c r="M286" s="248" t="str">
        <f t="shared" si="4"/>
        <v>제3편 제1심의 소송절차-제07장 증거-제05절 자유심증주의-02</v>
      </c>
      <c r="N286" s="211"/>
      <c r="O286" s="263"/>
    </row>
    <row r="287" spans="2:15" ht="14.45" hidden="1" customHeight="1" x14ac:dyDescent="0.2">
      <c r="B287" s="80" t="s">
        <v>2540</v>
      </c>
      <c r="C287" s="85" t="s">
        <v>2528</v>
      </c>
      <c r="D287" s="90" t="s">
        <v>3431</v>
      </c>
      <c r="E287" s="148" t="s">
        <v>1553</v>
      </c>
      <c r="F287" s="149" t="s">
        <v>3888</v>
      </c>
      <c r="G287" s="291" t="s">
        <v>2568</v>
      </c>
      <c r="H287" s="150" t="s">
        <v>3165</v>
      </c>
      <c r="I287" s="151" t="s">
        <v>2769</v>
      </c>
      <c r="J287" s="152">
        <v>204</v>
      </c>
      <c r="K287" s="248"/>
      <c r="L287" s="153"/>
      <c r="M287" s="248" t="str">
        <f t="shared" si="4"/>
        <v>제3편 제1심의 소송절차-제07장 증거-제05절 자유심증주의-03</v>
      </c>
      <c r="N287" s="211"/>
      <c r="O287" s="263"/>
    </row>
    <row r="288" spans="2:15" ht="14.45" hidden="1" customHeight="1" x14ac:dyDescent="0.2">
      <c r="B288" s="80" t="s">
        <v>2540</v>
      </c>
      <c r="C288" s="85" t="s">
        <v>2528</v>
      </c>
      <c r="D288" s="90" t="s">
        <v>3431</v>
      </c>
      <c r="E288" s="148" t="s">
        <v>1553</v>
      </c>
      <c r="F288" s="149" t="s">
        <v>3889</v>
      </c>
      <c r="G288" s="291" t="s">
        <v>2569</v>
      </c>
      <c r="H288" s="150" t="s">
        <v>3166</v>
      </c>
      <c r="I288" s="151" t="s">
        <v>2770</v>
      </c>
      <c r="J288" s="152">
        <v>835</v>
      </c>
      <c r="K288" s="248"/>
      <c r="L288" s="153"/>
      <c r="M288" s="248" t="str">
        <f t="shared" si="4"/>
        <v>제3편 제1심의 소송절차-제07장 증거-제05절 자유심증주의-04</v>
      </c>
      <c r="N288" s="211"/>
      <c r="O288" s="263"/>
    </row>
    <row r="289" spans="2:15" ht="14.45" hidden="1" customHeight="1" x14ac:dyDescent="0.2">
      <c r="B289" s="80" t="s">
        <v>2540</v>
      </c>
      <c r="C289" s="85" t="s">
        <v>2528</v>
      </c>
      <c r="D289" s="90" t="s">
        <v>3431</v>
      </c>
      <c r="E289" s="148" t="s">
        <v>1553</v>
      </c>
      <c r="F289" s="149" t="s">
        <v>3890</v>
      </c>
      <c r="G289" s="291" t="s">
        <v>3646</v>
      </c>
      <c r="H289" s="150" t="s">
        <v>3191</v>
      </c>
      <c r="I289" s="151" t="s">
        <v>2795</v>
      </c>
      <c r="J289" s="152">
        <v>279</v>
      </c>
      <c r="K289" s="248"/>
      <c r="L289" s="153"/>
      <c r="M289" s="248" t="str">
        <f t="shared" si="4"/>
        <v>제3편 제1심의 소송절차-제07장 증거-제05절 자유심증주의-05</v>
      </c>
      <c r="N289" s="211"/>
      <c r="O289" s="263"/>
    </row>
    <row r="290" spans="2:15" ht="14.45" hidden="1" customHeight="1" x14ac:dyDescent="0.2">
      <c r="B290" s="80" t="s">
        <v>2540</v>
      </c>
      <c r="C290" s="85" t="s">
        <v>2528</v>
      </c>
      <c r="D290" s="89" t="s">
        <v>3431</v>
      </c>
      <c r="E290" s="213" t="s">
        <v>1553</v>
      </c>
      <c r="F290" s="214" t="s">
        <v>3891</v>
      </c>
      <c r="G290" s="290" t="s">
        <v>3647</v>
      </c>
      <c r="H290" s="215" t="s">
        <v>3192</v>
      </c>
      <c r="I290" s="216" t="s">
        <v>2796</v>
      </c>
      <c r="J290" s="217">
        <v>211</v>
      </c>
      <c r="K290" s="245"/>
      <c r="L290" s="219"/>
      <c r="M290" s="245" t="str">
        <f t="shared" si="4"/>
        <v>제3편 제1심의 소송절차-제07장 증거-제05절 자유심증주의-06</v>
      </c>
      <c r="N290" s="218"/>
      <c r="O290" s="260"/>
    </row>
    <row r="291" spans="2:15" ht="14.45" customHeight="1" x14ac:dyDescent="0.2">
      <c r="B291" s="80" t="s">
        <v>2540</v>
      </c>
      <c r="C291" s="85" t="s">
        <v>2528</v>
      </c>
      <c r="D291" s="83" t="s">
        <v>3421</v>
      </c>
      <c r="E291" s="143" t="s">
        <v>7</v>
      </c>
      <c r="F291" s="144" t="s">
        <v>2266</v>
      </c>
      <c r="G291" s="295" t="s">
        <v>2566</v>
      </c>
      <c r="H291" s="145" t="s">
        <v>115</v>
      </c>
      <c r="I291" s="146" t="s">
        <v>2287</v>
      </c>
      <c r="J291" s="147">
        <v>2280</v>
      </c>
      <c r="K291" s="247" t="s">
        <v>2594</v>
      </c>
      <c r="L291" s="168"/>
      <c r="M291" s="247" t="str">
        <f t="shared" si="4"/>
        <v>제3편 제1심의 소송절차-제07장 증거-제06절 증명책임-01</v>
      </c>
      <c r="N291" s="210"/>
      <c r="O291" s="262"/>
    </row>
    <row r="292" spans="2:15" ht="14.45" customHeight="1" x14ac:dyDescent="0.2">
      <c r="B292" s="80" t="s">
        <v>2540</v>
      </c>
      <c r="C292" s="85" t="s">
        <v>2528</v>
      </c>
      <c r="D292" s="90" t="s">
        <v>3421</v>
      </c>
      <c r="E292" s="148" t="s">
        <v>2425</v>
      </c>
      <c r="F292" s="149" t="s">
        <v>2319</v>
      </c>
      <c r="G292" s="291" t="s">
        <v>2567</v>
      </c>
      <c r="H292" s="150" t="s">
        <v>2467</v>
      </c>
      <c r="I292" s="151" t="s">
        <v>2468</v>
      </c>
      <c r="J292" s="152">
        <v>2154</v>
      </c>
      <c r="K292" s="248" t="s">
        <v>2594</v>
      </c>
      <c r="L292" s="153" t="s">
        <v>3506</v>
      </c>
      <c r="M292" s="248" t="str">
        <f t="shared" si="4"/>
        <v>제3편 제1심의 소송절차-제07장 증거-제06절 증명책임-02</v>
      </c>
      <c r="N292" s="211"/>
      <c r="O292" s="263"/>
    </row>
    <row r="293" spans="2:15" ht="14.45" customHeight="1" thickBot="1" x14ac:dyDescent="0.25">
      <c r="B293" s="80" t="s">
        <v>2540</v>
      </c>
      <c r="C293" s="85" t="s">
        <v>2528</v>
      </c>
      <c r="D293" s="90" t="s">
        <v>3421</v>
      </c>
      <c r="E293" s="148" t="s">
        <v>2426</v>
      </c>
      <c r="F293" s="149" t="s">
        <v>3570</v>
      </c>
      <c r="G293" s="291" t="s">
        <v>2568</v>
      </c>
      <c r="H293" s="150" t="s">
        <v>3576</v>
      </c>
      <c r="I293" s="151" t="s">
        <v>3585</v>
      </c>
      <c r="J293" s="152">
        <v>1108</v>
      </c>
      <c r="K293" s="248" t="s">
        <v>2593</v>
      </c>
      <c r="L293" s="153" t="s">
        <v>3645</v>
      </c>
      <c r="M293" s="248" t="str">
        <f t="shared" si="4"/>
        <v>제3편 제1심의 소송절차-제07장 증거-제06절 증명책임-03</v>
      </c>
      <c r="N293" s="211"/>
      <c r="O293" s="263"/>
    </row>
    <row r="294" spans="2:15" ht="14.45" hidden="1" customHeight="1" x14ac:dyDescent="0.25">
      <c r="B294" s="80" t="s">
        <v>2540</v>
      </c>
      <c r="C294" s="85" t="s">
        <v>2528</v>
      </c>
      <c r="D294" s="90" t="s">
        <v>3421</v>
      </c>
      <c r="E294" s="148" t="s">
        <v>1553</v>
      </c>
      <c r="F294" s="149" t="s">
        <v>3892</v>
      </c>
      <c r="G294" s="291" t="s">
        <v>2569</v>
      </c>
      <c r="H294" s="150" t="s">
        <v>3193</v>
      </c>
      <c r="I294" s="151" t="s">
        <v>2797</v>
      </c>
      <c r="J294" s="152">
        <v>284</v>
      </c>
      <c r="K294" s="248"/>
      <c r="L294" s="153"/>
      <c r="M294" s="248" t="str">
        <f t="shared" si="4"/>
        <v>제3편 제1심의 소송절차-제07장 증거-제06절 증명책임-04</v>
      </c>
      <c r="N294" s="211"/>
      <c r="O294" s="263"/>
    </row>
    <row r="295" spans="2:15" ht="14.45" hidden="1" customHeight="1" x14ac:dyDescent="0.25">
      <c r="B295" s="80" t="s">
        <v>2540</v>
      </c>
      <c r="C295" s="85" t="s">
        <v>2528</v>
      </c>
      <c r="D295" s="90" t="s">
        <v>3421</v>
      </c>
      <c r="E295" s="148" t="s">
        <v>1553</v>
      </c>
      <c r="F295" s="149" t="s">
        <v>3893</v>
      </c>
      <c r="G295" s="291" t="s">
        <v>3646</v>
      </c>
      <c r="H295" s="150" t="s">
        <v>3194</v>
      </c>
      <c r="I295" s="151" t="s">
        <v>2798</v>
      </c>
      <c r="J295" s="152">
        <v>166</v>
      </c>
      <c r="K295" s="248"/>
      <c r="L295" s="153"/>
      <c r="M295" s="248" t="str">
        <f t="shared" si="4"/>
        <v>제3편 제1심의 소송절차-제07장 증거-제06절 증명책임-05</v>
      </c>
      <c r="N295" s="211"/>
      <c r="O295" s="263"/>
    </row>
    <row r="296" spans="2:15" ht="14.45" hidden="1" customHeight="1" x14ac:dyDescent="0.25">
      <c r="B296" s="80" t="s">
        <v>2540</v>
      </c>
      <c r="C296" s="85" t="s">
        <v>2528</v>
      </c>
      <c r="D296" s="90" t="s">
        <v>3421</v>
      </c>
      <c r="E296" s="148" t="s">
        <v>1553</v>
      </c>
      <c r="F296" s="149" t="s">
        <v>3894</v>
      </c>
      <c r="G296" s="291" t="s">
        <v>3647</v>
      </c>
      <c r="H296" s="150" t="s">
        <v>3195</v>
      </c>
      <c r="I296" s="151" t="s">
        <v>2799</v>
      </c>
      <c r="J296" s="152">
        <v>453</v>
      </c>
      <c r="K296" s="248"/>
      <c r="L296" s="153"/>
      <c r="M296" s="248" t="str">
        <f t="shared" si="4"/>
        <v>제3편 제1심의 소송절차-제07장 증거-제06절 증명책임-06</v>
      </c>
      <c r="N296" s="211"/>
      <c r="O296" s="263"/>
    </row>
    <row r="297" spans="2:15" ht="14.45" hidden="1" customHeight="1" x14ac:dyDescent="0.25">
      <c r="B297" s="80" t="s">
        <v>2540</v>
      </c>
      <c r="C297" s="85" t="s">
        <v>2528</v>
      </c>
      <c r="D297" s="90" t="s">
        <v>3421</v>
      </c>
      <c r="E297" s="148" t="s">
        <v>1553</v>
      </c>
      <c r="F297" s="149" t="s">
        <v>3895</v>
      </c>
      <c r="G297" s="291" t="s">
        <v>3648</v>
      </c>
      <c r="H297" s="150" t="s">
        <v>3196</v>
      </c>
      <c r="I297" s="151" t="s">
        <v>2800</v>
      </c>
      <c r="J297" s="152">
        <v>450</v>
      </c>
      <c r="K297" s="248"/>
      <c r="L297" s="153"/>
      <c r="M297" s="248" t="str">
        <f t="shared" si="4"/>
        <v>제3편 제1심의 소송절차-제07장 증거-제06절 증명책임-07</v>
      </c>
      <c r="N297" s="211"/>
      <c r="O297" s="263"/>
    </row>
    <row r="298" spans="2:15" ht="14.45" hidden="1" customHeight="1" x14ac:dyDescent="0.25">
      <c r="B298" s="80" t="s">
        <v>2540</v>
      </c>
      <c r="C298" s="85" t="s">
        <v>2528</v>
      </c>
      <c r="D298" s="90" t="s">
        <v>3421</v>
      </c>
      <c r="E298" s="148" t="s">
        <v>1553</v>
      </c>
      <c r="F298" s="149" t="s">
        <v>3896</v>
      </c>
      <c r="G298" s="291" t="s">
        <v>3649</v>
      </c>
      <c r="H298" s="150" t="s">
        <v>3197</v>
      </c>
      <c r="I298" s="151" t="s">
        <v>2801</v>
      </c>
      <c r="J298" s="152">
        <v>597</v>
      </c>
      <c r="K298" s="248"/>
      <c r="L298" s="153"/>
      <c r="M298" s="248" t="str">
        <f t="shared" si="4"/>
        <v>제3편 제1심의 소송절차-제07장 증거-제06절 증명책임-08</v>
      </c>
      <c r="N298" s="211"/>
      <c r="O298" s="263"/>
    </row>
    <row r="299" spans="2:15" ht="14.45" hidden="1" customHeight="1" x14ac:dyDescent="0.25">
      <c r="B299" s="80" t="s">
        <v>2540</v>
      </c>
      <c r="C299" s="85" t="s">
        <v>2528</v>
      </c>
      <c r="D299" s="90" t="s">
        <v>3421</v>
      </c>
      <c r="E299" s="148" t="s">
        <v>1553</v>
      </c>
      <c r="F299" s="149" t="s">
        <v>3897</v>
      </c>
      <c r="G299" s="291" t="s">
        <v>3650</v>
      </c>
      <c r="H299" s="150" t="s">
        <v>3198</v>
      </c>
      <c r="I299" s="151" t="s">
        <v>2802</v>
      </c>
      <c r="J299" s="152">
        <v>407</v>
      </c>
      <c r="K299" s="248"/>
      <c r="L299" s="153"/>
      <c r="M299" s="248" t="str">
        <f t="shared" si="4"/>
        <v>제3편 제1심의 소송절차-제07장 증거-제06절 증명책임-09</v>
      </c>
      <c r="N299" s="211"/>
      <c r="O299" s="263"/>
    </row>
    <row r="300" spans="2:15" ht="14.45" hidden="1" customHeight="1" thickBot="1" x14ac:dyDescent="0.25">
      <c r="B300" s="81" t="s">
        <v>2540</v>
      </c>
      <c r="C300" s="86" t="s">
        <v>2528</v>
      </c>
      <c r="D300" s="91" t="s">
        <v>3421</v>
      </c>
      <c r="E300" s="154" t="s">
        <v>1553</v>
      </c>
      <c r="F300" s="155" t="s">
        <v>3898</v>
      </c>
      <c r="G300" s="292" t="s">
        <v>3651</v>
      </c>
      <c r="H300" s="156" t="s">
        <v>3199</v>
      </c>
      <c r="I300" s="157" t="s">
        <v>2803</v>
      </c>
      <c r="J300" s="158">
        <v>368</v>
      </c>
      <c r="K300" s="249"/>
      <c r="L300" s="170"/>
      <c r="M300" s="249" t="str">
        <f t="shared" si="4"/>
        <v>제3편 제1심의 소송절차-제07장 증거-제06절 증명책임-10</v>
      </c>
      <c r="N300" s="212"/>
      <c r="O300" s="264"/>
    </row>
    <row r="301" spans="2:15" ht="14.45" customHeight="1" x14ac:dyDescent="0.2">
      <c r="B301" s="61" t="s">
        <v>2603</v>
      </c>
      <c r="C301" s="64" t="s">
        <v>2531</v>
      </c>
      <c r="D301" s="227" t="s">
        <v>3499</v>
      </c>
      <c r="E301" s="228" t="s">
        <v>7</v>
      </c>
      <c r="F301" s="229" t="s">
        <v>74</v>
      </c>
      <c r="G301" s="296" t="s">
        <v>2566</v>
      </c>
      <c r="H301" s="230" t="s">
        <v>116</v>
      </c>
      <c r="I301" s="231" t="s">
        <v>2235</v>
      </c>
      <c r="J301" s="232">
        <v>2255</v>
      </c>
      <c r="K301" s="250" t="s">
        <v>2594</v>
      </c>
      <c r="L301" s="234"/>
      <c r="M301" s="250" t="str">
        <f t="shared" si="4"/>
        <v>제4편 소송의 종료-제08장 총설-제01절 소송종료사유-01</v>
      </c>
      <c r="N301" s="233"/>
      <c r="O301" s="265"/>
    </row>
    <row r="302" spans="2:15" ht="14.45" customHeight="1" thickBot="1" x14ac:dyDescent="0.25">
      <c r="B302" s="80" t="s">
        <v>2541</v>
      </c>
      <c r="C302" s="85" t="s">
        <v>2530</v>
      </c>
      <c r="D302" s="83" t="s">
        <v>3500</v>
      </c>
      <c r="E302" s="143" t="s">
        <v>7</v>
      </c>
      <c r="F302" s="144" t="s">
        <v>74</v>
      </c>
      <c r="G302" s="295" t="s">
        <v>2566</v>
      </c>
      <c r="H302" s="145" t="s">
        <v>117</v>
      </c>
      <c r="I302" s="146" t="s">
        <v>2236</v>
      </c>
      <c r="J302" s="147">
        <v>2325</v>
      </c>
      <c r="K302" s="247" t="s">
        <v>2594</v>
      </c>
      <c r="L302" s="168"/>
      <c r="M302" s="247" t="str">
        <f t="shared" si="4"/>
        <v>제4편 소송의 종료-제08장 총설-제02절 소송종료선언-01</v>
      </c>
      <c r="N302" s="210"/>
      <c r="O302" s="262"/>
    </row>
    <row r="303" spans="2:15" ht="14.45" hidden="1" customHeight="1" x14ac:dyDescent="0.25">
      <c r="B303" s="80" t="s">
        <v>2541</v>
      </c>
      <c r="C303" s="85" t="s">
        <v>2530</v>
      </c>
      <c r="D303" s="90" t="s">
        <v>3500</v>
      </c>
      <c r="E303" s="148" t="s">
        <v>1553</v>
      </c>
      <c r="F303" s="149" t="s">
        <v>3899</v>
      </c>
      <c r="G303" s="291" t="s">
        <v>2567</v>
      </c>
      <c r="H303" s="150" t="s">
        <v>3200</v>
      </c>
      <c r="I303" s="151" t="s">
        <v>2804</v>
      </c>
      <c r="J303" s="152">
        <v>313</v>
      </c>
      <c r="K303" s="248"/>
      <c r="L303" s="153"/>
      <c r="M303" s="248" t="str">
        <f t="shared" si="4"/>
        <v>제4편 소송의 종료-제08장 총설-제02절 소송종료선언-02</v>
      </c>
      <c r="N303" s="211"/>
      <c r="O303" s="263"/>
    </row>
    <row r="304" spans="2:15" ht="14.45" hidden="1" customHeight="1" thickBot="1" x14ac:dyDescent="0.25">
      <c r="B304" s="80" t="s">
        <v>2541</v>
      </c>
      <c r="C304" s="86" t="s">
        <v>2530</v>
      </c>
      <c r="D304" s="91" t="s">
        <v>3500</v>
      </c>
      <c r="E304" s="154" t="s">
        <v>1553</v>
      </c>
      <c r="F304" s="155" t="s">
        <v>3900</v>
      </c>
      <c r="G304" s="292" t="s">
        <v>2568</v>
      </c>
      <c r="H304" s="156" t="s">
        <v>3201</v>
      </c>
      <c r="I304" s="157" t="s">
        <v>2805</v>
      </c>
      <c r="J304" s="158">
        <v>290</v>
      </c>
      <c r="K304" s="249"/>
      <c r="L304" s="170"/>
      <c r="M304" s="249" t="str">
        <f t="shared" si="4"/>
        <v>제4편 소송의 종료-제08장 총설-제02절 소송종료선언-03</v>
      </c>
      <c r="N304" s="212"/>
      <c r="O304" s="264"/>
    </row>
    <row r="305" spans="2:15" ht="14.45" customHeight="1" x14ac:dyDescent="0.2">
      <c r="B305" s="80" t="s">
        <v>2541</v>
      </c>
      <c r="C305" s="64" t="s">
        <v>2546</v>
      </c>
      <c r="D305" s="84" t="s">
        <v>3438</v>
      </c>
      <c r="E305" s="137" t="s">
        <v>7</v>
      </c>
      <c r="F305" s="138" t="s">
        <v>144</v>
      </c>
      <c r="G305" s="293" t="s">
        <v>2566</v>
      </c>
      <c r="H305" s="139" t="s">
        <v>118</v>
      </c>
      <c r="I305" s="140" t="s">
        <v>2237</v>
      </c>
      <c r="J305" s="141">
        <v>2290</v>
      </c>
      <c r="K305" s="244" t="s">
        <v>2593</v>
      </c>
      <c r="L305" s="169" t="s">
        <v>3625</v>
      </c>
      <c r="M305" s="244" t="str">
        <f t="shared" si="4"/>
        <v>제4편 소송의 종료-제09장 당사자 행위에 의한 종료-제01절 소의 취하와 재소금지-01</v>
      </c>
      <c r="N305" s="209"/>
      <c r="O305" s="259"/>
    </row>
    <row r="306" spans="2:15" ht="14.45" customHeight="1" x14ac:dyDescent="0.2">
      <c r="B306" s="80" t="s">
        <v>2541</v>
      </c>
      <c r="C306" s="85" t="s">
        <v>2545</v>
      </c>
      <c r="D306" s="90" t="s">
        <v>3438</v>
      </c>
      <c r="E306" s="148" t="s">
        <v>2425</v>
      </c>
      <c r="F306" s="149" t="s">
        <v>178</v>
      </c>
      <c r="G306" s="291" t="s">
        <v>2567</v>
      </c>
      <c r="H306" s="150" t="s">
        <v>2462</v>
      </c>
      <c r="I306" s="151" t="s">
        <v>2463</v>
      </c>
      <c r="J306" s="152">
        <v>1594</v>
      </c>
      <c r="K306" s="248" t="s">
        <v>2594</v>
      </c>
      <c r="L306" s="153" t="s">
        <v>3645</v>
      </c>
      <c r="M306" s="248" t="str">
        <f t="shared" si="4"/>
        <v>제4편 소송의 종료-제09장 당사자 행위에 의한 종료-제01절 소의 취하와 재소금지-02</v>
      </c>
      <c r="N306" s="211"/>
      <c r="O306" s="263"/>
    </row>
    <row r="307" spans="2:15" ht="14.45" customHeight="1" x14ac:dyDescent="0.2">
      <c r="B307" s="80" t="s">
        <v>2541</v>
      </c>
      <c r="C307" s="85" t="s">
        <v>2545</v>
      </c>
      <c r="D307" s="90" t="s">
        <v>3438</v>
      </c>
      <c r="E307" s="148" t="s">
        <v>2425</v>
      </c>
      <c r="F307" s="149" t="s">
        <v>2322</v>
      </c>
      <c r="G307" s="291" t="s">
        <v>2568</v>
      </c>
      <c r="H307" s="150" t="s">
        <v>2492</v>
      </c>
      <c r="I307" s="151" t="s">
        <v>2493</v>
      </c>
      <c r="J307" s="152">
        <v>1582</v>
      </c>
      <c r="K307" s="248" t="s">
        <v>2594</v>
      </c>
      <c r="L307" s="153" t="s">
        <v>3645</v>
      </c>
      <c r="M307" s="248" t="str">
        <f t="shared" si="4"/>
        <v>제4편 소송의 종료-제09장 당사자 행위에 의한 종료-제01절 소의 취하와 재소금지-03</v>
      </c>
      <c r="N307" s="211"/>
      <c r="O307" s="263"/>
    </row>
    <row r="308" spans="2:15" ht="14.45" customHeight="1" x14ac:dyDescent="0.2">
      <c r="B308" s="80" t="s">
        <v>2541</v>
      </c>
      <c r="C308" s="85" t="s">
        <v>2545</v>
      </c>
      <c r="D308" s="90" t="s">
        <v>3438</v>
      </c>
      <c r="E308" s="148" t="s">
        <v>2425</v>
      </c>
      <c r="F308" s="149" t="s">
        <v>177</v>
      </c>
      <c r="G308" s="291" t="s">
        <v>2569</v>
      </c>
      <c r="H308" s="150" t="s">
        <v>2489</v>
      </c>
      <c r="I308" s="151" t="s">
        <v>2490</v>
      </c>
      <c r="J308" s="152">
        <v>1534</v>
      </c>
      <c r="K308" s="248" t="s">
        <v>2594</v>
      </c>
      <c r="L308" s="153" t="s">
        <v>3645</v>
      </c>
      <c r="M308" s="248" t="str">
        <f t="shared" si="4"/>
        <v>제4편 소송의 종료-제09장 당사자 행위에 의한 종료-제01절 소의 취하와 재소금지-04</v>
      </c>
      <c r="N308" s="211"/>
      <c r="O308" s="263"/>
    </row>
    <row r="309" spans="2:15" ht="14.45" hidden="1" customHeight="1" x14ac:dyDescent="0.2">
      <c r="B309" s="80" t="s">
        <v>2541</v>
      </c>
      <c r="C309" s="85" t="s">
        <v>2545</v>
      </c>
      <c r="D309" s="90" t="s">
        <v>3438</v>
      </c>
      <c r="E309" s="148" t="s">
        <v>1553</v>
      </c>
      <c r="F309" s="149" t="s">
        <v>3901</v>
      </c>
      <c r="G309" s="291" t="s">
        <v>3646</v>
      </c>
      <c r="H309" s="150" t="s">
        <v>3202</v>
      </c>
      <c r="I309" s="151" t="s">
        <v>2806</v>
      </c>
      <c r="J309" s="152">
        <v>331</v>
      </c>
      <c r="K309" s="248" t="s">
        <v>2593</v>
      </c>
      <c r="L309" s="153"/>
      <c r="M309" s="248" t="str">
        <f t="shared" si="4"/>
        <v>제4편 소송의 종료-제09장 당사자 행위에 의한 종료-제01절 소의 취하와 재소금지-05</v>
      </c>
      <c r="N309" s="211"/>
      <c r="O309" s="263"/>
    </row>
    <row r="310" spans="2:15" ht="14.45" hidden="1" customHeight="1" x14ac:dyDescent="0.2">
      <c r="B310" s="80" t="s">
        <v>2541</v>
      </c>
      <c r="C310" s="85" t="s">
        <v>2545</v>
      </c>
      <c r="D310" s="90" t="s">
        <v>3438</v>
      </c>
      <c r="E310" s="148" t="s">
        <v>1553</v>
      </c>
      <c r="F310" s="149" t="s">
        <v>3902</v>
      </c>
      <c r="G310" s="291" t="s">
        <v>3647</v>
      </c>
      <c r="H310" s="150" t="s">
        <v>3203</v>
      </c>
      <c r="I310" s="151" t="s">
        <v>2807</v>
      </c>
      <c r="J310" s="152">
        <v>183</v>
      </c>
      <c r="K310" s="248" t="s">
        <v>2593</v>
      </c>
      <c r="L310" s="153"/>
      <c r="M310" s="248" t="str">
        <f t="shared" si="4"/>
        <v>제4편 소송의 종료-제09장 당사자 행위에 의한 종료-제01절 소의 취하와 재소금지-06</v>
      </c>
      <c r="N310" s="211"/>
      <c r="O310" s="263"/>
    </row>
    <row r="311" spans="2:15" ht="14.45" hidden="1" customHeight="1" x14ac:dyDescent="0.2">
      <c r="B311" s="80" t="s">
        <v>2541</v>
      </c>
      <c r="C311" s="85" t="s">
        <v>2545</v>
      </c>
      <c r="D311" s="90" t="s">
        <v>3438</v>
      </c>
      <c r="E311" s="148" t="s">
        <v>1553</v>
      </c>
      <c r="F311" s="149" t="s">
        <v>3903</v>
      </c>
      <c r="G311" s="291" t="s">
        <v>3648</v>
      </c>
      <c r="H311" s="150" t="s">
        <v>3204</v>
      </c>
      <c r="I311" s="151" t="s">
        <v>2808</v>
      </c>
      <c r="J311" s="152">
        <v>123</v>
      </c>
      <c r="K311" s="248" t="s">
        <v>2593</v>
      </c>
      <c r="L311" s="153"/>
      <c r="M311" s="248" t="str">
        <f t="shared" si="4"/>
        <v>제4편 소송의 종료-제09장 당사자 행위에 의한 종료-제01절 소의 취하와 재소금지-07</v>
      </c>
      <c r="N311" s="211"/>
      <c r="O311" s="263"/>
    </row>
    <row r="312" spans="2:15" ht="14.45" hidden="1" customHeight="1" x14ac:dyDescent="0.2">
      <c r="B312" s="80" t="s">
        <v>2541</v>
      </c>
      <c r="C312" s="85" t="s">
        <v>2545</v>
      </c>
      <c r="D312" s="90" t="s">
        <v>3438</v>
      </c>
      <c r="E312" s="148" t="s">
        <v>1553</v>
      </c>
      <c r="F312" s="149" t="s">
        <v>3904</v>
      </c>
      <c r="G312" s="291" t="s">
        <v>3649</v>
      </c>
      <c r="H312" s="150" t="s">
        <v>3205</v>
      </c>
      <c r="I312" s="151" t="s">
        <v>2809</v>
      </c>
      <c r="J312" s="152">
        <v>173</v>
      </c>
      <c r="K312" s="248" t="s">
        <v>2593</v>
      </c>
      <c r="L312" s="153"/>
      <c r="M312" s="248" t="str">
        <f t="shared" si="4"/>
        <v>제4편 소송의 종료-제09장 당사자 행위에 의한 종료-제01절 소의 취하와 재소금지-08</v>
      </c>
      <c r="N312" s="211"/>
      <c r="O312" s="263"/>
    </row>
    <row r="313" spans="2:15" ht="14.45" hidden="1" customHeight="1" x14ac:dyDescent="0.2">
      <c r="B313" s="80" t="s">
        <v>2541</v>
      </c>
      <c r="C313" s="85" t="s">
        <v>2545</v>
      </c>
      <c r="D313" s="90" t="s">
        <v>3438</v>
      </c>
      <c r="E313" s="148" t="s">
        <v>1553</v>
      </c>
      <c r="F313" s="149" t="s">
        <v>3905</v>
      </c>
      <c r="G313" s="291" t="s">
        <v>3650</v>
      </c>
      <c r="H313" s="150" t="s">
        <v>3206</v>
      </c>
      <c r="I313" s="151" t="s">
        <v>2810</v>
      </c>
      <c r="J313" s="152">
        <v>248</v>
      </c>
      <c r="K313" s="248" t="s">
        <v>2593</v>
      </c>
      <c r="L313" s="153"/>
      <c r="M313" s="248" t="str">
        <f t="shared" si="4"/>
        <v>제4편 소송의 종료-제09장 당사자 행위에 의한 종료-제01절 소의 취하와 재소금지-09</v>
      </c>
      <c r="N313" s="211"/>
      <c r="O313" s="263"/>
    </row>
    <row r="314" spans="2:15" ht="14.45" hidden="1" customHeight="1" x14ac:dyDescent="0.2">
      <c r="B314" s="80" t="s">
        <v>2541</v>
      </c>
      <c r="C314" s="85" t="s">
        <v>2545</v>
      </c>
      <c r="D314" s="90" t="s">
        <v>3438</v>
      </c>
      <c r="E314" s="148" t="s">
        <v>1553</v>
      </c>
      <c r="F314" s="149" t="s">
        <v>3906</v>
      </c>
      <c r="G314" s="291" t="s">
        <v>3651</v>
      </c>
      <c r="H314" s="150" t="s">
        <v>3207</v>
      </c>
      <c r="I314" s="151" t="s">
        <v>2811</v>
      </c>
      <c r="J314" s="152">
        <v>154</v>
      </c>
      <c r="K314" s="248" t="s">
        <v>2593</v>
      </c>
      <c r="L314" s="153"/>
      <c r="M314" s="248" t="str">
        <f t="shared" si="4"/>
        <v>제4편 소송의 종료-제09장 당사자 행위에 의한 종료-제01절 소의 취하와 재소금지-10</v>
      </c>
      <c r="N314" s="211"/>
      <c r="O314" s="263"/>
    </row>
    <row r="315" spans="2:15" ht="14.45" hidden="1" customHeight="1" x14ac:dyDescent="0.2">
      <c r="B315" s="80" t="s">
        <v>2541</v>
      </c>
      <c r="C315" s="85" t="s">
        <v>2545</v>
      </c>
      <c r="D315" s="90" t="s">
        <v>3438</v>
      </c>
      <c r="E315" s="148" t="s">
        <v>1553</v>
      </c>
      <c r="F315" s="149" t="s">
        <v>3907</v>
      </c>
      <c r="G315" s="291" t="s">
        <v>3652</v>
      </c>
      <c r="H315" s="150" t="s">
        <v>3208</v>
      </c>
      <c r="I315" s="151" t="s">
        <v>2812</v>
      </c>
      <c r="J315" s="152">
        <v>158</v>
      </c>
      <c r="K315" s="248" t="s">
        <v>2593</v>
      </c>
      <c r="L315" s="153"/>
      <c r="M315" s="248" t="str">
        <f t="shared" si="4"/>
        <v>제4편 소송의 종료-제09장 당사자 행위에 의한 종료-제01절 소의 취하와 재소금지-11</v>
      </c>
      <c r="N315" s="211"/>
      <c r="O315" s="263"/>
    </row>
    <row r="316" spans="2:15" ht="14.45" hidden="1" customHeight="1" x14ac:dyDescent="0.2">
      <c r="B316" s="80" t="s">
        <v>2541</v>
      </c>
      <c r="C316" s="85" t="s">
        <v>2545</v>
      </c>
      <c r="D316" s="90" t="s">
        <v>3438</v>
      </c>
      <c r="E316" s="148" t="s">
        <v>1553</v>
      </c>
      <c r="F316" s="149" t="s">
        <v>3908</v>
      </c>
      <c r="G316" s="291" t="s">
        <v>3653</v>
      </c>
      <c r="H316" s="150" t="s">
        <v>3209</v>
      </c>
      <c r="I316" s="151" t="s">
        <v>2813</v>
      </c>
      <c r="J316" s="152">
        <v>156</v>
      </c>
      <c r="K316" s="248" t="s">
        <v>2593</v>
      </c>
      <c r="L316" s="153"/>
      <c r="M316" s="248" t="str">
        <f t="shared" si="4"/>
        <v>제4편 소송의 종료-제09장 당사자 행위에 의한 종료-제01절 소의 취하와 재소금지-12</v>
      </c>
      <c r="N316" s="211"/>
      <c r="O316" s="263"/>
    </row>
    <row r="317" spans="2:15" ht="14.45" hidden="1" customHeight="1" x14ac:dyDescent="0.2">
      <c r="B317" s="80" t="s">
        <v>2541</v>
      </c>
      <c r="C317" s="85" t="s">
        <v>2545</v>
      </c>
      <c r="D317" s="90" t="s">
        <v>3438</v>
      </c>
      <c r="E317" s="148" t="s">
        <v>1553</v>
      </c>
      <c r="F317" s="149" t="s">
        <v>3909</v>
      </c>
      <c r="G317" s="291" t="s">
        <v>3654</v>
      </c>
      <c r="H317" s="150" t="s">
        <v>3210</v>
      </c>
      <c r="I317" s="151" t="s">
        <v>2814</v>
      </c>
      <c r="J317" s="152">
        <v>251</v>
      </c>
      <c r="K317" s="248"/>
      <c r="L317" s="153"/>
      <c r="M317" s="248" t="str">
        <f t="shared" si="4"/>
        <v>제4편 소송의 종료-제09장 당사자 행위에 의한 종료-제01절 소의 취하와 재소금지-13</v>
      </c>
      <c r="N317" s="211"/>
      <c r="O317" s="263"/>
    </row>
    <row r="318" spans="2:15" ht="14.45" hidden="1" customHeight="1" x14ac:dyDescent="0.2">
      <c r="B318" s="80" t="s">
        <v>2541</v>
      </c>
      <c r="C318" s="85" t="s">
        <v>2545</v>
      </c>
      <c r="D318" s="90" t="s">
        <v>3438</v>
      </c>
      <c r="E318" s="148" t="s">
        <v>1553</v>
      </c>
      <c r="F318" s="149" t="s">
        <v>3910</v>
      </c>
      <c r="G318" s="291" t="s">
        <v>3655</v>
      </c>
      <c r="H318" s="150" t="s">
        <v>3211</v>
      </c>
      <c r="I318" s="151" t="s">
        <v>2815</v>
      </c>
      <c r="J318" s="152">
        <v>178</v>
      </c>
      <c r="K318" s="248"/>
      <c r="L318" s="153"/>
      <c r="M318" s="248" t="str">
        <f t="shared" si="4"/>
        <v>제4편 소송의 종료-제09장 당사자 행위에 의한 종료-제01절 소의 취하와 재소금지-14</v>
      </c>
      <c r="N318" s="211"/>
      <c r="O318" s="263"/>
    </row>
    <row r="319" spans="2:15" ht="14.45" hidden="1" customHeight="1" x14ac:dyDescent="0.2">
      <c r="B319" s="80" t="s">
        <v>2541</v>
      </c>
      <c r="C319" s="85" t="s">
        <v>2545</v>
      </c>
      <c r="D319" s="90" t="s">
        <v>3438</v>
      </c>
      <c r="E319" s="148" t="s">
        <v>1553</v>
      </c>
      <c r="F319" s="149" t="s">
        <v>3911</v>
      </c>
      <c r="G319" s="291" t="s">
        <v>3656</v>
      </c>
      <c r="H319" s="150" t="s">
        <v>3212</v>
      </c>
      <c r="I319" s="151" t="s">
        <v>2816</v>
      </c>
      <c r="J319" s="152">
        <v>192</v>
      </c>
      <c r="K319" s="248"/>
      <c r="L319" s="153"/>
      <c r="M319" s="248" t="str">
        <f t="shared" si="4"/>
        <v>제4편 소송의 종료-제09장 당사자 행위에 의한 종료-제01절 소의 취하와 재소금지-15</v>
      </c>
      <c r="N319" s="211"/>
      <c r="O319" s="263"/>
    </row>
    <row r="320" spans="2:15" ht="14.45" hidden="1" customHeight="1" x14ac:dyDescent="0.2">
      <c r="B320" s="80" t="s">
        <v>2541</v>
      </c>
      <c r="C320" s="85" t="s">
        <v>2545</v>
      </c>
      <c r="D320" s="90" t="s">
        <v>3438</v>
      </c>
      <c r="E320" s="148" t="s">
        <v>1553</v>
      </c>
      <c r="F320" s="149" t="s">
        <v>3912</v>
      </c>
      <c r="G320" s="291" t="s">
        <v>3657</v>
      </c>
      <c r="H320" s="150" t="s">
        <v>3213</v>
      </c>
      <c r="I320" s="151" t="s">
        <v>2817</v>
      </c>
      <c r="J320" s="152">
        <v>321</v>
      </c>
      <c r="K320" s="248"/>
      <c r="L320" s="153"/>
      <c r="M320" s="248" t="str">
        <f t="shared" si="4"/>
        <v>제4편 소송의 종료-제09장 당사자 행위에 의한 종료-제01절 소의 취하와 재소금지-16</v>
      </c>
      <c r="N320" s="211"/>
      <c r="O320" s="263"/>
    </row>
    <row r="321" spans="2:15" ht="14.45" hidden="1" customHeight="1" x14ac:dyDescent="0.2">
      <c r="B321" s="80" t="s">
        <v>2541</v>
      </c>
      <c r="C321" s="85" t="s">
        <v>2545</v>
      </c>
      <c r="D321" s="90" t="s">
        <v>3438</v>
      </c>
      <c r="E321" s="148" t="s">
        <v>1553</v>
      </c>
      <c r="F321" s="149" t="s">
        <v>3913</v>
      </c>
      <c r="G321" s="291" t="s">
        <v>3658</v>
      </c>
      <c r="H321" s="150" t="s">
        <v>3214</v>
      </c>
      <c r="I321" s="151" t="s">
        <v>2818</v>
      </c>
      <c r="J321" s="152">
        <v>270</v>
      </c>
      <c r="K321" s="248"/>
      <c r="L321" s="153"/>
      <c r="M321" s="248" t="str">
        <f t="shared" si="4"/>
        <v>제4편 소송의 종료-제09장 당사자 행위에 의한 종료-제01절 소의 취하와 재소금지-17</v>
      </c>
      <c r="N321" s="211"/>
      <c r="O321" s="263"/>
    </row>
    <row r="322" spans="2:15" ht="14.45" hidden="1" customHeight="1" x14ac:dyDescent="0.2">
      <c r="B322" s="80" t="s">
        <v>2541</v>
      </c>
      <c r="C322" s="85" t="s">
        <v>2545</v>
      </c>
      <c r="D322" s="90" t="s">
        <v>3438</v>
      </c>
      <c r="E322" s="148" t="s">
        <v>1553</v>
      </c>
      <c r="F322" s="149" t="s">
        <v>3914</v>
      </c>
      <c r="G322" s="291" t="s">
        <v>3659</v>
      </c>
      <c r="H322" s="150" t="s">
        <v>3215</v>
      </c>
      <c r="I322" s="151" t="s">
        <v>2819</v>
      </c>
      <c r="J322" s="152">
        <v>496</v>
      </c>
      <c r="K322" s="248"/>
      <c r="L322" s="153"/>
      <c r="M322" s="248" t="str">
        <f t="shared" si="4"/>
        <v>제4편 소송의 종료-제09장 당사자 행위에 의한 종료-제01절 소의 취하와 재소금지-18</v>
      </c>
      <c r="N322" s="211"/>
      <c r="O322" s="263"/>
    </row>
    <row r="323" spans="2:15" ht="14.45" hidden="1" customHeight="1" x14ac:dyDescent="0.2">
      <c r="B323" s="80" t="s">
        <v>2541</v>
      </c>
      <c r="C323" s="85" t="s">
        <v>2545</v>
      </c>
      <c r="D323" s="90" t="s">
        <v>3438</v>
      </c>
      <c r="E323" s="148" t="s">
        <v>1553</v>
      </c>
      <c r="F323" s="149" t="s">
        <v>3915</v>
      </c>
      <c r="G323" s="291" t="s">
        <v>3660</v>
      </c>
      <c r="H323" s="150" t="s">
        <v>3216</v>
      </c>
      <c r="I323" s="151" t="s">
        <v>2820</v>
      </c>
      <c r="J323" s="152">
        <v>160</v>
      </c>
      <c r="K323" s="248"/>
      <c r="L323" s="153"/>
      <c r="M323" s="248" t="str">
        <f t="shared" si="4"/>
        <v>제4편 소송의 종료-제09장 당사자 행위에 의한 종료-제01절 소의 취하와 재소금지-19</v>
      </c>
      <c r="N323" s="211"/>
      <c r="O323" s="263"/>
    </row>
    <row r="324" spans="2:15" ht="14.45" hidden="1" customHeight="1" x14ac:dyDescent="0.2">
      <c r="B324" s="80" t="s">
        <v>2541</v>
      </c>
      <c r="C324" s="85" t="s">
        <v>2545</v>
      </c>
      <c r="D324" s="90" t="s">
        <v>3438</v>
      </c>
      <c r="E324" s="148" t="s">
        <v>1553</v>
      </c>
      <c r="F324" s="149" t="s">
        <v>3916</v>
      </c>
      <c r="G324" s="291" t="s">
        <v>3661</v>
      </c>
      <c r="H324" s="150" t="s">
        <v>3217</v>
      </c>
      <c r="I324" s="151" t="s">
        <v>2821</v>
      </c>
      <c r="J324" s="152">
        <v>229</v>
      </c>
      <c r="K324" s="248"/>
      <c r="L324" s="153"/>
      <c r="M324" s="248" t="str">
        <f t="shared" si="4"/>
        <v>제4편 소송의 종료-제09장 당사자 행위에 의한 종료-제01절 소의 취하와 재소금지-20</v>
      </c>
      <c r="N324" s="211"/>
      <c r="O324" s="263"/>
    </row>
    <row r="325" spans="2:15" ht="14.45" hidden="1" customHeight="1" x14ac:dyDescent="0.2">
      <c r="B325" s="80" t="s">
        <v>2541</v>
      </c>
      <c r="C325" s="85" t="s">
        <v>2545</v>
      </c>
      <c r="D325" s="89" t="s">
        <v>3438</v>
      </c>
      <c r="E325" s="213" t="s">
        <v>1553</v>
      </c>
      <c r="F325" s="214" t="s">
        <v>3917</v>
      </c>
      <c r="G325" s="290" t="s">
        <v>3662</v>
      </c>
      <c r="H325" s="215" t="s">
        <v>3218</v>
      </c>
      <c r="I325" s="216" t="s">
        <v>2822</v>
      </c>
      <c r="J325" s="217">
        <v>188</v>
      </c>
      <c r="K325" s="245"/>
      <c r="L325" s="219"/>
      <c r="M325" s="245" t="str">
        <f t="shared" ref="M325:M388" si="5">B325&amp;"-"&amp;C325&amp;"-"&amp;D325&amp;"-"&amp;G325</f>
        <v>제4편 소송의 종료-제09장 당사자 행위에 의한 종료-제01절 소의 취하와 재소금지-21</v>
      </c>
      <c r="N325" s="218"/>
      <c r="O325" s="260"/>
    </row>
    <row r="326" spans="2:15" ht="14.45" customHeight="1" x14ac:dyDescent="0.2">
      <c r="B326" s="80" t="s">
        <v>2541</v>
      </c>
      <c r="C326" s="85" t="s">
        <v>2545</v>
      </c>
      <c r="D326" s="83" t="s">
        <v>3441</v>
      </c>
      <c r="E326" s="143" t="s">
        <v>7</v>
      </c>
      <c r="F326" s="144" t="s">
        <v>144</v>
      </c>
      <c r="G326" s="295" t="s">
        <v>2566</v>
      </c>
      <c r="H326" s="145" t="s">
        <v>217</v>
      </c>
      <c r="I326" s="146" t="s">
        <v>2238</v>
      </c>
      <c r="J326" s="147">
        <v>2040</v>
      </c>
      <c r="K326" s="247" t="s">
        <v>2594</v>
      </c>
      <c r="L326" s="168"/>
      <c r="M326" s="247" t="str">
        <f t="shared" si="5"/>
        <v>제4편 소송의 종료-제09장 당사자 행위에 의한 종료-제02절 청구의 포기・인낙-01</v>
      </c>
      <c r="N326" s="210"/>
      <c r="O326" s="262"/>
    </row>
    <row r="327" spans="2:15" ht="14.45" customHeight="1" x14ac:dyDescent="0.2">
      <c r="B327" s="80" t="s">
        <v>2541</v>
      </c>
      <c r="C327" s="85" t="s">
        <v>2545</v>
      </c>
      <c r="D327" s="90" t="s">
        <v>3441</v>
      </c>
      <c r="E327" s="148" t="s">
        <v>2426</v>
      </c>
      <c r="F327" s="149" t="s">
        <v>3563</v>
      </c>
      <c r="G327" s="291" t="s">
        <v>2567</v>
      </c>
      <c r="H327" s="150" t="s">
        <v>218</v>
      </c>
      <c r="I327" s="151" t="s">
        <v>2188</v>
      </c>
      <c r="J327" s="152">
        <v>1890</v>
      </c>
      <c r="K327" s="248" t="s">
        <v>2594</v>
      </c>
      <c r="L327" s="153"/>
      <c r="M327" s="248" t="str">
        <f t="shared" si="5"/>
        <v>제4편 소송의 종료-제09장 당사자 행위에 의한 종료-제02절 청구의 포기・인낙-02</v>
      </c>
      <c r="N327" s="211"/>
      <c r="O327" s="263"/>
    </row>
    <row r="328" spans="2:15" ht="14.45" customHeight="1" x14ac:dyDescent="0.2">
      <c r="B328" s="80" t="s">
        <v>2541</v>
      </c>
      <c r="C328" s="85" t="s">
        <v>2545</v>
      </c>
      <c r="D328" s="90" t="s">
        <v>3441</v>
      </c>
      <c r="E328" s="148" t="s">
        <v>2426</v>
      </c>
      <c r="F328" s="149" t="s">
        <v>3564</v>
      </c>
      <c r="G328" s="291" t="s">
        <v>2568</v>
      </c>
      <c r="H328" s="150" t="s">
        <v>219</v>
      </c>
      <c r="I328" s="151" t="s">
        <v>2189</v>
      </c>
      <c r="J328" s="152">
        <v>2048</v>
      </c>
      <c r="K328" s="248" t="s">
        <v>2594</v>
      </c>
      <c r="L328" s="153"/>
      <c r="M328" s="248" t="str">
        <f t="shared" si="5"/>
        <v>제4편 소송의 종료-제09장 당사자 행위에 의한 종료-제02절 청구의 포기・인낙-03</v>
      </c>
      <c r="N328" s="211"/>
      <c r="O328" s="263"/>
    </row>
    <row r="329" spans="2:15" ht="14.45" hidden="1" customHeight="1" x14ac:dyDescent="0.2">
      <c r="B329" s="80" t="s">
        <v>2541</v>
      </c>
      <c r="C329" s="85" t="s">
        <v>2545</v>
      </c>
      <c r="D329" s="90" t="s">
        <v>3441</v>
      </c>
      <c r="E329" s="148" t="s">
        <v>1553</v>
      </c>
      <c r="F329" s="149" t="s">
        <v>3918</v>
      </c>
      <c r="G329" s="291" t="s">
        <v>2569</v>
      </c>
      <c r="H329" s="150" t="s">
        <v>3219</v>
      </c>
      <c r="I329" s="151" t="s">
        <v>2823</v>
      </c>
      <c r="J329" s="152">
        <v>194</v>
      </c>
      <c r="K329" s="248"/>
      <c r="L329" s="153"/>
      <c r="M329" s="248" t="str">
        <f t="shared" si="5"/>
        <v>제4편 소송의 종료-제09장 당사자 행위에 의한 종료-제02절 청구의 포기・인낙-04</v>
      </c>
      <c r="N329" s="211"/>
      <c r="O329" s="263"/>
    </row>
    <row r="330" spans="2:15" ht="14.45" hidden="1" customHeight="1" x14ac:dyDescent="0.2">
      <c r="B330" s="80" t="s">
        <v>2541</v>
      </c>
      <c r="C330" s="85" t="s">
        <v>2545</v>
      </c>
      <c r="D330" s="89" t="s">
        <v>3441</v>
      </c>
      <c r="E330" s="213" t="s">
        <v>1553</v>
      </c>
      <c r="F330" s="214" t="s">
        <v>3919</v>
      </c>
      <c r="G330" s="290" t="s">
        <v>3646</v>
      </c>
      <c r="H330" s="215" t="s">
        <v>3220</v>
      </c>
      <c r="I330" s="216" t="s">
        <v>2824</v>
      </c>
      <c r="J330" s="217">
        <v>265</v>
      </c>
      <c r="K330" s="245"/>
      <c r="L330" s="219"/>
      <c r="M330" s="245" t="str">
        <f t="shared" si="5"/>
        <v>제4편 소송의 종료-제09장 당사자 행위에 의한 종료-제02절 청구의 포기・인낙-05</v>
      </c>
      <c r="N330" s="218"/>
      <c r="O330" s="260"/>
    </row>
    <row r="331" spans="2:15" ht="14.45" customHeight="1" x14ac:dyDescent="0.2">
      <c r="B331" s="80" t="s">
        <v>2541</v>
      </c>
      <c r="C331" s="85" t="s">
        <v>2545</v>
      </c>
      <c r="D331" s="83" t="s">
        <v>3440</v>
      </c>
      <c r="E331" s="143" t="s">
        <v>7</v>
      </c>
      <c r="F331" s="144" t="s">
        <v>144</v>
      </c>
      <c r="G331" s="295" t="s">
        <v>2566</v>
      </c>
      <c r="H331" s="145" t="s">
        <v>119</v>
      </c>
      <c r="I331" s="146" t="s">
        <v>2239</v>
      </c>
      <c r="J331" s="147">
        <v>2973</v>
      </c>
      <c r="K331" s="247" t="s">
        <v>2593</v>
      </c>
      <c r="L331" s="168"/>
      <c r="M331" s="247" t="str">
        <f t="shared" si="5"/>
        <v>제4편 소송의 종료-제09장 당사자 행위에 의한 종료-제03절 재판상 화해-01</v>
      </c>
      <c r="N331" s="210"/>
      <c r="O331" s="262"/>
    </row>
    <row r="332" spans="2:15" ht="14.45" customHeight="1" thickBot="1" x14ac:dyDescent="0.25">
      <c r="B332" s="80" t="s">
        <v>2541</v>
      </c>
      <c r="C332" s="85" t="s">
        <v>2545</v>
      </c>
      <c r="D332" s="90" t="s">
        <v>3440</v>
      </c>
      <c r="E332" s="148" t="s">
        <v>2425</v>
      </c>
      <c r="F332" s="149" t="s">
        <v>2323</v>
      </c>
      <c r="G332" s="291" t="s">
        <v>2567</v>
      </c>
      <c r="H332" s="150" t="s">
        <v>2465</v>
      </c>
      <c r="I332" s="151" t="s">
        <v>2466</v>
      </c>
      <c r="J332" s="152">
        <v>1494</v>
      </c>
      <c r="K332" s="248" t="s">
        <v>2593</v>
      </c>
      <c r="L332" s="153" t="s">
        <v>3645</v>
      </c>
      <c r="M332" s="248" t="str">
        <f t="shared" si="5"/>
        <v>제4편 소송의 종료-제09장 당사자 행위에 의한 종료-제03절 재판상 화해-02</v>
      </c>
      <c r="N332" s="211"/>
      <c r="O332" s="263"/>
    </row>
    <row r="333" spans="2:15" ht="14.45" hidden="1" customHeight="1" x14ac:dyDescent="0.25">
      <c r="B333" s="80" t="s">
        <v>2541</v>
      </c>
      <c r="C333" s="85" t="s">
        <v>2545</v>
      </c>
      <c r="D333" s="90" t="s">
        <v>3440</v>
      </c>
      <c r="E333" s="148" t="s">
        <v>1553</v>
      </c>
      <c r="F333" s="149" t="s">
        <v>3920</v>
      </c>
      <c r="G333" s="291" t="s">
        <v>2568</v>
      </c>
      <c r="H333" s="150" t="s">
        <v>3221</v>
      </c>
      <c r="I333" s="151" t="s">
        <v>2825</v>
      </c>
      <c r="J333" s="152">
        <v>150</v>
      </c>
      <c r="K333" s="248"/>
      <c r="L333" s="153"/>
      <c r="M333" s="248" t="str">
        <f t="shared" si="5"/>
        <v>제4편 소송의 종료-제09장 당사자 행위에 의한 종료-제03절 재판상 화해-03</v>
      </c>
      <c r="N333" s="211"/>
      <c r="O333" s="263"/>
    </row>
    <row r="334" spans="2:15" ht="14.45" hidden="1" customHeight="1" x14ac:dyDescent="0.25">
      <c r="B334" s="80" t="s">
        <v>2541</v>
      </c>
      <c r="C334" s="85" t="s">
        <v>2545</v>
      </c>
      <c r="D334" s="90" t="s">
        <v>3440</v>
      </c>
      <c r="E334" s="148" t="s">
        <v>1553</v>
      </c>
      <c r="F334" s="149" t="s">
        <v>3921</v>
      </c>
      <c r="G334" s="291" t="s">
        <v>2569</v>
      </c>
      <c r="H334" s="150" t="s">
        <v>3222</v>
      </c>
      <c r="I334" s="151" t="s">
        <v>2826</v>
      </c>
      <c r="J334" s="152">
        <v>256</v>
      </c>
      <c r="K334" s="248"/>
      <c r="L334" s="153"/>
      <c r="M334" s="248" t="str">
        <f t="shared" si="5"/>
        <v>제4편 소송의 종료-제09장 당사자 행위에 의한 종료-제03절 재판상 화해-04</v>
      </c>
      <c r="N334" s="211"/>
      <c r="O334" s="263"/>
    </row>
    <row r="335" spans="2:15" ht="14.45" hidden="1" customHeight="1" x14ac:dyDescent="0.25">
      <c r="B335" s="80" t="s">
        <v>2541</v>
      </c>
      <c r="C335" s="85" t="s">
        <v>2545</v>
      </c>
      <c r="D335" s="90" t="s">
        <v>3440</v>
      </c>
      <c r="E335" s="148" t="s">
        <v>1553</v>
      </c>
      <c r="F335" s="149" t="s">
        <v>3922</v>
      </c>
      <c r="G335" s="291" t="s">
        <v>3646</v>
      </c>
      <c r="H335" s="150" t="s">
        <v>3223</v>
      </c>
      <c r="I335" s="151" t="s">
        <v>2827</v>
      </c>
      <c r="J335" s="152">
        <v>203</v>
      </c>
      <c r="K335" s="248"/>
      <c r="L335" s="153"/>
      <c r="M335" s="248" t="str">
        <f t="shared" si="5"/>
        <v>제4편 소송의 종료-제09장 당사자 행위에 의한 종료-제03절 재판상 화해-05</v>
      </c>
      <c r="N335" s="211"/>
      <c r="O335" s="263"/>
    </row>
    <row r="336" spans="2:15" ht="14.45" hidden="1" customHeight="1" x14ac:dyDescent="0.25">
      <c r="B336" s="80" t="s">
        <v>2541</v>
      </c>
      <c r="C336" s="85" t="s">
        <v>2545</v>
      </c>
      <c r="D336" s="90" t="s">
        <v>3440</v>
      </c>
      <c r="E336" s="148" t="s">
        <v>1553</v>
      </c>
      <c r="F336" s="149" t="s">
        <v>3923</v>
      </c>
      <c r="G336" s="291" t="s">
        <v>3647</v>
      </c>
      <c r="H336" s="150" t="s">
        <v>3224</v>
      </c>
      <c r="I336" s="151" t="s">
        <v>2828</v>
      </c>
      <c r="J336" s="152">
        <v>147</v>
      </c>
      <c r="K336" s="248"/>
      <c r="L336" s="153"/>
      <c r="M336" s="248" t="str">
        <f t="shared" si="5"/>
        <v>제4편 소송의 종료-제09장 당사자 행위에 의한 종료-제03절 재판상 화해-06</v>
      </c>
      <c r="N336" s="211"/>
      <c r="O336" s="263"/>
    </row>
    <row r="337" spans="2:15" ht="14.45" hidden="1" customHeight="1" x14ac:dyDescent="0.25">
      <c r="B337" s="80" t="s">
        <v>2541</v>
      </c>
      <c r="C337" s="85" t="s">
        <v>2545</v>
      </c>
      <c r="D337" s="90" t="s">
        <v>3440</v>
      </c>
      <c r="E337" s="148" t="s">
        <v>1553</v>
      </c>
      <c r="F337" s="149" t="s">
        <v>3924</v>
      </c>
      <c r="G337" s="291" t="s">
        <v>3648</v>
      </c>
      <c r="H337" s="150" t="s">
        <v>3225</v>
      </c>
      <c r="I337" s="151" t="s">
        <v>2829</v>
      </c>
      <c r="J337" s="152">
        <v>168</v>
      </c>
      <c r="K337" s="248"/>
      <c r="L337" s="153"/>
      <c r="M337" s="248" t="str">
        <f t="shared" si="5"/>
        <v>제4편 소송의 종료-제09장 당사자 행위에 의한 종료-제03절 재판상 화해-07</v>
      </c>
      <c r="N337" s="211"/>
      <c r="O337" s="263"/>
    </row>
    <row r="338" spans="2:15" ht="14.45" hidden="1" customHeight="1" x14ac:dyDescent="0.25">
      <c r="B338" s="80" t="s">
        <v>2541</v>
      </c>
      <c r="C338" s="85" t="s">
        <v>2545</v>
      </c>
      <c r="D338" s="90" t="s">
        <v>3440</v>
      </c>
      <c r="E338" s="148" t="s">
        <v>1553</v>
      </c>
      <c r="F338" s="149" t="s">
        <v>3925</v>
      </c>
      <c r="G338" s="291" t="s">
        <v>3649</v>
      </c>
      <c r="H338" s="150" t="s">
        <v>3226</v>
      </c>
      <c r="I338" s="151" t="s">
        <v>2830</v>
      </c>
      <c r="J338" s="152">
        <v>942</v>
      </c>
      <c r="K338" s="248"/>
      <c r="L338" s="153"/>
      <c r="M338" s="248" t="str">
        <f t="shared" si="5"/>
        <v>제4편 소송의 종료-제09장 당사자 행위에 의한 종료-제03절 재판상 화해-08</v>
      </c>
      <c r="N338" s="211"/>
      <c r="O338" s="263"/>
    </row>
    <row r="339" spans="2:15" ht="14.45" hidden="1" customHeight="1" x14ac:dyDescent="0.25">
      <c r="B339" s="80" t="s">
        <v>2541</v>
      </c>
      <c r="C339" s="85" t="s">
        <v>2545</v>
      </c>
      <c r="D339" s="90" t="s">
        <v>3440</v>
      </c>
      <c r="E339" s="148" t="s">
        <v>1553</v>
      </c>
      <c r="F339" s="149" t="s">
        <v>3926</v>
      </c>
      <c r="G339" s="291" t="s">
        <v>3650</v>
      </c>
      <c r="H339" s="150" t="s">
        <v>3227</v>
      </c>
      <c r="I339" s="151" t="s">
        <v>2831</v>
      </c>
      <c r="J339" s="152">
        <v>398</v>
      </c>
      <c r="K339" s="248"/>
      <c r="L339" s="153"/>
      <c r="M339" s="248" t="str">
        <f t="shared" si="5"/>
        <v>제4편 소송의 종료-제09장 당사자 행위에 의한 종료-제03절 재판상 화해-09</v>
      </c>
      <c r="N339" s="211"/>
      <c r="O339" s="263"/>
    </row>
    <row r="340" spans="2:15" ht="14.45" hidden="1" customHeight="1" x14ac:dyDescent="0.25">
      <c r="B340" s="80" t="s">
        <v>2541</v>
      </c>
      <c r="C340" s="85" t="s">
        <v>2545</v>
      </c>
      <c r="D340" s="90" t="s">
        <v>3440</v>
      </c>
      <c r="E340" s="148" t="s">
        <v>1553</v>
      </c>
      <c r="F340" s="149" t="s">
        <v>3927</v>
      </c>
      <c r="G340" s="291" t="s">
        <v>3651</v>
      </c>
      <c r="H340" s="150" t="s">
        <v>3228</v>
      </c>
      <c r="I340" s="151" t="s">
        <v>2832</v>
      </c>
      <c r="J340" s="152">
        <v>240</v>
      </c>
      <c r="K340" s="248"/>
      <c r="L340" s="153"/>
      <c r="M340" s="248" t="str">
        <f t="shared" si="5"/>
        <v>제4편 소송의 종료-제09장 당사자 행위에 의한 종료-제03절 재판상 화해-10</v>
      </c>
      <c r="N340" s="211"/>
      <c r="O340" s="263"/>
    </row>
    <row r="341" spans="2:15" ht="14.45" hidden="1" customHeight="1" x14ac:dyDescent="0.25">
      <c r="B341" s="80" t="s">
        <v>2541</v>
      </c>
      <c r="C341" s="85" t="s">
        <v>2545</v>
      </c>
      <c r="D341" s="90" t="s">
        <v>3440</v>
      </c>
      <c r="E341" s="148" t="s">
        <v>1553</v>
      </c>
      <c r="F341" s="149" t="s">
        <v>3928</v>
      </c>
      <c r="G341" s="291" t="s">
        <v>3652</v>
      </c>
      <c r="H341" s="150" t="s">
        <v>3229</v>
      </c>
      <c r="I341" s="151" t="s">
        <v>2833</v>
      </c>
      <c r="J341" s="152">
        <v>232</v>
      </c>
      <c r="K341" s="248"/>
      <c r="L341" s="153"/>
      <c r="M341" s="248" t="str">
        <f t="shared" si="5"/>
        <v>제4편 소송의 종료-제09장 당사자 행위에 의한 종료-제03절 재판상 화해-11</v>
      </c>
      <c r="N341" s="211"/>
      <c r="O341" s="263"/>
    </row>
    <row r="342" spans="2:15" ht="14.45" hidden="1" customHeight="1" x14ac:dyDescent="0.25">
      <c r="B342" s="80" t="s">
        <v>2541</v>
      </c>
      <c r="C342" s="85" t="s">
        <v>2545</v>
      </c>
      <c r="D342" s="90" t="s">
        <v>3440</v>
      </c>
      <c r="E342" s="148" t="s">
        <v>1553</v>
      </c>
      <c r="F342" s="149" t="s">
        <v>3929</v>
      </c>
      <c r="G342" s="291" t="s">
        <v>3653</v>
      </c>
      <c r="H342" s="150" t="s">
        <v>3230</v>
      </c>
      <c r="I342" s="151" t="s">
        <v>2834</v>
      </c>
      <c r="J342" s="152">
        <v>169</v>
      </c>
      <c r="K342" s="248"/>
      <c r="L342" s="153"/>
      <c r="M342" s="248" t="str">
        <f t="shared" si="5"/>
        <v>제4편 소송의 종료-제09장 당사자 행위에 의한 종료-제03절 재판상 화해-12</v>
      </c>
      <c r="N342" s="211"/>
      <c r="O342" s="263"/>
    </row>
    <row r="343" spans="2:15" ht="14.45" hidden="1" customHeight="1" x14ac:dyDescent="0.25">
      <c r="B343" s="80" t="s">
        <v>2541</v>
      </c>
      <c r="C343" s="85" t="s">
        <v>2545</v>
      </c>
      <c r="D343" s="90" t="s">
        <v>3440</v>
      </c>
      <c r="E343" s="148" t="s">
        <v>1553</v>
      </c>
      <c r="F343" s="149" t="s">
        <v>3930</v>
      </c>
      <c r="G343" s="291" t="s">
        <v>3654</v>
      </c>
      <c r="H343" s="150" t="s">
        <v>3231</v>
      </c>
      <c r="I343" s="151" t="s">
        <v>2835</v>
      </c>
      <c r="J343" s="152">
        <v>326</v>
      </c>
      <c r="K343" s="248"/>
      <c r="L343" s="153"/>
      <c r="M343" s="248" t="str">
        <f t="shared" si="5"/>
        <v>제4편 소송의 종료-제09장 당사자 행위에 의한 종료-제03절 재판상 화해-13</v>
      </c>
      <c r="N343" s="211"/>
      <c r="O343" s="263"/>
    </row>
    <row r="344" spans="2:15" ht="14.45" hidden="1" customHeight="1" thickBot="1" x14ac:dyDescent="0.25">
      <c r="B344" s="80" t="s">
        <v>2541</v>
      </c>
      <c r="C344" s="86" t="s">
        <v>2545</v>
      </c>
      <c r="D344" s="91" t="s">
        <v>3440</v>
      </c>
      <c r="E344" s="154" t="s">
        <v>1553</v>
      </c>
      <c r="F344" s="155" t="s">
        <v>3931</v>
      </c>
      <c r="G344" s="292" t="s">
        <v>3655</v>
      </c>
      <c r="H344" s="156" t="s">
        <v>3232</v>
      </c>
      <c r="I344" s="157" t="s">
        <v>2836</v>
      </c>
      <c r="J344" s="158">
        <v>199</v>
      </c>
      <c r="K344" s="249"/>
      <c r="L344" s="170"/>
      <c r="M344" s="249" t="str">
        <f t="shared" si="5"/>
        <v>제4편 소송의 종료-제09장 당사자 행위에 의한 종료-제03절 재판상 화해-14</v>
      </c>
      <c r="N344" s="212"/>
      <c r="O344" s="264"/>
    </row>
    <row r="345" spans="2:15" ht="14.45" customHeight="1" x14ac:dyDescent="0.2">
      <c r="B345" s="80" t="s">
        <v>2541</v>
      </c>
      <c r="C345" s="64" t="s">
        <v>2548</v>
      </c>
      <c r="D345" s="227" t="s">
        <v>3485</v>
      </c>
      <c r="E345" s="228" t="s">
        <v>7</v>
      </c>
      <c r="F345" s="229" t="s">
        <v>75</v>
      </c>
      <c r="G345" s="296" t="s">
        <v>2566</v>
      </c>
      <c r="H345" s="230" t="s">
        <v>239</v>
      </c>
      <c r="I345" s="231" t="s">
        <v>2240</v>
      </c>
      <c r="J345" s="232">
        <v>2034</v>
      </c>
      <c r="K345" s="250" t="s">
        <v>2595</v>
      </c>
      <c r="L345" s="234"/>
      <c r="M345" s="250" t="str">
        <f t="shared" si="5"/>
        <v>제4편 소송의 종료-제10장 종국판결에 의한 종료-제01절 재판-01</v>
      </c>
      <c r="N345" s="233"/>
      <c r="O345" s="265"/>
    </row>
    <row r="346" spans="2:15" ht="14.45" customHeight="1" x14ac:dyDescent="0.2">
      <c r="B346" s="80" t="s">
        <v>2541</v>
      </c>
      <c r="C346" s="85" t="s">
        <v>2547</v>
      </c>
      <c r="D346" s="83" t="s">
        <v>3439</v>
      </c>
      <c r="E346" s="143" t="s">
        <v>173</v>
      </c>
      <c r="F346" s="144" t="s">
        <v>75</v>
      </c>
      <c r="G346" s="295" t="s">
        <v>2566</v>
      </c>
      <c r="H346" s="145" t="s">
        <v>120</v>
      </c>
      <c r="I346" s="146" t="s">
        <v>2241</v>
      </c>
      <c r="J346" s="147">
        <v>4152</v>
      </c>
      <c r="K346" s="247" t="s">
        <v>2595</v>
      </c>
      <c r="L346" s="168"/>
      <c r="M346" s="247" t="str">
        <f t="shared" si="5"/>
        <v>제4편 소송의 종료-제10장 종국판결에 의한 종료-제02절 판결-01</v>
      </c>
      <c r="N346" s="210"/>
      <c r="O346" s="262"/>
    </row>
    <row r="347" spans="2:15" ht="14.45" customHeight="1" x14ac:dyDescent="0.2">
      <c r="B347" s="80" t="s">
        <v>2541</v>
      </c>
      <c r="C347" s="85" t="s">
        <v>2547</v>
      </c>
      <c r="D347" s="90" t="s">
        <v>3439</v>
      </c>
      <c r="E347" s="148" t="s">
        <v>2425</v>
      </c>
      <c r="F347" s="149" t="s">
        <v>182</v>
      </c>
      <c r="G347" s="291" t="s">
        <v>2567</v>
      </c>
      <c r="H347" s="150" t="s">
        <v>2497</v>
      </c>
      <c r="I347" s="151" t="s">
        <v>2498</v>
      </c>
      <c r="J347" s="152">
        <v>1476</v>
      </c>
      <c r="K347" s="248" t="s">
        <v>2595</v>
      </c>
      <c r="L347" s="153" t="s">
        <v>3645</v>
      </c>
      <c r="M347" s="248" t="str">
        <f t="shared" si="5"/>
        <v>제4편 소송의 종료-제10장 종국판결에 의한 종료-제02절 판결-02</v>
      </c>
      <c r="N347" s="211"/>
      <c r="O347" s="263"/>
    </row>
    <row r="348" spans="2:15" ht="14.45" customHeight="1" x14ac:dyDescent="0.2">
      <c r="B348" s="80" t="s">
        <v>2541</v>
      </c>
      <c r="C348" s="85" t="s">
        <v>2547</v>
      </c>
      <c r="D348" s="90" t="s">
        <v>3439</v>
      </c>
      <c r="E348" s="148" t="s">
        <v>2425</v>
      </c>
      <c r="F348" s="149" t="s">
        <v>181</v>
      </c>
      <c r="G348" s="291" t="s">
        <v>2568</v>
      </c>
      <c r="H348" s="150" t="s">
        <v>179</v>
      </c>
      <c r="I348" s="151" t="s">
        <v>2190</v>
      </c>
      <c r="J348" s="152">
        <v>1603</v>
      </c>
      <c r="K348" s="248" t="s">
        <v>2595</v>
      </c>
      <c r="L348" s="153"/>
      <c r="M348" s="248" t="str">
        <f t="shared" si="5"/>
        <v>제4편 소송의 종료-제10장 종국판결에 의한 종료-제02절 판결-03</v>
      </c>
      <c r="N348" s="211"/>
      <c r="O348" s="263"/>
    </row>
    <row r="349" spans="2:15" ht="14.45" customHeight="1" x14ac:dyDescent="0.2">
      <c r="B349" s="80" t="s">
        <v>2541</v>
      </c>
      <c r="C349" s="85" t="s">
        <v>2547</v>
      </c>
      <c r="D349" s="90" t="s">
        <v>3439</v>
      </c>
      <c r="E349" s="148" t="s">
        <v>2425</v>
      </c>
      <c r="F349" s="149" t="s">
        <v>2324</v>
      </c>
      <c r="G349" s="291" t="s">
        <v>2569</v>
      </c>
      <c r="H349" s="150" t="s">
        <v>2494</v>
      </c>
      <c r="I349" s="151" t="s">
        <v>2495</v>
      </c>
      <c r="J349" s="152">
        <v>1418</v>
      </c>
      <c r="K349" s="248" t="s">
        <v>2595</v>
      </c>
      <c r="L349" s="153" t="s">
        <v>3645</v>
      </c>
      <c r="M349" s="248" t="str">
        <f t="shared" si="5"/>
        <v>제4편 소송의 종료-제10장 종국판결에 의한 종료-제02절 판결-04</v>
      </c>
      <c r="N349" s="211"/>
      <c r="O349" s="263"/>
    </row>
    <row r="350" spans="2:15" ht="14.45" customHeight="1" thickBot="1" x14ac:dyDescent="0.25">
      <c r="B350" s="80" t="s">
        <v>2541</v>
      </c>
      <c r="C350" s="85" t="s">
        <v>2547</v>
      </c>
      <c r="D350" s="90" t="s">
        <v>3439</v>
      </c>
      <c r="E350" s="148" t="s">
        <v>2425</v>
      </c>
      <c r="F350" s="149" t="s">
        <v>180</v>
      </c>
      <c r="G350" s="291" t="s">
        <v>3646</v>
      </c>
      <c r="H350" s="150" t="s">
        <v>2450</v>
      </c>
      <c r="I350" s="151" t="s">
        <v>2451</v>
      </c>
      <c r="J350" s="152">
        <v>1543</v>
      </c>
      <c r="K350" s="248" t="s">
        <v>2595</v>
      </c>
      <c r="L350" s="153"/>
      <c r="M350" s="248" t="str">
        <f t="shared" si="5"/>
        <v>제4편 소송의 종료-제10장 종국판결에 의한 종료-제02절 판결-05</v>
      </c>
      <c r="N350" s="211"/>
      <c r="O350" s="263"/>
    </row>
    <row r="351" spans="2:15" ht="14.45" hidden="1" customHeight="1" x14ac:dyDescent="0.25">
      <c r="B351" s="80" t="s">
        <v>2541</v>
      </c>
      <c r="C351" s="85" t="s">
        <v>2547</v>
      </c>
      <c r="D351" s="90" t="s">
        <v>3439</v>
      </c>
      <c r="E351" s="148" t="s">
        <v>1553</v>
      </c>
      <c r="F351" s="149" t="s">
        <v>3932</v>
      </c>
      <c r="G351" s="291" t="s">
        <v>3647</v>
      </c>
      <c r="H351" s="150" t="s">
        <v>3233</v>
      </c>
      <c r="I351" s="151" t="s">
        <v>2837</v>
      </c>
      <c r="J351" s="152">
        <v>942</v>
      </c>
      <c r="K351" s="248"/>
      <c r="L351" s="153"/>
      <c r="M351" s="248" t="str">
        <f t="shared" si="5"/>
        <v>제4편 소송의 종료-제10장 종국판결에 의한 종료-제02절 판결-06</v>
      </c>
      <c r="N351" s="211"/>
      <c r="O351" s="263"/>
    </row>
    <row r="352" spans="2:15" ht="14.45" hidden="1" customHeight="1" x14ac:dyDescent="0.25">
      <c r="B352" s="80" t="s">
        <v>2541</v>
      </c>
      <c r="C352" s="85" t="s">
        <v>2547</v>
      </c>
      <c r="D352" s="90" t="s">
        <v>3439</v>
      </c>
      <c r="E352" s="148" t="s">
        <v>1553</v>
      </c>
      <c r="F352" s="149" t="s">
        <v>3933</v>
      </c>
      <c r="G352" s="291" t="s">
        <v>3648</v>
      </c>
      <c r="H352" s="150" t="s">
        <v>3234</v>
      </c>
      <c r="I352" s="151" t="s">
        <v>2838</v>
      </c>
      <c r="J352" s="152">
        <v>148</v>
      </c>
      <c r="K352" s="248"/>
      <c r="L352" s="153"/>
      <c r="M352" s="248" t="str">
        <f t="shared" si="5"/>
        <v>제4편 소송의 종료-제10장 종국판결에 의한 종료-제02절 판결-07</v>
      </c>
      <c r="N352" s="211"/>
      <c r="O352" s="263"/>
    </row>
    <row r="353" spans="2:15" ht="14.45" hidden="1" customHeight="1" x14ac:dyDescent="0.25">
      <c r="B353" s="80" t="s">
        <v>2541</v>
      </c>
      <c r="C353" s="85" t="s">
        <v>2547</v>
      </c>
      <c r="D353" s="90" t="s">
        <v>3439</v>
      </c>
      <c r="E353" s="148" t="s">
        <v>1553</v>
      </c>
      <c r="F353" s="149" t="s">
        <v>3934</v>
      </c>
      <c r="G353" s="291" t="s">
        <v>3649</v>
      </c>
      <c r="H353" s="150" t="s">
        <v>3235</v>
      </c>
      <c r="I353" s="151" t="s">
        <v>2839</v>
      </c>
      <c r="J353" s="152">
        <v>217</v>
      </c>
      <c r="K353" s="248"/>
      <c r="L353" s="153"/>
      <c r="M353" s="248" t="str">
        <f t="shared" si="5"/>
        <v>제4편 소송의 종료-제10장 종국판결에 의한 종료-제02절 판결-08</v>
      </c>
      <c r="N353" s="211"/>
      <c r="O353" s="263"/>
    </row>
    <row r="354" spans="2:15" ht="14.45" hidden="1" customHeight="1" x14ac:dyDescent="0.25">
      <c r="B354" s="80" t="s">
        <v>2541</v>
      </c>
      <c r="C354" s="85" t="s">
        <v>2547</v>
      </c>
      <c r="D354" s="90" t="s">
        <v>3439</v>
      </c>
      <c r="E354" s="148" t="s">
        <v>1553</v>
      </c>
      <c r="F354" s="149" t="s">
        <v>3935</v>
      </c>
      <c r="G354" s="291" t="s">
        <v>3650</v>
      </c>
      <c r="H354" s="150" t="s">
        <v>3236</v>
      </c>
      <c r="I354" s="151" t="s">
        <v>2840</v>
      </c>
      <c r="J354" s="152">
        <v>252</v>
      </c>
      <c r="K354" s="248"/>
      <c r="L354" s="153"/>
      <c r="M354" s="248" t="str">
        <f t="shared" si="5"/>
        <v>제4편 소송의 종료-제10장 종국판결에 의한 종료-제02절 판결-09</v>
      </c>
      <c r="N354" s="211"/>
      <c r="O354" s="263"/>
    </row>
    <row r="355" spans="2:15" ht="14.45" hidden="1" customHeight="1" x14ac:dyDescent="0.25">
      <c r="B355" s="80" t="s">
        <v>2541</v>
      </c>
      <c r="C355" s="85" t="s">
        <v>2547</v>
      </c>
      <c r="D355" s="90" t="s">
        <v>3439</v>
      </c>
      <c r="E355" s="148" t="s">
        <v>1553</v>
      </c>
      <c r="F355" s="149" t="s">
        <v>3936</v>
      </c>
      <c r="G355" s="291" t="s">
        <v>3651</v>
      </c>
      <c r="H355" s="150" t="s">
        <v>3237</v>
      </c>
      <c r="I355" s="151" t="s">
        <v>2841</v>
      </c>
      <c r="J355" s="152">
        <v>166</v>
      </c>
      <c r="K355" s="248"/>
      <c r="L355" s="153"/>
      <c r="M355" s="248" t="str">
        <f t="shared" si="5"/>
        <v>제4편 소송의 종료-제10장 종국판결에 의한 종료-제02절 판결-10</v>
      </c>
      <c r="N355" s="211"/>
      <c r="O355" s="263"/>
    </row>
    <row r="356" spans="2:15" ht="14.45" hidden="1" customHeight="1" x14ac:dyDescent="0.25">
      <c r="B356" s="80" t="s">
        <v>2541</v>
      </c>
      <c r="C356" s="85" t="s">
        <v>2547</v>
      </c>
      <c r="D356" s="90" t="s">
        <v>3439</v>
      </c>
      <c r="E356" s="148" t="s">
        <v>1553</v>
      </c>
      <c r="F356" s="149" t="s">
        <v>3937</v>
      </c>
      <c r="G356" s="291" t="s">
        <v>3652</v>
      </c>
      <c r="H356" s="150" t="s">
        <v>3238</v>
      </c>
      <c r="I356" s="151" t="s">
        <v>2842</v>
      </c>
      <c r="J356" s="152">
        <v>489</v>
      </c>
      <c r="K356" s="248"/>
      <c r="L356" s="153"/>
      <c r="M356" s="248" t="str">
        <f t="shared" si="5"/>
        <v>제4편 소송의 종료-제10장 종국판결에 의한 종료-제02절 판결-11</v>
      </c>
      <c r="N356" s="211"/>
      <c r="O356" s="263"/>
    </row>
    <row r="357" spans="2:15" ht="14.45" hidden="1" customHeight="1" x14ac:dyDescent="0.25">
      <c r="B357" s="80" t="s">
        <v>2541</v>
      </c>
      <c r="C357" s="85" t="s">
        <v>2547</v>
      </c>
      <c r="D357" s="90" t="s">
        <v>3439</v>
      </c>
      <c r="E357" s="148" t="s">
        <v>1553</v>
      </c>
      <c r="F357" s="149" t="s">
        <v>3938</v>
      </c>
      <c r="G357" s="291" t="s">
        <v>3653</v>
      </c>
      <c r="H357" s="150" t="s">
        <v>3239</v>
      </c>
      <c r="I357" s="151" t="s">
        <v>2843</v>
      </c>
      <c r="J357" s="152">
        <v>237</v>
      </c>
      <c r="K357" s="248"/>
      <c r="L357" s="153"/>
      <c r="M357" s="248" t="str">
        <f t="shared" si="5"/>
        <v>제4편 소송의 종료-제10장 종국판결에 의한 종료-제02절 판결-12</v>
      </c>
      <c r="N357" s="211"/>
      <c r="O357" s="263"/>
    </row>
    <row r="358" spans="2:15" ht="14.45" hidden="1" customHeight="1" x14ac:dyDescent="0.25">
      <c r="B358" s="80" t="s">
        <v>2541</v>
      </c>
      <c r="C358" s="85" t="s">
        <v>2547</v>
      </c>
      <c r="D358" s="90" t="s">
        <v>3439</v>
      </c>
      <c r="E358" s="148" t="s">
        <v>1553</v>
      </c>
      <c r="F358" s="149" t="s">
        <v>3939</v>
      </c>
      <c r="G358" s="291" t="s">
        <v>3654</v>
      </c>
      <c r="H358" s="150" t="s">
        <v>3240</v>
      </c>
      <c r="I358" s="151" t="s">
        <v>2844</v>
      </c>
      <c r="J358" s="152">
        <v>304</v>
      </c>
      <c r="K358" s="248"/>
      <c r="L358" s="153"/>
      <c r="M358" s="248" t="str">
        <f t="shared" si="5"/>
        <v>제4편 소송의 종료-제10장 종국판결에 의한 종료-제02절 판결-13</v>
      </c>
      <c r="N358" s="211"/>
      <c r="O358" s="263"/>
    </row>
    <row r="359" spans="2:15" ht="14.45" hidden="1" customHeight="1" x14ac:dyDescent="0.25">
      <c r="B359" s="80" t="s">
        <v>2541</v>
      </c>
      <c r="C359" s="85" t="s">
        <v>2547</v>
      </c>
      <c r="D359" s="90" t="s">
        <v>3439</v>
      </c>
      <c r="E359" s="148" t="s">
        <v>1553</v>
      </c>
      <c r="F359" s="149" t="s">
        <v>3940</v>
      </c>
      <c r="G359" s="291" t="s">
        <v>3655</v>
      </c>
      <c r="H359" s="150" t="s">
        <v>3241</v>
      </c>
      <c r="I359" s="151" t="s">
        <v>2845</v>
      </c>
      <c r="J359" s="152">
        <v>197</v>
      </c>
      <c r="K359" s="248"/>
      <c r="L359" s="153"/>
      <c r="M359" s="248" t="str">
        <f t="shared" si="5"/>
        <v>제4편 소송의 종료-제10장 종국판결에 의한 종료-제02절 판결-14</v>
      </c>
      <c r="N359" s="211"/>
      <c r="O359" s="263"/>
    </row>
    <row r="360" spans="2:15" ht="14.45" hidden="1" customHeight="1" x14ac:dyDescent="0.25">
      <c r="B360" s="80" t="s">
        <v>2541</v>
      </c>
      <c r="C360" s="85" t="s">
        <v>2547</v>
      </c>
      <c r="D360" s="90" t="s">
        <v>3439</v>
      </c>
      <c r="E360" s="148" t="s">
        <v>1553</v>
      </c>
      <c r="F360" s="149" t="s">
        <v>3941</v>
      </c>
      <c r="G360" s="291" t="s">
        <v>3656</v>
      </c>
      <c r="H360" s="150" t="s">
        <v>3242</v>
      </c>
      <c r="I360" s="151" t="s">
        <v>2846</v>
      </c>
      <c r="J360" s="152">
        <v>316</v>
      </c>
      <c r="K360" s="248"/>
      <c r="L360" s="153"/>
      <c r="M360" s="248" t="str">
        <f t="shared" si="5"/>
        <v>제4편 소송의 종료-제10장 종국판결에 의한 종료-제02절 판결-15</v>
      </c>
      <c r="N360" s="211"/>
      <c r="O360" s="263"/>
    </row>
    <row r="361" spans="2:15" ht="14.45" hidden="1" customHeight="1" x14ac:dyDescent="0.25">
      <c r="B361" s="80" t="s">
        <v>2541</v>
      </c>
      <c r="C361" s="85" t="s">
        <v>2547</v>
      </c>
      <c r="D361" s="90" t="s">
        <v>3439</v>
      </c>
      <c r="E361" s="148" t="s">
        <v>1553</v>
      </c>
      <c r="F361" s="149" t="s">
        <v>3942</v>
      </c>
      <c r="G361" s="291" t="s">
        <v>3657</v>
      </c>
      <c r="H361" s="150" t="s">
        <v>3243</v>
      </c>
      <c r="I361" s="151" t="s">
        <v>2847</v>
      </c>
      <c r="J361" s="152">
        <v>280</v>
      </c>
      <c r="K361" s="248"/>
      <c r="L361" s="153"/>
      <c r="M361" s="248" t="str">
        <f t="shared" si="5"/>
        <v>제4편 소송의 종료-제10장 종국판결에 의한 종료-제02절 판결-16</v>
      </c>
      <c r="N361" s="211"/>
      <c r="O361" s="263"/>
    </row>
    <row r="362" spans="2:15" ht="14.45" hidden="1" customHeight="1" x14ac:dyDescent="0.25">
      <c r="B362" s="80" t="s">
        <v>2541</v>
      </c>
      <c r="C362" s="85" t="s">
        <v>2547</v>
      </c>
      <c r="D362" s="90" t="s">
        <v>3439</v>
      </c>
      <c r="E362" s="148" t="s">
        <v>1553</v>
      </c>
      <c r="F362" s="149" t="s">
        <v>3943</v>
      </c>
      <c r="G362" s="291" t="s">
        <v>3658</v>
      </c>
      <c r="H362" s="150" t="s">
        <v>3244</v>
      </c>
      <c r="I362" s="151" t="s">
        <v>2848</v>
      </c>
      <c r="J362" s="152">
        <v>381</v>
      </c>
      <c r="K362" s="248"/>
      <c r="L362" s="153"/>
      <c r="M362" s="248" t="str">
        <f t="shared" si="5"/>
        <v>제4편 소송의 종료-제10장 종국판결에 의한 종료-제02절 판결-17</v>
      </c>
      <c r="N362" s="211"/>
      <c r="O362" s="263"/>
    </row>
    <row r="363" spans="2:15" ht="14.45" hidden="1" customHeight="1" x14ac:dyDescent="0.25">
      <c r="B363" s="80" t="s">
        <v>2541</v>
      </c>
      <c r="C363" s="85" t="s">
        <v>2547</v>
      </c>
      <c r="D363" s="90" t="s">
        <v>3439</v>
      </c>
      <c r="E363" s="148" t="s">
        <v>1553</v>
      </c>
      <c r="F363" s="149" t="s">
        <v>3944</v>
      </c>
      <c r="G363" s="291" t="s">
        <v>3659</v>
      </c>
      <c r="H363" s="150" t="s">
        <v>3245</v>
      </c>
      <c r="I363" s="151" t="s">
        <v>2849</v>
      </c>
      <c r="J363" s="152">
        <v>336</v>
      </c>
      <c r="K363" s="248"/>
      <c r="L363" s="153"/>
      <c r="M363" s="248" t="str">
        <f t="shared" si="5"/>
        <v>제4편 소송의 종료-제10장 종국판결에 의한 종료-제02절 판결-18</v>
      </c>
      <c r="N363" s="211"/>
      <c r="O363" s="263"/>
    </row>
    <row r="364" spans="2:15" ht="14.45" hidden="1" customHeight="1" x14ac:dyDescent="0.25">
      <c r="B364" s="80" t="s">
        <v>2541</v>
      </c>
      <c r="C364" s="85" t="s">
        <v>2547</v>
      </c>
      <c r="D364" s="90" t="s">
        <v>3439</v>
      </c>
      <c r="E364" s="148" t="s">
        <v>1553</v>
      </c>
      <c r="F364" s="149" t="s">
        <v>3945</v>
      </c>
      <c r="G364" s="291" t="s">
        <v>3660</v>
      </c>
      <c r="H364" s="150" t="s">
        <v>3246</v>
      </c>
      <c r="I364" s="151" t="s">
        <v>2850</v>
      </c>
      <c r="J364" s="152">
        <v>552</v>
      </c>
      <c r="K364" s="248"/>
      <c r="L364" s="153"/>
      <c r="M364" s="248" t="str">
        <f t="shared" si="5"/>
        <v>제4편 소송의 종료-제10장 종국판결에 의한 종료-제02절 판결-19</v>
      </c>
      <c r="N364" s="211"/>
      <c r="O364" s="263"/>
    </row>
    <row r="365" spans="2:15" ht="14.45" hidden="1" customHeight="1" x14ac:dyDescent="0.25">
      <c r="B365" s="80" t="s">
        <v>2541</v>
      </c>
      <c r="C365" s="85" t="s">
        <v>2547</v>
      </c>
      <c r="D365" s="90" t="s">
        <v>3439</v>
      </c>
      <c r="E365" s="148" t="s">
        <v>1553</v>
      </c>
      <c r="F365" s="149" t="s">
        <v>3946</v>
      </c>
      <c r="G365" s="291" t="s">
        <v>3661</v>
      </c>
      <c r="H365" s="150" t="s">
        <v>3247</v>
      </c>
      <c r="I365" s="151" t="s">
        <v>2851</v>
      </c>
      <c r="J365" s="152">
        <v>230</v>
      </c>
      <c r="K365" s="248"/>
      <c r="L365" s="153"/>
      <c r="M365" s="248" t="str">
        <f t="shared" si="5"/>
        <v>제4편 소송의 종료-제10장 종국판결에 의한 종료-제02절 판결-20</v>
      </c>
      <c r="N365" s="211"/>
      <c r="O365" s="263"/>
    </row>
    <row r="366" spans="2:15" ht="14.45" hidden="1" customHeight="1" x14ac:dyDescent="0.25">
      <c r="B366" s="80" t="s">
        <v>2541</v>
      </c>
      <c r="C366" s="85" t="s">
        <v>2547</v>
      </c>
      <c r="D366" s="90" t="s">
        <v>3439</v>
      </c>
      <c r="E366" s="148" t="s">
        <v>1553</v>
      </c>
      <c r="F366" s="149" t="s">
        <v>3947</v>
      </c>
      <c r="G366" s="291" t="s">
        <v>3662</v>
      </c>
      <c r="H366" s="150" t="s">
        <v>3248</v>
      </c>
      <c r="I366" s="151" t="s">
        <v>2852</v>
      </c>
      <c r="J366" s="152">
        <v>703</v>
      </c>
      <c r="K366" s="248"/>
      <c r="L366" s="153"/>
      <c r="M366" s="248" t="str">
        <f t="shared" si="5"/>
        <v>제4편 소송의 종료-제10장 종국판결에 의한 종료-제02절 판결-21</v>
      </c>
      <c r="N366" s="211"/>
      <c r="O366" s="263"/>
    </row>
    <row r="367" spans="2:15" ht="14.45" hidden="1" customHeight="1" x14ac:dyDescent="0.25">
      <c r="B367" s="80" t="s">
        <v>2541</v>
      </c>
      <c r="C367" s="85" t="s">
        <v>2547</v>
      </c>
      <c r="D367" s="90" t="s">
        <v>3439</v>
      </c>
      <c r="E367" s="148" t="s">
        <v>1553</v>
      </c>
      <c r="F367" s="149" t="s">
        <v>3948</v>
      </c>
      <c r="G367" s="291" t="s">
        <v>3663</v>
      </c>
      <c r="H367" s="150" t="s">
        <v>3249</v>
      </c>
      <c r="I367" s="151" t="s">
        <v>2853</v>
      </c>
      <c r="J367" s="152">
        <v>598</v>
      </c>
      <c r="K367" s="248"/>
      <c r="L367" s="153"/>
      <c r="M367" s="248" t="str">
        <f t="shared" si="5"/>
        <v>제4편 소송의 종료-제10장 종국판결에 의한 종료-제02절 판결-22</v>
      </c>
      <c r="N367" s="211"/>
      <c r="O367" s="263"/>
    </row>
    <row r="368" spans="2:15" ht="14.45" hidden="1" customHeight="1" x14ac:dyDescent="0.25">
      <c r="B368" s="80" t="s">
        <v>2541</v>
      </c>
      <c r="C368" s="85" t="s">
        <v>2547</v>
      </c>
      <c r="D368" s="90" t="s">
        <v>3439</v>
      </c>
      <c r="E368" s="148" t="s">
        <v>1553</v>
      </c>
      <c r="F368" s="149" t="s">
        <v>3949</v>
      </c>
      <c r="G368" s="291" t="s">
        <v>3664</v>
      </c>
      <c r="H368" s="150" t="s">
        <v>3250</v>
      </c>
      <c r="I368" s="151" t="s">
        <v>2854</v>
      </c>
      <c r="J368" s="152">
        <v>278</v>
      </c>
      <c r="K368" s="248"/>
      <c r="L368" s="153"/>
      <c r="M368" s="248" t="str">
        <f t="shared" si="5"/>
        <v>제4편 소송의 종료-제10장 종국판결에 의한 종료-제02절 판결-23</v>
      </c>
      <c r="N368" s="211"/>
      <c r="O368" s="263"/>
    </row>
    <row r="369" spans="2:15" ht="14.45" hidden="1" customHeight="1" x14ac:dyDescent="0.25">
      <c r="B369" s="80" t="s">
        <v>2541</v>
      </c>
      <c r="C369" s="85" t="s">
        <v>2547</v>
      </c>
      <c r="D369" s="90" t="s">
        <v>3439</v>
      </c>
      <c r="E369" s="148" t="s">
        <v>1553</v>
      </c>
      <c r="F369" s="149" t="s">
        <v>3950</v>
      </c>
      <c r="G369" s="291" t="s">
        <v>3665</v>
      </c>
      <c r="H369" s="150" t="s">
        <v>3502</v>
      </c>
      <c r="I369" s="151" t="s">
        <v>3503</v>
      </c>
      <c r="J369" s="152">
        <v>379</v>
      </c>
      <c r="K369" s="248"/>
      <c r="L369" s="153"/>
      <c r="M369" s="248" t="str">
        <f t="shared" si="5"/>
        <v>제4편 소송의 종료-제10장 종국판결에 의한 종료-제02절 판결-24</v>
      </c>
      <c r="N369" s="211"/>
      <c r="O369" s="263"/>
    </row>
    <row r="370" spans="2:15" ht="14.45" hidden="1" customHeight="1" x14ac:dyDescent="0.25">
      <c r="B370" s="80" t="s">
        <v>2541</v>
      </c>
      <c r="C370" s="85" t="s">
        <v>2547</v>
      </c>
      <c r="D370" s="90" t="s">
        <v>3439</v>
      </c>
      <c r="E370" s="148" t="s">
        <v>1553</v>
      </c>
      <c r="F370" s="149" t="s">
        <v>3951</v>
      </c>
      <c r="G370" s="291" t="s">
        <v>3666</v>
      </c>
      <c r="H370" s="150" t="s">
        <v>3251</v>
      </c>
      <c r="I370" s="151" t="s">
        <v>2855</v>
      </c>
      <c r="J370" s="152">
        <v>643</v>
      </c>
      <c r="K370" s="248"/>
      <c r="L370" s="153"/>
      <c r="M370" s="248" t="str">
        <f t="shared" si="5"/>
        <v>제4편 소송의 종료-제10장 종국판결에 의한 종료-제02절 판결-25</v>
      </c>
      <c r="N370" s="211"/>
      <c r="O370" s="263"/>
    </row>
    <row r="371" spans="2:15" ht="14.45" hidden="1" customHeight="1" x14ac:dyDescent="0.25">
      <c r="B371" s="80" t="s">
        <v>2541</v>
      </c>
      <c r="C371" s="85" t="s">
        <v>2547</v>
      </c>
      <c r="D371" s="90" t="s">
        <v>3439</v>
      </c>
      <c r="E371" s="148" t="s">
        <v>1553</v>
      </c>
      <c r="F371" s="149" t="s">
        <v>3952</v>
      </c>
      <c r="G371" s="291" t="s">
        <v>3667</v>
      </c>
      <c r="H371" s="150" t="s">
        <v>3252</v>
      </c>
      <c r="I371" s="151" t="s">
        <v>2856</v>
      </c>
      <c r="J371" s="152">
        <v>367</v>
      </c>
      <c r="K371" s="248"/>
      <c r="L371" s="153"/>
      <c r="M371" s="248" t="str">
        <f t="shared" si="5"/>
        <v>제4편 소송의 종료-제10장 종국판결에 의한 종료-제02절 판결-26</v>
      </c>
      <c r="N371" s="211"/>
      <c r="O371" s="263"/>
    </row>
    <row r="372" spans="2:15" ht="14.45" hidden="1" customHeight="1" x14ac:dyDescent="0.25">
      <c r="B372" s="80" t="s">
        <v>2541</v>
      </c>
      <c r="C372" s="85" t="s">
        <v>2547</v>
      </c>
      <c r="D372" s="90" t="s">
        <v>3439</v>
      </c>
      <c r="E372" s="148" t="s">
        <v>1553</v>
      </c>
      <c r="F372" s="149" t="s">
        <v>3953</v>
      </c>
      <c r="G372" s="291" t="s">
        <v>3668</v>
      </c>
      <c r="H372" s="150" t="s">
        <v>3253</v>
      </c>
      <c r="I372" s="151" t="s">
        <v>2857</v>
      </c>
      <c r="J372" s="152">
        <v>257</v>
      </c>
      <c r="K372" s="248"/>
      <c r="L372" s="153"/>
      <c r="M372" s="248" t="str">
        <f t="shared" si="5"/>
        <v>제4편 소송의 종료-제10장 종국판결에 의한 종료-제02절 판결-27</v>
      </c>
      <c r="N372" s="211"/>
      <c r="O372" s="263"/>
    </row>
    <row r="373" spans="2:15" ht="14.45" hidden="1" customHeight="1" x14ac:dyDescent="0.25">
      <c r="B373" s="80" t="s">
        <v>2541</v>
      </c>
      <c r="C373" s="85" t="s">
        <v>2547</v>
      </c>
      <c r="D373" s="90" t="s">
        <v>3439</v>
      </c>
      <c r="E373" s="148" t="s">
        <v>1553</v>
      </c>
      <c r="F373" s="149" t="s">
        <v>3954</v>
      </c>
      <c r="G373" s="291" t="s">
        <v>3669</v>
      </c>
      <c r="H373" s="150" t="s">
        <v>3254</v>
      </c>
      <c r="I373" s="151" t="s">
        <v>2858</v>
      </c>
      <c r="J373" s="152">
        <v>578</v>
      </c>
      <c r="K373" s="248"/>
      <c r="L373" s="153"/>
      <c r="M373" s="248" t="str">
        <f t="shared" si="5"/>
        <v>제4편 소송의 종료-제10장 종국판결에 의한 종료-제02절 판결-28</v>
      </c>
      <c r="N373" s="211"/>
      <c r="O373" s="263"/>
    </row>
    <row r="374" spans="2:15" ht="14.45" hidden="1" customHeight="1" x14ac:dyDescent="0.25">
      <c r="B374" s="80" t="s">
        <v>2541</v>
      </c>
      <c r="C374" s="85" t="s">
        <v>2547</v>
      </c>
      <c r="D374" s="90" t="s">
        <v>3439</v>
      </c>
      <c r="E374" s="148" t="s">
        <v>1553</v>
      </c>
      <c r="F374" s="149" t="s">
        <v>3955</v>
      </c>
      <c r="G374" s="291" t="s">
        <v>3670</v>
      </c>
      <c r="H374" s="150" t="s">
        <v>3255</v>
      </c>
      <c r="I374" s="151" t="s">
        <v>2859</v>
      </c>
      <c r="J374" s="152">
        <v>132</v>
      </c>
      <c r="K374" s="248"/>
      <c r="L374" s="153"/>
      <c r="M374" s="248" t="str">
        <f t="shared" si="5"/>
        <v>제4편 소송의 종료-제10장 종국판결에 의한 종료-제02절 판결-29</v>
      </c>
      <c r="N374" s="211"/>
      <c r="O374" s="263"/>
    </row>
    <row r="375" spans="2:15" ht="14.45" hidden="1" customHeight="1" x14ac:dyDescent="0.25">
      <c r="B375" s="80" t="s">
        <v>2541</v>
      </c>
      <c r="C375" s="85" t="s">
        <v>2547</v>
      </c>
      <c r="D375" s="90" t="s">
        <v>3439</v>
      </c>
      <c r="E375" s="148" t="s">
        <v>1553</v>
      </c>
      <c r="F375" s="149" t="s">
        <v>3956</v>
      </c>
      <c r="G375" s="291" t="s">
        <v>3671</v>
      </c>
      <c r="H375" s="150" t="s">
        <v>3256</v>
      </c>
      <c r="I375" s="151" t="s">
        <v>2860</v>
      </c>
      <c r="J375" s="152">
        <v>665</v>
      </c>
      <c r="K375" s="248"/>
      <c r="L375" s="153"/>
      <c r="M375" s="248" t="str">
        <f t="shared" si="5"/>
        <v>제4편 소송의 종료-제10장 종국판결에 의한 종료-제02절 판결-30</v>
      </c>
      <c r="N375" s="211"/>
      <c r="O375" s="263"/>
    </row>
    <row r="376" spans="2:15" ht="14.45" hidden="1" customHeight="1" x14ac:dyDescent="0.25">
      <c r="B376" s="80" t="s">
        <v>2541</v>
      </c>
      <c r="C376" s="85" t="s">
        <v>2547</v>
      </c>
      <c r="D376" s="90" t="s">
        <v>3439</v>
      </c>
      <c r="E376" s="148" t="s">
        <v>1553</v>
      </c>
      <c r="F376" s="149" t="s">
        <v>3957</v>
      </c>
      <c r="G376" s="291" t="s">
        <v>3672</v>
      </c>
      <c r="H376" s="150" t="s">
        <v>3257</v>
      </c>
      <c r="I376" s="151" t="s">
        <v>2861</v>
      </c>
      <c r="J376" s="152">
        <v>422</v>
      </c>
      <c r="K376" s="248"/>
      <c r="L376" s="153"/>
      <c r="M376" s="248" t="str">
        <f t="shared" si="5"/>
        <v>제4편 소송의 종료-제10장 종국판결에 의한 종료-제02절 판결-31</v>
      </c>
      <c r="N376" s="211"/>
      <c r="O376" s="263"/>
    </row>
    <row r="377" spans="2:15" ht="14.45" hidden="1" customHeight="1" x14ac:dyDescent="0.25">
      <c r="B377" s="80" t="s">
        <v>2541</v>
      </c>
      <c r="C377" s="85" t="s">
        <v>2547</v>
      </c>
      <c r="D377" s="90" t="s">
        <v>3439</v>
      </c>
      <c r="E377" s="148" t="s">
        <v>1553</v>
      </c>
      <c r="F377" s="149" t="s">
        <v>3958</v>
      </c>
      <c r="G377" s="291" t="s">
        <v>3673</v>
      </c>
      <c r="H377" s="150" t="s">
        <v>3258</v>
      </c>
      <c r="I377" s="151" t="s">
        <v>2862</v>
      </c>
      <c r="J377" s="152">
        <v>347</v>
      </c>
      <c r="K377" s="248"/>
      <c r="L377" s="153"/>
      <c r="M377" s="248" t="str">
        <f t="shared" si="5"/>
        <v>제4편 소송의 종료-제10장 종국판결에 의한 종료-제02절 판결-32</v>
      </c>
      <c r="N377" s="211"/>
      <c r="O377" s="263"/>
    </row>
    <row r="378" spans="2:15" ht="14.45" hidden="1" customHeight="1" x14ac:dyDescent="0.25">
      <c r="B378" s="80" t="s">
        <v>2541</v>
      </c>
      <c r="C378" s="85" t="s">
        <v>2547</v>
      </c>
      <c r="D378" s="90" t="s">
        <v>3439</v>
      </c>
      <c r="E378" s="148" t="s">
        <v>1553</v>
      </c>
      <c r="F378" s="149" t="s">
        <v>3959</v>
      </c>
      <c r="G378" s="291" t="s">
        <v>3674</v>
      </c>
      <c r="H378" s="150" t="s">
        <v>3259</v>
      </c>
      <c r="I378" s="151" t="s">
        <v>2863</v>
      </c>
      <c r="J378" s="152">
        <v>574</v>
      </c>
      <c r="K378" s="248"/>
      <c r="L378" s="153"/>
      <c r="M378" s="248" t="str">
        <f t="shared" si="5"/>
        <v>제4편 소송의 종료-제10장 종국판결에 의한 종료-제02절 판결-33</v>
      </c>
      <c r="N378" s="211"/>
      <c r="O378" s="263"/>
    </row>
    <row r="379" spans="2:15" ht="14.45" hidden="1" customHeight="1" x14ac:dyDescent="0.25">
      <c r="B379" s="80" t="s">
        <v>2541</v>
      </c>
      <c r="C379" s="85" t="s">
        <v>2547</v>
      </c>
      <c r="D379" s="90" t="s">
        <v>3439</v>
      </c>
      <c r="E379" s="148" t="s">
        <v>1553</v>
      </c>
      <c r="F379" s="149" t="s">
        <v>3960</v>
      </c>
      <c r="G379" s="291" t="s">
        <v>3675</v>
      </c>
      <c r="H379" s="150" t="s">
        <v>3260</v>
      </c>
      <c r="I379" s="151" t="s">
        <v>2864</v>
      </c>
      <c r="J379" s="152">
        <v>307</v>
      </c>
      <c r="K379" s="248"/>
      <c r="L379" s="153"/>
      <c r="M379" s="248" t="str">
        <f t="shared" si="5"/>
        <v>제4편 소송의 종료-제10장 종국판결에 의한 종료-제02절 판결-34</v>
      </c>
      <c r="N379" s="211"/>
      <c r="O379" s="263"/>
    </row>
    <row r="380" spans="2:15" ht="14.45" hidden="1" customHeight="1" x14ac:dyDescent="0.25">
      <c r="B380" s="80" t="s">
        <v>2541</v>
      </c>
      <c r="C380" s="85" t="s">
        <v>2547</v>
      </c>
      <c r="D380" s="90" t="s">
        <v>3439</v>
      </c>
      <c r="E380" s="148" t="s">
        <v>1553</v>
      </c>
      <c r="F380" s="149" t="s">
        <v>3961</v>
      </c>
      <c r="G380" s="291" t="s">
        <v>3676</v>
      </c>
      <c r="H380" s="150" t="s">
        <v>3261</v>
      </c>
      <c r="I380" s="151" t="s">
        <v>2865</v>
      </c>
      <c r="J380" s="152">
        <v>230</v>
      </c>
      <c r="K380" s="248"/>
      <c r="L380" s="153"/>
      <c r="M380" s="248" t="str">
        <f t="shared" si="5"/>
        <v>제4편 소송의 종료-제10장 종국판결에 의한 종료-제02절 판결-35</v>
      </c>
      <c r="N380" s="211"/>
      <c r="O380" s="263"/>
    </row>
    <row r="381" spans="2:15" ht="14.45" hidden="1" customHeight="1" x14ac:dyDescent="0.25">
      <c r="B381" s="80" t="s">
        <v>2541</v>
      </c>
      <c r="C381" s="85" t="s">
        <v>2547</v>
      </c>
      <c r="D381" s="90" t="s">
        <v>3439</v>
      </c>
      <c r="E381" s="148" t="s">
        <v>1553</v>
      </c>
      <c r="F381" s="149" t="s">
        <v>3962</v>
      </c>
      <c r="G381" s="291" t="s">
        <v>3677</v>
      </c>
      <c r="H381" s="150" t="s">
        <v>3262</v>
      </c>
      <c r="I381" s="151" t="s">
        <v>2866</v>
      </c>
      <c r="J381" s="152">
        <v>353</v>
      </c>
      <c r="K381" s="248"/>
      <c r="L381" s="153"/>
      <c r="M381" s="248" t="str">
        <f t="shared" si="5"/>
        <v>제4편 소송의 종료-제10장 종국판결에 의한 종료-제02절 판결-36</v>
      </c>
      <c r="N381" s="211"/>
      <c r="O381" s="263"/>
    </row>
    <row r="382" spans="2:15" ht="14.45" hidden="1" customHeight="1" x14ac:dyDescent="0.25">
      <c r="B382" s="80" t="s">
        <v>2541</v>
      </c>
      <c r="C382" s="85" t="s">
        <v>2547</v>
      </c>
      <c r="D382" s="90" t="s">
        <v>3439</v>
      </c>
      <c r="E382" s="148" t="s">
        <v>1553</v>
      </c>
      <c r="F382" s="149" t="s">
        <v>3963</v>
      </c>
      <c r="G382" s="291" t="s">
        <v>3678</v>
      </c>
      <c r="H382" s="150" t="s">
        <v>3263</v>
      </c>
      <c r="I382" s="151" t="s">
        <v>2867</v>
      </c>
      <c r="J382" s="152">
        <v>308</v>
      </c>
      <c r="K382" s="248"/>
      <c r="L382" s="153"/>
      <c r="M382" s="248" t="str">
        <f t="shared" si="5"/>
        <v>제4편 소송의 종료-제10장 종국판결에 의한 종료-제02절 판결-37</v>
      </c>
      <c r="N382" s="211"/>
      <c r="O382" s="263"/>
    </row>
    <row r="383" spans="2:15" ht="14.45" hidden="1" customHeight="1" x14ac:dyDescent="0.25">
      <c r="B383" s="80" t="s">
        <v>2541</v>
      </c>
      <c r="C383" s="85" t="s">
        <v>2547</v>
      </c>
      <c r="D383" s="90" t="s">
        <v>3439</v>
      </c>
      <c r="E383" s="148" t="s">
        <v>1553</v>
      </c>
      <c r="F383" s="149" t="s">
        <v>3964</v>
      </c>
      <c r="G383" s="291" t="s">
        <v>3679</v>
      </c>
      <c r="H383" s="150" t="s">
        <v>3264</v>
      </c>
      <c r="I383" s="151" t="s">
        <v>2868</v>
      </c>
      <c r="J383" s="152">
        <v>401</v>
      </c>
      <c r="K383" s="248"/>
      <c r="L383" s="153"/>
      <c r="M383" s="248" t="str">
        <f t="shared" si="5"/>
        <v>제4편 소송의 종료-제10장 종국판결에 의한 종료-제02절 판결-38</v>
      </c>
      <c r="N383" s="211"/>
      <c r="O383" s="263"/>
    </row>
    <row r="384" spans="2:15" ht="14.45" hidden="1" customHeight="1" x14ac:dyDescent="0.25">
      <c r="B384" s="80" t="s">
        <v>2541</v>
      </c>
      <c r="C384" s="85" t="s">
        <v>2547</v>
      </c>
      <c r="D384" s="90" t="s">
        <v>3439</v>
      </c>
      <c r="E384" s="148" t="s">
        <v>1553</v>
      </c>
      <c r="F384" s="149" t="s">
        <v>3965</v>
      </c>
      <c r="G384" s="291" t="s">
        <v>3680</v>
      </c>
      <c r="H384" s="150" t="s">
        <v>3265</v>
      </c>
      <c r="I384" s="151" t="s">
        <v>2869</v>
      </c>
      <c r="J384" s="152">
        <v>391</v>
      </c>
      <c r="K384" s="248"/>
      <c r="L384" s="153"/>
      <c r="M384" s="248" t="str">
        <f t="shared" si="5"/>
        <v>제4편 소송의 종료-제10장 종국판결에 의한 종료-제02절 판결-39</v>
      </c>
      <c r="N384" s="211"/>
      <c r="O384" s="263"/>
    </row>
    <row r="385" spans="2:15" ht="14.45" hidden="1" customHeight="1" x14ac:dyDescent="0.25">
      <c r="B385" s="80" t="s">
        <v>2541</v>
      </c>
      <c r="C385" s="85" t="s">
        <v>2547</v>
      </c>
      <c r="D385" s="90" t="s">
        <v>3439</v>
      </c>
      <c r="E385" s="148" t="s">
        <v>1553</v>
      </c>
      <c r="F385" s="149" t="s">
        <v>3966</v>
      </c>
      <c r="G385" s="291" t="s">
        <v>3681</v>
      </c>
      <c r="H385" s="150" t="s">
        <v>3266</v>
      </c>
      <c r="I385" s="151" t="s">
        <v>2870</v>
      </c>
      <c r="J385" s="152">
        <v>242</v>
      </c>
      <c r="K385" s="248"/>
      <c r="L385" s="153"/>
      <c r="M385" s="248" t="str">
        <f t="shared" si="5"/>
        <v>제4편 소송의 종료-제10장 종국판결에 의한 종료-제02절 판결-40</v>
      </c>
      <c r="N385" s="211"/>
      <c r="O385" s="263"/>
    </row>
    <row r="386" spans="2:15" ht="14.45" hidden="1" customHeight="1" x14ac:dyDescent="0.25">
      <c r="B386" s="80" t="s">
        <v>2541</v>
      </c>
      <c r="C386" s="85" t="s">
        <v>2547</v>
      </c>
      <c r="D386" s="90" t="s">
        <v>3439</v>
      </c>
      <c r="E386" s="148" t="s">
        <v>1553</v>
      </c>
      <c r="F386" s="149" t="s">
        <v>3967</v>
      </c>
      <c r="G386" s="291" t="s">
        <v>3682</v>
      </c>
      <c r="H386" s="150" t="s">
        <v>3267</v>
      </c>
      <c r="I386" s="151" t="s">
        <v>2871</v>
      </c>
      <c r="J386" s="152">
        <v>412</v>
      </c>
      <c r="K386" s="248"/>
      <c r="L386" s="153"/>
      <c r="M386" s="248" t="str">
        <f t="shared" si="5"/>
        <v>제4편 소송의 종료-제10장 종국판결에 의한 종료-제02절 판결-41</v>
      </c>
      <c r="N386" s="211"/>
      <c r="O386" s="263"/>
    </row>
    <row r="387" spans="2:15" ht="14.45" hidden="1" customHeight="1" x14ac:dyDescent="0.25">
      <c r="B387" s="80" t="s">
        <v>2541</v>
      </c>
      <c r="C387" s="85" t="s">
        <v>2547</v>
      </c>
      <c r="D387" s="90" t="s">
        <v>3439</v>
      </c>
      <c r="E387" s="148" t="s">
        <v>1553</v>
      </c>
      <c r="F387" s="149" t="s">
        <v>3968</v>
      </c>
      <c r="G387" s="291" t="s">
        <v>3683</v>
      </c>
      <c r="H387" s="150" t="s">
        <v>3268</v>
      </c>
      <c r="I387" s="151" t="s">
        <v>2872</v>
      </c>
      <c r="J387" s="152">
        <v>358</v>
      </c>
      <c r="K387" s="248"/>
      <c r="L387" s="153"/>
      <c r="M387" s="248" t="str">
        <f t="shared" si="5"/>
        <v>제4편 소송의 종료-제10장 종국판결에 의한 종료-제02절 판결-42</v>
      </c>
      <c r="N387" s="211"/>
      <c r="O387" s="263"/>
    </row>
    <row r="388" spans="2:15" ht="14.45" hidden="1" customHeight="1" x14ac:dyDescent="0.25">
      <c r="B388" s="80" t="s">
        <v>2541</v>
      </c>
      <c r="C388" s="85" t="s">
        <v>2547</v>
      </c>
      <c r="D388" s="90" t="s">
        <v>3439</v>
      </c>
      <c r="E388" s="148" t="s">
        <v>1553</v>
      </c>
      <c r="F388" s="149" t="s">
        <v>3969</v>
      </c>
      <c r="G388" s="291" t="s">
        <v>3684</v>
      </c>
      <c r="H388" s="150" t="s">
        <v>3269</v>
      </c>
      <c r="I388" s="151" t="s">
        <v>2873</v>
      </c>
      <c r="J388" s="152">
        <v>232</v>
      </c>
      <c r="K388" s="248"/>
      <c r="L388" s="153"/>
      <c r="M388" s="248" t="str">
        <f t="shared" si="5"/>
        <v>제4편 소송의 종료-제10장 종국판결에 의한 종료-제02절 판결-43</v>
      </c>
      <c r="N388" s="211"/>
      <c r="O388" s="263"/>
    </row>
    <row r="389" spans="2:15" ht="14.45" hidden="1" customHeight="1" x14ac:dyDescent="0.25">
      <c r="B389" s="80" t="s">
        <v>2541</v>
      </c>
      <c r="C389" s="85" t="s">
        <v>2547</v>
      </c>
      <c r="D389" s="90" t="s">
        <v>3439</v>
      </c>
      <c r="E389" s="148" t="s">
        <v>1553</v>
      </c>
      <c r="F389" s="149" t="s">
        <v>3970</v>
      </c>
      <c r="G389" s="291" t="s">
        <v>3685</v>
      </c>
      <c r="H389" s="150" t="s">
        <v>3270</v>
      </c>
      <c r="I389" s="151" t="s">
        <v>2874</v>
      </c>
      <c r="J389" s="152">
        <v>242</v>
      </c>
      <c r="K389" s="248"/>
      <c r="L389" s="153"/>
      <c r="M389" s="248" t="str">
        <f t="shared" ref="M389:M452" si="6">B389&amp;"-"&amp;C389&amp;"-"&amp;D389&amp;"-"&amp;G389</f>
        <v>제4편 소송의 종료-제10장 종국판결에 의한 종료-제02절 판결-44</v>
      </c>
      <c r="N389" s="211"/>
      <c r="O389" s="263"/>
    </row>
    <row r="390" spans="2:15" ht="14.45" hidden="1" customHeight="1" x14ac:dyDescent="0.25">
      <c r="B390" s="80" t="s">
        <v>2541</v>
      </c>
      <c r="C390" s="85" t="s">
        <v>2547</v>
      </c>
      <c r="D390" s="90" t="s">
        <v>3439</v>
      </c>
      <c r="E390" s="148" t="s">
        <v>1553</v>
      </c>
      <c r="F390" s="149" t="s">
        <v>3971</v>
      </c>
      <c r="G390" s="291" t="s">
        <v>3686</v>
      </c>
      <c r="H390" s="150" t="s">
        <v>3271</v>
      </c>
      <c r="I390" s="151" t="s">
        <v>2875</v>
      </c>
      <c r="J390" s="152">
        <v>265</v>
      </c>
      <c r="K390" s="248"/>
      <c r="L390" s="153"/>
      <c r="M390" s="248" t="str">
        <f t="shared" si="6"/>
        <v>제4편 소송의 종료-제10장 종국판결에 의한 종료-제02절 판결-45</v>
      </c>
      <c r="N390" s="211"/>
      <c r="O390" s="263"/>
    </row>
    <row r="391" spans="2:15" ht="14.45" hidden="1" customHeight="1" x14ac:dyDescent="0.25">
      <c r="B391" s="80" t="s">
        <v>2541</v>
      </c>
      <c r="C391" s="85" t="s">
        <v>2547</v>
      </c>
      <c r="D391" s="90" t="s">
        <v>3439</v>
      </c>
      <c r="E391" s="148" t="s">
        <v>1553</v>
      </c>
      <c r="F391" s="149" t="s">
        <v>3972</v>
      </c>
      <c r="G391" s="291" t="s">
        <v>3687</v>
      </c>
      <c r="H391" s="150" t="s">
        <v>3272</v>
      </c>
      <c r="I391" s="151" t="s">
        <v>2876</v>
      </c>
      <c r="J391" s="152">
        <v>554</v>
      </c>
      <c r="K391" s="248"/>
      <c r="L391" s="153"/>
      <c r="M391" s="248" t="str">
        <f t="shared" si="6"/>
        <v>제4편 소송의 종료-제10장 종국판결에 의한 종료-제02절 판결-46</v>
      </c>
      <c r="N391" s="211"/>
      <c r="O391" s="263"/>
    </row>
    <row r="392" spans="2:15" ht="14.45" hidden="1" customHeight="1" x14ac:dyDescent="0.25">
      <c r="B392" s="80" t="s">
        <v>2541</v>
      </c>
      <c r="C392" s="85" t="s">
        <v>2547</v>
      </c>
      <c r="D392" s="90" t="s">
        <v>3439</v>
      </c>
      <c r="E392" s="148" t="s">
        <v>1553</v>
      </c>
      <c r="F392" s="149" t="s">
        <v>3973</v>
      </c>
      <c r="G392" s="291" t="s">
        <v>3688</v>
      </c>
      <c r="H392" s="150" t="s">
        <v>3273</v>
      </c>
      <c r="I392" s="151" t="s">
        <v>2877</v>
      </c>
      <c r="J392" s="152">
        <v>268</v>
      </c>
      <c r="K392" s="248"/>
      <c r="L392" s="153"/>
      <c r="M392" s="248" t="str">
        <f t="shared" si="6"/>
        <v>제4편 소송의 종료-제10장 종국판결에 의한 종료-제02절 판결-47</v>
      </c>
      <c r="N392" s="211"/>
      <c r="O392" s="263"/>
    </row>
    <row r="393" spans="2:15" ht="14.45" hidden="1" customHeight="1" x14ac:dyDescent="0.25">
      <c r="B393" s="80" t="s">
        <v>2541</v>
      </c>
      <c r="C393" s="85" t="s">
        <v>2547</v>
      </c>
      <c r="D393" s="90" t="s">
        <v>3439</v>
      </c>
      <c r="E393" s="148" t="s">
        <v>1553</v>
      </c>
      <c r="F393" s="149" t="s">
        <v>3974</v>
      </c>
      <c r="G393" s="291" t="s">
        <v>3689</v>
      </c>
      <c r="H393" s="150" t="s">
        <v>3274</v>
      </c>
      <c r="I393" s="151" t="s">
        <v>2878</v>
      </c>
      <c r="J393" s="152">
        <v>274</v>
      </c>
      <c r="K393" s="248"/>
      <c r="L393" s="153"/>
      <c r="M393" s="248" t="str">
        <f t="shared" si="6"/>
        <v>제4편 소송의 종료-제10장 종국판결에 의한 종료-제02절 판결-48</v>
      </c>
      <c r="N393" s="211"/>
      <c r="O393" s="263"/>
    </row>
    <row r="394" spans="2:15" ht="14.45" hidden="1" customHeight="1" x14ac:dyDescent="0.25">
      <c r="B394" s="80" t="s">
        <v>2541</v>
      </c>
      <c r="C394" s="85" t="s">
        <v>2547</v>
      </c>
      <c r="D394" s="90" t="s">
        <v>3439</v>
      </c>
      <c r="E394" s="148" t="s">
        <v>1553</v>
      </c>
      <c r="F394" s="149" t="s">
        <v>3975</v>
      </c>
      <c r="G394" s="291" t="s">
        <v>3690</v>
      </c>
      <c r="H394" s="150" t="s">
        <v>3275</v>
      </c>
      <c r="I394" s="151" t="s">
        <v>2879</v>
      </c>
      <c r="J394" s="152">
        <v>245</v>
      </c>
      <c r="K394" s="248"/>
      <c r="L394" s="153"/>
      <c r="M394" s="248" t="str">
        <f t="shared" si="6"/>
        <v>제4편 소송의 종료-제10장 종국판결에 의한 종료-제02절 판결-49</v>
      </c>
      <c r="N394" s="211"/>
      <c r="O394" s="263"/>
    </row>
    <row r="395" spans="2:15" ht="14.45" hidden="1" customHeight="1" x14ac:dyDescent="0.25">
      <c r="B395" s="80" t="s">
        <v>2541</v>
      </c>
      <c r="C395" s="85" t="s">
        <v>2547</v>
      </c>
      <c r="D395" s="90" t="s">
        <v>3439</v>
      </c>
      <c r="E395" s="148" t="s">
        <v>1553</v>
      </c>
      <c r="F395" s="149" t="s">
        <v>3976</v>
      </c>
      <c r="G395" s="291" t="s">
        <v>3691</v>
      </c>
      <c r="H395" s="150" t="s">
        <v>3276</v>
      </c>
      <c r="I395" s="151" t="s">
        <v>2880</v>
      </c>
      <c r="J395" s="152">
        <v>365</v>
      </c>
      <c r="K395" s="248"/>
      <c r="L395" s="153"/>
      <c r="M395" s="248" t="str">
        <f t="shared" si="6"/>
        <v>제4편 소송의 종료-제10장 종국판결에 의한 종료-제02절 판결-50</v>
      </c>
      <c r="N395" s="211"/>
      <c r="O395" s="263"/>
    </row>
    <row r="396" spans="2:15" ht="14.45" hidden="1" customHeight="1" x14ac:dyDescent="0.25">
      <c r="B396" s="80" t="s">
        <v>2541</v>
      </c>
      <c r="C396" s="85" t="s">
        <v>2547</v>
      </c>
      <c r="D396" s="90" t="s">
        <v>3439</v>
      </c>
      <c r="E396" s="148" t="s">
        <v>1553</v>
      </c>
      <c r="F396" s="149" t="s">
        <v>3977</v>
      </c>
      <c r="G396" s="291" t="s">
        <v>3692</v>
      </c>
      <c r="H396" s="150" t="s">
        <v>3277</v>
      </c>
      <c r="I396" s="151" t="s">
        <v>2881</v>
      </c>
      <c r="J396" s="152">
        <v>149</v>
      </c>
      <c r="K396" s="248"/>
      <c r="L396" s="153"/>
      <c r="M396" s="248" t="str">
        <f t="shared" si="6"/>
        <v>제4편 소송의 종료-제10장 종국판결에 의한 종료-제02절 판결-51</v>
      </c>
      <c r="N396" s="211"/>
      <c r="O396" s="263"/>
    </row>
    <row r="397" spans="2:15" ht="14.45" hidden="1" customHeight="1" x14ac:dyDescent="0.25">
      <c r="B397" s="80" t="s">
        <v>2541</v>
      </c>
      <c r="C397" s="85" t="s">
        <v>2547</v>
      </c>
      <c r="D397" s="90" t="s">
        <v>3439</v>
      </c>
      <c r="E397" s="148" t="s">
        <v>1553</v>
      </c>
      <c r="F397" s="149" t="s">
        <v>3978</v>
      </c>
      <c r="G397" s="291" t="s">
        <v>3693</v>
      </c>
      <c r="H397" s="150" t="s">
        <v>3278</v>
      </c>
      <c r="I397" s="151" t="s">
        <v>2882</v>
      </c>
      <c r="J397" s="152">
        <v>175</v>
      </c>
      <c r="K397" s="248"/>
      <c r="L397" s="153"/>
      <c r="M397" s="248" t="str">
        <f t="shared" si="6"/>
        <v>제4편 소송의 종료-제10장 종국판결에 의한 종료-제02절 판결-52</v>
      </c>
      <c r="N397" s="211"/>
      <c r="O397" s="263"/>
    </row>
    <row r="398" spans="2:15" ht="14.45" hidden="1" customHeight="1" x14ac:dyDescent="0.25">
      <c r="B398" s="80" t="s">
        <v>2541</v>
      </c>
      <c r="C398" s="85" t="s">
        <v>2547</v>
      </c>
      <c r="D398" s="90" t="s">
        <v>3439</v>
      </c>
      <c r="E398" s="148" t="s">
        <v>1553</v>
      </c>
      <c r="F398" s="149" t="s">
        <v>3979</v>
      </c>
      <c r="G398" s="291" t="s">
        <v>3694</v>
      </c>
      <c r="H398" s="150" t="s">
        <v>3279</v>
      </c>
      <c r="I398" s="151" t="s">
        <v>2883</v>
      </c>
      <c r="J398" s="152">
        <v>243</v>
      </c>
      <c r="K398" s="248"/>
      <c r="L398" s="153"/>
      <c r="M398" s="248" t="str">
        <f t="shared" si="6"/>
        <v>제4편 소송의 종료-제10장 종국판결에 의한 종료-제02절 판결-53</v>
      </c>
      <c r="N398" s="211"/>
      <c r="O398" s="263"/>
    </row>
    <row r="399" spans="2:15" ht="14.45" hidden="1" customHeight="1" x14ac:dyDescent="0.25">
      <c r="B399" s="80" t="s">
        <v>2541</v>
      </c>
      <c r="C399" s="85" t="s">
        <v>2547</v>
      </c>
      <c r="D399" s="90" t="s">
        <v>3439</v>
      </c>
      <c r="E399" s="148" t="s">
        <v>1553</v>
      </c>
      <c r="F399" s="149" t="s">
        <v>3980</v>
      </c>
      <c r="G399" s="291" t="s">
        <v>3695</v>
      </c>
      <c r="H399" s="150" t="s">
        <v>3280</v>
      </c>
      <c r="I399" s="151" t="s">
        <v>2884</v>
      </c>
      <c r="J399" s="152">
        <v>187</v>
      </c>
      <c r="K399" s="248"/>
      <c r="L399" s="153"/>
      <c r="M399" s="248" t="str">
        <f t="shared" si="6"/>
        <v>제4편 소송의 종료-제10장 종국판결에 의한 종료-제02절 판결-54</v>
      </c>
      <c r="N399" s="211"/>
      <c r="O399" s="263"/>
    </row>
    <row r="400" spans="2:15" ht="14.45" hidden="1" customHeight="1" x14ac:dyDescent="0.25">
      <c r="B400" s="80" t="s">
        <v>2541</v>
      </c>
      <c r="C400" s="85" t="s">
        <v>2547</v>
      </c>
      <c r="D400" s="90" t="s">
        <v>3439</v>
      </c>
      <c r="E400" s="148" t="s">
        <v>1553</v>
      </c>
      <c r="F400" s="149" t="s">
        <v>3981</v>
      </c>
      <c r="G400" s="291" t="s">
        <v>3696</v>
      </c>
      <c r="H400" s="150" t="s">
        <v>3281</v>
      </c>
      <c r="I400" s="151" t="s">
        <v>2885</v>
      </c>
      <c r="J400" s="152">
        <v>643</v>
      </c>
      <c r="K400" s="248"/>
      <c r="L400" s="153"/>
      <c r="M400" s="248" t="str">
        <f t="shared" si="6"/>
        <v>제4편 소송의 종료-제10장 종국판결에 의한 종료-제02절 판결-55</v>
      </c>
      <c r="N400" s="211"/>
      <c r="O400" s="263"/>
    </row>
    <row r="401" spans="2:15" ht="14.45" hidden="1" customHeight="1" x14ac:dyDescent="0.25">
      <c r="B401" s="80" t="s">
        <v>2541</v>
      </c>
      <c r="C401" s="85" t="s">
        <v>2547</v>
      </c>
      <c r="D401" s="90" t="s">
        <v>3439</v>
      </c>
      <c r="E401" s="148" t="s">
        <v>1553</v>
      </c>
      <c r="F401" s="149" t="s">
        <v>3982</v>
      </c>
      <c r="G401" s="291" t="s">
        <v>3697</v>
      </c>
      <c r="H401" s="150" t="s">
        <v>3282</v>
      </c>
      <c r="I401" s="151" t="s">
        <v>2886</v>
      </c>
      <c r="J401" s="152">
        <v>514</v>
      </c>
      <c r="K401" s="248"/>
      <c r="L401" s="153"/>
      <c r="M401" s="248" t="str">
        <f t="shared" si="6"/>
        <v>제4편 소송의 종료-제10장 종국판결에 의한 종료-제02절 판결-56</v>
      </c>
      <c r="N401" s="211"/>
      <c r="O401" s="263"/>
    </row>
    <row r="402" spans="2:15" ht="14.45" hidden="1" customHeight="1" x14ac:dyDescent="0.25">
      <c r="B402" s="80" t="s">
        <v>2541</v>
      </c>
      <c r="C402" s="85" t="s">
        <v>2547</v>
      </c>
      <c r="D402" s="90" t="s">
        <v>3439</v>
      </c>
      <c r="E402" s="148" t="s">
        <v>1553</v>
      </c>
      <c r="F402" s="149" t="s">
        <v>3983</v>
      </c>
      <c r="G402" s="291" t="s">
        <v>3698</v>
      </c>
      <c r="H402" s="150" t="s">
        <v>3283</v>
      </c>
      <c r="I402" s="151" t="s">
        <v>2887</v>
      </c>
      <c r="J402" s="152">
        <v>251</v>
      </c>
      <c r="K402" s="248"/>
      <c r="L402" s="153"/>
      <c r="M402" s="248" t="str">
        <f t="shared" si="6"/>
        <v>제4편 소송의 종료-제10장 종국판결에 의한 종료-제02절 판결-57</v>
      </c>
      <c r="N402" s="211"/>
      <c r="O402" s="263"/>
    </row>
    <row r="403" spans="2:15" ht="14.45" hidden="1" customHeight="1" thickBot="1" x14ac:dyDescent="0.25">
      <c r="B403" s="81" t="s">
        <v>2541</v>
      </c>
      <c r="C403" s="86" t="s">
        <v>2547</v>
      </c>
      <c r="D403" s="91" t="s">
        <v>3439</v>
      </c>
      <c r="E403" s="154" t="s">
        <v>1553</v>
      </c>
      <c r="F403" s="155" t="s">
        <v>3984</v>
      </c>
      <c r="G403" s="292" t="s">
        <v>3699</v>
      </c>
      <c r="H403" s="156" t="s">
        <v>3284</v>
      </c>
      <c r="I403" s="157" t="s">
        <v>2888</v>
      </c>
      <c r="J403" s="158">
        <v>264</v>
      </c>
      <c r="K403" s="249"/>
      <c r="L403" s="170"/>
      <c r="M403" s="249" t="str">
        <f t="shared" si="6"/>
        <v>제4편 소송의 종료-제10장 종국판결에 의한 종료-제02절 판결-58</v>
      </c>
      <c r="N403" s="212"/>
      <c r="O403" s="264"/>
    </row>
    <row r="404" spans="2:15" ht="14.45" customHeight="1" x14ac:dyDescent="0.2">
      <c r="B404" s="61" t="s">
        <v>2604</v>
      </c>
      <c r="C404" s="64" t="s">
        <v>2550</v>
      </c>
      <c r="D404" s="84" t="s">
        <v>3442</v>
      </c>
      <c r="E404" s="137" t="s">
        <v>7</v>
      </c>
      <c r="F404" s="138" t="s">
        <v>76</v>
      </c>
      <c r="G404" s="293" t="s">
        <v>2566</v>
      </c>
      <c r="H404" s="139" t="s">
        <v>121</v>
      </c>
      <c r="I404" s="140" t="s">
        <v>2242</v>
      </c>
      <c r="J404" s="141">
        <v>2669</v>
      </c>
      <c r="K404" s="244" t="s">
        <v>2594</v>
      </c>
      <c r="L404" s="169"/>
      <c r="M404" s="244" t="str">
        <f t="shared" si="6"/>
        <v>제5편 병합소송-제11장 병합청구소송-제01절 청구의 원시적 병합-01</v>
      </c>
      <c r="N404" s="209"/>
      <c r="O404" s="259"/>
    </row>
    <row r="405" spans="2:15" ht="14.45" customHeight="1" x14ac:dyDescent="0.2">
      <c r="B405" s="80" t="s">
        <v>2542</v>
      </c>
      <c r="C405" s="85" t="s">
        <v>2549</v>
      </c>
      <c r="D405" s="90" t="s">
        <v>3442</v>
      </c>
      <c r="E405" s="148" t="s">
        <v>2425</v>
      </c>
      <c r="F405" s="149" t="s">
        <v>185</v>
      </c>
      <c r="G405" s="291" t="s">
        <v>2567</v>
      </c>
      <c r="H405" s="150" t="s">
        <v>2500</v>
      </c>
      <c r="I405" s="151" t="s">
        <v>2501</v>
      </c>
      <c r="J405" s="152">
        <v>1546</v>
      </c>
      <c r="K405" s="248" t="s">
        <v>2594</v>
      </c>
      <c r="L405" s="153" t="s">
        <v>3645</v>
      </c>
      <c r="M405" s="248" t="str">
        <f t="shared" si="6"/>
        <v>제5편 병합소송-제11장 병합청구소송-제01절 청구의 원시적 병합-02</v>
      </c>
      <c r="N405" s="211"/>
      <c r="O405" s="263"/>
    </row>
    <row r="406" spans="2:15" ht="14.45" customHeight="1" x14ac:dyDescent="0.2">
      <c r="B406" s="80" t="s">
        <v>2542</v>
      </c>
      <c r="C406" s="85" t="s">
        <v>2549</v>
      </c>
      <c r="D406" s="90" t="s">
        <v>3442</v>
      </c>
      <c r="E406" s="148" t="s">
        <v>2425</v>
      </c>
      <c r="F406" s="149" t="s">
        <v>2325</v>
      </c>
      <c r="G406" s="291" t="s">
        <v>2568</v>
      </c>
      <c r="H406" s="150" t="s">
        <v>183</v>
      </c>
      <c r="I406" s="151" t="s">
        <v>2191</v>
      </c>
      <c r="J406" s="152">
        <v>1884</v>
      </c>
      <c r="K406" s="248" t="s">
        <v>2594</v>
      </c>
      <c r="L406" s="153"/>
      <c r="M406" s="248" t="str">
        <f t="shared" si="6"/>
        <v>제5편 병합소송-제11장 병합청구소송-제01절 청구의 원시적 병합-03</v>
      </c>
      <c r="N406" s="211"/>
      <c r="O406" s="263"/>
    </row>
    <row r="407" spans="2:15" ht="14.45" customHeight="1" x14ac:dyDescent="0.2">
      <c r="B407" s="80" t="s">
        <v>2542</v>
      </c>
      <c r="C407" s="85" t="s">
        <v>2549</v>
      </c>
      <c r="D407" s="90" t="s">
        <v>3442</v>
      </c>
      <c r="E407" s="148" t="s">
        <v>2425</v>
      </c>
      <c r="F407" s="149" t="s">
        <v>184</v>
      </c>
      <c r="G407" s="291" t="s">
        <v>2569</v>
      </c>
      <c r="H407" s="150" t="s">
        <v>2460</v>
      </c>
      <c r="I407" s="151" t="s">
        <v>2461</v>
      </c>
      <c r="J407" s="152">
        <v>2189</v>
      </c>
      <c r="K407" s="248" t="s">
        <v>2594</v>
      </c>
      <c r="L407" s="153"/>
      <c r="M407" s="248" t="str">
        <f t="shared" si="6"/>
        <v>제5편 병합소송-제11장 병합청구소송-제01절 청구의 원시적 병합-04</v>
      </c>
      <c r="N407" s="211"/>
      <c r="O407" s="263"/>
    </row>
    <row r="408" spans="2:15" ht="14.45" hidden="1" customHeight="1" x14ac:dyDescent="0.2">
      <c r="B408" s="80" t="s">
        <v>2542</v>
      </c>
      <c r="C408" s="85" t="s">
        <v>2549</v>
      </c>
      <c r="D408" s="90" t="s">
        <v>3442</v>
      </c>
      <c r="E408" s="148" t="s">
        <v>1553</v>
      </c>
      <c r="F408" s="149" t="s">
        <v>3985</v>
      </c>
      <c r="G408" s="291" t="s">
        <v>3646</v>
      </c>
      <c r="H408" s="150" t="s">
        <v>3285</v>
      </c>
      <c r="I408" s="151" t="s">
        <v>2889</v>
      </c>
      <c r="J408" s="152">
        <v>303</v>
      </c>
      <c r="K408" s="248"/>
      <c r="L408" s="153"/>
      <c r="M408" s="248" t="str">
        <f t="shared" si="6"/>
        <v>제5편 병합소송-제11장 병합청구소송-제01절 청구의 원시적 병합-05</v>
      </c>
      <c r="N408" s="211"/>
      <c r="O408" s="263"/>
    </row>
    <row r="409" spans="2:15" ht="14.45" hidden="1" customHeight="1" x14ac:dyDescent="0.2">
      <c r="B409" s="80" t="s">
        <v>2542</v>
      </c>
      <c r="C409" s="85" t="s">
        <v>2549</v>
      </c>
      <c r="D409" s="90" t="s">
        <v>3442</v>
      </c>
      <c r="E409" s="148" t="s">
        <v>1553</v>
      </c>
      <c r="F409" s="149" t="s">
        <v>3986</v>
      </c>
      <c r="G409" s="291" t="s">
        <v>3647</v>
      </c>
      <c r="H409" s="150" t="s">
        <v>3286</v>
      </c>
      <c r="I409" s="151" t="s">
        <v>2890</v>
      </c>
      <c r="J409" s="152">
        <v>178</v>
      </c>
      <c r="K409" s="248"/>
      <c r="L409" s="153"/>
      <c r="M409" s="248" t="str">
        <f t="shared" si="6"/>
        <v>제5편 병합소송-제11장 병합청구소송-제01절 청구의 원시적 병합-06</v>
      </c>
      <c r="N409" s="211"/>
      <c r="O409" s="263"/>
    </row>
    <row r="410" spans="2:15" ht="14.45" hidden="1" customHeight="1" x14ac:dyDescent="0.2">
      <c r="B410" s="80" t="s">
        <v>2542</v>
      </c>
      <c r="C410" s="85" t="s">
        <v>2549</v>
      </c>
      <c r="D410" s="90" t="s">
        <v>3442</v>
      </c>
      <c r="E410" s="148" t="s">
        <v>1553</v>
      </c>
      <c r="F410" s="149" t="s">
        <v>3987</v>
      </c>
      <c r="G410" s="291" t="s">
        <v>3648</v>
      </c>
      <c r="H410" s="150" t="s">
        <v>3287</v>
      </c>
      <c r="I410" s="151" t="s">
        <v>2891</v>
      </c>
      <c r="J410" s="152">
        <v>351</v>
      </c>
      <c r="K410" s="248"/>
      <c r="L410" s="153"/>
      <c r="M410" s="248" t="str">
        <f t="shared" si="6"/>
        <v>제5편 병합소송-제11장 병합청구소송-제01절 청구의 원시적 병합-07</v>
      </c>
      <c r="N410" s="211"/>
      <c r="O410" s="263"/>
    </row>
    <row r="411" spans="2:15" ht="14.45" hidden="1" customHeight="1" x14ac:dyDescent="0.2">
      <c r="B411" s="80" t="s">
        <v>2542</v>
      </c>
      <c r="C411" s="85" t="s">
        <v>2549</v>
      </c>
      <c r="D411" s="90" t="s">
        <v>3442</v>
      </c>
      <c r="E411" s="148" t="s">
        <v>1553</v>
      </c>
      <c r="F411" s="149" t="s">
        <v>3988</v>
      </c>
      <c r="G411" s="291" t="s">
        <v>3649</v>
      </c>
      <c r="H411" s="150" t="s">
        <v>3288</v>
      </c>
      <c r="I411" s="151" t="s">
        <v>2892</v>
      </c>
      <c r="J411" s="152">
        <v>202</v>
      </c>
      <c r="K411" s="248"/>
      <c r="L411" s="153"/>
      <c r="M411" s="248" t="str">
        <f t="shared" si="6"/>
        <v>제5편 병합소송-제11장 병합청구소송-제01절 청구의 원시적 병합-08</v>
      </c>
      <c r="N411" s="211"/>
      <c r="O411" s="263"/>
    </row>
    <row r="412" spans="2:15" ht="14.45" hidden="1" customHeight="1" x14ac:dyDescent="0.2">
      <c r="B412" s="80" t="s">
        <v>2542</v>
      </c>
      <c r="C412" s="85" t="s">
        <v>2549</v>
      </c>
      <c r="D412" s="90" t="s">
        <v>3442</v>
      </c>
      <c r="E412" s="148" t="s">
        <v>1553</v>
      </c>
      <c r="F412" s="149" t="s">
        <v>3989</v>
      </c>
      <c r="G412" s="291" t="s">
        <v>3650</v>
      </c>
      <c r="H412" s="150" t="s">
        <v>3289</v>
      </c>
      <c r="I412" s="151" t="s">
        <v>2893</v>
      </c>
      <c r="J412" s="152">
        <v>295</v>
      </c>
      <c r="K412" s="248"/>
      <c r="L412" s="153"/>
      <c r="M412" s="248" t="str">
        <f t="shared" si="6"/>
        <v>제5편 병합소송-제11장 병합청구소송-제01절 청구의 원시적 병합-09</v>
      </c>
      <c r="N412" s="211"/>
      <c r="O412" s="263"/>
    </row>
    <row r="413" spans="2:15" ht="14.45" hidden="1" customHeight="1" x14ac:dyDescent="0.2">
      <c r="B413" s="80" t="s">
        <v>2542</v>
      </c>
      <c r="C413" s="85" t="s">
        <v>2549</v>
      </c>
      <c r="D413" s="90" t="s">
        <v>3442</v>
      </c>
      <c r="E413" s="148" t="s">
        <v>1553</v>
      </c>
      <c r="F413" s="149" t="s">
        <v>3990</v>
      </c>
      <c r="G413" s="291" t="s">
        <v>3651</v>
      </c>
      <c r="H413" s="150" t="s">
        <v>3290</v>
      </c>
      <c r="I413" s="151" t="s">
        <v>2894</v>
      </c>
      <c r="J413" s="152">
        <v>237</v>
      </c>
      <c r="K413" s="248"/>
      <c r="L413" s="153"/>
      <c r="M413" s="248" t="str">
        <f t="shared" si="6"/>
        <v>제5편 병합소송-제11장 병합청구소송-제01절 청구의 원시적 병합-10</v>
      </c>
      <c r="N413" s="211"/>
      <c r="O413" s="263"/>
    </row>
    <row r="414" spans="2:15" ht="14.45" hidden="1" customHeight="1" x14ac:dyDescent="0.2">
      <c r="B414" s="80" t="s">
        <v>2542</v>
      </c>
      <c r="C414" s="85" t="s">
        <v>2549</v>
      </c>
      <c r="D414" s="90" t="s">
        <v>3442</v>
      </c>
      <c r="E414" s="148" t="s">
        <v>1553</v>
      </c>
      <c r="F414" s="149" t="s">
        <v>3991</v>
      </c>
      <c r="G414" s="291" t="s">
        <v>3652</v>
      </c>
      <c r="H414" s="150" t="s">
        <v>3291</v>
      </c>
      <c r="I414" s="151" t="s">
        <v>2895</v>
      </c>
      <c r="J414" s="152">
        <v>320</v>
      </c>
      <c r="K414" s="248"/>
      <c r="L414" s="153"/>
      <c r="M414" s="248" t="str">
        <f t="shared" si="6"/>
        <v>제5편 병합소송-제11장 병합청구소송-제01절 청구의 원시적 병합-11</v>
      </c>
      <c r="N414" s="211"/>
      <c r="O414" s="263"/>
    </row>
    <row r="415" spans="2:15" ht="14.45" hidden="1" customHeight="1" x14ac:dyDescent="0.2">
      <c r="B415" s="80" t="s">
        <v>2542</v>
      </c>
      <c r="C415" s="85" t="s">
        <v>2549</v>
      </c>
      <c r="D415" s="90" t="s">
        <v>3442</v>
      </c>
      <c r="E415" s="148" t="s">
        <v>1553</v>
      </c>
      <c r="F415" s="149" t="s">
        <v>3992</v>
      </c>
      <c r="G415" s="291" t="s">
        <v>3653</v>
      </c>
      <c r="H415" s="150" t="s">
        <v>3292</v>
      </c>
      <c r="I415" s="151" t="s">
        <v>2896</v>
      </c>
      <c r="J415" s="152">
        <v>332</v>
      </c>
      <c r="K415" s="248"/>
      <c r="L415" s="153"/>
      <c r="M415" s="248" t="str">
        <f t="shared" si="6"/>
        <v>제5편 병합소송-제11장 병합청구소송-제01절 청구의 원시적 병합-12</v>
      </c>
      <c r="N415" s="211"/>
      <c r="O415" s="263"/>
    </row>
    <row r="416" spans="2:15" ht="14.45" hidden="1" customHeight="1" x14ac:dyDescent="0.2">
      <c r="B416" s="80" t="s">
        <v>2542</v>
      </c>
      <c r="C416" s="85" t="s">
        <v>2549</v>
      </c>
      <c r="D416" s="90" t="s">
        <v>3442</v>
      </c>
      <c r="E416" s="148" t="s">
        <v>1553</v>
      </c>
      <c r="F416" s="149" t="s">
        <v>3993</v>
      </c>
      <c r="G416" s="291" t="s">
        <v>3654</v>
      </c>
      <c r="H416" s="150" t="s">
        <v>3293</v>
      </c>
      <c r="I416" s="151" t="s">
        <v>2897</v>
      </c>
      <c r="J416" s="152">
        <v>368</v>
      </c>
      <c r="K416" s="248"/>
      <c r="L416" s="153"/>
      <c r="M416" s="248" t="str">
        <f t="shared" si="6"/>
        <v>제5편 병합소송-제11장 병합청구소송-제01절 청구의 원시적 병합-13</v>
      </c>
      <c r="N416" s="211"/>
      <c r="O416" s="263"/>
    </row>
    <row r="417" spans="2:15" ht="14.45" hidden="1" customHeight="1" x14ac:dyDescent="0.2">
      <c r="B417" s="80" t="s">
        <v>2542</v>
      </c>
      <c r="C417" s="85" t="s">
        <v>2549</v>
      </c>
      <c r="D417" s="90" t="s">
        <v>3442</v>
      </c>
      <c r="E417" s="148" t="s">
        <v>1553</v>
      </c>
      <c r="F417" s="149" t="s">
        <v>3994</v>
      </c>
      <c r="G417" s="291" t="s">
        <v>3655</v>
      </c>
      <c r="H417" s="150" t="s">
        <v>3294</v>
      </c>
      <c r="I417" s="151" t="s">
        <v>2898</v>
      </c>
      <c r="J417" s="152">
        <v>223</v>
      </c>
      <c r="K417" s="248"/>
      <c r="L417" s="153"/>
      <c r="M417" s="248" t="str">
        <f t="shared" si="6"/>
        <v>제5편 병합소송-제11장 병합청구소송-제01절 청구의 원시적 병합-14</v>
      </c>
      <c r="N417" s="211"/>
      <c r="O417" s="263"/>
    </row>
    <row r="418" spans="2:15" ht="14.45" hidden="1" customHeight="1" x14ac:dyDescent="0.2">
      <c r="B418" s="80" t="s">
        <v>2542</v>
      </c>
      <c r="C418" s="85" t="s">
        <v>2549</v>
      </c>
      <c r="D418" s="90" t="s">
        <v>3442</v>
      </c>
      <c r="E418" s="148" t="s">
        <v>1553</v>
      </c>
      <c r="F418" s="149" t="s">
        <v>3995</v>
      </c>
      <c r="G418" s="291" t="s">
        <v>3656</v>
      </c>
      <c r="H418" s="150" t="s">
        <v>3295</v>
      </c>
      <c r="I418" s="151" t="s">
        <v>2899</v>
      </c>
      <c r="J418" s="152">
        <v>218</v>
      </c>
      <c r="K418" s="248"/>
      <c r="L418" s="153"/>
      <c r="M418" s="248" t="str">
        <f t="shared" si="6"/>
        <v>제5편 병합소송-제11장 병합청구소송-제01절 청구의 원시적 병합-15</v>
      </c>
      <c r="N418" s="211"/>
      <c r="O418" s="263"/>
    </row>
    <row r="419" spans="2:15" ht="14.45" hidden="1" customHeight="1" x14ac:dyDescent="0.2">
      <c r="B419" s="80" t="s">
        <v>2542</v>
      </c>
      <c r="C419" s="85" t="s">
        <v>2549</v>
      </c>
      <c r="D419" s="90" t="s">
        <v>3442</v>
      </c>
      <c r="E419" s="148" t="s">
        <v>1553</v>
      </c>
      <c r="F419" s="149" t="s">
        <v>3996</v>
      </c>
      <c r="G419" s="291" t="s">
        <v>3657</v>
      </c>
      <c r="H419" s="150" t="s">
        <v>3296</v>
      </c>
      <c r="I419" s="151" t="s">
        <v>2900</v>
      </c>
      <c r="J419" s="152">
        <v>792</v>
      </c>
      <c r="K419" s="248"/>
      <c r="L419" s="153"/>
      <c r="M419" s="248" t="str">
        <f t="shared" si="6"/>
        <v>제5편 병합소송-제11장 병합청구소송-제01절 청구의 원시적 병합-16</v>
      </c>
      <c r="N419" s="211"/>
      <c r="O419" s="263"/>
    </row>
    <row r="420" spans="2:15" ht="14.45" hidden="1" customHeight="1" x14ac:dyDescent="0.2">
      <c r="B420" s="80" t="s">
        <v>2542</v>
      </c>
      <c r="C420" s="85" t="s">
        <v>2549</v>
      </c>
      <c r="D420" s="89" t="s">
        <v>3442</v>
      </c>
      <c r="E420" s="213" t="s">
        <v>1553</v>
      </c>
      <c r="F420" s="214" t="s">
        <v>3997</v>
      </c>
      <c r="G420" s="290" t="s">
        <v>3658</v>
      </c>
      <c r="H420" s="215" t="s">
        <v>3394</v>
      </c>
      <c r="I420" s="216" t="s">
        <v>2998</v>
      </c>
      <c r="J420" s="217">
        <v>253</v>
      </c>
      <c r="K420" s="245" t="s">
        <v>2594</v>
      </c>
      <c r="L420" s="219" t="s">
        <v>3411</v>
      </c>
      <c r="M420" s="245" t="str">
        <f t="shared" si="6"/>
        <v>제5편 병합소송-제11장 병합청구소송-제01절 청구의 원시적 병합-17</v>
      </c>
      <c r="N420" s="218"/>
      <c r="O420" s="260"/>
    </row>
    <row r="421" spans="2:15" ht="14.45" customHeight="1" x14ac:dyDescent="0.2">
      <c r="B421" s="80" t="s">
        <v>2542</v>
      </c>
      <c r="C421" s="85" t="s">
        <v>2549</v>
      </c>
      <c r="D421" s="83" t="s">
        <v>3444</v>
      </c>
      <c r="E421" s="143" t="s">
        <v>7</v>
      </c>
      <c r="F421" s="144" t="s">
        <v>76</v>
      </c>
      <c r="G421" s="295" t="s">
        <v>2566</v>
      </c>
      <c r="H421" s="145" t="s">
        <v>122</v>
      </c>
      <c r="I421" s="146" t="s">
        <v>2243</v>
      </c>
      <c r="J421" s="147">
        <v>3748</v>
      </c>
      <c r="K421" s="247" t="s">
        <v>2593</v>
      </c>
      <c r="L421" s="168"/>
      <c r="M421" s="247" t="str">
        <f t="shared" si="6"/>
        <v>제5편 병합소송-제11장 병합청구소송-제02절 청구의 후발적 병합-01</v>
      </c>
      <c r="N421" s="210"/>
      <c r="O421" s="262"/>
    </row>
    <row r="422" spans="2:15" ht="14.45" customHeight="1" x14ac:dyDescent="0.2">
      <c r="B422" s="80" t="s">
        <v>2542</v>
      </c>
      <c r="C422" s="85" t="s">
        <v>2549</v>
      </c>
      <c r="D422" s="90" t="s">
        <v>3444</v>
      </c>
      <c r="E422" s="148" t="s">
        <v>2425</v>
      </c>
      <c r="F422" s="149" t="s">
        <v>2326</v>
      </c>
      <c r="G422" s="291" t="s">
        <v>2567</v>
      </c>
      <c r="H422" s="150" t="s">
        <v>2506</v>
      </c>
      <c r="I422" s="151" t="s">
        <v>2507</v>
      </c>
      <c r="J422" s="152">
        <v>1243</v>
      </c>
      <c r="K422" s="248" t="s">
        <v>2593</v>
      </c>
      <c r="L422" s="153" t="s">
        <v>3645</v>
      </c>
      <c r="M422" s="248" t="str">
        <f t="shared" si="6"/>
        <v>제5편 병합소송-제11장 병합청구소송-제02절 청구의 후발적 병합-02</v>
      </c>
      <c r="N422" s="211"/>
      <c r="O422" s="263"/>
    </row>
    <row r="423" spans="2:15" ht="14.45" customHeight="1" x14ac:dyDescent="0.2">
      <c r="B423" s="80" t="s">
        <v>2542</v>
      </c>
      <c r="C423" s="85" t="s">
        <v>2549</v>
      </c>
      <c r="D423" s="90" t="s">
        <v>3444</v>
      </c>
      <c r="E423" s="148" t="s">
        <v>2425</v>
      </c>
      <c r="F423" s="149" t="s">
        <v>186</v>
      </c>
      <c r="G423" s="291" t="s">
        <v>2568</v>
      </c>
      <c r="H423" s="150" t="s">
        <v>2503</v>
      </c>
      <c r="I423" s="151" t="s">
        <v>2504</v>
      </c>
      <c r="J423" s="152">
        <v>1466</v>
      </c>
      <c r="K423" s="248" t="s">
        <v>2593</v>
      </c>
      <c r="L423" s="153" t="s">
        <v>3645</v>
      </c>
      <c r="M423" s="248" t="str">
        <f t="shared" si="6"/>
        <v>제5편 병합소송-제11장 병합청구소송-제02절 청구의 후발적 병합-03</v>
      </c>
      <c r="N423" s="211"/>
      <c r="O423" s="263"/>
    </row>
    <row r="424" spans="2:15" ht="14.45" customHeight="1" thickBot="1" x14ac:dyDescent="0.25">
      <c r="B424" s="80" t="s">
        <v>2542</v>
      </c>
      <c r="C424" s="85" t="s">
        <v>2549</v>
      </c>
      <c r="D424" s="90" t="s">
        <v>3444</v>
      </c>
      <c r="E424" s="148" t="s">
        <v>2426</v>
      </c>
      <c r="F424" s="149" t="s">
        <v>3567</v>
      </c>
      <c r="G424" s="291" t="s">
        <v>2569</v>
      </c>
      <c r="H424" s="150" t="s">
        <v>3578</v>
      </c>
      <c r="I424" s="151" t="s">
        <v>3586</v>
      </c>
      <c r="J424" s="152">
        <v>1229</v>
      </c>
      <c r="K424" s="248" t="s">
        <v>2593</v>
      </c>
      <c r="L424" s="153" t="s">
        <v>3645</v>
      </c>
      <c r="M424" s="248" t="str">
        <f t="shared" si="6"/>
        <v>제5편 병합소송-제11장 병합청구소송-제02절 청구의 후발적 병합-04</v>
      </c>
      <c r="N424" s="211"/>
      <c r="O424" s="263"/>
    </row>
    <row r="425" spans="2:15" ht="14.45" hidden="1" customHeight="1" x14ac:dyDescent="0.25">
      <c r="B425" s="80" t="s">
        <v>2542</v>
      </c>
      <c r="C425" s="85" t="s">
        <v>2549</v>
      </c>
      <c r="D425" s="90" t="s">
        <v>3444</v>
      </c>
      <c r="E425" s="148" t="s">
        <v>1553</v>
      </c>
      <c r="F425" s="149" t="s">
        <v>3998</v>
      </c>
      <c r="G425" s="291" t="s">
        <v>3646</v>
      </c>
      <c r="H425" s="150" t="s">
        <v>3297</v>
      </c>
      <c r="I425" s="151" t="s">
        <v>2901</v>
      </c>
      <c r="J425" s="152">
        <v>113</v>
      </c>
      <c r="K425" s="248"/>
      <c r="L425" s="153"/>
      <c r="M425" s="248" t="str">
        <f t="shared" si="6"/>
        <v>제5편 병합소송-제11장 병합청구소송-제02절 청구의 후발적 병합-05</v>
      </c>
      <c r="N425" s="211"/>
      <c r="O425" s="263"/>
    </row>
    <row r="426" spans="2:15" ht="14.45" hidden="1" customHeight="1" x14ac:dyDescent="0.25">
      <c r="B426" s="80" t="s">
        <v>2542</v>
      </c>
      <c r="C426" s="85" t="s">
        <v>2549</v>
      </c>
      <c r="D426" s="90" t="s">
        <v>3444</v>
      </c>
      <c r="E426" s="148" t="s">
        <v>1553</v>
      </c>
      <c r="F426" s="149" t="s">
        <v>3999</v>
      </c>
      <c r="G426" s="291" t="s">
        <v>3647</v>
      </c>
      <c r="H426" s="150" t="s">
        <v>3298</v>
      </c>
      <c r="I426" s="151" t="s">
        <v>2902</v>
      </c>
      <c r="J426" s="152">
        <v>188</v>
      </c>
      <c r="K426" s="248"/>
      <c r="L426" s="153"/>
      <c r="M426" s="248" t="str">
        <f t="shared" si="6"/>
        <v>제5편 병합소송-제11장 병합청구소송-제02절 청구의 후발적 병합-06</v>
      </c>
      <c r="N426" s="211"/>
      <c r="O426" s="263"/>
    </row>
    <row r="427" spans="2:15" ht="14.45" hidden="1" customHeight="1" x14ac:dyDescent="0.25">
      <c r="B427" s="80" t="s">
        <v>2542</v>
      </c>
      <c r="C427" s="85" t="s">
        <v>2549</v>
      </c>
      <c r="D427" s="90" t="s">
        <v>3444</v>
      </c>
      <c r="E427" s="148" t="s">
        <v>1553</v>
      </c>
      <c r="F427" s="149" t="s">
        <v>4000</v>
      </c>
      <c r="G427" s="291" t="s">
        <v>3648</v>
      </c>
      <c r="H427" s="150" t="s">
        <v>3299</v>
      </c>
      <c r="I427" s="151" t="s">
        <v>2903</v>
      </c>
      <c r="J427" s="152">
        <v>137</v>
      </c>
      <c r="K427" s="248"/>
      <c r="L427" s="153"/>
      <c r="M427" s="248" t="str">
        <f t="shared" si="6"/>
        <v>제5편 병합소송-제11장 병합청구소송-제02절 청구의 후발적 병합-07</v>
      </c>
      <c r="N427" s="211"/>
      <c r="O427" s="263"/>
    </row>
    <row r="428" spans="2:15" ht="14.45" hidden="1" customHeight="1" x14ac:dyDescent="0.25">
      <c r="B428" s="80" t="s">
        <v>2542</v>
      </c>
      <c r="C428" s="85" t="s">
        <v>2549</v>
      </c>
      <c r="D428" s="90" t="s">
        <v>3444</v>
      </c>
      <c r="E428" s="148" t="s">
        <v>1553</v>
      </c>
      <c r="F428" s="149" t="s">
        <v>4001</v>
      </c>
      <c r="G428" s="291" t="s">
        <v>3649</v>
      </c>
      <c r="H428" s="150" t="s">
        <v>3300</v>
      </c>
      <c r="I428" s="151" t="s">
        <v>2904</v>
      </c>
      <c r="J428" s="152">
        <v>181</v>
      </c>
      <c r="K428" s="248"/>
      <c r="L428" s="153"/>
      <c r="M428" s="248" t="str">
        <f t="shared" si="6"/>
        <v>제5편 병합소송-제11장 병합청구소송-제02절 청구의 후발적 병합-08</v>
      </c>
      <c r="N428" s="211"/>
      <c r="O428" s="263"/>
    </row>
    <row r="429" spans="2:15" ht="14.45" hidden="1" customHeight="1" x14ac:dyDescent="0.25">
      <c r="B429" s="80" t="s">
        <v>2542</v>
      </c>
      <c r="C429" s="85" t="s">
        <v>2549</v>
      </c>
      <c r="D429" s="90" t="s">
        <v>3444</v>
      </c>
      <c r="E429" s="148" t="s">
        <v>1553</v>
      </c>
      <c r="F429" s="149" t="s">
        <v>4002</v>
      </c>
      <c r="G429" s="291" t="s">
        <v>3650</v>
      </c>
      <c r="H429" s="150" t="s">
        <v>3301</v>
      </c>
      <c r="I429" s="151" t="s">
        <v>2905</v>
      </c>
      <c r="J429" s="152">
        <v>317</v>
      </c>
      <c r="K429" s="248"/>
      <c r="L429" s="153"/>
      <c r="M429" s="248" t="str">
        <f t="shared" si="6"/>
        <v>제5편 병합소송-제11장 병합청구소송-제02절 청구의 후발적 병합-09</v>
      </c>
      <c r="N429" s="211"/>
      <c r="O429" s="263"/>
    </row>
    <row r="430" spans="2:15" ht="14.45" hidden="1" customHeight="1" x14ac:dyDescent="0.25">
      <c r="B430" s="80" t="s">
        <v>2542</v>
      </c>
      <c r="C430" s="85" t="s">
        <v>2549</v>
      </c>
      <c r="D430" s="90" t="s">
        <v>3444</v>
      </c>
      <c r="E430" s="148" t="s">
        <v>1553</v>
      </c>
      <c r="F430" s="149" t="s">
        <v>4003</v>
      </c>
      <c r="G430" s="291" t="s">
        <v>3651</v>
      </c>
      <c r="H430" s="150" t="s">
        <v>3302</v>
      </c>
      <c r="I430" s="151" t="s">
        <v>2906</v>
      </c>
      <c r="J430" s="152">
        <v>396</v>
      </c>
      <c r="K430" s="248"/>
      <c r="L430" s="153"/>
      <c r="M430" s="248" t="str">
        <f t="shared" si="6"/>
        <v>제5편 병합소송-제11장 병합청구소송-제02절 청구의 후발적 병합-10</v>
      </c>
      <c r="N430" s="211"/>
      <c r="O430" s="263"/>
    </row>
    <row r="431" spans="2:15" ht="14.45" hidden="1" customHeight="1" thickBot="1" x14ac:dyDescent="0.25">
      <c r="B431" s="80" t="s">
        <v>2542</v>
      </c>
      <c r="C431" s="86" t="s">
        <v>2549</v>
      </c>
      <c r="D431" s="91" t="s">
        <v>3444</v>
      </c>
      <c r="E431" s="154" t="s">
        <v>1553</v>
      </c>
      <c r="F431" s="155" t="s">
        <v>4004</v>
      </c>
      <c r="G431" s="292" t="s">
        <v>3652</v>
      </c>
      <c r="H431" s="156" t="s">
        <v>3303</v>
      </c>
      <c r="I431" s="157" t="s">
        <v>2907</v>
      </c>
      <c r="J431" s="158">
        <v>425</v>
      </c>
      <c r="K431" s="249"/>
      <c r="L431" s="170"/>
      <c r="M431" s="249" t="str">
        <f t="shared" si="6"/>
        <v>제5편 병합소송-제11장 병합청구소송-제02절 청구의 후발적 병합-11</v>
      </c>
      <c r="N431" s="212"/>
      <c r="O431" s="264"/>
    </row>
    <row r="432" spans="2:15" ht="14.45" customHeight="1" x14ac:dyDescent="0.2">
      <c r="B432" s="80" t="s">
        <v>2542</v>
      </c>
      <c r="C432" s="64" t="s">
        <v>2552</v>
      </c>
      <c r="D432" s="84" t="s">
        <v>3443</v>
      </c>
      <c r="E432" s="137" t="s">
        <v>7</v>
      </c>
      <c r="F432" s="138" t="s">
        <v>77</v>
      </c>
      <c r="G432" s="293" t="s">
        <v>2566</v>
      </c>
      <c r="H432" s="139" t="s">
        <v>123</v>
      </c>
      <c r="I432" s="140" t="s">
        <v>2244</v>
      </c>
      <c r="J432" s="141">
        <v>3839</v>
      </c>
      <c r="K432" s="244" t="s">
        <v>2593</v>
      </c>
      <c r="L432" s="169"/>
      <c r="M432" s="244" t="str">
        <f t="shared" si="6"/>
        <v>제5편 병합소송-제12장 다수당사자소송-제01절 공동소송-01</v>
      </c>
      <c r="N432" s="209"/>
      <c r="O432" s="259"/>
    </row>
    <row r="433" spans="2:15" ht="14.45" customHeight="1" x14ac:dyDescent="0.2">
      <c r="B433" s="80" t="s">
        <v>2542</v>
      </c>
      <c r="C433" s="85" t="s">
        <v>2551</v>
      </c>
      <c r="D433" s="90" t="s">
        <v>3443</v>
      </c>
      <c r="E433" s="148" t="s">
        <v>2425</v>
      </c>
      <c r="F433" s="149" t="s">
        <v>198</v>
      </c>
      <c r="G433" s="291" t="s">
        <v>2567</v>
      </c>
      <c r="H433" s="150" t="s">
        <v>192</v>
      </c>
      <c r="I433" s="151" t="s">
        <v>2197</v>
      </c>
      <c r="J433" s="152">
        <v>1510</v>
      </c>
      <c r="K433" s="248" t="s">
        <v>2593</v>
      </c>
      <c r="L433" s="153" t="s">
        <v>3645</v>
      </c>
      <c r="M433" s="248" t="str">
        <f t="shared" si="6"/>
        <v>제5편 병합소송-제12장 다수당사자소송-제01절 공동소송-02</v>
      </c>
      <c r="N433" s="211"/>
      <c r="O433" s="263"/>
    </row>
    <row r="434" spans="2:15" ht="14.45" customHeight="1" x14ac:dyDescent="0.2">
      <c r="B434" s="80" t="s">
        <v>2542</v>
      </c>
      <c r="C434" s="85" t="s">
        <v>2551</v>
      </c>
      <c r="D434" s="90" t="s">
        <v>3443</v>
      </c>
      <c r="E434" s="148" t="s">
        <v>2425</v>
      </c>
      <c r="F434" s="149" t="s">
        <v>158</v>
      </c>
      <c r="G434" s="291" t="s">
        <v>2568</v>
      </c>
      <c r="H434" s="150" t="s">
        <v>2439</v>
      </c>
      <c r="I434" s="151" t="s">
        <v>2438</v>
      </c>
      <c r="J434" s="152">
        <v>1858</v>
      </c>
      <c r="K434" s="248" t="s">
        <v>2593</v>
      </c>
      <c r="L434" s="153" t="s">
        <v>3506</v>
      </c>
      <c r="M434" s="248" t="str">
        <f t="shared" si="6"/>
        <v>제5편 병합소송-제12장 다수당사자소송-제01절 공동소송-03</v>
      </c>
      <c r="N434" s="211"/>
      <c r="O434" s="263"/>
    </row>
    <row r="435" spans="2:15" ht="14.45" customHeight="1" x14ac:dyDescent="0.2">
      <c r="B435" s="80" t="s">
        <v>2542</v>
      </c>
      <c r="C435" s="85" t="s">
        <v>2551</v>
      </c>
      <c r="D435" s="90" t="s">
        <v>3443</v>
      </c>
      <c r="E435" s="148" t="s">
        <v>2425</v>
      </c>
      <c r="F435" s="149" t="s">
        <v>197</v>
      </c>
      <c r="G435" s="291" t="s">
        <v>2569</v>
      </c>
      <c r="H435" s="150" t="s">
        <v>191</v>
      </c>
      <c r="I435" s="151" t="s">
        <v>2196</v>
      </c>
      <c r="J435" s="152">
        <v>1618</v>
      </c>
      <c r="K435" s="248" t="s">
        <v>2593</v>
      </c>
      <c r="L435" s="153"/>
      <c r="M435" s="248" t="str">
        <f t="shared" si="6"/>
        <v>제5편 병합소송-제12장 다수당사자소송-제01절 공동소송-04</v>
      </c>
      <c r="N435" s="211"/>
      <c r="O435" s="263"/>
    </row>
    <row r="436" spans="2:15" ht="14.45" customHeight="1" x14ac:dyDescent="0.2">
      <c r="B436" s="80" t="s">
        <v>2542</v>
      </c>
      <c r="C436" s="85" t="s">
        <v>2551</v>
      </c>
      <c r="D436" s="90" t="s">
        <v>3443</v>
      </c>
      <c r="E436" s="148" t="s">
        <v>2425</v>
      </c>
      <c r="F436" s="149" t="s">
        <v>196</v>
      </c>
      <c r="G436" s="291" t="s">
        <v>3646</v>
      </c>
      <c r="H436" s="150" t="s">
        <v>190</v>
      </c>
      <c r="I436" s="151" t="s">
        <v>2195</v>
      </c>
      <c r="J436" s="152">
        <v>1949</v>
      </c>
      <c r="K436" s="248" t="s">
        <v>2593</v>
      </c>
      <c r="L436" s="153"/>
      <c r="M436" s="248" t="str">
        <f t="shared" si="6"/>
        <v>제5편 병합소송-제12장 다수당사자소송-제01절 공동소송-05</v>
      </c>
      <c r="N436" s="211"/>
      <c r="O436" s="263"/>
    </row>
    <row r="437" spans="2:15" ht="14.45" customHeight="1" x14ac:dyDescent="0.2">
      <c r="B437" s="80" t="s">
        <v>2542</v>
      </c>
      <c r="C437" s="85" t="s">
        <v>2551</v>
      </c>
      <c r="D437" s="90" t="s">
        <v>3443</v>
      </c>
      <c r="E437" s="148" t="s">
        <v>2425</v>
      </c>
      <c r="F437" s="149" t="s">
        <v>195</v>
      </c>
      <c r="G437" s="291" t="s">
        <v>3647</v>
      </c>
      <c r="H437" s="150" t="s">
        <v>189</v>
      </c>
      <c r="I437" s="151" t="s">
        <v>2194</v>
      </c>
      <c r="J437" s="152">
        <v>1696</v>
      </c>
      <c r="K437" s="248" t="s">
        <v>2593</v>
      </c>
      <c r="L437" s="153" t="s">
        <v>3645</v>
      </c>
      <c r="M437" s="248" t="str">
        <f t="shared" si="6"/>
        <v>제5편 병합소송-제12장 다수당사자소송-제01절 공동소송-06</v>
      </c>
      <c r="N437" s="211"/>
      <c r="O437" s="263"/>
    </row>
    <row r="438" spans="2:15" ht="14.45" customHeight="1" x14ac:dyDescent="0.2">
      <c r="B438" s="80" t="s">
        <v>2542</v>
      </c>
      <c r="C438" s="85" t="s">
        <v>2551</v>
      </c>
      <c r="D438" s="90" t="s">
        <v>3443</v>
      </c>
      <c r="E438" s="148" t="s">
        <v>2425</v>
      </c>
      <c r="F438" s="149" t="s">
        <v>194</v>
      </c>
      <c r="G438" s="291" t="s">
        <v>3648</v>
      </c>
      <c r="H438" s="150" t="s">
        <v>188</v>
      </c>
      <c r="I438" s="151" t="s">
        <v>2193</v>
      </c>
      <c r="J438" s="152">
        <v>1790</v>
      </c>
      <c r="K438" s="248" t="s">
        <v>2593</v>
      </c>
      <c r="L438" s="153"/>
      <c r="M438" s="248" t="str">
        <f t="shared" si="6"/>
        <v>제5편 병합소송-제12장 다수당사자소송-제01절 공동소송-07</v>
      </c>
      <c r="N438" s="211"/>
      <c r="O438" s="263"/>
    </row>
    <row r="439" spans="2:15" ht="14.45" customHeight="1" x14ac:dyDescent="0.2">
      <c r="B439" s="80" t="s">
        <v>2542</v>
      </c>
      <c r="C439" s="85" t="s">
        <v>2551</v>
      </c>
      <c r="D439" s="90" t="s">
        <v>3443</v>
      </c>
      <c r="E439" s="148" t="s">
        <v>2425</v>
      </c>
      <c r="F439" s="149" t="s">
        <v>2327</v>
      </c>
      <c r="G439" s="291" t="s">
        <v>3649</v>
      </c>
      <c r="H439" s="150" t="s">
        <v>187</v>
      </c>
      <c r="I439" s="151" t="s">
        <v>2192</v>
      </c>
      <c r="J439" s="152">
        <v>1619</v>
      </c>
      <c r="K439" s="248" t="s">
        <v>2593</v>
      </c>
      <c r="L439" s="153"/>
      <c r="M439" s="248" t="str">
        <f t="shared" si="6"/>
        <v>제5편 병합소송-제12장 다수당사자소송-제01절 공동소송-08</v>
      </c>
      <c r="N439" s="211"/>
      <c r="O439" s="263"/>
    </row>
    <row r="440" spans="2:15" ht="14.45" customHeight="1" x14ac:dyDescent="0.2">
      <c r="B440" s="80" t="s">
        <v>2542</v>
      </c>
      <c r="C440" s="85" t="s">
        <v>2551</v>
      </c>
      <c r="D440" s="90" t="s">
        <v>3443</v>
      </c>
      <c r="E440" s="148" t="s">
        <v>2425</v>
      </c>
      <c r="F440" s="149" t="s">
        <v>193</v>
      </c>
      <c r="G440" s="291" t="s">
        <v>3650</v>
      </c>
      <c r="H440" s="150" t="s">
        <v>2363</v>
      </c>
      <c r="I440" s="151" t="s">
        <v>2365</v>
      </c>
      <c r="J440" s="152">
        <v>1364</v>
      </c>
      <c r="K440" s="248" t="s">
        <v>2594</v>
      </c>
      <c r="L440" s="153"/>
      <c r="M440" s="248" t="str">
        <f t="shared" si="6"/>
        <v>제5편 병합소송-제12장 다수당사자소송-제01절 공동소송-09</v>
      </c>
      <c r="N440" s="211"/>
      <c r="O440" s="263"/>
    </row>
    <row r="441" spans="2:15" ht="14.45" customHeight="1" x14ac:dyDescent="0.2">
      <c r="B441" s="80" t="s">
        <v>2542</v>
      </c>
      <c r="C441" s="85" t="s">
        <v>2551</v>
      </c>
      <c r="D441" s="90" t="s">
        <v>3443</v>
      </c>
      <c r="E441" s="148" t="s">
        <v>2426</v>
      </c>
      <c r="F441" s="149" t="s">
        <v>2336</v>
      </c>
      <c r="G441" s="291" t="s">
        <v>3651</v>
      </c>
      <c r="H441" s="150" t="s">
        <v>2384</v>
      </c>
      <c r="I441" s="151" t="s">
        <v>2305</v>
      </c>
      <c r="J441" s="152">
        <v>1988</v>
      </c>
      <c r="K441" s="248" t="s">
        <v>2593</v>
      </c>
      <c r="L441" s="153"/>
      <c r="M441" s="248" t="str">
        <f t="shared" si="6"/>
        <v>제5편 병합소송-제12장 다수당사자소송-제01절 공동소송-10</v>
      </c>
      <c r="N441" s="211"/>
      <c r="O441" s="263"/>
    </row>
    <row r="442" spans="2:15" ht="14.45" customHeight="1" x14ac:dyDescent="0.2">
      <c r="B442" s="80" t="s">
        <v>2542</v>
      </c>
      <c r="C442" s="85" t="s">
        <v>2551</v>
      </c>
      <c r="D442" s="90" t="s">
        <v>3443</v>
      </c>
      <c r="E442" s="148" t="s">
        <v>2426</v>
      </c>
      <c r="F442" s="149" t="s">
        <v>3568</v>
      </c>
      <c r="G442" s="291" t="s">
        <v>3652</v>
      </c>
      <c r="H442" s="150" t="s">
        <v>3579</v>
      </c>
      <c r="I442" s="151" t="s">
        <v>3587</v>
      </c>
      <c r="J442" s="152">
        <v>1554</v>
      </c>
      <c r="K442" s="248" t="s">
        <v>2593</v>
      </c>
      <c r="L442" s="153" t="s">
        <v>3645</v>
      </c>
      <c r="M442" s="248" t="str">
        <f t="shared" si="6"/>
        <v>제5편 병합소송-제12장 다수당사자소송-제01절 공동소송-11</v>
      </c>
      <c r="N442" s="211"/>
      <c r="O442" s="263"/>
    </row>
    <row r="443" spans="2:15" ht="14.45" hidden="1" customHeight="1" x14ac:dyDescent="0.2">
      <c r="B443" s="80" t="s">
        <v>2542</v>
      </c>
      <c r="C443" s="85" t="s">
        <v>2551</v>
      </c>
      <c r="D443" s="90" t="s">
        <v>3443</v>
      </c>
      <c r="E443" s="148" t="s">
        <v>1553</v>
      </c>
      <c r="F443" s="149" t="s">
        <v>4005</v>
      </c>
      <c r="G443" s="291" t="s">
        <v>3653</v>
      </c>
      <c r="H443" s="150" t="s">
        <v>3304</v>
      </c>
      <c r="I443" s="151" t="s">
        <v>2908</v>
      </c>
      <c r="J443" s="152">
        <v>305</v>
      </c>
      <c r="K443" s="248"/>
      <c r="L443" s="153"/>
      <c r="M443" s="248" t="str">
        <f t="shared" si="6"/>
        <v>제5편 병합소송-제12장 다수당사자소송-제01절 공동소송-12</v>
      </c>
      <c r="N443" s="211"/>
      <c r="O443" s="263"/>
    </row>
    <row r="444" spans="2:15" ht="14.45" hidden="1" customHeight="1" x14ac:dyDescent="0.2">
      <c r="B444" s="80" t="s">
        <v>2542</v>
      </c>
      <c r="C444" s="85" t="s">
        <v>2551</v>
      </c>
      <c r="D444" s="90" t="s">
        <v>3443</v>
      </c>
      <c r="E444" s="148" t="s">
        <v>1553</v>
      </c>
      <c r="F444" s="149" t="s">
        <v>4006</v>
      </c>
      <c r="G444" s="291" t="s">
        <v>3654</v>
      </c>
      <c r="H444" s="150" t="s">
        <v>3305</v>
      </c>
      <c r="I444" s="151" t="s">
        <v>2909</v>
      </c>
      <c r="J444" s="152">
        <v>144</v>
      </c>
      <c r="K444" s="248"/>
      <c r="L444" s="153"/>
      <c r="M444" s="248" t="str">
        <f t="shared" si="6"/>
        <v>제5편 병합소송-제12장 다수당사자소송-제01절 공동소송-13</v>
      </c>
      <c r="N444" s="211"/>
      <c r="O444" s="263"/>
    </row>
    <row r="445" spans="2:15" ht="14.45" hidden="1" customHeight="1" x14ac:dyDescent="0.2">
      <c r="B445" s="80" t="s">
        <v>2542</v>
      </c>
      <c r="C445" s="85" t="s">
        <v>2551</v>
      </c>
      <c r="D445" s="90" t="s">
        <v>3443</v>
      </c>
      <c r="E445" s="148" t="s">
        <v>1553</v>
      </c>
      <c r="F445" s="149" t="s">
        <v>4007</v>
      </c>
      <c r="G445" s="291" t="s">
        <v>3655</v>
      </c>
      <c r="H445" s="150" t="s">
        <v>3306</v>
      </c>
      <c r="I445" s="151" t="s">
        <v>2910</v>
      </c>
      <c r="J445" s="152">
        <v>367</v>
      </c>
      <c r="K445" s="248"/>
      <c r="L445" s="153"/>
      <c r="M445" s="248" t="str">
        <f t="shared" si="6"/>
        <v>제5편 병합소송-제12장 다수당사자소송-제01절 공동소송-14</v>
      </c>
      <c r="N445" s="211"/>
      <c r="O445" s="263"/>
    </row>
    <row r="446" spans="2:15" ht="14.45" hidden="1" customHeight="1" x14ac:dyDescent="0.2">
      <c r="B446" s="80" t="s">
        <v>2542</v>
      </c>
      <c r="C446" s="85" t="s">
        <v>2551</v>
      </c>
      <c r="D446" s="90" t="s">
        <v>3443</v>
      </c>
      <c r="E446" s="148" t="s">
        <v>1553</v>
      </c>
      <c r="F446" s="149" t="s">
        <v>4008</v>
      </c>
      <c r="G446" s="291" t="s">
        <v>3656</v>
      </c>
      <c r="H446" s="150" t="s">
        <v>3307</v>
      </c>
      <c r="I446" s="151" t="s">
        <v>2911</v>
      </c>
      <c r="J446" s="152">
        <v>499</v>
      </c>
      <c r="K446" s="248"/>
      <c r="L446" s="153"/>
      <c r="M446" s="248" t="str">
        <f t="shared" si="6"/>
        <v>제5편 병합소송-제12장 다수당사자소송-제01절 공동소송-15</v>
      </c>
      <c r="N446" s="211"/>
      <c r="O446" s="263"/>
    </row>
    <row r="447" spans="2:15" ht="14.45" hidden="1" customHeight="1" x14ac:dyDescent="0.2">
      <c r="B447" s="80" t="s">
        <v>2542</v>
      </c>
      <c r="C447" s="85" t="s">
        <v>2551</v>
      </c>
      <c r="D447" s="90" t="s">
        <v>3443</v>
      </c>
      <c r="E447" s="148" t="s">
        <v>1553</v>
      </c>
      <c r="F447" s="149" t="s">
        <v>4009</v>
      </c>
      <c r="G447" s="291" t="s">
        <v>3657</v>
      </c>
      <c r="H447" s="150" t="s">
        <v>3308</v>
      </c>
      <c r="I447" s="151" t="s">
        <v>2912</v>
      </c>
      <c r="J447" s="152">
        <v>211</v>
      </c>
      <c r="K447" s="248"/>
      <c r="L447" s="153"/>
      <c r="M447" s="248" t="str">
        <f t="shared" si="6"/>
        <v>제5편 병합소송-제12장 다수당사자소송-제01절 공동소송-16</v>
      </c>
      <c r="N447" s="211"/>
      <c r="O447" s="263"/>
    </row>
    <row r="448" spans="2:15" ht="14.45" hidden="1" customHeight="1" x14ac:dyDescent="0.2">
      <c r="B448" s="80" t="s">
        <v>2542</v>
      </c>
      <c r="C448" s="85" t="s">
        <v>2551</v>
      </c>
      <c r="D448" s="90" t="s">
        <v>3443</v>
      </c>
      <c r="E448" s="148" t="s">
        <v>1553</v>
      </c>
      <c r="F448" s="149" t="s">
        <v>4010</v>
      </c>
      <c r="G448" s="291" t="s">
        <v>3658</v>
      </c>
      <c r="H448" s="150" t="s">
        <v>3309</v>
      </c>
      <c r="I448" s="151" t="s">
        <v>2913</v>
      </c>
      <c r="J448" s="152">
        <v>340</v>
      </c>
      <c r="K448" s="248"/>
      <c r="L448" s="153"/>
      <c r="M448" s="248" t="str">
        <f t="shared" si="6"/>
        <v>제5편 병합소송-제12장 다수당사자소송-제01절 공동소송-17</v>
      </c>
      <c r="N448" s="211"/>
      <c r="O448" s="263"/>
    </row>
    <row r="449" spans="2:15" ht="14.45" hidden="1" customHeight="1" x14ac:dyDescent="0.2">
      <c r="B449" s="80" t="s">
        <v>2542</v>
      </c>
      <c r="C449" s="85" t="s">
        <v>2551</v>
      </c>
      <c r="D449" s="90" t="s">
        <v>3443</v>
      </c>
      <c r="E449" s="148" t="s">
        <v>1553</v>
      </c>
      <c r="F449" s="149" t="s">
        <v>4011</v>
      </c>
      <c r="G449" s="291" t="s">
        <v>3659</v>
      </c>
      <c r="H449" s="150" t="s">
        <v>3310</v>
      </c>
      <c r="I449" s="151" t="s">
        <v>2914</v>
      </c>
      <c r="J449" s="152">
        <v>332</v>
      </c>
      <c r="K449" s="248"/>
      <c r="L449" s="153"/>
      <c r="M449" s="248" t="str">
        <f t="shared" si="6"/>
        <v>제5편 병합소송-제12장 다수당사자소송-제01절 공동소송-18</v>
      </c>
      <c r="N449" s="211"/>
      <c r="O449" s="263"/>
    </row>
    <row r="450" spans="2:15" ht="14.45" hidden="1" customHeight="1" x14ac:dyDescent="0.2">
      <c r="B450" s="80" t="s">
        <v>2542</v>
      </c>
      <c r="C450" s="85" t="s">
        <v>2551</v>
      </c>
      <c r="D450" s="90" t="s">
        <v>3443</v>
      </c>
      <c r="E450" s="148" t="s">
        <v>1553</v>
      </c>
      <c r="F450" s="149" t="s">
        <v>4012</v>
      </c>
      <c r="G450" s="291" t="s">
        <v>3660</v>
      </c>
      <c r="H450" s="150" t="s">
        <v>3311</v>
      </c>
      <c r="I450" s="151" t="s">
        <v>2915</v>
      </c>
      <c r="J450" s="152">
        <v>197</v>
      </c>
      <c r="K450" s="248"/>
      <c r="L450" s="153"/>
      <c r="M450" s="248" t="str">
        <f t="shared" si="6"/>
        <v>제5편 병합소송-제12장 다수당사자소송-제01절 공동소송-19</v>
      </c>
      <c r="N450" s="211"/>
      <c r="O450" s="263"/>
    </row>
    <row r="451" spans="2:15" ht="14.45" hidden="1" customHeight="1" x14ac:dyDescent="0.2">
      <c r="B451" s="80" t="s">
        <v>2542</v>
      </c>
      <c r="C451" s="85" t="s">
        <v>2551</v>
      </c>
      <c r="D451" s="90" t="s">
        <v>3443</v>
      </c>
      <c r="E451" s="148" t="s">
        <v>1553</v>
      </c>
      <c r="F451" s="149" t="s">
        <v>4013</v>
      </c>
      <c r="G451" s="291" t="s">
        <v>3661</v>
      </c>
      <c r="H451" s="150" t="s">
        <v>3312</v>
      </c>
      <c r="I451" s="151" t="s">
        <v>2916</v>
      </c>
      <c r="J451" s="152">
        <v>501</v>
      </c>
      <c r="K451" s="248"/>
      <c r="L451" s="153"/>
      <c r="M451" s="248" t="str">
        <f t="shared" si="6"/>
        <v>제5편 병합소송-제12장 다수당사자소송-제01절 공동소송-20</v>
      </c>
      <c r="N451" s="211"/>
      <c r="O451" s="263"/>
    </row>
    <row r="452" spans="2:15" ht="14.45" hidden="1" customHeight="1" x14ac:dyDescent="0.2">
      <c r="B452" s="80" t="s">
        <v>2542</v>
      </c>
      <c r="C452" s="85" t="s">
        <v>2551</v>
      </c>
      <c r="D452" s="90" t="s">
        <v>3443</v>
      </c>
      <c r="E452" s="148" t="s">
        <v>1553</v>
      </c>
      <c r="F452" s="149" t="s">
        <v>4014</v>
      </c>
      <c r="G452" s="291" t="s">
        <v>3662</v>
      </c>
      <c r="H452" s="150" t="s">
        <v>3313</v>
      </c>
      <c r="I452" s="151" t="s">
        <v>2917</v>
      </c>
      <c r="J452" s="152">
        <v>260</v>
      </c>
      <c r="K452" s="248"/>
      <c r="L452" s="153"/>
      <c r="M452" s="248" t="str">
        <f t="shared" si="6"/>
        <v>제5편 병합소송-제12장 다수당사자소송-제01절 공동소송-21</v>
      </c>
      <c r="N452" s="211"/>
      <c r="O452" s="263"/>
    </row>
    <row r="453" spans="2:15" ht="14.45" hidden="1" customHeight="1" x14ac:dyDescent="0.2">
      <c r="B453" s="80" t="s">
        <v>2542</v>
      </c>
      <c r="C453" s="85" t="s">
        <v>2551</v>
      </c>
      <c r="D453" s="90" t="s">
        <v>3443</v>
      </c>
      <c r="E453" s="148" t="s">
        <v>1553</v>
      </c>
      <c r="F453" s="149" t="s">
        <v>4015</v>
      </c>
      <c r="G453" s="291" t="s">
        <v>3663</v>
      </c>
      <c r="H453" s="150" t="s">
        <v>3314</v>
      </c>
      <c r="I453" s="151" t="s">
        <v>2918</v>
      </c>
      <c r="J453" s="152">
        <v>237</v>
      </c>
      <c r="K453" s="248"/>
      <c r="L453" s="153"/>
      <c r="M453" s="248" t="str">
        <f t="shared" ref="M453:M516" si="7">B453&amp;"-"&amp;C453&amp;"-"&amp;D453&amp;"-"&amp;G453</f>
        <v>제5편 병합소송-제12장 다수당사자소송-제01절 공동소송-22</v>
      </c>
      <c r="N453" s="211"/>
      <c r="O453" s="263"/>
    </row>
    <row r="454" spans="2:15" ht="14.45" hidden="1" customHeight="1" x14ac:dyDescent="0.2">
      <c r="B454" s="80" t="s">
        <v>2542</v>
      </c>
      <c r="C454" s="85" t="s">
        <v>2551</v>
      </c>
      <c r="D454" s="90" t="s">
        <v>3443</v>
      </c>
      <c r="E454" s="148" t="s">
        <v>1553</v>
      </c>
      <c r="F454" s="149" t="s">
        <v>4016</v>
      </c>
      <c r="G454" s="291" t="s">
        <v>3664</v>
      </c>
      <c r="H454" s="150" t="s">
        <v>3315</v>
      </c>
      <c r="I454" s="151" t="s">
        <v>2919</v>
      </c>
      <c r="J454" s="152">
        <v>342</v>
      </c>
      <c r="K454" s="248"/>
      <c r="L454" s="153"/>
      <c r="M454" s="248" t="str">
        <f t="shared" si="7"/>
        <v>제5편 병합소송-제12장 다수당사자소송-제01절 공동소송-23</v>
      </c>
      <c r="N454" s="211"/>
      <c r="O454" s="263"/>
    </row>
    <row r="455" spans="2:15" ht="14.45" hidden="1" customHeight="1" x14ac:dyDescent="0.2">
      <c r="B455" s="80" t="s">
        <v>2542</v>
      </c>
      <c r="C455" s="85" t="s">
        <v>2551</v>
      </c>
      <c r="D455" s="90" t="s">
        <v>3443</v>
      </c>
      <c r="E455" s="148" t="s">
        <v>1553</v>
      </c>
      <c r="F455" s="149" t="s">
        <v>4017</v>
      </c>
      <c r="G455" s="291" t="s">
        <v>3665</v>
      </c>
      <c r="H455" s="150" t="s">
        <v>3316</v>
      </c>
      <c r="I455" s="151" t="s">
        <v>2920</v>
      </c>
      <c r="J455" s="152">
        <v>274</v>
      </c>
      <c r="K455" s="248"/>
      <c r="L455" s="153"/>
      <c r="M455" s="248" t="str">
        <f t="shared" si="7"/>
        <v>제5편 병합소송-제12장 다수당사자소송-제01절 공동소송-24</v>
      </c>
      <c r="N455" s="211"/>
      <c r="O455" s="263"/>
    </row>
    <row r="456" spans="2:15" ht="14.45" hidden="1" customHeight="1" x14ac:dyDescent="0.2">
      <c r="B456" s="80" t="s">
        <v>2542</v>
      </c>
      <c r="C456" s="85" t="s">
        <v>2551</v>
      </c>
      <c r="D456" s="90" t="s">
        <v>3443</v>
      </c>
      <c r="E456" s="148" t="s">
        <v>1553</v>
      </c>
      <c r="F456" s="149" t="s">
        <v>4018</v>
      </c>
      <c r="G456" s="291" t="s">
        <v>3666</v>
      </c>
      <c r="H456" s="150" t="s">
        <v>3317</v>
      </c>
      <c r="I456" s="151" t="s">
        <v>2921</v>
      </c>
      <c r="J456" s="152">
        <v>424</v>
      </c>
      <c r="K456" s="248"/>
      <c r="L456" s="153"/>
      <c r="M456" s="248" t="str">
        <f t="shared" si="7"/>
        <v>제5편 병합소송-제12장 다수당사자소송-제01절 공동소송-25</v>
      </c>
      <c r="N456" s="211"/>
      <c r="O456" s="263"/>
    </row>
    <row r="457" spans="2:15" ht="14.45" hidden="1" customHeight="1" x14ac:dyDescent="0.2">
      <c r="B457" s="80" t="s">
        <v>2542</v>
      </c>
      <c r="C457" s="85" t="s">
        <v>2551</v>
      </c>
      <c r="D457" s="90" t="s">
        <v>3443</v>
      </c>
      <c r="E457" s="148" t="s">
        <v>1553</v>
      </c>
      <c r="F457" s="149" t="s">
        <v>4019</v>
      </c>
      <c r="G457" s="291" t="s">
        <v>3667</v>
      </c>
      <c r="H457" s="150" t="s">
        <v>3318</v>
      </c>
      <c r="I457" s="151" t="s">
        <v>2922</v>
      </c>
      <c r="J457" s="152">
        <v>269</v>
      </c>
      <c r="K457" s="248"/>
      <c r="L457" s="153"/>
      <c r="M457" s="248" t="str">
        <f t="shared" si="7"/>
        <v>제5편 병합소송-제12장 다수당사자소송-제01절 공동소송-26</v>
      </c>
      <c r="N457" s="211"/>
      <c r="O457" s="263"/>
    </row>
    <row r="458" spans="2:15" ht="14.45" hidden="1" customHeight="1" x14ac:dyDescent="0.2">
      <c r="B458" s="80" t="s">
        <v>2542</v>
      </c>
      <c r="C458" s="85" t="s">
        <v>2551</v>
      </c>
      <c r="D458" s="90" t="s">
        <v>3443</v>
      </c>
      <c r="E458" s="148" t="s">
        <v>1553</v>
      </c>
      <c r="F458" s="149" t="s">
        <v>4020</v>
      </c>
      <c r="G458" s="291" t="s">
        <v>3668</v>
      </c>
      <c r="H458" s="150" t="s">
        <v>3319</v>
      </c>
      <c r="I458" s="151" t="s">
        <v>2923</v>
      </c>
      <c r="J458" s="152">
        <v>364</v>
      </c>
      <c r="K458" s="248"/>
      <c r="L458" s="153"/>
      <c r="M458" s="248" t="str">
        <f t="shared" si="7"/>
        <v>제5편 병합소송-제12장 다수당사자소송-제01절 공동소송-27</v>
      </c>
      <c r="N458" s="211"/>
      <c r="O458" s="263"/>
    </row>
    <row r="459" spans="2:15" ht="14.45" hidden="1" customHeight="1" x14ac:dyDescent="0.2">
      <c r="B459" s="80" t="s">
        <v>2542</v>
      </c>
      <c r="C459" s="85" t="s">
        <v>2551</v>
      </c>
      <c r="D459" s="90" t="s">
        <v>3443</v>
      </c>
      <c r="E459" s="148" t="s">
        <v>1553</v>
      </c>
      <c r="F459" s="149" t="s">
        <v>4021</v>
      </c>
      <c r="G459" s="291" t="s">
        <v>3669</v>
      </c>
      <c r="H459" s="150" t="s">
        <v>3320</v>
      </c>
      <c r="I459" s="151" t="s">
        <v>2924</v>
      </c>
      <c r="J459" s="152">
        <v>584</v>
      </c>
      <c r="K459" s="248"/>
      <c r="L459" s="153"/>
      <c r="M459" s="248" t="str">
        <f t="shared" si="7"/>
        <v>제5편 병합소송-제12장 다수당사자소송-제01절 공동소송-28</v>
      </c>
      <c r="N459" s="211"/>
      <c r="O459" s="263"/>
    </row>
    <row r="460" spans="2:15" ht="14.45" hidden="1" customHeight="1" x14ac:dyDescent="0.2">
      <c r="B460" s="80" t="s">
        <v>2542</v>
      </c>
      <c r="C460" s="85" t="s">
        <v>2551</v>
      </c>
      <c r="D460" s="90" t="s">
        <v>3443</v>
      </c>
      <c r="E460" s="148" t="s">
        <v>1553</v>
      </c>
      <c r="F460" s="149" t="s">
        <v>4022</v>
      </c>
      <c r="G460" s="291" t="s">
        <v>3670</v>
      </c>
      <c r="H460" s="150" t="s">
        <v>3321</v>
      </c>
      <c r="I460" s="151" t="s">
        <v>2925</v>
      </c>
      <c r="J460" s="152">
        <v>546</v>
      </c>
      <c r="K460" s="248"/>
      <c r="L460" s="153"/>
      <c r="M460" s="248" t="str">
        <f t="shared" si="7"/>
        <v>제5편 병합소송-제12장 다수당사자소송-제01절 공동소송-29</v>
      </c>
      <c r="N460" s="211"/>
      <c r="O460" s="263"/>
    </row>
    <row r="461" spans="2:15" ht="14.45" hidden="1" customHeight="1" x14ac:dyDescent="0.2">
      <c r="B461" s="80" t="s">
        <v>2542</v>
      </c>
      <c r="C461" s="85" t="s">
        <v>2551</v>
      </c>
      <c r="D461" s="89" t="s">
        <v>3443</v>
      </c>
      <c r="E461" s="213" t="s">
        <v>1553</v>
      </c>
      <c r="F461" s="214" t="s">
        <v>4023</v>
      </c>
      <c r="G461" s="290" t="s">
        <v>3671</v>
      </c>
      <c r="H461" s="215" t="s">
        <v>3322</v>
      </c>
      <c r="I461" s="216" t="s">
        <v>2926</v>
      </c>
      <c r="J461" s="217">
        <v>227</v>
      </c>
      <c r="K461" s="245"/>
      <c r="L461" s="219"/>
      <c r="M461" s="245" t="str">
        <f t="shared" si="7"/>
        <v>제5편 병합소송-제12장 다수당사자소송-제01절 공동소송-30</v>
      </c>
      <c r="N461" s="218"/>
      <c r="O461" s="260"/>
    </row>
    <row r="462" spans="2:15" ht="14.45" customHeight="1" x14ac:dyDescent="0.2">
      <c r="B462" s="80" t="s">
        <v>2542</v>
      </c>
      <c r="C462" s="85" t="s">
        <v>2551</v>
      </c>
      <c r="D462" s="83" t="s">
        <v>3445</v>
      </c>
      <c r="E462" s="143" t="s">
        <v>7</v>
      </c>
      <c r="F462" s="144" t="s">
        <v>77</v>
      </c>
      <c r="G462" s="295" t="s">
        <v>2566</v>
      </c>
      <c r="H462" s="145" t="s">
        <v>124</v>
      </c>
      <c r="I462" s="146" t="s">
        <v>2245</v>
      </c>
      <c r="J462" s="147">
        <v>3675</v>
      </c>
      <c r="K462" s="247" t="s">
        <v>2593</v>
      </c>
      <c r="L462" s="168"/>
      <c r="M462" s="247" t="str">
        <f t="shared" si="7"/>
        <v>제5편 병합소송-제12장 다수당사자소송-제02절 제3자의 소송참가-01</v>
      </c>
      <c r="N462" s="210"/>
      <c r="O462" s="262"/>
    </row>
    <row r="463" spans="2:15" ht="14.45" customHeight="1" x14ac:dyDescent="0.2">
      <c r="B463" s="80" t="s">
        <v>2542</v>
      </c>
      <c r="C463" s="85" t="s">
        <v>2551</v>
      </c>
      <c r="D463" s="90" t="s">
        <v>3445</v>
      </c>
      <c r="E463" s="148" t="s">
        <v>2425</v>
      </c>
      <c r="F463" s="149" t="s">
        <v>202</v>
      </c>
      <c r="G463" s="291" t="s">
        <v>2567</v>
      </c>
      <c r="H463" s="150" t="s">
        <v>200</v>
      </c>
      <c r="I463" s="151" t="s">
        <v>2199</v>
      </c>
      <c r="J463" s="152">
        <v>1605</v>
      </c>
      <c r="K463" s="248" t="s">
        <v>2593</v>
      </c>
      <c r="L463" s="153" t="s">
        <v>3645</v>
      </c>
      <c r="M463" s="248" t="str">
        <f t="shared" si="7"/>
        <v>제5편 병합소송-제12장 다수당사자소송-제02절 제3자의 소송참가-02</v>
      </c>
      <c r="N463" s="211"/>
      <c r="O463" s="263"/>
    </row>
    <row r="464" spans="2:15" ht="14.45" customHeight="1" x14ac:dyDescent="0.2">
      <c r="B464" s="80" t="s">
        <v>2542</v>
      </c>
      <c r="C464" s="85" t="s">
        <v>2551</v>
      </c>
      <c r="D464" s="90" t="s">
        <v>3445</v>
      </c>
      <c r="E464" s="148" t="s">
        <v>2425</v>
      </c>
      <c r="F464" s="149" t="s">
        <v>151</v>
      </c>
      <c r="G464" s="291" t="s">
        <v>2568</v>
      </c>
      <c r="H464" s="150" t="s">
        <v>2366</v>
      </c>
      <c r="I464" s="151" t="s">
        <v>2368</v>
      </c>
      <c r="J464" s="152">
        <v>2930</v>
      </c>
      <c r="K464" s="248" t="s">
        <v>2593</v>
      </c>
      <c r="L464" s="153"/>
      <c r="M464" s="248" t="str">
        <f t="shared" si="7"/>
        <v>제5편 병합소송-제12장 다수당사자소송-제02절 제3자의 소송참가-03</v>
      </c>
      <c r="N464" s="211"/>
      <c r="O464" s="263"/>
    </row>
    <row r="465" spans="2:15" ht="14.45" customHeight="1" x14ac:dyDescent="0.2">
      <c r="B465" s="80" t="s">
        <v>2542</v>
      </c>
      <c r="C465" s="85" t="s">
        <v>2551</v>
      </c>
      <c r="D465" s="90" t="s">
        <v>3445</v>
      </c>
      <c r="E465" s="148" t="s">
        <v>2425</v>
      </c>
      <c r="F465" s="149" t="s">
        <v>2328</v>
      </c>
      <c r="G465" s="291" t="s">
        <v>2569</v>
      </c>
      <c r="H465" s="150" t="s">
        <v>2470</v>
      </c>
      <c r="I465" s="151" t="s">
        <v>2471</v>
      </c>
      <c r="J465" s="152">
        <v>1417</v>
      </c>
      <c r="K465" s="248" t="s">
        <v>2593</v>
      </c>
      <c r="L465" s="153" t="s">
        <v>3645</v>
      </c>
      <c r="M465" s="248" t="str">
        <f t="shared" si="7"/>
        <v>제5편 병합소송-제12장 다수당사자소송-제02절 제3자의 소송참가-04</v>
      </c>
      <c r="N465" s="211"/>
      <c r="O465" s="263"/>
    </row>
    <row r="466" spans="2:15" ht="14.45" customHeight="1" x14ac:dyDescent="0.2">
      <c r="B466" s="80" t="s">
        <v>2542</v>
      </c>
      <c r="C466" s="85" t="s">
        <v>2551</v>
      </c>
      <c r="D466" s="90" t="s">
        <v>3445</v>
      </c>
      <c r="E466" s="148" t="s">
        <v>2425</v>
      </c>
      <c r="F466" s="149" t="s">
        <v>201</v>
      </c>
      <c r="G466" s="291" t="s">
        <v>3646</v>
      </c>
      <c r="H466" s="150" t="s">
        <v>199</v>
      </c>
      <c r="I466" s="151" t="s">
        <v>2198</v>
      </c>
      <c r="J466" s="152">
        <v>1552</v>
      </c>
      <c r="K466" s="248" t="s">
        <v>2593</v>
      </c>
      <c r="L466" s="153" t="s">
        <v>3645</v>
      </c>
      <c r="M466" s="248" t="str">
        <f t="shared" si="7"/>
        <v>제5편 병합소송-제12장 다수당사자소송-제02절 제3자의 소송참가-05</v>
      </c>
      <c r="N466" s="211"/>
      <c r="O466" s="263"/>
    </row>
    <row r="467" spans="2:15" ht="14.45" hidden="1" customHeight="1" x14ac:dyDescent="0.2">
      <c r="B467" s="80" t="s">
        <v>2542</v>
      </c>
      <c r="C467" s="85" t="s">
        <v>2551</v>
      </c>
      <c r="D467" s="90" t="s">
        <v>3445</v>
      </c>
      <c r="E467" s="148" t="s">
        <v>1553</v>
      </c>
      <c r="F467" s="149" t="s">
        <v>4024</v>
      </c>
      <c r="G467" s="291" t="s">
        <v>3647</v>
      </c>
      <c r="H467" s="150" t="s">
        <v>3323</v>
      </c>
      <c r="I467" s="151" t="s">
        <v>2927</v>
      </c>
      <c r="J467" s="152">
        <v>342</v>
      </c>
      <c r="K467" s="248" t="s">
        <v>2593</v>
      </c>
      <c r="L467" s="153"/>
      <c r="M467" s="248" t="str">
        <f t="shared" si="7"/>
        <v>제5편 병합소송-제12장 다수당사자소송-제02절 제3자의 소송참가-06</v>
      </c>
      <c r="N467" s="211"/>
      <c r="O467" s="263"/>
    </row>
    <row r="468" spans="2:15" ht="14.45" hidden="1" customHeight="1" x14ac:dyDescent="0.2">
      <c r="B468" s="80" t="s">
        <v>2542</v>
      </c>
      <c r="C468" s="85" t="s">
        <v>2551</v>
      </c>
      <c r="D468" s="90" t="s">
        <v>3445</v>
      </c>
      <c r="E468" s="148" t="s">
        <v>1553</v>
      </c>
      <c r="F468" s="149" t="s">
        <v>4025</v>
      </c>
      <c r="G468" s="291" t="s">
        <v>3648</v>
      </c>
      <c r="H468" s="150" t="s">
        <v>3324</v>
      </c>
      <c r="I468" s="151" t="s">
        <v>2928</v>
      </c>
      <c r="J468" s="152">
        <v>381</v>
      </c>
      <c r="K468" s="248" t="s">
        <v>2593</v>
      </c>
      <c r="L468" s="153"/>
      <c r="M468" s="248" t="str">
        <f t="shared" si="7"/>
        <v>제5편 병합소송-제12장 다수당사자소송-제02절 제3자의 소송참가-07</v>
      </c>
      <c r="N468" s="211"/>
      <c r="O468" s="263"/>
    </row>
    <row r="469" spans="2:15" ht="14.45" hidden="1" customHeight="1" x14ac:dyDescent="0.2">
      <c r="B469" s="80" t="s">
        <v>2542</v>
      </c>
      <c r="C469" s="85" t="s">
        <v>2551</v>
      </c>
      <c r="D469" s="90" t="s">
        <v>3445</v>
      </c>
      <c r="E469" s="148" t="s">
        <v>1553</v>
      </c>
      <c r="F469" s="149" t="s">
        <v>4026</v>
      </c>
      <c r="G469" s="291" t="s">
        <v>3649</v>
      </c>
      <c r="H469" s="150" t="s">
        <v>3325</v>
      </c>
      <c r="I469" s="151" t="s">
        <v>2929</v>
      </c>
      <c r="J469" s="152">
        <v>232</v>
      </c>
      <c r="K469" s="248" t="s">
        <v>2593</v>
      </c>
      <c r="L469" s="153"/>
      <c r="M469" s="248" t="str">
        <f t="shared" si="7"/>
        <v>제5편 병합소송-제12장 다수당사자소송-제02절 제3자의 소송참가-08</v>
      </c>
      <c r="N469" s="211"/>
      <c r="O469" s="263"/>
    </row>
    <row r="470" spans="2:15" ht="14.45" hidden="1" customHeight="1" x14ac:dyDescent="0.2">
      <c r="B470" s="80" t="s">
        <v>2542</v>
      </c>
      <c r="C470" s="85" t="s">
        <v>2551</v>
      </c>
      <c r="D470" s="90" t="s">
        <v>3445</v>
      </c>
      <c r="E470" s="148" t="s">
        <v>1553</v>
      </c>
      <c r="F470" s="149" t="s">
        <v>4027</v>
      </c>
      <c r="G470" s="291" t="s">
        <v>3650</v>
      </c>
      <c r="H470" s="150" t="s">
        <v>3326</v>
      </c>
      <c r="I470" s="151" t="s">
        <v>2930</v>
      </c>
      <c r="J470" s="152">
        <v>345</v>
      </c>
      <c r="K470" s="248" t="s">
        <v>2593</v>
      </c>
      <c r="L470" s="153"/>
      <c r="M470" s="248" t="str">
        <f t="shared" si="7"/>
        <v>제5편 병합소송-제12장 다수당사자소송-제02절 제3자의 소송참가-09</v>
      </c>
      <c r="N470" s="211"/>
      <c r="O470" s="263"/>
    </row>
    <row r="471" spans="2:15" ht="14.45" hidden="1" customHeight="1" x14ac:dyDescent="0.2">
      <c r="B471" s="80" t="s">
        <v>2542</v>
      </c>
      <c r="C471" s="85" t="s">
        <v>2551</v>
      </c>
      <c r="D471" s="90" t="s">
        <v>3445</v>
      </c>
      <c r="E471" s="148" t="s">
        <v>1553</v>
      </c>
      <c r="F471" s="149" t="s">
        <v>4028</v>
      </c>
      <c r="G471" s="291" t="s">
        <v>3651</v>
      </c>
      <c r="H471" s="150" t="s">
        <v>3327</v>
      </c>
      <c r="I471" s="151" t="s">
        <v>2931</v>
      </c>
      <c r="J471" s="152">
        <v>380</v>
      </c>
      <c r="K471" s="248" t="s">
        <v>2593</v>
      </c>
      <c r="L471" s="153"/>
      <c r="M471" s="248" t="str">
        <f t="shared" si="7"/>
        <v>제5편 병합소송-제12장 다수당사자소송-제02절 제3자의 소송참가-10</v>
      </c>
      <c r="N471" s="211"/>
      <c r="O471" s="263"/>
    </row>
    <row r="472" spans="2:15" ht="14.45" hidden="1" customHeight="1" x14ac:dyDescent="0.2">
      <c r="B472" s="80" t="s">
        <v>2542</v>
      </c>
      <c r="C472" s="85" t="s">
        <v>2551</v>
      </c>
      <c r="D472" s="90" t="s">
        <v>3445</v>
      </c>
      <c r="E472" s="148" t="s">
        <v>1553</v>
      </c>
      <c r="F472" s="149" t="s">
        <v>4029</v>
      </c>
      <c r="G472" s="291" t="s">
        <v>3652</v>
      </c>
      <c r="H472" s="150" t="s">
        <v>3328</v>
      </c>
      <c r="I472" s="151" t="s">
        <v>2932</v>
      </c>
      <c r="J472" s="152">
        <v>265</v>
      </c>
      <c r="K472" s="248" t="s">
        <v>2593</v>
      </c>
      <c r="L472" s="153"/>
      <c r="M472" s="248" t="str">
        <f t="shared" si="7"/>
        <v>제5편 병합소송-제12장 다수당사자소송-제02절 제3자의 소송참가-11</v>
      </c>
      <c r="N472" s="211"/>
      <c r="O472" s="263"/>
    </row>
    <row r="473" spans="2:15" ht="14.45" hidden="1" customHeight="1" x14ac:dyDescent="0.2">
      <c r="B473" s="80" t="s">
        <v>2542</v>
      </c>
      <c r="C473" s="85" t="s">
        <v>2551</v>
      </c>
      <c r="D473" s="90" t="s">
        <v>3445</v>
      </c>
      <c r="E473" s="148" t="s">
        <v>1553</v>
      </c>
      <c r="F473" s="149" t="s">
        <v>4030</v>
      </c>
      <c r="G473" s="291" t="s">
        <v>3653</v>
      </c>
      <c r="H473" s="150" t="s">
        <v>3329</v>
      </c>
      <c r="I473" s="151" t="s">
        <v>2933</v>
      </c>
      <c r="J473" s="152">
        <v>499</v>
      </c>
      <c r="K473" s="248" t="s">
        <v>2593</v>
      </c>
      <c r="L473" s="153"/>
      <c r="M473" s="248" t="str">
        <f t="shared" si="7"/>
        <v>제5편 병합소송-제12장 다수당사자소송-제02절 제3자의 소송참가-12</v>
      </c>
      <c r="N473" s="211"/>
      <c r="O473" s="263"/>
    </row>
    <row r="474" spans="2:15" ht="14.45" hidden="1" customHeight="1" x14ac:dyDescent="0.2">
      <c r="B474" s="80" t="s">
        <v>2542</v>
      </c>
      <c r="C474" s="85" t="s">
        <v>2551</v>
      </c>
      <c r="D474" s="90" t="s">
        <v>3445</v>
      </c>
      <c r="E474" s="148" t="s">
        <v>1553</v>
      </c>
      <c r="F474" s="149" t="s">
        <v>4031</v>
      </c>
      <c r="G474" s="291" t="s">
        <v>3654</v>
      </c>
      <c r="H474" s="150" t="s">
        <v>3330</v>
      </c>
      <c r="I474" s="151" t="s">
        <v>2934</v>
      </c>
      <c r="J474" s="152">
        <v>270</v>
      </c>
      <c r="K474" s="248" t="s">
        <v>2593</v>
      </c>
      <c r="L474" s="153"/>
      <c r="M474" s="248" t="str">
        <f t="shared" si="7"/>
        <v>제5편 병합소송-제12장 다수당사자소송-제02절 제3자의 소송참가-13</v>
      </c>
      <c r="N474" s="211"/>
      <c r="O474" s="263"/>
    </row>
    <row r="475" spans="2:15" ht="14.45" hidden="1" customHeight="1" x14ac:dyDescent="0.2">
      <c r="B475" s="80" t="s">
        <v>2542</v>
      </c>
      <c r="C475" s="85" t="s">
        <v>2551</v>
      </c>
      <c r="D475" s="90" t="s">
        <v>3445</v>
      </c>
      <c r="E475" s="148" t="s">
        <v>1553</v>
      </c>
      <c r="F475" s="149" t="s">
        <v>4032</v>
      </c>
      <c r="G475" s="291" t="s">
        <v>3655</v>
      </c>
      <c r="H475" s="150" t="s">
        <v>3331</v>
      </c>
      <c r="I475" s="151" t="s">
        <v>2935</v>
      </c>
      <c r="J475" s="152">
        <v>462</v>
      </c>
      <c r="K475" s="248" t="s">
        <v>2593</v>
      </c>
      <c r="L475" s="153"/>
      <c r="M475" s="248" t="str">
        <f t="shared" si="7"/>
        <v>제5편 병합소송-제12장 다수당사자소송-제02절 제3자의 소송참가-14</v>
      </c>
      <c r="N475" s="211"/>
      <c r="O475" s="263"/>
    </row>
    <row r="476" spans="2:15" ht="14.45" hidden="1" customHeight="1" x14ac:dyDescent="0.2">
      <c r="B476" s="80" t="s">
        <v>2542</v>
      </c>
      <c r="C476" s="85" t="s">
        <v>2551</v>
      </c>
      <c r="D476" s="90" t="s">
        <v>3445</v>
      </c>
      <c r="E476" s="148" t="s">
        <v>1553</v>
      </c>
      <c r="F476" s="149" t="s">
        <v>4033</v>
      </c>
      <c r="G476" s="291" t="s">
        <v>3656</v>
      </c>
      <c r="H476" s="150" t="s">
        <v>3332</v>
      </c>
      <c r="I476" s="151" t="s">
        <v>2936</v>
      </c>
      <c r="J476" s="152">
        <v>337</v>
      </c>
      <c r="K476" s="248" t="s">
        <v>2593</v>
      </c>
      <c r="L476" s="153"/>
      <c r="M476" s="248" t="str">
        <f t="shared" si="7"/>
        <v>제5편 병합소송-제12장 다수당사자소송-제02절 제3자의 소송참가-15</v>
      </c>
      <c r="N476" s="211"/>
      <c r="O476" s="263"/>
    </row>
    <row r="477" spans="2:15" ht="14.45" hidden="1" customHeight="1" x14ac:dyDescent="0.2">
      <c r="B477" s="80" t="s">
        <v>2542</v>
      </c>
      <c r="C477" s="85" t="s">
        <v>2551</v>
      </c>
      <c r="D477" s="90" t="s">
        <v>3445</v>
      </c>
      <c r="E477" s="148" t="s">
        <v>1553</v>
      </c>
      <c r="F477" s="149" t="s">
        <v>4034</v>
      </c>
      <c r="G477" s="291" t="s">
        <v>3657</v>
      </c>
      <c r="H477" s="150" t="s">
        <v>3333</v>
      </c>
      <c r="I477" s="151" t="s">
        <v>2937</v>
      </c>
      <c r="J477" s="152">
        <v>229</v>
      </c>
      <c r="K477" s="248" t="s">
        <v>2593</v>
      </c>
      <c r="L477" s="153"/>
      <c r="M477" s="248" t="str">
        <f t="shared" si="7"/>
        <v>제5편 병합소송-제12장 다수당사자소송-제02절 제3자의 소송참가-16</v>
      </c>
      <c r="N477" s="211"/>
      <c r="O477" s="263"/>
    </row>
    <row r="478" spans="2:15" ht="14.45" hidden="1" customHeight="1" x14ac:dyDescent="0.2">
      <c r="B478" s="80" t="s">
        <v>2542</v>
      </c>
      <c r="C478" s="85" t="s">
        <v>2551</v>
      </c>
      <c r="D478" s="90" t="s">
        <v>3445</v>
      </c>
      <c r="E478" s="148" t="s">
        <v>1553</v>
      </c>
      <c r="F478" s="149" t="s">
        <v>4035</v>
      </c>
      <c r="G478" s="291" t="s">
        <v>3658</v>
      </c>
      <c r="H478" s="150" t="s">
        <v>3334</v>
      </c>
      <c r="I478" s="151" t="s">
        <v>2938</v>
      </c>
      <c r="J478" s="152">
        <v>337</v>
      </c>
      <c r="K478" s="248" t="s">
        <v>2593</v>
      </c>
      <c r="L478" s="153"/>
      <c r="M478" s="248" t="str">
        <f t="shared" si="7"/>
        <v>제5편 병합소송-제12장 다수당사자소송-제02절 제3자의 소송참가-17</v>
      </c>
      <c r="N478" s="211"/>
      <c r="O478" s="263"/>
    </row>
    <row r="479" spans="2:15" ht="14.45" hidden="1" customHeight="1" x14ac:dyDescent="0.2">
      <c r="B479" s="80" t="s">
        <v>2542</v>
      </c>
      <c r="C479" s="85" t="s">
        <v>2551</v>
      </c>
      <c r="D479" s="90" t="s">
        <v>3445</v>
      </c>
      <c r="E479" s="148" t="s">
        <v>1553</v>
      </c>
      <c r="F479" s="149" t="s">
        <v>4036</v>
      </c>
      <c r="G479" s="291" t="s">
        <v>3659</v>
      </c>
      <c r="H479" s="150" t="s">
        <v>3335</v>
      </c>
      <c r="I479" s="151" t="s">
        <v>2939</v>
      </c>
      <c r="J479" s="152">
        <v>324</v>
      </c>
      <c r="K479" s="248" t="s">
        <v>2593</v>
      </c>
      <c r="L479" s="153"/>
      <c r="M479" s="248" t="str">
        <f t="shared" si="7"/>
        <v>제5편 병합소송-제12장 다수당사자소송-제02절 제3자의 소송참가-18</v>
      </c>
      <c r="N479" s="211"/>
      <c r="O479" s="263"/>
    </row>
    <row r="480" spans="2:15" ht="14.45" hidden="1" customHeight="1" x14ac:dyDescent="0.2">
      <c r="B480" s="80" t="s">
        <v>2542</v>
      </c>
      <c r="C480" s="85" t="s">
        <v>2551</v>
      </c>
      <c r="D480" s="90" t="s">
        <v>3445</v>
      </c>
      <c r="E480" s="148" t="s">
        <v>1553</v>
      </c>
      <c r="F480" s="149" t="s">
        <v>4037</v>
      </c>
      <c r="G480" s="291" t="s">
        <v>3660</v>
      </c>
      <c r="H480" s="150" t="s">
        <v>3336</v>
      </c>
      <c r="I480" s="151" t="s">
        <v>2940</v>
      </c>
      <c r="J480" s="152">
        <v>297</v>
      </c>
      <c r="K480" s="248" t="s">
        <v>2593</v>
      </c>
      <c r="L480" s="153"/>
      <c r="M480" s="248" t="str">
        <f t="shared" si="7"/>
        <v>제5편 병합소송-제12장 다수당사자소송-제02절 제3자의 소송참가-19</v>
      </c>
      <c r="N480" s="211"/>
      <c r="O480" s="263"/>
    </row>
    <row r="481" spans="2:15" ht="14.45" hidden="1" customHeight="1" x14ac:dyDescent="0.2">
      <c r="B481" s="80" t="s">
        <v>2542</v>
      </c>
      <c r="C481" s="85" t="s">
        <v>2551</v>
      </c>
      <c r="D481" s="90" t="s">
        <v>3445</v>
      </c>
      <c r="E481" s="148" t="s">
        <v>1553</v>
      </c>
      <c r="F481" s="149" t="s">
        <v>4038</v>
      </c>
      <c r="G481" s="291" t="s">
        <v>3661</v>
      </c>
      <c r="H481" s="150" t="s">
        <v>3337</v>
      </c>
      <c r="I481" s="151" t="s">
        <v>2941</v>
      </c>
      <c r="J481" s="152">
        <v>380</v>
      </c>
      <c r="K481" s="248" t="s">
        <v>2593</v>
      </c>
      <c r="L481" s="153"/>
      <c r="M481" s="248" t="str">
        <f t="shared" si="7"/>
        <v>제5편 병합소송-제12장 다수당사자소송-제02절 제3자의 소송참가-20</v>
      </c>
      <c r="N481" s="211"/>
      <c r="O481" s="263"/>
    </row>
    <row r="482" spans="2:15" ht="14.45" hidden="1" customHeight="1" x14ac:dyDescent="0.2">
      <c r="B482" s="80" t="s">
        <v>2542</v>
      </c>
      <c r="C482" s="85" t="s">
        <v>2551</v>
      </c>
      <c r="D482" s="90" t="s">
        <v>3445</v>
      </c>
      <c r="E482" s="148" t="s">
        <v>1553</v>
      </c>
      <c r="F482" s="149" t="s">
        <v>4039</v>
      </c>
      <c r="G482" s="291" t="s">
        <v>3662</v>
      </c>
      <c r="H482" s="150" t="s">
        <v>3338</v>
      </c>
      <c r="I482" s="151" t="s">
        <v>2942</v>
      </c>
      <c r="J482" s="152">
        <v>359</v>
      </c>
      <c r="K482" s="248" t="s">
        <v>2593</v>
      </c>
      <c r="L482" s="153"/>
      <c r="M482" s="248" t="str">
        <f t="shared" si="7"/>
        <v>제5편 병합소송-제12장 다수당사자소송-제02절 제3자의 소송참가-21</v>
      </c>
      <c r="N482" s="211"/>
      <c r="O482" s="263"/>
    </row>
    <row r="483" spans="2:15" ht="14.45" hidden="1" customHeight="1" x14ac:dyDescent="0.2">
      <c r="B483" s="80" t="s">
        <v>2542</v>
      </c>
      <c r="C483" s="85" t="s">
        <v>2551</v>
      </c>
      <c r="D483" s="90" t="s">
        <v>3445</v>
      </c>
      <c r="E483" s="148" t="s">
        <v>1553</v>
      </c>
      <c r="F483" s="149" t="s">
        <v>4040</v>
      </c>
      <c r="G483" s="291" t="s">
        <v>3663</v>
      </c>
      <c r="H483" s="150" t="s">
        <v>3339</v>
      </c>
      <c r="I483" s="151" t="s">
        <v>2943</v>
      </c>
      <c r="J483" s="152">
        <v>301</v>
      </c>
      <c r="K483" s="248" t="s">
        <v>2593</v>
      </c>
      <c r="L483" s="153"/>
      <c r="M483" s="248" t="str">
        <f t="shared" si="7"/>
        <v>제5편 병합소송-제12장 다수당사자소송-제02절 제3자의 소송참가-22</v>
      </c>
      <c r="N483" s="211"/>
      <c r="O483" s="263"/>
    </row>
    <row r="484" spans="2:15" ht="14.45" hidden="1" customHeight="1" x14ac:dyDescent="0.2">
      <c r="B484" s="80" t="s">
        <v>2542</v>
      </c>
      <c r="C484" s="85" t="s">
        <v>2551</v>
      </c>
      <c r="D484" s="90" t="s">
        <v>3445</v>
      </c>
      <c r="E484" s="148" t="s">
        <v>1553</v>
      </c>
      <c r="F484" s="149" t="s">
        <v>4041</v>
      </c>
      <c r="G484" s="291" t="s">
        <v>3664</v>
      </c>
      <c r="H484" s="150" t="s">
        <v>3340</v>
      </c>
      <c r="I484" s="151" t="s">
        <v>2944</v>
      </c>
      <c r="J484" s="152">
        <v>317</v>
      </c>
      <c r="K484" s="248" t="s">
        <v>2593</v>
      </c>
      <c r="L484" s="153"/>
      <c r="M484" s="248" t="str">
        <f t="shared" si="7"/>
        <v>제5편 병합소송-제12장 다수당사자소송-제02절 제3자의 소송참가-23</v>
      </c>
      <c r="N484" s="211"/>
      <c r="O484" s="263"/>
    </row>
    <row r="485" spans="2:15" ht="14.45" hidden="1" customHeight="1" x14ac:dyDescent="0.2">
      <c r="B485" s="80" t="s">
        <v>2542</v>
      </c>
      <c r="C485" s="85" t="s">
        <v>2551</v>
      </c>
      <c r="D485" s="89" t="s">
        <v>3445</v>
      </c>
      <c r="E485" s="213" t="s">
        <v>1553</v>
      </c>
      <c r="F485" s="214" t="s">
        <v>4042</v>
      </c>
      <c r="G485" s="290" t="s">
        <v>3665</v>
      </c>
      <c r="H485" s="215" t="s">
        <v>3341</v>
      </c>
      <c r="I485" s="216" t="s">
        <v>2945</v>
      </c>
      <c r="J485" s="217">
        <v>528</v>
      </c>
      <c r="K485" s="245" t="s">
        <v>2593</v>
      </c>
      <c r="L485" s="219"/>
      <c r="M485" s="245" t="str">
        <f t="shared" si="7"/>
        <v>제5편 병합소송-제12장 다수당사자소송-제02절 제3자의 소송참가-24</v>
      </c>
      <c r="N485" s="218"/>
      <c r="O485" s="260"/>
    </row>
    <row r="486" spans="2:15" ht="14.45" customHeight="1" x14ac:dyDescent="0.2">
      <c r="B486" s="80" t="s">
        <v>2542</v>
      </c>
      <c r="C486" s="85" t="s">
        <v>2551</v>
      </c>
      <c r="D486" s="83" t="s">
        <v>3446</v>
      </c>
      <c r="E486" s="143" t="s">
        <v>7</v>
      </c>
      <c r="F486" s="144" t="s">
        <v>77</v>
      </c>
      <c r="G486" s="295" t="s">
        <v>2566</v>
      </c>
      <c r="H486" s="145" t="s">
        <v>125</v>
      </c>
      <c r="I486" s="146" t="s">
        <v>2246</v>
      </c>
      <c r="J486" s="147">
        <v>2627</v>
      </c>
      <c r="K486" s="247" t="s">
        <v>2594</v>
      </c>
      <c r="L486" s="168"/>
      <c r="M486" s="247" t="str">
        <f t="shared" si="7"/>
        <v>제5편 병합소송-제12장 다수당사자소송-제03절 당사자의 변경-01</v>
      </c>
      <c r="N486" s="210"/>
      <c r="O486" s="262"/>
    </row>
    <row r="487" spans="2:15" ht="14.45" customHeight="1" thickBot="1" x14ac:dyDescent="0.25">
      <c r="B487" s="80" t="s">
        <v>2542</v>
      </c>
      <c r="C487" s="85" t="s">
        <v>2551</v>
      </c>
      <c r="D487" s="90" t="s">
        <v>3446</v>
      </c>
      <c r="E487" s="148" t="s">
        <v>2425</v>
      </c>
      <c r="F487" s="149" t="s">
        <v>153</v>
      </c>
      <c r="G487" s="291" t="s">
        <v>2567</v>
      </c>
      <c r="H487" s="150" t="s">
        <v>150</v>
      </c>
      <c r="I487" s="151" t="s">
        <v>2169</v>
      </c>
      <c r="J487" s="152">
        <v>1504</v>
      </c>
      <c r="K487" s="248" t="s">
        <v>2594</v>
      </c>
      <c r="L487" s="153" t="s">
        <v>3506</v>
      </c>
      <c r="M487" s="248" t="str">
        <f t="shared" si="7"/>
        <v>제5편 병합소송-제12장 다수당사자소송-제03절 당사자의 변경-02</v>
      </c>
      <c r="N487" s="211"/>
      <c r="O487" s="263"/>
    </row>
    <row r="488" spans="2:15" ht="14.45" hidden="1" customHeight="1" x14ac:dyDescent="0.25">
      <c r="B488" s="80" t="s">
        <v>2542</v>
      </c>
      <c r="C488" s="85" t="s">
        <v>2551</v>
      </c>
      <c r="D488" s="90" t="s">
        <v>3446</v>
      </c>
      <c r="E488" s="148" t="s">
        <v>1553</v>
      </c>
      <c r="F488" s="149" t="s">
        <v>4043</v>
      </c>
      <c r="G488" s="291" t="s">
        <v>2568</v>
      </c>
      <c r="H488" s="150" t="s">
        <v>3342</v>
      </c>
      <c r="I488" s="151" t="s">
        <v>2946</v>
      </c>
      <c r="J488" s="152">
        <v>215</v>
      </c>
      <c r="K488" s="248"/>
      <c r="L488" s="153"/>
      <c r="M488" s="248" t="str">
        <f t="shared" si="7"/>
        <v>제5편 병합소송-제12장 다수당사자소송-제03절 당사자의 변경-03</v>
      </c>
      <c r="N488" s="211"/>
      <c r="O488" s="263"/>
    </row>
    <row r="489" spans="2:15" ht="14.45" hidden="1" customHeight="1" x14ac:dyDescent="0.25">
      <c r="B489" s="80" t="s">
        <v>2542</v>
      </c>
      <c r="C489" s="85" t="s">
        <v>2551</v>
      </c>
      <c r="D489" s="90" t="s">
        <v>3446</v>
      </c>
      <c r="E489" s="148" t="s">
        <v>1553</v>
      </c>
      <c r="F489" s="149" t="s">
        <v>4044</v>
      </c>
      <c r="G489" s="291" t="s">
        <v>2569</v>
      </c>
      <c r="H489" s="150" t="s">
        <v>3343</v>
      </c>
      <c r="I489" s="151" t="s">
        <v>2947</v>
      </c>
      <c r="J489" s="152">
        <v>257</v>
      </c>
      <c r="K489" s="248"/>
      <c r="L489" s="153"/>
      <c r="M489" s="248" t="str">
        <f t="shared" si="7"/>
        <v>제5편 병합소송-제12장 다수당사자소송-제03절 당사자의 변경-04</v>
      </c>
      <c r="N489" s="211"/>
      <c r="O489" s="263"/>
    </row>
    <row r="490" spans="2:15" ht="14.45" hidden="1" customHeight="1" x14ac:dyDescent="0.25">
      <c r="B490" s="80" t="s">
        <v>2542</v>
      </c>
      <c r="C490" s="85" t="s">
        <v>2551</v>
      </c>
      <c r="D490" s="90" t="s">
        <v>3446</v>
      </c>
      <c r="E490" s="148" t="s">
        <v>1553</v>
      </c>
      <c r="F490" s="149" t="s">
        <v>4045</v>
      </c>
      <c r="G490" s="291" t="s">
        <v>3646</v>
      </c>
      <c r="H490" s="150" t="s">
        <v>3344</v>
      </c>
      <c r="I490" s="151" t="s">
        <v>2948</v>
      </c>
      <c r="J490" s="152">
        <v>393</v>
      </c>
      <c r="K490" s="248"/>
      <c r="L490" s="153"/>
      <c r="M490" s="248" t="str">
        <f t="shared" si="7"/>
        <v>제5편 병합소송-제12장 다수당사자소송-제03절 당사자의 변경-05</v>
      </c>
      <c r="N490" s="211"/>
      <c r="O490" s="263"/>
    </row>
    <row r="491" spans="2:15" ht="14.45" hidden="1" customHeight="1" x14ac:dyDescent="0.25">
      <c r="B491" s="80" t="s">
        <v>2542</v>
      </c>
      <c r="C491" s="85" t="s">
        <v>2551</v>
      </c>
      <c r="D491" s="90" t="s">
        <v>3446</v>
      </c>
      <c r="E491" s="148" t="s">
        <v>1553</v>
      </c>
      <c r="F491" s="149" t="s">
        <v>4046</v>
      </c>
      <c r="G491" s="291" t="s">
        <v>3647</v>
      </c>
      <c r="H491" s="150" t="s">
        <v>3345</v>
      </c>
      <c r="I491" s="151" t="s">
        <v>2949</v>
      </c>
      <c r="J491" s="152">
        <v>360</v>
      </c>
      <c r="K491" s="248"/>
      <c r="L491" s="153"/>
      <c r="M491" s="248" t="str">
        <f t="shared" si="7"/>
        <v>제5편 병합소송-제12장 다수당사자소송-제03절 당사자의 변경-06</v>
      </c>
      <c r="N491" s="211"/>
      <c r="O491" s="263"/>
    </row>
    <row r="492" spans="2:15" ht="14.45" hidden="1" customHeight="1" thickBot="1" x14ac:dyDescent="0.25">
      <c r="B492" s="81" t="s">
        <v>2542</v>
      </c>
      <c r="C492" s="86" t="s">
        <v>2551</v>
      </c>
      <c r="D492" s="91" t="s">
        <v>3446</v>
      </c>
      <c r="E492" s="154" t="s">
        <v>1553</v>
      </c>
      <c r="F492" s="155" t="s">
        <v>4047</v>
      </c>
      <c r="G492" s="292" t="s">
        <v>3648</v>
      </c>
      <c r="H492" s="156" t="s">
        <v>3346</v>
      </c>
      <c r="I492" s="157" t="s">
        <v>2950</v>
      </c>
      <c r="J492" s="158">
        <v>281</v>
      </c>
      <c r="K492" s="249"/>
      <c r="L492" s="170"/>
      <c r="M492" s="249" t="str">
        <f t="shared" si="7"/>
        <v>제5편 병합소송-제12장 다수당사자소송-제03절 당사자의 변경-07</v>
      </c>
      <c r="N492" s="212"/>
      <c r="O492" s="264"/>
    </row>
    <row r="493" spans="2:15" ht="14.45" customHeight="1" x14ac:dyDescent="0.2">
      <c r="B493" s="61" t="s">
        <v>3397</v>
      </c>
      <c r="C493" s="64" t="s">
        <v>2554</v>
      </c>
      <c r="D493" s="227" t="s">
        <v>3487</v>
      </c>
      <c r="E493" s="228" t="s">
        <v>7</v>
      </c>
      <c r="F493" s="229" t="s">
        <v>79</v>
      </c>
      <c r="G493" s="296" t="s">
        <v>2566</v>
      </c>
      <c r="H493" s="230" t="s">
        <v>126</v>
      </c>
      <c r="I493" s="231" t="s">
        <v>2247</v>
      </c>
      <c r="J493" s="232">
        <v>2060</v>
      </c>
      <c r="K493" s="250" t="s">
        <v>2594</v>
      </c>
      <c r="L493" s="234"/>
      <c r="M493" s="250" t="str">
        <f t="shared" si="7"/>
        <v>제6편 상소심절차-제13장 총설-제01절 상소의 의의-01</v>
      </c>
      <c r="N493" s="233"/>
      <c r="O493" s="265"/>
    </row>
    <row r="494" spans="2:15" ht="14.45" customHeight="1" x14ac:dyDescent="0.2">
      <c r="B494" s="80" t="s">
        <v>2543</v>
      </c>
      <c r="C494" s="85" t="s">
        <v>2553</v>
      </c>
      <c r="D494" s="83" t="s">
        <v>3449</v>
      </c>
      <c r="E494" s="143" t="s">
        <v>7</v>
      </c>
      <c r="F494" s="144" t="s">
        <v>78</v>
      </c>
      <c r="G494" s="295" t="s">
        <v>2566</v>
      </c>
      <c r="H494" s="145" t="s">
        <v>127</v>
      </c>
      <c r="I494" s="146" t="s">
        <v>2248</v>
      </c>
      <c r="J494" s="147">
        <v>2639</v>
      </c>
      <c r="K494" s="247" t="s">
        <v>2594</v>
      </c>
      <c r="L494" s="168"/>
      <c r="M494" s="247" t="str">
        <f t="shared" si="7"/>
        <v>제6편 상소심절차-제13장 총설-제02절 상소의 적법요건-01</v>
      </c>
      <c r="N494" s="210"/>
      <c r="O494" s="262"/>
    </row>
    <row r="495" spans="2:15" ht="14.45" customHeight="1" x14ac:dyDescent="0.2">
      <c r="B495" s="80" t="s">
        <v>2543</v>
      </c>
      <c r="C495" s="85" t="s">
        <v>2553</v>
      </c>
      <c r="D495" s="90" t="s">
        <v>3449</v>
      </c>
      <c r="E495" s="148" t="s">
        <v>2426</v>
      </c>
      <c r="F495" s="149" t="s">
        <v>2337</v>
      </c>
      <c r="G495" s="291" t="s">
        <v>2567</v>
      </c>
      <c r="H495" s="150" t="s">
        <v>220</v>
      </c>
      <c r="I495" s="151" t="s">
        <v>2200</v>
      </c>
      <c r="J495" s="152">
        <v>1831</v>
      </c>
      <c r="K495" s="248" t="s">
        <v>2594</v>
      </c>
      <c r="L495" s="153"/>
      <c r="M495" s="248" t="str">
        <f t="shared" si="7"/>
        <v>제6편 상소심절차-제13장 총설-제02절 상소의 적법요건-02</v>
      </c>
      <c r="N495" s="211"/>
      <c r="O495" s="263"/>
    </row>
    <row r="496" spans="2:15" ht="14.45" customHeight="1" x14ac:dyDescent="0.2">
      <c r="B496" s="80" t="s">
        <v>2543</v>
      </c>
      <c r="C496" s="85" t="s">
        <v>2553</v>
      </c>
      <c r="D496" s="90" t="s">
        <v>3449</v>
      </c>
      <c r="E496" s="148" t="s">
        <v>2426</v>
      </c>
      <c r="F496" s="149" t="s">
        <v>2338</v>
      </c>
      <c r="G496" s="291" t="s">
        <v>2568</v>
      </c>
      <c r="H496" s="150" t="s">
        <v>221</v>
      </c>
      <c r="I496" s="151" t="s">
        <v>2201</v>
      </c>
      <c r="J496" s="152">
        <v>2092</v>
      </c>
      <c r="K496" s="248" t="s">
        <v>2593</v>
      </c>
      <c r="L496" s="153"/>
      <c r="M496" s="248" t="str">
        <f t="shared" si="7"/>
        <v>제6편 상소심절차-제13장 총설-제02절 상소의 적법요건-03</v>
      </c>
      <c r="N496" s="211"/>
      <c r="O496" s="263"/>
    </row>
    <row r="497" spans="2:15" ht="14.45" hidden="1" customHeight="1" x14ac:dyDescent="0.2">
      <c r="B497" s="80" t="s">
        <v>2543</v>
      </c>
      <c r="C497" s="85" t="s">
        <v>2553</v>
      </c>
      <c r="D497" s="90" t="s">
        <v>3449</v>
      </c>
      <c r="E497" s="148" t="s">
        <v>1553</v>
      </c>
      <c r="F497" s="149" t="s">
        <v>4048</v>
      </c>
      <c r="G497" s="291" t="s">
        <v>2569</v>
      </c>
      <c r="H497" s="150" t="s">
        <v>3347</v>
      </c>
      <c r="I497" s="151" t="s">
        <v>2951</v>
      </c>
      <c r="J497" s="152">
        <v>275</v>
      </c>
      <c r="K497" s="248"/>
      <c r="L497" s="153"/>
      <c r="M497" s="248" t="str">
        <f t="shared" si="7"/>
        <v>제6편 상소심절차-제13장 총설-제02절 상소의 적법요건-04</v>
      </c>
      <c r="N497" s="211"/>
      <c r="O497" s="263"/>
    </row>
    <row r="498" spans="2:15" ht="14.45" hidden="1" customHeight="1" x14ac:dyDescent="0.2">
      <c r="B498" s="80" t="s">
        <v>2543</v>
      </c>
      <c r="C498" s="85" t="s">
        <v>2553</v>
      </c>
      <c r="D498" s="90" t="s">
        <v>3449</v>
      </c>
      <c r="E498" s="148" t="s">
        <v>1553</v>
      </c>
      <c r="F498" s="149" t="s">
        <v>4049</v>
      </c>
      <c r="G498" s="291" t="s">
        <v>3646</v>
      </c>
      <c r="H498" s="150" t="s">
        <v>3348</v>
      </c>
      <c r="I498" s="151" t="s">
        <v>2952</v>
      </c>
      <c r="J498" s="152">
        <v>376</v>
      </c>
      <c r="K498" s="248"/>
      <c r="L498" s="153"/>
      <c r="M498" s="248" t="str">
        <f t="shared" si="7"/>
        <v>제6편 상소심절차-제13장 총설-제02절 상소의 적법요건-05</v>
      </c>
      <c r="N498" s="211"/>
      <c r="O498" s="263"/>
    </row>
    <row r="499" spans="2:15" ht="14.45" hidden="1" customHeight="1" x14ac:dyDescent="0.2">
      <c r="B499" s="80" t="s">
        <v>2543</v>
      </c>
      <c r="C499" s="85" t="s">
        <v>2553</v>
      </c>
      <c r="D499" s="90" t="s">
        <v>3449</v>
      </c>
      <c r="E499" s="148" t="s">
        <v>1553</v>
      </c>
      <c r="F499" s="149" t="s">
        <v>4050</v>
      </c>
      <c r="G499" s="291" t="s">
        <v>3647</v>
      </c>
      <c r="H499" s="150" t="s">
        <v>3349</v>
      </c>
      <c r="I499" s="151" t="s">
        <v>2953</v>
      </c>
      <c r="J499" s="152">
        <v>573</v>
      </c>
      <c r="K499" s="248"/>
      <c r="L499" s="153"/>
      <c r="M499" s="248" t="str">
        <f t="shared" si="7"/>
        <v>제6편 상소심절차-제13장 총설-제02절 상소의 적법요건-06</v>
      </c>
      <c r="N499" s="211"/>
      <c r="O499" s="263"/>
    </row>
    <row r="500" spans="2:15" ht="14.45" hidden="1" customHeight="1" x14ac:dyDescent="0.2">
      <c r="B500" s="80" t="s">
        <v>2543</v>
      </c>
      <c r="C500" s="85" t="s">
        <v>2553</v>
      </c>
      <c r="D500" s="90" t="s">
        <v>3449</v>
      </c>
      <c r="E500" s="148" t="s">
        <v>1553</v>
      </c>
      <c r="F500" s="149" t="s">
        <v>4051</v>
      </c>
      <c r="G500" s="291" t="s">
        <v>3648</v>
      </c>
      <c r="H500" s="150" t="s">
        <v>3350</v>
      </c>
      <c r="I500" s="151" t="s">
        <v>2954</v>
      </c>
      <c r="J500" s="152">
        <v>384</v>
      </c>
      <c r="K500" s="248"/>
      <c r="L500" s="153"/>
      <c r="M500" s="248" t="str">
        <f t="shared" si="7"/>
        <v>제6편 상소심절차-제13장 총설-제02절 상소의 적법요건-07</v>
      </c>
      <c r="N500" s="211"/>
      <c r="O500" s="263"/>
    </row>
    <row r="501" spans="2:15" ht="14.45" hidden="1" customHeight="1" x14ac:dyDescent="0.2">
      <c r="B501" s="80" t="s">
        <v>2543</v>
      </c>
      <c r="C501" s="85" t="s">
        <v>2553</v>
      </c>
      <c r="D501" s="90" t="s">
        <v>3449</v>
      </c>
      <c r="E501" s="148" t="s">
        <v>1553</v>
      </c>
      <c r="F501" s="149" t="s">
        <v>4052</v>
      </c>
      <c r="G501" s="291" t="s">
        <v>3649</v>
      </c>
      <c r="H501" s="150" t="s">
        <v>3351</v>
      </c>
      <c r="I501" s="151" t="s">
        <v>2955</v>
      </c>
      <c r="J501" s="152">
        <v>402</v>
      </c>
      <c r="K501" s="248"/>
      <c r="L501" s="153"/>
      <c r="M501" s="248" t="str">
        <f t="shared" si="7"/>
        <v>제6편 상소심절차-제13장 총설-제02절 상소의 적법요건-08</v>
      </c>
      <c r="N501" s="211"/>
      <c r="O501" s="263"/>
    </row>
    <row r="502" spans="2:15" ht="14.45" hidden="1" customHeight="1" x14ac:dyDescent="0.2">
      <c r="B502" s="80" t="s">
        <v>2543</v>
      </c>
      <c r="C502" s="85" t="s">
        <v>2553</v>
      </c>
      <c r="D502" s="90" t="s">
        <v>3449</v>
      </c>
      <c r="E502" s="148" t="s">
        <v>1553</v>
      </c>
      <c r="F502" s="149" t="s">
        <v>4053</v>
      </c>
      <c r="G502" s="291" t="s">
        <v>3650</v>
      </c>
      <c r="H502" s="150" t="s">
        <v>3352</v>
      </c>
      <c r="I502" s="151" t="s">
        <v>2956</v>
      </c>
      <c r="J502" s="152">
        <v>379</v>
      </c>
      <c r="K502" s="248"/>
      <c r="L502" s="153"/>
      <c r="M502" s="248" t="str">
        <f t="shared" si="7"/>
        <v>제6편 상소심절차-제13장 총설-제02절 상소의 적법요건-09</v>
      </c>
      <c r="N502" s="211"/>
      <c r="O502" s="263"/>
    </row>
    <row r="503" spans="2:15" ht="14.45" hidden="1" customHeight="1" x14ac:dyDescent="0.2">
      <c r="B503" s="80" t="s">
        <v>2543</v>
      </c>
      <c r="C503" s="85" t="s">
        <v>2553</v>
      </c>
      <c r="D503" s="89" t="s">
        <v>3449</v>
      </c>
      <c r="E503" s="213" t="s">
        <v>1553</v>
      </c>
      <c r="F503" s="214" t="s">
        <v>4054</v>
      </c>
      <c r="G503" s="290" t="s">
        <v>3651</v>
      </c>
      <c r="H503" s="215" t="s">
        <v>3353</v>
      </c>
      <c r="I503" s="216" t="s">
        <v>2957</v>
      </c>
      <c r="J503" s="217">
        <v>683</v>
      </c>
      <c r="K503" s="245"/>
      <c r="L503" s="219"/>
      <c r="M503" s="245" t="str">
        <f t="shared" si="7"/>
        <v>제6편 상소심절차-제13장 총설-제02절 상소의 적법요건-10</v>
      </c>
      <c r="N503" s="218"/>
      <c r="O503" s="260"/>
    </row>
    <row r="504" spans="2:15" ht="14.45" customHeight="1" x14ac:dyDescent="0.2">
      <c r="B504" s="80" t="s">
        <v>2543</v>
      </c>
      <c r="C504" s="85" t="s">
        <v>2553</v>
      </c>
      <c r="D504" s="83" t="s">
        <v>3447</v>
      </c>
      <c r="E504" s="143" t="s">
        <v>7</v>
      </c>
      <c r="F504" s="144" t="s">
        <v>78</v>
      </c>
      <c r="G504" s="295" t="s">
        <v>2566</v>
      </c>
      <c r="H504" s="145" t="s">
        <v>128</v>
      </c>
      <c r="I504" s="146" t="s">
        <v>2249</v>
      </c>
      <c r="J504" s="147">
        <v>1897</v>
      </c>
      <c r="K504" s="247" t="s">
        <v>2594</v>
      </c>
      <c r="L504" s="168"/>
      <c r="M504" s="247" t="str">
        <f t="shared" si="7"/>
        <v>제6편 상소심절차-제13장 총설-제03절 상소의 효력-01</v>
      </c>
      <c r="N504" s="210"/>
      <c r="O504" s="262"/>
    </row>
    <row r="505" spans="2:15" ht="14.45" customHeight="1" thickBot="1" x14ac:dyDescent="0.25">
      <c r="B505" s="80" t="s">
        <v>2543</v>
      </c>
      <c r="C505" s="85" t="s">
        <v>2553</v>
      </c>
      <c r="D505" s="90" t="s">
        <v>3447</v>
      </c>
      <c r="E505" s="148" t="s">
        <v>2425</v>
      </c>
      <c r="F505" s="149" t="s">
        <v>2329</v>
      </c>
      <c r="G505" s="291" t="s">
        <v>2567</v>
      </c>
      <c r="H505" s="150" t="s">
        <v>203</v>
      </c>
      <c r="I505" s="151" t="s">
        <v>2202</v>
      </c>
      <c r="J505" s="152">
        <v>2013</v>
      </c>
      <c r="K505" s="248" t="s">
        <v>2594</v>
      </c>
      <c r="L505" s="153"/>
      <c r="M505" s="248" t="str">
        <f t="shared" si="7"/>
        <v>제6편 상소심절차-제13장 총설-제03절 상소의 효력-02</v>
      </c>
      <c r="N505" s="211"/>
      <c r="O505" s="263"/>
    </row>
    <row r="506" spans="2:15" ht="14.45" hidden="1" customHeight="1" x14ac:dyDescent="0.25">
      <c r="B506" s="80" t="s">
        <v>2543</v>
      </c>
      <c r="C506" s="85" t="s">
        <v>2553</v>
      </c>
      <c r="D506" s="90" t="s">
        <v>3447</v>
      </c>
      <c r="E506" s="148" t="s">
        <v>1553</v>
      </c>
      <c r="F506" s="149" t="s">
        <v>4055</v>
      </c>
      <c r="G506" s="291" t="s">
        <v>2568</v>
      </c>
      <c r="H506" s="150" t="s">
        <v>3354</v>
      </c>
      <c r="I506" s="151" t="s">
        <v>2958</v>
      </c>
      <c r="J506" s="152">
        <v>331</v>
      </c>
      <c r="K506" s="248"/>
      <c r="L506" s="153"/>
      <c r="M506" s="248" t="str">
        <f t="shared" si="7"/>
        <v>제6편 상소심절차-제13장 총설-제03절 상소의 효력-03</v>
      </c>
      <c r="N506" s="211"/>
      <c r="O506" s="263"/>
    </row>
    <row r="507" spans="2:15" ht="14.45" hidden="1" customHeight="1" thickBot="1" x14ac:dyDescent="0.25">
      <c r="B507" s="80" t="s">
        <v>2543</v>
      </c>
      <c r="C507" s="86" t="s">
        <v>2553</v>
      </c>
      <c r="D507" s="91" t="s">
        <v>3447</v>
      </c>
      <c r="E507" s="154" t="s">
        <v>1553</v>
      </c>
      <c r="F507" s="155" t="s">
        <v>4056</v>
      </c>
      <c r="G507" s="292" t="s">
        <v>2569</v>
      </c>
      <c r="H507" s="156" t="s">
        <v>3355</v>
      </c>
      <c r="I507" s="157" t="s">
        <v>2959</v>
      </c>
      <c r="J507" s="158">
        <v>345</v>
      </c>
      <c r="K507" s="249"/>
      <c r="L507" s="170"/>
      <c r="M507" s="249" t="str">
        <f t="shared" si="7"/>
        <v>제6편 상소심절차-제13장 총설-제03절 상소의 효력-04</v>
      </c>
      <c r="N507" s="212"/>
      <c r="O507" s="264"/>
    </row>
    <row r="508" spans="2:15" ht="14.45" customHeight="1" x14ac:dyDescent="0.2">
      <c r="B508" s="80" t="s">
        <v>2543</v>
      </c>
      <c r="C508" s="64" t="s">
        <v>2556</v>
      </c>
      <c r="D508" s="84" t="s">
        <v>3489</v>
      </c>
      <c r="E508" s="137" t="s">
        <v>7</v>
      </c>
      <c r="F508" s="138" t="s">
        <v>81</v>
      </c>
      <c r="G508" s="293" t="s">
        <v>2566</v>
      </c>
      <c r="H508" s="139" t="s">
        <v>1515</v>
      </c>
      <c r="I508" s="140" t="s">
        <v>2250</v>
      </c>
      <c r="J508" s="159">
        <v>1887</v>
      </c>
      <c r="K508" s="244" t="s">
        <v>2594</v>
      </c>
      <c r="L508" s="169"/>
      <c r="M508" s="244" t="str">
        <f t="shared" si="7"/>
        <v>제6편 상소심절차-제14장 항소-제01절 항소의 개관-01</v>
      </c>
      <c r="N508" s="209"/>
      <c r="O508" s="259"/>
    </row>
    <row r="509" spans="2:15" ht="14.45" hidden="1" customHeight="1" x14ac:dyDescent="0.2">
      <c r="B509" s="80" t="s">
        <v>2543</v>
      </c>
      <c r="C509" s="85" t="s">
        <v>2555</v>
      </c>
      <c r="D509" s="89" t="s">
        <v>3489</v>
      </c>
      <c r="E509" s="213" t="s">
        <v>1553</v>
      </c>
      <c r="F509" s="214" t="s">
        <v>4057</v>
      </c>
      <c r="G509" s="290" t="s">
        <v>2567</v>
      </c>
      <c r="H509" s="215" t="s">
        <v>3356</v>
      </c>
      <c r="I509" s="216" t="s">
        <v>2960</v>
      </c>
      <c r="J509" s="235">
        <v>196</v>
      </c>
      <c r="K509" s="245"/>
      <c r="L509" s="219"/>
      <c r="M509" s="245" t="str">
        <f t="shared" si="7"/>
        <v>제6편 상소심절차-제14장 항소-제01절 항소의 개관-02</v>
      </c>
      <c r="N509" s="218"/>
      <c r="O509" s="260"/>
    </row>
    <row r="510" spans="2:15" ht="14.45" customHeight="1" x14ac:dyDescent="0.2">
      <c r="B510" s="80" t="s">
        <v>2543</v>
      </c>
      <c r="C510" s="85" t="s">
        <v>2555</v>
      </c>
      <c r="D510" s="83" t="s">
        <v>3448</v>
      </c>
      <c r="E510" s="143" t="s">
        <v>7</v>
      </c>
      <c r="F510" s="144" t="s">
        <v>80</v>
      </c>
      <c r="G510" s="295" t="s">
        <v>2566</v>
      </c>
      <c r="H510" s="145" t="s">
        <v>129</v>
      </c>
      <c r="I510" s="146" t="s">
        <v>2251</v>
      </c>
      <c r="J510" s="160">
        <v>2071</v>
      </c>
      <c r="K510" s="247" t="s">
        <v>2594</v>
      </c>
      <c r="L510" s="168"/>
      <c r="M510" s="247" t="str">
        <f t="shared" si="7"/>
        <v>제6편 상소심절차-제14장 항소-제02절 항소의 제기-01</v>
      </c>
      <c r="N510" s="210"/>
      <c r="O510" s="262"/>
    </row>
    <row r="511" spans="2:15" ht="14.45" customHeight="1" x14ac:dyDescent="0.2">
      <c r="B511" s="80" t="s">
        <v>2543</v>
      </c>
      <c r="C511" s="85" t="s">
        <v>2555</v>
      </c>
      <c r="D511" s="90" t="s">
        <v>3448</v>
      </c>
      <c r="E511" s="148" t="s">
        <v>2425</v>
      </c>
      <c r="F511" s="149" t="s">
        <v>2330</v>
      </c>
      <c r="G511" s="291" t="s">
        <v>2567</v>
      </c>
      <c r="H511" s="150" t="s">
        <v>2509</v>
      </c>
      <c r="I511" s="151" t="s">
        <v>2510</v>
      </c>
      <c r="J511" s="161">
        <v>1491</v>
      </c>
      <c r="K511" s="248" t="s">
        <v>2594</v>
      </c>
      <c r="L511" s="153" t="s">
        <v>3645</v>
      </c>
      <c r="M511" s="248" t="str">
        <f t="shared" si="7"/>
        <v>제6편 상소심절차-제14장 항소-제02절 항소의 제기-02</v>
      </c>
      <c r="N511" s="211"/>
      <c r="O511" s="263"/>
    </row>
    <row r="512" spans="2:15" ht="14.45" hidden="1" customHeight="1" x14ac:dyDescent="0.2">
      <c r="B512" s="80" t="s">
        <v>2543</v>
      </c>
      <c r="C512" s="85" t="s">
        <v>2555</v>
      </c>
      <c r="D512" s="90" t="s">
        <v>3448</v>
      </c>
      <c r="E512" s="148" t="s">
        <v>1553</v>
      </c>
      <c r="F512" s="149" t="s">
        <v>4058</v>
      </c>
      <c r="G512" s="291" t="s">
        <v>2568</v>
      </c>
      <c r="H512" s="150" t="s">
        <v>3357</v>
      </c>
      <c r="I512" s="151" t="s">
        <v>2961</v>
      </c>
      <c r="J512" s="161">
        <v>200</v>
      </c>
      <c r="K512" s="248"/>
      <c r="L512" s="153"/>
      <c r="M512" s="248" t="str">
        <f t="shared" si="7"/>
        <v>제6편 상소심절차-제14장 항소-제02절 항소의 제기-03</v>
      </c>
      <c r="N512" s="211"/>
      <c r="O512" s="263"/>
    </row>
    <row r="513" spans="2:15" ht="14.45" hidden="1" customHeight="1" x14ac:dyDescent="0.2">
      <c r="B513" s="80" t="s">
        <v>2543</v>
      </c>
      <c r="C513" s="85" t="s">
        <v>2555</v>
      </c>
      <c r="D513" s="90" t="s">
        <v>3448</v>
      </c>
      <c r="E513" s="148" t="s">
        <v>1553</v>
      </c>
      <c r="F513" s="149" t="s">
        <v>4059</v>
      </c>
      <c r="G513" s="291" t="s">
        <v>2569</v>
      </c>
      <c r="H513" s="150" t="s">
        <v>3358</v>
      </c>
      <c r="I513" s="151" t="s">
        <v>2962</v>
      </c>
      <c r="J513" s="161">
        <v>250</v>
      </c>
      <c r="K513" s="248"/>
      <c r="L513" s="153"/>
      <c r="M513" s="248" t="str">
        <f t="shared" si="7"/>
        <v>제6편 상소심절차-제14장 항소-제02절 항소의 제기-04</v>
      </c>
      <c r="N513" s="211"/>
      <c r="O513" s="263"/>
    </row>
    <row r="514" spans="2:15" ht="14.45" hidden="1" customHeight="1" x14ac:dyDescent="0.2">
      <c r="B514" s="80" t="s">
        <v>2543</v>
      </c>
      <c r="C514" s="85" t="s">
        <v>2555</v>
      </c>
      <c r="D514" s="90" t="s">
        <v>3448</v>
      </c>
      <c r="E514" s="148" t="s">
        <v>1553</v>
      </c>
      <c r="F514" s="149" t="s">
        <v>4060</v>
      </c>
      <c r="G514" s="291" t="s">
        <v>3646</v>
      </c>
      <c r="H514" s="150" t="s">
        <v>3359</v>
      </c>
      <c r="I514" s="151" t="s">
        <v>2963</v>
      </c>
      <c r="J514" s="161">
        <v>490</v>
      </c>
      <c r="K514" s="248"/>
      <c r="L514" s="153"/>
      <c r="M514" s="248" t="str">
        <f t="shared" si="7"/>
        <v>제6편 상소심절차-제14장 항소-제02절 항소의 제기-05</v>
      </c>
      <c r="N514" s="211"/>
      <c r="O514" s="263"/>
    </row>
    <row r="515" spans="2:15" ht="14.45" hidden="1" customHeight="1" x14ac:dyDescent="0.2">
      <c r="B515" s="80" t="s">
        <v>2543</v>
      </c>
      <c r="C515" s="85" t="s">
        <v>2555</v>
      </c>
      <c r="D515" s="89" t="s">
        <v>3448</v>
      </c>
      <c r="E515" s="213" t="s">
        <v>1553</v>
      </c>
      <c r="F515" s="214" t="s">
        <v>4061</v>
      </c>
      <c r="G515" s="290" t="s">
        <v>3647</v>
      </c>
      <c r="H515" s="215" t="s">
        <v>3360</v>
      </c>
      <c r="I515" s="216" t="s">
        <v>2964</v>
      </c>
      <c r="J515" s="235">
        <v>272</v>
      </c>
      <c r="K515" s="245"/>
      <c r="L515" s="219"/>
      <c r="M515" s="245" t="str">
        <f t="shared" si="7"/>
        <v>제6편 상소심절차-제14장 항소-제02절 항소의 제기-06</v>
      </c>
      <c r="N515" s="218"/>
      <c r="O515" s="260"/>
    </row>
    <row r="516" spans="2:15" ht="14.45" customHeight="1" x14ac:dyDescent="0.2">
      <c r="B516" s="80" t="s">
        <v>2543</v>
      </c>
      <c r="C516" s="85" t="s">
        <v>2555</v>
      </c>
      <c r="D516" s="83" t="s">
        <v>3450</v>
      </c>
      <c r="E516" s="143" t="s">
        <v>7</v>
      </c>
      <c r="F516" s="144" t="s">
        <v>80</v>
      </c>
      <c r="G516" s="295" t="s">
        <v>2566</v>
      </c>
      <c r="H516" s="145" t="s">
        <v>130</v>
      </c>
      <c r="I516" s="146" t="s">
        <v>2252</v>
      </c>
      <c r="J516" s="160">
        <v>1781</v>
      </c>
      <c r="K516" s="247" t="s">
        <v>2594</v>
      </c>
      <c r="L516" s="168"/>
      <c r="M516" s="247" t="str">
        <f t="shared" si="7"/>
        <v>제6편 상소심절차-제14장 항소-제03절 항소심의 심리-01</v>
      </c>
      <c r="N516" s="210"/>
      <c r="O516" s="262"/>
    </row>
    <row r="517" spans="2:15" ht="14.45" customHeight="1" x14ac:dyDescent="0.2">
      <c r="B517" s="80" t="s">
        <v>2543</v>
      </c>
      <c r="C517" s="85" t="s">
        <v>2555</v>
      </c>
      <c r="D517" s="90" t="s">
        <v>3450</v>
      </c>
      <c r="E517" s="148" t="s">
        <v>2426</v>
      </c>
      <c r="F517" s="149" t="s">
        <v>2339</v>
      </c>
      <c r="G517" s="291" t="s">
        <v>2567</v>
      </c>
      <c r="H517" s="150" t="s">
        <v>222</v>
      </c>
      <c r="I517" s="151" t="s">
        <v>2203</v>
      </c>
      <c r="J517" s="161">
        <v>1855</v>
      </c>
      <c r="K517" s="248" t="s">
        <v>2594</v>
      </c>
      <c r="L517" s="153"/>
      <c r="M517" s="248" t="str">
        <f t="shared" ref="M517:M580" si="8">B517&amp;"-"&amp;C517&amp;"-"&amp;D517&amp;"-"&amp;G517</f>
        <v>제6편 상소심절차-제14장 항소-제03절 항소심의 심리-02</v>
      </c>
      <c r="N517" s="211"/>
      <c r="O517" s="263"/>
    </row>
    <row r="518" spans="2:15" ht="14.45" customHeight="1" x14ac:dyDescent="0.2">
      <c r="B518" s="80" t="s">
        <v>2543</v>
      </c>
      <c r="C518" s="85" t="s">
        <v>2555</v>
      </c>
      <c r="D518" s="90" t="s">
        <v>3450</v>
      </c>
      <c r="E518" s="148" t="s">
        <v>2426</v>
      </c>
      <c r="F518" s="149" t="s">
        <v>2340</v>
      </c>
      <c r="G518" s="291" t="s">
        <v>2568</v>
      </c>
      <c r="H518" s="150" t="s">
        <v>223</v>
      </c>
      <c r="I518" s="151" t="s">
        <v>2204</v>
      </c>
      <c r="J518" s="161">
        <v>1940</v>
      </c>
      <c r="K518" s="248" t="s">
        <v>2594</v>
      </c>
      <c r="L518" s="153"/>
      <c r="M518" s="248" t="str">
        <f t="shared" si="8"/>
        <v>제6편 상소심절차-제14장 항소-제03절 항소심의 심리-03</v>
      </c>
      <c r="N518" s="211"/>
      <c r="O518" s="263"/>
    </row>
    <row r="519" spans="2:15" ht="14.45" hidden="1" customHeight="1" x14ac:dyDescent="0.2">
      <c r="B519" s="80" t="s">
        <v>2543</v>
      </c>
      <c r="C519" s="85" t="s">
        <v>2555</v>
      </c>
      <c r="D519" s="90" t="s">
        <v>3450</v>
      </c>
      <c r="E519" s="148" t="s">
        <v>1553</v>
      </c>
      <c r="F519" s="149" t="s">
        <v>4062</v>
      </c>
      <c r="G519" s="291" t="s">
        <v>2569</v>
      </c>
      <c r="H519" s="150" t="s">
        <v>3361</v>
      </c>
      <c r="I519" s="151" t="s">
        <v>2965</v>
      </c>
      <c r="J519" s="161">
        <v>381</v>
      </c>
      <c r="K519" s="248"/>
      <c r="L519" s="153"/>
      <c r="M519" s="248" t="str">
        <f t="shared" si="8"/>
        <v>제6편 상소심절차-제14장 항소-제03절 항소심의 심리-04</v>
      </c>
      <c r="N519" s="211"/>
      <c r="O519" s="263"/>
    </row>
    <row r="520" spans="2:15" ht="14.45" hidden="1" customHeight="1" x14ac:dyDescent="0.2">
      <c r="B520" s="80" t="s">
        <v>2543</v>
      </c>
      <c r="C520" s="85" t="s">
        <v>2555</v>
      </c>
      <c r="D520" s="90" t="s">
        <v>3450</v>
      </c>
      <c r="E520" s="148" t="s">
        <v>1553</v>
      </c>
      <c r="F520" s="149" t="s">
        <v>4063</v>
      </c>
      <c r="G520" s="291" t="s">
        <v>3646</v>
      </c>
      <c r="H520" s="150" t="s">
        <v>3362</v>
      </c>
      <c r="I520" s="151" t="s">
        <v>2966</v>
      </c>
      <c r="J520" s="161">
        <v>202</v>
      </c>
      <c r="K520" s="248"/>
      <c r="L520" s="153"/>
      <c r="M520" s="248" t="str">
        <f t="shared" si="8"/>
        <v>제6편 상소심절차-제14장 항소-제03절 항소심의 심리-05</v>
      </c>
      <c r="N520" s="211"/>
      <c r="O520" s="263"/>
    </row>
    <row r="521" spans="2:15" ht="14.45" hidden="1" customHeight="1" x14ac:dyDescent="0.2">
      <c r="B521" s="80" t="s">
        <v>2543</v>
      </c>
      <c r="C521" s="85" t="s">
        <v>2555</v>
      </c>
      <c r="D521" s="90" t="s">
        <v>3450</v>
      </c>
      <c r="E521" s="148" t="s">
        <v>1553</v>
      </c>
      <c r="F521" s="149" t="s">
        <v>4064</v>
      </c>
      <c r="G521" s="291" t="s">
        <v>3647</v>
      </c>
      <c r="H521" s="150" t="s">
        <v>3363</v>
      </c>
      <c r="I521" s="151" t="s">
        <v>2967</v>
      </c>
      <c r="J521" s="161">
        <v>217</v>
      </c>
      <c r="K521" s="248"/>
      <c r="L521" s="153"/>
      <c r="M521" s="248" t="str">
        <f t="shared" si="8"/>
        <v>제6편 상소심절차-제14장 항소-제03절 항소심의 심리-06</v>
      </c>
      <c r="N521" s="211"/>
      <c r="O521" s="263"/>
    </row>
    <row r="522" spans="2:15" ht="14.45" hidden="1" customHeight="1" x14ac:dyDescent="0.2">
      <c r="B522" s="80" t="s">
        <v>2543</v>
      </c>
      <c r="C522" s="85" t="s">
        <v>2555</v>
      </c>
      <c r="D522" s="90" t="s">
        <v>3450</v>
      </c>
      <c r="E522" s="148" t="s">
        <v>1553</v>
      </c>
      <c r="F522" s="149" t="s">
        <v>4065</v>
      </c>
      <c r="G522" s="291" t="s">
        <v>3648</v>
      </c>
      <c r="H522" s="150" t="s">
        <v>3364</v>
      </c>
      <c r="I522" s="151" t="s">
        <v>2968</v>
      </c>
      <c r="J522" s="161">
        <v>389</v>
      </c>
      <c r="K522" s="248"/>
      <c r="L522" s="153"/>
      <c r="M522" s="248" t="str">
        <f t="shared" si="8"/>
        <v>제6편 상소심절차-제14장 항소-제03절 항소심의 심리-07</v>
      </c>
      <c r="N522" s="211"/>
      <c r="O522" s="263"/>
    </row>
    <row r="523" spans="2:15" ht="14.45" hidden="1" customHeight="1" x14ac:dyDescent="0.2">
      <c r="B523" s="80" t="s">
        <v>2543</v>
      </c>
      <c r="C523" s="85" t="s">
        <v>2555</v>
      </c>
      <c r="D523" s="90" t="s">
        <v>3450</v>
      </c>
      <c r="E523" s="148" t="s">
        <v>1553</v>
      </c>
      <c r="F523" s="149" t="s">
        <v>4066</v>
      </c>
      <c r="G523" s="291" t="s">
        <v>3649</v>
      </c>
      <c r="H523" s="150" t="s">
        <v>3365</v>
      </c>
      <c r="I523" s="151" t="s">
        <v>2969</v>
      </c>
      <c r="J523" s="161">
        <v>426</v>
      </c>
      <c r="K523" s="248"/>
      <c r="L523" s="153"/>
      <c r="M523" s="248" t="str">
        <f t="shared" si="8"/>
        <v>제6편 상소심절차-제14장 항소-제03절 항소심의 심리-08</v>
      </c>
      <c r="N523" s="211"/>
      <c r="O523" s="263"/>
    </row>
    <row r="524" spans="2:15" ht="14.45" hidden="1" customHeight="1" x14ac:dyDescent="0.2">
      <c r="B524" s="80" t="s">
        <v>2543</v>
      </c>
      <c r="C524" s="85" t="s">
        <v>2555</v>
      </c>
      <c r="D524" s="90" t="s">
        <v>3450</v>
      </c>
      <c r="E524" s="148" t="s">
        <v>1553</v>
      </c>
      <c r="F524" s="149" t="s">
        <v>3776</v>
      </c>
      <c r="G524" s="291" t="s">
        <v>3650</v>
      </c>
      <c r="H524" s="150" t="s">
        <v>3366</v>
      </c>
      <c r="I524" s="151" t="s">
        <v>2970</v>
      </c>
      <c r="J524" s="161">
        <v>223</v>
      </c>
      <c r="K524" s="248"/>
      <c r="L524" s="153"/>
      <c r="M524" s="248" t="str">
        <f t="shared" si="8"/>
        <v>제6편 상소심절차-제14장 항소-제03절 항소심의 심리-09</v>
      </c>
      <c r="N524" s="211"/>
      <c r="O524" s="263"/>
    </row>
    <row r="525" spans="2:15" ht="14.45" hidden="1" customHeight="1" x14ac:dyDescent="0.2">
      <c r="B525" s="80" t="s">
        <v>2543</v>
      </c>
      <c r="C525" s="85" t="s">
        <v>2555</v>
      </c>
      <c r="D525" s="89" t="s">
        <v>3450</v>
      </c>
      <c r="E525" s="213" t="s">
        <v>1553</v>
      </c>
      <c r="F525" s="214" t="s">
        <v>4067</v>
      </c>
      <c r="G525" s="290" t="s">
        <v>3651</v>
      </c>
      <c r="H525" s="215" t="s">
        <v>3367</v>
      </c>
      <c r="I525" s="216" t="s">
        <v>2971</v>
      </c>
      <c r="J525" s="235">
        <v>301</v>
      </c>
      <c r="K525" s="245"/>
      <c r="L525" s="219"/>
      <c r="M525" s="245" t="str">
        <f t="shared" si="8"/>
        <v>제6편 상소심절차-제14장 항소-제03절 항소심의 심리-10</v>
      </c>
      <c r="N525" s="218"/>
      <c r="O525" s="260"/>
    </row>
    <row r="526" spans="2:15" ht="14.45" customHeight="1" x14ac:dyDescent="0.2">
      <c r="B526" s="80" t="s">
        <v>2543</v>
      </c>
      <c r="C526" s="85" t="s">
        <v>2555</v>
      </c>
      <c r="D526" s="83" t="s">
        <v>3451</v>
      </c>
      <c r="E526" s="143" t="s">
        <v>7</v>
      </c>
      <c r="F526" s="144" t="s">
        <v>80</v>
      </c>
      <c r="G526" s="295" t="s">
        <v>2566</v>
      </c>
      <c r="H526" s="145" t="s">
        <v>131</v>
      </c>
      <c r="I526" s="146" t="s">
        <v>2253</v>
      </c>
      <c r="J526" s="160">
        <v>1934</v>
      </c>
      <c r="K526" s="247" t="s">
        <v>2594</v>
      </c>
      <c r="L526" s="168"/>
      <c r="M526" s="247" t="str">
        <f t="shared" si="8"/>
        <v>제6편 상소심절차-제14장 항소-제04절 항소심의 종국재판-01</v>
      </c>
      <c r="N526" s="210"/>
      <c r="O526" s="262"/>
    </row>
    <row r="527" spans="2:15" ht="14.45" customHeight="1" x14ac:dyDescent="0.2">
      <c r="B527" s="80" t="s">
        <v>2543</v>
      </c>
      <c r="C527" s="85" t="s">
        <v>2555</v>
      </c>
      <c r="D527" s="90" t="s">
        <v>3451</v>
      </c>
      <c r="E527" s="148" t="s">
        <v>2426</v>
      </c>
      <c r="F527" s="149" t="s">
        <v>2341</v>
      </c>
      <c r="G527" s="291" t="s">
        <v>2567</v>
      </c>
      <c r="H527" s="150" t="s">
        <v>2369</v>
      </c>
      <c r="I527" s="151" t="s">
        <v>2371</v>
      </c>
      <c r="J527" s="161">
        <v>2112</v>
      </c>
      <c r="K527" s="248" t="s">
        <v>2595</v>
      </c>
      <c r="L527" s="153"/>
      <c r="M527" s="248" t="str">
        <f t="shared" si="8"/>
        <v>제6편 상소심절차-제14장 항소-제04절 항소심의 종국재판-02</v>
      </c>
      <c r="N527" s="211"/>
      <c r="O527" s="263"/>
    </row>
    <row r="528" spans="2:15" ht="14.45" customHeight="1" thickBot="1" x14ac:dyDescent="0.25">
      <c r="B528" s="80" t="s">
        <v>2543</v>
      </c>
      <c r="C528" s="85" t="s">
        <v>2555</v>
      </c>
      <c r="D528" s="90" t="s">
        <v>3451</v>
      </c>
      <c r="E528" s="148" t="s">
        <v>2426</v>
      </c>
      <c r="F528" s="149" t="s">
        <v>2342</v>
      </c>
      <c r="G528" s="291" t="s">
        <v>2568</v>
      </c>
      <c r="H528" s="150" t="s">
        <v>224</v>
      </c>
      <c r="I528" s="151" t="s">
        <v>2205</v>
      </c>
      <c r="J528" s="161">
        <v>1918</v>
      </c>
      <c r="K528" s="248" t="s">
        <v>2594</v>
      </c>
      <c r="L528" s="153"/>
      <c r="M528" s="248" t="str">
        <f t="shared" si="8"/>
        <v>제6편 상소심절차-제14장 항소-제04절 항소심의 종국재판-03</v>
      </c>
      <c r="N528" s="211"/>
      <c r="O528" s="263"/>
    </row>
    <row r="529" spans="2:15" ht="14.45" hidden="1" customHeight="1" thickBot="1" x14ac:dyDescent="0.25">
      <c r="B529" s="80" t="s">
        <v>2543</v>
      </c>
      <c r="C529" s="86" t="s">
        <v>2555</v>
      </c>
      <c r="D529" s="91" t="s">
        <v>3451</v>
      </c>
      <c r="E529" s="154" t="s">
        <v>1553</v>
      </c>
      <c r="F529" s="155" t="s">
        <v>4068</v>
      </c>
      <c r="G529" s="292" t="s">
        <v>2569</v>
      </c>
      <c r="H529" s="156" t="s">
        <v>3368</v>
      </c>
      <c r="I529" s="157" t="s">
        <v>2972</v>
      </c>
      <c r="J529" s="162">
        <v>414</v>
      </c>
      <c r="K529" s="249"/>
      <c r="L529" s="170"/>
      <c r="M529" s="249" t="str">
        <f t="shared" si="8"/>
        <v>제6편 상소심절차-제14장 항소-제04절 항소심의 종국재판-04</v>
      </c>
      <c r="N529" s="212"/>
      <c r="O529" s="264"/>
    </row>
    <row r="530" spans="2:15" ht="14.45" customHeight="1" x14ac:dyDescent="0.2">
      <c r="B530" s="80" t="s">
        <v>2543</v>
      </c>
      <c r="C530" s="64" t="s">
        <v>2558</v>
      </c>
      <c r="D530" s="84" t="s">
        <v>3491</v>
      </c>
      <c r="E530" s="137" t="s">
        <v>7</v>
      </c>
      <c r="F530" s="138" t="s">
        <v>83</v>
      </c>
      <c r="G530" s="293" t="s">
        <v>2566</v>
      </c>
      <c r="H530" s="139" t="s">
        <v>132</v>
      </c>
      <c r="I530" s="140" t="s">
        <v>2254</v>
      </c>
      <c r="J530" s="159">
        <v>1890</v>
      </c>
      <c r="K530" s="244" t="s">
        <v>2594</v>
      </c>
      <c r="L530" s="169"/>
      <c r="M530" s="244" t="str">
        <f t="shared" si="8"/>
        <v>제6편 상소심절차-제15장 상고-제01절 상고의 의의-01</v>
      </c>
      <c r="N530" s="209"/>
      <c r="O530" s="259"/>
    </row>
    <row r="531" spans="2:15" ht="14.45" hidden="1" customHeight="1" x14ac:dyDescent="0.2">
      <c r="B531" s="80" t="s">
        <v>2543</v>
      </c>
      <c r="C531" s="85" t="s">
        <v>2557</v>
      </c>
      <c r="D531" s="89" t="s">
        <v>3491</v>
      </c>
      <c r="E531" s="213" t="s">
        <v>1553</v>
      </c>
      <c r="F531" s="214" t="s">
        <v>4069</v>
      </c>
      <c r="G531" s="290" t="s">
        <v>2567</v>
      </c>
      <c r="H531" s="215" t="s">
        <v>3369</v>
      </c>
      <c r="I531" s="216" t="s">
        <v>2973</v>
      </c>
      <c r="J531" s="235">
        <v>280</v>
      </c>
      <c r="K531" s="245"/>
      <c r="L531" s="219"/>
      <c r="M531" s="245" t="str">
        <f t="shared" si="8"/>
        <v>제6편 상소심절차-제15장 상고-제01절 상고의 의의-02</v>
      </c>
      <c r="N531" s="218"/>
      <c r="O531" s="260"/>
    </row>
    <row r="532" spans="2:15" ht="14.45" customHeight="1" x14ac:dyDescent="0.2">
      <c r="B532" s="80" t="s">
        <v>2543</v>
      </c>
      <c r="C532" s="85" t="s">
        <v>2557</v>
      </c>
      <c r="D532" s="83" t="s">
        <v>3452</v>
      </c>
      <c r="E532" s="143" t="s">
        <v>7</v>
      </c>
      <c r="F532" s="144" t="s">
        <v>82</v>
      </c>
      <c r="G532" s="295" t="s">
        <v>2566</v>
      </c>
      <c r="H532" s="145" t="s">
        <v>133</v>
      </c>
      <c r="I532" s="146" t="s">
        <v>2255</v>
      </c>
      <c r="J532" s="160">
        <v>2431</v>
      </c>
      <c r="K532" s="247" t="s">
        <v>2594</v>
      </c>
      <c r="L532" s="168"/>
      <c r="M532" s="247" t="str">
        <f t="shared" si="8"/>
        <v>제6편 상소심절차-제15장 상고-제02절 상고이유-01</v>
      </c>
      <c r="N532" s="210"/>
      <c r="O532" s="262"/>
    </row>
    <row r="533" spans="2:15" ht="14.45" customHeight="1" x14ac:dyDescent="0.2">
      <c r="B533" s="80" t="s">
        <v>2543</v>
      </c>
      <c r="C533" s="85" t="s">
        <v>2557</v>
      </c>
      <c r="D533" s="90" t="s">
        <v>3452</v>
      </c>
      <c r="E533" s="148" t="s">
        <v>2426</v>
      </c>
      <c r="F533" s="149" t="s">
        <v>2343</v>
      </c>
      <c r="G533" s="291" t="s">
        <v>2567</v>
      </c>
      <c r="H533" s="150" t="s">
        <v>225</v>
      </c>
      <c r="I533" s="151" t="s">
        <v>2206</v>
      </c>
      <c r="J533" s="161">
        <v>1934</v>
      </c>
      <c r="K533" s="248" t="s">
        <v>2594</v>
      </c>
      <c r="L533" s="153"/>
      <c r="M533" s="248" t="str">
        <f t="shared" si="8"/>
        <v>제6편 상소심절차-제15장 상고-제02절 상고이유-02</v>
      </c>
      <c r="N533" s="211"/>
      <c r="O533" s="263"/>
    </row>
    <row r="534" spans="2:15" ht="14.45" customHeight="1" x14ac:dyDescent="0.2">
      <c r="B534" s="80" t="s">
        <v>2543</v>
      </c>
      <c r="C534" s="85" t="s">
        <v>2557</v>
      </c>
      <c r="D534" s="90" t="s">
        <v>3452</v>
      </c>
      <c r="E534" s="148" t="s">
        <v>2426</v>
      </c>
      <c r="F534" s="149" t="s">
        <v>2344</v>
      </c>
      <c r="G534" s="291" t="s">
        <v>2568</v>
      </c>
      <c r="H534" s="150" t="s">
        <v>2597</v>
      </c>
      <c r="I534" s="151" t="s">
        <v>2598</v>
      </c>
      <c r="J534" s="161">
        <v>2162</v>
      </c>
      <c r="K534" s="248" t="s">
        <v>2594</v>
      </c>
      <c r="L534" s="153"/>
      <c r="M534" s="248" t="str">
        <f t="shared" si="8"/>
        <v>제6편 상소심절차-제15장 상고-제02절 상고이유-03</v>
      </c>
      <c r="N534" s="211"/>
      <c r="O534" s="263"/>
    </row>
    <row r="535" spans="2:15" ht="14.45" hidden="1" customHeight="1" x14ac:dyDescent="0.2">
      <c r="B535" s="80" t="s">
        <v>2543</v>
      </c>
      <c r="C535" s="85" t="s">
        <v>2557</v>
      </c>
      <c r="D535" s="90" t="s">
        <v>3452</v>
      </c>
      <c r="E535" s="148" t="s">
        <v>1553</v>
      </c>
      <c r="F535" s="149" t="s">
        <v>4070</v>
      </c>
      <c r="G535" s="291" t="s">
        <v>2569</v>
      </c>
      <c r="H535" s="150" t="s">
        <v>3370</v>
      </c>
      <c r="I535" s="151" t="s">
        <v>2974</v>
      </c>
      <c r="J535" s="161">
        <v>821</v>
      </c>
      <c r="K535" s="248"/>
      <c r="L535" s="153"/>
      <c r="M535" s="248" t="str">
        <f t="shared" si="8"/>
        <v>제6편 상소심절차-제15장 상고-제02절 상고이유-04</v>
      </c>
      <c r="N535" s="211"/>
      <c r="O535" s="263"/>
    </row>
    <row r="536" spans="2:15" ht="14.45" hidden="1" customHeight="1" x14ac:dyDescent="0.2">
      <c r="B536" s="80" t="s">
        <v>2543</v>
      </c>
      <c r="C536" s="85" t="s">
        <v>2557</v>
      </c>
      <c r="D536" s="90" t="s">
        <v>3452</v>
      </c>
      <c r="E536" s="148" t="s">
        <v>1553</v>
      </c>
      <c r="F536" s="149" t="s">
        <v>4071</v>
      </c>
      <c r="G536" s="291" t="s">
        <v>3646</v>
      </c>
      <c r="H536" s="150" t="s">
        <v>3371</v>
      </c>
      <c r="I536" s="151" t="s">
        <v>2975</v>
      </c>
      <c r="J536" s="161">
        <v>430</v>
      </c>
      <c r="K536" s="248"/>
      <c r="L536" s="153"/>
      <c r="M536" s="248" t="str">
        <f t="shared" si="8"/>
        <v>제6편 상소심절차-제15장 상고-제02절 상고이유-05</v>
      </c>
      <c r="N536" s="211"/>
      <c r="O536" s="263"/>
    </row>
    <row r="537" spans="2:15" ht="14.45" hidden="1" customHeight="1" x14ac:dyDescent="0.2">
      <c r="B537" s="80" t="s">
        <v>2543</v>
      </c>
      <c r="C537" s="85" t="s">
        <v>2557</v>
      </c>
      <c r="D537" s="89" t="s">
        <v>3452</v>
      </c>
      <c r="E537" s="213" t="s">
        <v>1553</v>
      </c>
      <c r="F537" s="214" t="s">
        <v>4072</v>
      </c>
      <c r="G537" s="290" t="s">
        <v>3647</v>
      </c>
      <c r="H537" s="215" t="s">
        <v>3372</v>
      </c>
      <c r="I537" s="216" t="s">
        <v>2976</v>
      </c>
      <c r="J537" s="235">
        <v>405</v>
      </c>
      <c r="K537" s="245"/>
      <c r="L537" s="219"/>
      <c r="M537" s="245" t="str">
        <f t="shared" si="8"/>
        <v>제6편 상소심절차-제15장 상고-제02절 상고이유-06</v>
      </c>
      <c r="N537" s="218"/>
      <c r="O537" s="260"/>
    </row>
    <row r="538" spans="2:15" ht="14.45" customHeight="1" x14ac:dyDescent="0.2">
      <c r="B538" s="80" t="s">
        <v>2543</v>
      </c>
      <c r="C538" s="85" t="s">
        <v>2557</v>
      </c>
      <c r="D538" s="83" t="s">
        <v>3453</v>
      </c>
      <c r="E538" s="143" t="s">
        <v>7</v>
      </c>
      <c r="F538" s="144" t="s">
        <v>82</v>
      </c>
      <c r="G538" s="295" t="s">
        <v>2566</v>
      </c>
      <c r="H538" s="145" t="s">
        <v>142</v>
      </c>
      <c r="I538" s="146" t="s">
        <v>2256</v>
      </c>
      <c r="J538" s="160">
        <v>1948</v>
      </c>
      <c r="K538" s="247" t="s">
        <v>2594</v>
      </c>
      <c r="L538" s="168"/>
      <c r="M538" s="247" t="str">
        <f t="shared" si="8"/>
        <v>제6편 상소심절차-제15장 상고-제03절 상고심절차의 개시와 심리-01</v>
      </c>
      <c r="N538" s="210"/>
      <c r="O538" s="262"/>
    </row>
    <row r="539" spans="2:15" ht="14.45" customHeight="1" x14ac:dyDescent="0.2">
      <c r="B539" s="80" t="s">
        <v>2543</v>
      </c>
      <c r="C539" s="85" t="s">
        <v>2557</v>
      </c>
      <c r="D539" s="90" t="s">
        <v>3453</v>
      </c>
      <c r="E539" s="148" t="s">
        <v>2426</v>
      </c>
      <c r="F539" s="149" t="s">
        <v>2345</v>
      </c>
      <c r="G539" s="291" t="s">
        <v>2567</v>
      </c>
      <c r="H539" s="150" t="s">
        <v>226</v>
      </c>
      <c r="I539" s="151" t="s">
        <v>2207</v>
      </c>
      <c r="J539" s="161">
        <v>2184</v>
      </c>
      <c r="K539" s="248" t="s">
        <v>2594</v>
      </c>
      <c r="L539" s="153"/>
      <c r="M539" s="248" t="str">
        <f t="shared" si="8"/>
        <v>제6편 상소심절차-제15장 상고-제03절 상고심절차의 개시와 심리-02</v>
      </c>
      <c r="N539" s="211"/>
      <c r="O539" s="263"/>
    </row>
    <row r="540" spans="2:15" ht="14.45" customHeight="1" x14ac:dyDescent="0.2">
      <c r="B540" s="80" t="s">
        <v>2543</v>
      </c>
      <c r="C540" s="85" t="s">
        <v>2557</v>
      </c>
      <c r="D540" s="90" t="s">
        <v>3453</v>
      </c>
      <c r="E540" s="148" t="s">
        <v>2426</v>
      </c>
      <c r="F540" s="149" t="s">
        <v>2346</v>
      </c>
      <c r="G540" s="291" t="s">
        <v>2568</v>
      </c>
      <c r="H540" s="150" t="s">
        <v>227</v>
      </c>
      <c r="I540" s="151" t="s">
        <v>2208</v>
      </c>
      <c r="J540" s="161">
        <v>2041</v>
      </c>
      <c r="K540" s="248" t="s">
        <v>2594</v>
      </c>
      <c r="L540" s="153"/>
      <c r="M540" s="248" t="str">
        <f t="shared" si="8"/>
        <v>제6편 상소심절차-제15장 상고-제03절 상고심절차의 개시와 심리-03</v>
      </c>
      <c r="N540" s="211"/>
      <c r="O540" s="263"/>
    </row>
    <row r="541" spans="2:15" ht="14.45" hidden="1" customHeight="1" x14ac:dyDescent="0.2">
      <c r="B541" s="80" t="s">
        <v>2543</v>
      </c>
      <c r="C541" s="85" t="s">
        <v>2557</v>
      </c>
      <c r="D541" s="90" t="s">
        <v>3453</v>
      </c>
      <c r="E541" s="148" t="s">
        <v>1553</v>
      </c>
      <c r="F541" s="149" t="s">
        <v>4073</v>
      </c>
      <c r="G541" s="291" t="s">
        <v>2569</v>
      </c>
      <c r="H541" s="150" t="s">
        <v>3373</v>
      </c>
      <c r="I541" s="151" t="s">
        <v>2977</v>
      </c>
      <c r="J541" s="161">
        <v>280</v>
      </c>
      <c r="K541" s="248"/>
      <c r="L541" s="153"/>
      <c r="M541" s="248" t="str">
        <f t="shared" si="8"/>
        <v>제6편 상소심절차-제15장 상고-제03절 상고심절차의 개시와 심리-04</v>
      </c>
      <c r="N541" s="211"/>
      <c r="O541" s="263"/>
    </row>
    <row r="542" spans="2:15" ht="14.45" hidden="1" customHeight="1" x14ac:dyDescent="0.2">
      <c r="B542" s="80" t="s">
        <v>2543</v>
      </c>
      <c r="C542" s="85" t="s">
        <v>2557</v>
      </c>
      <c r="D542" s="89" t="s">
        <v>3453</v>
      </c>
      <c r="E542" s="213" t="s">
        <v>1553</v>
      </c>
      <c r="F542" s="214" t="s">
        <v>4074</v>
      </c>
      <c r="G542" s="290" t="s">
        <v>3646</v>
      </c>
      <c r="H542" s="215" t="s">
        <v>3374</v>
      </c>
      <c r="I542" s="216" t="s">
        <v>2978</v>
      </c>
      <c r="J542" s="235">
        <v>658</v>
      </c>
      <c r="K542" s="245"/>
      <c r="L542" s="219"/>
      <c r="M542" s="245" t="str">
        <f t="shared" si="8"/>
        <v>제6편 상소심절차-제15장 상고-제03절 상고심절차의 개시와 심리-05</v>
      </c>
      <c r="N542" s="218"/>
      <c r="O542" s="260"/>
    </row>
    <row r="543" spans="2:15" ht="14.45" customHeight="1" x14ac:dyDescent="0.2">
      <c r="B543" s="80" t="s">
        <v>2543</v>
      </c>
      <c r="C543" s="85" t="s">
        <v>2557</v>
      </c>
      <c r="D543" s="83" t="s">
        <v>3454</v>
      </c>
      <c r="E543" s="143" t="s">
        <v>7</v>
      </c>
      <c r="F543" s="144" t="s">
        <v>82</v>
      </c>
      <c r="G543" s="295" t="s">
        <v>2566</v>
      </c>
      <c r="H543" s="145" t="s">
        <v>143</v>
      </c>
      <c r="I543" s="146" t="s">
        <v>2257</v>
      </c>
      <c r="J543" s="160">
        <v>1932</v>
      </c>
      <c r="K543" s="247" t="s">
        <v>2594</v>
      </c>
      <c r="L543" s="168"/>
      <c r="M543" s="247" t="str">
        <f t="shared" si="8"/>
        <v>제6편 상소심절차-제15장 상고-제04절 상고심의 종국재판-01</v>
      </c>
      <c r="N543" s="210"/>
      <c r="O543" s="262"/>
    </row>
    <row r="544" spans="2:15" ht="14.45" customHeight="1" x14ac:dyDescent="0.2">
      <c r="B544" s="80" t="s">
        <v>2543</v>
      </c>
      <c r="C544" s="85" t="s">
        <v>2557</v>
      </c>
      <c r="D544" s="90" t="s">
        <v>3454</v>
      </c>
      <c r="E544" s="148" t="s">
        <v>2426</v>
      </c>
      <c r="F544" s="149" t="s">
        <v>2347</v>
      </c>
      <c r="G544" s="291" t="s">
        <v>2567</v>
      </c>
      <c r="H544" s="150" t="s">
        <v>228</v>
      </c>
      <c r="I544" s="151" t="s">
        <v>2209</v>
      </c>
      <c r="J544" s="161">
        <v>2168</v>
      </c>
      <c r="K544" s="248" t="s">
        <v>2595</v>
      </c>
      <c r="L544" s="153"/>
      <c r="M544" s="248" t="str">
        <f t="shared" si="8"/>
        <v>제6편 상소심절차-제15장 상고-제04절 상고심의 종국재판-02</v>
      </c>
      <c r="N544" s="211"/>
      <c r="O544" s="263"/>
    </row>
    <row r="545" spans="2:15" ht="14.45" customHeight="1" thickBot="1" x14ac:dyDescent="0.25">
      <c r="B545" s="80" t="s">
        <v>2543</v>
      </c>
      <c r="C545" s="85" t="s">
        <v>2557</v>
      </c>
      <c r="D545" s="90" t="s">
        <v>3454</v>
      </c>
      <c r="E545" s="148" t="s">
        <v>2426</v>
      </c>
      <c r="F545" s="149" t="s">
        <v>2348</v>
      </c>
      <c r="G545" s="291" t="s">
        <v>2568</v>
      </c>
      <c r="H545" s="150" t="s">
        <v>229</v>
      </c>
      <c r="I545" s="151" t="s">
        <v>2210</v>
      </c>
      <c r="J545" s="161">
        <v>2047</v>
      </c>
      <c r="K545" s="248" t="s">
        <v>2594</v>
      </c>
      <c r="L545" s="153"/>
      <c r="M545" s="248" t="str">
        <f t="shared" si="8"/>
        <v>제6편 상소심절차-제15장 상고-제04절 상고심의 종국재판-03</v>
      </c>
      <c r="N545" s="211"/>
      <c r="O545" s="263"/>
    </row>
    <row r="546" spans="2:15" ht="14.45" hidden="1" customHeight="1" x14ac:dyDescent="0.25">
      <c r="B546" s="80" t="s">
        <v>2543</v>
      </c>
      <c r="C546" s="85" t="s">
        <v>2557</v>
      </c>
      <c r="D546" s="90" t="s">
        <v>3454</v>
      </c>
      <c r="E546" s="148" t="s">
        <v>1553</v>
      </c>
      <c r="F546" s="149" t="s">
        <v>4075</v>
      </c>
      <c r="G546" s="291" t="s">
        <v>2569</v>
      </c>
      <c r="H546" s="150" t="s">
        <v>3375</v>
      </c>
      <c r="I546" s="151" t="s">
        <v>2979</v>
      </c>
      <c r="J546" s="161">
        <v>469</v>
      </c>
      <c r="K546" s="248"/>
      <c r="L546" s="153"/>
      <c r="M546" s="248" t="str">
        <f t="shared" si="8"/>
        <v>제6편 상소심절차-제15장 상고-제04절 상고심의 종국재판-04</v>
      </c>
      <c r="N546" s="211"/>
      <c r="O546" s="263"/>
    </row>
    <row r="547" spans="2:15" ht="14.45" hidden="1" customHeight="1" x14ac:dyDescent="0.25">
      <c r="B547" s="80" t="s">
        <v>2543</v>
      </c>
      <c r="C547" s="85" t="s">
        <v>2557</v>
      </c>
      <c r="D547" s="90" t="s">
        <v>3454</v>
      </c>
      <c r="E547" s="148" t="s">
        <v>1553</v>
      </c>
      <c r="F547" s="149" t="s">
        <v>4076</v>
      </c>
      <c r="G547" s="291" t="s">
        <v>3646</v>
      </c>
      <c r="H547" s="150" t="s">
        <v>3376</v>
      </c>
      <c r="I547" s="151" t="s">
        <v>2980</v>
      </c>
      <c r="J547" s="161">
        <v>899</v>
      </c>
      <c r="K547" s="248"/>
      <c r="L547" s="153"/>
      <c r="M547" s="248" t="str">
        <f t="shared" si="8"/>
        <v>제6편 상소심절차-제15장 상고-제04절 상고심의 종국재판-05</v>
      </c>
      <c r="N547" s="211"/>
      <c r="O547" s="263"/>
    </row>
    <row r="548" spans="2:15" ht="14.45" hidden="1" customHeight="1" x14ac:dyDescent="0.25">
      <c r="B548" s="80" t="s">
        <v>2543</v>
      </c>
      <c r="C548" s="85" t="s">
        <v>2557</v>
      </c>
      <c r="D548" s="90" t="s">
        <v>3454</v>
      </c>
      <c r="E548" s="148" t="s">
        <v>1553</v>
      </c>
      <c r="F548" s="149" t="s">
        <v>4077</v>
      </c>
      <c r="G548" s="291" t="s">
        <v>3647</v>
      </c>
      <c r="H548" s="150" t="s">
        <v>3377</v>
      </c>
      <c r="I548" s="151" t="s">
        <v>2981</v>
      </c>
      <c r="J548" s="161">
        <v>323</v>
      </c>
      <c r="K548" s="248"/>
      <c r="L548" s="153"/>
      <c r="M548" s="248" t="str">
        <f t="shared" si="8"/>
        <v>제6편 상소심절차-제15장 상고-제04절 상고심의 종국재판-06</v>
      </c>
      <c r="N548" s="211"/>
      <c r="O548" s="263"/>
    </row>
    <row r="549" spans="2:15" ht="14.45" hidden="1" customHeight="1" thickBot="1" x14ac:dyDescent="0.25">
      <c r="B549" s="80" t="s">
        <v>2543</v>
      </c>
      <c r="C549" s="86" t="s">
        <v>2557</v>
      </c>
      <c r="D549" s="91" t="s">
        <v>3454</v>
      </c>
      <c r="E549" s="154" t="s">
        <v>1553</v>
      </c>
      <c r="F549" s="155" t="s">
        <v>4078</v>
      </c>
      <c r="G549" s="292" t="s">
        <v>3648</v>
      </c>
      <c r="H549" s="156" t="s">
        <v>3378</v>
      </c>
      <c r="I549" s="157" t="s">
        <v>2982</v>
      </c>
      <c r="J549" s="162">
        <v>662</v>
      </c>
      <c r="K549" s="249"/>
      <c r="L549" s="170"/>
      <c r="M549" s="249" t="str">
        <f t="shared" si="8"/>
        <v>제6편 상소심절차-제15장 상고-제04절 상고심의 종국재판-07</v>
      </c>
      <c r="N549" s="212"/>
      <c r="O549" s="264"/>
    </row>
    <row r="550" spans="2:15" ht="14.45" customHeight="1" x14ac:dyDescent="0.2">
      <c r="B550" s="80" t="s">
        <v>2543</v>
      </c>
      <c r="C550" s="64" t="s">
        <v>2560</v>
      </c>
      <c r="D550" s="84" t="s">
        <v>3493</v>
      </c>
      <c r="E550" s="137" t="s">
        <v>7</v>
      </c>
      <c r="F550" s="138" t="s">
        <v>85</v>
      </c>
      <c r="G550" s="293" t="s">
        <v>2566</v>
      </c>
      <c r="H550" s="139" t="s">
        <v>134</v>
      </c>
      <c r="I550" s="140" t="s">
        <v>2258</v>
      </c>
      <c r="J550" s="159">
        <v>2178</v>
      </c>
      <c r="K550" s="244" t="s">
        <v>2594</v>
      </c>
      <c r="L550" s="169"/>
      <c r="M550" s="244" t="str">
        <f t="shared" si="8"/>
        <v>제6편 상소심절차-제16장 항고-제01절 항고의 의의-01</v>
      </c>
      <c r="N550" s="209"/>
      <c r="O550" s="259"/>
    </row>
    <row r="551" spans="2:15" ht="14.45" hidden="1" customHeight="1" x14ac:dyDescent="0.2">
      <c r="B551" s="80" t="s">
        <v>2543</v>
      </c>
      <c r="C551" s="85" t="s">
        <v>2559</v>
      </c>
      <c r="D551" s="90" t="s">
        <v>3493</v>
      </c>
      <c r="E551" s="148" t="s">
        <v>1553</v>
      </c>
      <c r="F551" s="149" t="s">
        <v>4079</v>
      </c>
      <c r="G551" s="291" t="s">
        <v>2567</v>
      </c>
      <c r="H551" s="150" t="s">
        <v>3379</v>
      </c>
      <c r="I551" s="151" t="s">
        <v>2983</v>
      </c>
      <c r="J551" s="161">
        <v>247</v>
      </c>
      <c r="K551" s="248"/>
      <c r="L551" s="153"/>
      <c r="M551" s="248" t="str">
        <f t="shared" si="8"/>
        <v>제6편 상소심절차-제16장 항고-제01절 항고의 의의-02</v>
      </c>
      <c r="N551" s="211"/>
      <c r="O551" s="263"/>
    </row>
    <row r="552" spans="2:15" ht="14.45" hidden="1" customHeight="1" x14ac:dyDescent="0.2">
      <c r="B552" s="80" t="s">
        <v>2543</v>
      </c>
      <c r="C552" s="85" t="s">
        <v>2559</v>
      </c>
      <c r="D552" s="90" t="s">
        <v>3493</v>
      </c>
      <c r="E552" s="148" t="s">
        <v>1553</v>
      </c>
      <c r="F552" s="149" t="s">
        <v>4080</v>
      </c>
      <c r="G552" s="291" t="s">
        <v>2568</v>
      </c>
      <c r="H552" s="150" t="s">
        <v>3380</v>
      </c>
      <c r="I552" s="151" t="s">
        <v>2984</v>
      </c>
      <c r="J552" s="161">
        <v>202</v>
      </c>
      <c r="K552" s="248"/>
      <c r="L552" s="153"/>
      <c r="M552" s="248" t="str">
        <f t="shared" si="8"/>
        <v>제6편 상소심절차-제16장 항고-제01절 항고의 의의-03</v>
      </c>
      <c r="N552" s="211"/>
      <c r="O552" s="263"/>
    </row>
    <row r="553" spans="2:15" ht="14.45" hidden="1" customHeight="1" x14ac:dyDescent="0.2">
      <c r="B553" s="80" t="s">
        <v>2543</v>
      </c>
      <c r="C553" s="85" t="s">
        <v>2559</v>
      </c>
      <c r="D553" s="90" t="s">
        <v>3493</v>
      </c>
      <c r="E553" s="148" t="s">
        <v>1553</v>
      </c>
      <c r="F553" s="149" t="s">
        <v>4081</v>
      </c>
      <c r="G553" s="291" t="s">
        <v>2569</v>
      </c>
      <c r="H553" s="150" t="s">
        <v>3381</v>
      </c>
      <c r="I553" s="151" t="s">
        <v>2985</v>
      </c>
      <c r="J553" s="161">
        <v>260</v>
      </c>
      <c r="K553" s="248"/>
      <c r="L553" s="153"/>
      <c r="M553" s="248" t="str">
        <f t="shared" si="8"/>
        <v>제6편 상소심절차-제16장 항고-제01절 항고의 의의-04</v>
      </c>
      <c r="N553" s="211"/>
      <c r="O553" s="263"/>
    </row>
    <row r="554" spans="2:15" ht="14.45" hidden="1" customHeight="1" x14ac:dyDescent="0.2">
      <c r="B554" s="80" t="s">
        <v>2543</v>
      </c>
      <c r="C554" s="85" t="s">
        <v>2559</v>
      </c>
      <c r="D554" s="90" t="s">
        <v>3493</v>
      </c>
      <c r="E554" s="148" t="s">
        <v>1553</v>
      </c>
      <c r="F554" s="149" t="s">
        <v>4082</v>
      </c>
      <c r="G554" s="291" t="s">
        <v>3646</v>
      </c>
      <c r="H554" s="150" t="s">
        <v>3382</v>
      </c>
      <c r="I554" s="151" t="s">
        <v>2986</v>
      </c>
      <c r="J554" s="161">
        <v>271</v>
      </c>
      <c r="K554" s="248"/>
      <c r="L554" s="153"/>
      <c r="M554" s="248" t="str">
        <f t="shared" si="8"/>
        <v>제6편 상소심절차-제16장 항고-제01절 항고의 의의-05</v>
      </c>
      <c r="N554" s="211"/>
      <c r="O554" s="263"/>
    </row>
    <row r="555" spans="2:15" ht="14.45" hidden="1" customHeight="1" x14ac:dyDescent="0.2">
      <c r="B555" s="80" t="s">
        <v>2543</v>
      </c>
      <c r="C555" s="85" t="s">
        <v>2559</v>
      </c>
      <c r="D555" s="89" t="s">
        <v>3493</v>
      </c>
      <c r="E555" s="213" t="s">
        <v>1553</v>
      </c>
      <c r="F555" s="214" t="s">
        <v>4083</v>
      </c>
      <c r="G555" s="290" t="s">
        <v>3647</v>
      </c>
      <c r="H555" s="215" t="s">
        <v>3383</v>
      </c>
      <c r="I555" s="216" t="s">
        <v>2987</v>
      </c>
      <c r="J555" s="235">
        <v>208</v>
      </c>
      <c r="K555" s="245"/>
      <c r="L555" s="219"/>
      <c r="M555" s="245" t="str">
        <f t="shared" si="8"/>
        <v>제6편 상소심절차-제16장 항고-제01절 항고의 의의-06</v>
      </c>
      <c r="N555" s="218"/>
      <c r="O555" s="260"/>
    </row>
    <row r="556" spans="2:15" ht="14.45" customHeight="1" x14ac:dyDescent="0.2">
      <c r="B556" s="80" t="s">
        <v>2543</v>
      </c>
      <c r="C556" s="85" t="s">
        <v>2559</v>
      </c>
      <c r="D556" s="83" t="s">
        <v>3455</v>
      </c>
      <c r="E556" s="143" t="s">
        <v>7</v>
      </c>
      <c r="F556" s="144" t="s">
        <v>84</v>
      </c>
      <c r="G556" s="295" t="s">
        <v>2566</v>
      </c>
      <c r="H556" s="145" t="s">
        <v>135</v>
      </c>
      <c r="I556" s="146" t="s">
        <v>2259</v>
      </c>
      <c r="J556" s="160">
        <v>2066</v>
      </c>
      <c r="K556" s="247" t="s">
        <v>2594</v>
      </c>
      <c r="L556" s="168"/>
      <c r="M556" s="247" t="str">
        <f t="shared" si="8"/>
        <v>제6편 상소심절차-제16장 항고-제02절 항고의 절차-01</v>
      </c>
      <c r="N556" s="210"/>
      <c r="O556" s="262"/>
    </row>
    <row r="557" spans="2:15" ht="14.45" customHeight="1" x14ac:dyDescent="0.2">
      <c r="B557" s="80" t="s">
        <v>2543</v>
      </c>
      <c r="C557" s="85" t="s">
        <v>2559</v>
      </c>
      <c r="D557" s="90" t="s">
        <v>3455</v>
      </c>
      <c r="E557" s="148" t="s">
        <v>2426</v>
      </c>
      <c r="F557" s="149" t="s">
        <v>2349</v>
      </c>
      <c r="G557" s="291" t="s">
        <v>2567</v>
      </c>
      <c r="H557" s="150" t="s">
        <v>230</v>
      </c>
      <c r="I557" s="151" t="s">
        <v>2211</v>
      </c>
      <c r="J557" s="161">
        <v>1925</v>
      </c>
      <c r="K557" s="248" t="s">
        <v>2594</v>
      </c>
      <c r="L557" s="153"/>
      <c r="M557" s="248" t="str">
        <f t="shared" si="8"/>
        <v>제6편 상소심절차-제16장 항고-제02절 항고의 절차-02</v>
      </c>
      <c r="N557" s="211"/>
      <c r="O557" s="263"/>
    </row>
    <row r="558" spans="2:15" ht="14.45" customHeight="1" thickBot="1" x14ac:dyDescent="0.25">
      <c r="B558" s="81" t="s">
        <v>2543</v>
      </c>
      <c r="C558" s="86" t="s">
        <v>2559</v>
      </c>
      <c r="D558" s="91" t="s">
        <v>3455</v>
      </c>
      <c r="E558" s="154" t="s">
        <v>2426</v>
      </c>
      <c r="F558" s="155" t="s">
        <v>2350</v>
      </c>
      <c r="G558" s="292" t="s">
        <v>2568</v>
      </c>
      <c r="H558" s="156" t="s">
        <v>231</v>
      </c>
      <c r="I558" s="157" t="s">
        <v>2212</v>
      </c>
      <c r="J558" s="162">
        <v>1902</v>
      </c>
      <c r="K558" s="249" t="s">
        <v>2594</v>
      </c>
      <c r="L558" s="170"/>
      <c r="M558" s="249" t="str">
        <f t="shared" si="8"/>
        <v>제6편 상소심절차-제16장 항고-제02절 항고의 절차-03</v>
      </c>
      <c r="N558" s="212"/>
      <c r="O558" s="264"/>
    </row>
    <row r="559" spans="2:15" ht="14.45" customHeight="1" x14ac:dyDescent="0.2">
      <c r="B559" s="61" t="s">
        <v>2599</v>
      </c>
      <c r="C559" s="82" t="s">
        <v>2562</v>
      </c>
      <c r="D559" s="227" t="s">
        <v>3495</v>
      </c>
      <c r="E559" s="228" t="s">
        <v>7</v>
      </c>
      <c r="F559" s="229" t="s">
        <v>87</v>
      </c>
      <c r="G559" s="296" t="s">
        <v>2566</v>
      </c>
      <c r="H559" s="230" t="s">
        <v>136</v>
      </c>
      <c r="I559" s="231" t="s">
        <v>2260</v>
      </c>
      <c r="J559" s="236">
        <v>1902</v>
      </c>
      <c r="K559" s="250" t="s">
        <v>2594</v>
      </c>
      <c r="L559" s="234"/>
      <c r="M559" s="250" t="str">
        <f t="shared" si="8"/>
        <v>제7편 재심절차-제17장 재심-제01절 재심의 개념-01</v>
      </c>
      <c r="N559" s="233"/>
      <c r="O559" s="265"/>
    </row>
    <row r="560" spans="2:15" ht="14.45" customHeight="1" x14ac:dyDescent="0.2">
      <c r="B560" s="80" t="s">
        <v>2544</v>
      </c>
      <c r="C560" s="87" t="s">
        <v>2561</v>
      </c>
      <c r="D560" s="83" t="s">
        <v>3456</v>
      </c>
      <c r="E560" s="143" t="s">
        <v>7</v>
      </c>
      <c r="F560" s="144" t="s">
        <v>86</v>
      </c>
      <c r="G560" s="295" t="s">
        <v>2566</v>
      </c>
      <c r="H560" s="145" t="s">
        <v>137</v>
      </c>
      <c r="I560" s="146" t="s">
        <v>2261</v>
      </c>
      <c r="J560" s="160">
        <v>2067</v>
      </c>
      <c r="K560" s="247" t="s">
        <v>2594</v>
      </c>
      <c r="L560" s="168"/>
      <c r="M560" s="247" t="str">
        <f t="shared" si="8"/>
        <v>제7편 재심절차-제17장 재심-제02절 재심의 소송물-01</v>
      </c>
      <c r="N560" s="210"/>
      <c r="O560" s="262"/>
    </row>
    <row r="561" spans="2:15" ht="14.45" customHeight="1" x14ac:dyDescent="0.2">
      <c r="B561" s="80" t="s">
        <v>2544</v>
      </c>
      <c r="C561" s="87" t="s">
        <v>2561</v>
      </c>
      <c r="D561" s="90" t="s">
        <v>3456</v>
      </c>
      <c r="E561" s="148" t="s">
        <v>2426</v>
      </c>
      <c r="F561" s="149" t="s">
        <v>2351</v>
      </c>
      <c r="G561" s="291" t="s">
        <v>2567</v>
      </c>
      <c r="H561" s="150" t="s">
        <v>232</v>
      </c>
      <c r="I561" s="151" t="s">
        <v>2213</v>
      </c>
      <c r="J561" s="161">
        <v>2022</v>
      </c>
      <c r="K561" s="248" t="s">
        <v>2594</v>
      </c>
      <c r="L561" s="153"/>
      <c r="M561" s="248" t="str">
        <f t="shared" si="8"/>
        <v>제7편 재심절차-제17장 재심-제02절 재심의 소송물-02</v>
      </c>
      <c r="N561" s="211"/>
      <c r="O561" s="263"/>
    </row>
    <row r="562" spans="2:15" ht="14.45" customHeight="1" x14ac:dyDescent="0.2">
      <c r="B562" s="80" t="s">
        <v>2544</v>
      </c>
      <c r="C562" s="87" t="s">
        <v>2561</v>
      </c>
      <c r="D562" s="89" t="s">
        <v>3456</v>
      </c>
      <c r="E562" s="213" t="s">
        <v>2426</v>
      </c>
      <c r="F562" s="214" t="s">
        <v>2352</v>
      </c>
      <c r="G562" s="290" t="s">
        <v>2568</v>
      </c>
      <c r="H562" s="215" t="s">
        <v>233</v>
      </c>
      <c r="I562" s="216" t="s">
        <v>2214</v>
      </c>
      <c r="J562" s="235">
        <v>2073</v>
      </c>
      <c r="K562" s="245" t="s">
        <v>2594</v>
      </c>
      <c r="L562" s="219"/>
      <c r="M562" s="245" t="str">
        <f t="shared" si="8"/>
        <v>제7편 재심절차-제17장 재심-제02절 재심의 소송물-03</v>
      </c>
      <c r="N562" s="218"/>
      <c r="O562" s="260"/>
    </row>
    <row r="563" spans="2:15" ht="14.45" customHeight="1" x14ac:dyDescent="0.2">
      <c r="B563" s="80" t="s">
        <v>2544</v>
      </c>
      <c r="C563" s="87" t="s">
        <v>2561</v>
      </c>
      <c r="D563" s="83" t="s">
        <v>3457</v>
      </c>
      <c r="E563" s="143" t="s">
        <v>7</v>
      </c>
      <c r="F563" s="144" t="s">
        <v>87</v>
      </c>
      <c r="G563" s="295" t="s">
        <v>2566</v>
      </c>
      <c r="H563" s="145" t="s">
        <v>138</v>
      </c>
      <c r="I563" s="146" t="s">
        <v>2262</v>
      </c>
      <c r="J563" s="160">
        <v>2641</v>
      </c>
      <c r="K563" s="247" t="s">
        <v>2594</v>
      </c>
      <c r="L563" s="168"/>
      <c r="M563" s="247" t="str">
        <f t="shared" si="8"/>
        <v>제7편 재심절차-제17장 재심-제03절 적법요건-01</v>
      </c>
      <c r="N563" s="210"/>
      <c r="O563" s="262"/>
    </row>
    <row r="564" spans="2:15" ht="14.45" customHeight="1" x14ac:dyDescent="0.2">
      <c r="B564" s="80" t="s">
        <v>2544</v>
      </c>
      <c r="C564" s="87" t="s">
        <v>2561</v>
      </c>
      <c r="D564" s="90" t="s">
        <v>3457</v>
      </c>
      <c r="E564" s="148" t="s">
        <v>2426</v>
      </c>
      <c r="F564" s="149" t="s">
        <v>2353</v>
      </c>
      <c r="G564" s="291" t="s">
        <v>2567</v>
      </c>
      <c r="H564" s="150" t="s">
        <v>234</v>
      </c>
      <c r="I564" s="151" t="s">
        <v>2215</v>
      </c>
      <c r="J564" s="161">
        <v>2273</v>
      </c>
      <c r="K564" s="248" t="s">
        <v>2594</v>
      </c>
      <c r="L564" s="153"/>
      <c r="M564" s="248" t="str">
        <f t="shared" si="8"/>
        <v>제7편 재심절차-제17장 재심-제03절 적법요건-02</v>
      </c>
      <c r="N564" s="211"/>
      <c r="O564" s="263"/>
    </row>
    <row r="565" spans="2:15" ht="14.45" customHeight="1" x14ac:dyDescent="0.2">
      <c r="B565" s="80" t="s">
        <v>2544</v>
      </c>
      <c r="C565" s="87" t="s">
        <v>2561</v>
      </c>
      <c r="D565" s="90" t="s">
        <v>3457</v>
      </c>
      <c r="E565" s="148" t="s">
        <v>2426</v>
      </c>
      <c r="F565" s="149" t="s">
        <v>2354</v>
      </c>
      <c r="G565" s="291" t="s">
        <v>2568</v>
      </c>
      <c r="H565" s="150" t="s">
        <v>235</v>
      </c>
      <c r="I565" s="151" t="s">
        <v>2216</v>
      </c>
      <c r="J565" s="161">
        <v>2095</v>
      </c>
      <c r="K565" s="248" t="s">
        <v>2594</v>
      </c>
      <c r="L565" s="153"/>
      <c r="M565" s="248" t="str">
        <f t="shared" si="8"/>
        <v>제7편 재심절차-제17장 재심-제03절 적법요건-03</v>
      </c>
      <c r="N565" s="211"/>
      <c r="O565" s="263"/>
    </row>
    <row r="566" spans="2:15" ht="14.45" customHeight="1" x14ac:dyDescent="0.2">
      <c r="B566" s="80" t="s">
        <v>2544</v>
      </c>
      <c r="C566" s="87" t="s">
        <v>2561</v>
      </c>
      <c r="D566" s="90" t="s">
        <v>3457</v>
      </c>
      <c r="E566" s="148" t="s">
        <v>2426</v>
      </c>
      <c r="F566" s="149" t="s">
        <v>3569</v>
      </c>
      <c r="G566" s="291" t="s">
        <v>2569</v>
      </c>
      <c r="H566" s="150" t="s">
        <v>3590</v>
      </c>
      <c r="I566" s="151" t="s">
        <v>3591</v>
      </c>
      <c r="J566" s="161">
        <v>1324</v>
      </c>
      <c r="K566" s="248" t="s">
        <v>2593</v>
      </c>
      <c r="L566" s="153" t="s">
        <v>3645</v>
      </c>
      <c r="M566" s="248" t="str">
        <f t="shared" si="8"/>
        <v>제7편 재심절차-제17장 재심-제03절 적법요건-04</v>
      </c>
      <c r="N566" s="211"/>
      <c r="O566" s="263"/>
    </row>
    <row r="567" spans="2:15" ht="14.45" hidden="1" customHeight="1" x14ac:dyDescent="0.2">
      <c r="B567" s="80" t="s">
        <v>2544</v>
      </c>
      <c r="C567" s="87" t="s">
        <v>2561</v>
      </c>
      <c r="D567" s="90" t="s">
        <v>3457</v>
      </c>
      <c r="E567" s="148" t="s">
        <v>1553</v>
      </c>
      <c r="F567" s="149" t="s">
        <v>4084</v>
      </c>
      <c r="G567" s="291" t="s">
        <v>3646</v>
      </c>
      <c r="H567" s="150" t="s">
        <v>3384</v>
      </c>
      <c r="I567" s="151" t="s">
        <v>2988</v>
      </c>
      <c r="J567" s="161">
        <v>240</v>
      </c>
      <c r="K567" s="248"/>
      <c r="L567" s="153"/>
      <c r="M567" s="248" t="str">
        <f t="shared" si="8"/>
        <v>제7편 재심절차-제17장 재심-제03절 적법요건-05</v>
      </c>
      <c r="N567" s="211"/>
      <c r="O567" s="263"/>
    </row>
    <row r="568" spans="2:15" ht="14.45" hidden="1" customHeight="1" x14ac:dyDescent="0.2">
      <c r="B568" s="80" t="s">
        <v>2544</v>
      </c>
      <c r="C568" s="87" t="s">
        <v>2561</v>
      </c>
      <c r="D568" s="90" t="s">
        <v>3457</v>
      </c>
      <c r="E568" s="148" t="s">
        <v>1553</v>
      </c>
      <c r="F568" s="149" t="s">
        <v>4085</v>
      </c>
      <c r="G568" s="291" t="s">
        <v>3647</v>
      </c>
      <c r="H568" s="150" t="s">
        <v>3385</v>
      </c>
      <c r="I568" s="151" t="s">
        <v>2989</v>
      </c>
      <c r="J568" s="161">
        <v>549</v>
      </c>
      <c r="K568" s="248"/>
      <c r="L568" s="153"/>
      <c r="M568" s="248" t="str">
        <f t="shared" si="8"/>
        <v>제7편 재심절차-제17장 재심-제03절 적법요건-06</v>
      </c>
      <c r="N568" s="211"/>
      <c r="O568" s="263"/>
    </row>
    <row r="569" spans="2:15" ht="14.45" hidden="1" customHeight="1" x14ac:dyDescent="0.2">
      <c r="B569" s="80" t="s">
        <v>2544</v>
      </c>
      <c r="C569" s="87" t="s">
        <v>2561</v>
      </c>
      <c r="D569" s="90" t="s">
        <v>3457</v>
      </c>
      <c r="E569" s="148" t="s">
        <v>1553</v>
      </c>
      <c r="F569" s="149" t="s">
        <v>4086</v>
      </c>
      <c r="G569" s="291" t="s">
        <v>3648</v>
      </c>
      <c r="H569" s="150" t="s">
        <v>3386</v>
      </c>
      <c r="I569" s="151" t="s">
        <v>2990</v>
      </c>
      <c r="J569" s="161">
        <v>1142</v>
      </c>
      <c r="K569" s="248"/>
      <c r="L569" s="153"/>
      <c r="M569" s="248" t="str">
        <f t="shared" si="8"/>
        <v>제7편 재심절차-제17장 재심-제03절 적법요건-07</v>
      </c>
      <c r="N569" s="211"/>
      <c r="O569" s="263"/>
    </row>
    <row r="570" spans="2:15" ht="14.45" hidden="1" customHeight="1" x14ac:dyDescent="0.2">
      <c r="B570" s="80" t="s">
        <v>2544</v>
      </c>
      <c r="C570" s="87" t="s">
        <v>2561</v>
      </c>
      <c r="D570" s="90" t="s">
        <v>3457</v>
      </c>
      <c r="E570" s="148" t="s">
        <v>1553</v>
      </c>
      <c r="F570" s="149" t="s">
        <v>4087</v>
      </c>
      <c r="G570" s="291" t="s">
        <v>3649</v>
      </c>
      <c r="H570" s="150" t="s">
        <v>3387</v>
      </c>
      <c r="I570" s="151" t="s">
        <v>2991</v>
      </c>
      <c r="J570" s="161">
        <v>287</v>
      </c>
      <c r="K570" s="248"/>
      <c r="L570" s="153"/>
      <c r="M570" s="248" t="str">
        <f t="shared" si="8"/>
        <v>제7편 재심절차-제17장 재심-제03절 적법요건-08</v>
      </c>
      <c r="N570" s="211"/>
      <c r="O570" s="263"/>
    </row>
    <row r="571" spans="2:15" ht="14.45" hidden="1" customHeight="1" x14ac:dyDescent="0.2">
      <c r="B571" s="80" t="s">
        <v>2544</v>
      </c>
      <c r="C571" s="87" t="s">
        <v>2561</v>
      </c>
      <c r="D571" s="90" t="s">
        <v>3457</v>
      </c>
      <c r="E571" s="148" t="s">
        <v>1553</v>
      </c>
      <c r="F571" s="149" t="s">
        <v>4088</v>
      </c>
      <c r="G571" s="291" t="s">
        <v>3650</v>
      </c>
      <c r="H571" s="150" t="s">
        <v>3388</v>
      </c>
      <c r="I571" s="151" t="s">
        <v>2992</v>
      </c>
      <c r="J571" s="161">
        <v>532</v>
      </c>
      <c r="K571" s="248"/>
      <c r="L571" s="153"/>
      <c r="M571" s="248" t="str">
        <f t="shared" si="8"/>
        <v>제7편 재심절차-제17장 재심-제03절 적법요건-09</v>
      </c>
      <c r="N571" s="211"/>
      <c r="O571" s="263"/>
    </row>
    <row r="572" spans="2:15" ht="14.45" hidden="1" customHeight="1" x14ac:dyDescent="0.2">
      <c r="B572" s="80" t="s">
        <v>2544</v>
      </c>
      <c r="C572" s="87" t="s">
        <v>2561</v>
      </c>
      <c r="D572" s="90" t="s">
        <v>3457</v>
      </c>
      <c r="E572" s="148" t="s">
        <v>1553</v>
      </c>
      <c r="F572" s="149" t="s">
        <v>4089</v>
      </c>
      <c r="G572" s="291" t="s">
        <v>3651</v>
      </c>
      <c r="H572" s="150" t="s">
        <v>3389</v>
      </c>
      <c r="I572" s="151" t="s">
        <v>2993</v>
      </c>
      <c r="J572" s="161">
        <v>381</v>
      </c>
      <c r="K572" s="248"/>
      <c r="L572" s="153"/>
      <c r="M572" s="248" t="str">
        <f t="shared" si="8"/>
        <v>제7편 재심절차-제17장 재심-제03절 적법요건-10</v>
      </c>
      <c r="N572" s="211"/>
      <c r="O572" s="263"/>
    </row>
    <row r="573" spans="2:15" ht="14.45" hidden="1" customHeight="1" x14ac:dyDescent="0.2">
      <c r="B573" s="80" t="s">
        <v>2544</v>
      </c>
      <c r="C573" s="87" t="s">
        <v>2561</v>
      </c>
      <c r="D573" s="90" t="s">
        <v>3457</v>
      </c>
      <c r="E573" s="148" t="s">
        <v>1553</v>
      </c>
      <c r="F573" s="149" t="s">
        <v>4090</v>
      </c>
      <c r="G573" s="291" t="s">
        <v>3652</v>
      </c>
      <c r="H573" s="150" t="s">
        <v>3390</v>
      </c>
      <c r="I573" s="151" t="s">
        <v>2994</v>
      </c>
      <c r="J573" s="161">
        <v>334</v>
      </c>
      <c r="K573" s="248"/>
      <c r="L573" s="153"/>
      <c r="M573" s="248" t="str">
        <f t="shared" si="8"/>
        <v>제7편 재심절차-제17장 재심-제03절 적법요건-11</v>
      </c>
      <c r="N573" s="211"/>
      <c r="O573" s="263"/>
    </row>
    <row r="574" spans="2:15" ht="14.45" hidden="1" customHeight="1" x14ac:dyDescent="0.2">
      <c r="B574" s="80" t="s">
        <v>2544</v>
      </c>
      <c r="C574" s="87" t="s">
        <v>2561</v>
      </c>
      <c r="D574" s="90" t="s">
        <v>3457</v>
      </c>
      <c r="E574" s="148" t="s">
        <v>1553</v>
      </c>
      <c r="F574" s="149" t="s">
        <v>4091</v>
      </c>
      <c r="G574" s="291" t="s">
        <v>3653</v>
      </c>
      <c r="H574" s="150" t="s">
        <v>3391</v>
      </c>
      <c r="I574" s="151" t="s">
        <v>2995</v>
      </c>
      <c r="J574" s="161">
        <v>801</v>
      </c>
      <c r="K574" s="248"/>
      <c r="L574" s="153"/>
      <c r="M574" s="248" t="str">
        <f t="shared" si="8"/>
        <v>제7편 재심절차-제17장 재심-제03절 적법요건-12</v>
      </c>
      <c r="N574" s="211"/>
      <c r="O574" s="263"/>
    </row>
    <row r="575" spans="2:15" ht="14.45" hidden="1" customHeight="1" x14ac:dyDescent="0.2">
      <c r="B575" s="80" t="s">
        <v>2544</v>
      </c>
      <c r="C575" s="87" t="s">
        <v>2561</v>
      </c>
      <c r="D575" s="89" t="s">
        <v>3457</v>
      </c>
      <c r="E575" s="213" t="s">
        <v>1553</v>
      </c>
      <c r="F575" s="214" t="s">
        <v>4092</v>
      </c>
      <c r="G575" s="290" t="s">
        <v>3654</v>
      </c>
      <c r="H575" s="215" t="s">
        <v>3392</v>
      </c>
      <c r="I575" s="216" t="s">
        <v>2996</v>
      </c>
      <c r="J575" s="235">
        <v>644</v>
      </c>
      <c r="K575" s="245"/>
      <c r="L575" s="219"/>
      <c r="M575" s="245" t="str">
        <f t="shared" si="8"/>
        <v>제7편 재심절차-제17장 재심-제03절 적법요건-13</v>
      </c>
      <c r="N575" s="218"/>
      <c r="O575" s="260"/>
    </row>
    <row r="576" spans="2:15" ht="14.45" customHeight="1" x14ac:dyDescent="0.2">
      <c r="B576" s="80" t="s">
        <v>2544</v>
      </c>
      <c r="C576" s="87" t="s">
        <v>2561</v>
      </c>
      <c r="D576" s="83" t="s">
        <v>3458</v>
      </c>
      <c r="E576" s="143" t="s">
        <v>7</v>
      </c>
      <c r="F576" s="144" t="s">
        <v>87</v>
      </c>
      <c r="G576" s="295" t="s">
        <v>2566</v>
      </c>
      <c r="H576" s="145" t="s">
        <v>86</v>
      </c>
      <c r="I576" s="146" t="s">
        <v>2263</v>
      </c>
      <c r="J576" s="160">
        <v>2005</v>
      </c>
      <c r="K576" s="247" t="s">
        <v>2594</v>
      </c>
      <c r="L576" s="168"/>
      <c r="M576" s="247" t="str">
        <f t="shared" si="8"/>
        <v>제7편 재심절차-제17장 재심-제04절 재심절차-01</v>
      </c>
      <c r="N576" s="210"/>
      <c r="O576" s="262"/>
    </row>
    <row r="577" spans="2:15" ht="14.45" customHeight="1" x14ac:dyDescent="0.2">
      <c r="B577" s="80" t="s">
        <v>2544</v>
      </c>
      <c r="C577" s="87" t="s">
        <v>2561</v>
      </c>
      <c r="D577" s="90" t="s">
        <v>3458</v>
      </c>
      <c r="E577" s="148" t="s">
        <v>2426</v>
      </c>
      <c r="F577" s="149" t="s">
        <v>2355</v>
      </c>
      <c r="G577" s="291" t="s">
        <v>2567</v>
      </c>
      <c r="H577" s="150" t="s">
        <v>236</v>
      </c>
      <c r="I577" s="151" t="s">
        <v>2217</v>
      </c>
      <c r="J577" s="161">
        <v>2115</v>
      </c>
      <c r="K577" s="248" t="s">
        <v>2594</v>
      </c>
      <c r="L577" s="153"/>
      <c r="M577" s="248" t="str">
        <f t="shared" si="8"/>
        <v>제7편 재심절차-제17장 재심-제04절 재심절차-02</v>
      </c>
      <c r="N577" s="211"/>
      <c r="O577" s="263"/>
    </row>
    <row r="578" spans="2:15" ht="14.45" customHeight="1" x14ac:dyDescent="0.2">
      <c r="B578" s="80" t="s">
        <v>2544</v>
      </c>
      <c r="C578" s="87" t="s">
        <v>2561</v>
      </c>
      <c r="D578" s="90" t="s">
        <v>3458</v>
      </c>
      <c r="E578" s="148" t="s">
        <v>2426</v>
      </c>
      <c r="F578" s="149" t="s">
        <v>2356</v>
      </c>
      <c r="G578" s="291" t="s">
        <v>2568</v>
      </c>
      <c r="H578" s="150" t="s">
        <v>237</v>
      </c>
      <c r="I578" s="151" t="s">
        <v>2218</v>
      </c>
      <c r="J578" s="161">
        <v>2119</v>
      </c>
      <c r="K578" s="248" t="s">
        <v>2594</v>
      </c>
      <c r="L578" s="153"/>
      <c r="M578" s="248" t="str">
        <f t="shared" si="8"/>
        <v>제7편 재심절차-제17장 재심-제04절 재심절차-03</v>
      </c>
      <c r="N578" s="211"/>
      <c r="O578" s="263"/>
    </row>
    <row r="579" spans="2:15" ht="14.45" hidden="1" customHeight="1" x14ac:dyDescent="0.2">
      <c r="B579" s="80" t="s">
        <v>2544</v>
      </c>
      <c r="C579" s="87" t="s">
        <v>2561</v>
      </c>
      <c r="D579" s="89" t="s">
        <v>3458</v>
      </c>
      <c r="E579" s="213" t="s">
        <v>1553</v>
      </c>
      <c r="F579" s="214" t="s">
        <v>4093</v>
      </c>
      <c r="G579" s="290" t="s">
        <v>2569</v>
      </c>
      <c r="H579" s="215" t="s">
        <v>3393</v>
      </c>
      <c r="I579" s="216" t="s">
        <v>2997</v>
      </c>
      <c r="J579" s="235">
        <v>407</v>
      </c>
      <c r="K579" s="245"/>
      <c r="L579" s="219"/>
      <c r="M579" s="245" t="str">
        <f t="shared" si="8"/>
        <v>제7편 재심절차-제17장 재심-제04절 재심절차-04</v>
      </c>
      <c r="N579" s="218"/>
      <c r="O579" s="260"/>
    </row>
    <row r="580" spans="2:15" ht="14.45" customHeight="1" x14ac:dyDescent="0.2">
      <c r="B580" s="80" t="s">
        <v>2544</v>
      </c>
      <c r="C580" s="87" t="s">
        <v>2561</v>
      </c>
      <c r="D580" s="83" t="s">
        <v>3459</v>
      </c>
      <c r="E580" s="143" t="s">
        <v>7</v>
      </c>
      <c r="F580" s="144" t="s">
        <v>86</v>
      </c>
      <c r="G580" s="295" t="s">
        <v>2566</v>
      </c>
      <c r="H580" s="145" t="s">
        <v>139</v>
      </c>
      <c r="I580" s="146" t="s">
        <v>2264</v>
      </c>
      <c r="J580" s="160">
        <v>1599</v>
      </c>
      <c r="K580" s="247" t="s">
        <v>2594</v>
      </c>
      <c r="L580" s="168"/>
      <c r="M580" s="247" t="str">
        <f t="shared" si="8"/>
        <v>제7편 재심절차-제17장 재심-제05절 준재심-01</v>
      </c>
      <c r="N580" s="210"/>
      <c r="O580" s="262"/>
    </row>
    <row r="581" spans="2:15" ht="14.45" customHeight="1" x14ac:dyDescent="0.2">
      <c r="B581" s="80" t="s">
        <v>2544</v>
      </c>
      <c r="C581" s="87" t="s">
        <v>2561</v>
      </c>
      <c r="D581" s="90" t="s">
        <v>3459</v>
      </c>
      <c r="E581" s="148" t="s">
        <v>2426</v>
      </c>
      <c r="F581" s="149" t="s">
        <v>3402</v>
      </c>
      <c r="G581" s="291" t="s">
        <v>2567</v>
      </c>
      <c r="H581" s="150" t="s">
        <v>3403</v>
      </c>
      <c r="I581" s="151" t="s">
        <v>2219</v>
      </c>
      <c r="J581" s="161">
        <v>2195</v>
      </c>
      <c r="K581" s="248" t="s">
        <v>2595</v>
      </c>
      <c r="L581" s="153"/>
      <c r="M581" s="248" t="str">
        <f t="shared" ref="M581:M584" si="9">B581&amp;"-"&amp;C581&amp;"-"&amp;D581&amp;"-"&amp;G581</f>
        <v>제7편 재심절차-제17장 재심-제05절 준재심-02</v>
      </c>
      <c r="N581" s="211"/>
      <c r="O581" s="263"/>
    </row>
    <row r="582" spans="2:15" ht="14.45" customHeight="1" x14ac:dyDescent="0.2">
      <c r="B582" s="80" t="s">
        <v>2544</v>
      </c>
      <c r="C582" s="87" t="s">
        <v>2561</v>
      </c>
      <c r="D582" s="90" t="s">
        <v>3459</v>
      </c>
      <c r="E582" s="148" t="s">
        <v>2426</v>
      </c>
      <c r="F582" s="149" t="s">
        <v>3404</v>
      </c>
      <c r="G582" s="291" t="s">
        <v>2568</v>
      </c>
      <c r="H582" s="150" t="s">
        <v>3405</v>
      </c>
      <c r="I582" s="151" t="s">
        <v>3406</v>
      </c>
      <c r="J582" s="161">
        <v>2275</v>
      </c>
      <c r="K582" s="248" t="s">
        <v>2595</v>
      </c>
      <c r="L582" s="153"/>
      <c r="M582" s="248" t="str">
        <f t="shared" si="9"/>
        <v>제7편 재심절차-제17장 재심-제05절 준재심-03</v>
      </c>
      <c r="N582" s="211"/>
      <c r="O582" s="263"/>
    </row>
    <row r="583" spans="2:15" ht="14.45" hidden="1" customHeight="1" x14ac:dyDescent="0.2">
      <c r="B583" s="80" t="s">
        <v>2544</v>
      </c>
      <c r="C583" s="87" t="s">
        <v>2561</v>
      </c>
      <c r="D583" s="90" t="s">
        <v>3459</v>
      </c>
      <c r="E583" s="148" t="s">
        <v>1553</v>
      </c>
      <c r="F583" s="149" t="s">
        <v>4094</v>
      </c>
      <c r="G583" s="291" t="s">
        <v>2569</v>
      </c>
      <c r="H583" s="150" t="s">
        <v>3395</v>
      </c>
      <c r="I583" s="151" t="s">
        <v>2999</v>
      </c>
      <c r="J583" s="161">
        <v>629</v>
      </c>
      <c r="K583" s="248"/>
      <c r="L583" s="153"/>
      <c r="M583" s="248" t="str">
        <f t="shared" si="9"/>
        <v>제7편 재심절차-제17장 재심-제05절 준재심-04</v>
      </c>
      <c r="N583" s="211"/>
      <c r="O583" s="263"/>
    </row>
    <row r="584" spans="2:15" ht="14.45" hidden="1" customHeight="1" thickBot="1" x14ac:dyDescent="0.25">
      <c r="B584" s="81" t="s">
        <v>2544</v>
      </c>
      <c r="C584" s="88" t="s">
        <v>2561</v>
      </c>
      <c r="D584" s="91" t="s">
        <v>3459</v>
      </c>
      <c r="E584" s="154" t="s">
        <v>1553</v>
      </c>
      <c r="F584" s="155" t="s">
        <v>4095</v>
      </c>
      <c r="G584" s="292" t="s">
        <v>3646</v>
      </c>
      <c r="H584" s="156" t="s">
        <v>3396</v>
      </c>
      <c r="I584" s="157" t="s">
        <v>3000</v>
      </c>
      <c r="J584" s="162">
        <v>262</v>
      </c>
      <c r="K584" s="249"/>
      <c r="L584" s="170"/>
      <c r="M584" s="249" t="str">
        <f t="shared" si="9"/>
        <v>제7편 재심절차-제17장 재심-제05절 준재심-05</v>
      </c>
      <c r="N584" s="212"/>
      <c r="O584" s="264"/>
    </row>
  </sheetData>
  <autoFilter ref="B3:M584" xr:uid="{BA435E2B-4050-4F41-8B27-608C054A8228}">
    <filterColumn colId="3">
      <filters>
        <filter val="기출"/>
        <filter val="예상"/>
        <filter val="요약"/>
      </filters>
    </filterColumn>
    <sortState xmlns:xlrd2="http://schemas.microsoft.com/office/spreadsheetml/2017/richdata2" ref="B4:M584">
      <sortCondition ref="M3:M584"/>
    </sortState>
  </autoFilter>
  <mergeCells count="4">
    <mergeCell ref="B2:D2"/>
    <mergeCell ref="E2:H2"/>
    <mergeCell ref="I2:J2"/>
    <mergeCell ref="N2:O2"/>
  </mergeCells>
  <phoneticPr fontId="3" type="noConversion"/>
  <conditionalFormatting sqref="B4:O584">
    <cfRule type="expression" dxfId="0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E81840B5-5CA2-40A9-A113-4C1B7CBC1F97}">
          <x14:formula1>
            <xm:f>설정!$B$6:$B$11</xm:f>
          </x14:formula1>
          <xm:sqref>E4:E584</xm:sqref>
        </x14:dataValidation>
        <x14:dataValidation type="list" allowBlank="1" showInputMessage="1" showErrorMessage="1" xr:uid="{0E94C021-1A16-47F6-9E7B-44FBCBC72B6F}">
          <x14:formula1>
            <xm:f>설정!$B$14:$B$16</xm:f>
          </x14:formula1>
          <xm:sqref>K4:K584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7</vt:i4>
      </vt:variant>
    </vt:vector>
  </HeadingPairs>
  <TitlesOfParts>
    <vt:vector size="7" baseType="lpstr">
      <vt:lpstr>설정</vt:lpstr>
      <vt:lpstr>기본교재</vt:lpstr>
      <vt:lpstr>용어・개념</vt:lpstr>
      <vt:lpstr>관련법령</vt:lpstr>
      <vt:lpstr>기출빈도</vt:lpstr>
      <vt:lpstr>문제목록</vt:lpstr>
      <vt:lpstr>통합목록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cp:lastPrinted>2026-05-20T02:25:04Z</cp:lastPrinted>
  <dcterms:created xsi:type="dcterms:W3CDTF">2022-05-21T00:54:57Z</dcterms:created>
  <dcterms:modified xsi:type="dcterms:W3CDTF">2026-07-17T11:44:30Z</dcterms:modified>
  <cp:category/>
  <cp:contentStatus/>
</cp:coreProperties>
</file>