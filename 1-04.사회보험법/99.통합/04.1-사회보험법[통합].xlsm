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4.사회보험법\00.통합\"/>
    </mc:Choice>
  </mc:AlternateContent>
  <xr:revisionPtr revIDLastSave="0" documentId="13_ncr:1_{2EB2CC3F-641F-4A35-B7EC-701A74A7D4BA}" xr6:coauthVersionLast="47" xr6:coauthVersionMax="47" xr10:uidLastSave="{00000000-0000-0000-0000-000000000000}"/>
  <bookViews>
    <workbookView xWindow="-120" yWindow="-120" windowWidth="29040" windowHeight="15720" tabRatio="956" activeTab="4" xr2:uid="{724E5164-C7AB-48F5-B809-C8209C67E087}"/>
  </bookViews>
  <sheets>
    <sheet name="설정" sheetId="16" r:id="rId1"/>
    <sheet name="통합목록" sheetId="17" r:id="rId2"/>
    <sheet name="관련법령" sheetId="18" r:id="rId3"/>
    <sheet name="기출빈도" sheetId="19" r:id="rId4"/>
    <sheet name="기출문제" sheetId="15" r:id="rId5"/>
    <sheet name="테스트" sheetId="13" r:id="rId6"/>
    <sheet name="Sheet1" sheetId="20" r:id="rId7"/>
  </sheets>
  <definedNames>
    <definedName name="_xlnm._FilterDatabase" localSheetId="4" hidden="1">기출문제!$B$3:$I$3123</definedName>
    <definedName name="_xlnm._FilterDatabase" localSheetId="3" hidden="1">기출빈도!$B$3:$U$69</definedName>
    <definedName name="_xlnm._FilterDatabase" localSheetId="1" hidden="1">통합목록!$B$3:$N$123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V70" i="19" l="1"/>
  <c r="V69" i="19"/>
  <c r="V62" i="19"/>
  <c r="V61" i="19"/>
  <c r="D61" i="19" s="1"/>
  <c r="V60" i="19"/>
  <c r="D60" i="19" s="1"/>
  <c r="V59" i="19"/>
  <c r="V52" i="19"/>
  <c r="V51" i="19"/>
  <c r="P51" i="19" s="1"/>
  <c r="V50" i="19"/>
  <c r="H50" i="19" s="1"/>
  <c r="V49" i="19"/>
  <c r="L49" i="19" s="1"/>
  <c r="V48" i="19"/>
  <c r="V43" i="19"/>
  <c r="J43" i="19" s="1"/>
  <c r="V42" i="19"/>
  <c r="D42" i="19" s="1"/>
  <c r="V41" i="19"/>
  <c r="V40" i="19"/>
  <c r="V39" i="19"/>
  <c r="D39" i="19" s="1"/>
  <c r="V38" i="19"/>
  <c r="D38" i="19" s="1"/>
  <c r="V37" i="19"/>
  <c r="V29" i="19"/>
  <c r="P29" i="19" s="1"/>
  <c r="V28" i="19"/>
  <c r="D28" i="19" s="1"/>
  <c r="V27" i="19"/>
  <c r="L27" i="19" s="1"/>
  <c r="V26" i="19"/>
  <c r="P26" i="19" s="1"/>
  <c r="V25" i="19"/>
  <c r="V21" i="19"/>
  <c r="D21" i="19" s="1"/>
  <c r="V20" i="19"/>
  <c r="D20" i="19" s="1"/>
  <c r="V19" i="19"/>
  <c r="D19" i="19" s="1"/>
  <c r="V18" i="19"/>
  <c r="N18" i="19" s="1"/>
  <c r="V17" i="19"/>
  <c r="F17" i="19" s="1"/>
  <c r="V16" i="19"/>
  <c r="J16" i="19" s="1"/>
  <c r="V15" i="19"/>
  <c r="N15" i="19" s="1"/>
  <c r="V14" i="19"/>
  <c r="V13" i="19"/>
  <c r="V7" i="19"/>
  <c r="P7" i="19" s="1"/>
  <c r="V6" i="19"/>
  <c r="H6" i="19" s="1"/>
  <c r="V5" i="19"/>
  <c r="D5" i="19" s="1"/>
  <c r="V4" i="19"/>
  <c r="D4" i="19" s="1"/>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D49" i="19" l="1"/>
  <c r="T50" i="19"/>
  <c r="F38" i="19"/>
  <c r="D43" i="19"/>
  <c r="R17" i="19"/>
  <c r="G14" i="19"/>
  <c r="S14" i="19"/>
  <c r="H14" i="19"/>
  <c r="T14" i="19"/>
  <c r="I14" i="19"/>
  <c r="J14" i="19"/>
  <c r="K14" i="19"/>
  <c r="L14" i="19"/>
  <c r="M14" i="19"/>
  <c r="N14" i="19"/>
  <c r="O14" i="19"/>
  <c r="P14" i="19"/>
  <c r="E14" i="19"/>
  <c r="Q14" i="19"/>
  <c r="E29" i="19"/>
  <c r="Q29" i="19"/>
  <c r="F29" i="19"/>
  <c r="R29" i="19"/>
  <c r="G29" i="19"/>
  <c r="S29" i="19"/>
  <c r="H29" i="19"/>
  <c r="T29" i="19"/>
  <c r="I29" i="19"/>
  <c r="J29" i="19"/>
  <c r="K29" i="19"/>
  <c r="L29" i="19"/>
  <c r="M29" i="19"/>
  <c r="N29" i="19"/>
  <c r="O29" i="19"/>
  <c r="M52" i="19"/>
  <c r="N52" i="19"/>
  <c r="O52" i="19"/>
  <c r="P52" i="19"/>
  <c r="E52" i="19"/>
  <c r="Q52" i="19"/>
  <c r="F52" i="19"/>
  <c r="R52" i="19"/>
  <c r="G52" i="19"/>
  <c r="S52" i="19"/>
  <c r="H52" i="19"/>
  <c r="T52" i="19"/>
  <c r="I52" i="19"/>
  <c r="J52" i="19"/>
  <c r="K52" i="19"/>
  <c r="D18" i="19"/>
  <c r="L52" i="19"/>
  <c r="R38" i="19"/>
  <c r="D52" i="19"/>
  <c r="T28" i="19"/>
  <c r="D26" i="19"/>
  <c r="H28" i="19"/>
  <c r="O15" i="19"/>
  <c r="P15" i="19"/>
  <c r="E15" i="19"/>
  <c r="Q15" i="19"/>
  <c r="F15" i="19"/>
  <c r="R15" i="19"/>
  <c r="G15" i="19"/>
  <c r="S15" i="19"/>
  <c r="H15" i="19"/>
  <c r="T15" i="19"/>
  <c r="I15" i="19"/>
  <c r="J15" i="19"/>
  <c r="K15" i="19"/>
  <c r="L15" i="19"/>
  <c r="M15" i="19"/>
  <c r="G17" i="19"/>
  <c r="S17" i="19"/>
  <c r="H17" i="19"/>
  <c r="T17" i="19"/>
  <c r="I17" i="19"/>
  <c r="J17" i="19"/>
  <c r="K17" i="19"/>
  <c r="L17" i="19"/>
  <c r="M17" i="19"/>
  <c r="N17" i="19"/>
  <c r="O17" i="19"/>
  <c r="P17" i="19"/>
  <c r="E17" i="19"/>
  <c r="Q17" i="19"/>
  <c r="O18" i="19"/>
  <c r="P18" i="19"/>
  <c r="E18" i="19"/>
  <c r="Q18" i="19"/>
  <c r="F18" i="19"/>
  <c r="R18" i="19"/>
  <c r="G18" i="19"/>
  <c r="S18" i="19"/>
  <c r="H18" i="19"/>
  <c r="T18" i="19"/>
  <c r="I18" i="19"/>
  <c r="J18" i="19"/>
  <c r="K18" i="19"/>
  <c r="L18" i="19"/>
  <c r="M18" i="19"/>
  <c r="K40" i="19"/>
  <c r="L40" i="19"/>
  <c r="M40" i="19"/>
  <c r="N40" i="19"/>
  <c r="O40" i="19"/>
  <c r="P40" i="19"/>
  <c r="E40" i="19"/>
  <c r="Q40" i="19"/>
  <c r="F40" i="19"/>
  <c r="R40" i="19"/>
  <c r="G40" i="19"/>
  <c r="S40" i="19"/>
  <c r="H40" i="19"/>
  <c r="T40" i="19"/>
  <c r="I40" i="19"/>
  <c r="K19" i="19"/>
  <c r="L19" i="19"/>
  <c r="M19" i="19"/>
  <c r="N19" i="19"/>
  <c r="O19" i="19"/>
  <c r="P19" i="19"/>
  <c r="E19" i="19"/>
  <c r="Q19" i="19"/>
  <c r="F19" i="19"/>
  <c r="R19" i="19"/>
  <c r="G19" i="19"/>
  <c r="S19" i="19"/>
  <c r="H19" i="19"/>
  <c r="T19" i="19"/>
  <c r="I19" i="19"/>
  <c r="G41" i="19"/>
  <c r="S41" i="19"/>
  <c r="H41" i="19"/>
  <c r="T41" i="19"/>
  <c r="I41" i="19"/>
  <c r="J41" i="19"/>
  <c r="K41" i="19"/>
  <c r="L41" i="19"/>
  <c r="M41" i="19"/>
  <c r="N41" i="19"/>
  <c r="O41" i="19"/>
  <c r="P41" i="19"/>
  <c r="E41" i="19"/>
  <c r="Q41" i="19"/>
  <c r="D27" i="19"/>
  <c r="R14" i="19"/>
  <c r="K61" i="19"/>
  <c r="L61" i="19"/>
  <c r="M61" i="19"/>
  <c r="N61" i="19"/>
  <c r="O61" i="19"/>
  <c r="P61" i="19"/>
  <c r="E61" i="19"/>
  <c r="Q61" i="19"/>
  <c r="F61" i="19"/>
  <c r="R61" i="19"/>
  <c r="G61" i="19"/>
  <c r="S61" i="19"/>
  <c r="H61" i="19"/>
  <c r="T61" i="19"/>
  <c r="I61" i="19"/>
  <c r="G62" i="19"/>
  <c r="S62" i="19"/>
  <c r="H62" i="19"/>
  <c r="T62" i="19"/>
  <c r="I62" i="19"/>
  <c r="J62" i="19"/>
  <c r="K62" i="19"/>
  <c r="L62" i="19"/>
  <c r="M62" i="19"/>
  <c r="N62" i="19"/>
  <c r="O62" i="19"/>
  <c r="P62" i="19"/>
  <c r="E62" i="19"/>
  <c r="Q62" i="19"/>
  <c r="G20" i="19"/>
  <c r="S20" i="19"/>
  <c r="H20" i="19"/>
  <c r="T20" i="19"/>
  <c r="I20" i="19"/>
  <c r="J20" i="19"/>
  <c r="K20" i="19"/>
  <c r="L20" i="19"/>
  <c r="M20" i="19"/>
  <c r="N20" i="19"/>
  <c r="O20" i="19"/>
  <c r="P20" i="19"/>
  <c r="E20" i="19"/>
  <c r="Q20" i="19"/>
  <c r="O42" i="19"/>
  <c r="P42" i="19"/>
  <c r="E42" i="19"/>
  <c r="Q42" i="19"/>
  <c r="F42" i="19"/>
  <c r="R42" i="19"/>
  <c r="G42" i="19"/>
  <c r="S42" i="19"/>
  <c r="H42" i="19"/>
  <c r="T42" i="19"/>
  <c r="I42" i="19"/>
  <c r="J42" i="19"/>
  <c r="K42" i="19"/>
  <c r="L42" i="19"/>
  <c r="M42" i="19"/>
  <c r="D6" i="19"/>
  <c r="D62" i="19"/>
  <c r="D69" i="19" s="1"/>
  <c r="F14" i="19"/>
  <c r="O21" i="19"/>
  <c r="P21" i="19"/>
  <c r="E21" i="19"/>
  <c r="Q21" i="19"/>
  <c r="F21" i="19"/>
  <c r="R21" i="19"/>
  <c r="G21" i="19"/>
  <c r="S21" i="19"/>
  <c r="H21" i="19"/>
  <c r="T21" i="19"/>
  <c r="I21" i="19"/>
  <c r="J21" i="19"/>
  <c r="K21" i="19"/>
  <c r="L21" i="19"/>
  <c r="M21" i="19"/>
  <c r="K43" i="19"/>
  <c r="L43" i="19"/>
  <c r="M43" i="19"/>
  <c r="N43" i="19"/>
  <c r="O43" i="19"/>
  <c r="P43" i="19"/>
  <c r="E43" i="19"/>
  <c r="Q43" i="19"/>
  <c r="F43" i="19"/>
  <c r="R43" i="19"/>
  <c r="G43" i="19"/>
  <c r="S43" i="19"/>
  <c r="H43" i="19"/>
  <c r="T43" i="19"/>
  <c r="I43" i="19"/>
  <c r="D7" i="19"/>
  <c r="D29" i="19"/>
  <c r="R62" i="19"/>
  <c r="N42" i="19"/>
  <c r="D14" i="19"/>
  <c r="F62" i="19"/>
  <c r="R41" i="19"/>
  <c r="N21" i="19"/>
  <c r="T6" i="19"/>
  <c r="G38" i="19"/>
  <c r="S38" i="19"/>
  <c r="H38" i="19"/>
  <c r="T38" i="19"/>
  <c r="I38" i="19"/>
  <c r="J38" i="19"/>
  <c r="K38" i="19"/>
  <c r="L38" i="19"/>
  <c r="M38" i="19"/>
  <c r="N38" i="19"/>
  <c r="O38" i="19"/>
  <c r="P38" i="19"/>
  <c r="E38" i="19"/>
  <c r="Q38" i="19"/>
  <c r="M5" i="19"/>
  <c r="N5" i="19"/>
  <c r="O5" i="19"/>
  <c r="P5" i="19"/>
  <c r="E5" i="19"/>
  <c r="Q5" i="19"/>
  <c r="F5" i="19"/>
  <c r="R5" i="19"/>
  <c r="G5" i="19"/>
  <c r="S5" i="19"/>
  <c r="H5" i="19"/>
  <c r="T5" i="19"/>
  <c r="I5" i="19"/>
  <c r="J5" i="19"/>
  <c r="K5" i="19"/>
  <c r="M49" i="19"/>
  <c r="N49" i="19"/>
  <c r="O49" i="19"/>
  <c r="P49" i="19"/>
  <c r="E49" i="19"/>
  <c r="Q49" i="19"/>
  <c r="F49" i="19"/>
  <c r="R49" i="19"/>
  <c r="G49" i="19"/>
  <c r="S49" i="19"/>
  <c r="H49" i="19"/>
  <c r="T49" i="19"/>
  <c r="I49" i="19"/>
  <c r="J49" i="19"/>
  <c r="K49" i="19"/>
  <c r="D15" i="19"/>
  <c r="J61" i="19"/>
  <c r="F41" i="19"/>
  <c r="R20" i="19"/>
  <c r="K16" i="19"/>
  <c r="L16" i="19"/>
  <c r="M16" i="19"/>
  <c r="N16" i="19"/>
  <c r="O16" i="19"/>
  <c r="P16" i="19"/>
  <c r="E16" i="19"/>
  <c r="Q16" i="19"/>
  <c r="F16" i="19"/>
  <c r="R16" i="19"/>
  <c r="G16" i="19"/>
  <c r="S16" i="19"/>
  <c r="H16" i="19"/>
  <c r="T16" i="19"/>
  <c r="I16" i="19"/>
  <c r="O60" i="19"/>
  <c r="P60" i="19"/>
  <c r="E60" i="19"/>
  <c r="Q60" i="19"/>
  <c r="F60" i="19"/>
  <c r="R60" i="19"/>
  <c r="G60" i="19"/>
  <c r="S60" i="19"/>
  <c r="H60" i="19"/>
  <c r="T60" i="19"/>
  <c r="I60" i="19"/>
  <c r="J60" i="19"/>
  <c r="K60" i="19"/>
  <c r="L60" i="19"/>
  <c r="M60" i="19"/>
  <c r="O39" i="19"/>
  <c r="P39" i="19"/>
  <c r="E39" i="19"/>
  <c r="Q39" i="19"/>
  <c r="F39" i="19"/>
  <c r="R39" i="19"/>
  <c r="G39" i="19"/>
  <c r="S39" i="19"/>
  <c r="H39" i="19"/>
  <c r="T39" i="19"/>
  <c r="I39" i="19"/>
  <c r="J39" i="19"/>
  <c r="K39" i="19"/>
  <c r="L39" i="19"/>
  <c r="M39" i="19"/>
  <c r="I6" i="19"/>
  <c r="J6" i="19"/>
  <c r="K6" i="19"/>
  <c r="L6" i="19"/>
  <c r="M6" i="19"/>
  <c r="N6" i="19"/>
  <c r="O6" i="19"/>
  <c r="P6" i="19"/>
  <c r="E6" i="19"/>
  <c r="Q6" i="19"/>
  <c r="F6" i="19"/>
  <c r="R6" i="19"/>
  <c r="G6" i="19"/>
  <c r="S6" i="19"/>
  <c r="E7" i="19"/>
  <c r="Q7" i="19"/>
  <c r="F7" i="19"/>
  <c r="R7" i="19"/>
  <c r="G7" i="19"/>
  <c r="S7" i="19"/>
  <c r="H7" i="19"/>
  <c r="T7" i="19"/>
  <c r="I7" i="19"/>
  <c r="J7" i="19"/>
  <c r="K7" i="19"/>
  <c r="L7" i="19"/>
  <c r="M7" i="19"/>
  <c r="N7" i="19"/>
  <c r="O7" i="19"/>
  <c r="M27" i="19"/>
  <c r="N27" i="19"/>
  <c r="O27" i="19"/>
  <c r="P27" i="19"/>
  <c r="E27" i="19"/>
  <c r="Q27" i="19"/>
  <c r="F27" i="19"/>
  <c r="R27" i="19"/>
  <c r="G27" i="19"/>
  <c r="S27" i="19"/>
  <c r="H27" i="19"/>
  <c r="T27" i="19"/>
  <c r="I27" i="19"/>
  <c r="J27" i="19"/>
  <c r="K27" i="19"/>
  <c r="I50" i="19"/>
  <c r="J50" i="19"/>
  <c r="K50" i="19"/>
  <c r="L50" i="19"/>
  <c r="M50" i="19"/>
  <c r="N50" i="19"/>
  <c r="O50" i="19"/>
  <c r="P50" i="19"/>
  <c r="E50" i="19"/>
  <c r="Q50" i="19"/>
  <c r="F50" i="19"/>
  <c r="R50" i="19"/>
  <c r="G50" i="19"/>
  <c r="S50" i="19"/>
  <c r="D50" i="19"/>
  <c r="D16" i="19"/>
  <c r="D40" i="19"/>
  <c r="N60" i="19"/>
  <c r="J40" i="19"/>
  <c r="F20" i="19"/>
  <c r="L5" i="19"/>
  <c r="E4" i="19"/>
  <c r="Q4" i="19"/>
  <c r="F4" i="19"/>
  <c r="R4" i="19"/>
  <c r="G4" i="19"/>
  <c r="S4" i="19"/>
  <c r="H4" i="19"/>
  <c r="T4" i="19"/>
  <c r="I4" i="19"/>
  <c r="J4" i="19"/>
  <c r="K4" i="19"/>
  <c r="L4" i="19"/>
  <c r="M4" i="19"/>
  <c r="N4" i="19"/>
  <c r="O4" i="19"/>
  <c r="E26" i="19"/>
  <c r="Q26" i="19"/>
  <c r="F26" i="19"/>
  <c r="R26" i="19"/>
  <c r="G26" i="19"/>
  <c r="S26" i="19"/>
  <c r="H26" i="19"/>
  <c r="T26" i="19"/>
  <c r="I26" i="19"/>
  <c r="J26" i="19"/>
  <c r="K26" i="19"/>
  <c r="L26" i="19"/>
  <c r="M26" i="19"/>
  <c r="N26" i="19"/>
  <c r="O26" i="19"/>
  <c r="I28" i="19"/>
  <c r="J28" i="19"/>
  <c r="K28" i="19"/>
  <c r="L28" i="19"/>
  <c r="M28" i="19"/>
  <c r="N28" i="19"/>
  <c r="O28" i="19"/>
  <c r="P28" i="19"/>
  <c r="E28" i="19"/>
  <c r="Q28" i="19"/>
  <c r="F28" i="19"/>
  <c r="R28" i="19"/>
  <c r="G28" i="19"/>
  <c r="S28" i="19"/>
  <c r="E51" i="19"/>
  <c r="Q51" i="19"/>
  <c r="F51" i="19"/>
  <c r="R51" i="19"/>
  <c r="G51" i="19"/>
  <c r="S51" i="19"/>
  <c r="H51" i="19"/>
  <c r="T51" i="19"/>
  <c r="I51" i="19"/>
  <c r="J51" i="19"/>
  <c r="K51" i="19"/>
  <c r="L51" i="19"/>
  <c r="M51" i="19"/>
  <c r="N51" i="19"/>
  <c r="D51" i="19"/>
  <c r="O51" i="19"/>
  <c r="D17" i="19"/>
  <c r="D41" i="19"/>
  <c r="N39" i="19"/>
  <c r="J19" i="19"/>
  <c r="P4" i="19"/>
  <c r="N123" i="17"/>
  <c r="N122" i="17"/>
  <c r="N121" i="17"/>
  <c r="N120" i="17"/>
  <c r="N119" i="17"/>
  <c r="N118" i="17"/>
  <c r="N117" i="17"/>
  <c r="N116" i="17"/>
  <c r="N115" i="17"/>
  <c r="N114" i="17"/>
  <c r="N113" i="17"/>
  <c r="N112" i="17"/>
  <c r="N111" i="17"/>
  <c r="N110" i="17"/>
  <c r="N109" i="17"/>
  <c r="N108" i="17"/>
  <c r="N107" i="17"/>
  <c r="N106" i="17"/>
  <c r="N105" i="17"/>
  <c r="N97" i="17"/>
  <c r="N98" i="17"/>
  <c r="N99" i="17"/>
  <c r="N100" i="17"/>
  <c r="N101" i="17"/>
  <c r="N102" i="17"/>
  <c r="N103" i="17"/>
  <c r="N104" i="17"/>
  <c r="N96" i="17"/>
  <c r="N95" i="17"/>
  <c r="N94" i="17"/>
  <c r="N93" i="17"/>
  <c r="N92" i="17"/>
  <c r="N91" i="17"/>
  <c r="N90" i="17"/>
  <c r="N89" i="17"/>
  <c r="N88" i="17"/>
  <c r="N87" i="17"/>
  <c r="N86" i="17"/>
  <c r="N85" i="17"/>
  <c r="N84" i="17"/>
  <c r="N83" i="17"/>
  <c r="N82" i="17"/>
  <c r="N81" i="17"/>
  <c r="N80" i="17"/>
  <c r="N79" i="17"/>
  <c r="N78" i="17"/>
  <c r="N77" i="17"/>
  <c r="N76" i="17"/>
  <c r="N75" i="17"/>
  <c r="N74" i="17"/>
  <c r="N73" i="17"/>
  <c r="N72" i="17"/>
  <c r="N71" i="17"/>
  <c r="N70" i="17"/>
  <c r="N69" i="17"/>
  <c r="N68" i="17"/>
  <c r="N67" i="17"/>
  <c r="N66" i="17"/>
  <c r="N65" i="17"/>
  <c r="N64" i="17"/>
  <c r="N63" i="17"/>
  <c r="N62" i="17"/>
  <c r="N61" i="17"/>
  <c r="N60" i="17"/>
  <c r="N59" i="17"/>
  <c r="N58" i="17"/>
  <c r="N57" i="17"/>
  <c r="N56" i="17"/>
  <c r="N55" i="17"/>
  <c r="N54" i="17"/>
  <c r="N53" i="17"/>
  <c r="N52" i="17"/>
  <c r="N51" i="17"/>
  <c r="N50" i="17"/>
  <c r="N49" i="17"/>
  <c r="N48" i="17"/>
  <c r="N47" i="17"/>
  <c r="N46" i="17"/>
  <c r="N45" i="17"/>
  <c r="N44" i="17"/>
  <c r="N43" i="17"/>
  <c r="N42" i="17"/>
  <c r="N41" i="17"/>
  <c r="N40" i="17"/>
  <c r="N39" i="17"/>
  <c r="N38" i="17"/>
  <c r="N37" i="17"/>
  <c r="N36" i="17"/>
  <c r="N35" i="17"/>
  <c r="N34" i="17"/>
  <c r="N33" i="17"/>
  <c r="N32" i="17"/>
  <c r="N31" i="17"/>
  <c r="N30" i="17"/>
  <c r="N29" i="17"/>
  <c r="N28" i="17"/>
  <c r="N27" i="17"/>
  <c r="N26" i="17"/>
  <c r="N25" i="17"/>
  <c r="N24" i="17"/>
  <c r="N23" i="17"/>
  <c r="N22" i="17"/>
  <c r="N21" i="17"/>
  <c r="N20" i="17"/>
  <c r="N19" i="17"/>
  <c r="N18" i="17"/>
  <c r="N17" i="17"/>
  <c r="N16" i="17"/>
  <c r="N15" i="17"/>
  <c r="N14" i="17"/>
  <c r="N13" i="17"/>
  <c r="N12" i="17"/>
  <c r="N11" i="17"/>
  <c r="N10" i="17"/>
  <c r="N9" i="17"/>
  <c r="N8" i="17"/>
  <c r="N7" i="17"/>
  <c r="N6" i="17"/>
  <c r="N5" i="17"/>
  <c r="N4" i="17"/>
  <c r="L69" i="19" l="1"/>
  <c r="N48" i="19"/>
  <c r="M69" i="19"/>
  <c r="D13" i="19"/>
  <c r="O69" i="19"/>
  <c r="D37" i="19"/>
  <c r="L59" i="19"/>
  <c r="F69" i="19"/>
  <c r="J48" i="19"/>
  <c r="R59" i="19"/>
  <c r="H13" i="19"/>
  <c r="N37" i="19"/>
  <c r="R69" i="19"/>
  <c r="S37" i="19"/>
  <c r="R37" i="19"/>
  <c r="O37" i="19"/>
  <c r="M37" i="19"/>
  <c r="E37" i="19"/>
  <c r="R13" i="19"/>
  <c r="O13" i="19"/>
  <c r="T48" i="19"/>
  <c r="Q37" i="19"/>
  <c r="F13" i="19"/>
  <c r="P37" i="19"/>
  <c r="E69" i="19"/>
  <c r="O48" i="19"/>
  <c r="H48" i="19"/>
  <c r="H37" i="19"/>
  <c r="D48" i="19"/>
  <c r="P13" i="19"/>
  <c r="F48" i="19"/>
  <c r="L37" i="19"/>
  <c r="H59" i="19"/>
  <c r="Q69" i="19"/>
  <c r="S69" i="19"/>
  <c r="K37" i="19"/>
  <c r="E25" i="19"/>
  <c r="F37" i="19"/>
  <c r="D25" i="19"/>
  <c r="J37" i="19"/>
  <c r="M13" i="19"/>
  <c r="E13" i="19"/>
  <c r="K48" i="19"/>
  <c r="S59" i="19"/>
  <c r="Q25" i="19"/>
  <c r="G69" i="19"/>
  <c r="N69" i="19"/>
  <c r="P48" i="19"/>
  <c r="G59" i="19"/>
  <c r="S48" i="19"/>
  <c r="P69" i="19"/>
  <c r="I69" i="19"/>
  <c r="N25" i="19"/>
  <c r="I37" i="19"/>
  <c r="O25" i="19"/>
  <c r="L13" i="19"/>
  <c r="F59" i="19"/>
  <c r="T37" i="19"/>
  <c r="S13" i="19"/>
  <c r="I48" i="19"/>
  <c r="E48" i="19"/>
  <c r="G48" i="19"/>
  <c r="T69" i="19"/>
  <c r="G13" i="19"/>
  <c r="T13" i="19"/>
  <c r="H69" i="19"/>
  <c r="K69" i="19"/>
  <c r="M25" i="19"/>
  <c r="N13" i="19"/>
  <c r="Q59" i="19"/>
  <c r="K25" i="19"/>
  <c r="K59" i="19"/>
  <c r="L25" i="19"/>
  <c r="E59" i="19"/>
  <c r="Q48" i="19"/>
  <c r="P25" i="19"/>
  <c r="G37" i="19"/>
  <c r="Q13" i="19"/>
  <c r="P59" i="19"/>
  <c r="M48" i="19"/>
  <c r="I25" i="19"/>
  <c r="I59" i="19"/>
  <c r="K13" i="19"/>
  <c r="O59" i="19"/>
  <c r="L48" i="19"/>
  <c r="F25" i="19"/>
  <c r="J69" i="19"/>
  <c r="J59" i="19"/>
  <c r="N59" i="19"/>
  <c r="S25" i="19"/>
  <c r="R25" i="19"/>
  <c r="T25" i="19"/>
  <c r="I13" i="19"/>
  <c r="M59" i="19"/>
  <c r="G25" i="19"/>
  <c r="J25" i="19"/>
  <c r="R48" i="19"/>
  <c r="H25" i="19"/>
  <c r="J13" i="19"/>
  <c r="T59" i="19"/>
  <c r="D59" i="19"/>
  <c r="B3123" i="15"/>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 r="F70" i="19" l="1"/>
  <c r="L70" i="19"/>
  <c r="H70" i="19"/>
  <c r="E70" i="19"/>
  <c r="S70" i="19"/>
  <c r="D70" i="19"/>
  <c r="I70" i="19"/>
  <c r="N70" i="19"/>
  <c r="K70" i="19"/>
  <c r="O70" i="19"/>
  <c r="R70" i="19"/>
  <c r="Q70" i="19"/>
  <c r="P70" i="19"/>
  <c r="T70" i="19"/>
  <c r="M70" i="19"/>
  <c r="G70" i="19"/>
  <c r="J70" i="19"/>
</calcChain>
</file>

<file path=xl/sharedStrings.xml><?xml version="1.0" encoding="utf-8"?>
<sst xmlns="http://schemas.openxmlformats.org/spreadsheetml/2006/main" count="8104" uniqueCount="3077">
  <si>
    <t>년도</t>
    <phoneticPr fontId="2" type="noConversion"/>
  </si>
  <si>
    <t>번호</t>
    <phoneticPr fontId="2" type="noConversion"/>
  </si>
  <si>
    <t>내용</t>
    <phoneticPr fontId="2" type="noConversion"/>
  </si>
  <si>
    <t>정답</t>
    <phoneticPr fontId="2" type="noConversion"/>
  </si>
  <si>
    <t>ㄱ, ㄴ</t>
  </si>
  <si>
    <t>ㄱ</t>
  </si>
  <si>
    <t>ㄱ, ㄴ, ㄷ</t>
  </si>
  <si>
    <t>1개</t>
  </si>
  <si>
    <t>ㄱ, ㄷ</t>
  </si>
  <si>
    <t>ㄷ, ㄹ</t>
  </si>
  <si>
    <t>ㄴ</t>
  </si>
  <si>
    <t>ㄱ, ㄴ, ㄹ</t>
  </si>
  <si>
    <t>ㄴ, ㄹ</t>
  </si>
  <si>
    <t>ㄷ</t>
  </si>
  <si>
    <t>2개</t>
  </si>
  <si>
    <t>ㄱ, ㄹ</t>
  </si>
  <si>
    <t>ㄴ, ㄷ</t>
  </si>
  <si>
    <t>ㄱ, ㄷ, ㄹ</t>
  </si>
  <si>
    <t>3개</t>
  </si>
  <si>
    <t>ㄴ, ㄷ, ㄹ</t>
  </si>
  <si>
    <t>4개</t>
  </si>
  <si>
    <t>ㄱ, ㄴ, ㄷ, ㄹ</t>
  </si>
  <si>
    <t>5개</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</si>
  <si>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</si>
  <si>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</si>
  <si>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</si>
  <si>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</si>
  <si>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</si>
  <si>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</si>
  <si>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</si>
  <si>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</si>
  <si>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</si>
  <si>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</si>
  <si>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</si>
  <si>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</si>
  <si>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</si>
  <si>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</si>
  <si>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</si>
  <si>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</si>
  <si>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</si>
  <si>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</si>
  <si>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</si>
  <si>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</si>
  <si>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</si>
  <si>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</si>
  <si>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</si>
  <si>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</si>
  <si>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</si>
  <si>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</si>
  <si>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</si>
  <si>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</si>
  <si>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</si>
  <si>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</si>
  <si>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</si>
  <si>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</si>
  <si>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</si>
  <si>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</si>
  <si>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</si>
  <si>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</si>
  <si>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</si>
  <si>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</si>
  <si>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</si>
  <si>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</si>
  <si>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</si>
  <si>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</si>
  <si>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</si>
  <si>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</si>
  <si>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</si>
  <si>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</si>
  <si>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</si>
  <si>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</si>
  <si>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</si>
  <si>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</si>
  <si>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</si>
  <si>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</si>
  <si>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</si>
  <si>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</si>
  <si>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</si>
  <si>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</si>
  <si>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</si>
  <si>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</si>
  <si>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</si>
  <si>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</si>
  <si>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ㄱ: 2, ㄴ: 2</t>
  </si>
  <si>
    <t>ㄴ, ㄹ, ㅁ</t>
  </si>
  <si>
    <t>ㄹ</t>
  </si>
  <si>
    <t>보궐위원의 임기는 전임자 임기의 남은 기간으로 한다.</t>
  </si>
  <si>
    <t>ㄱ: 20, ㄴ: 2</t>
  </si>
  <si>
    <t>081</t>
  </si>
  <si>
    <t>082</t>
  </si>
  <si>
    <t>083</t>
  </si>
  <si>
    <t>084</t>
  </si>
  <si>
    <t>085</t>
  </si>
  <si>
    <t>086</t>
  </si>
  <si>
    <t>087</t>
  </si>
  <si>
    <t>088</t>
  </si>
  <si>
    <t>089</t>
  </si>
  <si>
    <t>090</t>
  </si>
  <si>
    <t>091</t>
  </si>
  <si>
    <t>092</t>
  </si>
  <si>
    <t>093</t>
  </si>
  <si>
    <t>094</t>
  </si>
  <si>
    <t>095</t>
  </si>
  <si>
    <t>096</t>
  </si>
  <si>
    <t>097</t>
  </si>
  <si>
    <t>098</t>
  </si>
  <si>
    <t>099</t>
  </si>
  <si>
    <t>100</t>
  </si>
  <si>
    <t>[원본 없음] 2009-076</t>
  </si>
  <si>
    <t>[원본 없음] 2009-077</t>
  </si>
  <si>
    <t>[원본 없음] 2009-078</t>
  </si>
  <si>
    <t>[원본 없음] 2009-079</t>
  </si>
  <si>
    <t>[원본 없음] 2009-080</t>
  </si>
  <si>
    <t>[원본 없음] 2009-081</t>
  </si>
  <si>
    <t>[원본 없음] 2009-082</t>
  </si>
  <si>
    <t>[원본 없음] 2009-083</t>
  </si>
  <si>
    <t>[원본 없음] 2009-084</t>
  </si>
  <si>
    <t>[원본 없음] 2009-085</t>
  </si>
  <si>
    <t>[원본 없음] 2009-086</t>
  </si>
  <si>
    <t>[원본 없음] 2009-087</t>
  </si>
  <si>
    <t>[원본 없음] 2009-088</t>
  </si>
  <si>
    <t>[원본 없음] 2009-089</t>
  </si>
  <si>
    <t>[원본 없음] 2009-090</t>
  </si>
  <si>
    <t>[원본 없음] 2009-091</t>
  </si>
  <si>
    <t>[원본 없음] 2009-092</t>
  </si>
  <si>
    <t>[원본 없음] 2009-093</t>
  </si>
  <si>
    <t>[원본 없음] 2009-094</t>
  </si>
  <si>
    <t>[원본 없음] 2009-095</t>
  </si>
  <si>
    <t>[원본 없음] 2009-096</t>
  </si>
  <si>
    <t>[원본 없음] 2009-097</t>
  </si>
  <si>
    <t>[원본 없음] 2009-098</t>
  </si>
  <si>
    <t>[원본 없음] 2009-099</t>
  </si>
  <si>
    <t>[원본 없음] 2009-100</t>
  </si>
  <si>
    <t>[원본 없음] 2008-076</t>
  </si>
  <si>
    <t>[원본 없음] 2008-077</t>
  </si>
  <si>
    <t>[원본 없음] 2008-078</t>
  </si>
  <si>
    <t>[원본 없음] 2008-079</t>
  </si>
  <si>
    <t>[원본 없음] 2008-080</t>
  </si>
  <si>
    <t>[원본 없음] 2008-081</t>
  </si>
  <si>
    <t>[원본 없음] 2008-082</t>
  </si>
  <si>
    <t>[원본 없음] 2008-083</t>
  </si>
  <si>
    <t>[원본 없음] 2008-084</t>
  </si>
  <si>
    <t>[원본 없음] 2008-085</t>
  </si>
  <si>
    <t>[원본 없음] 2008-086</t>
  </si>
  <si>
    <t>[원본 없음] 2008-087</t>
  </si>
  <si>
    <t>[원본 없음] 2008-088</t>
  </si>
  <si>
    <t>[원본 없음] 2008-089</t>
  </si>
  <si>
    <t>[원본 없음] 2008-090</t>
  </si>
  <si>
    <t>[원본 없음] 2008-091</t>
  </si>
  <si>
    <t>[원본 없음] 2008-092</t>
  </si>
  <si>
    <t>[원본 없음] 2008-093</t>
  </si>
  <si>
    <t>[원본 없음] 2008-094</t>
  </si>
  <si>
    <t>[원본 없음] 2008-095</t>
  </si>
  <si>
    <t>[원본 없음] 2008-096</t>
  </si>
  <si>
    <t>[원본 없음] 2008-097</t>
  </si>
  <si>
    <t>[원본 없음] 2008-098</t>
  </si>
  <si>
    <t>[원본 없음] 2008-099</t>
  </si>
  <si>
    <t>[원본 없음] 2008-100</t>
  </si>
  <si>
    <t>사회보장기본법령상 보건복지부장관이 중장기 사회보장 재정추계 및 사회보장통계 업무를 효율적으로 수행하기 위하여 필요하다고 인정하는 경우 관련 자료의 수집・조사 및 분석에 관한 업무 등을 위탁할 수 있는 기관 또는 단체를 모두 고른 것은?
ㄱ. 「정부출연연구기관 등의 설립・운영 및 육성에 관한 법률」에 따라 설립된 정부출연연구기관
ㄴ. 「고등교육법」제2조에 따른 학교
ㄷ. 「특정연구기관 육성법」제2조에 따른 특정연구기관
ㄹ. 국공립 연구기관</t>
  </si>
  <si>
    <t>사회보장기본법령에 관한 설명으로 옳지 않은 것은?</t>
  </si>
  <si>
    <t>사회보장기본법령상 사회보장 재정추계(財政推計)에 관한 설명으로 옳지 않은 것은?</t>
  </si>
  <si>
    <t>고용보험법상「장애인고용촉진 및 직업재활법」제2조제1호에 따른 장애인의 피보험 기간이 1년인 구직급여의 소정급여일수는?</t>
  </si>
  <si>
    <t>고용보험법상 심사 및 재심사청구에 관한 설명으로 옳은 것은?</t>
  </si>
  <si>
    <t>고용보험법령상 육아휴직 급여 등의 특례에 관한 내용이다. ( )에 들어갈 내용은?
○ 같은 자녀에 대하여 자녀의 출생 후 18개월이 될 때까지 피보험자인 부모가 모두 육아휴직을 하는 경우(부모의 육아휴직기간이 전부 또는 일부 겹치지 않은 경우를 포함한다) 그 부모인 피보험자의 육아휴직 급여의 월별 지급액은 육아휴직 7개월째부터 육아휴직 종료일까지는 육아휴직 시작일을 기준으로 한 각 피보험자의 월 통상임금의 (ㄱ)에 해당하는 금액으로 한다. 다만, 해당 금액이 (ㄴ)만원을 넘는 경우에는 부모 각각에 대하여 (ㄴ)만원으로 하고, 해당 금액이 70만원보다 적은 경우에는 부모 각각에 대하여 70만원으로 한다.</t>
  </si>
  <si>
    <t>고용보험법령상 보험가입 등에 관한 설명으로 옳지 않은 것은?</t>
  </si>
  <si>
    <t>고용보험법령상 실업급여에 관한 설명으로 옳지 않은 것은?</t>
  </si>
  <si>
    <t>고용보험법상 최종 이직 당시 단기예술인인 피보험자에게만 적용되는 구직급여 지급요건을 모두 고른 것은?
ㄱ. 수급자격의 인정신청일 이전 1개월 동안의 노무제공일수가 10일 미만이거나 수급자격 인정신청일 이전 14일간 연속하여 노무제공내역이 없을 것
ㄴ. 이직일 이전 24개월 동안의 피보험 단위기간이 통산하여 9개월 이상일 것
ㄷ. 이직일 이전 24개월 중 3개월 이상을 예술인인 피보험자로 피보험자격을 유지하였을 것
ㄹ. 최종 이직일 이전 24개월 동안의 피보험 단위기간 중 다른 사업에서 제77조의5 제2항에서 준용하는 제58조에 따른 수급자격의 제한 사유에 해당하는 사유로 이직한 사실이 있는 경우에는 그 피보험 단위기간 중 90일 이상을 단기예술인으로 종사하였을 것
ㅁ. 근로 또는 노무제공의 의사와 능력이 있음에도 불구하고 취업(영리를 목적으로 사업을 영위하는 경우를 포함한다)하지 못한 상태에 있을 것</t>
  </si>
  <si>
    <t>고용보험법령상 연장급여의 상호 조정 등에 관한 설명으로 옳지 않은 것은?</t>
  </si>
  <si>
    <t xml:space="preserve">고용보험법상 훈련연장급여에 관한 내용이다. ( )에 들어갈 숫자를 순서대로 옳게 나열한 것은?
제54조(연장급여의 수급기간 및 구직급여일액) </t>
  </si>
  <si>
    <t>고용보험법령상 고용유지지원금에 관한 설명이다. ( )에 들어갈 내용으로 옳은 것은? (다만, 2020년 보험연도의 경우는 제외한다.)
○ 고용유지지원금은 그 조치를 실시한 일수(둘 이상의 고용유지조치를 동시에 실시한 날은 (ㄱ)로 본다)의 합계가 그 보험연도의 기간 중에 (ㄴ)에 이를 때까지만 각각의 고용유지조치에 대하여 고용유지지원금을 지급한다.</t>
  </si>
  <si>
    <t>고용보험법령상 고용보험위원회(이하 '위원회'라 한다)에 관한 설명으로 옳지 않은 것은?</t>
  </si>
  <si>
    <t>산업재해보상보험법령상 산업재해보상보험및예방심의위원회(이하 '위원회'라 한다)에 관한 내용으로 옳지 않은 것은?</t>
  </si>
  <si>
    <t>산업재해보상보험법령상 유족보상연금에 관한 내용으로 옳지 않은 것은?</t>
  </si>
  <si>
    <t>산업재해보상보험법령상 노무제공자에 대한 특례의 내용으로 옳지 않은 것은?</t>
  </si>
  <si>
    <t>산업재해보상보험법상 요양급여의 범위에 해당하는 것은 모두 몇 개인가?
○ 재활치료
○ 간호
○ 이송
○ 간병
○ 약제 또는 진료재료와 의지(義肢)나 그 밖의 보조기의 지급</t>
  </si>
  <si>
    <t>산업재해보상보험법령상 장례비에 관한 설명으로 옳지 않은 것은?</t>
  </si>
  <si>
    <t>산업재해보상보험법령상 업무상질병판정위원회의 구성에 관한 내용으로 옳은 것은?</t>
  </si>
  <si>
    <t>산업재해보상보험법에서 사용하는 용어의 정의로 옳지 않은 것은?</t>
  </si>
  <si>
    <t>산업재해보상보험법상 장해보상연금에 관한 내용이다. ( )에 들어갈 숫자의 합은?
○ 장해보상연금은 수급권자가 신청하면 그 연금의 최초 1년분 또는 ( )년분(대통령령으로 정하는 노동력을 완전히 상실한 장해등급의 근로자에게는 그 연금의 최초 1년분부터 ( )년분까지)의 ( )분의 1에 상당하는 금액을 미리 지급할 수 있다. 이 경우 미리 지급하는 금액에 대하여는 100분의 ( )의 비율 범위에서 대통령령으로 정하는 바에 따라 이자를 공제할 수 있다.</t>
  </si>
  <si>
    <t>산업재해보상보험법령상 상병보상연금에 관한 설명으로 옳은 것은?</t>
  </si>
  <si>
    <t xml:space="preserve">산업재해보상보험법상 직장복귀지원금 등에 관한 것이다. ( )에 들어갈 숫자로 옳은 것은?
제75조(직장복귀지원금 등) </t>
  </si>
  <si>
    <t>국민연금법에 관한 내용으로 옳지 않은 것은?</t>
  </si>
  <si>
    <t>국민연금법상 소멸시효에 관한 내용이다. ( )에 들어갈 숫자의 합은?
○ 연금보험료, 환수금, 그 밖의 이 법에 따른 징수금을 징수하거나 환수할 권리는 ( )년간, 급여(제77조제1항제1호에 따른 반환일시금은 제외한다)를 받거나 과오납금을 반환받을 수급권자 또는 가입자 등의 권리는 ( )년간 행사하지 아니하면 각각 소멸시효가 완성된다.</t>
  </si>
  <si>
    <t>국민연금법령상 심사청구 및 재심사청구에 관한 내용으로 옳지 않은 것은?</t>
  </si>
  <si>
    <t xml:space="preserve">국민연금법령상 연금보험료 등의 독촉에 관한 내용이다. ( )에 들어갈 내용은?
제64조(연금보험료 등의 독촉) </t>
  </si>
  <si>
    <t>국민연금법령상 국민연금기금에 관한 설명으로 옳지 않은 것은?</t>
  </si>
  <si>
    <t>국민건강보험법상 국민건강보험공단은 보험료등의 납부의무자가 납부기한까지 보험료등을 내지 아니하는 경우에 보건복지부령으로 정하는 부득이한 사유로 연체금을 징수하지 아니할 수 있다. "보건복지부령으로 정하는 부득이한 사유"에 해당하는 것을 모두 고른 것은?
ㄱ. 사변으로 인하여 체납하는 경우
ㄴ. 화재로 피해가 발생해 체납한 경우
ㄷ. 사업장 폐업으로 체납액을 징수할 수 없는 경우
ㄹ. 연체금의 금액이 국민건강보험공단의 정관으로 정하는 금액 이하인 경우</t>
  </si>
  <si>
    <t>국민건강보험법상 국내에 거주하는 국민으로서 건강보험 가입자의 자격의 변동시기에 관한 내용으로 옳은 것을 모두 고른 것은?
ㄱ. 지역가입자가 적용대상사업장의 사용자로 된 다음 날
ㄴ. 직장가입자가 다른 적용대상사업장의 근로자로 사용된 날
ㄷ. 지역가입자가 다른 세대로 전입한 날
ㄹ. 직장가입자인 근로자가 그 사용관계가 끝난 날의 다음 날</t>
  </si>
  <si>
    <t>국민건강보험법상 국민건강보험공단(이하 '공단'이라 한다)에 관한 설명으로 옳지 않은 것은?</t>
  </si>
  <si>
    <t>국민건강보험법상 이의신청 및 심판청구 등에 관한 설명으로 옳지 않은 것은?</t>
  </si>
  <si>
    <t>국민건강보험법령상 국내에 거주하는 국민인 피부양자의 자격 상실 시기로 옳은 것을 모두 고른 것은?
ㄱ. 대한민국의 국적을 잃은 날
ㄴ. 사망한 날의 다음 날
ㄷ. 직장가입자가 자격을 상실한 날
ㄹ. 피부양자 자격을 취득한 사람이 본인의 신고에 따라 피부양자 자격 상실신고를 한 경우에는 신고한 날</t>
  </si>
  <si>
    <t>국민건강보험법령상 보수월액에 관한 설명으로 옳지 않은 것은?</t>
  </si>
  <si>
    <t>고용보험 및 산업재해보상보험의 보험료징수 등에 관한 법률 제49조의2(자영업자에 대한 특례)에 관한 설명으로 옳은 것은?</t>
  </si>
  <si>
    <t>고용보험 및 산업재해보상보험의 보험료징수 등에 관한 법령상 보험료 등에 관한 설명으로 옳지 않은 것을 모두 고른 것은?
ㄱ. 고용보험 가입자인 근로자가 부담하여야 하는 고용보험료는 자기의 보수총액에 고용안정・직업능력개발사업 및 실업급여의 보험료율의 2분의 1을 곱한 금액으로 한다.
ㄴ. 보험료는 국민건강보험공단이 매월 부과하고, 이를 근로복지공단이 징수한다.
ㄷ. 보험사업에 드는 비용에 충당하기 위하여 보험가입자인 근로자와 사용자로부터 산업재해보상보험의 보험료를 징수한다.
ㄹ. 기획재정부장관은 산재예방요율을 적용받는 사업이 거짓이나 그 밖의 부정한 방법으로 재해예방활동의 인정을 받은 경우에는 재해예방활동의 인정을 취소하여야 한다.</t>
  </si>
  <si>
    <t>고용보험 및 산업재해보상보험의 보험료징수 등에 관한 법률상 납부의무가 확정된 보험료가 600만원인 경우, 이를 납부기한 전이라도 징수할 수 있는 사유에 해당하지 않는 것은?</t>
  </si>
  <si>
    <t>고용보험 및 산업재해보상보험의 보험료징수 등에 관한 법령상 보험료율의 인상 또는 인하 등에 따른 조치에 관한 설명으로 옳지 않은 것은?</t>
  </si>
  <si>
    <t>고용보험 및 산업재해보상보험의 보험료징수 등에 관한 법령상 거짓으로 보험사무대행기관 인가를 받아 근로복지공단으로부터 인가가 취소된 경우 보험사무대행기관 인가의 제한 기간은?</t>
  </si>
  <si>
    <t>고용보험 및 산업재해보상보험의 보험료징수 등에 관한 법령상 고용안정・직업능력개발사업의 보험료율에 관한 내용이다. 다음 중 연결이 옳은 것은?
ㄱ. 상시근로자수가 120명인 사업주의 사업
ㄴ. 상시근로자수가 1,000명인 사업주의 사업
ㄷ. 국가・지방자치단체가 직접 하는 사업
a. 1만분의 18 
b. 1만분의 25 
c. 1만분의 65
d. 1만분의 85 
e. 1천분의 18</t>
  </si>
  <si>
    <t>사회보장기본법령에 관한 설명으로 옳은 것은?</t>
  </si>
  <si>
    <t>사회보장기본법상 사회보장위원회에서 심의・조정하는 사항은 모두 몇 개인가?
○ 사회보장 관련 주요 계획
○ 둘 이상의 중앙행정기관이 관련된 주요 사회보장정책
○ 사회보장급여 및 비용 부담
○ 국가와 지방자치단체의 역할 및 비용 분담
○ 사회보장 전달체계 운영 및 개선</t>
  </si>
  <si>
    <t>사회보장기본법에 관한 설명으로 옳은 것은?</t>
  </si>
  <si>
    <t>고용보험법령상 구직급여에 관한 설명으로 옳지 않은 것은?</t>
  </si>
  <si>
    <t>고용보험법령상 고용유지지원금에 관한 내용이다. ( )에 들어갈 내용은?
○ 고용노동부장관이 실업의 급증 등 고용사정이 악화되어 고용안정을 위하여 필요하다고 인정할 때에는 (ㄱ)년의 범위에서 고용노동부장관이 정하여 고시하는 기간에 사업주가 피보험자의 임금을 보전하기 위하여 지급한 금품의 (ㄴ)로서 고용노동부장관이 정하여 고시하는 비율에 해당하는 금액으로 한다.</t>
  </si>
  <si>
    <t>고용보험법령상 예술인인 피보험자가 임신 13주차에 유산을 한 경우 출산전후급여등의 지급기간은?</t>
  </si>
  <si>
    <t>고용보험법상 고용보험심사관(이하 '심사관'이라 한다)에 관한 설명으로 옳지 않은 것은?</t>
  </si>
  <si>
    <t>고용보험법령상 폐업한 자영업자인 피보험자에 관한 설명으로 옳지 않은 것은?</t>
  </si>
  <si>
    <t>고용보험법령상 고용노동부장관이 고용환경 개선, 근무형태 변경 등으로 고용의 기회를 확대한 사업주에게 임금의 일부를 지원할 수 있는 경우가 아닌 것은?</t>
  </si>
  <si>
    <t>산업재해보상보험법상 진폐에 따른 보험급여 종류를 모두 고른 것은?
ㄱ. 장례비
ㄴ. 휴업급여
ㄷ. 직업재활급여
ㄹ. 간병급여
ㅁ. 유족급여</t>
  </si>
  <si>
    <t>산업재해보상보험법상 심사 청구 및 재심사 청구에 관한 설명으로 옳지 않은 것은?</t>
  </si>
  <si>
    <t>산업재해보상보험법상 과태료 부과 대상이 되는 자를 모두 고른 것은?
ㄱ. 근로복지공단이 아닌 자가 근로복지공단과 비슷한 명칭을 사용한 자
ㄴ. 근로자가 보험급여를 신청한 것을 이유로 근로자를 해고한 사업주
ㄷ. 사업장 등에 대한 조사나 산재보험 의료기관에 대한 조사를 위한 공단의 소속 직원의 질문에 답변을 거부하거나 조사를 거부・방해 또는 기피한 자</t>
  </si>
  <si>
    <t>산업재해보상보험법상 유족급여에 관한 설명으로 옳지 않은 것을 모두 고른 것은?
ㄱ. 유족보상연금액은 기본금액과 가산금액을 곱한 금액으로 한다.
ㄴ. 유족보상연금액상 급여기초연액은 평균임금에 365를 곱하여 얻은 금액이다.
ㄷ. 유족보상연금액상 기본금액은 급여기초연액의 100분의 45에 상당하는 금액이다.
ㄹ. 유족보상연금액상 가산금액의 합산금액이 급여기초연액의 100분의 20을 넘을 때에는 급여기초연액의 100분의 20에 상당하는 금액으로 한다.</t>
  </si>
  <si>
    <t>산업재해보상보험법령상 업무상 사고에 해당하지 않는 것은?</t>
  </si>
  <si>
    <t>산업재해보상보험법령상 업무상질병판정위원회의 심의에서 제외되는 질병이 아닌 것은?</t>
  </si>
  <si>
    <t>국민연금법령상 다음 A근로자의 경우 산입될 국민연금 가입기간은?
○ 사용자가 A근로자의 임금에서 7개월간 기여금을 공제하였음에도 연금보험료를 내지 않았다.</t>
  </si>
  <si>
    <t>국민건강보험법령상 피부양자에 해당하지 않는 자는? (단, 직장가입자에게 주로 생계를 의존하는 사람으로서 소득 및 재산이 보건복지부령으로 정하는 기준 이하에 해당하는 사람에 한정한다.)</t>
  </si>
  <si>
    <t>국민건강보험법령에 관한 설명으로 옳은 것은?</t>
  </si>
  <si>
    <t>국민건강보험법령상 보험료에 관한 설명으로 옳은 것은?</t>
  </si>
  <si>
    <t>국민건강보험법령상 건강검진에 관한 설명으로 옳지 않은 것은?</t>
  </si>
  <si>
    <t>고용보험 및 산업재해보상보험의 보험료 징수 등에 관한 법령상 고액・상습 체납자의 인적사항 공개에 관한 설명으로 옳지 않은 것은?</t>
  </si>
  <si>
    <t>고용보험 및 산업재해보상보험의 보험료징수 등에 관한 법령상 예술인과 이들을 상대방으로 하여 문화예술용역 관련 계약을 체결한 사업의 사업주에 대한 고용보험료율은?</t>
  </si>
  <si>
    <t>고용보험 및 산업재해보상보험의 보험료징수 등에 관한 법령상 동일한 사업주가 하나의 장소에서 사업의 종류가 다른 사업을 아래와 같이 할 경우 산재보험료율을 적용하기 위한 주된 사업은?
사업의 종류   매출액(억)  보수총액(억)  근로자 수(명)
A                  150            15                 30
B                  150            15                 40
C                  250            15                 40
D                  250            12                 40
E                  300            12                 40</t>
  </si>
  <si>
    <t>사회보장기본법에 관한 설명으로 옳지 않은 것은?</t>
  </si>
  <si>
    <t>사회보장기본법상 사회보장제도의 운영에 관한 설명으로 옳지 않은 것은?</t>
  </si>
  <si>
    <t>사회보장기본법령상 사회보장 관련 주요 시책의 시행계획에 관한 내용이다. ( ) 에 들어갈 내용으로 옳은 것은?
○ 보건복지부장관은 사회보장과 관련된 소관 주요 시책의 시행계획에 따른 추진 실적의 평가를 위한 지침을 작성하여 매년 (ㄱ)까지 관계 중앙행정기관의 장에게 통보하고, 관계 중앙행정기관의 장은 통보받은 평가지침에 따라 전년도 시행계획의 추진실적을 평가한 후 그 결과를 매년 (ㄴ)까지 보건복지부장관에게 제출하여야 한다.</t>
  </si>
  <si>
    <t>고용보험법상 피보험자격의 취득 또는 상실 등에 관한 설명으로 옳지 않은 것은?</t>
  </si>
  <si>
    <t>고용보험법령상 고용보험법 적용이 제외되는 것을 모두 고른 것은?
ㄱ. 「별정우체국법」에 따른 별정우체국 직원
ㄴ. 「사립학교교직원 연금법」의 적용을 받는 사람
ㄷ. 어업 중 법인이 아닌 자가 상시 4명 이하의 근로자를 사용하는 사업</t>
  </si>
  <si>
    <t>고용보험법상 자영업자의 구직급여에 관한 사항으로 피보험기간과 소정급여일수가 옳게 연결된 것은?</t>
  </si>
  <si>
    <t>고용보험법령상 노무제공자인 피보험자에 해당하지 않는 것은?</t>
  </si>
  <si>
    <t>고용보험법령상 고용보험기금에 관한 설명으로 옳지 않은 것은?</t>
  </si>
  <si>
    <t>고용보험법상 재심사에 관한 설명으로 옳지 않은 것은?</t>
  </si>
  <si>
    <t>산업재해보상보험법령상 산업재해보상보험및예방심의위원회의 심의사항이 아닌 것은?</t>
  </si>
  <si>
    <t>산업재해보상보험법령상 산업재해보상보험법의 적용 제외 사업에 해당하지 않는 것은?</t>
  </si>
  <si>
    <t>산업재해보상보험법상 과태료 부과 대상이 되는 자를 모두 고른 것은?
ㄱ. 근로복지공단이 아닌 자가 근로복지공단과 비슷한 명칭을 사용한 자
ㄴ. 거짓으로 보험급여를 받도록 시키거나 도와준 자
ㄷ. 거짓으로 보험급여를 받은 자</t>
  </si>
  <si>
    <t>산업재해보상보험법상 상병보상연금의 지급요건을 모두 고른 것은?
ㄱ. 그 부상이나 질병이 치유되지 아니한 상태일 것
ㄴ. 요양으로 인하여 취업하지 못하였을 것
ㄷ. 그 부상이나 질병에 따른 중증요양상태의 정도가 대통령령으로 정하는 중증요양상태등급 기준에 해당할 것</t>
  </si>
  <si>
    <t>산업재해보상보험법령상 업무상의 재해의 인정 기준에 해당하는 사유가 아닌 것은?</t>
  </si>
  <si>
    <t>산업재해보상보험법에 따라 산정된 저소득 근로자의 휴업급여에 관한 내용이다. ( )에 들어갈 숫자로 옳은 것은?
○ 1일당 휴업급여 지급액이 최저 보상기준 금액의 100분의 (ㄱ)보다 적거나 같으면 그 근로자에 대하여는 평균임금의 100분의 (ㄴ)에 상당하는 금액을 1일당 휴업급여 지급액으로 한다. 다만, 그 근로자의 평균임금의 100분의 (ㄴ)에 상당하는 금액이 최저 보상기준 금액의 100분의 (ㄱ)보다 많은 경우에는 최저 보상기준 금액의 100분의 (ㄱ)에 상당하는 금액을 1일당 휴업급여 지급액으로 한다.</t>
  </si>
  <si>
    <t>국민연금법상 급여에 관한 설명으로 옳은 것은?</t>
  </si>
  <si>
    <t>국민연금법상 국민연금가입자에 관한 설명으로 옳지 않은 것은?</t>
  </si>
  <si>
    <t>국민건강보험법령상 직장가입자 제외자에 해당하는 자를 모두 고른 것은?
ㄱ. 고용 기간이 1개월 미만인 일용근로자
ㄴ. 1개월 동안의 소정(所定)근로시간이 60시간 미만인 단시간근로자
ㄷ. 「병역법」에 따른 군간부후보생
ㄹ. 선거에 당선되어 취임하는 공무원으로서 매월 보수 또는 보수에 준하는 급료를 받지 아니하는 사람</t>
  </si>
  <si>
    <t>고용보험 및 산업재해보상보험의 보험료징수 등에 관한 법률상 보험료율의 인상 또는 인하 등에 따른 조치에 관한 내용이다. ( )에 들어갈 내용으로 옳은 것은?
○ (ㄱ)은 보험료율이 인상 또는 인하된 때에는 월별보험료 및 개산보험료를 증액 또는 감액 조정하고, 월별보험료가 증액된 때에는 (ㄴ)이, 개산보험료가 증액된 때에는 (ㄷ)이 각각 징수한다.</t>
  </si>
  <si>
    <t>고용보험 및 산업재해보상보험의 보험료징수 등에 관한 법령상 보험관계의 성립 및 소멸에 관한 설명으로 옳지 않은 것은?</t>
  </si>
  <si>
    <t>고용보험 및 산업재해보상보험의 보험료징수 등에 관한 법령상 기준보수에 관한 설명으로 옳지 않은 것은?</t>
  </si>
  <si>
    <t>고용보험 및 산업재해보상보험의 보험료징수 등에 관한 법률상 보험관계의 변경 신고에 관한 내용이다. ( )에 들어갈 숫자로 옳은 것은?
○ 보험에 가입한 사업주는 그 이름, 사업의 소재지 등 대통령령으로 정하는 사항이 변경된 경우에는 그 날부터 ( )일 이내에 그 변경사항을 근로복지공단에 신고하여야 한다.</t>
  </si>
  <si>
    <t>사회보장기본법령상 국가와 지방자치단체의 책임에 관한 내용으로 옳지 않은 것은?</t>
  </si>
  <si>
    <t>사회보장기본법령상 사회보장위원회에 관한 내용으로 옳지 않은 것은?</t>
  </si>
  <si>
    <t>사회보장기본법령상 사회보장수급권에 관한 내용으로 옳지 않은 것은?</t>
  </si>
  <si>
    <t>고용보험법령상 사업주에게 지급하는 출산육아기 고용안정장려금의 지급요건 중 하나이다. ( )에 들어갈 내용으로 옳은 것은?
○ 출산전후휴가, 유산・사산 휴가 또는 육아휴직등의 시작일 전 (ㄱ)일이 되는 날[출산전후휴가에 연이어 유산・사산 휴가 또는 육아휴직등을 시작하는 경우에는 출산전후휴가 시작일 전 (ㄴ)일이 되는 날] 이후 새로 대체인력을 고용하여 (ㄷ)일 이상 계속 고용한 경우</t>
  </si>
  <si>
    <t>고용보험법령상 장애인고용촉진 및 직업재활법에 따른 장애인인 甲(45세)은 근무하던 A회사를 퇴사하여 직업안정기관으로부터 구직급여 수급자격을 인정받았다. 피보험기간이 15년인 甲이 받을 수 있는 구직급여의 소정급여일수는?</t>
  </si>
  <si>
    <t>고용보험법령상 예술인인 피보험자의 구직급여에 관한 내용으로 옳지 않은 것은?</t>
  </si>
  <si>
    <t>고용보험법령상 육아휴직 급여의 특례에 관한 내용이다. ( )에 들어갈 내용으로 옳은 것은?
○ 같은 자녀에 대하여 부모가 순차적으로 육아휴직을 하는 경우 두 번째 육아휴직을 한 피보험자의 최초 3개월의 육아휴직 급여는 (ㄱ)으로 한다. 이 경우 그 월별 상한액은 (ㄴ)으로 한다.</t>
  </si>
  <si>
    <t>고용보험법령상 피보험자격에 관한 내용으로 옳지 않은 것은?</t>
  </si>
  <si>
    <t>고용보험법령상 자영업자인 피보험자에 대한 실업급여 적용의 특례에 관한 내용으로 옳은 것은?</t>
  </si>
  <si>
    <t>산업재해보상보험법령상 특수형태근로종사자의 직종에 해당하지 않는 사람은?</t>
  </si>
  <si>
    <t>산업재해보상보험법령상 업무상질병판정위원회에 관한 내용으로 옳지 않은 것은?</t>
  </si>
  <si>
    <t>산업재해보상보험법령상 보험급여에 관한 내용으로 옳지 않은 것은?</t>
  </si>
  <si>
    <t>산업재해보상보험법령상 진폐에 따른 보험급여의 종류에 해당하는 것을 모두 고른 것은?
ㄱ. 요양급여
ㄴ. 휴업급여
ㄷ. 장해급여
ㄹ. 간병급여
ㅁ. 유족급여</t>
  </si>
  <si>
    <t>산업재해보상보험법령상 과태료 부과 대상이 되는 자는?</t>
  </si>
  <si>
    <t>산업재해보상보험법령상 간병 및 이송에 관한 내용으로 옳지 않은 것은?</t>
  </si>
  <si>
    <t>국민연금법령상 노령연금 수급권자에 관한 내용이다. ( )에 들어갈 숫자의 합은?
○ 국민연금 가입기간이 ( )년 이상인 가입자 또는 가입자였던 자 중 특수직종근로자는 ( )세가 된 때부터 그가 생존하는 동안 노령연금을 지급한다.</t>
  </si>
  <si>
    <t>국민연금법령에 관한 내용으로 옳지 않은 것은?</t>
  </si>
  <si>
    <t>국민건강보험법령상 일반건강검진의 대상이 아닌 자는?</t>
  </si>
  <si>
    <t>국민건강보험법령상 보험가입자의 자격 상실 시기로 옳은 것을 모두 고른 것은?
ㄱ. 사망한 날
ㄴ. 국적을 잃은 날
ㄷ. 국내에 거주하지 아니하게 된 날
ㄹ. 직장가입자의 피부양자가 된 날</t>
  </si>
  <si>
    <t>고용보험 및 산업재해보상보험의 보험료 징수 등에 관한 법령상 보험료의 부과 및 징수에 관한 내용으로 옳은 것은?</t>
  </si>
  <si>
    <t>고용보험 및 산업재해보상보험의 보험료 징수 등에 관한 법령상 보험료의 납부 등에 관한 내용으로 옳지 않은 것은?</t>
  </si>
  <si>
    <t>고용보험 및 산업재해보상보험의 보험료 징수 등에 관한 법령상 보험관계의 성립일 또는 소멸일에 관한 내용으로 옳지 않은 것은?</t>
  </si>
  <si>
    <t>고용보험 및 산업재해보상보험의 보험료 징수 등에 관한 법령상 사업주는 보험에 가입된 사업에 변경 사항이 있으면 그 변경된 날부터 14일 이내에 근로복지공단에 그 변경사항을 신고하여야 한다. 변경신고 사항에 해당하는 것을 모두 고른 것은?
ㄱ. 사업주의 이름 및 주민등록번호
ㄴ. 사업의 종류
ㄷ. 사업의 명칭 및 소재지
ㄹ. 사업자등록번호</t>
  </si>
  <si>
    <t>고용보험 및 산업재해보상보험의 보험료 징수 등에 관한 법령상 국가・지방자치단체가 직접 하는 사업의 고용안정・직업능력개발사업의 보험료율은?</t>
  </si>
  <si>
    <t>고용보험 및 산업재해보상보험의 보험료 징수 등에 관한 법령상 소멸시효에 관한 내용을 옳지 않은 것은?</t>
  </si>
  <si>
    <t>사회보장기본법상 사회보장 기본계획에 관한 설명으로 옳지 않은 것은?</t>
  </si>
  <si>
    <t>사회보장기본법령상 사회보장위원회에 관한 설명으로 옳지 않은 것은?</t>
  </si>
  <si>
    <t>고용보험법상 구직급여에 관한 설명으로 옳지 않은 것은?</t>
  </si>
  <si>
    <t>고용보험법령상 고용조정의 지원에 관한 내용이다. ( )에 들어갈 내용으로 옳은 것은?
○ 고용노동부장관은 사업의 폐업 또는 전환으로 고용조정이 불가피하게 된 사업주가 근로자에 대한 휴업, 휴직 등 근로자의 고용안정을 위한 조치를 하면 대통령령으로 정하는 바에 따라 그 사업주에게 필요한 지원을 할 수 있다. 이 경우 휴업이나 휴직 등 고용안정을 위한 조치로 근로자의 임금이 평균임금의 100분의 ( ) 미만(지급되는 임금이 없는 경우를 포함한다)으로 감소할 때에는 대통령령으로 정하는 바에 따라 그 근로자에게도 필요한 지원을 할 수 있다.</t>
  </si>
  <si>
    <t>고용보험법령상 육아휴직 급여 신청기간의 연장 사유가 아닌 것은?</t>
  </si>
  <si>
    <t>고용보험법상의 취업촉진 수당에 해당하지 않는 것은?</t>
  </si>
  <si>
    <t>고용보험법상 고용보험위원회에 관한 설명으로 옳은 것은?</t>
  </si>
  <si>
    <t>고용보험법령상 고용보험법이 적용되지 않는 것을 모두 고른 것은?
ㄱ. 「주택법」 제4조에 따른 주택건설사업자가 시공하는 공사
ㄴ. 가구 내 고용활동 및 달리 분류되지 아니한 자가소비 생산활동
ㄷ. 농업・임업 및 어업 중 법인이 아닌 자가 상시 4명 이하의 근로자를 사용하는 사업에 종사하는 근로자</t>
  </si>
  <si>
    <t>고용보험법령상 구직급여와 관련한 내용이다. ( )에 들어갈 내용으로 옳은 것은?
○ 훈련연장급여의 지급 기간은 (ㄱ) 년을 한도로 한다.
○ 개별연장급여는 (ㄴ)일의 범위에서 대통령령으로 정하는 기간 동안 지급한다.</t>
  </si>
  <si>
    <t xml:space="preserve">산업재해보상보험법상 심사청구 및 재심사청구에 관한 설명으로 옳은 것은? </t>
  </si>
  <si>
    <t>산업재해보상보험법상 진폐에 따른 보험급여의 특례에 관한 설명으로 옳지 않은 것은?</t>
  </si>
  <si>
    <t>산업재해보상보험법령상 휴업급여에 관한 설명으로 옳은 것은?</t>
  </si>
  <si>
    <t>산업재해보상보험법령에 따른 업무상 재해에 해당하는 것을 모두 고른 것은?
ㄱ. 업무수행 과정에서 하는 용변 등 생리적 필요 행위를 하던 중에 발생한 사고
ㄴ. 통상적인 경로와 방법으로 출퇴근하는 중 일상생활에 필요한 용품을 구입하기 위한 출퇴근 경로 일탈 중의 사고
ㄷ. 사업주가 제공한 시설물 등을 사업주의 구체적인 지시를 위반하여 이용한 행위로 발생한 사고
ㄹ. 직장 내 괴롭힘 등으로 인한 업무상 정신적 스트레스가 원인이 되어 발생한 질병</t>
  </si>
  <si>
    <t>산업재해보상보험법상 직업재활급여에 관한 설명으로 옳은 것은?</t>
  </si>
  <si>
    <t>산업재해보상보험법상 보험급여의 일시 중지를 할 수 있는 사유가 아닌 것은?</t>
  </si>
  <si>
    <t>국민연금법상 가입자 자격의 상실 시기가 옳지 않은 것은?</t>
  </si>
  <si>
    <t>국민연금법상 급여에 관한 설명으로 옳지 않은 것은?</t>
  </si>
  <si>
    <t>국민건강보험법상 이의신청 및 심판청구에 관한 설명으로 옳은 것을 모두 고른 것은?
ㄱ. 요양급여비용에 관한 건강보험심사평가원의 처분에 이의가 있는 자는 건강보험심사평가원에 이의신청을 할 수 있다.
ㄴ. 이의신청은 처분이 있음을 안 날부터 90일 이내에, 처분이 있은 날부터 1년 이내에 문서로 하여야 한다.
ㄷ. 이의신청에 대한 결정에 불복하는 자는 건강보험분쟁조정위원회에 심판청구를 할 수 있다.</t>
  </si>
  <si>
    <t>국민건강보험법상의 요양급여가 아닌 것은?</t>
  </si>
  <si>
    <t>고용보험 및 산업재해보상보험의 보험료 징수 등에 관한 법률상의 내용이다. ( )에 들어갈 내용으로 옳은 것은?
○ 국민건강보험공단은 보험가입자가 보험료를 납부기한까지 내지 아니하면 기한을 정하여 그 납부의무자에게 징수금을 낼 것을 독촉하여야 한다. 국민건강보험공단이 독촉을 하는 경우에는 독촉장을 발급하여야 한다. 이 경우의 납부기한은 독촉장 발급일부터 (ㄱ)일 이상의 여유가 있도록 하여야 한다.
○ 보험료를 징수하거나 그 반환받을 수 있는 권리는 (ㄴ)년 간 행사하지 아니하면 시효로 인하여 소멸한다.</t>
  </si>
  <si>
    <t>고용보험 및 산업재해보상보험의 보험료징수 등에 관한 법률상 산재보험료율의 결정에 관한 내용이다. ( ) 에 들어갈 내용으로 옳은 것은?
○ 업무상 사고에 따른 업무상 재해에 관한 산재보험료율은 매년 6월 30일 현재 과거 (ㄱ)년 동안의 보수총액에 대한 산재보험급여총액의 비율을 기초로 하여 「산업재해보상보험법」에 따른 연금 등 산재보험급여에 드는 금액, 재해예방 및 재해근로자의 복지증진에 드는 비용 등을 고려하여 사업의 종류별로 구분하여 고용노동부령으로 정한다.
○ 고용노동부장관은 산재보험료율을 정하는 경우에는 특정 사업 종류의 산재보험료율이 전체 사업의 평균 산재보험료율의 (ㄴ)배를 초과하지 아니하도록 하여야 한다.</t>
  </si>
  <si>
    <t>고용보험 및 산업재해보상보험의 보험료징수 등에 관한 법률상 보험사무대행기관 등에 관한 설명으로 옳은 것을 모두 고른 것은?
ㄱ. 공인노무사가 보험사무를 대행하려는 경우에는 근로복지공단의 인가를 받아야 한다.
ㄴ. 근로복지공단은 보험료, 이 법에 따른 그 밖의 징수금의 납입의 통지 등을 보험사무대행기관에 함으로써 그 사업주에 대한 통지를 갈음한다.
ㄷ. 근로복지공단이 가산금을 부과하여 징수하는 경우에 그 징수사유가 보험사무대행기관의 귀책사유로 인한 것일 때에는 보험사무대행기관이 100분의 50에 해당하는 금액을 내야 한다.</t>
  </si>
  <si>
    <t>고용보험 및 산업재해보상보험의 보험료징수 등에 관한 법률상 월별보험료 연체와 관련된 내용이다. ( )에 들어갈 내용으로 옳은 것은?
○ 국민건강보험공단은 납부기한 후 30일이 지난 날부터 매 (ㄱ)일이 경과할 때마다 체납된 월별보험료의 (ㄴ)에 해당하는 연체금을 이미 발생한 연체금에 더하여 징수한다. 이 경우 연체금은 체납된 월별보험료의 (ㄷ)을 넘지 못한다.</t>
  </si>
  <si>
    <t>고용보험 및 산업재해보상보험의 보험료징수 등에 관한 법령상 보수총액 등의 신고와 관련한 내용으로 옳지 않은 것은?</t>
  </si>
  <si>
    <t>사회보장기본법령상 사회보장제도의 운영에 관한 설명으로 옳지 않은 것은?</t>
  </si>
  <si>
    <t>사회보장기본법령상 사회보장 비용의 부담에 관한 설명으로 옳지 않은 것은?</t>
  </si>
  <si>
    <t>사회보험 관련법령의 적용에 관한 내용으로 옳지 않은 것은?</t>
  </si>
  <si>
    <t>사회보장기본법령상 사회보장수급권에 관한 설명으로 옳지 않은 것은?</t>
  </si>
  <si>
    <t>고용보험법령의 내용으로 옳지 않은 것은?</t>
  </si>
  <si>
    <t>고용보험법령상 폐업한 자영업자인 피보험자의 구직급여 수급 요건으로 옳지 않은 것은?</t>
  </si>
  <si>
    <t>고용보험법령상 심사 및 재심사에 관한 설명으로 옳지 않은 것은?</t>
  </si>
  <si>
    <t>고용보험법령상 고용보험기금의 용도를 모두 고른 것은?
ㄱ. 직업능력개발 사업에 필요한 경비
ㄴ. 고용보험법령에서 정한 국민연금 보험료의 지원
ㄷ. 실업급여의 지급
ㄹ. 육아휴직 급여의 지급
ㅁ. 고용보험법령에서 정한 국민건강 보험료의 지원</t>
  </si>
  <si>
    <t>고용보험법령상 수급권 보호에 관한 내용이다. ( )에 들어갈 내용은? 
○ 실업급여를 받을 권리는 양도 또는 압류하거나 담보로 제공할 수 없으며, 실업급여수급계좌의 예금 중 ( ) 이하의 금액에 관한 채권은 압류할 수 없다.</t>
  </si>
  <si>
    <t>산업재해보상보험법령상 보험급여 중 시효의 완성 기간이 다른 것은?</t>
  </si>
  <si>
    <t>산업재해보상보험법령상 장해보상연금의 수급권 소멸사유를 모두 고른 것은?
ㄱ. 수급권자가 사망한 경우
ㄴ. 대한민국 국민이었던 수급권자가 국적을 상실하고 외국에서 거주하고 있는 경우
ㄷ. 대한민국 국민이 아닌 수급권자가 외국에서 거주하기 위해 출국하는 경우
ㄹ. 수급권자의 장해등급이 변경되어 장해보상연금의 지급 대상에서 제외되는 경우</t>
  </si>
  <si>
    <t>산업재해보상보험법령상 특수형태근로종사자의 범위에 해당하지 않는 자는?</t>
  </si>
  <si>
    <t>산업재해보상보험법령상 심사청구의 대상이 아닌 것은?</t>
  </si>
  <si>
    <t>산업재해보상보험법령상 보험급여에 관한 설명으로 옳은 것은?</t>
  </si>
  <si>
    <t>산업재해보상보험법령상 통상적인 출퇴근 경로의 일탈 또는 중단이 일상생활에 필요한 행위로서 사유가 있는 경우에는 출퇴근 재해로 보는데, 다음 중 그 사유에 해당하는 것은 모두 몇 개인가?
○ 일상생활에 필요한 용품을 구입하는 행위
○ 방송통신대학에서 직업능력 개발향상에 기여할 수 있는 교육을 받는 행위
○ 선거권이나 국민투표권의 행사
○ 근로자가 사실상 보호하고 있는 아동을 보육기관으로부터 데려오는 행위
○ 의료기관에서 질병의 예방을 목적으로 진료를 받는 행위</t>
  </si>
  <si>
    <t>국민연금법령상 출산에 대한 가입기간 추가 산입에 관한 내용이다. ( )에 들어갈 내용으로 옳은 것은?
○ 2 이상의 자녀가 있는 가입자가 노령연금수급권을 취득한 때에는 다음 각 호에 따른 기간을 가입기간에 추가로 산입한다. 다만, 추가로 산입하는 기간은 (ㄱ)개월을 초과할 수 없다.
1. 자녀가 2명인 경우 : (ㄴ)개월
2. 자녀가 3명 이상인 경우 : 둘째 자녀에 대하여 인정되는 (ㄴ)개월에 2자녀를 초과하는 자녀 1명마다 (ㄷ)개월을 더한 개월 수</t>
  </si>
  <si>
    <t>국민연금법령상 유족연금에 관한 설명으로 옳은 것은?</t>
  </si>
  <si>
    <t>국민건강보험법령상 급여의 제한 및 정지에 관한 설명으로 옳지 않은 것은?</t>
  </si>
  <si>
    <t>국민건강보험법령상 보험료에 관한 설명으로 옳지 않은 것은?</t>
  </si>
  <si>
    <t>국민건강보험법령상 보험료의 경감 대상이 될 수 있는 가입자는?</t>
  </si>
  <si>
    <t>고용보험 및 산업재해보상보험의 보험료징수 등에 관한 법령의 내용으로 옳은 것은?</t>
  </si>
  <si>
    <t>고용보험 및 산업재해보상보험의 보험료징수 등에 관한 법령상 보험사무대행기관에 보험사무를 위임할 수 있는 업무의 범위가 아닌 것은?</t>
  </si>
  <si>
    <t>고용보험 및 산업재해보상보험의 보험료징수 등에 관한 법령의 내용으로 옳지 않은 것은?</t>
  </si>
  <si>
    <t>고용보험 및 산업재해보상보험의 보험료징수 등에 관한 법령상 ( )에 들어갈 내용으로 옳은 것은?
○ 고용노동부장관은 천재지변이나 그 밖에 대통령령으로 정하는 특수한 사유가 있어 보험료를 경감할 필요가 있다고 인정하는 보험가입자에 대하여 고용보험위원회 또는 산업재해보상보험및예방심의위원회의 심의를 거쳐 보험료와 그 밖의 징수금을 경감할 수 있다. 현재 경감비율은 보험료와 그 밖의 징수금의 (ㄱ)이다.
○ 현재 자영업자에게 적용하는 실업급여의 보험료율은 (ㄴ)이다.</t>
  </si>
  <si>
    <t>고용보험 및 산업재해보상보험의 보험료징수 등에 관한 법령상 보험료율의 인상 또는 인하 등에 따른 조치로 옳지 않은 것은?</t>
  </si>
  <si>
    <t>사회보장기본법상 내용으로 옳은 것은?</t>
  </si>
  <si>
    <t>사회보장기본법상 내용으로 옳지 않은 것은?</t>
  </si>
  <si>
    <t>사회보장기본법상 사회보장정보시스템의 구축・운영 등에 관한 설명으로 옳지 않은 것은?</t>
  </si>
  <si>
    <t>고용보험법령상 피보험기간이 4년인 자영업자인 경우 구직급여의 소정급여일수는?</t>
  </si>
  <si>
    <t>고용보험법에서 사용하는 용어의 뜻으로 옳은 것은?</t>
  </si>
  <si>
    <t>고용보험법령상 적용 제외 근로자에 관한 내용이다. ( )에 들어갈 숫자를 순서대로 옳게 나열한 것은?
○ 1개월간 소정근로시간이 ( )시간 미만인 자에게는 이 법을 적용하지 아니한다. 다만, 생업을 목적으로 근로를 제공하는 자 중 ( )개월 이상 계속하여 근로를 제공하는 자와 법 제2조제6호에 따른 일용근로자는 제외한다.</t>
  </si>
  <si>
    <t>고용보험법상 피보험자의 관리에 관한 내용으로 옳은 것은?</t>
  </si>
  <si>
    <t>고용보험법령상 구직급여에 관한 내용으로 옳지 않은 것은?</t>
  </si>
  <si>
    <t>고용보험법령상 고용조정의 지원에 관한 내용으로 옳지 않은 것은?</t>
  </si>
  <si>
    <t>산업재해보상보험법에 관한 설명으로 옳은 것을 모두 고른 것은?
ㄱ. 근로자의 보험급여를 받을 권리는 퇴직하여도 소멸되지 아니한다.
ㄴ. 수급권의 대위 규정에 따른 보험가입자의 권리는 3년간 행사하지 아니하면 시효로 말미암아 소멸한다.
ㄷ. 보험급여에 관한 공단의 결정에 불복하는 자의 심사 청구는 보험급여 결정이 있음을 안 날로부터 180일 이내에 하여야 한다.</t>
  </si>
  <si>
    <t>산업재해보상보험법령상 업무상의 재해에 해당하는 것을 모두 고른 것은?
ㄱ. 휴게시간 중 사업주의 지배관리하에 있다고 볼 수 있는 행위로 발생한 사고
ㄴ. 사업주의 지시에 따라 참여한 행사 중에 발생한 사고
ㄷ. 업무와 관련하여 정신적 충격을 유발할 수 있는 사건에 의해 발생한 외상 후 스트레스 장애
ㄹ. 사업주가 제공한 교통수단을 이용하는 등 사업주의 지배관리하에서 출퇴근하는 중 발생한 사고</t>
  </si>
  <si>
    <t>산업재해보상보험법령상 보험급여에 관한 설명으로 옳지 않은 것은?</t>
  </si>
  <si>
    <t>산업재해보상보험법에 관한 설명으로 옳은 것은?</t>
  </si>
  <si>
    <t>산업재해보상보험법령상 특수형태근로종사자의 직종에 해당하는 자는?</t>
  </si>
  <si>
    <t>산업재해보상보험법상 과태료 부과 대상이 아닌 경우는?</t>
  </si>
  <si>
    <t>국민연금법상 사업장가입자 자격의 상실 사유에 해당하는 것을 모두 고른 것은?
ㄱ. 사망한 때
ㄴ. 60세가 된 때
ㄷ. 사용관계가 끝난 때
ㄹ. 국적을 상실하거나 국외로 이주한 때</t>
  </si>
  <si>
    <t>국민연금법상 ( )에 들어갈 내용을 순서대로 옳게 나열한 것은?
○ 배우자의 가입기간 중의 혼인 기간이 ( )년 이상인 자가 배우자와 이혼하였을 것, 배우자였던 사람이 노령연금 수급권자일 것, ( )세가 되었을 것의 요건을 모두 갖추면 그때부터 그가 생존하는 동안 배우자였던 자의 노령연금을 분할한 일정한 금액의 연금을 받을 수 있다.</t>
  </si>
  <si>
    <t>국민건강보험법령상 보험급여의 제한에 관한 내용으로 옳지 않은 것은?</t>
  </si>
  <si>
    <t>국민건강보험법상 보험료에 관한 내용으로 옳지 않은 것은?</t>
  </si>
  <si>
    <t>고용보험 및 산업재해보상보험의 보험료징수 등에 관한 법률상 근로복지공단의 업무가 아닌 것은?</t>
  </si>
  <si>
    <t>고용보험 및 산업재해보상보험의 보험료징수 등에 관한 법령상 보험료 등의 분할 납부에 관한 설명으로 옳은 것은?</t>
  </si>
  <si>
    <t>고용보험 및 산업재해보상보험의 보험료징수 등에 관한 법령상 징수 및 체납 처분 등에 관한 설명으로 옳은 것은?</t>
  </si>
  <si>
    <t>고용보험 및 산업재해보상보험의 보험료징수 등에 관한 법률상 징수금의 결손처분에 해당하는 사유를 모두 고른 것은?
ㄱ. 경매가 개시된 경우
ㄴ. 소멸시효가 완성된 경우
ㄷ. 체납자의 행방이 분명하지 않아 징수할 가능성이 없다고 인정되는 경우
ㄹ. 체납처분이 끝나고 체납액에 충당된 배분금액이 그 체납액보다 적은 경우</t>
  </si>
  <si>
    <t>고용보험 및 산업재해보상보험의 보험료징수 등에 관한 법률상 ( )에 들어갈 내용을 순서대로 옳게 나열한 것은?
○ 산재보험의 가입자인 사업주가 그 사업을 운영하다가 근로자를 고용하지 아니하게 되었을 때에는 그 날부터 ( )의 범위에서 근로자를 사용하지 아니한 기간에도 보험에 가입한 것으로 본다.
○ 고용보험료율은 보험수지의 동향과 경제상황 등을 고려하여 ( )의 범위에서 고용안정・직업능력개발사업의 보험료율 및 실업급여의 보험료율로 구분하여 대통령령으로 정한다.</t>
  </si>
  <si>
    <t>사회보장기본법상 사회보장수급권에 관한 내용으로 옳지 않은 것은?</t>
  </si>
  <si>
    <t>사회보장기본법에 관한 내용이다. ( )안에 들어갈 내용을 순서대로 옳게 나열한 것은?
○ 보건복지부장관은 관계 중앙행정기관의 장과 협의하여 사회보장 증진을 위하여 사회보장에 관한 기본계획을 ( )마다 수립하여야 한다.
○ 국가는 사회보장제도의 안정적인 운영을 위하여 중장기 사회보장 재정추계를 ( )으로 실시하고 이를 공표하여야 한다.</t>
  </si>
  <si>
    <t>근로자 甲은 소정근로시간을 1주 간 40시간에서 30시간으로 육아기 근로시간 단축을 실시하였다. 육아기 근로시간 단축 개시일을 기준으로 근로기준법에 따라 산정한 월 통상임금이 월 200만원이라고 할 경우, 甲이 1개월간 고용보험법령상 받을 수 있는 육아기 근로시간 단축 급여액은? (단, 육아기 근로시간 단축 급여의 감액 사유는 없음)</t>
  </si>
  <si>
    <t>고용보험법령상 고용창출에 대한 지원을 받을 수 있는 경우가 아닌 것은?</t>
  </si>
  <si>
    <t>고용보험법상 용어에 관한 정의로 옳은 것을 모두 고른 것은?
ㄱ. 실업: 근로의 의사와 능력이 있음에도 불구하고 취업하지 못한 상태에 있는 것
ㄴ. 일용근로자: 1일 단위로 근로계약이 체결되는 근로자
ㄷ. 이직(離職): 피보험자가 사업주와의 고용관계를 종료한 후, 신규사업주와 근로계약을 체결하는 것</t>
  </si>
  <si>
    <t>고용보험법상 구직급여의 소정급여일수로 옳은 것은?</t>
  </si>
  <si>
    <t>고용보험법상 위반시 징역 또는 벌금에 처해지는 행위를 모두 고른 것은?
ㄱ. 거짓으로 육아휴직 급여를 받은 경우
ㄴ. 피보험자격의 취득 및 상실 등에 관한 사항을 고용노동부장관에게 신고하지 아니한 경우
ㄷ. 이직확인서를 고용노동부장관에 거짓으로 작성하여 제출한 경우</t>
  </si>
  <si>
    <t>고용보험법상 고용보험기금에 관한 설명으로 옳지 않은 것은?</t>
  </si>
  <si>
    <t>산업재해보상보험법령상의 보험급여의 내용으로 옳지 않은 것은?</t>
  </si>
  <si>
    <t>산업재해보상보험법상 심사청구의 제기와 관련한 내용으로 옳지 않은 것은?</t>
  </si>
  <si>
    <t>산업재해보상보험법 제54조(저소득 근로자의 휴업급여)에 관한 내용이다. ( )안에 들어갈 내용을 순서대로 옳게 나열한 것은?
○ 1일당 휴업급여 지급액이 최저 보상기준 금액의 100분의 ( )보다 적거나 같으면 그 근로자에 대하여는 평균임금의 100분의 ( )에 상당하는 금액을 1일당 휴업급여 지급액으로 한다.</t>
  </si>
  <si>
    <t>산업재해보상보험법령상 특수형태근로종사자가 아닌 것은?</t>
  </si>
  <si>
    <t>산업재해보상보험법상 다음 내용으로 옳은 것은?</t>
  </si>
  <si>
    <t>산업재해보상보험법령상 산업재해보상보험및예방심의위원회의 위원의 임기 등과 관련한 내용으로 옳지 않은 것은?</t>
  </si>
  <si>
    <t>국민연금법상 노령연금 수급권자에 관한 내용이다. ( )안에 들어갈 내용을 순서대로 옳게 나열한 것은?
○ 가입기간이 ( )년 이상인 가입자 또는 가입자였던 자에 대하여는 ( )세 (특수직종근로자는 ( )세)가 된 때부터 그가 생존하는 동안 노령연금을 지급한다.</t>
  </si>
  <si>
    <t>국민연금법상 시효에 관한 설명으로 옳지 않은 것은?</t>
  </si>
  <si>
    <t>국민건강보험법상 가입자의 자격변동 시기에 해당하지 않는 것은?</t>
  </si>
  <si>
    <t>국민건강보험법상 다음 설명으로 옳지 않은 것은?</t>
  </si>
  <si>
    <t>고용보험 및 산업재해보상보험의 보험료 징수 등에 관한 법률상 소멸시효 등 보칙에 관한 설명으로 옳은 것은?</t>
  </si>
  <si>
    <t>고용보험 및 산업재해보상보험의 보험료 징수 등에 관한 법령상 고용노동부장관이 정하여 고시하는 금액(기준보수)에 관한 설명으로 옳지 않은 것은?</t>
  </si>
  <si>
    <t>고용보험 및 산업재해보상보험의 보험료 징수 등에 관한 법률상 보험료에 관한 내용이다. ( ) 안의 내용으로 옳은 것은?
○ 사업주는 그 달의 월별보험료를 다음 달 ( )일까지 납부하여야 한다.
○ 사업주는 전년도에 근로자에게 지급한 보수총액 등을 매년 ( )월 ( )일까지 근로복지공단에 신고하여야 한다.</t>
  </si>
  <si>
    <t>고용보험 및 산업재해보상보험의 보험료 징수 등에 관한 법령의 내용으로 옳은 것은?</t>
  </si>
  <si>
    <t>고용보험 및 산업재해보상보험의 보험료 징수 등에 관한 법률상 보험관계의 성립일 또는 소멸일에 관한 설명으로 옳은 것은?</t>
  </si>
  <si>
    <t>사회보장기본법상 사회보장에 관한 정의이다. ( ) 안에 들어갈 내용으로 옳은 것은?
○ "사회보장"이란 출산, 양육, 실업, 노령, 장애, 질병, 빈곤 및 사망 등의 사회적 위험으로부터 모든 국민을 보호하고 국민 삶의 질을 향상시키는데 필요한 소득・서비스를 보장하는 ( ), ( ), ( )(을)를 말한다.</t>
  </si>
  <si>
    <t>사회보장기본법령상 사회보장위원회의 구성에 관한 설명으로 옳은 것은?</t>
  </si>
  <si>
    <t>고용보험법령에 관한 내용이다. ( ) 안에 들어갈 내용으로 옳은 것은?
○ 육아기 근로시간 단축 급여를 지급받으려는 사람은 육아기 근로시간 단축을 시작한 날 이후 1개월부터 끝난 날 이후 12개월 이내에 신청하여야 한다. 다만, 해당 기간에 배우자의 질병・부상 등으로 육아기 근로시간 단축 급여를 신청할 수 없었던 사람은 그 사유가 끝난 후 ( ) 이내에 신청하여야 한다.</t>
  </si>
  <si>
    <t>고용보험법령상 실업급여에 관한 내용이다. ( ) 안에 들어갈 내용으로 옳은 것은?
○ 직업안정기관의 장은 수급자격자의 신청이 있는 경우에는 실업급여를 수급자격자 명의의 지정된 계좌로 입금하여야 한다. 지정된 실업급여수급계좌의 예금 중 ( ) 이하의 금액에 관한 채권을 압류할 수 없다.</t>
  </si>
  <si>
    <t>고용보험법상 연장급여의 상호 조정에 관한 내용이다. 옳은 것을 모두 고른 것은?
ㄱ. 훈련연장급여를 지급받고 있는 수급자격자에게는 그 훈련연장급여의 지급이 끝난 후가 아니면 개별연장급여의 및 특별연장급여를 지급하지 아니한다.
ㄴ. 개별연장급여를 지급받고 있는 수급자격자가 훈련연장급여를 지급받게 되면 개별연장급여를 지급하지 아니한다.
ㄷ. 특별연장급여를 지급받고 있는 수급자격자에게는 특별연장급여의 지급이 끝난 후가 아니면 개별연장급여를 지급하지 아니한다.</t>
  </si>
  <si>
    <t>고용보험법령상 과태료 부과 대상이 아닌 것은?</t>
  </si>
  <si>
    <t>고용보험법상 피보험기간이 2년일 경우 이직일 현재 연령에 따른 구직급여의 소정급여일수가 옳은 것은?</t>
  </si>
  <si>
    <t>산업재해보상보험법상 재요양을 받는 자에 대한 1일당 휴업급여 지급액을 산정한 결과가 최저임금액보다 적은 경우, 1일당 휴업급여 지급액은 얼마인가?</t>
  </si>
  <si>
    <t>산업재해보상보험법상 직업재활급여에 관한 설명으로 옳지 않은 것은?</t>
  </si>
  <si>
    <t>산업재해보상보험법령상 업무상 질병에 관한 설명으로 옳지 않은 것은?</t>
  </si>
  <si>
    <t>산업재해보상보험법상 근로자가 업무상의 사유로 사망한 경우 그 장례를 지낸 유족에게 장례비를 지급한다. 이 때 장례비는 평균임금의 며칠분에 상당하는 금액을 지급하는가?</t>
  </si>
  <si>
    <t>산업재해보상보험법령상 장해등급의 재판정에 관한 내용이다. ( ) 안에 들어갈 내용으로 옳은 것은?
○ 장해등급의 재판정은 장해보상연금의 지급 결정을 한 날을 기준으로 (ㄱ)년이 지난 날부터 (ㄴ)년 이내에 하여야 한다.</t>
  </si>
  <si>
    <t>산업재해보상보험법령상 업무상 사고가 아닌 것은?</t>
  </si>
  <si>
    <t>국민연금법상 유족연금 수급권자의 유족연금 수급권이 소멸되는 사유를 모두 고른 것은?
ㄱ. 장애등급 2등급인 자녀가 19세가 된 때
ㄴ. 손자녀인 수급권자가 파양된 때
ㄷ. 배우자인 수급권자가 재혼한 때</t>
  </si>
  <si>
    <t xml:space="preserve">국민연금법상 유족연금 수급권자에 관한 내용이다. ( ) 안에 들어갈 내용으로 옳은 것은?
○ 다음 각 호의 어느 하나에 해당하는 사람이 사망하면 그 유족에게 유족연금을 지급한다.
1. 가입기간이 (ㄱ)년 이상인 가입자였던 자
2. 사망일 5년 전부터 사망일까지의 기간 중 연금보험료를 낸 기간이 (ㄴ)년 이상인 가입자 또는 가입자였던 자 </t>
  </si>
  <si>
    <t>국민건강보험법상 보험료 부담 및 납부의무에 관한 설명으로 옳지 않은 것은?</t>
  </si>
  <si>
    <t>국민건강보험법상 보험급여의 정지 사유에 해당하는 것은?</t>
  </si>
  <si>
    <t>고용보험 및 산업재해보상보험의 보험료징수 등에 관한 법률상 보수총액 등의 신고에 관한 설명으로 옳은 것은?</t>
  </si>
  <si>
    <t>고용보험 및 산업재해보상보험의 보험료징수 등에 관한 법령에 관한 설명으로 옳은 것은?</t>
  </si>
  <si>
    <t>고용보험 및 산업재해보상보험의 보험료징수 등에 관한 법령상 보험료에 관한 내용이다. ( ) 안에 들어갈 내용으로 옳은 것은?
○ 고용보험사업에 드는 비용을 충당하기 위하여 보험가입자로부터 보험료를 징수함에도 불구하고 고용보험법에 따라 (ㄱ)세 이후에 고용된 자에 대하여는 고용보험료 중 실업급여의 보험료를 징수하지 아니한다. 현재 실업급여의 보험료율은 1천분의 (ㄴ)이다.</t>
  </si>
  <si>
    <t>고용보험 및 산업재해보상보험의 보험료징수 등에 관한 법령상 보험가입자에 관한 설명으로 옳지 않은 것은?</t>
  </si>
  <si>
    <t>고용보험 및 산업재해보상보험의 보험료징수 등에 관한 법률상 고액・상습 체납자의 인적사항 공개에 관한 설명으로 옳지 않은 것은?</t>
  </si>
  <si>
    <t>고용보험 및 산업재해보상보험의 보험료징수 등에 관한 법령상 산재보험료율의 구성은 다음과 같다. ( ) 안에 들어갈 내용으로 옳은 것은?
○ 산재보험료율(100%) = [산재보험급여지급률 + 추가지출률](ㄱ)% + 부가보험료율(ㄴ)%</t>
  </si>
  <si>
    <t>사회보장기본법상 사회보장정책의 기본방향에 관한 설명으로 옳지 않은 것은?</t>
  </si>
  <si>
    <t>사회보장기본법상 사회보장위원회에 관한 설명으로 옳지 않은 것은?</t>
  </si>
  <si>
    <t>사회보장기본법상 사회보장급여와 사회보장수급권에 관한 설명으로 옳은 것은?</t>
  </si>
  <si>
    <t>사회보장기본법령상 사회보장 기본계획에 관한 설명으로 옳은 것을 모두 고른 것은?
ㄱ. 보건복지부장관은 관계 중앙행정기관의 장과 협의하여 사회보장 증진을 위하여 사회보장에 관한 기본계획을 5년마다 수립하여야 한다.
ㄴ. 사회보장 기본계획에는 국내외 사회보장환경의 변화와 전망이 포함되어야 한다.
ㄷ. 사회보장 기본계획은 사회보장위원회와 국무회의의 심의를 거쳐 확정한다.
ㄹ. 보건복지부장관 및 관계 중앙행정기관의 장은 기본계획에 따라 사회보장과 관련된 소관 주요 시책의 시행계획을 2년마다 수립・시행하여야 한다.</t>
  </si>
  <si>
    <t>고용보험법령상 고용안정・직업능력개발 사업의 내용으로 옳지 않은 것은?</t>
  </si>
  <si>
    <t>고용보험법령상 급여에 관한 설명으로 옳은 것은?</t>
  </si>
  <si>
    <t>고용보험법령의 적용대상인 자를 모두 고른 것은?
ㄱ. 1개월간 소정근로시간이 60시간 미만이지만, 생업을 목적으로 근로를 제공하는 자로서 3개월 이상 계속하여 근로를 제공하는 자
ㄴ. 별정우체국법에 따른 별정우체국 직원
ㄷ. 일용근로자(1개월 미만 동안 고용되는 자)</t>
  </si>
  <si>
    <t>고용보험법상 피보험자격의 취득일 및 상실일에 관한 설명으로 옳은 것은?</t>
  </si>
  <si>
    <t>고용보험법상 고용보험심사위원회의 재심사 청구에서 재심사 청구인의 대리인이 될 수 없는 자는?</t>
  </si>
  <si>
    <t>고용보험법상 구직급여(상병급여)의 수급자격 제한 또는 지급 제한이 되지 않는 경우는?</t>
  </si>
  <si>
    <t>산업재해보상보험법상 심사 청구 및 재심사 청구에 관한 설명으로 옳은 것은?</t>
  </si>
  <si>
    <t>산업재해보상보험법령상 재요양의 요건 및 절차에 해당하지 않는 것은?</t>
  </si>
  <si>
    <t>산업재해보상보험법상 보험급여에 관한 설명으로 옳지 않은 것은?</t>
  </si>
  <si>
    <t>산업재해보상보험법상 내용으로 옳은 것은?</t>
  </si>
  <si>
    <t>산업재해보상보험법상 연금의 지급기간 및 지급시기에 관한 설명으로 옳은 것은?</t>
  </si>
  <si>
    <t>산업재해보상보험법상 보험급여의 일시 중지에 해당되는 사유를 모두 고른 것은?
ㄱ. 진찰 요구에 따르지 아니하는 경우
ㄴ. 요양 중인 근로자가 근로복지공단의 전원 요양 지시를 정당한 사유 없이 따르지 아니하는 경우
ㄷ. 근로복지공단이 직권으로 실시하는 장해등급 또는 진폐장해등급 재판정 요구에 응하지 아니하는 경우
ㄹ. 거짓이나 그 밖의 부정한 방법으로 진료비나 약제비를 지급받은 경우</t>
  </si>
  <si>
    <t>다음은 국민연금법상 유족연금의 수급권자에 관한 내용이다. ( )안에 들어갈 숫자의 합은?
○ 다음 각 호의 어느 하나에 해당하는 자가 사망하면 그 유족에게 유족연금을 지급한다. 
1. 노령연금 수급권자
2. 가입기간이 (ㄱ)년 이상인 가입자였던 자
3. 연금보험료를 낸 기간이 가입대상기간의 (ㄴ)분의 1 이상인 가입자 또는 가입자였던 자
4. 사망일 (ㄷ)년 전부터 사망일까지의 기간 중 연금보험료를 낸 기간이 3년 이상인 가입자 또는 가입자였던 자. 다만 가입대상기간 중 체납기간이 (ㄹ)년 이상인 사람은 제외한다.
5. 장애등급이 (ㅁ)급 이상인 장애연금 수급권자</t>
  </si>
  <si>
    <t>국민연금법상 장애등급 3급에 해당하는 자에 대하여 지급하는 장애연금액은?</t>
  </si>
  <si>
    <t>국민건강보험법상 건강보험심사평가원의 관장 업무가 아닌 것은?</t>
  </si>
  <si>
    <t>고용보험 및 산업재해보상보험의 보험료 징수 등에 관한 법률상 보험관계의 성립일 또는 소멸일에 해당하지 않는 것은?</t>
  </si>
  <si>
    <t>고용보험 및 산업재해보상보험의 보험료 징수 등에 관한 법률상 보험료율에 관한 설명으로 옳은 것은?</t>
  </si>
  <si>
    <t>고용보험 및 산업재해보상보험의 보험료 징수 등에 관한 법률상 납부의무가 확정된 보험료의 총액이 600만원인 경우, 당해 보험료를 납부기한 전에 징수할 수 있는 사유로 옳지 않은 것은?</t>
  </si>
  <si>
    <t>고용보험 및 산업재해보상보험의 보험료 징수 등에 관한 법률상 ( )안에 들어갈 숫자는?
○ 자영업자에게 적용하는 고용보험료율은 보험수지의 동향과 경제상황 등을고려하여 1000분의 ( )의 범위에서 고용안정・직업능력개발사업의 보험료율 및 실업급여의 보험료율로 구분하여 대통령령으로 정한다.</t>
  </si>
  <si>
    <t>고용보험 및 산업재해보상보험의 보험료 징수 등에 관한 법률상 보험료에 관한 설명으로 옳은 것은?</t>
  </si>
  <si>
    <t>사회보장기본법의 내용으로 옳지 않은 것은?</t>
  </si>
  <si>
    <t>사회보장기본법상 사회보장수급권에 관한 설명으로 옳지 않은 것은?</t>
  </si>
  <si>
    <t>사회보장기본법상 사회보장제도의 비용부담에 관한 설명으로 옳지 않은 것은?</t>
  </si>
  <si>
    <t>고용보험법상 근로자인 피보험자가 구직급여를 받기 위한 요건에 관한 설명
으로 옳지 않은 것은?</t>
  </si>
  <si>
    <t>고용보험법상 자영업자인 피보험자에게 지급될 수 있는 급여는 모두 몇 개인가?
ㄱ. 이주비
ㄴ. 훈련연장급여
ㄷ. 육아휴직 급여
ㄹ. 조기재취업 수당
ㅁ. 직업능력개발 수당</t>
  </si>
  <si>
    <t>장애인 근로자인 甲(40세)이 다니던 회사가 도산하여 이직하였다. 甲의 피보험기간이 5년이라면 구직급여의 소정급여일수는 몇 일인가?</t>
  </si>
  <si>
    <t>고용보험법상 심사의 청구에 관한 내용으로 옳지 않은 것은?</t>
  </si>
  <si>
    <t>甲(50세)은 구직급여를 받다가 소정급여일수 80일을 남겨 두고 재취업하였다. 甲의 소정급여일수는 150일이고, 이직 당시 평균임금은 10만원이었다. 甲이 수령할 수 있는 조기재취업수당은 얼마인가?</t>
  </si>
  <si>
    <t>고용보험법령의 적용대상인 자는?</t>
  </si>
  <si>
    <t>산업재해보상보험법령상 특수형태근로종사자의 직종에 해당하지 않는 것은?</t>
  </si>
  <si>
    <t>( )에 들어갈 내용을 순서대로 옳게 나열한 것은?
○ 산업재해보상보험법상 보험급여를 산정하는 경우 해당 근로자의 평균임금을 산정하여야 할 사유가 발생한 날부터 1년이 지난 이후에는 매년 ( )에 따라 평균임금을 증감하되, 그 근로자의 연령이 ( )에 도달한 이후에는 ( )에 따라 평균임금을 증감한다.</t>
  </si>
  <si>
    <t>산업재해보상보험법에 관한 설명으로 옳지 않은 것은?</t>
  </si>
  <si>
    <t>산업재해보상보험법령상 업무상질병판정위원회에 관한 설명으로 옳은 것은?</t>
  </si>
  <si>
    <t>산업재해보상보험법상 심사청구에 관한 설명이다. ( ) 안에 들어갈 내용으로 옳은 것은?
○ 보험급여에 관한 결정에 불복하는 자는 보험급여 결정이 있음을 안 날부터 (ㄱ) 이내에 근로복지공단에 심사청구를 하여야 하고, 심사청구서를 받은 근로복지공단의 소속기관은 (ㄴ) 이내에 의견서를 첨부하여 근로복지공단에 보내야 한다. 근로복지공단은 심사청구서를 받은 날부터 (ㄷ) 이내에 심사청구에 대한 결정을 하여야 한다.</t>
  </si>
  <si>
    <t>국민연금법상 급여의 종류가 아닌 것은?</t>
  </si>
  <si>
    <t>국민연금법상 부양가족연금액에 관한 내용이다. ( )안에 들어갈 내용으로 옳은 것은?
부양가족연금액은 수급권자를 기준으로 하는 다음 각 호의 자로서 수급권자에 의하여 생계를 유지하고 있는 자에 대하여 해당 호에 규정된 각각의 금액으로 한다.
1. 배우자: 연 (ㄱ)만원
2. (ㄴ)세 미만이거나 장애등급 2급 이상인 자녀: 연 (ㄷ)만원
3. (ㄹ)세 이상이거나 장애등급 2급 이상인 부모: 연 (ㄷ)만원</t>
  </si>
  <si>
    <t>국민건강보험법령상 직장가입자에 해당되는 자는?</t>
  </si>
  <si>
    <t>국민건강보험법상 이의신청 및 심판청구에 관한 내용으로 옳은 것은?</t>
  </si>
  <si>
    <t>고용보험 및 산업재해보상보험의 보험료징수 등에 관한 법률상 보험료의 부과・징수에 관한 설명으로 옳지 않은 것은?</t>
  </si>
  <si>
    <t>고용보험 및 산업재해보상보험의 보험료징수 등에 관한 법령상 보험료의 납부의무 및 결손처분에 관한 설명으로 옳지 않은 것은?</t>
  </si>
  <si>
    <t>고용보험 및 산업재해보상보험의 보험료징수 등에 관한 법령에 관한 설명으로 옳지 않은 것은?</t>
  </si>
  <si>
    <t>고용보험 및 산업재해보상보험의 보험료징수 등에 관한 법률상 보험료에 관한 설명으로 옳지 않은 것은?</t>
  </si>
  <si>
    <t>고용보험 및 산업재해보상보험의 보험료징수 등에 관한 법률상 5년 이하의 징역 또는 3천만원 이하의 벌금에 처하는 경우는?</t>
  </si>
  <si>
    <t>사회보장기본법상 생애주기에 걸쳐 보편적으로 충족되어야 하는 기본욕구와 특정한 사회위험에 의하여 발생하는 특수욕구를 동시에 고려하여 소득・서비스를 보장하는 맞춤형 사회보장제도는?</t>
  </si>
  <si>
    <t>사회보장기본법상 사회보장 기본계획에 관한 설명으로 옳은 것은?</t>
  </si>
  <si>
    <t>사회보장기본법상 사회보장정보의 관리에 관한 설명으로 옳지 않은 것은?</t>
  </si>
  <si>
    <t>고용보험법령상 고용안정・직업능력개발 사업이 적용되는 자는?</t>
  </si>
  <si>
    <t>甲(55세)은 경기도 분당에서 음식점을 개업하면서 고용보험에 가입하여 자영업자인 피보험자가 되었다. 그런데 경기 불황으로 적자가 지속되자 폐업을 하고 직업안정기관의 장으로부터 구직급여 수급자격을 인정받았다. 고용보험법상 피보험기간이 1년 2개월인 폐업한 자영업자 甲이 받을 수 있는 구직급여의 소정급여일수는?</t>
  </si>
  <si>
    <t>고용보험법상 고용보험기금에 관한 설명으로 옳은 것은?</t>
  </si>
  <si>
    <t>고용보험법상 심사 및 재심사청구에 관한 설명으로 옳지 않은 것은?</t>
  </si>
  <si>
    <t>고용보험법상 자영업자인 피보험자에 대한 실업급여 적용의 특례에 관한 설명으로 옳지 않은 것은?</t>
  </si>
  <si>
    <t>고용보험법령상 육아휴직 급여에 관한 설명으로 옳은 것은?</t>
  </si>
  <si>
    <t>산업재해보상보험법상 3년 이하의 징역 또는 3천만원 이하의 벌금에 처하는 경우에 해당하는 것은?</t>
  </si>
  <si>
    <t>산업재해보상보험법상 유족보상연금에 관한 설명이다. ( )안에 들어갈 내용으로 옳은 것은?
유족보상연금액은 다음의 기본금액과 가산금액을 합한 금액으로 한다.
1. 기본금액
급여기초연액(평균임금에 365를 곱하여 얻은 금액)의 100분의 (ㄱ)에 상당하는 금액
2. 가산금액
유족보상연금수급권자 및 근로자가 사망할 당시 그 근로자와 생계를 같이 하고 있던 유족보상연금수급자격자 1인당 급여기초연액의 100분의 (ㄴ)에 상당하는 금액의 합산액. 다만, 그 합산금액이 급여기초연액의 100분의 (ㄷ)을 넘을 때에는 급여기초연액의 100분의 (ㄹ)에 상당하는 금액으로 한다.</t>
  </si>
  <si>
    <t>산업재해보상보험법상 업무상의 부상 또는 질병에 따른 정신적 또는 육체적 훼손으로 노동능력이 상실되거나 감소된 상태로서 그 부상 또는 질병이 치유되지 아니한 상태를 뜻하는 용어는?</t>
  </si>
  <si>
    <t>국민연금법상 유족연금 수급권의 소멸 사유에 해당하지 않는 것은?</t>
  </si>
  <si>
    <t>국민연금법상 노령연금에 관한 설명이다. ( )안에 들어갈 내용으로 옳은 것은?
국민연금 가입기간이 (ㄱ)년 이상인 가입자 또는 가입자였던 자에 대하여는 (ㄴ)세(특수직종근로자는 (ㄷ)세)가 된 때부터 그가 생존하는 동안 노령연금을 지급한다.</t>
  </si>
  <si>
    <t>국민건강보험법상 보험가입자의 자격상실 시기에 해당하지 않는 것은?</t>
  </si>
  <si>
    <t>국민건강보험법상 보험급여가 정지되는 사유에 해당하는 것은?</t>
  </si>
  <si>
    <t>고용보험 및 산업재해보상보험의 보험료징수 등에 관한 법률에서 사용하는 용어의 뜻으로 옳지 않은 것은?</t>
  </si>
  <si>
    <t>고용보험 및 산업재해보상보험의 보험료징수 등에 관한 법령상 보험사무대행기관 인가의 취소에 대한 설명으로 옳지 않은 것은?</t>
  </si>
  <si>
    <t>고용보험 및 산업재해보상보험의 보험료징수 등에 관한 법령상 고용노동부장관은 천재지변 등의 특수한 사유가 있어 고용보험료를 경감할 필요가 있다고 인정하는 보험가입자에 대하여 고용보험위원회의 심의를 거쳐 보험료와 그 밖의 징수금을 경감할 수 있다. 이 경우 이 법 시행령이 정하는 경감비율은?</t>
  </si>
  <si>
    <t>고용보험 및 산업재해보상보험의 보험료징수 등에 관한 법률상 고액・상습 체납자의 인적사항 공개에 대한 내용이다. ( )안에 들어갈 내용으로 옳은 것은?
국민건강보험공단은 이 법에 따른 납부기한의 다음 날부터 (ㄱ)이 지난 보험료와 이 법에 따른 그 밖의 징수금과 체납처분비(결손처분한 보험료, 이 법에 따른 그 밖의 징수금과 체납처분비로서 징수권 소멸시효가 완성되지 아니한 것을 포함한다)의 총액이 (ㄴ) 이상인 체납자에 대하여는 그 인적사항 및 체납액 등을 공개할 수 있다.</t>
  </si>
  <si>
    <t>고용보험 및 산업재해보상보험의 보험료징수 등에 관한 법률상 보험관계의 변경 신고에 대한 내용이다. ( )안에 들어갈 내용으로 옳은 것은?
산업재해보상보험에 가입한 사업주는 그 이름, 사업의 소재지 등이 변경된 경우에는 그 날부터 (ㄱ)일 이내에 그 변경사항을 (ㄴ)에 신고하여야 한다.</t>
  </si>
  <si>
    <t>사회보장기본법령상 사회보장 장기발전방향의 수립에 관한 설명으로 옳지 않은 것은?</t>
  </si>
  <si>
    <t>사회보장기본법상 비용부담에 관한 설명으로 옳은 것은?</t>
  </si>
  <si>
    <t>사회보장기본법상 사회보장심의위원회의 심의사항으로 옳지 않은 것은?</t>
  </si>
  <si>
    <t>고용보험법령상 다음 피보험자(비장애인)가 지급받을 수 있는 조기재취업 수당은 얼마인가?
○ 재취직한 때(2012년 1월)의 연령 : 50세
○ 구직급여일액 : 4만원
○ 미지급 소정급여일수 : 120일</t>
  </si>
  <si>
    <t>고용보험법령상 고용촉진 지원금을 지급받을 수 없는 경우로 옳지 않은 것은?</t>
  </si>
  <si>
    <t>고용보험법령상 자영업자인 피보험자의 실업급여의 종류가 아닌 것은?</t>
  </si>
  <si>
    <t>고용보험법령상 피보험자격에 관한 설명으로 옳지 않은 것은?</t>
  </si>
  <si>
    <t>고용보험법령상 육아휴직 급여 신청기간의 연장 사유에 해당하지 않는 것은?</t>
  </si>
  <si>
    <t>다음은 고용보험법령에 관한 내용이다. ( )안에 들어갈 내용으로 옳은 것은?
사업주가 근로자대표의 동의를 받아 정년을 ( )세 이상으로 연장하면서 50세 이후부터 일정 나이, 근속시점 또는 임금액을 기준으로 임금을 줄이는 제도를 시행하는 경우 임금피크제 지원금을 지급한다.</t>
  </si>
  <si>
    <t>산업재해보상보험법령상 내용으로 옳은 것은?</t>
  </si>
  <si>
    <t>다음은 산업재해보상보험법에 관한 내용이다. ( )안에 들어갈 내용으로 옳은 것은?
○ 산업재해보상보험재심사위원회의 위원이 그 사건에 관하여 증언이나 감정을 한 경우에는 그 사건의 심리・재결에서 (ㄱ)된다.
○ 당사자는 산업재해보상보험재심사위원회의 위원에게 심리・재결의 공정을 기대하기 어려운 사정이 있는 경우에는 (ㄴ)신청을 할 수 있다.</t>
  </si>
  <si>
    <t>산업재해보상보험법상 진폐에 따른 보험급여의 종류가 아닌 것은?</t>
  </si>
  <si>
    <t>다음은 산업재해보상보험법에 관한 내용이다. ( )안에 들어갈 숫자의 합은?
○ 휴업급여는 업무상 사유로 부상을 당하거나 질병에 걸린 근로자에게 요양으로 취업하지 못한 기간에 대하여 지급하되, 1일당 지급액은 평균임금의 100분의 ( )에 상당하는 금액으로 한다.
○ 요양 또는 재요양을 받고 있는 근로자가 그 요양기간 중 일정기간 또는 단시간 취업을 하는 경우에는 그 취업한 날 또는 취업한 시간에 해당하는 그 근로자의 평균임금에서 그 취업한 날 또는 취업한 시간에 대한 임금을 뺀 금액의 100분의 ( )에 상당하는 금액을 지급할 수 있다.</t>
  </si>
  <si>
    <t>산업재해보상보험법령상 심사 청구 및 재심사 청구에 관한 설명으로 옳지 않은 것을 모두 고른 것은? (다툼이 있는 경우에는 판례에 의함)
ㄱ. 근로복지공단의 보험급여 결정에 대하여는 행정심판법에 따른 행정심판을 제기할 수 있다.
ㄴ. 보험급여 결정 등에 대한 심사 청구는 보험급여 결정이 있은 날부터 90일 이내에 하여야 한다.
ㄷ. 심사 청구 및 재심사 청구에 관하여 산업재해보상보험법에서 정하고 있지 아니한 사항에 대하여는 행정심판법에 따른다.
ㄹ. 근로복지공단의 보험급여 결정에 불복하는 자는 행정소송을 제기하기 전에 근로복지공단에 심사 청구를 하여야 한다.</t>
  </si>
  <si>
    <t>국민연금법령상 국민연금 가입기간에 관한 설명으로 옳지 않은 것은?</t>
  </si>
  <si>
    <t>국민연금법상 가입자가 사망할 당시 그에 의하여 생계를 유지하고 있던 자(인정기준 충족) 중 유족연금을 지급받을 수 있는 유족의 범위에 해당하지 않는 자는?</t>
  </si>
  <si>
    <t>다음은 국민건강보험법에 관한 내용이다. ( )안에 들어갈 내용으로 옳은 것은?
가입자 및 피부양자의 자격・보험료에 관한 국민건강보험공단의 처분에 이의가 있는 자는 (ㄱ)에, 요양급여비용 및 요양급여의 적정성에 대한 평가에 관한 건강보험심사평가원의 처분에 이의가 있는 자는 (ㄴ)에 이의신청을 할 수 있다. 다만 이의신청은 처분이 있은 날부터 (ㄷ)일을 경과하면 이를 제기하지 못하는 것이 원칙이다. 한편, 이의신청에 대한 결정에 불복이 있는 자는 (ㄹ)에 심판청구를 할 수 있다.</t>
  </si>
  <si>
    <t>국민건강보험법령상 요양급여비용계약에 관한 설명으로 옳지 않은 것은?</t>
  </si>
  <si>
    <t>고용보험 및 산업재해보상보험의 보험료징수 등에 관한 법률에 따라 고용노동부장관이 고시하여야 하는 사항에 해당하지 않는 것은?</t>
  </si>
  <si>
    <t>고용보험 및 산업재해보상보험의 보험료징수 등에 관한 법률 및 같은 법 시행령상 일할계산에 따른 월별보험료의 산정사유에 해당하는 것을 모두 고른 것은?
ㄱ. 근로자의 휴업기간이 월의 중간에 걸쳐 있는 경우
ㄴ. 근로자가 동일한 사업주의 하나의 사업장에서 다른 사업장으로 전근되는 경우
ㄷ. 근로자가 월의 중간에 새로이 고용되는 경우
ㄹ. 근로기준법에 따른 산전후 보호휴가 기간이 월의 중간에 걸쳐 있는 경우</t>
  </si>
  <si>
    <t>고용보험 및 산업재해보상보험의 보험료징수 등에 관한 법률상 소멸시효에 관한 설명으로 옳지 않은 것은?</t>
  </si>
  <si>
    <t>고용보험 및 산업재해보상보험의 보험료징수 등에 관한 법률상 보험료등 과납액의 충당순위를 바르게 나열한 것은?
ㄱ. 가산금
ㄴ. 연체금
ㄷ. 체납처분비
ㄹ. 산업재해보상보험 가입자로부터의 보험급여액의 징수금
ㅁ. 월별보험료, 개산보험료 및 확정보험료</t>
  </si>
  <si>
    <t>고용보험 및 산업재해보상보험의 보험료징수 등에 관한 법률상 보험가입 및 해지에 관한 설명으로 옳지 않은 것은?</t>
  </si>
  <si>
    <t>다음은 사회보장기본법상 용어에 대한 정의이다. ( )안에 들어갈 내용으로 옳은 것은?
( )(이)란 국가・지방자치단체 및 민간부문의 도움이 필요한 모든 국민에게 상담, 재활, 직업의 소개 및 지도, 사회복지시설의 이용 등을 제공하여 정상적인 사회생활이 가능하도록 지원하는 제도를 말한다.</t>
  </si>
  <si>
    <t>고용보험법령상 고용창출에 대한 지원을 받을 수 없는 경우는?</t>
  </si>
  <si>
    <t>30세인 甲은 A회사에 취업한 지 2년 6개월 만에 해고되어 90일간의 구직급여를 받은 후 B회사에 취업하여 1년 6개월간 근무하다가 자발적으로 이직하였다. 그 후 2년간 실업상태에서 구직급여를 받고 있지 않다가 C회사에 취업하여 3년 6개월 만에 해고당하였다. 이 경우 甲의 피보험기간은? (A, B, C회사는 모두 고용보험 적용사업장이며, 甲은 적용제외 근로자로 고용된 기간은 없음)</t>
  </si>
  <si>
    <t>고용보험법상 구직급여의 수급요건으로 옳지 않은 것은?</t>
  </si>
  <si>
    <t>고용보험법상 구직급여의 수급자격 제한 또는 지급 제한 사유에 해당하지 않는 것은?</t>
  </si>
  <si>
    <t>甲은 2000년 3월 1일에 고용보험 적용사업장인 A회사에 입사하였다. A회사는 2000년 4월 1일에 甲의 피보험자격의 취득을 고용노동부장관에게 신고하였다. 甲은 2011년 5월 1일에 이직하였고, A회사는 2011년 5월 15일에 甲의 피보험자격의 상실을 고용노동부장관에게 신고하였다. 이 경우 甲의 피보험자격의 취득일과 상실일이 순서대로 된 것은?</t>
  </si>
  <si>
    <t>다음 ( )안에 들어갈 내용으로 옳은 것은?
고용보험법령상 육아휴직 급여는 육아휴직 개시일을 기준으로 근로기준법에 따라 산정한 월 통상임금의 (ㄱ)에 해당하는 금액으로 한다. 이 때, 육아휴직 급여의 상한액은 월 (ㄴ)만원이고, 하한액은 월 (ㄷ)만원이다.</t>
  </si>
  <si>
    <t>甲(28세)은 장애인고용촉진 및 직업재활법상 장애인으로 4년간 근무하던 A회사를 퇴사하여 직업안정기관으로부터 구직급여 수급자격을 인정받았다. 甲이 받을 수 있는 구직급여의 소정 급여일수는?</t>
  </si>
  <si>
    <t>산업재해보상보험법상 제3자에 대한 구상권에 관한 설명으로 옳지 않은 것은? (다툼이 있는 경우에는 판례에 의함)</t>
  </si>
  <si>
    <t>산업재해보상보험법상 장해보상연금이나 유족보상연금의 지급기간과 지급시기에 관한 설명으로 옳지 않은 것은?</t>
  </si>
  <si>
    <t>산업재해보상보험법상 업무상 재해의 인정기준에 관한 설명으로 옳은 것은? (다툼이 있는 경우에는 판례에 의함)</t>
  </si>
  <si>
    <t>산업재해보상보험법상 유족보상연금의 수급자격 상실사유가 아닌 것은?</t>
  </si>
  <si>
    <t>산업재해보상보험법상 근로자로 간주되는 자가 아닌 것은?</t>
  </si>
  <si>
    <t>산업재해보상보험법상 유족특별급여에 관한 설명으로 옳지 않은 것은?</t>
  </si>
  <si>
    <t>다음은 국민연금법상 조기노령연금에 관한 설명이다. ( )안에 들어갈 숫자의 합은?
가입기간이 ( )년 이상인 가입자 또는 가입자였던 자로서 ( )세 이상인자가 소득이 있는 업무에 종사하지 아니하는 경우 본인이 희망하면 ( )세가 되기 전이라도 그가 생존하는 동안 일정한 금액의 연금을 받을 수 있다.</t>
  </si>
  <si>
    <t>국민연금 가입자에 관한 설명으로 옳지 않은 것은?</t>
  </si>
  <si>
    <t>국민건강보험법상 보험급여에 관한 설명으로 옳지 않은 것은?</t>
  </si>
  <si>
    <t>국민건강보험법령상 가입자에 관한 설명으로 옳지 않은 것은?</t>
  </si>
  <si>
    <t>고용보험 및 산업재해보상보험의 보험료징수 등에 관한 법률상 징수금의 결손처분 사유에 해당하지 않는 것은?</t>
  </si>
  <si>
    <t>고용보험 및 산업재해보상보험의 보험료징수 등에 관한 법률상 납부 기한 전 징수 사유에 해당하지 않는 것은? (보험료와 이 법에 따른 그 밖의 징수금의 총액이 500만원 이상인 경우에 한함)</t>
  </si>
  <si>
    <t>고용보험 및 산업재해보상보험의 보험료징수 등에 관한 법률상 국민건강보험공단이 사업주에게 납부기한 10일 전까지 월별보험료의 납입을 문서로써 고지할 때 기재할 사항이 아닌 것은?</t>
  </si>
  <si>
    <t>고용보험 및 산업재해보상보험의 보험료징수 등에 관한 법률상 보험관계의 소멸일에 해당하는 것은?</t>
  </si>
  <si>
    <t>다음 ( )안에 들어갈 내용으로 옳은 것은?
고용보험료율은 보험수지의 동향과 경제상황 등을 고려하여 (ㄱ)의 범위에서 고용안정・직업능력개발사업의 보험료율 및 실업급여의 보험료율로 구분하여 정한다. 현재 실업급여의 보험료율은 (ㄴ)이다.</t>
  </si>
  <si>
    <t>사회보장기본법상 사회보장심의위원회에 관한 내용으로 옳지 않은 것은?</t>
  </si>
  <si>
    <t>사회보장기본법상 사회보장제도에 관한 설명으로 옳지 않은 것은?</t>
  </si>
  <si>
    <t>사회보장기본법의 내용으로 옳은 것은?</t>
  </si>
  <si>
    <t>사회보장기본법상 사회보장수급권에 관한 설명으로 옳은 것은?</t>
  </si>
  <si>
    <t>고용보험법의 적용 사업 또는 적용 근로자에 해당하는 것은?</t>
  </si>
  <si>
    <t>고용보험법상 연장급여에 관한 설명으로 옳지 않은 것은?</t>
  </si>
  <si>
    <t>고용보험법상 구직급여를 받기 위한 적극적인 재취업 활동을 한 것으로 볼 수 없는 것은?</t>
  </si>
  <si>
    <t>고용보험법상 자발적 이직시 구직급여 수급자격이 제한되는 것은?</t>
  </si>
  <si>
    <t>산업재해보상보험법상 업무상 재해에 해당하지 않는 것은? (다툼이 있는 경우에는 판례에 의함)</t>
  </si>
  <si>
    <t>산업재해보상보험법상 보험급여의 종류가 아닌 것은?</t>
  </si>
  <si>
    <t>산업재해보상보험법상 사망의 추정에 관한 설명으로 옳은 것은?</t>
  </si>
  <si>
    <t>산업재해보상보험법상 유족보상연금 수급권자(장애인이 아님)에 해당되는 자는?</t>
  </si>
  <si>
    <t>산업재해보상보험법에 관한 설명으로 옳지 않은 것을 모두 고른 것은?
ㄱ. 업무상 재해를 당한 근로자가 보험급여를 지급받으려면 노동부에 설립되어 있는 산업재해보상보험심사위원회에 신청하여야 한다.
ㄴ. 유족이란 사망한 자의 배우자(사실상 혼인 관계에 있는 자를 제외한다)・자녀・부모・손자녀・조부모 또는 형제자매를 말한다.
ㄷ. "근로자", "임금", "평균임금", "통상임금"이란 각각 근로기준법에 따른 "근로자", "임금", "평균임금", "통상임금"을 말한다.
ㄹ. 휴업급여는 통상임금의 100분의 70에 상당하는 금액으로 한다.
ㅁ. 업무상 재해는 업무상의 사유에 따른 근로자의 부상・질병・장해 또는 사망을 말한다.</t>
  </si>
  <si>
    <t>산업재해보상보험법상 제3자에 대한 구상권에 관한 설명으로 옳은 것은? (다툼이 있는 경우에는 판례에 의함)</t>
  </si>
  <si>
    <t>산업재해보상보험법상 심사 청구 및 재심사 청구의 내용으로 옳지 않은 것은?</t>
  </si>
  <si>
    <t>다음 중 국민연금법상 지역가입자는?
ㄱ. 사업장가입자가 아닌 자로서 18세 이상 60세 미만인 자
ㄴ. 18세 이상 27세 미만의 학생으로서 소득이 없지만 연금 보험료를 납부한 사실이 있는 자
ㄷ. 사업장가입자의 배우자로서 별도의 소득이 없는 자
ㄹ. 국민기초생활 보장법에 따른 수급자</t>
  </si>
  <si>
    <t>국민건강보험법상 보험급여가 아닌 것은?</t>
  </si>
  <si>
    <t>국민연금법상 노령연금과 분할연금의 관계에 관한 설명으로 옳지 않은 것은?</t>
  </si>
  <si>
    <t>국민건강보험법에 관한 설명으로 옳지 않은 것은?</t>
  </si>
  <si>
    <t>국민건강보험법상 보험료와 보험급여에 관한 설명으로 옳지 않은 것은?</t>
  </si>
  <si>
    <t>고용보험 및 산업재해보상보험의 보험료징수에 관한 설명으로 옳은 것은?</t>
  </si>
  <si>
    <t>고용보험 및 산업재해보상보험의 보험관계 성립 및 소멸에 관한 설명으로 옳지 않은 것은?</t>
  </si>
  <si>
    <t>다음 ( )안에 들어갈 내용으로 옳은 것은?
고용보험 및 산업재해보상보험의 보험료징수 등에 관한 법률상 일괄적용을 받는 사업의 경우에는 처음 행하는 사업의 시작일로부터 (A) 이내에, 일괄적용을 받고 있는 사업이 사업의 폐지・종료 등으로 일괄적용관계가 소멸한 경우에는 소멸한 날부터 (B) 이내에 공단에 일괄적용관계의 성립 또는 소멸신고를 하여야 한다.</t>
  </si>
  <si>
    <t>고용보험 및 산업재해보상보험의 보험료에 관한 설명으로 옳지 않은 것은?</t>
  </si>
  <si>
    <t>보건복지부장관은 사회보장 행정데이터 분석센터의 설치・운영에 관한 사무를 수행하기 위하여 불가피한 경우「개인정보 보호법」시행령 제18조제2호에 따른 범죄경력자료에 해당하는 정보를 처리할 수 있다.</t>
  </si>
  <si>
    <t>국가는 사회보장제도의 안정적인 운영을 위하여 중장기 사회보장 재정추계를 격년으로 실시하고 이를 공표하여야 한다.</t>
  </si>
  <si>
    <t>120일</t>
  </si>
  <si>
    <t>ㄱ: 100분의 70, ㄴ: 160</t>
  </si>
  <si>
    <t>「국가공무원법」에 따른 임기제 공무원(이하 "임기제 공무원"이라 한다)의 경우는 본인의 의사에 따라 고용보험(실업급여에 한정)에 가입할 수 있다.</t>
  </si>
  <si>
    <t>실업급여수급계좌의 해당 금융기관은 「고용보험법」에 따른 실업급여만이 실업급여수급계좌에 입금되도록 관리하여야 한다.</t>
  </si>
  <si>
    <t>훈련연장급여의 지급 기간은 1년을 한도로 한다.</t>
  </si>
  <si>
    <t>&lt;중략&gt;</t>
  </si>
  <si>
    <t>ㄱ: 1일, ㄴ: 60일</t>
  </si>
  <si>
    <t>위원회의 위원장은 고용노동부차관이 되며, 그 위원장은 위원을 임명하거나 위촉한다.</t>
  </si>
  <si>
    <t>위원회는 근로자를 대표하는 사람, 사용자를 대표하는 사람 및 공익을 대표하는 사람으로 구성하되, 그 수는 각각 같은 수로 한다.</t>
  </si>
  <si>
    <t>유족보상연금 수급자격자인 유족이 사망한 근로자와의 친족 관계가 끝난 경우 그 자격을 잃는다.</t>
  </si>
  <si>
    <t>"플랫폼 종사자"란 온라인 플랫폼을 통해 노무를 제공하는 노무제공자를 말한다.</t>
  </si>
  <si>
    <t>장례비 최고금액 및 최저금액의 적용기간은 당해 연도 1월 1일부터 12월 31일까지로 한다.</t>
  </si>
  <si>
    <t>「고등교육법」제2조에 따른 학교에서 조교수 이상으로 재직하고 있는 사람은 위원이 될 수 없다.</t>
  </si>
  <si>
    <t>"유족"이란 사망한 사람의 배우자(사실상 혼인 관계에 있는 사람을 포함한다)・자녀・부모・손자녀・조부모 또는 형제자매를 말한다.</t>
  </si>
  <si>
    <t>중증요양상태등급이 제3급인 경우 평균임금의 257일분을 지급한다.</t>
  </si>
  <si>
    <t>급여수급전용계좌에 입금된 급여와 이에 관한 채권은 압류할 수 없다.</t>
  </si>
  <si>
    <t>가입자의 자격, 기준소득월액, 연금보험료, 그 밖의 이 법에 따른 징수금과 급여에 관한 국민연금공단 또는 국민건강보험공단의 처분에 이의가 있는 자는 그 처분을 한 국민연금공단 또는 국민건강보험공단에 심사청구를 할 수 있다.</t>
  </si>
  <si>
    <t>국민건강보험공단은 법 제95조제1항에 따라 사업장가입자의 연금보험료와 그에 따른 징수금의 납부를 독촉할 때에는 납부기한이 지난 후 (ㄱ) 이내에 해당 사업장가입자의 사용자에게 독촉장을 발부하여야 한다.</t>
  </si>
  <si>
    <t>국민연금기금은 연금보험료, 국민연금기금 운용 수익금, 적립금, 국민연금공단의 수입지출 결산상의 잉여금을 재원으로 조성한다.</t>
  </si>
  <si>
    <t>공단은 법인으로 한다.</t>
  </si>
  <si>
    <t>보험급여 비용에 관한 국민건강보험공단의 처분에 이의가 있는 자는 국민건강보험공단에 이의신청을 할 수 있다.</t>
  </si>
  <si>
    <t>보수의 전부 또는 일부가 현물(現物)로 지급되는 경우에는 그 지역의 시가(時價)를 기준으로 국민건강보험공단이 정하는 가액(價額)을 그에 해당하는 보수로 본다.</t>
  </si>
  <si>
    <t>자영업자에 대한 고용보험료 산정의 기초가 되는 보수액은 자영업자의 소득, 보수수준 등을 고려하여 기획재정부장관이 정하여 고시한다.</t>
  </si>
  <si>
    <t>법인이 합병한 경우</t>
  </si>
  <si>
    <t>근로복지공단은 보험료율 인하로 보험료를 감액 조정한 경우에는 보험료율의 인하를 결정한 날부터 20일 이내에 그 감액 조정 사실을 사업주에게 알려야 한다.</t>
  </si>
  <si>
    <t>3개월</t>
  </si>
  <si>
    <t>ㄱ - a, ㄴ - c</t>
  </si>
  <si>
    <t>국가와 지방자치단체는 모든 국민의 인간다운 생활과 자립, 사회참여, 자아실현 등을 지원하여 삶의 질이 향상될 수 있도록 사회서비스에 관한 시책을 마련하여야 한다.</t>
  </si>
  <si>
    <t>사회보장수급권은 정당한 권한이 있는 기관에 서면이나 구두로 포기할 수 있다.</t>
  </si>
  <si>
    <t>마지막 이직 당시 일용근로자로서 피보험 단위기간이 1개월 미만인 사람이 수급자격을 갖추지 못한 경우에는 일용근로자가 아닌 근로자로서 마지막으로 이직한 사업을 기준으로 수급자격의 인정 여부를 결정한다.</t>
  </si>
  <si>
    <t>ㄱ: 1, ㄴ: 3분의 2 이상 10분의 7 이하</t>
  </si>
  <si>
    <t>5일</t>
  </si>
  <si>
    <t>위촉위원 중 정부를 대표하는 사람의 임기는 2년으로 한다.</t>
  </si>
  <si>
    <t>실업급여에 관한 처분에 이의가 있는 자는 심사관에게 심사를 청구할 수 있다.</t>
  </si>
  <si>
    <t>법령을 위반하여 영업 정지를 받아 폐업한 경우라도 직업안정기관의 장이 인정하는 경우에는 수급자격이 있는 것으로 본다.</t>
  </si>
  <si>
    <t>직무의 분할 등을 통하여 실업자를 근로계약기간을 정하지 않고 시간제로 근무하는 형태로 하여 새로 고용하는 경우</t>
  </si>
  <si>
    <t>재심사위원회의 재결은 근로복지공단을 기속(羈束)한다.</t>
  </si>
  <si>
    <t>근로자가 근로계약에 따른 업무수행 행위를 하던 중 발생한 사고</t>
  </si>
  <si>
    <t>진폐</t>
  </si>
  <si>
    <t>직장가입자의 형제의 배우자</t>
  </si>
  <si>
    <t>요양급여비용 및 요양급여의 적정성 평가 등에 관한 건강보험심사평가원의 처분에 이의가 있는 국민건강보험공단, 요양기관 또는 그 밖의 자는 건강보험정책심의위원회에 이의신청을 할 수 있다.</t>
  </si>
  <si>
    <t>가입자의 자격을 취득한 날이 속하는 달의 다음 달부터 가입자의 자격을 잃은 날이 속하는 달까지 징수한다.</t>
  </si>
  <si>
    <t>사무직에 종사하지 않는 직장가입자에 대해서는 1년에 1회 실시한다.</t>
  </si>
  <si>
    <t>국민건강보험공단은 체납된 보험료, 이 법에 따른 그 밖의 징수금과 체납처분비와 관련하여 행정심판이 계류 중인 경우에는 공개하여서는 아니 된다.</t>
  </si>
  <si>
    <t>1천분의 8</t>
  </si>
  <si>
    <t>A</t>
  </si>
  <si>
    <t>모든 국민은 자신의 능력을 최대한 발휘하여 자립・자활(自活)할 수 있도록 노력하여야 한다.</t>
  </si>
  <si>
    <t>국가와 지방자치단체가 사회보장제도를 운영할 때에는 이 제도를 필요로 하는 모든 국민에게 적용하여야 한다.</t>
  </si>
  <si>
    <t>ㄱ: 1월 31일, ㄴ: 3월 31일</t>
  </si>
  <si>
    <t>국가는 관계 법령에서 정하는 바에 따라 최저보장수준과 최저임금을 매년 공표하여야 한다.</t>
  </si>
  <si>
    <t>고용보험 및 산업재해보상보험의 보험료징수 등에 관한 법률(이하 "고용산재보험료징수법"이라 한다)에 따른 보험관계 성립일 전에 고용된 근로자의 경우에는 그 보험관계가 성립한 날의 다음 날에 피보험자격을 취득한 것으로 본다.</t>
  </si>
  <si>
    <t>피보험기간 6개월 - 소정급여일수 120일</t>
  </si>
  <si>
    <t>한국표준직업분류표의 세세분류에 따른 대여 제품 방문점검원</t>
  </si>
  <si>
    <t>고용노동부장관은 한국은행에 고용보험기금계정을 설치하여야 한다.</t>
  </si>
  <si>
    <t>재심사의 청구는 심사청구에 대한 결정이 있음을 안 날부터 90일 이내에 제기하여야 한다.</t>
  </si>
  <si>
    <t>요양급여의 범위나 비용 등 요양급여의 산정 기준에 관한 사항</t>
  </si>
  <si>
    <t>「군인 재해보상법」에 따라 재해보상이 되는 사업</t>
  </si>
  <si>
    <t>근로자가 근로계약에 따른 업무나 그에 따르는 행위를 하던 중 발생한 사고</t>
  </si>
  <si>
    <t>ㄱ: 70, ㄴ: 70</t>
  </si>
  <si>
    <t>급여는 노령연금과 장애연금 두 종류로 나뉜다.</t>
  </si>
  <si>
    <t>가입자는 사업장가입자, 지역가입자, 임의가입자 및 임의계속가입자로 구분한다.</t>
  </si>
  <si>
    <t>직장가입자의 보수월액은 직장가입자가 지급받는 보수를 기준으로 하여 산정한다.</t>
  </si>
  <si>
    <t>ㄱ: 근로복지공단, ㄴ: 국민건강보험공단, ㄷ: 근로복지공단</t>
  </si>
  <si>
    <t>산업재해보상보험법을 적용하지 아니하는 사업의 사업주는 근로복지공단의 승인을 받아 산업재해보상보험에 가입할 수 있다.</t>
  </si>
  <si>
    <t>1만분의 15</t>
  </si>
  <si>
    <t>근로시간에 따라 보수를 지급받는 근로자가 주당 소정근로시간을 확정할 수 없는 경우에는 시간단위 기준보수를 적용한다.</t>
  </si>
  <si>
    <t>국가와 지방자치단체는 국가 발전수준에 부응하고 사회환경의 변화에 선제적으로 대응하며 지속가능한 사회보장제도를 확립하고 매년 이에 필요한 재원을 조달하여야 한다.</t>
  </si>
  <si>
    <t>사회보장위원회의 부위원장은 기획재정부장관, 교육부장관 및 보건복지부장관이 된다.</t>
  </si>
  <si>
    <t>사회보장수급권이 정지되는 경우에는 정지하는 목적에 필요한 최소한의 범위에 그쳐야 한다.</t>
  </si>
  <si>
    <t>ㄱ: 30, ㄴ: 30, ㄷ: 30</t>
  </si>
  <si>
    <t>이직일 이전 24개월 동안의 피보험 단위기간이 통산하여 9개월 이상일 것을 지급요건으로 한다.</t>
  </si>
  <si>
    <t>ㄱ: 월 통상임금의 100분의 50에 해당하는 금액, ㄴ: 120만원</t>
  </si>
  <si>
    <t>사업주는 그 사업에 고용된 근로자의 피보험자격 취득에 관한 사항을 신고하려는 경우 그 사유가 발생한 날이 속하는 달의 다음 달 말일까지 고용노동부장관에게 신고해야 한다.</t>
  </si>
  <si>
    <t>자영업자인 피보험자의 실업급여의 종류에는 광역 구직활동비가 포함되지 않는다.</t>
  </si>
  <si>
    <t>한국표준직업분류표의 세분류에 따른 택배원인 사람으로서 소화물을 집화・수송 과정을 거쳐 배송하는 택배사업에서 집화 업무를 하는 사람</t>
  </si>
  <si>
    <t>한의사는 업무상질병판정위원회의 위원이 될 수 있다.</t>
  </si>
  <si>
    <t>장해보상연금의 수급권자가 재요양을 받는 경우에도 그 연금의 지급을 정지하지 아니한다.</t>
  </si>
  <si>
    <t>근로복지공단의 임직원이나 그 직에 있었던 사람이 그 직무상 알게 된 비밀을 누설한 자</t>
  </si>
  <si>
    <t>요양 중인 근로자가 회복실에서 요양 중인 경우 그 기간에는 별도의 간병을 제공하지 않는다.</t>
  </si>
  <si>
    <t>국민기초생활 보장법에 따른 생계급여 수급자는 지역가입자에서 제외된다.</t>
  </si>
  <si>
    <t>직장가입자</t>
  </si>
  <si>
    <t>건설업 중 건설장비운영업은 보험료의 월별 부과・징수 제외대상 사업에 해당한다.</t>
  </si>
  <si>
    <t>법인이 합병한 경우에 합병 후 존속하는 법인은 합병으로 소멸된 법인이 내야 하는 보험료를 낼 의무를 진다.</t>
  </si>
  <si>
    <t>사업이 폐업되거나 끝난 날의 다음 날에 소멸한다.</t>
  </si>
  <si>
    <t>1만분의 25</t>
  </si>
  <si>
    <t>월별보험료의 고지로 중단된 소멸시효는 월별보험료를 고지한 날부터 새로 진행한다.</t>
  </si>
  <si>
    <t>사회보장수급권은 다른 사람에게 양도하거나 담보로 제공할 수 있으며, 이를 압류할 수 있다.</t>
  </si>
  <si>
    <t>사회보장 기본계획은 사회보장위원회와 국무회의의 심의를 거쳐 확정된다.</t>
  </si>
  <si>
    <t>국무총리 소속으로 둔다.</t>
  </si>
  <si>
    <t>피보험 단위기간을 계산할 때, 최후로 피보험자격을 취득한 날 이전에 구직급여를 받은 사실이 있는 경우에는 그 구직급여와 관련된 피보험자격 상실일 이전의 피보험 단위기간은 산입한다.</t>
  </si>
  <si>
    <t>천재지변</t>
  </si>
  <si>
    <t>이주비</t>
  </si>
  <si>
    <t>근로복지공단에 고용보험위원회를 둔다.</t>
  </si>
  <si>
    <t>ㄱ: 1, ㄴ: 60</t>
  </si>
  <si>
    <t>재심사위원회의 재결은 근로복지공단을 기속하지 아니한다.</t>
  </si>
  <si>
    <t>고용노동부에 진폐심사회의를 둔다.</t>
  </si>
  <si>
    <t>1일당 지급액은 평균임금의 100분의 70에 상당하는 금액으로 하며 취업하지 못한 기간이 5일 이내이면 지급하지 아니한다.</t>
  </si>
  <si>
    <t>직업훈련비용은 직업훈련을 받은 자에게 지급한다.</t>
  </si>
  <si>
    <t>질문이나 조사에 응하지 아니하는 경우</t>
  </si>
  <si>
    <t>사업장가입자의 경우 사용관계가 끝난 날</t>
  </si>
  <si>
    <t>급여의 종류는 노령연금, 장애연금, 유족연금, 반환일시금이 있다.</t>
  </si>
  <si>
    <t>입원</t>
  </si>
  <si>
    <t>ㄱ: 7, ㄴ: 1</t>
  </si>
  <si>
    <t>ㄱ: 2, ㄴ: 20</t>
  </si>
  <si>
    <t>ㄱ: 1, ㄴ: 1천분의 1, ㄷ : 1천분의 30</t>
  </si>
  <si>
    <t>보수총액신고는 문서로 함을 원칙으로 한다.</t>
  </si>
  <si>
    <t>사회보험은 국가와 지방자치단체의 책임으로 시행하고, 공공부조와 사회서비스는 국가의 책임으로 시행하는 것을 원칙으로 한다.</t>
  </si>
  <si>
    <t>사회보장 비용의 부담은 각각의 사회보장제도의 목적에 따라 국가, 지방자치단체 및 민간부문 간에 합리적으로 조정되어야 한다.</t>
  </si>
  <si>
    <t>사립학교교직원 연금법의 적용을 받는 자에게는 고용보험법을 적용하지 아니한다.</t>
  </si>
  <si>
    <t>사회보장수급권은 관계 법령에서 정하는 바에 따라 다른 사람에게 양도하거나 담보로 제공할 수 없다.</t>
  </si>
  <si>
    <t>국민기초생활 보장법에 따라 자활을 위한 근로기회를 제공하기 위한 사업은 고용보험법의 적용을 받는 사업으로 본다.</t>
  </si>
  <si>
    <t>법령을 위반하여 허가 취소를 받음에 따라 폐업한 경우가 아니어야 한다.</t>
  </si>
  <si>
    <t>실업급여에 관한 처분에 이의가 있는 자는 고용보험심사관에게 심사를 청구할 수 있다.</t>
  </si>
  <si>
    <t>ㄱ, ㄴ, ㅁ</t>
  </si>
  <si>
    <t>월보수총액</t>
  </si>
  <si>
    <t>요양급여를 받을 권리</t>
  </si>
  <si>
    <t>한국표준직업분류표의 세세분류에 따른 학습지 교사</t>
  </si>
  <si>
    <t>약제비에 관한 결정</t>
  </si>
  <si>
    <t>부상 또는 질병이 7일 이내의 요양으로 치유될 수 있으면 요양급여를 지급하지 아니한다.</t>
  </si>
  <si>
    <t>ㄱ: 50, ㄴ: 6, ㄷ: 12</t>
  </si>
  <si>
    <t>사실상의 혼인관계에 있는 배우자는 유족연금을 지급받을 수 있는 유족에 해당하지 않는다.</t>
  </si>
  <si>
    <t>국민건강보험공단은 보험급여를 받을 수 있는 사람이 중대한 과실로 인한 범죄행위에 그 원인이 있는 경우 보험급여를 하지 아니한다.</t>
  </si>
  <si>
    <t>지역가입자의 월별 보험료액은 세대 단위로 산정한다.</t>
  </si>
  <si>
    <t>직장가입자로서 65세 이상인 사람</t>
  </si>
  <si>
    <t>사업의 도산으로 보수 관련 자료가 없는 경우에는 고용노동부장관이 정하여 고시하는 금액을 보수로 할 수 있다.</t>
  </si>
  <si>
    <t>확정보험료의 부과</t>
  </si>
  <si>
    <t>근로복지공단은 사업 실체가 없는 등의 사유로 계속하여 보험관계를 유지할 수 없다고 인정하는 경우에는 그 보험관계를 소멸시킬 수 있다.</t>
  </si>
  <si>
    <t>ㄱ: 100분의 20, ㄴ: 1천분의 13</t>
  </si>
  <si>
    <t>보험료율이 인상된 경우 근로복지공단은 월별보험료를 증액 조정한다.</t>
  </si>
  <si>
    <t>국가는 중장기 사회보장 재정추계를 매년 실시하고 공표하여야 한다.</t>
  </si>
  <si>
    <t>사회보장기본법은 사회보장에 관한 국민의 권리와 국가 및 지방자치단체의 책임을 정하고 있다.</t>
  </si>
  <si>
    <t>보건복지부장관은 사회보장정보시스템의 구축・운영을 총괄한다.</t>
  </si>
  <si>
    <t>90일</t>
  </si>
  <si>
    <t>피보험자 : 근로기준법상 근로자와 사업주를 말한다.</t>
  </si>
  <si>
    <t>15, 1</t>
  </si>
  <si>
    <t>피보험자가 이직을 한 경우에는 이직한 날에 그 피보험자격을 상실한다.</t>
  </si>
  <si>
    <t>구직급여는 수급자격자가 실업한 상태에 있는 날 중에서 직업안정기관의 장으로부터 실업의 인정을 받은 날에 대하여 지급한다.</t>
  </si>
  <si>
    <t>고용노동부장관은 산업구조의 변화에 따른 사업의 전환으로 고용조정이 불가피하게 된 사업주가 근로자에 대한 휴직, 인력의 재배치 등을 실시하면 그 사업주에게 필요한 지원을 할 수 있다.</t>
  </si>
  <si>
    <t>자영업자인 피보험자의 실업급여의 종류에는 조기재취업 수당이 포함된다.</t>
  </si>
  <si>
    <t>장해급여 청구사유 발생 당시 대한민국 국민이 아닌 자로서 외국에서 거주하고 있는 근로자에게는 장해보상일시금을 지급한다.</t>
  </si>
  <si>
    <t>근로자를 진료한 산재보험 의료기관은 요양급여의 신청을 대행할 수 없다.</t>
  </si>
  <si>
    <t>여신전문금융업법에 따른 신용카드회원 모집인</t>
  </si>
  <si>
    <t>거짓으로 보험급여를 받은 경우</t>
  </si>
  <si>
    <t>1, 55</t>
  </si>
  <si>
    <t>공단은 보험급여를 제한하는 경우에는 지체없이 구두로 그 내용과 사유를 가입자에게 알려야 한다.</t>
  </si>
  <si>
    <t>보험료는 가입자의 자격을 매월 1일에 취득하는 경우에는 다음 달부터 가입자의 자격을 잃은 날의 전날이 속하는 달까지 징수한다.</t>
  </si>
  <si>
    <t>고용보험료의 월별 부과</t>
  </si>
  <si>
    <t>사업주는 납부기한이 지난 고용보험료의 분할 납부의 승인을 근로복지공단에 신청할 수 있다.</t>
  </si>
  <si>
    <t>상속이 개시된 경우 피상속인에 대한 처분의 효력은 상속인에게 미치지 않는다.</t>
  </si>
  <si>
    <t>6개월, 1000분의 15</t>
  </si>
  <si>
    <t>사회보장위원회는 사회보장급여 관련 업무에 공통적으로 적용되는 기준을 마련하여야 한다.</t>
  </si>
  <si>
    <t>3년, 매년</t>
  </si>
  <si>
    <t>20만원</t>
  </si>
  <si>
    <t>교대근로 개편을 통하여 실업자를 고용함으로써 근로자 수가 증가한 경우</t>
  </si>
  <si>
    <t>피보험기간 4년, 이직일 현재 25세인 비장애인: 90일</t>
  </si>
  <si>
    <t>고용노동부장관은 매년 고용보험기금운용 계획을 세워 고용보험위원회 및 국무회의의 심의를 거쳐 대통령의 승인을 받아야 한다.</t>
  </si>
  <si>
    <t>심사 청구는 그 보험급여 결정등을 한 근로복지공단의 소속 기관을 거쳐 근로복지공단에 제기하여야 한다.</t>
  </si>
  <si>
    <t>70, 80</t>
  </si>
  <si>
    <t>한국표준직업분류표의 세분류에 따른 택배원인 사람으로서 택배사업에서 배송업무를 하는 사람</t>
  </si>
  <si>
    <t>보험급여는 지급 결정일부터 30일 이내에 지급하여야 한다.</t>
  </si>
  <si>
    <t>위원의 임기는 3년으로 하며, 연임할 수 없다.</t>
  </si>
  <si>
    <t>"장해"란 부상 또는 질병이 완치되거나 치료의 효과를 더 이상 기대할 수 없고 그 증상이 고정된 상태에 이르게 된 것을 말한다.</t>
  </si>
  <si>
    <t>10, 60, 55</t>
  </si>
  <si>
    <t>연금보험료를 징수할 권리는 3년간 행사하지 아니하면 소멸시효가 완성된다.</t>
  </si>
  <si>
    <t>지역가입자가 적용대상사업장의 사용자로 된 날</t>
  </si>
  <si>
    <t>직장가입자의 보수월액보험료는 사용자가 납부한다.</t>
  </si>
  <si>
    <t>보험료를 반환받을 수 있는 권리는 1년간 행사하지 아니하면 시효로 인하여 소멸한다.</t>
  </si>
  <si>
    <t>사업의 도산으로 보수를 확인하기 곤란한 경우 기준보수를 보수로 할 수 있다.</t>
  </si>
  <si>
    <t>10, 2, 15</t>
  </si>
  <si>
    <t>고용보험료를 징수하는 경우, 근로자가 휴직기간 중에 사업주 외의 자로부터 지급받는 금품 일체는 보수에서 제외된다.</t>
  </si>
  <si>
    <t>보험에 가입한 하수급인의 경우에는 그 하도급공사의 착공일의 다음 날이 성립일이다.</t>
  </si>
  <si>
    <t>사회보험, 공공부조, 사회안전망</t>
  </si>
  <si>
    <t>농림축산식품부장관, 환경부장관은 위원회의 위원이다.</t>
  </si>
  <si>
    <t>국가와 지방자치단체는 모든 국민의 인간다운 생활을 유지・증진하는 책임을 가진다.</t>
  </si>
  <si>
    <t>10일</t>
  </si>
  <si>
    <t>구직급여를 받으려는 자는 이직 후 지체없이 직업안정기관에 출석하여 실업을 신고하여야 한다.</t>
  </si>
  <si>
    <t>50만원</t>
  </si>
  <si>
    <t>사업주가 이직확인서를 거짓으로 작성하여 제출하는 경우</t>
  </si>
  <si>
    <t>25세 장애인 : 180일</t>
  </si>
  <si>
    <t>최저임금액의 100분의 70에 상당하는 금액</t>
  </si>
  <si>
    <t>훈련대상자에 대한 직업훈련은 근로복지공단과 계약을 체결한 직업훈련기관에서 실시하게 한다.</t>
  </si>
  <si>
    <t>신체부담업무의 수행 과정에서 발생한 일시적인 급격한 힘의 작용으로 근골격계 질병이 발병하면 업무상 질병으로 본다.</t>
  </si>
  <si>
    <t>60일</t>
  </si>
  <si>
    <t>ㄱ: 1, ㄴ: 1</t>
  </si>
  <si>
    <t>근로계약에 따른 업무수행 행위를 하던 중 발생한 사고</t>
  </si>
  <si>
    <t>ㄱ: 10, ㄴ: 2</t>
  </si>
  <si>
    <t>직장가입자의 보수월액보험료는 직장가입자가 보험료액의 100분의 50을 부담한다.</t>
  </si>
  <si>
    <t>고의로 인한 범죄행위에 그 원인이 있는 경우</t>
  </si>
  <si>
    <t>사업주는 근로자를 새로 고용한 경우 그 근로자의 성명 등을 그 근로자를 고용한 날이 속하는 달의 말일까지 근로복지공단에 신고하여야 한다.</t>
  </si>
  <si>
    <t>해외파견자에 대한 산재보험의 가입을 승인하려면 직업안정법에 따른 국외근로자 공급사업이 아니어야 한다.</t>
  </si>
  <si>
    <t>ㄱ: 55, ㄴ: 18</t>
  </si>
  <si>
    <t>고용보험을 적용받는 사업의 사업주와 근로자는 당연히 고용보험법에 따른 고용보험의 보험가입자가 된다.</t>
  </si>
  <si>
    <t>국민건강보험공단은 이 법에 따른 납부기한의 다음 날부터 1년이 지난 보험료의 총액이 1억원 이상인 체납자에 대하여는 그 인적사항등을 공개하여야 한다.</t>
  </si>
  <si>
    <t>ㄱ: 70, ㄴ: 30</t>
  </si>
  <si>
    <t>국가와 지방자치단체는 평생사회안전망을 구축・운영함에 있어 사회적 취약계층을 위한 공공부조를 마련하여 최저생활을 보장하여야 한다.</t>
  </si>
  <si>
    <t>사회보장에 관한 주요 시책을 심의・조정하기 위하여 국무총리 소속으로 사회보장위원회를 둔다.</t>
  </si>
  <si>
    <t>사회보장수급권은 구두로 포기할 수 있다.</t>
  </si>
  <si>
    <t>고용창출의 지원</t>
  </si>
  <si>
    <t>이주비의 금액은 수급자격자 및 그 수급자격자에 의존하여 생계를 유지하는 동거친족의 이주에 일반적으로 드는 비용으로 하되, 그 금액의 산정은 고용노동부령으로 정하는 바에 따라 따른다.</t>
  </si>
  <si>
    <t>피보험자는 고용보험법이 적용되는 사업에 고용된 날의 다음 날에 피보험자격을 취득한다.</t>
  </si>
  <si>
    <t>청구인인 법인의 직원</t>
  </si>
  <si>
    <t>중대한 귀책사유로 해고된 피보험자로서 정당한 사유 없이 근로계약 또는 취업규칙 등을 위반하여 장기간 무단 결근한 경우</t>
  </si>
  <si>
    <t>근로복지공단은 심사 청구서를 받은 날부터 60일 이내에 결정을 하여야 하지만, 부득이한 사유로 그 기간 이내에 결정을 할 수 없으면 1차에 한하여 20일을 넘지 아니하는 범위에서 그 기간을 연장할 수 있다.</t>
  </si>
  <si>
    <t>치유된 업무상 부상 또는 질병과 재요양의 대상이 되는 부상 또는 질병 사이에 상당인과관계가 있을 것</t>
  </si>
  <si>
    <t>진폐에 따른 보험급여의 종류는 요양급여, 간병급여, 장례비, 직업재활급여, 진폐보상연금 및 진폐유족연금으로 한다.</t>
  </si>
  <si>
    <t>근로복지공단은 대통령령이 정하는 바에 따라 회계연도마다 사업 운영계획과 예산에 관하여 고용노동부장관의 승인을 받아야 한다.</t>
  </si>
  <si>
    <t>장해보상연금의 지급은 그 지급사유가 발생한 달의 초일부터 시작된다.</t>
  </si>
  <si>
    <t>기본연금액의 100%</t>
  </si>
  <si>
    <t>직장가입자의 보수월액보험료는 직장가입자가 납부한다.</t>
  </si>
  <si>
    <t>요양급여비용의 심사</t>
  </si>
  <si>
    <t>보험에 가입한 하수급인의 경우에는 그 하도급공사의 착공일</t>
  </si>
  <si>
    <t>개별실적요율의 적용을 받는 사업의 산재보험료율은 100분의 75의 범위에서 대통령령으로 정하는 바에 따라 인상하거나 인하할 수 있다.</t>
  </si>
  <si>
    <t>경매가 개시된 경우</t>
  </si>
  <si>
    <t>고용보험료는 근로복지공단이 부과하고 이를 징수한다.</t>
  </si>
  <si>
    <t>국가와 지방자치단체는 가정이 건전하게 유지되고 그 기능이 향상되도록 노력하여야 한다.</t>
  </si>
  <si>
    <t>모든 국민은 사회보장 관계 법령에서 정하는 바에 따라 사회보장급여를 받을 권리를 가진다.</t>
  </si>
  <si>
    <t>중앙행정기관의 장은 사회보장제도를 신설하거나 변경할 경우 그 타당성 등에 대하여 보건복지부장관과 합의하여야 한다.</t>
  </si>
  <si>
    <t>전직을 위하여 이직한 경우가 아니어야 한다.</t>
  </si>
  <si>
    <t>심사의 청구는 시효중단에 관하여 재판상의 청구로 본다.</t>
  </si>
  <si>
    <t>80만원</t>
  </si>
  <si>
    <t>지방공무원법에 따른 공무원</t>
  </si>
  <si>
    <t>농업협동조합법에 따른 공제를 모집하는 사람</t>
  </si>
  <si>
    <t>소비자물가변동률, 60세, 전체 근로자의 임금 평균액의 증감률</t>
  </si>
  <si>
    <t>국가는 회계연도마다 예산의 범위에서 보험사업에 드는 비용의 일부를 지원하여야 한다.</t>
  </si>
  <si>
    <t>업무상질병판정위원회의 위원장은 고용노동부차관이 된다.</t>
  </si>
  <si>
    <t>사업주의 승인을 받아 참가한 회사 야유회에서 발생한 사고</t>
  </si>
  <si>
    <t>ㄱ: 60일, ㄴ: 5일, ㄷ: 60일</t>
  </si>
  <si>
    <t>반환일시금</t>
  </si>
  <si>
    <t>ㄱ: 20, ㄴ: 20, ㄷ: 15, ㄹ: 55</t>
  </si>
  <si>
    <t>고용기간이 1개월 미만인 일용근로자</t>
  </si>
  <si>
    <t>이의신청에 대한 결정에 불복하는 자는 건강보험분쟁조정위원회에 심판청구를 할 수 있다.</t>
  </si>
  <si>
    <t>월별보험료는 근로복지공단이 매월 부과한다.</t>
  </si>
  <si>
    <t>국민건강보험공단은 근로복지공단의 승인을 받아 소멸시효가 완성된 보험료의 결손처분을 할 수 있다.</t>
  </si>
  <si>
    <t>사업장 이전으로 사업의 소재지를 파악하기 곤란한 경우에는 고용노동부장관이 정하여 고시하는 금액을 보수로 할 수 있다.</t>
  </si>
  <si>
    <t>사업종류의 변경으로 보험료 납부방법이 변경되는 경우에는 사업종류의 변경일 전일을 변경 전 사업의 폐지일로 본다.</t>
  </si>
  <si>
    <t>사업주가 확정보험료의 신고를 거짓으로 한 경우</t>
  </si>
  <si>
    <t>최저임금제</t>
  </si>
  <si>
    <t>사회보장 기본계획은 3년마다 수립하여야 한다.</t>
  </si>
  <si>
    <t>국가와 지방자치단체가 조사하거나 제공받은 개인・법인 또는 단체의 정보는 어떠한 경우에도 보유, 이용, 제공되어서는 아니 된다.</t>
  </si>
  <si>
    <t>국가는 중장기 사회보장 재정추계를 3년마다 실시하고 이를 공표해야 한다.</t>
  </si>
  <si>
    <t>65세 이후에 고용된 자</t>
  </si>
  <si>
    <t>고용보험기금을 지출할 때 자금 부족이 발생하더라도 고용보험기금의 부담으로 금융기관으로부터 차입을 할 수 없다.</t>
  </si>
  <si>
    <t>심사청구 당사자는 고용보험심사관에게 심리・결정의 공정을 기대하기 어려운 사정이 있으면 그 심사관에 대한 기피신청을 고용노동부장관에게 할 수 있다.</t>
  </si>
  <si>
    <t>고용노동부장관은 보험료를 체납한 사람에게는 고용노동부령으로 정하는 바에 따라 실업급여를 지급하지 아니할 수 있다.</t>
  </si>
  <si>
    <t>육아휴직 급여의 지급대상 기간이 1개월을 채우지 못하는 경우에는 근로기준법에 따라 산정한 월 평균임금의 100분의 70에 해당하는 금액을 해당 월에 휴직한 일수로 일할계산(日割計算)하여 지급한다.</t>
  </si>
  <si>
    <t>산재보험 의료기관이 요양을 실시하고 그 진료비를 근로복지공단이 아닌 자에게 청구한 경우</t>
  </si>
  <si>
    <t>수급권자가 산업재해보상보험법에 따라 보험급여를 받으면 보험가입자는 동일한 사유에 대하여 근로기준법에 따른 재해보상 책임이 면제된다.</t>
  </si>
  <si>
    <t>ㄱ : 47, ㄴ :  5, ㄷ : 10, ㄹ : 10</t>
  </si>
  <si>
    <t>근로복지공단은 사망의 추정으로 보험급여를 지급한 후에 그 근로자의 생존이 확인되면 그 급여를 받은 자가 선의(善意)인 경우에는 받은 금액을 징수하여야 한다.</t>
  </si>
  <si>
    <t>업무상질병판정위원회는 업무상 질병의 인정 여부를 심의하기 위하여 보건복지부소속 기관에 둔다.</t>
  </si>
  <si>
    <t>상병</t>
  </si>
  <si>
    <t>유족연금 수급권자가 사망한 때</t>
  </si>
  <si>
    <t>ㄱ : 10, ㄴ : 55, ㄷ : 60</t>
  </si>
  <si>
    <t>사망한 날의 다음 날</t>
  </si>
  <si>
    <t>업무로 생긴 재해로 다른 법령에 따른 보험급여를 받게 되는 경우</t>
  </si>
  <si>
    <t>"보험"이란 고용보험법에 따른 고용보험 또는 산업재해보상보험법에 따른 산업재해보상보험을 말한다.</t>
  </si>
  <si>
    <t>근로복지공단은 보험사무대행기관이 거짓이나 그 밖의 부정한 방법으로 인가를 받은 경우에는 그 인가를 취소할 수 있다.</t>
  </si>
  <si>
    <t>100분의 10</t>
  </si>
  <si>
    <t>ㄱ : 1년, ㄴ : 5천만원</t>
  </si>
  <si>
    <t>ㄱ : 7,   ㄴ : 근로복지공단</t>
  </si>
  <si>
    <t>국가와 지방자치단체는 사회보장제도에 관하여 국민이 필요한 정보를 관계 법령에서 정하는 바에 따라 공개하고, 이를 홍보하여야 한다.</t>
  </si>
  <si>
    <t>보건복지부장관은 관계 중앙행정기관의 장과 협의하여 사회보장심의위원회의 심의를 거쳐 사회보장 증진을 위한 장기발전방향을 3년마다 수립하여야 한다.</t>
  </si>
  <si>
    <t>사회보험에 드는 비용은 국가와 지방자치단체가 부담하는 것을 원칙으로 한다.</t>
  </si>
  <si>
    <t>사회보장제도의 도입 또는 확대에 따른 우선순위의 조정</t>
  </si>
  <si>
    <t>120만원</t>
  </si>
  <si>
    <t>비상근 촉탁근로자를 고용하는 경우</t>
  </si>
  <si>
    <t>구직급여</t>
  </si>
  <si>
    <t>사업주는 그 사업에 고용된 근로자의 피보험자격의 취득 및 상실 등에 관한 사항을 고용노동부장관에게 신고하여야 한다.</t>
  </si>
  <si>
    <t>보험을 모집하는 사람으로서 보험업법에 따른 보험설계사</t>
  </si>
  <si>
    <t>산업재해보상보험 사업은 근로복지공단 이사장이 관장한다.</t>
  </si>
  <si>
    <t>ㄱ : 제척, ㄴ : 회피</t>
  </si>
  <si>
    <t>요양급여</t>
  </si>
  <si>
    <t>사용자가 근로자의 임금에서 기여금을 공제하고 연금보험료를 내지 아니한 경우에는 그 내지 아니한 기간은 근로자의 가입기간에 산입하지 아니한다.</t>
  </si>
  <si>
    <t>45세인 사실상의 혼인관계에 있는 배우자</t>
  </si>
  <si>
    <t>ㄱ : 국민건강보험공단,    ㄴ : 건강보험심사평가원, ㄷ : 180, ㄹ : 건강보험분쟁조정위원회</t>
  </si>
  <si>
    <t>요양급여비용은 국민건강보험공단의 이사장과 대통령령이 정하는 의약계를 대표하는 자와의 계약으로 정한다.</t>
  </si>
  <si>
    <t>사업의 폐업・도산 등으로 보수를 산정・확인하기 곤란한 경우에 적용할 기준보수</t>
  </si>
  <si>
    <t>보험료를 징수할 수 있는 권리는 3년간 행사하지 아니하면 시효로 인하여 소멸한다.</t>
  </si>
  <si>
    <t>ㄱ-ㄴ-ㄷ-ㄹ-ㅁ</t>
  </si>
  <si>
    <t>산업재해보상보험법 적용 제외 사업의 사업주는 근로복지공단의 승인을 받아 산업재해보상보험에 가입할 수 있다.</t>
  </si>
  <si>
    <t>사회보장</t>
  </si>
  <si>
    <t>국가는 관계 법령에서 정하는 바에 따라 최저생계비를 매년 공표하여야 한다.</t>
  </si>
  <si>
    <t>국가와 지방자치단체는 국제적 기준에 부응하는 사회보장제도를 확립하여야 한다.</t>
  </si>
  <si>
    <t>직무의 분할을 통하여 실업자를 근로계약기간을 정하지 않고 시간제로 근무하는 형태로 하여 새로 고용하는 경우</t>
  </si>
  <si>
    <t>3년 6개월</t>
  </si>
  <si>
    <t>이직일 이전 18개월간 피보험 단위기간이 통산하여 180일 이상일 것</t>
  </si>
  <si>
    <t>형법을 위반하여 벌금형을 선고받아 해고된 경우</t>
  </si>
  <si>
    <t>2000년 3월 1일, 2011년 5월 1일</t>
  </si>
  <si>
    <t>ㄱ : 100분의 40   ㄴ : 100 ㄷ : 50</t>
  </si>
  <si>
    <t>구상권 행사의 상대방인 제3자란 보험가입자인 사업주와 함께 재해근로자와의 사이에 산업재해보상보험관계가 없는 자로서 재해근로자에 대하여 불법행위 등으로 인한 손해배상책임을 지는 자를 의미한다.</t>
  </si>
  <si>
    <t>연금의 지급은 그 지급사유가 발생한 달의 다음 달 초일부터 시작된다.</t>
  </si>
  <si>
    <t>업무상 과로나 스트레스가 질병의 주된 발생 원인에 겹쳐서 질병을 악화시켰더라도 그 사이에 인과관계가 없다고 보아야 한다.</t>
  </si>
  <si>
    <t>수급권자가 3개월 이상 행방불명된 경우</t>
  </si>
  <si>
    <t>보험가입자가 대한민국 밖의 지역(고용노동부령으로 정하는 지역은 제외)에서 하는 사업에 근로시키기 위하여 공단에 보험 가입 신청을 하여 승인을 받은 해외파견자</t>
  </si>
  <si>
    <t>보험가입자의 고의 또는 과실로 발생한 업무상의 재해로 근로자가 사망한 경우에 지급할 수 있다.</t>
  </si>
  <si>
    <t>사립학교교직원 연금법을 적용받는 사립학교 교직원은 국민연금 가입대상에서 제외된다.</t>
  </si>
  <si>
    <t>보험급여를 받을 수 있는 자가 고의 또는 중대한 과실로 사고를 발생시킨 때에 는 보험급여를 하지 아니한다.</t>
  </si>
  <si>
    <t>1월 미만의 기간 동안 고용되는 일용근로자는 직장가입자에서 제외된다.</t>
  </si>
  <si>
    <t>체납처분이 끝나고 체납액에 충당된 배분금액이 그 체납액보다 적은 경우</t>
  </si>
  <si>
    <t>국세를 체납하여 체납처분을 받은 경우</t>
  </si>
  <si>
    <t>납부기한</t>
  </si>
  <si>
    <t>사업이 폐업된 날</t>
  </si>
  <si>
    <t>ㄱ : 1천분의 30,   ㄴ : 1천분의 18</t>
  </si>
  <si>
    <t>사회보장에 관한 주요 시책을 심의하기 위하여 국무총리 소속으로 둔다.</t>
  </si>
  <si>
    <t>사회보장제도를 필요로 하는 모든 국민에게 적용하여야 한다.</t>
  </si>
  <si>
    <t>공공부조란 보건, 주거, 교육, 고용 등의 분야에서 인간다운 생활이 보장될 수 있도록 지원하는 각종 복지제도를 말한다.</t>
  </si>
  <si>
    <t>국가와 지방자치단체는 평균생계비와 실질임금을 고려하여 사회보장급여의 수준을 결정하여야 한다.</t>
  </si>
  <si>
    <t>가사서비스업</t>
  </si>
  <si>
    <t>구직급여의 수급요건으로 근로의 의사와 능력을 필요로 한다.</t>
  </si>
  <si>
    <t>훈련연장급여를 지급하는 경우에 그 일액은 해당 수급자격자의 구직급여일액의 100분의 100으로 한다.</t>
  </si>
  <si>
    <t>구인업체를 방문하거나 우편・인터넷 등을 이용하여 구인에 응모한 경우</t>
  </si>
  <si>
    <t>사업장에서 종교, 성별, 신체장애 등을 이유로 불합리한 차별대우를 받은 경우</t>
  </si>
  <si>
    <t>쟁의행위를 수행하던 중에 노조간부가 사고를 당한 경우</t>
  </si>
  <si>
    <t>사망의 추정으로 보험급여 수급 후 근로자의 생존이 확인되면 보험급여를 받은 사람과 보험가입자는 생존이 확인된 날부터 1개월 이내에 신고하여야 한다.</t>
  </si>
  <si>
    <t>태아였던 자녀가 출생한 경우</t>
  </si>
  <si>
    <t>보험급여의 지급 여부와 관계없이 손해배상청구권을 대위할 수 있다.</t>
  </si>
  <si>
    <t>공단은 부득이한 사유가 없는 한 심사 청구서를 받은 날부터 60일 이내에 산업재해보상보험심사위원회의 심의를 거쳐 결정을 하여야 한다.</t>
  </si>
  <si>
    <t>요양비</t>
  </si>
  <si>
    <t>배우자의 가입기간 중 혼인 기간이 5년 이상인 자가 노령연금 수급권자인 배우자와 이혼한 후 60세가 된 때부터 분할연금을 받을 수 있다.</t>
  </si>
  <si>
    <t>요양급여는 진찰, 약제지급, 수술, 재활, 입원 등 현물급여이다.</t>
  </si>
  <si>
    <t>보험급여를 받을 수 있는 자가 국외에 여행 중인 때에는 그 기간 중 보험급여는 정지한다.</t>
  </si>
  <si>
    <t>상속이 개시된 때에 원칙적으로 상속인은 피상속인이 내야 하는 보험료를 납부할 의무가 없다.</t>
  </si>
  <si>
    <t>임의가입 사업주가 고용보험계약을 해지하고자 할 때에는 근로자 전원의 동의를 얻어야 한다.</t>
  </si>
  <si>
    <t>A : 7일,   B : 7일</t>
  </si>
  <si>
    <t>고용안정・직업능력개발사업의 보험료율은 업종에 따라 차등 적용된다.</t>
  </si>
  <si>
    <t>보건복지부장관은 사회보장 분야 전문 인력 양성을 위하여 관계 중앙행정기관, 지방자치단체, 공공기관 및 법인・단체 등의 직원을 대상으로 사회보장에 관한 교육을 매년 1회 이상 실시할 수 있다.</t>
  </si>
  <si>
    <t>보건복지부장관은 사회보장 재정추계를 위하여 재정추계를 실시하는 해의 1월 31일까지 재정추계 세부지침을 마련하여야 한다.</t>
  </si>
  <si>
    <t>180일</t>
  </si>
  <si>
    <t>ㄱ: 100분의 70, ㄴ: 200</t>
  </si>
  <si>
    <t>임기제 공무원이 원하는 경우에는 임용된 날부터 3개월 이내에 고용노동부장관에게 직접 고용보험 가입을 신청할 수 있다.</t>
  </si>
  <si>
    <t>직업안정기관의 장은 수급자격 인정신청을 한 사람에게 신청인이 원하는 경우에는 해당 실업급여를 실업급여수급계좌로 받을 수 있다는 사실을 안내하여야 한다.</t>
  </si>
  <si>
    <t>훈련연장급여를 지급받고 있는 수급자격자에게는 그 훈련연장급여의 지급이 끝난 후가 아니면 특별연장급여를 지급하지 아니한다.</t>
  </si>
  <si>
    <t>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
① 60, 60 
② 70, 60</t>
  </si>
  <si>
    <t>ㄱ: 1일, ㄴ: 90일</t>
  </si>
  <si>
    <t>위원회에는 고용보험운영전문위원회와 고용보험평가전문위원회를 둔다.</t>
  </si>
  <si>
    <t>사용자를 대표하는 위원은 전국을 대표하는 사용자 단체가 추천하는 사람 5명으로 한다.</t>
  </si>
  <si>
    <t>대한민국 국민이 아닌 유족보상연금 수급자격자인 유족이 외국에서 거주하기 위하여 출국하는 경우 그 자격을 잃는다.</t>
  </si>
  <si>
    <t>"평균보수"란 이를 산정하여야 할 사유가 발생한 날이 속하는 달의 전달 말일부터 이전 3개월 동안 노무제공자가 재해가 발생한 사업에서 지급받은 보수와 같은 기간 동안 해당 사업 외의 사업에서 지급받은 보수를 모두 합산한 금액을 해당 기간의 총 일수로 나눈 금액을 말한다.</t>
  </si>
  <si>
    <t>장례비 최고금액은 전년도 장례비 수급권자에게 지급된 1명당 평균 장례비 90일분 + 최고 보상기준 금액의 30일분으로 산정한다.</t>
  </si>
  <si>
    <t>「국가기술자격법」에 따른 산업위생관리 기사 이상의 자격을 취득하고 관련 업무에 3년 이상 종사한 치과의사는 위원이 될 수 없다.</t>
  </si>
  <si>
    <t>"장해"란 업무상의 부상 또는 질병에 따른 정신적 또는 육체적 훼손으로 노동능력이 상실되거나 감소된 상태로서 그 부상 또는 질병이 치유되지 아니한 상태를 말한다.</t>
  </si>
  <si>
    <t>상병보상연금을 받는 근로자가 60세가 되면 그 이후의 상병보상연금은 고령자의 1일당 상병보상연금 지급기준에 따라 감액된 금액을 지급한다.</t>
  </si>
  <si>
    <t>제1항에 따른 직장복귀지원금은 고용노동부장관이 임금수준 및 노동시장의 여건 등을 고려하여 고시하는 금액의 범위에서 사업주가 장해급여자에게 지급한 임금액으로 하되, 그 지급기간은 (ㄱ)개월 이내로 한다.</t>
  </si>
  <si>
    <t>장애연금액은 장애등급 2급에 해당하는 자에 대하여는 기본연금액의 1천분의 600에 해당하는 금액에 부양가족연금액을 더한 금액으로 한다.</t>
  </si>
  <si>
    <t>국민연금심사위원회 위원의 임기는 2년으로 하며, 1차례만 연임할 수 있으며, 국민연금공단의 임직원인 위원의 임기는 그 직위의 재임기간으로 한다.</t>
  </si>
  <si>
    <t>국민건강보험공단은 법 제95조제1항에 따라 지역가입자의 연금보험료와 그에 따른 징수금의 납부를 독촉할 때에는 납부 기한이 지난 후 (ㄴ) 이내에 해당 가입자에게 독촉장을 발부하여야 한다.</t>
  </si>
  <si>
    <t>국민연금기금운용위원회는 국민연금기금을 관리기금에 위탁할 경우 예탁 이자율의 협의에 관한 사항을 심의・의결할 수 있다.</t>
  </si>
  <si>
    <t>공단의 해산에 관하여는 정관으로 정한다.</t>
  </si>
  <si>
    <t>요양급여의 적정성 평가 등에 관한 건강보험심사평가원의 처분에 이의가 있는 자는 건강보험심사평가원에 이의신청을 할 수 있다.</t>
  </si>
  <si>
    <t>고용보험에 가입한 자영업자는 매월 부과된 보험료를 다음 달 14일까지 납부하여야 한다.</t>
  </si>
  <si>
    <t>공과금을 체납하여 체납처분을 받은 경우</t>
  </si>
  <si>
    <t>보험료율 인상으로 월별보험료가 증액된 때에는 국민건강보험공단이 징수한다.</t>
  </si>
  <si>
    <t>6개월</t>
  </si>
  <si>
    <t>ㄱ - b, ㄷ - d</t>
  </si>
  <si>
    <t>보건복지부장관은 제공받은 사회보장 행정데이터의 원활한 분석, 활용 등을 위하여 사회보장 행정데이터 분석센터를 설치・운영하여야 한다.</t>
  </si>
  <si>
    <t>고용노동부장관은 관계 중앙행정기관의 장과 협의하여 사회보장에 관한 기본계획을 5년마다 수립하여야 한다.</t>
  </si>
  <si>
    <t>ㄱ: 1, ㄴ: 4분의 3 이상 10분의 9 이하</t>
  </si>
  <si>
    <t>위촉위원 중 보궐위원의 임기는 전임자 임기의 남은 기간으로 한다.</t>
  </si>
  <si>
    <t>심사관은 심사청구를 받으면 30일 이내에 그 심사청구에 대한 결정을 하여야 한다. 다만, 부득이한 사정으로 그 기간에 결정할 수 없을 때에는 한 차례만 10일을 넘지 아니하는 범위에서 그 기간을 연장할 수 있다.</t>
  </si>
  <si>
    <t>자영업자인 피보험자 본인의 중대한 귀책사유로서 본인의 사업과 관련하여 「특정경제범죄 가중처벌 등에 관한 법률」 제3조에 따라 징역형을 선고받고 폐업한 경우에 해당한다고 직업안정기관의 장이 인정하는 경우에는 수급자격이 없는 것으로 본다.</t>
  </si>
  <si>
    <t>고용보험위원회에서 심의・의결한 국내복귀기업  또는 지역특화산업 등 고용지원이 필요한 업종에 해당하는 기업이 실업자를 고용하는 경우</t>
  </si>
  <si>
    <t>재심사위원회 위원(당연직위원은 제외한다)의 임기는 3년으로 하되 연임할 수 있고, 위원장이나 위원의 임기가 끝난 경우 그 후임자가 임명될 때까지 그 직무를 수행한다.</t>
  </si>
  <si>
    <t>업무를 준비하는 행위를 하던 중 발생한 사고</t>
  </si>
  <si>
    <t>이황화탄소 중독증</t>
  </si>
  <si>
    <t>4개월</t>
  </si>
  <si>
    <t>직장가입자의 직계비속</t>
  </si>
  <si>
    <t>직장가입자의 보수월액보험료 상한은 보험료가 부과되는 연도의 전전년도 직장가입자 평균 보수월액보험료의 20배에 해당하는 금액을 고려하여 보건복지부장관이 정하여 고시하는 금액으로 한다.</t>
  </si>
  <si>
    <t>직장가입자의 소득월액보험료는 사용자가 납부한다.</t>
  </si>
  <si>
    <t>검진기관이 건강검진을 받은 사람에게 직접 통보한 경우에는 국민건강보험공단은 그 통보를 생략할 수 있다.</t>
  </si>
  <si>
    <t>체납자의 인적사항등에 대한 공개 여부를 심의하기 위하여 국민건강보험공단에 보험료정보공개심의위원회를 둔다.</t>
  </si>
  <si>
    <t>1천분의 16</t>
  </si>
  <si>
    <t>B</t>
  </si>
  <si>
    <t>국가와 지방자치단체는 사회보장제도를 시행할 때에 가정과 지역공동체의 자발적인 복지활동을 촉진하여야 한다.</t>
  </si>
  <si>
    <t>국가와 지방자치단체는 공공부문과 민간부문의 사회보장 전달체계가 효율적으로 연계되도록 노력하여야 한다.</t>
  </si>
  <si>
    <t>ㄱ: 1월 31일, ㄴ: 6월 30일</t>
  </si>
  <si>
    <t>국가와 지방자치단체는 사회보장에 관한 책임과 역할을 합리적으로 분담하여야 한다.</t>
  </si>
  <si>
    <t>근로자인 피보험자가 이직한 경우에는 이직한 날의 다음 날에 피보험자격을 상실한다.</t>
  </si>
  <si>
    <t>피보험기간 1년 - 소정급여일수 150일</t>
  </si>
  <si>
    <t>가전제품의 판매를 위한 배송 업무를 주로 수행하고 가전제품의 설치, 시운전 등을 통해 작동상태를 확인하는 사람</t>
  </si>
  <si>
    <t>고용보험기금의 결산상 손실금이 생기는 경우 이를 적립금으로 보전(補塡)할 수 없다.</t>
  </si>
  <si>
    <t>재심사의 청구는 시효중단에 관하여 재판상의 청구로 본다.</t>
  </si>
  <si>
    <t>「고용보험 및 산업재해보상보험의 보험료징수 등에 관한 법률」에 따른 산재보험료율의 결정에 관한 사항</t>
  </si>
  <si>
    <t>「선원법」에 따라 재해보상이 되는 사업</t>
  </si>
  <si>
    <t>사업주의 구체적인 지시를 위반한 행위로 인한 사고</t>
  </si>
  <si>
    <t>ㄱ: 70, ㄴ: 80</t>
  </si>
  <si>
    <t>급여수급전용계좌에 입금된 급여와 이에 관한 채권은 압류할 수 있다.</t>
  </si>
  <si>
    <t>임의가입자는 보건복지부령으로 정하는 바에 따라 국민연금공단에 신청하여 탈퇴할 수 있다.</t>
  </si>
  <si>
    <t>휴직으로 보수의 전부 또는 일부가 지급되지 아니하는 가입자의 보수월액보험료는 해당 사유가 생기기 전 달의 보수월액을 기준으로 산정한다.</t>
  </si>
  <si>
    <t>ㄱ: 근로복지공단, ㄴ: 근로복지공단, ㄷ: 국민건강보험공단</t>
  </si>
  <si>
    <t>일괄적용사업의 사업주는 사업의 개시일부터 14일 이내에 끝나는 사업의 경우에는 그 끝나는 날의 다음 날까지 개시 및 종료 사실을 근로복지공단에 신고하여야 한다.</t>
  </si>
  <si>
    <t>기준보수는 사업의 규모, 근로형태 및 보수수준 등을 고려하여 고용보험법에 따른 고용보험위원회의 심의를 거쳐 시간・일 또는 월 단위로 정하되, 사업의 종류별 또는 지역별로 구분하여 정할 수 있다.</t>
  </si>
  <si>
    <t>국가와 지방자치단체는 사회보장 관계 법령에서 규정한 권리나 의무를 모든 국민에게 설명하여야 한다.</t>
  </si>
  <si>
    <t>사회보장위원회의 사무를 효율적으로 처리하기 위하여 보건복지부에 사무국을 둔다.</t>
  </si>
  <si>
    <t>사회보장수급권은 관계 법령에서 정하는 바에 따라 타인에게 양도할 수 있다.</t>
  </si>
  <si>
    <t>ㄱ: 30, ㄴ: 30, ㄷ: 60</t>
  </si>
  <si>
    <t>이직일 이전 24개월 중 3개월 이상을 예술인인 피보험자로 피보험자격을 유지하였을 것을 지급요건으로 한다.</t>
  </si>
  <si>
    <t>ㄱ: 월 통상임금의 100분의 80에 해당하는 금액, ㄴ: 120만원</t>
  </si>
  <si>
    <t>사업주가 그 사업에 고용된 근로자의 피보험자격의 취득에 관한 사항을 신고하지 아니하면 근로자가 근로계약서 등 고용관계를 증명할 수 있는 서류를 제출하여 신고할 수 있다.</t>
  </si>
  <si>
    <t>폐업일 이전 12개월간 자영업자인 피보험자로서 갖춘 피보험 단위기간이 합산하여 6개월이면 구직급여를 지급한다.</t>
  </si>
  <si>
    <t>우체국 예금・보험에 관한 법률에 따른 우체국보험의 모집을 전업으로 하는 사람</t>
  </si>
  <si>
    <t>업무상질병판정위원회의 위원장과 위원의 임기는 2년으로 하되, 연임할 수 있다.</t>
  </si>
  <si>
    <t>진폐유족연금의 지급은 그 지급사유가 발생한 달의 다음 달 첫날부터 시작된다.</t>
  </si>
  <si>
    <t>산재보험 의료기관의 종사자로서 거짓이나 그 밖의 부정한 방법으로 진료비를 지급받은 자</t>
  </si>
  <si>
    <t>간병은 요양 중인 근로자의 부상・질병 상태가 의학적으로 다른 사람의 간병이 필요하다고 인정되는 경우로서 신체 표면 면적의 35퍼센트 이상에 걸친 화상을 입어 수시로 적절한 조치를 할 필요가 있는 사람에게 제공한다.</t>
  </si>
  <si>
    <t>지역가입자가 국적을 상실한 때에는 그에 해당하게 된 날에 그 자격을 상실한다.</t>
  </si>
  <si>
    <t>6세 미만의 피부양자</t>
  </si>
  <si>
    <t>임업 중 벌목업은 보험료의 월별 부과・징수 대상 사업에 해당한다.</t>
  </si>
  <si>
    <t>근로복지공단은 사업주가 국세를 체납하여 체납처분을 받은 경우에는 보험료와 이 법에 따른 징수금 총액이 300만원 미만이면 납부기한 전이라도 즉시 보험료를 징수하여야 한다.</t>
  </si>
  <si>
    <t>일괄적용을 받는 사업의 경우에는 처음 하는 사업이 시작된 날에 성립한다.</t>
  </si>
  <si>
    <t>1만분의 45</t>
  </si>
  <si>
    <t>소멸시효에 관하여는 이 법에 규정된 것을 제외하고는 민법에 따른다.</t>
  </si>
  <si>
    <t>국내에 거주하는 외국인에게 사회보장제도를 적용할 때에는 상호주의에 따르되, 관계법령에서 정하는 바에 따른다.</t>
  </si>
  <si>
    <t>다른 법령에 따라 수립되는 사회보장에 관한 계획은 사회보장 기본계획에 우선한다.</t>
  </si>
  <si>
    <t>부위원장은 기획재정부장관, 교육부장관 및 보건복지부장관이 된다.</t>
  </si>
  <si>
    <t>최종 이직 당시 건설일용근로자였던 피보험자가 구직급여를 받으려는 경우에는 건설일용근로자로서 수급자격 인정신청일 이전 14일간 연속하여 근로내역이 없어야 한다.</t>
  </si>
  <si>
    <t>배우자의 질병・부상</t>
  </si>
  <si>
    <t>직업능력개발 수당</t>
  </si>
  <si>
    <t>심의 사항을 사전에 검토・조정하기 위하여 실무위원회를 둔다.</t>
  </si>
  <si>
    <t>ㄱ: 1, ㄴ: 90</t>
  </si>
  <si>
    <t>재심사위원회 위원(당연직위원은 제외)의 임기는 2년으로 하되 연임할 수 없다.</t>
  </si>
  <si>
    <t>진폐보상연금은 진폐장해등급별 진폐장해연금과 기초연금을 합산한 금액으로 한다.</t>
  </si>
  <si>
    <t>요양을 받고 있는 근로자가 그 요양기간 중 단시간 취업을 하는 경우에는 취업한 시간에 해당하는 그 근로자의 평균임금에서 취업한 시간에 대한 임금을 뺀 금액의 100분의 70에 상당하는 금액을 지급할 수 있다.</t>
  </si>
  <si>
    <t>직업훈련비용의 금액은 고용노동부장관이 훈련비용, 훈련기간 및 노동시장의 여건 등을 고려하여 고시하는 금액의 범위에서 실제 드는 비용으로 한다.</t>
  </si>
  <si>
    <t>보고・서류제출 또는 신고를 하지 아니하는 경우</t>
  </si>
  <si>
    <t>지역가입자의 경우 사망한 날의 다음 날</t>
  </si>
  <si>
    <t>급여는 수급권자의 청구에 따라 국민연금공단이 지급한다.</t>
  </si>
  <si>
    <t>이송</t>
  </si>
  <si>
    <t>ㄱ: 7, ㄴ: 3</t>
  </si>
  <si>
    <t>ㄱ: 2, ㄴ: 30</t>
  </si>
  <si>
    <t>ㄱ: 1, ㄴ: 6천분의 1, ㄷ : 1천분의 50</t>
  </si>
  <si>
    <t>사업주는 근로자가 다른 사업장으로 전보되는 등 대통령령으로 정하는 사유가 발생한 때에는 그 사유 발생일부터 14일 이내에 그 사실을 근로복지공단에 신고하여야 한다.</t>
  </si>
  <si>
    <t>국가와 지방자치단체는 효과적인 사회보장정책의 수립・시행을 위하여 사회보장에 관한 통계를 작성・관리하여야 한다.</t>
  </si>
  <si>
    <t>사회보험에 드는 비용은 사용자, 피용자 및 자영업자가 부담하는 것을 원칙으로 한다.</t>
  </si>
  <si>
    <t>1개월 미만 동안 고용된 일용근로자는 고용보험법의 적용이 제외되는 근로자이다.</t>
  </si>
  <si>
    <t>사회보장수급권은 제한되거나 정지될 수 없으나, 관계 법령에서 따로 정하고 있는 경우에는 그러하지 아니하다.</t>
  </si>
  <si>
    <t>국가는 매년 고용보험사업에 드는 비용의 일부를 일반회계에서 부담하여야 한다.</t>
  </si>
  <si>
    <t>폐업일 이전 18개월간 자영업자인 피보험자로서 갖춘 피보험 단위기간이 통산하여 180일 이상이어야 한다.</t>
  </si>
  <si>
    <t>심사의 청구가 법령으로 정한 방식을 위반하여 보정하지 못할 것인 경우에 고용보험심사관은 그 심사의 청구를 결정으로 각하하여야 한다.</t>
  </si>
  <si>
    <t>월보험료액</t>
  </si>
  <si>
    <t>간병급여를 받을 권리</t>
  </si>
  <si>
    <t>택배업을 하는 사람으로서 둘 이상의 퀵서비스업자로부터 업무를 의뢰받아 직원을 채용하여 배송 업무를 하는 사람</t>
  </si>
  <si>
    <t>보험급여에 관한 결정</t>
  </si>
  <si>
    <t>요양급여의 신청을 한 자는 근로복지공단이 요양급여에 관한 결정을 하기 전에는 국민건강보험법상 요양급여를 받을 수 있다.</t>
  </si>
  <si>
    <t>ㄱ: 50, ㄴ: 12, ㄷ: 18</t>
  </si>
  <si>
    <t>수급권자가 산업재해보상보험법에 의한 유족급여를 받는 경우에는 유족연금을 지급하지 않는다.</t>
  </si>
  <si>
    <t>국민건강보험공단은 보험급여를 받을 수 있는 사람이 다른 법령에 따라 국가로부터 보험급여에 상당하는 비용을 지급받게 되는 경우에는 그 한도에서 보험급여를 하지 아니한다.</t>
  </si>
  <si>
    <t>직장가입자의 소득월액보험료는 직장가입자가 부담한다.</t>
  </si>
  <si>
    <t>직장가입자로서 출산 휴가 중인 사람</t>
  </si>
  <si>
    <t>원수급인으로부터 사업의 전부를 도급받아 하는 자는 하수급인에 해당하지 않는다.</t>
  </si>
  <si>
    <t>개산보험료의 신고</t>
  </si>
  <si>
    <t>근로자가 동일한 사업주의 하나의 사업장에서 다른 사업장으로 전근되는 경우에는 그 근로자에 대한 그 월별보험료는 해당 월의 다음 달 부터 산정한다.</t>
  </si>
  <si>
    <t>ㄱ: 100분의 20, ㄴ: 1천분의 20</t>
  </si>
  <si>
    <t>보험료율이 인상된 경우 국민건강보험공단은 개산보험료를 증액 조정한다.</t>
  </si>
  <si>
    <t>사회보장수급권의 포기는 취소할 수 없다.</t>
  </si>
  <si>
    <t>사회보장은 사회참여・자아실현에 필요한 제도와 여건을 조성하여 사회통합과 행복한 복지사회를 실현하는 것을 기본 이념으로 한다.</t>
  </si>
  <si>
    <t>국가와 지방자치단체는 국민편익의 증진과 사회보장업무의 효율성 향상을 위하여 사회보장업무를 전자적으로 관리하도록 노력하여야 한다.</t>
  </si>
  <si>
    <t>이직 : 근로계약이 당사자의 합의에 의해 해지되는 것을 말하며, 정년퇴직은 포함되지 아니한다.</t>
  </si>
  <si>
    <t>15, 3</t>
  </si>
  <si>
    <t>이 법의 적용 제외 근로자였던 자가 이 법의 적용을 받게 된 경우에는 해당 사업에 고용된 날에 피보험자격을 취득한다.</t>
  </si>
  <si>
    <t>수급자격자가 인터넷 등을 이용하여 구인에 응모한 경우에는 적극적인 재취업 활동을 한 것으로 보지 아니한다.</t>
  </si>
  <si>
    <t>경영상 이유에 따른 사업주의 권고에 따라 퇴직이 예정된 자를 1개월 동안 이직시키지 아니한 경우에는 고용유지지원금을 지급한다.</t>
  </si>
  <si>
    <t>자영업자인 피보험자의 실업급여에는 취업촉진 수당이 포함되지 아니한다.</t>
  </si>
  <si>
    <t>2급 장해등급 근로자에게는 장해보상연금 또는 장해보상일시금을 근로자의 선택에 따라 지급한다.</t>
  </si>
  <si>
    <t>보험급여는 지급결정일로부터 30일 이내에 지급하여야 한다.</t>
  </si>
  <si>
    <t>예술인 복지법에 따른 예술인</t>
  </si>
  <si>
    <t>심사 청구의 심리・결정 등을 위하여 확인이 필요하다고 인정된 사업장의 조사를 거부한 경우</t>
  </si>
  <si>
    <t>3, 55</t>
  </si>
  <si>
    <t>공단은 보험급여를 받을 수 있는 사람이 중대한 과실로 요양기관의 요양에 관한 지시에 따르지 아니한 경우에는 보험급여를 하지 아니한다.</t>
  </si>
  <si>
    <t>휴직으로 보수의 전부 또는 일부가 지급되니 아니하는 가입자의 보수월액보험료는 해당 사유가 생기기 전 달의 보수월액을 기준으로 산정한다.</t>
  </si>
  <si>
    <t>환수대상이 되는 고용보험료의 지원금의 징수</t>
  </si>
  <si>
    <t>건강보험공단은 분할 납부를 신청한 사업주에 대하여 납부능력을 확인하여 보험료와 이 법에 따른 그 밖의 징수금의 분할 납부를 승인할 수 있다.</t>
  </si>
  <si>
    <t>근로복지공단은 월별보험료의 독촉을 받은 자가 그 기한까지 내지 아니한 경우에는 국세 체납처분의 예에 따라 이를 징수할 수 있다.</t>
  </si>
  <si>
    <t>6개월, 1000분의 30</t>
  </si>
  <si>
    <t>사회보장 비용의 부담은 각각의 사회보장제도의 목적에 따라 국가, 지방자치단체가 민간부문보다 우선적으로 부담하여야 한다.</t>
  </si>
  <si>
    <t>사회보장수급권은 관계 법령에서 따로 정하고 있는 경우 외에는 제한되거나 정지될 수 없다.</t>
  </si>
  <si>
    <t>3년, 격년</t>
  </si>
  <si>
    <t>30만원</t>
  </si>
  <si>
    <t>시간제 직무 개발을 통하여 실업자를 근로계약기간을 정하지 않고 시간제로 근무하는 형태로 하여 새로 고용하는 경우</t>
  </si>
  <si>
    <t>피보험기간 2년, 이직일 현재 35세인 장애인: 120일</t>
  </si>
  <si>
    <t>고용보험기금을 지출할 때 자금 부족이 발생한 경우에는 고용보험기금의 부담으로 금융기관・다른 기금과 그 밖의 재원 등으로부터 차입을 할 수 있다.</t>
  </si>
  <si>
    <t>간병급여 수급권자가 재요양을 받는 경우 그 재요양 기간 중에는 간병급여를 지급하지 않는다.</t>
  </si>
  <si>
    <t>심사 청구는 보험급여 결정등이 있음을 안 날부터 90일 이내에 하여야 한다.</t>
  </si>
  <si>
    <t>80, 80</t>
  </si>
  <si>
    <t>수급권자 및 보험가입자는 제3자의 행위로 재해가 발생하면 30일 이내에 근로복지공단에 신고하여야 한다.</t>
  </si>
  <si>
    <t>보궐위원의 임기는 전임자의 남은 임기로 한다.</t>
  </si>
  <si>
    <t>근로복지공단의 이사장은 산업재해 예방 사업에 필요한 재원을 확보하고, 보험급여에 충당하기 위하여 산업재해보상보험및예방기금을 설치・운용한다.</t>
  </si>
  <si>
    <t>10, 60, 60</t>
  </si>
  <si>
    <t>환수금을 환수할 권리는 3년간 행사하지 아니하면 소멸시효가 완성된다.</t>
  </si>
  <si>
    <t>직장가입자가 다른 적용대상사업장의 근로자로 사용된 날</t>
  </si>
  <si>
    <t>직장가입자의 보수월액보험료는 보수월액에 보험료율을 곱하여 얻은 금액으로 한다.</t>
  </si>
  <si>
    <t>월별보험료 납입을 전자문서로 고지한 경우에는 소멸시효가 중단되지 않는다.</t>
  </si>
  <si>
    <t>사업장의 이전으로 사업의 소재지를 파악하기 곤란한 경우 기준보수를 보수로 할 수 있다.</t>
  </si>
  <si>
    <t>10, 3, 15</t>
  </si>
  <si>
    <t>"하수급인"이란 원수급인으로부터 그 사업의 전부 또는 일부를 도급받아 하는 자를 말하고, 그 자로부터 그 사업의 전부 또는 일부를 도급받아 하는 자는 제외한다.</t>
  </si>
  <si>
    <t>가입사업주가 그 사업의 운영 중에 근로자를 고용하지 아니하게 된 때에 근로자를 사용하지 아니한 첫 날부터 1년이 되는 날이 소멸일이다.</t>
  </si>
  <si>
    <t>공공부조, 사회서비스, 사회안전망</t>
  </si>
  <si>
    <t>대통령이 위촉한 근로자를 대표하는 위원은 어떤 경우에도 해촉될 수 없다.</t>
  </si>
  <si>
    <t>15일</t>
  </si>
  <si>
    <t>구직급여를 지급받기 위해 실업을 신고하려는 자가 사업주로부터 이직확인서를 발급받는 경우에는 이를 소재지 관할 직업안정기관의 장에게 제출하여야 한다.</t>
  </si>
  <si>
    <t>100만원</t>
  </si>
  <si>
    <t>고용노동부장관이 부정수급 조사를 위하여 관계인의 출석을 요구함에도 출석을 거부하는 경우</t>
  </si>
  <si>
    <t>28세 비장애인 : 120일</t>
  </si>
  <si>
    <t>최저임금액</t>
  </si>
  <si>
    <t>상병보상연금을 받는 훈련대상자에게는 직업훈련수당을 지급하지 아니한다.</t>
  </si>
  <si>
    <t>업무수행 과정에서 석면에 노출되어 발생한 석면폐증은 업무상 질병으로 본다.</t>
  </si>
  <si>
    <t>ㄱ: 1, ㄴ: 2</t>
  </si>
  <si>
    <t>업무수행 과정에서 하는 용변 등 생리적 필요 행위를 하던 중 발생한 사고</t>
  </si>
  <si>
    <t>ㄱ: 10, ㄴ: 3</t>
  </si>
  <si>
    <t>국외에 체류하는 경우</t>
  </si>
  <si>
    <t>사업주는 사업의 폐지・종료 등으로 보험관계가 소멸한 때에는 그 보험관계가 소멸한 날이 속하는 달의 다음 달 15일까지 근로자에게 지급한 보수총액 등을 근로복지공단에 신고하여야 한다.</t>
  </si>
  <si>
    <t>해외파견자에 대한 산재보험 가입의 승인을 받은 경우 파견예정자의 보험관계 성립일은 출국한 날의 다음 날이다.</t>
  </si>
  <si>
    <t>ㄱ: 60, ㄴ: 18</t>
  </si>
  <si>
    <t>산업재해보상보험법을 적용받는 사업의 사업주는 당연히 산업재해보상보험법에 따른 산업재해보상보험의 보험가입자가 된다.</t>
  </si>
  <si>
    <t>국민건강보험공단은 체납된 보험료, 이 법에 따른 그 밖의 징수금과 체납처분비와 관련하여 행정소송이 계류 중인 경우에는 체납자의 인적사항등을 공개할 수 없다.</t>
  </si>
  <si>
    <t>ㄱ: 75, ㄴ: 25</t>
  </si>
  <si>
    <t>국가와 지방자치단체는 공공부문과 민간부문의 소득보장제도가 각각 독자적으로 구축될 수 있는 시책을 강구하여야 한다.</t>
  </si>
  <si>
    <t>관계 중앙행정기관의 장과 지방자치단체의 장은 사회보장위원회의 심의・조정사항을 반영하여 사회보장제도를 운영 또는 개선하여야 한다.</t>
  </si>
  <si>
    <t>사회보장급여는 관계 법령에 따라 국가나 지방자치단체에 신청하여야 한다. 다만, 관계 법령이 따로 정하는 경우는 국가나 지방자치단체가 직권으로 결정할 수 있다.</t>
  </si>
  <si>
    <t>조기재취업 수당 지원</t>
  </si>
  <si>
    <t>근로자를 전혀 사용하지 아니하는 자영업자는 자신을 피보험자로 하여 조기재취업수당을 지급받을 수 있다.</t>
  </si>
  <si>
    <t>적용 제외 근로자였던 자가 고용보험법의 적용을 받게 된 경우에는 그 적용을 받게 된 날의 다음 날에 피보험자격을 취득한 것으로 본다.</t>
  </si>
  <si>
    <t>청구인의 배우자</t>
  </si>
  <si>
    <t>자기 사정으로 이직한 피보험자로서 전직 또는 자영업을 하기 위하여 이직한 경우</t>
  </si>
  <si>
    <t>심사 청구 및 재심사 청구에 관하여 산업재해보상보험법에서 정하고 있지 아니한 사항에 대하여는 행정소송법에 따른다.</t>
  </si>
  <si>
    <t>재요양의 대상이 되는 부상 또는 질병의 상태가 치유 당시보다 악화된 경우로서 나이나 그 밖에 업무 외의 사유로 악화된 경우가 아닐 것</t>
  </si>
  <si>
    <t>요양급여는 근로자가 업무상의 사유로 부상을 당하거나 질병에 걸린 경우에 그 보험가입자에게 지급한다.</t>
  </si>
  <si>
    <t>업무상 질병의 인정 여부를 심의하기 위하여 고용노동부에 업무상질병판정위원회를 둔다.</t>
  </si>
  <si>
    <t>유족보상연금의 지급은 그 지급받을 권리가 소멸한 달의 다음 달 말일에 끝난다.</t>
  </si>
  <si>
    <t>기본연금액의 90%에 부양가족연금액을 더한 금액</t>
  </si>
  <si>
    <t>보수가 지급되지 아니하는 사용자의 보수월액은 객관적인 자료를 통하여 확인된 금액으로 하고, 객관적인 자료가 없는 경우에는 사용자의 신고금액으로 한다.</t>
  </si>
  <si>
    <t>요양급여의 적정성 평가</t>
  </si>
  <si>
    <t>사업이 폐업된 날의 다음 날</t>
  </si>
  <si>
    <t>고용보험료율을 결정하거나 변경하려면 고용보험법에 따른 고용보험위원회의 심의를 거쳐야 한다.</t>
  </si>
  <si>
    <t>국세를 체납한 경우</t>
  </si>
  <si>
    <t>근로자가 월의 중간에 동일한 사업주의 하나의 사업장에서 다른 사업장으로 전근되는 경우 그 근로자에 대한 그 월별보험료는 해당 월의 다음 달부터 산정한다.</t>
  </si>
  <si>
    <t>공공부조란 국가와 지방자치단체의 책임 하에 노동능력이 없는 국민의 인간다운 생활을 보장하는 제도를 말한다.</t>
  </si>
  <si>
    <t>사회보장수급권은 정당한 권한이 있는 기관에 서면으로 통지하여 포기할 수 있다.</t>
  </si>
  <si>
    <t>사회보험은 국가의 책임으로 시행하고, 공공부조와 사회서비스는 국가와 지방자치단체의 책임으로 시행함을 원칙으로 한다.</t>
  </si>
  <si>
    <t>부담 능력이 있는 국민에 대한 사회서비스에 드는 비용은 국가와 지방자치단체가 부담하는 것을 원칙으로 한다.</t>
  </si>
  <si>
    <t>재취업을 위한 노력을 적극적으로 하여야 한다.</t>
  </si>
  <si>
    <t>150일</t>
  </si>
  <si>
    <t>심사의 청구는 원처분등을 한 직업안정기관을 거쳐 고용보험심사관에게 하여야 한다.</t>
  </si>
  <si>
    <t>160만원</t>
  </si>
  <si>
    <t>가사서비스업에 종사 중인 자</t>
  </si>
  <si>
    <t>한국표준직업분류표의 세세분류에 따른 채권추심원</t>
  </si>
  <si>
    <t>소비자물가변동률, 61세, 전체 근로자의 임금 평균액의 증감률</t>
  </si>
  <si>
    <t>국가는 회계연도마다 예산의 범위에서 보험사업의 사무 집행에 드는 비용을 일반회계에서 부담하여야 한다.</t>
  </si>
  <si>
    <t>업무상질병판정위원회는 위원장 1명을 포함하여 60명 이내의 위원으로 구성한다.</t>
  </si>
  <si>
    <t>빌딩 경비원이 불법침입자를 퇴거시키는 과정에서 몸싸움 중 발생한 사고</t>
  </si>
  <si>
    <t>ㄱ: 60일, ㄴ: 7일, ㄷ: 90일</t>
  </si>
  <si>
    <t>장애연금</t>
  </si>
  <si>
    <t>ㄱ: 20, ㄴ: 18, ㄷ: 10, ㄹ: 60</t>
  </si>
  <si>
    <t>의료급여법에 따라 의료급여를 받는 자</t>
  </si>
  <si>
    <t>가입자 및 피부양자의 자격에 관한 국민건강보험공단의 처분에 이의가 있는 자는 건강보험분쟁조정위원회에 이의신청을 할 수 있다.</t>
  </si>
  <si>
    <t>월별보험료는 국민건강보험공단이 징수한다.</t>
  </si>
  <si>
    <t>상속이 개시된 때에 상속인은 피상속인에게 부과되거나 피상속인이 내야 하는 보험료를 상속받은 재산의 한도에서 낼 의무를 진다.</t>
  </si>
  <si>
    <t>사업이 여러 차례의 도급에 의하여 행하여지는 경우에 최초로 사업을 도급받아 행하는 자를 원수급인이라 한다.</t>
  </si>
  <si>
    <t>보험료를 징수하거나 반환받을 수 있는 권리는 3년간 행사하지 아니하면 시효로 인하여 소멸한다.</t>
  </si>
  <si>
    <t>보험료 체납자의 재산조회를 위한 국민건강보험공단 이사장의 금융거래정보 제공요청에 응하는 과정에서 금융거래정보를 알게 된 자가 이를 타인에게 제공한 경우</t>
  </si>
  <si>
    <t>사회보험</t>
  </si>
  <si>
    <t>사회보장 기본계획은 사회보장위원회의 심의만으로 확정한다.</t>
  </si>
  <si>
    <t>국가는 사회보장정보시스템을 구축・운영할 수 있다.</t>
  </si>
  <si>
    <t>기업 및 노동조합은 사회보장급여에 필요한 비용의 부담, 정보의 제공 등 국가의 사회보장정책에 협력할 수 있다.</t>
  </si>
  <si>
    <t>별정우체국법에 따른 별정우체국 직원</t>
  </si>
  <si>
    <t>고용보험기금계정은 모든 고용보험사업을 통합하여 관리한다.</t>
  </si>
  <si>
    <t>심사청구인 또는 재심사청구인은 법정대리인 외에 청구인인 법인의 임원 또는 직원을 대리인으로 선임할 수 있다.</t>
  </si>
  <si>
    <t>자영업자인 피보험자로서 폐업한 수급자격자에 대한 구직급여일액은 그 수급자격자의 기초일액에 100분의 60을 곱한 금액으로 한다.</t>
  </si>
  <si>
    <t>피보험자가 육아휴직 급여 기간 중에 그 사업에서 이직(離職)한 경우에는 그 이직하였을 때부터 육아휴직 급여를 지급하지 아니한다.</t>
  </si>
  <si>
    <t>근로복지공단이 아닌 자가 근로복지공단 또는 이와 비슷한 명칭을 사용한 경우</t>
  </si>
  <si>
    <t>수급권자가 동일한 사유에 대하여 산업재해보상보험법에 따른 보험급여를 받으면 보험가입자는 민법에 따른 손해배상 책임이 전부 면제된다.</t>
  </si>
  <si>
    <t>ㄱ : 47, ㄴ :  5, ㄷ : 20, ㄹ : 20</t>
  </si>
  <si>
    <t>근로자를 진료한 산재보험 의료기관은 그 근로자의 재해가 업무상의 재해로 판단되면 그 근로자의 동의없이 요양급여의 신청을 대행할 수 있다.</t>
  </si>
  <si>
    <t>위원장 1명을 포함하여 50명 이내의 위원으로 구성한다.</t>
  </si>
  <si>
    <t>장해</t>
  </si>
  <si>
    <t>배우자인 유족연금 수급권자가 재혼한 때</t>
  </si>
  <si>
    <t>ㄱ : 10, ㄴ : 60, ㄷ : 55</t>
  </si>
  <si>
    <t>국적을 잃은 날의 다음 날</t>
  </si>
  <si>
    <t>다른 법령에 따라 국가로부터 보험급여에 상당하는 비용을 지급받게 되는 경우</t>
  </si>
  <si>
    <t>"근로자"란 근로기준법에 따른 근로자를 말한다.</t>
  </si>
  <si>
    <t>근로복지공단은 보험사무대행기관이 정당한 사유 없이 계속하여 2개월 이상 보험사무를 중단한 경우에는 그 인가를 취소할 수 있다.</t>
  </si>
  <si>
    <t>100분의 20</t>
  </si>
  <si>
    <t>ㄱ : 1년, ㄴ : 1억원</t>
  </si>
  <si>
    <t>ㄱ : 7,   ㄴ : 국민건강보험공단</t>
  </si>
  <si>
    <t>사회보장 업무에 종사하는 자는 사회보장과 관련하여 알게 된 개인・법인 또는 단체의 비밀을 관계 법령에서 정하는 바에 따라 보호하여야 한다.</t>
  </si>
  <si>
    <t>사회보장 장기발전방향에는 사회보장 관련 기금 운용방안이 포함되어야 한다.</t>
  </si>
  <si>
    <t>부담 능력에 관계없이 사회복지서비스에 드는 비용은 그 수익자가 부담함을 원칙으로 한다.</t>
  </si>
  <si>
    <t>둘 이상의 부처에 관련되는 주요 사회보장정책</t>
  </si>
  <si>
    <t>240만원</t>
  </si>
  <si>
    <t>다른 사업장에서 고용촉진 지원금의 지급대상이 된 후 자발적으로 이직한 사람을 이직한 날부터 1년 이내에 고용하는 경우</t>
  </si>
  <si>
    <t>조기재취업 수당</t>
  </si>
  <si>
    <t>사업주가 피보험자격에 관한 사항을 신고하지 아니하면 근로자가 신고할 수 있다.</t>
  </si>
  <si>
    <t>형제의 질병</t>
  </si>
  <si>
    <t>체육시설의 설치・이용에 관한 법률에 따라 체육시설업의 등록을 한 골프장에서 골프경기를 보조하는 골프장 캐디</t>
  </si>
  <si>
    <t>장해란 업무상의 부상 또는 질병에 따른 정신적 또는 육체적 훼손으로 노동능력이 상실되거나 감소된 상태로서 그 부상 또는 질병이 치유되지 아니한 상태를 말한다.</t>
  </si>
  <si>
    <t>ㄱ : 제척, ㄴ : 기피</t>
  </si>
  <si>
    <t>휴업급여</t>
  </si>
  <si>
    <t>가입자의 가입 종류가 변동되면 그 가입자의 가입기간은 각 종류별 가입기간을 합산한 기간으로 한다.</t>
  </si>
  <si>
    <t>65세인 부(父)</t>
  </si>
  <si>
    <t>ㄱ : 건강보험심사평가원, ㄴ : 국민건강보험공단,    ㄷ : 90,   ㄹ : 보건복지부</t>
  </si>
  <si>
    <t>계약이 체결된 경우 그 계약은 국민건강보험공단과 각 요양기관 간에 체결된 것으로 본다.</t>
  </si>
  <si>
    <t>특수형태근로종사자와 사업주에 대한 산업재해보상보험료 산정의 기초가 되는 보수액</t>
  </si>
  <si>
    <t>체납처분 절차에 따라 하는 교부청구가 있으면 소멸시효가 중단된다.</t>
  </si>
  <si>
    <t>ㄷ-ㄴ-ㄱ-ㅁ-ㄹ</t>
  </si>
  <si>
    <t>사업주 및 근로자가 고용보험의 당연가입자가 되는 사업이 사업규모의 변동 등의 사유로 적용 제외 사업에 해당하게 되었을 때에는 그 날부터 임의가입에 의하여 고용보험에 가입한 것으로 본다.</t>
  </si>
  <si>
    <t>사회보장수급권은 관계 법령에서 정하는 바에 따라 타인에게 양도하거나 담보로 제공할 수 없으며, 이를 압류할 수 없다.</t>
  </si>
  <si>
    <t>국가와 지방자치단체는 사회보장제도에 필요한 재원을 조달하여야 한다.</t>
  </si>
  <si>
    <t>고용보험위원회에서 심의・의결한 성장유망업종에 해당하는 창업기업이 다른 기업으로부터 전문인력을 지원받아 사용하는 경우</t>
  </si>
  <si>
    <t>4년</t>
  </si>
  <si>
    <t>근로의 의사와 능력이 있음에도 불구하고 취업하지 못한 상태에 있을 것</t>
  </si>
  <si>
    <t>전직을 하기 위하여 이직한 경우</t>
  </si>
  <si>
    <t>2000년 3월 1일, 2011년 5월 2일</t>
  </si>
  <si>
    <t>ㄱ : 100분의 40   ㄴ : 200 ㄷ : 100</t>
  </si>
  <si>
    <t>제3자에 대한 구상권은 제3자와 보험가입자의 공동불법행위로 인하여 업무상 재해가 발생한 경우에도 행사할 수 있다.</t>
  </si>
  <si>
    <t>연금의 지급일이 토요일이거나 공휴일이면 그 익일에 지급한다.</t>
  </si>
  <si>
    <t>인과관계는 반드시 의학적・자연과학적으로 명백히 입증되어야 하는 것은 아니다.</t>
  </si>
  <si>
    <t>수급자격자인 자녀가 18세가 된 경우</t>
  </si>
  <si>
    <t>산업재해보상보험법이 적용되는 사업에서 현장 실습을 하고 있는 학생 및 직업훈련생 중 고용노동부장관이 정하는 자</t>
  </si>
  <si>
    <t>유족급여 또는 진폐유족연금에 갈음하여 지급한다.</t>
  </si>
  <si>
    <t>국민기초생활 보장법에 따른 수급자는 지역가입자에서 제외된다.</t>
  </si>
  <si>
    <t>보험급여를 받을 수 있는 자가 업무상 질병・부상・재해로 인하여 다른 법령에 의한 보험급여를 받게 되는 때에는 보험급여를 하지 아니한다.</t>
  </si>
  <si>
    <t>의료급여법에 따라 의료급여를 받는 자는 국민건강보험법의 적용대상자가 아니다.</t>
  </si>
  <si>
    <t>소멸시효가 완성된 경우</t>
  </si>
  <si>
    <t>납부장소</t>
  </si>
  <si>
    <t>사업이 끝난 날</t>
  </si>
  <si>
    <t>ㄱ : 1천분의 30,   ㄴ : 1천분의 9</t>
  </si>
  <si>
    <t>위원장 1명과 부위원장 2명을 포함하여 위원 30명 이내로 구성한다.</t>
  </si>
  <si>
    <t>사회보장제도의 급여수준 및 비용부담 등에 있어 형평성을 유지하여야 한다.</t>
  </si>
  <si>
    <t>사회복지서비스란 국민에게 발생하는 사회적 위험을 보험방식에 의하여 대처함으로써 국민건강과 소득을 보장하는 제도를 말한다.</t>
  </si>
  <si>
    <t>사회보장수급권은 관계 법령에서 정하는 바에 따라 타인에게 양도하거나 담보로 제공할 수 있으나, 이를 압류할 수 없다.</t>
  </si>
  <si>
    <t>상시 3명의 근로자를 사용하는 물품판매업</t>
  </si>
  <si>
    <t>개별연장급여 또는 특별연장급여를 지급하는 경우에 그 일액은 해당 수급자격자의 구직급여일액의 100분의 80을 곱한 금액으로 한다.</t>
  </si>
  <si>
    <t>채용관련 행사에 방문한 경우</t>
  </si>
  <si>
    <t>사업장에서 본인의 의사에 반하여 성희롱, 성폭력, 그 밖의 성적인 괴롭힘을 당한 경우</t>
  </si>
  <si>
    <t>업무와 관련하여 기존 질병이 악화된 경우</t>
  </si>
  <si>
    <t>장의비</t>
  </si>
  <si>
    <t>항행 중인 선박에 타고 있던 근로자가 행방불명되어 그 생사가 행방불명된 날부터 3개월간 밝혀지지 아니한 경우 사망한 것으로 추정할 수 있다.</t>
  </si>
  <si>
    <t>59세 부모</t>
  </si>
  <si>
    <t>지급한 보험급여액의 2배까지 대위할 수 있다.</t>
  </si>
  <si>
    <t>재심사 청구는 심사 청구에 대한 산업재해보상보험심사위원회의 결정이 있음을 안 날부터 90일 이내에 제기하여야 한다.</t>
  </si>
  <si>
    <t>임신・출산 진료비</t>
  </si>
  <si>
    <t>분할연금액은 배우자였던 자의 노령연금액 중 혼인기간에 해당하는 연금액을 균등하게 나눈 금액으로 한다.</t>
  </si>
  <si>
    <t>일상생활에 지장이 없는 질환은 요양급여 대상에서 제외할 수 있다.</t>
  </si>
  <si>
    <t>직장가입자가 교도소에 수용되어 있는 경우에 그 기간 중 당해 가입자의 보험료는 면제한다.</t>
  </si>
  <si>
    <t>공동사업에 관계되는 보험료, 이 법에 따른 그 밖의 징수금과 체납처분비는 공동사업자가 연대하여 납부할 의무가 없다.</t>
  </si>
  <si>
    <t>임의가입 사업주가 산업재해보상보험계약을 해지하고자 할 때에는 공단의 승인을 얻어야 한다.</t>
  </si>
  <si>
    <t>A : 7일,   B : 14일</t>
  </si>
  <si>
    <t>원칙적으로 사업주는 개산보험료를 산정하여 납부하고, 확정보험료에 따라 정산한다.</t>
  </si>
  <si>
    <t>보건복지부장관은 사회보장정보시스템을 통해 다른 법령에 따라 국가 및 지방자치단체로부터 위탁받은 사회보장에 관한 업무를 수행할 수 있다.</t>
  </si>
  <si>
    <t>보건복지부장관은 마련한 재정추계 세부지침에 따라 추계를 실시하는 해의 9월 30일까지 재정추계를 하고, 그 결과를 사회보장위원회의 심의를 거쳐 같은 해 10월 31일까지 관계 중앙행정기관의 장에게 통보하여야 한다.</t>
  </si>
  <si>
    <t>210일</t>
  </si>
  <si>
    <t>ㄱ: 100분의 80, ㄴ: 100</t>
  </si>
  <si>
    <t>고용보험 피보험자격을 취득한 임기제 공무원이 공무원 신분의 변동에 따라 계속하여 다른 임기제 공무원으로 임용된 때에는 별도의 가입신청을 하지 않은 경우에도 고용보험의 피보험자격을 유지한다.</t>
  </si>
  <si>
    <t>실업급여수급계좌에 입금된 실업급여 금액 전액 이하의 금액에 관한 채권은 압류할 수 없다.</t>
  </si>
  <si>
    <t>개별연장급여를 지급받고 있는 수급자격자가 훈련연장급여를 지급받게 되면 개별연장급여를 지급하지 아니한다.</t>
  </si>
  <si>
    <t>80, 60</t>
  </si>
  <si>
    <t>ㄱ: 1일, ㄴ: 180일</t>
  </si>
  <si>
    <t>위원회의 위원 중 정부를 대표하는 사람은 임명의 대상이 된다.</t>
  </si>
  <si>
    <t>근로자를 대표하는 위원의 임기는 3년으로 하되, 연임할 수 있다.</t>
  </si>
  <si>
    <t>근로복지공단은 근로자의 사망 당시 태아였던 자녀가 출생한 경우 유족보상연금 수급권자의 청구에 의하거나 직권으로 그 사유가 발생한 달 분부터 유족보상연금의 금액을 조정한다.</t>
  </si>
  <si>
    <t>보험을 모집하는 사람으로서「새마을금고법」및「신용협동조합법」에 따른 공제의 모집을 전업으로 하는 사람은 노무제공자의 범위에 포함된다.</t>
  </si>
  <si>
    <t>장례비 최저금액은 전년도 장례비 수급권자에게 지급된 1명당 평균 장례비 90일분 + 최저 보상기준 금액의 30일분으로 산정한다.</t>
  </si>
  <si>
    <t>산업재해보상보험 관련 업무에 5년 이상 종사한 사람은 위원이 될 수 있다.</t>
  </si>
  <si>
    <t>"치유"란 부상 또는 질병이 완치되거나 치료의 효과를 더 이상 기대할 수 없고 그 증상이 고정된 상태에 이르게 된 것을 말한다.</t>
  </si>
  <si>
    <t>상병보상연금을 지급받는 경우 요양급여와 휴업급여는 지급되지 아니한다.</t>
  </si>
  <si>
    <t>제1항에 따른 직장적응훈련비 및 재활운동비는 고용노동부장관이 직장적응훈련 또는 재활운동에 드는 비용을 고려하여 고시하는 금액의 범위에서 실제 드는 비용으로 하되, 그 지급기간은 (ㄴ)개월 이내로 한다.
① ㄱ: 3, ㄴ: 3 
② ㄱ: 3, ㄴ: 6 
③ ㄱ: 6, ㄴ: 6</t>
  </si>
  <si>
    <t>장애등급이 2급 이상인 장애연금 수급권자가 사망하면 그 유족에게 유족연금을 지급한다.</t>
  </si>
  <si>
    <t>청구인은 결정이 있기 전까지는 언제든지 심사청구를 문서로 취하할 수 있다.</t>
  </si>
  <si>
    <t>국민건강보험공단은 법 제95조제1항에 따라 제2차 납부의무자의 연금보험료, 연체금, 체납처분비의 납부를 독촉할 때에는 납부 기한이 지난 후 (ㄷ) 이내에 제2차 납부의무자에게 독촉장을 발부하여야 한다.
① ㄱ: 10일, ㄴ: 1개월, ㄷ: 10일 
② ㄱ: 20일, ㄴ: 1개월, ㄷ: 20일
③ ㄱ: 20일, ㄴ: 3개월, ㄷ: 20일</t>
  </si>
  <si>
    <t>보건복지부장관은 다음 연도의 국민연금기금운용지침안을 작성하여 4월 말일까지 국민연금기금운용위원회에 제출하여야 하고, 국민연금기금운용위원회는 국민연금기금운용지침안을 5월 말일까지 심의・의결하여야 한다.</t>
  </si>
  <si>
    <t>공단은 주된 사무소의 소재지에서 설립등기를 함으로써 성립한다.</t>
  </si>
  <si>
    <t>도급(都給)으로 보수가 정해지는 경우에 직장가입자의 자격을 취득하거나 자격이 변동된 달의 전 1개월 동안에 그 사업장에서 해당 직장가입자와 같은 업무에 종사하고 같은 보수를 받는 사람의 보수액을 평균한 금액을 해당 직장가입자의 보수월액으로 결정한다.</t>
  </si>
  <si>
    <t>자영업자의 고용보험료는 근로복지공단이 매월 부과하고 징수한다.</t>
  </si>
  <si>
    <t>강제집행을 받은 경우</t>
  </si>
  <si>
    <t>보험료율 인상으로 증액 조정된 보험료의 추가 납부를 통지받은 사업주는 납부기한까지 증액된 보험료를 내야 한다. 다만, 근로복지공단 또는 국민건강보험공단은 정당한 사유가 있다고 인정되는 경우에는 30일의 범위에서 그 납부기한을 한 번 연장할 수 있다.</t>
  </si>
  <si>
    <t>1년</t>
  </si>
  <si>
    <t>ㄱ - c, ㄴ - e</t>
  </si>
  <si>
    <t>부담 능력이 있는 국민에 대한 사회서비스에 드는 비용은 국가가 부담함을 원칙으로 한다.</t>
  </si>
  <si>
    <t>국가와 지방자치단체는 효과적인 사회보장정책의 수립・시행을 위하여 사회보장에 관한 통계를 작성・관리할 수 있다.</t>
  </si>
  <si>
    <t>수급자격자가 사망한 경우 그 수급자격자에게 지급되어야 할 구직급여로서 아직 지급되지 않은 구직급여의 지급을 청구하려는 사람은 미지급 실업급여 청구서를 사망한 수급자격자의 신청지 관할 직업안정기관의 장에게 제출하여야 한다.</t>
  </si>
  <si>
    <t>ㄱ: 2, ㄴ: 3분의 2 이상 10분의 7 이하</t>
  </si>
  <si>
    <t>위원회의 위원장이 부득이한 사유로 직무를 수행할 수 없을 때에는 위원장이 미리 지명하는 위원이 그 직무를 대행한다.</t>
  </si>
  <si>
    <t>심사관은 심사의 청구에 대한 심리를 위하여 필요하다고 인정하면 심사청구인의 신청 또는 직권으로 심사청구인 또는 관계인을 지정 장소에 출석하게 하여 질문하거나 의견을 진술하게 할 수 있다.</t>
  </si>
  <si>
    <t>자영업자인 피보험자로서 폐업한 수급자격자에 대한 소정급여일수는 대기기간이 끝난 다음 날부터 계산하기 시작하여 피보험기간이 5년 이상 10년 미만이면 180일까지로 한다.</t>
  </si>
  <si>
    <t>고용보험위원회에서 심의・의결한 업종에 해당하는 우선지원대상기업이 고용노동부장관이 정하는 전문적인 자격을 갖춘 자를 고용하는 경우</t>
  </si>
  <si>
    <t>보험급여 결정등에 대하여는 「행정심판법」에 따른 행정심판을 제기할 수 없다.</t>
  </si>
  <si>
    <t>천재지변・화재 등 사업장 내에 발생한 돌발적인 사고에 따른 긴급피난・구조행위 등 사회통념상 예견되는 행위를 하던 중에 발생한 사고</t>
  </si>
  <si>
    <t>유해・위험요인에 지속적으로 소량 노출되어 나타나는 만성 중독 증상 또는 소견 등의 질병</t>
  </si>
  <si>
    <t>5개월</t>
  </si>
  <si>
    <t>직장가입자의 배우자의 직계비속</t>
  </si>
  <si>
    <t>국민건강보험공단은 보험급여를 받을 수 있는 사람이 고의 또는 중대한 과실로 국민건강보험공단이나 요양기관의 요양에 관한 지시에 따르지 아니한 경우 보험급여를 하지 아니한다.</t>
  </si>
  <si>
    <t>보험료 납부의무가 있는 자는 가입자에 대한 그 달의 보험료를 그 달 말일까지 납부하여야 한다.</t>
  </si>
  <si>
    <t>직장가입자, 세대주인 지역가입자, 18세 이상인 지역가입자는 일반건강검진 대상이다.</t>
  </si>
  <si>
    <t>국민건강보험공단은 인정사항등의 공개가 결정된 자에 대하여 소명할 기회를 주어야 한다.</t>
  </si>
  <si>
    <t>1천분의 24</t>
  </si>
  <si>
    <t>C</t>
  </si>
  <si>
    <t>사회보험이란 국민에게 발생하는 사회적 위험을 보험의 방식으로 대처함으로써 국민의 건강과 소득을 보장하는 제도를 말한다.</t>
  </si>
  <si>
    <t>공공부조는 국가의 책임으로 시행하고, 사회보험과 사회서비스는 국가와 지방자치단체의 책임으로 시행하는 것을 원칙으로 한다.</t>
  </si>
  <si>
    <t>ㄱ: 3월 31일, ㄴ: 6월 30일</t>
  </si>
  <si>
    <t>사회보장수급권이 제한되거나 정지되는 경우에는 제한 또는 정지하는 목적에 필요한 최소한의 범위에 그쳐야 한다.</t>
  </si>
  <si>
    <t>근로자인 피보험자가 사망한 경우에는 사망한 날의 다음 날에 피보험자격을 상실한다.</t>
  </si>
  <si>
    <t>피보험기간 3년 - 소정급여일수 180일</t>
  </si>
  <si>
    <t>「초・중등교육법」에 따른 학교에서 운영하는 방과후 학교의 과정을 담당하는 강사</t>
  </si>
  <si>
    <t>기금수입징수관은 기금징수액보고서를 매월 말일을 기준으로 작성하여 다음 달 20일까지 고용노동부장관에게 제출하여야 한다.</t>
  </si>
  <si>
    <t>고용보험심사위원회의 재심사청구에 대한 심리는 공개하지 않음이 원칙이지만, 당사자의 양쪽 또는 어느 한 쪽이 신청한 경우에는 공개할 수 있다.</t>
  </si>
  <si>
    <t>「산업안전보건법」에 따른 산업재해 보상의 세부계획에 관한 사항</t>
  </si>
  <si>
    <t>벌목업 중 법인이 아닌 자의 사업으로서 상시근로자 수가 5명 미만인 사업</t>
  </si>
  <si>
    <t>사업주가 제공한 시설물 등을 이용하던 중 그 시설물 등의 결함이나 관리소홀로 발생한 사고</t>
  </si>
  <si>
    <t>ㄱ: 80, ㄴ: 80</t>
  </si>
  <si>
    <t>급여로 지급된 금액에 대하여는「조세특례제한법」이나 그 밖의 법률 또는 지방자치단체가 조례로 정하는 바에 따라 조세, 그 밖에 국가 또는 지방자치단체의 공과금을 감면할 수 없다.</t>
  </si>
  <si>
    <t>근로자가 근로를 제공하고 사용자로부터 지급받는 금품 중 퇴직금은 보수에서 제외한다.</t>
  </si>
  <si>
    <t>ㄱ: 근로복지공단, ㄴ: 근로복지공단, ㄷ: 근로복지공단</t>
  </si>
  <si>
    <t>고용보험법을 적용하지 아니하는 사업의 사업주가 고용보험에 가입된 경우 그 보험계약을 해지할 때에는 미리 근로복지공단의 승인을 받아야 한다.</t>
  </si>
  <si>
    <t>1만분의 35</t>
  </si>
  <si>
    <t>사업 또는 사업장의 이전 등으로 사업의 소재지를 파악하기 곤란한 경우에는 기준보수를 보수로 할 수 있다.</t>
  </si>
  <si>
    <t>사회보장위원회에 간사 1명을 두고, 간사는 보건복지부 사회복지정책실장으로 한다.</t>
  </si>
  <si>
    <t>사회보장수급권은 관계 법령에서 따로 정하고 있는 경우에는 제한될 수 있다.</t>
  </si>
  <si>
    <t>ㄱ: 30, ㄴ: 60, ㄷ: 60</t>
  </si>
  <si>
    <t>실업의 신고일부터 계산하기 시작하여 30일간은 대기기간으로 보아 구직급여를 지급하지 아니한다.</t>
  </si>
  <si>
    <t>ㄱ: 월 통상임금의 100분의 80에 해당하는 금액, ㄴ: 150만원</t>
  </si>
  <si>
    <t>자영업자인 피보험자는 피보험자격의 취득 및 상실에 관한 신고를 하지 아니한다.</t>
  </si>
  <si>
    <t>이황화탄소 중독증은 업무상질병판정위원회의 심의에서 제외되는 질병에 해당한다.</t>
  </si>
  <si>
    <t>유족보상연금 수급자격자인 손자녀가 25세가 된 때에는 그 자격을 잃는다.</t>
  </si>
  <si>
    <t>거짓이나 그 밖의 부정한 방법으로 보험급여를 받도록 시키거나 도와준 자</t>
  </si>
  <si>
    <t>해당 근로자의 13세 이상의 자녀 또는 형제자매도 간병을 할 수 있는 사람이다.</t>
  </si>
  <si>
    <t>지역가입자가 사업장가입자의 자격을 취득한 때에는 그에 해당하게 된 날에 그 자격을 상실한다.</t>
  </si>
  <si>
    <t>20세 이상인 지역가입자</t>
  </si>
  <si>
    <t>근로복지공단은 사업주에게 납부기한 20일 전까지 월별보험료의 납입을 고지하여야 한다.</t>
  </si>
  <si>
    <t>국민건강보험공단은 소멸시효가 완성된 경우에는 고용노동부장관의 승인을 받아 보험료와 이 법에 따른 그 밖의 징수금을 결손처분할 수 있다.</t>
  </si>
  <si>
    <t>근로복지공단이 계속하여 보험관계를 유지할 수 없다고 인정하여 그 보험관계를 소멸시키는 경우에는 그 소멸을 결정・통지한 날의 다음 날에 소멸한다.</t>
  </si>
  <si>
    <t>1만분의 65</t>
  </si>
  <si>
    <t>징수금의 독촉에 따라 중단된 소멸시효는 독촉에 의한 납부기한이 지난 때부터 새로 진행한다.</t>
  </si>
  <si>
    <t>사회보장수급권의 포기는 원칙적으로 취소할 수 없다.</t>
  </si>
  <si>
    <t>보건복지부장관은 관계 중앙행정기관의 장과 협의하여 사회보장 증진을 위하여 사회보장에 관한 기본계획을 5년마다 수립하여야 한다.</t>
  </si>
  <si>
    <t>구직급여를 지급받으려는 자는 이직 후 지체없이 직업안정기관에 출석하여 실업을 신고하여야 한다.</t>
  </si>
  <si>
    <t>「병역법」에 따른 의무복무</t>
  </si>
  <si>
    <t>위원장 1명을 포함한 15명 이내의 위원으로 구성한다.</t>
  </si>
  <si>
    <t>ㄱ: 2, ㄴ: 60</t>
  </si>
  <si>
    <t>보험급여에 관한 결정에 대해서는 「행정심판법」에 따른 행정심판을 제기할 수 있다.</t>
  </si>
  <si>
    <t>진폐유족연금은 사망 당시 진폐근로자에게 지급하고 있거나 지급하기로 결정된 진폐보상연금과 같은 금액으로 하되 유족보상연금을 초과할 수 없다.</t>
  </si>
  <si>
    <t>휴업급여를 받는 근로자가 60세가 되면 그 이후의 휴업급여는 감액하여 지급한다.</t>
  </si>
  <si>
    <t>직업훈련비용을 지급하는 훈련기간은 24개월 이내로 한다.</t>
  </si>
  <si>
    <t>거짓이나 그 밖의 부정한 방법으로 진료비나 약제비를 지급받은 경우</t>
  </si>
  <si>
    <t>지역가입자의 경우 국민연금가입 대상 제외자에 해당하게 된 날</t>
  </si>
  <si>
    <t>연금액은 지급사유에 따라 기본연금액과 부양가족연금액을 기초로 산정한다.</t>
  </si>
  <si>
    <t>상병수당</t>
  </si>
  <si>
    <t>ㄱ: 10, ㄴ: 1</t>
  </si>
  <si>
    <t>ㄱ: 3, ㄴ: 15</t>
  </si>
  <si>
    <t>ㄱ: 1, ㄴ: 1천분의 1, ㄷ : 1천분의 90</t>
  </si>
  <si>
    <t>사업주는 사업의 폐지 등으로 보험관계가 소멸한 때에는 그 보험관계가 소멸한 날부터 14일 이내에 근로자에게 지급한 보수총액 등을 근로복지공단에 신고하여야 한다.</t>
  </si>
  <si>
    <t>국가와 지방자치단체는 사회보장제도를 신설하거나 변경할 경우 기존 제도와의 관계, 사회보장 전달체계와 재정 등에 미치는 영향 등을 사전에 충분히 검토하고 상호협력하여 사회보장급여가 중복 또는 누락되지 아니하도록 하여야 한다.</t>
  </si>
  <si>
    <t>부담 능력이 있는 국민에 대한 사회서비스에 드는 비용은 그 수익자가 부담함을 원칙으로 한다.</t>
  </si>
  <si>
    <t>국민연금에 가입된 사업장에 종사하는 18세 미만 근로자는 사업장가입자가 되는 것으로 보나, 본인이 원하지 아니하면 사업장가입자가 되지 아니할 수 있다.</t>
  </si>
  <si>
    <t>피보험자가 사망한 경우에는 사망한 날에 그 피보험자격을 상실한다.</t>
  </si>
  <si>
    <t>법령을 위반하여 영업 정지를 받음에 따라 폐업한 경우가 아니어야 한다.</t>
  </si>
  <si>
    <t>재심사청구인은 법정대리인 외에 자신의 형제자매를 대리인으로 선임할 수 없다.</t>
  </si>
  <si>
    <t>3개월 평균임금</t>
  </si>
  <si>
    <t>상병보상연금을 받을 권리</t>
  </si>
  <si>
    <t>보험을 모집하는 보험업법에 따른 보험설계사</t>
  </si>
  <si>
    <t>보험료 부과에 관한 결정</t>
  </si>
  <si>
    <t>장해급여는 근로자가 업무상의 사유로 질병에 걸려 치유된 후 신체 등에 장해가 있는 경우에 한국장애인고용공단에서 지급한다.</t>
  </si>
  <si>
    <t>ㄱ: 60, ㄴ: 6, ㄷ: 12</t>
  </si>
  <si>
    <t>유족연금을 지급받을 수 있는 유족의 범위는 배우자, 자녀, 부모, 손자녀, 조부모 및 형제자매이다.</t>
  </si>
  <si>
    <t>보험급여를 받을 수 있는 사람이 국외에 여행 중인 경우 그 기간에는 보험급여를 하지 아니한다.</t>
  </si>
  <si>
    <t>지역가입자의 보험료는 그 가입자가 속한 세대의 지역가입자 전원이 연대하여 부담한다.</t>
  </si>
  <si>
    <t>직장가입자 중 휴직기간이 1개월 이상인 사람</t>
  </si>
  <si>
    <t>고용보험료를 징수하는 경우에는 근로자가 휴직기간 중에 사업주 외의 자로부터 지급받는 금품 일체는 보수로 보지 않는다.</t>
  </si>
  <si>
    <t>고용보험 피보험자의 자격 관리에 관한 사무</t>
  </si>
  <si>
    <t>근로복지공단은 소멸시효가 완성된 경우에는 고용노동부장관의 승인을 받아 보험료와 이 법에 따른 그 밖의 징수금을 결손처분할 수 있다.</t>
  </si>
  <si>
    <t>ㄱ: 100분의 30, ㄴ: 1천분의 13</t>
  </si>
  <si>
    <t>보험료율 인상으로 개산보험료가 증액된 때에는 근로복지공단이 징수한다.</t>
  </si>
  <si>
    <t>사회서비스란 사회적 위험을 보험의 방식으로 대처함으로써 국민의 건강과 소득을 보장하는 제도를 말한다.</t>
  </si>
  <si>
    <t>국가와 지방자치단체의 책임하에 생활 유지 능력이 없거나 생활이 어려운 국민의 최저생활을 보장하고 자립을 지원하는 제도를 공공부조라고 한다.</t>
  </si>
  <si>
    <t>국가와 지방자치단체가 조사하거나 제공받은 개인・법인의 정보는 이 법과 관련 법률에 근거하지 아니하고 보유, 이용, 제공되어서는 아니 된다.</t>
  </si>
  <si>
    <t>실업 : 근로의 의사와 능력이 있음에도 불구하고 취업하지 못한 상태에 있는 것을 말한다.</t>
  </si>
  <si>
    <t>60, 1</t>
  </si>
  <si>
    <t>피보험자 또는 피보험자였던 자는 언제든지 고용노동부장관에게 피보험자격의 취득 또는 상실에 관한 확인을 청구할 수 있다.</t>
  </si>
  <si>
    <t>자영업자가 아닌 피보험자의 피보험 단위기간은 피보험기간 중 보수 지급의 기초가 된 날을 합하여 계산한다.</t>
  </si>
  <si>
    <t>사업주가 고용유지조치 기간 동안 근로자를 새로 고용하는 경우에는 관할 직업안정기관의 장이 불가피하다고 인정하는 경우를 제외하고는 해당 달에 대한 고용유지지원금을 지급하지 아니한다.</t>
  </si>
  <si>
    <t>장례비는 장례를 지낼 유족이 없는 경우에는 평균임금의 120일분에 상당하는 금액의 범위에서 실제 드는 비용을 그 장례를 지낸 자에게 지급한다.</t>
  </si>
  <si>
    <t>근로복지공단은 제3자의 행위에 따른 재해로 보험급여를 지급한 경우에는 손해배상청구권을 대위할 수 없다.</t>
  </si>
  <si>
    <t>화물자동차 운수사업법에 따른 화물자동차 운송사업자</t>
  </si>
  <si>
    <t>보험급여 결정 등을 위하여 확인이 필요하다고 인정된 사업장의 조사를 방해한 경우</t>
  </si>
  <si>
    <t>3, 60</t>
  </si>
  <si>
    <t>공단은 보험급여를 받을 수 있는 사람이 다른 법령에 따라 국가나 지방자치단체로부터 보험급여에 상당하는 급여를 받은 경우에는 그 한도에서 보험급여를 하지 아니한다.</t>
  </si>
  <si>
    <t>보험료부과점수의 산정방법과 산정기준을 정할 때 법령에 따라 재산권의 행사가 제한되는 재산에 대하여는 다른 재산과 달리 정할 수 있다.</t>
  </si>
  <si>
    <t>사업주가 법이 정한 기한까지 확정보험료를 신고하지 않은 경우 부과한 보험료 가산금의 징수</t>
  </si>
  <si>
    <t>분할 납부의 승인과 취소에 관한 절차・방법, 분할 납부의 기간 및 납부능력 확인 등에 필요한 사항은 대통령령으로 정한다.</t>
  </si>
  <si>
    <t>한국자산관리공사는 공매대행의 의뢰를 받은 날부터 2년 이내에 공매되지 않은 재산이 있으면 국민건강보험공단에 그 재산에 대한 공매대행 의뢰의 해제를 요구할 수 있다.</t>
  </si>
  <si>
    <t>1년, 1000분의 15</t>
  </si>
  <si>
    <t>국가와 지방자치단체는 관계 법령에서 정하는 바에 따라 공표된 최저보장수준과 최저임금 등을 고려하여 사회보장급여의 수준을 결정하여야 한다.</t>
  </si>
  <si>
    <t>사회보장수급권이 제한되는 경우에는 제한하는 목적에 필요한 최소한의 범위에 그쳐야 한다.</t>
  </si>
  <si>
    <t>5년, 매년</t>
  </si>
  <si>
    <t>40만원</t>
  </si>
  <si>
    <t>고용보험위원회에서 심의・의결한 인력수급 불일치 업종에 해당하는 기업이 실업자를 고용하는 경우</t>
  </si>
  <si>
    <t>피보험기간 4년, 이직일 현재 40세인 비장애인: 120일</t>
  </si>
  <si>
    <t>고용노동부장관은 매년 고용보험기금의 운용 결과에 대하여 고용보험위원회의 심의를 거쳐 공표하여야 한다.</t>
  </si>
  <si>
    <t>유족보상일시금은 근로자가 사망할 당시 유족보상연금을 받을 수 있는 자격이 있는 자가 없는 경우에 지급한다.</t>
  </si>
  <si>
    <t>심사 청구서를 받은 근로복지공단의 소속 기관은 5일 이내에 의견서를 첨부하여 근로복지공단에 보내야 한다.</t>
  </si>
  <si>
    <t>80, 90</t>
  </si>
  <si>
    <t>대부업 등의 등록 및 금융이용자 보호에 관한 법률 제3조제1항 단서에 따른 대출모집인</t>
  </si>
  <si>
    <t>진폐의 진단결과에 대하여 진폐병형 및 합병증 등을 심사하기 위하여 안전보건공단에 관계 전문가 등으로 구성된 진폐심사회의를 둔다.</t>
  </si>
  <si>
    <t>고용노동부장관은 심신장애로 인하여 직무를 수행할 수 없게 된 경우 해당 위원을 해촉(解囑)할 수 있다.</t>
  </si>
  <si>
    <t>산업재해보상보험심사위원회는 근로복지공단에 두며, 산업재해보상보험재심사위원회는 고용노동부에 둔다.</t>
  </si>
  <si>
    <t>10, 65, 60</t>
  </si>
  <si>
    <t>급여를 받거나 과오납금을 반환받을 수급권자 또는 가입자 등의 권리는 3년간 행사하지 아니하면 소멸시효가 완성된다.</t>
  </si>
  <si>
    <t>직장가입자인 근로자등이 그 사용관계가 끝난 날</t>
  </si>
  <si>
    <t>직장가입자의 보수월액은 직장가입자가 지급받는 보수를 기준으로 하여 산정하되, 상한과 하한을 정할 수 있다.</t>
  </si>
  <si>
    <t>사업종류의 변경으로 보험료 납부방법이 변경되는 경우에는 사업종류의 변경일을 변경 전 사업 폐지일로, 사업종류의 변경일 다음 날을 새로운 사업성립일로 본다.</t>
  </si>
  <si>
    <t>근로일에 따라 일당 형식의 보수를 지급받는 근로자에게는 주당 소정근로시간을 실제 근로한 시간으로 보아 일단위 기준보수를 적용한다.</t>
  </si>
  <si>
    <t>15, 2, 15</t>
  </si>
  <si>
    <t>보험에 가입한 사업주는 그 이름, 사업의 소재지 등 대통령령으로 정하는 사항이 변경된 경우에는 그 날부터 7일 이내에 그 변경사항을 근로복지공단에 신고하여야 한다.</t>
  </si>
  <si>
    <t>근로복지공단이 계속하여 보험관계를 유지할 수 없다고 인정하여 그 보험관계를 소멸시키는 경우에는 그 소멸을 결정・통지한 날의 다음 날이 소멸일이다.</t>
  </si>
  <si>
    <t>사회보험, 공공부조, 사회서비스</t>
  </si>
  <si>
    <t>보궐위원의 임기는 2년으로 한다.</t>
  </si>
  <si>
    <t>30일</t>
  </si>
  <si>
    <t>직업안정기관의 장은 수급자격 인정신청서를 제출한 자가 구직급여의 수급자격이 인정되지 아니하는 경우에는 그 신청인과 사업주에게 해당 사실을 알려야 한다.</t>
  </si>
  <si>
    <t>실업급여수급계좌에 입금된 금액 전액</t>
  </si>
  <si>
    <t>심사의 청구를 받아 하는 고용보험심사관의 질문에 거짓으로 진술한 경우</t>
  </si>
  <si>
    <t>35세 비장애인 : 120일</t>
  </si>
  <si>
    <t>최저임금액의 100분의 120에 상당하는 금액</t>
  </si>
  <si>
    <t>직장적응훈련비의 지급기간은 3개월 이내로 한다.</t>
  </si>
  <si>
    <t>업무수행 과정에서 카드뮴 또는 그 화합물에 2년 이상 노출되어 발생한 후각신경마비는 업무상 질병으로 본다.</t>
  </si>
  <si>
    <t>ㄱ: 2, ㄴ: 1</t>
  </si>
  <si>
    <t>업무를 준비하거나 마무리하는 행위를 하던 중 발생한 사고</t>
  </si>
  <si>
    <t>고의로 국민건강보험공단의 지시를 따르지 않은 경우</t>
  </si>
  <si>
    <t>사업주는 전년도에 근로자에게 지급한 보수총액 등을 매년 1월 말일까지 근로복지공단에 신고하여야 한다.</t>
  </si>
  <si>
    <t>자영업자에 대한 특례에 따라 고용보험에 가입한 자영업자가 50명 이상의 근로자를 사용하게 된 경우에는 본인은 피보험자격을 유지할 수 없다.</t>
  </si>
  <si>
    <t>ㄱ: 60, ㄴ: 25</t>
  </si>
  <si>
    <t>고용보험법에 따라 같은 법을 적용하지 아니하는 사업장의 근로자는 개별적으로 고용보험에 가입할 수 있다.</t>
  </si>
  <si>
    <t>체납자의 인정사항등에 대한 공개 여부를 심의하기 위하여 국민건강보험공단에 보험료정보공개심의위원회를 둔다.</t>
  </si>
  <si>
    <t>ㄱ: 80, ㄴ: 20</t>
  </si>
  <si>
    <t>국가와 지방자치단체는 모든 국민이 생애 동안 삶의 질을 유지・증진할 수 있도록 평생사회안전망을 구축하여야 한다.</t>
  </si>
  <si>
    <t>사회보장위원회는 위원장 1명, 부위원장 3명과 행정자치부장관, 고용노동부장관, 여성가족부장관, 국토교통부장관을 포함한 20명 이내의 위원으로 구성한다.</t>
  </si>
  <si>
    <t>사회보장수급권은 관계 법령에서 따로 정하고 있는 경우에 압류할 수 있다.</t>
  </si>
  <si>
    <t>고용유지지원금의 지급</t>
  </si>
  <si>
    <t>구직급여의 산정 기초가 되는 임금일액(기초일액)의 상한액은 9만 6천원이다.</t>
  </si>
  <si>
    <t>피보험자가 적용 제외 근로자에 해당하게 된 경우에는 그 적용 제외 대상자가 된 날의 다음 날에 피보험자격을 상실한다.</t>
  </si>
  <si>
    <t>청구인이 가입한 노동조합의 위원장</t>
  </si>
  <si>
    <t>중대한 귀책사유가 있는 자가 해고되지 아니하고 사업주의 권고로 이직한 경우</t>
  </si>
  <si>
    <t>업무상질병판정위원회의 심의를 거친 보험급여에 관한 결정에 불복하는 자는 근로복지공단에 심사 청구를 하지 아니하고는 산업재해보상보험재심사위원회에 재심사 청구를 할 수 없다.</t>
  </si>
  <si>
    <t>재요양의 대상이 되는 부상 또는 질병의 상태가 재요양을 통해 호전되는 등 치료효과를 기대할 수 있을 것</t>
  </si>
  <si>
    <t>요양으로 취업하지 못한 기간이 3일 이내이면 휴업급여를 지급하지 아니한다.</t>
  </si>
  <si>
    <t>산업재해보상보험심사위원회는 근로복지공단의 결정에 대한 심사 청구를 심의하기 위하여 고용노동부에 두는 기구이다.</t>
  </si>
  <si>
    <t>진폐유족연금은 그 지급을 정지할 사유가 발생한 때에는 그 사유가 발생한 달의 다음 달 초일부터 그 사유가 소멸한 달의 말일까지 지급하지 아니한다.</t>
  </si>
  <si>
    <t>기본연금액의 80%에 부양가족연금액을 더한 금액</t>
  </si>
  <si>
    <t>직장가입자의 소득월액보험료 및 지역가입자의 보험료는 분기별로 납부할 수 있다.</t>
  </si>
  <si>
    <t>심사기준 및 평가기준의 개발</t>
  </si>
  <si>
    <t>사업 실체가 없는 등의 사유로 계속하여 보험관계를 유지할 수 없다고 인정하여 근로복지공단이 보험관계를 소멸시키는 경우에는 그 소멸을 결정・통지한 날의 다음 날</t>
  </si>
  <si>
    <t>산재보험료율은 매년 6월 30일 현재 과거 2년 동안의 보수총액에 대한 산재보험급여총액의 비율을 기초로 하여 정한다.</t>
  </si>
  <si>
    <t>사업주는 그 달의 월별보험료를 다음 달 15일까지 납부하여야 한다.</t>
  </si>
  <si>
    <t>국가는 관계 법령에서 정하는 바에 따라 최저생계비와 최저임금을 매년 공표하여야 한다.</t>
  </si>
  <si>
    <t>국가는 사회보장급여를 받으려는 사람을 대리하여 사회보장급여를 신청할 수 있다.</t>
  </si>
  <si>
    <t>국가와 지방자치단체는 사회보장제도의 정책 결정 및 시행 과정에 공익의 대표자 및 이해관계인 등을 참여시켜 이를 민주적으로 결정하고 시행하여야 한다.</t>
  </si>
  <si>
    <t>공공부조에 드는 비용의 전부 또는 일부는 국가와 지방자치단체가 부담한다.</t>
  </si>
  <si>
    <t>이직일 이전 18개월간 피보험 단위기간이 통산하여 180일 이상이어야 한다.</t>
  </si>
  <si>
    <t>심사의 청구는 확인 또는 처분이 있음을 안 날부터 90일 이내에 제기하여야 한다.</t>
  </si>
  <si>
    <t>200만원</t>
  </si>
  <si>
    <t>전체 근로자의 임금 평균액의 증감률, 60세, 소비자물가변동률</t>
  </si>
  <si>
    <t>산업재해보상보험 및 예방에 관한 중요 사항을 심의하기 위하여 고용노동부에 산업재해보상보험및예방심의위원회를 둔다.</t>
  </si>
  <si>
    <t>업무상 질병의 인정 여부를 심의하기 위하여 고용노동부장관 소속으로 업무상질병판정위원회를 둔다.</t>
  </si>
  <si>
    <t>사업장 내에서 사업주 몰래 카드놀이를 하던 중 천재지변으로 인하여 발생한 사고</t>
  </si>
  <si>
    <t>ㄱ: 90일, ㄴ: 5일, ㄷ: 60일</t>
  </si>
  <si>
    <t>유족연금</t>
  </si>
  <si>
    <t>ㄱ: 15, ㄴ: 18, ㄷ: 10, ㄹ: 60</t>
  </si>
  <si>
    <t>소재지가 일정하지 아니한 사업장의 근로자</t>
  </si>
  <si>
    <t>요양급여의 적정성 평가에 관한 심사평가원의 처분에 이의가 있는 요양기관은 심사평가원에 심판청구를 할 수 있다.</t>
  </si>
  <si>
    <t>보험료율이 인하된 경우 근로복지공단은 개산보험료를 감액 조정한다.</t>
  </si>
  <si>
    <t>공동사업에 관계되는 보험료는 공동사업자가 연대하여 낼 의무를 진다.</t>
  </si>
  <si>
    <t>원수급인으로부터 사업의 전부를 도급받은 자로부터 그 사업의 전부를 도급받아 하는 자는 하수급인에 해당한다.</t>
  </si>
  <si>
    <t>확정보험료의 소멸시효는 다음 보험연도의 첫날부터 진행한다.</t>
  </si>
  <si>
    <t>국민건강보험공단의 이사장으로부터 체납자의 재산조회를 위하여 금융거래정보의 제공을 요청받은 자가 정당한 사유 없이 그 제공을 거부한 경우</t>
  </si>
  <si>
    <t>공공부조</t>
  </si>
  <si>
    <t>사회보장에 관한 지역계획은 사회보장 기본계획과 연계되어야 할 필요는 없다.</t>
  </si>
  <si>
    <t>국가공무원법에 따른 일반직 공무원</t>
  </si>
  <si>
    <t>고용보험기금의 결산상 손실금이 생기면 적립금을 사용하여 이를 보전(補塡)할 수 없다.</t>
  </si>
  <si>
    <t>재심사의 청구는 원처분등을 행한 직업안정기관의 장을 상대방으로 한다.</t>
  </si>
  <si>
    <t>자영업자인 피보험자로부터 고용보험 및 산업재해보상보험의 보험료징수 등에 관한 법률에 따라 징수된 고용안정・직업능력개발 사업의 보험료 및 실업급여의 보험료는 각각 자영업자인 피보험자를 위한 그 사업에 드는 비용에 충당한다.</t>
  </si>
  <si>
    <t>피보험자가 육아휴직 급여 기간 중에 사업주로부터 금품을 지급받은 경우에는 그 사실을 근로복지공단 이사장에게 신고하여야 한다.</t>
  </si>
  <si>
    <t>산재보험 의료기관의 종사자로서 거짓이나 그 밖의 부정한 방법으로 진료비를 지급받은 경우</t>
  </si>
  <si>
    <t>보험급여는 지급 신청일부터 14일 이내에 지급하여야 한다.</t>
  </si>
  <si>
    <t>ㄱ : 47, ㄴ : 10, ㄷ : 20, ㄹ : 20</t>
  </si>
  <si>
    <t>위원장과 위원은 비상임으로 한다.</t>
  </si>
  <si>
    <t>폐질</t>
  </si>
  <si>
    <t>손자녀인 유족연금 수급권자가 다른 사람에게 입양된 때</t>
  </si>
  <si>
    <t>ㄱ : 10, ㄴ : 60, ㄷ : 65</t>
  </si>
  <si>
    <t>직장가입자의 피부양자가 된 날</t>
  </si>
  <si>
    <t>고의 또는 중대한 과실로 요양기관의 요양에 관한 지시에 따르지 아니한 경우</t>
  </si>
  <si>
    <t>"보수"란 근로기준법에 따른 임금을 말한다.</t>
  </si>
  <si>
    <t>근로복지공단은 보험사무대행기관이 보험사무를 거짓이나 그 밖의 부정한 방법으로 운영한 경우에는 그 인가를 취소할 수 있다.</t>
  </si>
  <si>
    <t>100분의 30</t>
  </si>
  <si>
    <t>ㄱ : 2년, ㄴ : 1억원</t>
  </si>
  <si>
    <t>ㄱ : 14, ㄴ : 근로복지공단</t>
  </si>
  <si>
    <t>국가와 지방자치단체는 사회보장에 관한 관계 법령에 규정된 권리를 해당 국민에게 의무적으로 설명하여야 한다.</t>
  </si>
  <si>
    <t>사회보장 장기발전방향은 국무회의의 심의를 거쳐 확정한다.</t>
  </si>
  <si>
    <t>공공부조에 드는 비용은 사용자, 피용자 및 자영업자가 부담하는 것을 원칙으로 한다.</t>
  </si>
  <si>
    <t>국가와 지방자치단체의 역할 및 비용 분담</t>
  </si>
  <si>
    <t>320만원</t>
  </si>
  <si>
    <t>사업주의 8촌 혈족을 고용하는 경우</t>
  </si>
  <si>
    <t>배우자의 직계존속의 부상</t>
  </si>
  <si>
    <t>건설기계관리법에 따라 등록된 덤프트럭을 소유하여 그 덤프트럭을 직접 운전하는 사람</t>
  </si>
  <si>
    <t>산업재해보상보험 및 예방에 관한 중요 사항을 심의하게 하기 위하여 고용노동부에 산업재해보상보험심사위원회를 둔다.</t>
  </si>
  <si>
    <t>ㄱ : 기피, ㄴ : 제척</t>
  </si>
  <si>
    <t>간병급여</t>
  </si>
  <si>
    <t>가입자의 자격을 상실한 후 다시 그 자격을 취득한 자에 대하여는 전후의 가입기간을 합산한다.</t>
  </si>
  <si>
    <t>장애등급 3급인 25세의 자녀</t>
  </si>
  <si>
    <t>ㄱ : 보건복지부,              ㄴ : 국민건강보험공단,    ㄷ : 180, ㄹ : 건강보험분쟁조정위원회</t>
  </si>
  <si>
    <t>계약기간 만료일의 60일 전까지 계약이 체결되지 아니하는 경우에는 전년도와 동일한 요양급여비용을 적용한다.</t>
  </si>
  <si>
    <t>해외파견자의 산업재해보상보험료 산정에 적용할 산업재해보상보험료율</t>
  </si>
  <si>
    <t>독촉으로 중단된 소멸시효는 독촉에 의한 납부기한이 지난 때부터 새로 진행한다.</t>
  </si>
  <si>
    <t>ㄷ-ㄴ-ㄱ-ㄹ-ㅁ</t>
  </si>
  <si>
    <t>근로복지공단은 사업실체가 없는 등의 사유로 계속하여 보험관계를 유지할 수 없다고 인정하는 경우에는 그 보험관계를 소멸시킬 수 있다.</t>
  </si>
  <si>
    <t>사회보장수급권은 관계 법령에서 따로 정하고 있는 경우에는 제한되거나 정지될 수 있다.</t>
  </si>
  <si>
    <t>근로시간 단축을 통하여 실업자를 고용함으로써 근로자 수가 증가한 경우</t>
  </si>
  <si>
    <t>5년</t>
  </si>
  <si>
    <t>이직사유가 수급자격의 제한 사유에 해당하지 아니할 것</t>
  </si>
  <si>
    <t>정당한 사유 없이 직업안정기관의 장이 소개하는 직업에 취직하는 것을 거부한 경우</t>
  </si>
  <si>
    <t>2000년 3월 2일, 2011년 5월 1일</t>
  </si>
  <si>
    <t>ㄱ : 100분의 50   ㄴ : 200 ㄷ : 100</t>
  </si>
  <si>
    <t>보험자가 구상할 수 있는 대상채권에는 정신적 손해의 전보도 포함된다.</t>
  </si>
  <si>
    <t>연금은 매년 이를 12등분하여 지급한다.</t>
  </si>
  <si>
    <t>평소에 정상적인 근무가 가능한 기존질병이 직무의 과중 등이 원인이 되어 자연적인 진행속도 이상으로 급격하게 악화되었더라도 인과관계가 있다고 볼 수는 없다.</t>
  </si>
  <si>
    <t>근로자가 사망할 당시 대한민국 국민이었던 수급자격자가 국적을 상실하고 외국에서 거주하기 위하여 출국하는 경우</t>
  </si>
  <si>
    <t>50명 미만의 근로자를 사용하는 중・소기업의 사업주로서 공단의 승인을 받은 보험가입자</t>
  </si>
  <si>
    <t>수급권자가 민법에 따른 손해배상청구를 갈음하여 청구해야 한다.</t>
  </si>
  <si>
    <t>사망한 때, 국적을 상실하거나 국외로 이주한 때, 60세가 된 때는 사업장가입자, 직장가입자의 공통된 자격상실 사유이다.</t>
  </si>
  <si>
    <t>보험급여를 받을 수 있는 자가 국외에서 업무에 종사하고 있는 때에는 그 기간 중 보험급여를 하지 아니한다.</t>
  </si>
  <si>
    <t>소재지가 일정하지 아니한 사업장의 근로자 및 사용자는 직장가입자에서 제외된다.</t>
  </si>
  <si>
    <t>체납자의 행방이 분명하지 않아 징수할 가능성이 없다고 인정하는 경우</t>
  </si>
  <si>
    <t>보험료의 납부방법</t>
  </si>
  <si>
    <t>공단의 승인을 얻어 가입한 보험계약을 해지하는 경우에는 그 해지에 관하여 공단의 승인을 받은 날의 다음 날</t>
  </si>
  <si>
    <t>ㄱ : 1천분의 50,   ㄴ : 1천분의 18</t>
  </si>
  <si>
    <t>위원의 임기는 2년으로 하되, 공무원인 위원의 임기는 그 재임 기간으로 한다.</t>
  </si>
  <si>
    <t>사회보장제도의 정책결정 및 시행과정에 공익의 대표자 및 이해관계인 등을 참여시켜 민주성을 확보하여야 한다.</t>
  </si>
  <si>
    <t>관련복지제도란 국가 및 지방자치단체의 책임 하에 생활유지능력이 없는 국민의 최저생활을 보장하고 자립을 지원하는 제도를 말한다.</t>
  </si>
  <si>
    <t>상시 4명의 근로자를 사용하여 어업을 하는 개인 사업주</t>
  </si>
  <si>
    <t>소정급여일수는 피보험기간 및 연령을 기준으로 정해진다.</t>
  </si>
  <si>
    <t>훈련연장급여를 지급받고 있는 수급자격자에게는 그 훈련연장급여의 지급이 끝난 후가 아니면 개별연장급여 및 특별연장급여를 지급하지 아니한다.</t>
  </si>
  <si>
    <t>직업안정기관에서 실시하는 직업지도 프로그램에 참여한 경우</t>
  </si>
  <si>
    <t>사업장의 도산・폐업이 확실하거나 대량의 감원이 예정되어 있는 경우</t>
  </si>
  <si>
    <t>천재지변・화재 등 사업장 내에 발생한 돌발적인 사고에 따른 긴급피난・구조행위 등 사회통념상 예견되는 행위를 하던 중 발생한 경우</t>
  </si>
  <si>
    <t>사망의 추정으로 보험급여 수급 후 근로자의 생존이 확인되면 보험급여를 받은 자가 선의자의 경우에는 보험급여를 반환할 필요가 없다.</t>
  </si>
  <si>
    <t>외국에 거주하는 35세 외국인 처</t>
  </si>
  <si>
    <t>ㄱ, ㄷ, ㅁ</t>
  </si>
  <si>
    <t>동일한 사업주에 의하여 고용된 동료 근로자의 경과실로 인하여 업무상의 재해를 입은 경우 동료 근로자에 대해서는 구상권을 행사할 수 없다.</t>
  </si>
  <si>
    <t>심사 청구 및 재심사 청구에 관하여 이 법에서 정하고 있지 아니한 사항에 대하여는 행정심판법에 따른다.</t>
  </si>
  <si>
    <t>분할연금 수급권을 취득한 후 배우자였던 자에게 생긴 사유로 노령연금 수급권이 정지될 경우 분할연금 역시 그 기간 동안 지급이 정지된다.</t>
  </si>
  <si>
    <t>요양기관으로 지정된 경우에는 정당한 이유 없이 요양급여를 거부하지 못한다.</t>
  </si>
  <si>
    <t>피부양자가 없는 직장가입자가 현역병으로 입영한 경우에 그 기간 중 당해 가입자의 보험료는 면제한다.</t>
  </si>
  <si>
    <t>법인이 합병한 경우에 합병 후 존속하는 법인은 합병으로 소멸된 법인에 부과되는 보험료를 납부할 의무가 없다.</t>
  </si>
  <si>
    <t>고용보험의 적용을 받는 사업의 당연가입자는 사업주와 근로자이다.</t>
  </si>
  <si>
    <t>A : 14일, B : 14일</t>
  </si>
  <si>
    <t>고용안정․직업능력개발사업에 대한 보험료는 사업주가 전액 부담한다.</t>
  </si>
  <si>
    <t>보건복지부장관은 사회보장통계의 작성・제출과 관련하여 작성 대상 범위, 절차 등의 내용을 포함한 사회보장통계 운용지침을 마련하여 매년 12월 31일까지 관계 중앙행정기관의 장과 지방자치단체의 장에게 통보하여야 한다.</t>
  </si>
  <si>
    <t>관계 중앙행정기관의 장은 재정추계 결과를 바탕으로 정책개선안을 마련하여 같은 해 12월 31일까지 보건복지부장관에게 제출하여야 한다.</t>
  </si>
  <si>
    <t>240일</t>
  </si>
  <si>
    <t>ㄱ: 100분의 80, ㄴ: 160</t>
  </si>
  <si>
    <t>임기제 공무원이 가입한 고용보험에서 탈퇴한 이후에 가입대상 공무원으로 계속 재직하는 경우 본인의 신청에 의하여 고용보험에 다시 가입할 수 있다.</t>
  </si>
  <si>
    <t>실업급여로서 지급된 금품에 대하여는 「국세기본법」제2조제8호의 공과금을 부과한다.</t>
  </si>
  <si>
    <t>ㄴ, ㄷ, ㄹ, ㅁ</t>
  </si>
  <si>
    <t>특별연장급여를 지급받고 있는 수급자격자에게는 특별연장급여의 지급이 끝난 후가 아니면 개별연장급여를 지급하지 아니한다.</t>
  </si>
  <si>
    <t>90, 70</t>
  </si>
  <si>
    <t>ㄱ: 2일, ㄴ: 90일</t>
  </si>
  <si>
    <t>위원회의 간사는 1명을 두되, 간사는 고용노동부 소속 공무원 중에서 위원장이 임명한다.</t>
  </si>
  <si>
    <t>위원회의 회의는 재적위원 과반수의 출석으로 개의하고, 출석위원 3분의 2 이상의 찬성으로 의결한다.</t>
  </si>
  <si>
    <t>근로자가 사망할 당시 대한민국 국민이었던 유족보상연금 수급자격자인 유족이 국적을 상실하고 외국에서 거주하고 있거나 외국에서 거주하기 위하여 출국하는 경우 그 자격을 잃는다.</t>
  </si>
  <si>
    <t>보험을 모집하는 사람으로서「우체국예금・보험에 관한 법률」에 따른 우체국보험의 모집을 전업으로 하는 사람은 노무제공자의 범위에 포함된다.</t>
  </si>
  <si>
    <t>장례비 최고금액 및 최저금액을 산정할 때 10원 미만은 버린다.</t>
  </si>
  <si>
    <t>「국가기술자격법」에 따른 인간공학 분야 기사 이상의 자격을 취득하고 관련 업무에 3년 이상 종사한 한의사는 위원이 될 수 없다.</t>
  </si>
  <si>
    <t>"출퇴근"이란 취업과 관련하여 주거와 취업장소 사이의 이동 또는 한 취업장소에서 다른 취업장소로의 이동을 말한다.</t>
  </si>
  <si>
    <t>재요양을 시작한 지 1년이 지난 후에 부상・질병 상태가 상병보상연금의 지급요건 모두에 해당하는 사람에게는 상병보상연금을 지급한다.</t>
  </si>
  <si>
    <t>ㄱ: 6, ㄴ: 12</t>
  </si>
  <si>
    <t>가입자 또는 가입자였던 자가 가입기간이 10년 미만이고 60세가 된 때에는 본인이나 그 유족의 청구에 의하여 반환일시금을 지급받을 수 있다.</t>
  </si>
  <si>
    <t>심사청구에 대한 결정에 불복하는 자는 그 결정통지를 받은 날부터 90일 이내에 국민연금재심사위원회에 재심사를 청구할 수 있다.</t>
  </si>
  <si>
    <t>ㄱ: 30일, ㄴ: 3개월, ㄷ: 20일</t>
  </si>
  <si>
    <t>보건복지부장관은 매년 국민연금기금 운용계획을 세워서 국민연금기금운용위원회 및 국무회의의 심의를 거쳐 대통령의 승인을 받아야 한다.</t>
  </si>
  <si>
    <t>공단의 설립등기에는 목적, 명칭, 주된 사무소 및 분사무소의 소재지, 이사장의 성명・주소 및 주민등록번호를 포함하여야 한다.</t>
  </si>
  <si>
    <t>정당한 사유로 이의신청을 할 수 없었음을 소명한 경우가 아니면 이의신청은 처분이 있은 날부터 90일을 지나면 제기하지 못한다.</t>
  </si>
  <si>
    <t>보수는 근로자등이 근로를 제공하고 사용자・국가 또는 지방자치단체로부터 지급받는 금품(실비변상적인 성격을 갖는 금품은 제외한다)으로서 이 경우 보수 관련 자료가 없거나 불명확한 경우 보건복지부장관이 정하여 고시하는 금액을 보수로 본다.</t>
  </si>
  <si>
    <t>고용보험에 가입한 자영업자가 자신에게 부과된 월(月)의 고용보험료를 계속하여 3개월간 납부하지 아니한 경우에는 마지막으로 납부한 고용보험료에 해당되는 피보험기간의 다음 날에 보험관계가 소멸된다.</t>
  </si>
  <si>
    <t>법인이 해산한 경우</t>
  </si>
  <si>
    <t>근로복지공단은 사업주가 보험연도 중에 사업의 규모를 축소하여 실제의 개산보험료 총액이 이미 신고한 개산보험료 총액보다 100분의 20 이상으로 감소하게 된 경우에는 그 초과액을 감액해야 한다.</t>
  </si>
  <si>
    <t>3년</t>
  </si>
  <si>
    <t>ㄴ - d, ㄷ - a</t>
  </si>
  <si>
    <t>사회보장수급권을 포기하는 것이 다른 사람에게 피해를 주는 경우에는 사회보장수급권을 포기할 수 있다.</t>
  </si>
  <si>
    <t>국가는 사회보장제도의 안정적인 운영을 위하여 중장기 사회보장 재정추계를 매년 실시하고 이를 공표하여야 한다.</t>
  </si>
  <si>
    <t>구직급여는 이 법에 따로 규정이 있는 경우 외에는 그 구직급여의 수급자격과 관련된 이직일부터 계산하기 시작하여 12개월 내에 하나의 수급자격에 따라 구직급여를 지급받을 수 있는 날을 한도로 하여 지급한다.</t>
  </si>
  <si>
    <t>ㄱ: 2, ㄴ: 4분의 3 이상 10분의 9 이하</t>
  </si>
  <si>
    <t>20일</t>
  </si>
  <si>
    <t>위원회의 회의는 재적위원 과반수의 출석으로 개의(開議)하고 출석의원 과반수의 찬성으로 의결한다.</t>
  </si>
  <si>
    <t>당사자는 심사관에게 심리・결정의 공정을 기대하기 어려운 사정이 있으면 그 심사관에 대한 기피신청을 고용노동부장관에게 할 수 있다.</t>
  </si>
  <si>
    <t>자영업자인 피보험자의 피보험기간은 그 수급자격과 관련된 폐업 당시의 적용 사업에의 보험가입기간 중에서 실제로 납부한 고용보험료에 해당하는 기간으로 한다.</t>
  </si>
  <si>
    <t>임금을 감액하는 제도 또는 그 밖의 임금체계 개편 등을 통하여 18세 이상 35세 이하의 청년 실업자를 고용하는 경우</t>
  </si>
  <si>
    <t>재심사위원회의 위원장 및 위원은 고용노동부장관이 임명한다.</t>
  </si>
  <si>
    <t>사업장 밖에서 업무를 수행하던 중 사업주의 구체적인 지시를 위반한 행위로 인한 사고</t>
  </si>
  <si>
    <t>「한국산업안전보건공단법」에 따른 한국산업안전보건공단에 자문한 결과 업무와의 관련성이 높다고 인정된 질병</t>
  </si>
  <si>
    <t>직장가입자의 직계존속</t>
  </si>
  <si>
    <t>건강보험심사평가원은 요양급여에 대한 의료의 질을 향상시키기 위하여 요양급여의 적정성 평가를 격년으로 실시하여야 한다.</t>
  </si>
  <si>
    <t>직장가입자의 보험료율은 1만분의 709로 한다.</t>
  </si>
  <si>
    <t>영유아건강검진 대상은 6세 미만의 가입자 및 피부양자이다.</t>
  </si>
  <si>
    <t>체납자 인적사항등의 공개는 관보에 게재하거나, 고용・산재정보통신망 또는 국민건강보험공단 게시판에 게시하는 방법에 따른다.</t>
  </si>
  <si>
    <t>1천분의 32</t>
  </si>
  <si>
    <t>D</t>
  </si>
  <si>
    <t>국내에 거주하는 외국인에게 사회보장제도를 적용할 때에는 국민과 차별하지 아니하되 예외적으로 상호주의에 따를 수 있다.</t>
  </si>
  <si>
    <t>국가와 지방자치단체는 사회보장 관계 법령에서 정하는 바에 따라 사회보장에 관한 상담에 응하여야 한다.</t>
  </si>
  <si>
    <t>ㄱ: 3월 31일, ㄴ: 9월 30일</t>
  </si>
  <si>
    <t>사회보장수급권은 정당한 권한이 있는 기관에 구두 또는 서면으로 통지하여 포기할 수 있다.</t>
  </si>
  <si>
    <t>고용산재보험료징수법에 따라 보험관계가 소멸한 경우에는 그 보험관계가 소멸한 날에 그 피보험자격을 상실한다.</t>
  </si>
  <si>
    <t>피보험기간 10년 - 소정급여일수 210일</t>
  </si>
  <si>
    <t>「방문판매 등에 관한 법률」에 따른 후원방문판매원으로서 자가 소비를 위한 후원 방문판매원</t>
  </si>
  <si>
    <t>고용보험기금을 지출할 때 자금 부족이 발생할 것으로 예상되는 경우에는 고용보험기금의 부담으로 금융기관・다른 기금과 그 밖의 재원 등으로부터 차입을 할 수 있다.</t>
  </si>
  <si>
    <t>고용보험심사위원회는 재심사의 청구를 받으면 그 청구에 대한 심리 기일(審理期日) 및 장소를 정하여 심리 기일 3일 전까지 당사자 및 그 사건을 심사한 고용보험심사관에게 알려야 한다.</t>
  </si>
  <si>
    <t>산업재해보상보험및예방기금의 운용계획 수립에 관한 사항</t>
  </si>
  <si>
    <t>수렵업 중 법인이 아닌 자의 사업으로서 상시근로자 수가 5명 미만인 사업</t>
  </si>
  <si>
    <t>사업주가 주관하거나 사업주의 지시에 따라 참여한 행사나 행사준비 중에 발생한 사고</t>
  </si>
  <si>
    <t>ㄱ: 80, ㄴ: 90</t>
  </si>
  <si>
    <t>국민연금공단은 장애연금 수급권자의 장애 정도를 심사하여 장애등급에 해당되지 아니하면 장애연금액을 변경한다.</t>
  </si>
  <si>
    <t>가입자의 자격을 상실한 후 다시 그 자격을 취득한 자에 대하여는 전후(前後)의 가입기간을 합산한다.</t>
  </si>
  <si>
    <t>ㄱ: 국민건강보험공단, ㄴ: 근로복지공단, ㄷ: 국민건강보험공단</t>
  </si>
  <si>
    <t>고용보험에 가입한 사업주는 기간의 정함이 있는 건설사업의 경우 사업의 기간이 변경되면 그 변경된 날부터 14일 이내에 그 변경사항을 근로복지공단에 신고하여야 한다.</t>
  </si>
  <si>
    <t>통상근로자로서 월정액으로 보수를 지급받는 근로자에게는 월단위 기준보수를 적용한다.</t>
  </si>
  <si>
    <t>대통령은 위촉한 사회보장위원회의 위원이 직무와 관련된 비위사실이 있는 경우에는 해당 위원을 해촉할 수 있다.</t>
  </si>
  <si>
    <t>사회보장수급권은 관계 법령에서 정하는 바에 따라 타인에게 담보로 제공할 수 없다.</t>
  </si>
  <si>
    <t>ㄱ: 60, ㄴ: 60, ㄷ: 30</t>
  </si>
  <si>
    <t>예술인의 구직급여일액은 기초일액에 100분의 60을 곱한 금액으로 한다.</t>
  </si>
  <si>
    <t>ㄱ: 월 통상임금에 해당하는 금액, ㄴ: 150만원</t>
  </si>
  <si>
    <t>근로자가 보험관계가 성립되어 있는 둘 이상의 사업에 동시에 고용되어 있는 경우에는 고용노동부령으로 정하는 바에 따라 그 중 한 사업의 근로자로서의 피보험자격을 취득한다.</t>
  </si>
  <si>
    <t>고용노동부장관은 자영업자의 피보험기간이 3년이면서 보험료 체납 횟수가 1회인 경우 실업급여를 지급하지 아니한다.</t>
  </si>
  <si>
    <t>한국표준직업분류표의 세분류에 다른 가전제품 설치 및 수리원으로서 가전제품을 배송, 설치 및 시운전하여 작동상태를 확인하는 사람</t>
  </si>
  <si>
    <t>업무상질병판정위원회는 부득이한 사유로 심의를 의뢰받은 날부터 60일 이내에 심의를 마칠 수 없으면 20일 단위로 두 차례 연장할 수 있다.</t>
  </si>
  <si>
    <t>요양급여를 받는 근로자가 요양을 시작한 지 1년이 지난 이후에 취업하지 못하면 휴업급여 대신 상병보상연금을 그 근로자에게 지급한다.</t>
  </si>
  <si>
    <t>근로복지공단이 아닌 자가 근로복지공단과 비슷한 명칭을 사용한 자</t>
  </si>
  <si>
    <t>간병의 대상이 되는 근로자의 부상・질병 상태 등이 전문적인 간병을 필요로 하는 경우에는 의료법에 따른 간호사만 간병을 하도록 할 수 있다.</t>
  </si>
  <si>
    <t>임의가입자는 가입 신청이 수리된 날에 자격을 취득한다.</t>
  </si>
  <si>
    <t>20세 이상인 피부양자</t>
  </si>
  <si>
    <t>장애인고용촉진 및 직업재활법상 장애인인 보험가입자의 보험료는 근로복지공단이 매월 부과하고, 한국장애인고용공단이 이를 징수한다.</t>
  </si>
  <si>
    <t>공동사업에 관계되는 보험료, 이 법에 따른 그 밖의 징수금과 체납처분비는 공동사업자가 연대하여 낼 의무를 진다.</t>
  </si>
  <si>
    <t>근로복지공단의 승인을 얻어 가입한 보험계약을 해지하는 경우에는 그 해지에 관하여 근로복지공단의 승인을 받은 날의 다음 날에 소멸한다.</t>
  </si>
  <si>
    <t>1만분의 85</t>
  </si>
  <si>
    <t>이 법에 따른 그 밖의 징수금을 징수할 수 있는 권리는 3년간 행사하지 아니하면 시효로 인하여 소멸한다.</t>
  </si>
  <si>
    <t>국가는 사회보장제도의 안정적인 운영을 위하여 중장기 사회보장 재정추계를 3년마다 실시한다.</t>
  </si>
  <si>
    <t>사회보장 기본계획에는 사회보장 전달체계가 포함되어야 한다.</t>
  </si>
  <si>
    <t>사무 처리를 위한 사무국은 보건복지부에 둔다.</t>
  </si>
  <si>
    <t>직업안정기관의 장은 필요하다고 인정하면 수급자격자의 실업인정대상기간 중의 취업사실에 대하여 조사할 수 있다.</t>
  </si>
  <si>
    <t>범죄혐의로 인한 구속</t>
  </si>
  <si>
    <t>광역 구직활동비</t>
  </si>
  <si>
    <t>위원장은 고용노동부장관이 된다.</t>
  </si>
  <si>
    <t>ㄱ: 2, ㄴ: 90</t>
  </si>
  <si>
    <t>근로복지공단은 근로자가 진폐에 대한 요양급여를 청구하면 「진폐의 예방과 진폐근로자의 보호 등에 관한 법률」에 따른 건강진단기관에 진폐판정에 필요한 진단을 의뢰하여야 한다.</t>
  </si>
  <si>
    <t>재요양을 받는 자에 대하여는 재요양 당시의 임금을 기준으로 산정한 평균임금의 100분의 90에 상당하는 금액을 1일당 휴업급여 지급액으로 한다.</t>
  </si>
  <si>
    <t>직장적응훈련비 및 재활운동비의 지급기간은 6개월 이내로 한다.</t>
  </si>
  <si>
    <t>진찰 요구에 따르지 아니하는 경우</t>
  </si>
  <si>
    <t>임의가입자의 경우 사업장 가입자의 자격을 취득한 날</t>
  </si>
  <si>
    <t>연금은 매월 25일에 그 달의 금액을 지급하되, 지급일이 공휴일이면 그 다음날에 지급한다.</t>
  </si>
  <si>
    <t>예방・재활</t>
  </si>
  <si>
    <t>ㄱ: 3, ㄴ: 20</t>
  </si>
  <si>
    <t>ㄱ: 7, ㄴ: 1천분의 1, ㄷ : 1천분의 30</t>
  </si>
  <si>
    <t>사업주는 전년도에 근로자에게 지급한 보수총액 등을 매년 3월 15일까지 근로복지공단에 신고하여야 한다.</t>
  </si>
  <si>
    <t>보건복지부장관은 사회서비스의 품질기준 마련, 평가 및 개선 등의 업무를 수행하기 위하여 필요한 전담기구를 설치할 수 있다.</t>
  </si>
  <si>
    <t>공공부조에 드는 비용은 수익자가 부담함을 원칙으로 한다.</t>
  </si>
  <si>
    <t>비상근 근로자는 국민건강보험법의 직장가입자에서 제외된다.</t>
  </si>
  <si>
    <t>사회보장수급권은 포기할 수 있으나 포기한 후에는 이를 취소할 수 없다.</t>
  </si>
  <si>
    <t>고용보험법에 따른 보험관계의 성립 및 소멸에 대하여는 고용보험 및 산업재해보상보험의 보험료징수 등에 관한 법률로 정하는 바에 따른다.</t>
  </si>
  <si>
    <t>심사 및 재심사의 청구는 시효중단에 관하여 재판상의 청구로 본다.</t>
  </si>
  <si>
    <t>월 최저임금액</t>
  </si>
  <si>
    <t>장례비를 받을 권리</t>
  </si>
  <si>
    <t>체육시설의 설치・이용에 관한 법률에 따라 직장체육시설로 설치된 골프장에서 골프경기를 보조하는 골프장 캐디</t>
  </si>
  <si>
    <t>수급권의 대위에 관한 결정</t>
  </si>
  <si>
    <t>장해보상연금의 수급권자가 재요양을 받는 경우에는 그 연금의 지급을 정지한다.</t>
  </si>
  <si>
    <t>ㄱ: 60, ㄴ: 6, ㄷ: 18</t>
  </si>
  <si>
    <t>유족연금 수급권자인 자녀가 사망 시 다음 순위자인 부모에게 유족연금을 지급한다.</t>
  </si>
  <si>
    <t>국민건강보험공단은 지역가입자가 1개월 이상 세대단위의 보험료를 체납한 경우 그 체납한 보험료를 완납할 때까지 그 가입자를 제외한 피부양자에 대하여 보험급여를 실시하지 아니한다.</t>
  </si>
  <si>
    <t>직장가입자가 교직원으로서 사립학교에 근무하는 교원인 경우 보수월액보험료는 그 직장가입자와 사립학교를 설립・운영하는 자가 각각 보험료액의 100분의 50씩 부담한다.</t>
  </si>
  <si>
    <t>직장가입자 중 장애인복지법에 따라 등록한 장애인</t>
  </si>
  <si>
    <t>보험에 가입한 사업주는 사업의 명칭 및 소재지, 사업의 종류 등이 변경된 경우에는 다음 보험연도 첫날부터 14일 이내에 그 변경사항을 근로복지공단에 신고하여야 한다.</t>
  </si>
  <si>
    <t>보험관계의 소멸의 신고</t>
  </si>
  <si>
    <t>사업종류의 변경으로 보험료 납부방법이 변경되는 경우에는 사업종류의 변경일 전일을 변경 전 사업 폐지일로, 사업종류의 변경일을 새로운 사업성립일로 본다.</t>
  </si>
  <si>
    <t>ㄱ: 100분의 30, ㄴ: 1천분의 20</t>
  </si>
  <si>
    <t>사회보장수급권은 다른 사람에게 양도할 수 있다.</t>
  </si>
  <si>
    <t>관계 중앙행정기관 및 지방자치단체의 장은 사회보장정보와 관련하여 사회보장정보시스템의 활용이 필요한 경우 사전에 보건복지부장관과 협의하여야 한다.</t>
  </si>
  <si>
    <t>보수 : 사용자로부터 받는 일체의 금품을 말한다.</t>
  </si>
  <si>
    <t>60, 3</t>
  </si>
  <si>
    <t>근로자가 보험관계가 성립되어 있는 두 개의 사업에 동시에 고용되어 있는 경우에는 두 개의 피보험자격을 취득한다.</t>
  </si>
  <si>
    <t>최종 이직 당시 일용근로자였던 피보험자가 구직급여를 받으려는 경우에는 수급자격 인정신청일이 속한 달의 직전 달 초일부터 수급자격 인정신청일까지의 근로일 수의 합이 같은 기간 동안의 총 일수의 3분의 1 미만이어야 한다.</t>
  </si>
  <si>
    <t>고용노동부장관은 신고한 고용유지조치계획과 다르게 고용유지조치를 이행한 사업주에게는 해당 사실이 발생한 날이 속한 달에 대한 고용유지지원금의 전부 또는 일부를 지급하지 아니할 수 있다.</t>
  </si>
  <si>
    <t>폐업사유에 관계없이 수급자격이 인정된다.</t>
  </si>
  <si>
    <t>상병보상연금을 산정할 때 평균임금이 최저임금액의 70분의 100보다 적을 때에는 최저임금액의 70분의 100에 해당하는 금액을 평균임금으로 본다.</t>
  </si>
  <si>
    <t>요양급여가 지급된 후 그 지급결정이 취소된 경우 국민건강보험공단은 그 건강보험 요양급여액을 근로복지공단에 청구할 수 있다.</t>
  </si>
  <si>
    <t>자동차관리법에 따른 자동차정비업자</t>
  </si>
  <si>
    <t>유사명칭의 사용 금지를 위반하여 근로복지공단 또는 이와 비슷한 명칭을 사용한 경우</t>
  </si>
  <si>
    <t>5, 55</t>
  </si>
  <si>
    <t>공단은 보험급여를 받을 수 있는 사람이 업무로 생긴 질병으로 다른 법령에 따른 보험급여를 받게 된 경우에는 보험급여를 하지 아니한다.</t>
  </si>
  <si>
    <t>사업주가 법이 정한 납부기한까지 보험료를 내지 아니한 경우 보험료 연체금의 징수</t>
  </si>
  <si>
    <t>근로복지공단은 분할 납부 승인을 받은 사업주가 분할 납부하여야 하는 보험료를 정당한 사유 없이 내지 아니한 경우에는 분할 납부의 승인을 취소할 수 있다.</t>
  </si>
  <si>
    <t>국민건강보험공단은 독촉할 경우 그 납부기한은 독촉장 발급일부터 7일 이상의 여유가 있도록 하여야 한다.</t>
  </si>
  <si>
    <t>1년, 1000분의 30</t>
  </si>
  <si>
    <t>사회보험에 드는 비용은 수익자가 부담함을 원칙으로 하되, 관계 법령에서 정하는 바에 따라 국가가 그 비용의 전부 또는 일부를 부담할 수 있다.</t>
  </si>
  <si>
    <t>5년, 격년</t>
  </si>
  <si>
    <t>고용노동부장관이 정하는 시설을 설치・운영하여 고용환경을 개선하고 실업자를 고용하여 근로자 수가 증가한 경우</t>
  </si>
  <si>
    <t>피보험기간 6년, 이직일 현재 30세인 장애인: 180일</t>
  </si>
  <si>
    <t>고용보험기금의 관리・운용에 관한 세부 사항은 국고금관리법의 규정에 따른다.</t>
  </si>
  <si>
    <t>유족급여는 근로자가 업무상의 사유로 사망한 경우에 유족에게 지급한다.</t>
  </si>
  <si>
    <t>보험급여 결정등에 대하여 행정심판법에 따른 행정심판을 제기할 수 있다.</t>
  </si>
  <si>
    <t>85, 90</t>
  </si>
  <si>
    <t>여신전문금융업법 제14조의2제1항제2호에 따른 신용카드회원 모집인</t>
  </si>
  <si>
    <t>근로복지공단은 산재보험 의료기관이 요양급여의 산정 기준을 위반하여 부당하게 진료비를 지급받은 경우에는 그 진료비의 2배에 해당하는 금액을 징수하여야 한다.</t>
  </si>
  <si>
    <t>고용노동부장관은 직무와 관련된 비위사실이 있는 경우 해당 위원을 해촉(解囑)할 수 있다.</t>
  </si>
  <si>
    <t>"업무상의 사고"란 업무상의 사유에 따른 근로자의 부상, 질병, 장해 또는 사망을 말한다.</t>
  </si>
  <si>
    <t>20, 60, 55</t>
  </si>
  <si>
    <t>급여를 지급받을 권리는 그 급여 전액에 대하여 지급이 정지되어 있는 동안은 시효가 진행되지 아니한다.</t>
  </si>
  <si>
    <t>지역가입자가 적용대상사업장의 근로자로 사용된 날</t>
  </si>
  <si>
    <t>국민건강보험공단 또는 건강보험심사평가원의 이의신청에 대한 결정에 불복하는 자는 보건복지부에 둔 건강보험분쟁조정위원회에 심판청구를 할 수 있다.</t>
  </si>
  <si>
    <t>보험료 과납액의 반환을 청구하는 경우에는 소멸시효가 중단되지 않는다.</t>
  </si>
  <si>
    <t>15, 3, 15</t>
  </si>
  <si>
    <t>근로기준법에 따른 출산전후휴가의 기간이 월의 중간에 종료된 경우에 그 근로자의 월별보험료는 해당 월의 다음 달부터 산정한다.</t>
  </si>
  <si>
    <t>근로복지공단의 승인을 얻어 가입한 보험계약을 해지하는 경우에는 그 해지에 관하여 근로복지공단의 승인을 받은 날이 소멸일이다.</t>
  </si>
  <si>
    <t>사회서비스, 사회안전망, 사회보험</t>
  </si>
  <si>
    <t>위원회의 위원장은 행정자치부장관이 된다.</t>
  </si>
  <si>
    <t>2개월</t>
  </si>
  <si>
    <t>수급자격자가 주민등록번호를 변경하거나 정정한 경우에는 신청지 관할 직업안정기관의 장에게 신고하여야 한다.</t>
  </si>
  <si>
    <t>실업급여수급계좌에 입금된 금액 반액</t>
  </si>
  <si>
    <t>사업주가 피보험자격 취득에 관한 확인청구를 한 것을 이유로 그 근로자에게 불이익한 처우를 한 경우</t>
  </si>
  <si>
    <t>40세 비장애인 : 180일</t>
  </si>
  <si>
    <t>통상임금액의 100분의 60에 상당하는 금액</t>
  </si>
  <si>
    <t>재활운동비는 장해급여자에게 직접 지급한다.</t>
  </si>
  <si>
    <t>업무수행 과정에서 고객의 폭언 등과 직접 관련된 스트레스로 생긴 우울병 에피소드는 업무상 질병으로 보지 않는다.</t>
  </si>
  <si>
    <t>업무에 따르는 필요적 부수행위를 하던 중 발생한 사고</t>
  </si>
  <si>
    <t>ㄱ: 20, ㄴ: 3</t>
  </si>
  <si>
    <t>중대한 과실로 국민건강보험공단에서 요구하는 문서나 물건을 제출하지 않은 경우</t>
  </si>
  <si>
    <t>사업주는 근로자가 휴직하는 경우에는 그 사유 발생일이 속하는 달의 다음 달 15일까지 그 사실을 근로복지공단에 신고하여야 한다.</t>
  </si>
  <si>
    <t>자영업자에게 적용하는 고용보험료율은 보험수지의 동향과 경제상황 등을 고려하여 정하는 데, 현재 고용안정・직업능력개발사업의 보험료율은 1천분의 25이다.</t>
  </si>
  <si>
    <t>ㄱ: 65, ㄴ: 18</t>
  </si>
  <si>
    <t>산업재해보상보험법에 따라 같은 법을 적용하지 아니하는 사업의 사업주는 근로복지공단의 승인을 받아 산재보험에 가입할 수 있다.</t>
  </si>
  <si>
    <t>국민건강보험공단은 보험료정보공개심의위원회의 심의를 거쳐 인정사항등의 공개가 결정된 자에 대하여 공개대상자임을 알림으로써 소명할 기회를 주어야 한다.</t>
  </si>
  <si>
    <t>ㄱ: 85, ㄴ: 15</t>
  </si>
  <si>
    <t>국가와 지방자치단체는 사회서비스 보장과 소득보장이 효과적이고 균형적으로 연계되도록 하여야 한다.</t>
  </si>
  <si>
    <t>사회보장위원회의 위원장은 국무총리가 되고 부위원장은 기획재정부장관, 교육부장관 및 보건복지부장관이 된다.</t>
  </si>
  <si>
    <t>국가와 지방자치단체는 관계 법령이 정하는 바에 따라 최저생계비와 최저임금을 매년 공표하여야 한다.</t>
  </si>
  <si>
    <t>지역 고용의 촉진</t>
  </si>
  <si>
    <t>고용노동부장관은 고용조정이 불가피하게 된 사업주가 근로자에 대한 휴업을 실시한 경우, 근로자의 임금이 평균임금의 100분의 70 미만으로 감소할 때는 그 근로자에게도 필요한 지원을 할 수 있다.</t>
  </si>
  <si>
    <t>보험관계가 소멸한 경우에는 그 보험관계가 소멸한 날의 다음 날에 피보험자격을 상실한다.</t>
  </si>
  <si>
    <t>변호사</t>
  </si>
  <si>
    <t>퇴직한 근로자로서 국민연금법에 의한 노령연금을 지급받는 경우</t>
  </si>
  <si>
    <t>심사 청구는 보험급여 결정 등이 있음을 안 날로부터 180일 이내에 하여야 한다.</t>
  </si>
  <si>
    <t>재요양을 받으려는 사람은 고용노동부령으로 정하는 바에 따라 공단에 재요양을 신청하여야 한다.</t>
  </si>
  <si>
    <t>대한민국 국민이 아닌 장해보상연금의 수급권자가 외국에서 거주하기 위하여 출국하는 경우 그 수급권이 소멸한다.</t>
  </si>
  <si>
    <t>산업재해보상보험및예방기금은 근로복지공단 기금운영위원회가 관리・운용한다.</t>
  </si>
  <si>
    <t>진폐보상연금은 매년 이를 12등분하여 매달 25일에 그 달 치의 금액을 지급하되, 지급일이 토요일이거나 공휴일이면 그 다음날에 지급한다.</t>
  </si>
  <si>
    <t>기본연금액의 70%에 부양가족연금액을 더한 금액</t>
  </si>
  <si>
    <t>직장가입자의 월별 보험료액은 보수월액에 보험료율을 곱하여 얻은 금액과 보수 외 소득월액에 보험료율을 곱하여 얻은 금액으로 한다.</t>
  </si>
  <si>
    <t>직장가입자의 보험료율에 대한 심사</t>
  </si>
  <si>
    <t>근로복지공단의 승인을 얻어 가입한 보험계약을 해지하는 경우에는 그 해지에 관하여 공단의 승인을 받은 날</t>
  </si>
  <si>
    <t>고용노동부장관은 특정 사업 종류의 산재보험료율이 전체 사업의 평균 산재보험료율의 10배를 초과하지 아니하도록 하여야 한다.</t>
  </si>
  <si>
    <t>근로복지공단은 사업주에게 문서로써 납부기한 10일 전까지 월별보험료의 납입을 고지하여야 한다.</t>
  </si>
  <si>
    <t>모든 국민은 자신의 능력을 최대한 발휘하여 자립・자활할 수 있도록 노력하여야 한다.</t>
  </si>
  <si>
    <t>사회보장수급권은 관계 법령에서 정하는 바에 따라 담보로 제공할 수 없다.</t>
  </si>
  <si>
    <t>국가와 지방자치단체는 사회보장에 대한 민간부문의 참여를 유도하기 위하여 자원봉사, 기부 등 나눔의 활성화를 위한 각종 지원 사업이 포함된 시책을 수립・시행할 수 있다.</t>
  </si>
  <si>
    <t>일용근로자는 수급자격 인정신청일 이전 30일 동안의 근로일수가 10일 이하이어야 한다.</t>
  </si>
  <si>
    <t>결정은 심사청구인 및 직업안정기관의 장에게 결정서의 정본을 보낸 날부터 효력이 발생한다.</t>
  </si>
  <si>
    <t>사립학교교직원연금법의 적용을 받는 자</t>
  </si>
  <si>
    <t>한국표준직업분류표의 세분류에 따른 택배원으로서 택배사업에서 집화 업무를 하는 사람</t>
  </si>
  <si>
    <t>전체 근로자의 임금 평균액의 증감률, 61세, 소비자물가변동률</t>
  </si>
  <si>
    <t>산업재해보상보험및예방심의위원회는 근로자를 대표하는 자, 사용자를 대표하는 자 및 공익을 대표하는 자로 구성하되, 그 수는 각각 같은 수로 한다.</t>
  </si>
  <si>
    <t>진폐는 업무상질병판정위원회의 심의에서 제외된다.</t>
  </si>
  <si>
    <t>업무수행 과정에서 하는 용변 등 생리적 필요 행위를 하던 중에 발생한 사고</t>
  </si>
  <si>
    <t>ㄱ: 90일, ㄴ: 5일, ㄷ: 90일</t>
  </si>
  <si>
    <t>노령연금</t>
  </si>
  <si>
    <t>ㄱ: 15, ㄴ: 19, ㄷ: 5, ㄹ: 60</t>
  </si>
  <si>
    <t>비상근 근로자만을 고용하고 있는 사업장의 사업주</t>
  </si>
  <si>
    <t>이의신청은 처분이 있음을 안 날부터 180일 이내에 제기하여야 한다.</t>
  </si>
  <si>
    <t>보험료율이 인상된 경우 국민건강보험공단은 월별보험료를 증액 조정한다.</t>
  </si>
  <si>
    <t>법인이 합병한 경우 합병 후 존속하는 법인은 합병으로 소멸된 법인에 부과되거나 그 법인이 내야 하는 보험료를 낼 의무를 진다.</t>
  </si>
  <si>
    <t>근로복지공단은 사업의 실체가 없는 등의 사유로 계속하여 보험관계를 유지할 수 없다고 인정하는 경우에는 보험관계를 소멸시킬 수 있다.</t>
  </si>
  <si>
    <t>사업주는 전년도에 근로자에게 지급한 보수총액 등을 매년 3월 31일까지 근로복지공단에 문서로 신고하여야 한다.</t>
  </si>
  <si>
    <t>국민건강보험공단으로부터 관계 서류의 제출을 요구받은 자가 거짓으로 적은 관계 서류를 제출한 경우</t>
  </si>
  <si>
    <t>사회서비스</t>
  </si>
  <si>
    <t>국무총리는 관계 중앙행정기관의 장과 협의하여 사회보장 기본계획을 수립한다.</t>
  </si>
  <si>
    <t>사회보장 업무에 종사하거나 종사하였던 자는 사회보장업무 수행과 관련하여 알게 된 개인・법인 또는 단체의 정보를 관계 법령에서 정하는 바에 따라 보호하여야 한다.</t>
  </si>
  <si>
    <t>사회보장수급권은 어떠한 경우에도 제한되거나 정지될 수 없다.</t>
  </si>
  <si>
    <t>사립학교교직원 연금법의 적용을 받는 자</t>
  </si>
  <si>
    <t>고용보험기금은 근로복지공단 이사장이 관리・운용한다.</t>
  </si>
  <si>
    <t>결정은 심사청구인 및 직업안정기관의 장이 결정서의 정본을 받은 날부터 효력이 발생한다.</t>
  </si>
  <si>
    <t>본인의 형제자매의 부상은 육아휴직급여 신청기간의 연장사유에 해당된다.</t>
  </si>
  <si>
    <t>근로복지공단의 임직원이 그 직무상 알게 된 비밀을 누설한 경우</t>
  </si>
  <si>
    <t>보험급여의 수급권자가 사망한 경우에 아직 지급되지 아니한 보험급여가 있으면 그 수급권자의 유족의 청구와 관계없이 그 보험급여를 지급한다.</t>
  </si>
  <si>
    <t>ㄱ : 52, ㄴ : 10, ㄷ : 10, ㄹ : 10</t>
  </si>
  <si>
    <t>진폐유족연금의 지급은 그 지급사유가 발생한 달의 다음 달 초일부터 시작된다.</t>
  </si>
  <si>
    <t>위원장의 임기는 3년으로 하고, 위원의 임기는 2년으로 한다.</t>
  </si>
  <si>
    <t>장애등급 2급 이상에 해당하지 아니한 자녀인 유족연금 수급권자가 18세가 된 때</t>
  </si>
  <si>
    <t>ㄱ : 15, ㄴ : 55, ㄷ : 60</t>
  </si>
  <si>
    <t>국내에 거주하지 아니하게 된 날</t>
  </si>
  <si>
    <t>고의 또는 중대한 과실로 인한 범죄행위에 그 원인이 있거나 고의로 사고를 일으킨 경우</t>
  </si>
  <si>
    <t>"하수급인"이란 원수급인으로부터 그 사업의 전부 또는 일부를 도급받아 하는 자와 그 자로부터 그 사업의 전부 또는 일부를 도급받아 하는 자를 말한다.</t>
  </si>
  <si>
    <t>근로복지공단은 보험사무대행기관이 고용보험 및 산업재해보상보험의 보험료징수 등에 관한 법률에 따른 명령을 따르지 않은 경우에는 그 인가를 취소할 수 있다.</t>
  </si>
  <si>
    <t>100분의 40</t>
  </si>
  <si>
    <t>ㄱ : 2년, ㄴ : 10억원</t>
  </si>
  <si>
    <t>ㄱ : 14, ㄴ : 국민건강보험공단</t>
  </si>
  <si>
    <t>국가와 지방자치단체는 사회보장에 관한 관계 법령에서 정하는 바에 따라 사회보장에 관한 상담에 응하여야 한다.</t>
  </si>
  <si>
    <t>보건복지부장관은 장기발전방향을 수립하려는 경우에는 공청회를 열어 국민과 관계 전문가 등으로부터 의견을 들을 수 있다.</t>
  </si>
  <si>
    <t>사회보험에 드는 비용은 관계 법령에서 정하는 바에 따라 국가와 지방자치단체가 그 비용의 일부를 부담할 수 있다.</t>
  </si>
  <si>
    <t>사회보장급여 및 비용 부담의 조정</t>
  </si>
  <si>
    <t>360만원</t>
  </si>
  <si>
    <t>사업주가 고용촉진 지원금 지급대상자를 고용하기 전 3개월부터 고용 후 12개월까지 고용조정으로 근로자(고용촉진 지원금 지급대상 근로자보다 나중에 고용된 근로자는 제외한다)를 이직시키는 경우</t>
  </si>
  <si>
    <t>피보험자격의 취득 및 상실 등에 관한 신고는 그 사유가 발생한 날로부터 14일 이내에 하여야 한다.</t>
  </si>
  <si>
    <t>고용노동부장관은 보험가입자에 대하여 장해급여 또는 진폐보상연금을 받은 자를 그 적성에 맞는 업무에 고용하도록 권고할 수 있다.</t>
  </si>
  <si>
    <t>ㄱ : 기피, ㄴ : 회피</t>
  </si>
  <si>
    <t>임의계속가입자의 자격을 취득한 경우에는 자격을 취득한 날이 속하는 달을 가입기간에 산입한다.</t>
  </si>
  <si>
    <t>75세인 배우자의 조부</t>
  </si>
  <si>
    <t>ㄱ : 국민건강보험공단,    ㄴ : 건강보험심사평가원, ㄷ : 180, ㄹ : 행정법원</t>
  </si>
  <si>
    <t>건강보험심사평가원은 국민건강보험공단의 이사장이 계약을 체결하기 위하여 필요한 자료를 요청하는 경우에는, 이에 성실히 응하여야 한다.</t>
  </si>
  <si>
    <t>자영업자에 대한 고용보험료 산정의 기초가 되는 보수액</t>
  </si>
  <si>
    <t>확정보험료의 소멸시효는 보험연도 중에 보험관계가 소멸한 사업의 경우에는 보험관계가 소멸한 날의 다음 날로부터 진행한다.</t>
  </si>
  <si>
    <t>ㅁ-ㄱ-ㄷ-ㄴ-ㄹ</t>
  </si>
  <si>
    <t>산업재해보상보험에 가입한 사업주가 그 사업을 운영하다가 근로자를 고용하지 아니하게 되었을 때에는 그 날부터 1년의 범위에서 근로자를 사용하지 아니한 기간에도 보험에 가입한 것으로 본다.</t>
  </si>
  <si>
    <t>사회복지서비스</t>
  </si>
  <si>
    <t>사회보장수급권을 포기하는 것이 타인에게 피해를 주는 경우에는 포기할 수 없다.</t>
  </si>
  <si>
    <t>국가와 지방자치단체는 사회보장제도를 시행할 때에 가정과 지역공동체의 자발적인 복지 활동을 촉진하여야 한다.</t>
  </si>
  <si>
    <t>고용보험위원회에서 심의・의결한 업종에 해당하는 우선지원 대상기업이 우선지원 대상기업이 아닌 다른 기업으로부터 전문인력을 지원받아 사용하는 경우</t>
  </si>
  <si>
    <t>5년 6개월</t>
  </si>
  <si>
    <t>재취업을 위한 노력을 적극적으로 할 것</t>
  </si>
  <si>
    <t>정당한 사유 없이 직업안정기관의 장이 지시한 직업능력개발 훈련을 거부한 경우</t>
  </si>
  <si>
    <t>2000년 4월 1일, 2011년 5월 15일</t>
  </si>
  <si>
    <t>ㄱ : 100분의 100 ㄴ : 100 ㄷ : 50</t>
  </si>
  <si>
    <t>근로자가 동료 근로자의 행위로 인하여 업무상 재해를 입은 경우 그 동료 근로자는 구상권이 인정되는 제3자에서 제외된다.</t>
  </si>
  <si>
    <t>연금의 지급은 그 지급받을 권리가 소멸한 달의 말일에 끝난다.</t>
  </si>
  <si>
    <t>근로자의 업무와 질병 사이의 인과관계에 관하여는 사용자측에서 입증하여야 한다.</t>
  </si>
  <si>
    <t>사망한 근로자의 배우자인 수급자격자가 다른 자와 사실상 혼인 관계에 있는 경우</t>
  </si>
  <si>
    <t>보험업법에 따른 보험설계사로서 노무를 제공함에 있어서 타인을 사용하는 자</t>
  </si>
  <si>
    <t>수급권자가 유족특별급여를 받으면 동일한 사유에 대하여 보험가입자에게 민법이나 그 밖의 법령에 따른 손해배상을 청구할 수 없다.</t>
  </si>
  <si>
    <t>사업장가입자가 3개월 이상 계속하여 연금보험료를 체납한 경우 가입자 자격을 상실한다.</t>
  </si>
  <si>
    <t>보험급여를 실시함에 있어서 필요하다고 인정되는 때에는 보험급여를 받는 자에 대하여 문서의 제출을 요구할 수 있다.</t>
  </si>
  <si>
    <t>선거에 의하여 취임하는 공무원으로서 매월 보수 또는 이에 준하는 급료를 받지 아니하는 자는 직장가입자에서 제외된다.</t>
  </si>
  <si>
    <t>체납자의 재산이 없거나 체납처분의 목적물인 총재산의 견적가격이 체납처분비에 충당하고 나면 나머지가 생길 여지가 없음이 확인된 경우</t>
  </si>
  <si>
    <t>징수하고자 하는 보험료 등의 종류</t>
  </si>
  <si>
    <t>공단이 보험관계를 소멸시키는 경우에는 그 소멸결정・통지를 한 날</t>
  </si>
  <si>
    <t>ㄱ : 1천분의 50,   ㄴ : 1천분의 9</t>
  </si>
  <si>
    <t>위원장은 국무총리가 되고, 부위원장은 노동부장관 및 보건복지부장관이 된다.</t>
  </si>
  <si>
    <t>사회보장제도를 운영함에 있어서 국민의 다양한 복지욕구를 효율적으로 충족시키기 위하여 연계성․전문성을 높여야 한다.</t>
  </si>
  <si>
    <t>사회보험에 드는 비용은 사용자․피용자 및 자영업자가 부담하는 것을 원칙으로 하되, 국가가 일부를 부담할 수 있다.</t>
  </si>
  <si>
    <t>제3자의 불법행위로 피해를 입은 국민이 그로 인하여 사회보장수급권을 가지게 된 경우 사회보장제도를 운영하는 자는 그 불법행위에 책임이 있는 자에 대하여 구상권을 행사할 수 없다.</t>
  </si>
  <si>
    <t>실업 신고일로부터 7일간은 대기기간으로 보아 구직급여를 지급하지 않는다.</t>
  </si>
  <si>
    <t>특별연장급여의 실시기간은 6개월 이내로 한다.</t>
  </si>
  <si>
    <t>직업안정기관의 지원을 받아 재취업활동에 관한 계획을 수립하는 경우</t>
  </si>
  <si>
    <t>부모나 동거 친족의 질병・부상 등으로 30일 이상 본인이 간호해야 하는 기간에 기업의 사정상 휴가나 휴직이 허용되지 않은 경우</t>
  </si>
  <si>
    <t>업무상 재해로 요양 중인 사람이 그 업무상 재해로 인한 정신적 이상 상태에서 자해행위를 한 경우</t>
  </si>
  <si>
    <t>공단은 사망의 추정으로 보험급여 지급 후 근로자의 생존이 확인되면 보험급여를 받은 자가 악의자의 경우에는 받은 금액 전부를 징수하여야 한다.</t>
  </si>
  <si>
    <t>19세 자녀</t>
  </si>
  <si>
    <t>보험가입자인 2 이상의 사업주가 같은 장소에서 하나의 사업을 분할하여 각각 행하다가 그 중 사업주를 달리하는 근로자의 행위로 재해가 발생한 경우 제3자의 행위로서 구상권을 행사할 수 있다.</t>
  </si>
  <si>
    <t>재심사 청구는 그 보험급여 결정 등을 한 공단의 소속 기관을 거쳐 산업재해보상보험재심사위원회에 제기하여야 한다.</t>
  </si>
  <si>
    <t>유족급여</t>
  </si>
  <si>
    <t>분할연금 수급권자에게 2 이상의 분할연금 수급권이 생기면 이를 합산하여 지급한다.</t>
  </si>
  <si>
    <t>가입자가 긴급 기타 부득이한 사유로 요양기관과 유사한 기능을 수행하는 기관에서 요양을 받은 경우 그 요양급여에 상당하는 금액을 요양비로 지급한다.</t>
  </si>
  <si>
    <t>피부양자가 없는 직장가입자가 국외에서 업무에 종사하고 있다면 그 기간에 대해서는 보험급여를 정지하고 당해 가입자의 보험료는 50% 감액한다.</t>
  </si>
  <si>
    <t>원칙적으로 보험료와 그 밖의 징수금은 국세와 지방세를 제외한 다른 채권에 우선하여 징수한다.</t>
  </si>
  <si>
    <t>보험관계는 사업이 폐지 또는 종료된 날의 다음 날에 소멸한다.</t>
  </si>
  <si>
    <t>A : 14일, B : 30일</t>
  </si>
  <si>
    <t>고용보험가입자인 근로자가 64세가 된 때에는 그 날이 속한 달부터 고용보험료를 징수하지 아니한다.</t>
  </si>
  <si>
    <t>보건복지부장관이 사회보장정보시스템의 운영・지원을 위하여 설치할 수 있는 전담기구는「사회보장급여의 이용・제공 및 수급권자 발굴에 관한 법률」제29조에 따른 한국사회보장정보원으로 한다.</t>
  </si>
  <si>
    <t>보건복지부장관은 정책개선안을 종합하여 이를 추계 실시 해의 다음 해 3월 31일까지 사회보장위원회에 보고하여야 한다.</t>
  </si>
  <si>
    <t>270일</t>
  </si>
  <si>
    <t>ㄱ: 100분의 80, ㄴ: 200</t>
  </si>
  <si>
    <t>고용보험에 가입한 임기제 공무원에 대한 보험료는 소속기관과 고용보험에 가입한 임기제 공무원이 각각 2분의 1씩 부담한다.</t>
  </si>
  <si>
    <t>직업안정기관의 장은 정보통신장애로 인하여 실업급여를 실업급여수급계좌로 이체할 수 없을 때에는 해당 실업급여 금액을 수급자격자에게 직접 현금으로 지급할 수 있다.</t>
  </si>
  <si>
    <t>특별연장급여는 그 수급자격자가 지급받을 수 있는 구직급여의 지급이 끝난 후에 지급한다.</t>
  </si>
  <si>
    <t>100, 70</t>
  </si>
  <si>
    <t>ㄱ: 2일, ㄴ: 180일</t>
  </si>
  <si>
    <t>「고용보험 및 산업재해보상보험의 보험료징수 등에 관한 법률」에 따른 보험료율의 결정에 관한 사항은 위원회의 심의사항이다.</t>
  </si>
  <si>
    <t>유족보상연금을 받을 권리가 있는 유족보상연금 수급자격자가 그 자격을 잃은 경우에 유족보상연금을 받을 권리는 같은 순위자가 있으면 같은 순위자에게, 같은 순위자가 없으면 다음 순위자에게 이전된다.</t>
  </si>
  <si>
    <t>"플랫폼 운영자"란 온라인 플랫폼을 이용하여 플랫폼 종사자의 노무제공을 중개 또는 알선하는 것을 업으로 하는 자를 말한다.</t>
  </si>
  <si>
    <t>장례비는 장례를 지낼 유족이 없거나 그 밖에 부득이한 사유로 유족이 아닌 사람이 장례를 지낸 경우에는 평균임금의 120일분에 상당하는 금액의 범위에서 실제 드는 비용을 그 장례를 지낸 사람에게 지급한다.</t>
  </si>
  <si>
    <t>위원장과 위원의 임기는 3년으로 하되, 연임할 수 있다.</t>
  </si>
  <si>
    <t>"진폐"(塵肺)란 분진을 흡입하여 폐에 생기는 섬유증식성(纖維增殖性) 변화를 주된 증상으로 하는 질병을 말한다.</t>
  </si>
  <si>
    <t>상병보상연금을 산정할 때 근로자의 평균임금이 최저임금액에 90분의 100을 곱한 금액보다 적을 때에는 최저임금액의 90분의 100에 해당하는 금액을 그 근로자의 평균임금으로 보아 산정한다.</t>
  </si>
  <si>
    <t>ㄱ: 12, ㄴ: 3</t>
  </si>
  <si>
    <t>장애연금 수급권자가 고의나 중대한 과실로 요양 지시에 따르지 아니하거나 정당한 사유 없이 요양 지시에 따르지 아니하여 회복을 방해한 때에는 급여의 전부 또는 일부의 지급을 정지할 수 있다.</t>
  </si>
  <si>
    <t>국민연금재심사위원회의 재심사와 재결에 관한 절차에 관하여는 「행정심판법」을 준용한다.</t>
  </si>
  <si>
    <t>ㄱ: 30일, ㄴ: 3개월, ㄷ: 30일</t>
  </si>
  <si>
    <t>보건복지부장관은 국민연금기금의 운용 내용과 관리기금에 예탁된 국민연금기금의 사용 내용을 다음 연도 6월 말까지 국민연금기금운용위원회에 제출하여야 한다.</t>
  </si>
  <si>
    <t>공단의 주된 사무소의 소재지는 정관으로 정한다.</t>
  </si>
  <si>
    <t>이의신청에 대한 결정에 불복하는 자는「행정소송법」이 정하는 바에 따라 행정소송을 제기할 수 있다.</t>
  </si>
  <si>
    <t>휴직이나 그 밖의 사유로 보수의 전부 또는 일부가 지급되지 아니하는 가입자의 보수월액보험료는 해당 사유가 생긴 달의 보수월액을 기준으로 산정한다.</t>
  </si>
  <si>
    <t>근로복지공단의 승인을 통해 고용보험에 가입한 자영업자가 50명 이상의 근로자를 사용하게 된 경우에도 본인이 피보험자격을 유지하려는 경우에는 계속하여 보험에 가입된 것으로 본다.</t>
  </si>
  <si>
    <t>「어음법」 및 「수표법」에 따른 어음교환소에서 거래정지처분을 받은 경우</t>
  </si>
  <si>
    <t>ㄴ - e, ㄷ - b</t>
  </si>
  <si>
    <t>보건복지부장관은 재정추계의 결과를 사회보장위원회의 심의를 거쳐 같은 해 9월 30일까지 관계 중앙행정기관의 장에게 통보하여야 한다.</t>
  </si>
  <si>
    <t>수급자격자가 질병이나 부상으로 직업안정기관에 출석할 수 없었던 경우로 그 기간이 계속하여 7일 미만인 경우에 해당하면 직업안정기관에 출석할 수 없었던 사유를 적은 증명서를 제출하여 실업의 인정을 받을 수 있다.</t>
  </si>
  <si>
    <t>ㄱ: 3, ㄴ: 3분의 2 이상 10분의 9 이하</t>
  </si>
  <si>
    <t>위원회에 고용보험운영전문위원회와 고용보험평가전문위원회를 둔다.</t>
  </si>
  <si>
    <t>직업안정기관 또는 근로복지공단은 심사청구서를 받은 날부터 14일 이내에 의견서를 첨부하여 심사청구서를 심사관에게 보내야 한다.</t>
  </si>
  <si>
    <t>고용노동부장관이 「고용상 연령차별 금지 및 고령자고용촉진에 관한 법률」에 따른 고령자가 근무하기에 적합한 것으로 인정하는 직무에 고령자를 새로 고용하는 경우</t>
  </si>
  <si>
    <t>재심사 청구의 제기는 시효의 중단에 관하여 「민법」 제168조에 따른 재판상의 청구로 본다.</t>
  </si>
  <si>
    <t>휴게시간 중 사업주의 지배관리하에 있다고 볼 수 있는 행위로 발생한 사고</t>
  </si>
  <si>
    <t>업무와 그 질병 사이에 상당인과관계가 있는지를 명백히 알 수 있는 경우로서 근로복지공단이 정하는 질병</t>
  </si>
  <si>
    <t>7개월</t>
  </si>
  <si>
    <t>직장가입자의 형제・자매</t>
  </si>
  <si>
    <t>보수의 일부가 현물로 지급되는 경우에는 그 지역의 시가를 기준으로 근로복지공단이 정하는 가액을 그에 해당하는 보수로 본다.</t>
  </si>
  <si>
    <t>60세 이상인 사람은 보험료 경감대상이 될 수 있다.</t>
  </si>
  <si>
    <t>국민건강보험공단은 직장가입자에게 실시하는 일반건강검진의 실시에 관한 사항을 해당 사용자에게 통보해야 한다.</t>
  </si>
  <si>
    <t>국민건강보험공단은 보험료정보공개심의위원회의 심의와 관련한 통지일부터 3개월이 지난 후 체납자 인적사항등의 공개 여부를 재심의하게 한 후 공개대상자를 선정한다.</t>
  </si>
  <si>
    <t>1천분의 40</t>
  </si>
  <si>
    <t>E</t>
  </si>
  <si>
    <t>ㄱ: 6월 30일, ㄴ: 9월 30일</t>
  </si>
  <si>
    <t>사회보장에 관한 다른 법률을 제정하거나 개정하는 경우에는 사회보장기본법에 부합되도록 하여야 한다.</t>
  </si>
  <si>
    <t>피보험자 또는 피보험자였던 사람은 언제든지 고용노동부장관에게 피보험자격의 취득 또는 상실에 관한 확인을 청구할 수 있다.</t>
  </si>
  <si>
    <t>피보험기간 15년 - 소정급여일수 240일</t>
  </si>
  <si>
    <t>「우체국 예금・보험에 관한 법률」에 따른 우체국보험의 모집을 전업으로 하는 사람</t>
  </si>
  <si>
    <t>고용노동부장관의 고용보험기금 관리・운용 방법에는 금융기관에 예탁하는 방법이 있다.</t>
  </si>
  <si>
    <t>당사자는 고용보험심사위원회에 문서나 구두로 그 의견을 진술할 수 있다.</t>
  </si>
  <si>
    <t>고용노동부장관이 산업재해보상보험 사업 및 산업안전・보건 업무에 관하여 심의에 부치는 사항</t>
  </si>
  <si>
    <t>가구내 고용활동</t>
  </si>
  <si>
    <t>ㄱ: 90, ㄴ: 90</t>
  </si>
  <si>
    <t>자녀인 수급권자가 다른 사람에게 입양된 때에는 그에 해당하게 된 때부터 유족연금의 지급을 정지한다.</t>
  </si>
  <si>
    <t>임의가입자는 가입 신청을 한 날에 자격을 취득한다.</t>
  </si>
  <si>
    <t>보수 관련 자료가 없거나 불명확한 경우에 해당하면 고용노동부장관이 정하여 고시하는 금액을 보수로 본다.</t>
  </si>
  <si>
    <t>ㄱ: 국민건강보험공단, ㄴ: 국민건강보험공단, ㄷ: 근로복지공단</t>
  </si>
  <si>
    <t>고용보험법을 적용하지 아니하는 사업의 사업주가 근로자의 과반수의 동의를 받아 근로복지공단의 승인을 받으면 그 사업의 사업주와 근로자는 고용보험에 가입할 수 있다.</t>
  </si>
  <si>
    <t>1만분의 55</t>
  </si>
  <si>
    <t>사업의 폐업으로 보수를 산정하기 곤란한 경우에는 기준보수를 보수로 할 수 있다.</t>
  </si>
  <si>
    <t>사회보장위원회에 두는 실무위원회는 공동위원장 2명을 포함하여 30명 이내의 위원으로 구성한다.</t>
  </si>
  <si>
    <t>사회보장수급권을 포기하는 것이 다른 사람에게 피해를 주는 경우에는 사회보장수급권을 포기할 수 없다.</t>
  </si>
  <si>
    <t>ㄱ: 60, ㄴ: 60, ㄷ: 60</t>
  </si>
  <si>
    <t>예술인의 구직급여일액의 상한액은 6만6천원이다.</t>
  </si>
  <si>
    <t>ㄱ: 월 통상임금에 해당하는 금액, ㄴ: 250만원</t>
  </si>
  <si>
    <t>피보험자는 언제든지 고용노동부장관에게 피보험자격의 취득 또는 상실에 관한 확인을 청구할 수 있다.</t>
  </si>
  <si>
    <t>자영업자의 실업급여를 받을 권리는 양도하거나 담보로 제공할 수 있다.</t>
  </si>
  <si>
    <t>신용정보의 이용 및 보호에 관한 법률에 따른 위임직채권추심인</t>
  </si>
  <si>
    <t>업무상질병판정위원회의 원활한 운영을 위하여 필요하면 위원장이 지명하는 위원이 회의를 주재할 수 있다.</t>
  </si>
  <si>
    <t>장해보상연금은 그 지급을 정지할 사유가 발생한 때에는 그 사유가 발생한 달의 다음 달 첫날부터 그 사유가 소멸한 달의 말일까지 지급하지 아니한다.</t>
  </si>
  <si>
    <t>근로자가 보험급여를 신청한 것을 이유로 근로자를 해고한 사업주</t>
  </si>
  <si>
    <t>해당 근로자의 부상・질병 상태로 보아 이송 시 간호인의 동행이 필요하다고 인정되는 경우에는 간호인 1명이 동행할 수 있으나, 의학적으로 특별히 필요하다고 인정되는 경우에는 2명까지 동행할 수 있다.</t>
  </si>
  <si>
    <t>세대주인 지역가입자</t>
  </si>
  <si>
    <t>제조업의 보험료는 근로복지공단이 매월 부과하고, 국민건강보험공단이 이를 징수한다.</t>
  </si>
  <si>
    <t>상속이 개시된 때에 그 상속인은 피상속인에게 부과되거나 피상속인이 내야 하는 보험료를 상속받은 재산의 한도에서 낼 의무를 진다.</t>
  </si>
  <si>
    <t>보험에 가입한 하수급인의 경우에는 그 하도급공사의 착공일의 다음 날에 성립한다.</t>
  </si>
  <si>
    <t>이 법에 따른 체납처분 절차에 따라 하는 교부청구로 중단된 소멸시효는 교부청구중의 기간이 지난 때부터 새로 진행한다.</t>
  </si>
  <si>
    <t>공공부조란 국민에게 발생하는 사회적 위험을 보험의 방식으로 대처함으로써 국민의 건강과 소득을 보장하는 제도를 말한다.</t>
  </si>
  <si>
    <t>보건복지부장관 및 관계 중앙행정기관의 장은 사회보장 기본계획에 따라 사회보장과 관련된 소관 주요 시책의 시행계획을 매년 수립・시행하여야 한다.</t>
  </si>
  <si>
    <t>심의사항을 전문적으로 검토하기 위하여 전문위원회를 두며, 전문위원회에 분야별 실무위원회를 둔다.</t>
  </si>
  <si>
    <t>수급자격자가 질병이나 부상으로 직업안정기관에 출석할 수 없었던 경우로서 그 기간이 계속하여 7일 미만인 경우에는 직업안정기관에 출석할 수 없었던 사유를 적은 증명서를 제출하여 실업의 인정을 받을 수 있다.</t>
  </si>
  <si>
    <t>배우자의 국외발령 등에 따른 동거 목적의 거소 이전</t>
  </si>
  <si>
    <t>조기(早期)재취업 수당</t>
  </si>
  <si>
    <t>심의 사항에는 보험제도 및 보험사업의 개선에 관한 사항이 포함된다.</t>
  </si>
  <si>
    <t>ㄱ: 3, ㄴ: 60</t>
  </si>
  <si>
    <t>장해보상연금을 받고 있는 사람에게는 진폐에 대한 진단을 받는 경우 진단수당을 지급하지 아니한다.</t>
  </si>
  <si>
    <t>재요양을 받는 자에 대하여 산정한 1일당 휴업급여 지급액이 최저임금액보다 적으면 최저임금액을 1일당 휴업급여 지급액으로 한다.</t>
  </si>
  <si>
    <t>직업훈련수당의 1일당 지급액은 평균임금의 100분의 70에 상당하는 금액으로 한다.</t>
  </si>
  <si>
    <t>근로복지공단이 직권으로 실시하는 장해등급 또는 진폐장해등급 재판정 요구에 응하지 아니하는 경우</t>
  </si>
  <si>
    <t>임의가입자의 경우 60세가 된 날의 다음 날</t>
  </si>
  <si>
    <t>약제・치료재료의 지급</t>
  </si>
  <si>
    <t>ㄱ: 14, ㄴ: 1</t>
  </si>
  <si>
    <t>ㄱ: 3, ㄴ: 30</t>
  </si>
  <si>
    <t>ㄱ: 7, ㄴ: 6천분의 1, ㄷ : 1천분의 90</t>
  </si>
  <si>
    <t>사업주는 근로자와 고용관계를 종료한 때에는 그 근로자에게 지급한 보수총액, 고용관계 종료일 등을 그 근로자의 고용관계가 종료한 날이 속하는 달의 다음 달 15일까지 근로복지공단에 신고하여야 한다.</t>
  </si>
  <si>
    <t>국가와 지방자치단체는 개인・법인 또는 단체가 사회보장에 참여하는 데에 드는 경비의 전부 또는 일부를 지원하거나 그 업무를 수행하기 위하여 필요한 지원을 할 수 있다.</t>
  </si>
  <si>
    <t>공공부조 및 관계 법령에서 정하는 일정 소득 수준 이하의 국민에 대한 사회서비스에 드는 비용의 전부 또는 일부는 국가와 지방자치단체가 부담한다.</t>
  </si>
  <si>
    <t>1개월 동안의 소정근로시간이 60시간 미만인 단시간근로자는 국민건강보험법의 직장가입자에서 제외된다.</t>
  </si>
  <si>
    <t>제3자의 불법행위로 피해를 입은 국민이 그로 인하여 사회보장수급권을 가지게 된 경우 사회보장제도를 운영하는 자는 그 불법행위의 책임이 있는 자에 대하여 관계 법령에서 정하는 바에 따라 구상권을 행사할 수 있다.</t>
  </si>
  <si>
    <t>근로의 의사와 능력이 있음에도 불구하고 취업을 하지 못한 상태에 있어야 한다.</t>
  </si>
  <si>
    <t>재심사청구에 대한 심리는 공개로 하나, 당사자의 양쪽 또는 어느 한 쪽이 신청한 경우에는 공개하지 아니할 수 있다.</t>
  </si>
  <si>
    <t>ㄱ, ㄷ, ㄹ, ㅁ</t>
  </si>
  <si>
    <t>직업재활급여를 받을 권리</t>
  </si>
  <si>
    <t>부당이득의 징수에 관한 결정</t>
  </si>
  <si>
    <t>간병급여는 실제로 간병을 실시한 자에게 직접 지급한다.</t>
  </si>
  <si>
    <t>ㄱ: 60, ㄴ: 12, ㄷ: 18</t>
  </si>
  <si>
    <t>부모, 손자녀 또는 조부모인 유족의 유족연금 수급권은 가입자 또는 가입자였던 사람이 사망할 당시에 그 가입자 또는 가입자였던 사람의 태아가 출생하여 수급권을 갖게 되면 소멸한다.</t>
  </si>
  <si>
    <t>보험급여를 받을 수 있는 사람이 국외에서 업무에 종사하고 있는 경우 그 기간에는 보험급여를 하지 아니한다.</t>
  </si>
  <si>
    <t>직장가입자가 공무원인 경우 보수월액보험료는 그 직장가입자와 그 공무원이 소속되어 있는 국가 또는 지방자치단체가 각각 보험료액의 100분의 50씩 부담한다.</t>
  </si>
  <si>
    <t>직장가입자 중 국가유공자 등 예우 및 지원에 관한 법률에 따른 국가유공자</t>
  </si>
  <si>
    <t>산업재해보상보험법을 적용받는 사업의 사업주는 근로복지공단의 승인을 받아 산업재해보상보험에 가입할 수 있다.</t>
  </si>
  <si>
    <t>보험관계의 변경의 신고</t>
  </si>
  <si>
    <t>ㄱ: 100분의 30, ㄴ: 1천분의 25</t>
  </si>
  <si>
    <t>근로복지공단은 보험료를 감액 조정한 경우에는 보험료율의 인하를 결정한 날부터 20일 이내에 그 감액 조정 사실을 사업주에게 알려야 한다.</t>
  </si>
  <si>
    <t>국가와 지방자치단체는 최저보장수준과 최저임금 등을 고려하여 사회보장급여의 수준을 결정하여야 한다.</t>
  </si>
  <si>
    <t>국내에 거주하는 외국인에게 사회보장제도를 적용할 때에는 상호주의의 원칙에 따르되, 관계 법령에서 정하는 바에 따른다.</t>
  </si>
  <si>
    <t>사회복지법인의 보조금 수급이력에 관한 자료는 사회보장정보시스템의 운영을 위하여 수집・보유할 수 있는 정보에 해당하지 않는다.</t>
  </si>
  <si>
    <t>일용근로자 : 3개월 미만 동안 고용된 자를 말한다.</t>
  </si>
  <si>
    <t>90, 1</t>
  </si>
  <si>
    <t>구직급여를 지급받으려는 자는 이직 후 지체없이 직업안정기관에 출석하여 실업을 신고해야 한다.</t>
  </si>
  <si>
    <t>고용유지지원금을 받으려는 사업주는 그 사업의 근로자대표와 협의를 거쳐 고용유지조치계획을 수립해야 한다.</t>
  </si>
  <si>
    <t>폐업한 자영업자인 피보험자의 구직급여 수급요건에 재취업을 위한 노력을 적극적으로 하는 것은 포함되지 아니한다.</t>
  </si>
  <si>
    <t>요양급여는 소정의 산재보험 의료기관에서 요양을 하게 하는 것이고 부득이한 경우에는 요양을 갈음하여 요양비를 지급할 수 있다.</t>
  </si>
  <si>
    <t>보험급여로서 지급된 금품에 대하여는 국가나 지방자치단체의 공과금을 부과하지 아니한다.</t>
  </si>
  <si>
    <t>여객자동차 운수사업법에 따른 여객자동차 운송사업자</t>
  </si>
  <si>
    <t>요양기간을 연장할 필요가 있는 때 제출해야할 진료계획을 정당한 사유 없이 제출하지 아니한 경우</t>
  </si>
  <si>
    <t>5, 60</t>
  </si>
  <si>
    <t>공단은 보험급여를 받을 수 있는 사람이 고의로 사고를 일으킨 경우에는 보험급여를 하지 아니한다.</t>
  </si>
  <si>
    <t>사업주가 산재보험료의 납부를 게을리한 기간 중에 발생한 재해에 대하여 산재보험급여를 지급하는 경우 사업주로부터 그 급여에 해당하는 금액의 징수</t>
  </si>
  <si>
    <t>분할 납부의 총 기간은 분할 납부의 승인을 받은 날의 다음 날부터 1년 이내로 한다.</t>
  </si>
  <si>
    <t>사업주가 국세를 체납하여 체납처분을 받은 경우 보험료의 총액이 500만원이라면 납부기한 전에 이미 납부의무가 확정된 보험료를 징수할 수 없다.</t>
  </si>
  <si>
    <t>3년, 1000분의 30</t>
  </si>
  <si>
    <t>사회보장에 관한 기본계획은 다른 법령에 따라 수립되는 사회보장에 관한 계획을 제외한 모든 계획의 기본이 된다.</t>
  </si>
  <si>
    <t>10년, 격년</t>
  </si>
  <si>
    <t>60만원</t>
  </si>
  <si>
    <t>고용보험위원회에서 심의・의결한 업종에 해당하는 대규모기업이 직업안정기관의 장이 정하는 전문적인 자격을 갖춘 자를 고용하는 경우</t>
  </si>
  <si>
    <t>피보험기간 10년, 이직일 현재 45세인 비장애인: 240일</t>
  </si>
  <si>
    <t>고용보험기금의 결산상 손실금이 생기면 적립금을 사용하여 이를 보전(補塡)할 수 있다.</t>
  </si>
  <si>
    <t>장례비는 유족이 아닌 자가 장례를 지낸 경우에는 평균임금의 120일분을 그 장례를 지낸 자에게 지급한다.</t>
  </si>
  <si>
    <t>약제비에 관한 근로복지공단의 결정에 불복하는 자는 근로복지공단에 심사 청구를 할 수 있다.</t>
  </si>
  <si>
    <t>90, 90</t>
  </si>
  <si>
    <t>고용노동부장관이 정하는 기준에 따라 주로 하나의 대리운전업자로부터 업무를 의뢰받아 대리운전업무를 하는 사람</t>
  </si>
  <si>
    <t>근로복지공단은 보험급여를 받은 자가 거짓이나 그 밖의 부정한 방법으로 보험급여를 받은 경우에는 그 급여액의 2배에 해당하는 금액을 징수하여야 한다.</t>
  </si>
  <si>
    <t>고용노동부장관은 위원 스스로 직무를 수행하는 것이 곤란하다고 의사를 밝히는 경우 해당 위원을 해촉(解囑)할 수 있다.</t>
  </si>
  <si>
    <t>근로복지공단은 심사청구서를 받은 날부터 90일 이내에 산업재해보상보험심사위원회의 심의를 거쳐 심사 청구에 대한 결정을 하여야 한다.</t>
  </si>
  <si>
    <t>20, 65, 60</t>
  </si>
  <si>
    <t>급여의 지급이나 과오납금 등의 반환청구에 관한 기간을 계산할 때 그 서류의 송달에 들어간 일수는 그 기간에 산입하지 아니한다.</t>
  </si>
  <si>
    <t>지역가입자가 다른 세대로 전입한 날</t>
  </si>
  <si>
    <t>이의신청은 처분이 있음을 안 날부터 60일 이내, 처분이 있은 날부터 180일 이내에 하여야 한다.</t>
  </si>
  <si>
    <t>이 법에 따른 체납처분 절차에 따라 하는 교부청구로 중단된 소멸시효는 교부청구 중의 기간이 지난 때부터 새로 진행한다.</t>
  </si>
  <si>
    <t>시간급근로자 또는 일급근로자임이 명확하지 아니한 경우에는 월단위 기준보수를 적용한다.</t>
  </si>
  <si>
    <t>20, 2, 15</t>
  </si>
  <si>
    <t>보험사업에 드는 비용에 충당하기 위하여 보험가입자로부터 고용안정・직업능력개발사업 및 실업급여의 보험료, 육아휴직 급여 및 출산전후휴가 급여의 보험료, 산재보험의 보험료를 징수한다.</t>
  </si>
  <si>
    <t>일괄적용을 받는 사업의 경우에는 처음하는 사업이 시작된 날의 다음 날이 성립일이다.</t>
  </si>
  <si>
    <t>보편적 복지, 공공부조, 사회서비스</t>
  </si>
  <si>
    <t>위원회의 사무를 효율적으로 처리하기 위하여 행정자치부에 사무국을 둔다.</t>
  </si>
  <si>
    <t>국가와 지방자치단체는 중장기 사회보장 재정추계를 격년으로 실시하고 이를 공표하여야 한다.</t>
  </si>
  <si>
    <t>구직급여는 수급자격자가 실업한 상태에 있는 날 중에서 직업안정기관의 장으로 부터 인정을 받은 날에 대하여 지급한다.</t>
  </si>
  <si>
    <t>실업급여수급계좌에 입금된 금액 일부</t>
  </si>
  <si>
    <t>사업주가 그 사업에 고용된 근로자의 피보험자격 취득에 관한 사항을 고용노동부장관에게 신고하지 아니한 경우</t>
  </si>
  <si>
    <t>55세 장애인 : 210일</t>
  </si>
  <si>
    <t>통상임금액의 100분의 70에 상당하는 금액</t>
  </si>
  <si>
    <t>직장복귀지원금의 지급기간은 12개월 이내로 한다.</t>
  </si>
  <si>
    <t>업무와 관련하여 정신적 충격을 유발할 수 있는 사건에 의해 발생한 외상후스트레스장애는 업무상 질병으로 본다.</t>
  </si>
  <si>
    <t>ㄱ: 3, ㄴ: 2</t>
  </si>
  <si>
    <t>출장 중에 사적 행위 또는 정상적인 출장 경로를 벗어났을 때 발생한 사고</t>
  </si>
  <si>
    <t>ㄱ: 30, ㄴ: 2</t>
  </si>
  <si>
    <t>공무원인 직장가입자의 보수월액보험료는 그 공무원이 소속되어 있는 국가 또는 지방자치단체가 보험료액의 전액을 부담한다.</t>
  </si>
  <si>
    <t>업무로 생긴 질병으로 인해 다른 법령에 따라 보상을 받게 된 경우</t>
  </si>
  <si>
    <t>근로복지공단은 보험료율이 인상 또는 인하된 때에는 월별보험료 및 개산보험료를 증액 또는 감액 조정하고, 월별보험료가 증액된 때에는 근로복지공단이, 개산보험료가 증액된 때에는 건강보험공단이 각각 징수한다.</t>
  </si>
  <si>
    <t>ㄱ: 65, ㄴ: 25</t>
  </si>
  <si>
    <t>ㄱ: 90, ㄴ: 10</t>
  </si>
  <si>
    <t>사회보장위원회를 효율적으로 운영하고 위원회의 심의사항을 전문적으로 검토하기 위하여 위원회에 실무위원회를 두며, 실무위원회에 분야별 전문위원회를 둘 수 있다.</t>
  </si>
  <si>
    <t>사회보장급여를 다른 기관에 신청한 경우에는 그 기관은 지체 없이 이를 정당한 권한이 있는 기관에 이송하여야 한다. 이 경우 정당한 권한이 있는 기관에 이송된 날을 사회보장급여의 신청일로 본다.</t>
  </si>
  <si>
    <t>임금피크제 지원금의 지급</t>
  </si>
  <si>
    <t>피보험자가 육아휴직 급여 기간 중에 그 사업에서 이직한 경우에도 육아휴직 급여를 지급한다.</t>
  </si>
  <si>
    <t>피보험자가 이직한 경우에는 이직한 날의 다음 날에 피보험자격을 상실한다.</t>
  </si>
  <si>
    <t>고용보험심사위원회의 허가를 받은 자</t>
  </si>
  <si>
    <t>실업신고 이후 산업재해보상보험법에 따른 휴업급여를 지급받을 수 있는 경우</t>
  </si>
  <si>
    <t>재심사위원회의 위원장은 재심사위원회의 제청으로 고용노동부장관이 임명한다.</t>
  </si>
  <si>
    <t>업무상의 사유로 발생한 부상 또는 질병으로 인하여 요양 중으로서 그 부상 또는 질병의 상태가 치유 후에도 장해등급에 해당할 것이라는 내용의 의학적 소견이 있을 것</t>
  </si>
  <si>
    <t>산업재해로 사망한 근로자의 배우자가 재혼한 때 유족보상연금 수급자격을 잃는다.</t>
  </si>
  <si>
    <t>국가는 회계연도마다 예산범위 안에서 보험사업에 드는 비용을 지원하여야 한다.</t>
  </si>
  <si>
    <t>유족보상연금의 지급은 그 지급사유가 발생한 달의 초일부터 시작된다.</t>
  </si>
  <si>
    <t>기본연금액의 60%에 부양가족연금액을 더한 금액</t>
  </si>
  <si>
    <t>직장가입자의 소득월액보험료는 직장가입자가 전액 부담한다.</t>
  </si>
  <si>
    <t>건강보험과 관련하여 보건복지부장관이 필요하다고 인정한 업무</t>
  </si>
  <si>
    <t>사업이 끝난 날의 다음 날</t>
  </si>
  <si>
    <t>특정 사업 종류의 산재보험료율이 인상되거나 인하되는 경우에는 직전 보험연도 산재보험료율의 100분의 20의 범위에서 조정하여야 한다.</t>
  </si>
  <si>
    <t>어음법 및 수표법에 따른 어음교환소에서 거래정지처분을 받은 경우</t>
  </si>
  <si>
    <t>사업주는 전년도에 근로자에게 지급한 보수총액 등을 매년 1월 31일까지 근로복지공단에 신고하여야 한다.</t>
  </si>
  <si>
    <t>사회보장위원회를 효율적으로 운영하고 위원회의 심의사항을 전문적으로 검토하기 위하여 위원회에 실무위원회를 둔다.</t>
  </si>
  <si>
    <t>관계 법령에서 따로 정하고 있는 경우 사회보장수급권은 제한되거나 정지될 수 있다.</t>
  </si>
  <si>
    <t>국가와 지방자치단체는 개인・법인 또는 단체가 사회보장에 참여하는 데에 드는 경비의 전부 또는 일부를 지원할 수 있다.</t>
  </si>
  <si>
    <t>고용보험심사관은 심사청구인의 신청에 의하여 원처분등의 집행을 정지시킬 수 있다.</t>
  </si>
  <si>
    <t>받을 수 없다.</t>
  </si>
  <si>
    <t>출입국관리법령상 영주(F-5)의 체류자격을 가진 외국인 근로자</t>
  </si>
  <si>
    <t>건설기계관리법에 따라 등록된 콘크리트믹서트럭을 소유하여 직접 운전하는 사람</t>
  </si>
  <si>
    <t>전체 근로자의 임금 평균액의 증감률, 65세, 소비자물가변동률</t>
  </si>
  <si>
    <t>요양급여를 받은 자가 치유 후 치유 당시보다 상태가 악화되어 이를 치유하기 위한 적극적인 치료가 필요하다는 의학적 소견이 있으면 재요양을 받을 수 있다.</t>
  </si>
  <si>
    <t>업무상질병판정위원회 위원 중 근로자 단체와 사용자 단체가 추천하는 위원 수는 전체 위원 수의 3분의 2 미만으로 할 수 없다.</t>
  </si>
  <si>
    <t>업무상 질병으로 요양을 하고 있는 근로자에게 요양급여와 관련하여 발생한 의료사고</t>
  </si>
  <si>
    <t>ㄱ: 90일, ㄴ: 7일, ㄷ: 90일</t>
  </si>
  <si>
    <t>상병연금</t>
  </si>
  <si>
    <t>ㄱ: 10, ㄴ: 19, ㄷ: 5, ㄹ: 65</t>
  </si>
  <si>
    <t>1개월 동안의 소정근로시간이 60시간인 단시간근로자</t>
  </si>
  <si>
    <t>이의신청에 불복하는 자는 심판청구를 거치지 아니하고는 행정소송을 제기할 수 없다.</t>
  </si>
  <si>
    <t>원칙적으로 보험료와 그 밖의 징수금은 국세 및 지방세를 제외한 다른 채권보다 우선하여 징수한다.</t>
  </si>
  <si>
    <t>체납자의 행방이 분명하지 않은 경우 보험료의 결손처분 사유가 된다.</t>
  </si>
  <si>
    <t>국민건강보험공단은 고용보험 및 산업재해보상보험사업의 보험료등에 대한 고지・수납・체납관리업무를 근로복지공단으로부터 위탁받아 수행한다.</t>
  </si>
  <si>
    <t>보험료 징수권의 소멸시효는 체납처분 절차에 따라 하는 교부청구로 중단된다.</t>
  </si>
  <si>
    <t>근로복지공단이 보험사무대행기관의 지도를 위하여 필요하다고 인정하여 관계인에게 질문을 한 경우, 관계인이 그 질문에 거짓으로 답변한 경우</t>
  </si>
  <si>
    <t>평생사회안전망</t>
  </si>
  <si>
    <t>사회보장 기본계획은 다른 법령에 따라 수립되는 사회보장에 관한 계획에 우선한다.</t>
  </si>
  <si>
    <t>지방공무원법에 따른 별정직 공무원</t>
  </si>
  <si>
    <t>고용보험기금의 관리・운용에 관한 세부 사항은 국가재정법의 규정에 따른다.</t>
  </si>
  <si>
    <t>고용보험심사관은 원처분등의 집행에 의하여 발생하는 중대한 위해(危害)를 피하기 위하여 긴급한 필요가 있다고 인정하면 직권으로 그 집행을 정지시킬 수 있다.</t>
  </si>
  <si>
    <t>자영업자인 피보험자의 실업급여를 받을 권리는 양도 또는 압류하거나 담보로 제공할 수 없다.</t>
  </si>
  <si>
    <t>직업안정기관의 장은 필요하다고 인정하면 직권으로 그 자에게 행하는 육아휴직급여에 관한 사무를 다른 직업안정기관의 장에게 위탁하여 처리할 수 있다.</t>
  </si>
  <si>
    <t>거짓이나 그 밖의 부정한 방법으로 보험급여를 받은 경우</t>
  </si>
  <si>
    <t>근로자의 보험급여를 받을 권리는 퇴직하면 소멸한다.</t>
  </si>
  <si>
    <t>ㄱ : 52, ㄴ : 10, ㄷ : 20, ㄹ : 20</t>
  </si>
  <si>
    <t>유족보상연금의 지급은 그 지급받을 권리가 소멸한 달의 말일에 끝난다.</t>
  </si>
  <si>
    <t>진폐는 업무상질병판정위원회의 심의에서 제외되는 질병이다.</t>
  </si>
  <si>
    <t>요양</t>
  </si>
  <si>
    <t>장애로 유족연금 수급권을 취득한 자가 장애등급 2급 이상에 해당하지 아니하게 된 때</t>
  </si>
  <si>
    <t>ㄱ : 15, ㄴ : 60, ㄷ : 55</t>
  </si>
  <si>
    <t>수급권자가 된 날</t>
  </si>
  <si>
    <t>국외에 여행 중인 경우</t>
  </si>
  <si>
    <t>"정보통신망"이란 정보통신망 이용촉진 및 정보보호 등에 관한 법률에 따른 정보통신망을 말한다.</t>
  </si>
  <si>
    <t>근로복지공단은 보험사무대행기관의 인가를 취소하면 지체 없이 그 사실을 해당 보험사무대행기관과 보험사무를 위임한 사업주에게 알려야 한다.</t>
  </si>
  <si>
    <t>100분의 50</t>
  </si>
  <si>
    <t>ㄱ : 3년, ㄴ : 10억원</t>
  </si>
  <si>
    <t>ㄱ : 30, ㄴ : 근로복지공단</t>
  </si>
  <si>
    <t>국가와 지방자치단체는 사회보장에 관한 관계 법령에서 정하는 바에 따라 사회보장에 관한 사항을 해당 국민에게 알려야 한다.</t>
  </si>
  <si>
    <t>보건복지부장관은 확정된 사회보장 장기발전방향의 내용을 지체 없이 관계 중앙행정기관의 장 및 특별시장・광역시장・도지사・특별자치도지사에게 통보하여야 한다.</t>
  </si>
  <si>
    <t>부담 능력이 있는 국민에 대한 사회복지서비스에 드는 비용은 관계 법령에서 정하는 바에 따라 국가와 지방자치단체가 그 비용의 일부를 부담할 수 있다.</t>
  </si>
  <si>
    <t>위원장인 대통령이 심의에 부치는 사항</t>
  </si>
  <si>
    <t>480만원</t>
  </si>
  <si>
    <t>고용촉진 지원금 지급대상자를 고용한 사업주가 해당 근로자의 최종 이직 당시 사업주와 같은 경우</t>
  </si>
  <si>
    <t>이직으로 피보험자격을 상실한 자는 실업급여의 수급자격의 인정신청을 위하여 종전의 사업주에게 이직확인서의 교부를 청구할 수 있다.</t>
  </si>
  <si>
    <t>병역법에 따른 의무복무</t>
  </si>
  <si>
    <t>산업재해보상보험및예방기금은 기획재정부장관이 관리・운용한다.</t>
  </si>
  <si>
    <t>ㄱ : 회피, ㄴ : 기피</t>
  </si>
  <si>
    <t>직업재활급여</t>
  </si>
  <si>
    <t>가입자가 지급받은 반환일시금이 부당이득에 해당하는 경우 이를 반납하지 아니하는 때에는 그에 상응하는 기간을 가입기간에 산입하지 아니한다.</t>
  </si>
  <si>
    <t>8세인 손녀</t>
  </si>
  <si>
    <t>ㄱ : 건강보험심사평가원, ㄴ : 국민건강보험공단,    ㄷ : 90,   ㄹ : 행정법원</t>
  </si>
  <si>
    <t>요양급여비용이 정하여지는 경우에 보건복지부장관은 그 요양급여비용의 내역을 지체없이 고시하여야 한다.</t>
  </si>
  <si>
    <t>고용안정・직업능력개발사업 및 실업급여의 보험료율</t>
  </si>
  <si>
    <t>보험료 과납액을 반환받을 수 있는 권리는 3년간 행사하지 아니하면 시효로 인하여 소멸한다.</t>
  </si>
  <si>
    <t>ㅁ-ㄷ-ㄴ-ㄱ-ㄹ</t>
  </si>
  <si>
    <t>산업재해보상보험에 임의가입한 사업주가 보험계약을 해지할 때에는 근로자 과반수의 동의와 근로복지공단의 승인을 받아야 한다.</t>
  </si>
  <si>
    <t>관련복지제도</t>
  </si>
  <si>
    <t>국가는 지방자치단체와 사회보장에 관한 책임과 역할을 합리적으로 조정하여야 한다.</t>
  </si>
  <si>
    <t>7년 6개월</t>
  </si>
  <si>
    <t>최종 이직 당시 일용근로자였던 자는 수급자격 인정신청일 이전 1개월 동안의 근무일수가 10일 이상일 것</t>
  </si>
  <si>
    <t>사업장의 기물을 고의로 파손하여 사업에 막대한 지장을 초래한 자가 해고되지 아니하고 사업주의 권고로 이직한 경우</t>
  </si>
  <si>
    <t>2000년 4월 2일, 2011년 5월 16일</t>
  </si>
  <si>
    <t>ㄱ : 100분의 100 ㄴ : 200 ㄷ : 100</t>
  </si>
  <si>
    <t>수급권자 및 보험가입자는 제3자의 행위로 재해가 발생하면 지체 없이 공단에 신고하여야 한다.</t>
  </si>
  <si>
    <t>연금을 받을 권리가 소멸한 경우에는 그 지급일 전이라도 지급할 수 있다.</t>
  </si>
  <si>
    <t>업무와 질병과의 인과관계의 유무는 보통평균인의 건강과 신체조건을 기준으로 판단하여야 한다.</t>
  </si>
  <si>
    <t>수급자격자인 자녀가 사망한 경우</t>
  </si>
  <si>
    <t>근로자가 아닌 자로서 국민기초생활 보장법에 따른 자활급여 수급자 중 고용노동부장관이 정하여 고시하는 사업에 종사하는 자</t>
  </si>
  <si>
    <t>공단은 유족특별급여를 지급하면 그 급여액 모두를 보험가입자로부터 징수한다.</t>
  </si>
  <si>
    <t>공단은 제3자의 행위로 인한 보험급여사유가 발생하여 가입자에게 보험급여를 한 때에는 그 급여에 소요된 비용의 한도 내에서 그 제3자에 대한 손해배상청구의 권리를 얻는다.</t>
  </si>
  <si>
    <t>병역법의 규정에 의한 무관후보생은 직장가입자가 된다.</t>
  </si>
  <si>
    <t>체납처분의 목적물에 보험료보다 우선하는 근저당권이 설정되어 있는 경우</t>
  </si>
  <si>
    <t>법인이 분할된 경우</t>
  </si>
  <si>
    <t>납부하여야 할 보험료 등의 금액</t>
  </si>
  <si>
    <t>사업주가 사망한 날의 다음 날</t>
  </si>
  <si>
    <t>ㄱ : 1천분의 100, ㄴ : 1천분의 45</t>
  </si>
  <si>
    <t>사회보장 증진을 위한 사회보장 장기발전방향을 심의한다.</t>
  </si>
  <si>
    <t>국내 거주 외국인에 대한 사회보장제도의 적용은 인권존중의 원칙에 의한다.</t>
  </si>
  <si>
    <t>공공부조에 드는 비용의 전부 또는 일부는 민간부문에서 부담한다.</t>
  </si>
  <si>
    <t>사회보장급여를 신청하는 자가 다른 기관에 신청한 경우에는 그 기관은 지체 없이 이를 정당한 권한이 있는 기관에 이송하여야 하며, 이 경우 신청 기관에 접수된 날을 사회보장급여의 신청일로 본다.</t>
  </si>
  <si>
    <t>구직급여기초 임금일액의 상한액은 4만원이다.</t>
  </si>
  <si>
    <t>해당 실업인정일부터 30일 이내에 취업하기로 확정된 경우</t>
  </si>
  <si>
    <t>이직일 전 1년 이내에 1개월 이상 임금체불이 발생한 경우</t>
  </si>
  <si>
    <t>점심시간을 이용하여 회사의 화장실을 사용하던 중 그 시설물의 결함으로 부상을 입은 경우</t>
  </si>
  <si>
    <t>사망이 추정되는 경우 유족급여는 지급하고, 장의비는 지급하지 않는다.</t>
  </si>
  <si>
    <t>55세 남편</t>
  </si>
  <si>
    <t>수급권자가 제3자로부터 동일한 사유로 손해배상을 받은 경우 근로자의 복지증진을 위하여 보험급여를 지급하여야 한다.</t>
  </si>
  <si>
    <t>직업병의 경우에는 산업재해보상보험심사위원회의 심의를 거쳐 업무상질병판정위원회에서 결정한다.</t>
  </si>
  <si>
    <t>건강검진</t>
  </si>
  <si>
    <t>분할연금 수급권자에게 노령연금 수급권이 발생한 경우에는 분할연금액과 노령연금액을 합산하여 지급한다.</t>
  </si>
  <si>
    <t>업무정지처분기간중인 요양기관에서 요양을 받은 경우에는 요양비를 지급하지 아니한다.</t>
  </si>
  <si>
    <t>휴직 기타의 사유로 보수의 전부 또는 일부가 지급되지 아니하는 가입자의 보험료는 당해 사유가 발생하기 전월의 보수월액을 기준으로 보험료를 산정한다.</t>
  </si>
  <si>
    <t>체납된 보험료의 납부 독촉을 받은 자가 그 기한까지 보험료를 내지 아니한 경우 국세청장의 승인을 받아 국세 체납처분의 예에 따라 징수할 수 있다.</t>
  </si>
  <si>
    <t>공단은 사업의 실체가 없는 등의 사유로 계속하여 보험관계를 유지할 수 없다고 인정하는 경우에는 그 보험관계를 소멸시킬 수 있다.</t>
  </si>
  <si>
    <t>A : 30일, B : 30일</t>
  </si>
  <si>
    <t>고용보험료율은 고용안정・직업능력개발사업의 보험료율 및 실업급여의 보험료율로 구분하여 정한다.</t>
  </si>
  <si>
    <t>사회보장기본법에 관한 내용으로 옳은 것은?</t>
    <phoneticPr fontId="2" type="noConversion"/>
  </si>
  <si>
    <t>사회보장기본법령상 보건복지부장관이 실시하는 중장기 사회보장 재정추계에 관한 설명으로 옳지 않은 것은?</t>
    <phoneticPr fontId="2" type="noConversion"/>
  </si>
  <si>
    <t>사회보장기본법령상 보건복지부장관으로부터 사회보장제도의 평가 지원 업무를 위탁받아 이를 수행할 수 있는 기관 또는 단체가 아닌 것은?</t>
    <phoneticPr fontId="2" type="noConversion"/>
  </si>
  <si>
    <t>고용보험법령상 피보험자격에 관한 설명으로 옳은 것은?</t>
    <phoneticPr fontId="2" type="noConversion"/>
  </si>
  <si>
    <t>고용보험법령상 고용보험기금(이하 ‘기금’이라 한다)에 관한 설명으로 옳은 것은?</t>
    <phoneticPr fontId="2" type="noConversion"/>
  </si>
  <si>
    <t>고용보험법상 실업급여 중 취업촉진 수당에 해당하는 것을 모두 고른 것은?
ㄱ. 구직급여
ㄴ. 이주비
ㄷ. 광역 구직활동비
ㄹ. 직업능력개발 수당
ㅁ. 조기(早期)재취업 수당</t>
    <phoneticPr fontId="2" type="noConversion"/>
  </si>
  <si>
    <t>고용보험법령상 육아휴직 급여에 관한 설명으로 옳은 것은?</t>
    <phoneticPr fontId="2" type="noConversion"/>
  </si>
  <si>
    <t>고용보험법 제77조의6(노무제공자인 피보험자에 대한 적용) 제1항에 따른 노무제공자에 해당하지 않는 자는?</t>
    <phoneticPr fontId="2" type="noConversion"/>
  </si>
  <si>
    <t>고용보험법령상 근로자의 실업급여 수급자격이 제한되지 아니하는 정당한 이직사유가 아닌 것은?</t>
    <phoneticPr fontId="2" type="noConversion"/>
  </si>
  <si>
    <t>고용보험법령상 심사와 재심사에 관한 설명으로 옳지 않은 것은?</t>
    <phoneticPr fontId="2" type="noConversion"/>
  </si>
  <si>
    <t>산업재해보상보험법(이하 ‘법’이라 한다)상 과태료 부과 금액의 상한이 ‘300만원’인 경우에 해당하는 자는?</t>
    <phoneticPr fontId="2" type="noConversion"/>
  </si>
  <si>
    <t>산업재해보상보험법상 3년간 행사하지 아니하면 시효의 완성으로 소멸하는 권리는?</t>
    <phoneticPr fontId="2" type="noConversion"/>
  </si>
  <si>
    <t>산업재해보상보험법상 심사 청구 및 재심사 청구에 관한 설명으로 옳은 것은?</t>
    <phoneticPr fontId="2" type="noConversion"/>
  </si>
  <si>
    <t>산업재해보상보험법상 유족보상연금 수급자격자인 유족(이하 ‘유족’이라 한다)이 수급자격자의 자격을 상실하는 경우가 아닌 것은?</t>
    <phoneticPr fontId="2" type="noConversion"/>
  </si>
  <si>
    <t>산업재해보상보험법령상 부정수급자 중 명단 공개의 대상자는? (단, 공개 제외 사유는 고려하지 않음)</t>
    <phoneticPr fontId="2" type="noConversion"/>
  </si>
  <si>
    <t>산업재해보상보험법령상 업무상질병판정위원회에 관한 설명으로 옳은 것은?</t>
    <phoneticPr fontId="2" type="noConversion"/>
  </si>
  <si>
    <t>산업재해보상보험법상 요양급여의 범위에 해당하는 것이 아닌 것은?</t>
    <phoneticPr fontId="2" type="noConversion"/>
  </si>
  <si>
    <t>산업재해보상보험법 시행령 [별표 2]의 일부이다. ( )에 들어갈 숫자는?
전체 근로자의 임금 평균액의 증감률 = 평균임금 증감사유 발생일이 속하는 연도의 전전 보험연도의 ( ㄱ )월부터 직전 보험연도의 ( ㄴ )월까지의 근로자 1명당 월별 월평균 임금총액의 합계 / 평균임금 증감사유 발생일이 속하는 연도의 ( ㄷ )년 전 보험연도의 ( ㄱ )월부터 전전 보험연도의 ( ㄴ )월까지의 근로자 1명당 월별 월평균 임금총액의 합계</t>
    <phoneticPr fontId="2" type="noConversion"/>
  </si>
  <si>
    <t>산업재해보상보험법상 건강손상자녀에 대한 보험급여에 해당하는 것은?</t>
    <phoneticPr fontId="2" type="noConversion"/>
  </si>
  <si>
    <t>국민연금법에 관한 내용으로 옳은 것은?</t>
    <phoneticPr fontId="2" type="noConversion"/>
  </si>
  <si>
    <t>국민연금법상 유족연금의 수급권자에 해당하는 자는?</t>
    <phoneticPr fontId="2" type="noConversion"/>
  </si>
  <si>
    <t>국민건강보험법상 일반건강검진의 대상이 되는 경우는 모두 몇 개인가?
○ 20세인 지역가입자
○ 19세인 피부양자
○ 19세인 직장가입자
○ 세대주인 지역가입자</t>
    <phoneticPr fontId="2" type="noConversion"/>
  </si>
  <si>
    <t>국민건강보험법상 국민건강보험공단(이하 ‘공단’이라 한다)이 하는 보험료등의 독촉 및 체납처분에 관한 설명으로 옳지 않은 것은?</t>
    <phoneticPr fontId="2" type="noConversion"/>
  </si>
  <si>
    <t>국민건강보험법령상 직장가입자에서 제외되는 경우는 모두 몇 개인가?
○ 「병역법」에 따른 군간부후보생
○ 소재지가 일정하지 아니한 사업장의 근로자
○ 소재지가 일정하지 아니한 사업장의 사용자
○ 비상근 근로자만을 고용하고 있는 사업장의 사업주</t>
    <phoneticPr fontId="2" type="noConversion"/>
  </si>
  <si>
    <t>국민건강보험법령상 요양급여에 관한 설명으로 옳은 것은?</t>
    <phoneticPr fontId="2" type="noConversion"/>
  </si>
  <si>
    <t>국민건강보험법상 가입자의 자격 상실 시기로 옳지 않은 것은?</t>
    <phoneticPr fontId="2" type="noConversion"/>
  </si>
  <si>
    <t>고용보험 및 산업재해보상보험의 보험료징수 등에 관한 법령상 보험관계의 성립 및 소멸에 관한 설명으로 옳은 것은?</t>
    <phoneticPr fontId="2" type="noConversion"/>
  </si>
  <si>
    <t>고용보험 및 산업재해보상보험의 보험료징수 등에 관한 법령상 보험사무대행기관에 관한 설명으로 옳지 않은 것은?</t>
    <phoneticPr fontId="2" type="noConversion"/>
  </si>
  <si>
    <t>고용보험 및 산업재해보상보험의 보험료징수 등에 관한 법령상 보험료등의 분할납부에 관한 설명으로 옳은 것은?</t>
    <phoneticPr fontId="2" type="noConversion"/>
  </si>
  <si>
    <t>고용보험 및 산업재해보상보험의 보험료징수 등에 관한 법률상 납부기한 전이라도 이미 납부의무가 확정된 보험료와 이 법에 따른 그 밖의 징수금을 징수할 수 있는 경우를 모두 고른 것은? (단, 보험료와 이 법에 따른 그 밖의 징수금의 총액이 500만원 미만인 경우가 아님)
ㄱ. 사업주가 공과금을 체납하여 체납처분을 받은 경우
ㄴ. 사업주가 국세를 체납하여 체납처분을 받은 경우
ㄷ. 사업주가 강제집행을 받은 경우
ㄹ. 사업주가 「어음법」및 「수표법」에 따른 어음교환소에서 거래정지처분을 받은 경우</t>
    <phoneticPr fontId="2" type="noConversion"/>
  </si>
  <si>
    <t>고용보험 및 산업재해보상보험의 보험료징수 등에 관한 법률상 보험료등의 납부의무자가 잘못 낸 금액을 근로복지공단이 반환하려는 때에 우선 충당하는 순위가 가장 선순위인 것은?</t>
    <phoneticPr fontId="2" type="noConversion"/>
  </si>
  <si>
    <t>사회보장기본법령상 사회보장에 관한 기본계획(이하 ‘기본계획’이라 한다)의 수립에 관한 설명으로 옳지 않은 것은?</t>
    <phoneticPr fontId="2" type="noConversion"/>
  </si>
  <si>
    <t>사회보장기본법령상 사회보장위원회(이하 ‘위원회’라 한다)에 관한 설명으로 옳은 것은?</t>
    <phoneticPr fontId="2" type="noConversion"/>
  </si>
  <si>
    <t>사회보장기본법령상 사회보장제도의 운영에 관한 설명으로 옳지 않은 것은?</t>
    <phoneticPr fontId="2" type="noConversion"/>
  </si>
  <si>
    <t>고용보험법상 고용보험기금의 용도로 옳은 것은 모두 몇 개인가?
○ 일시 차입금의 상환금과 이자
○ 이 법에 따른 국민연금 보험료의 지원
○ 실업급여의 지급에 따른 사업의 수행에 딸린 경비
○ 육아휴직 급여 및 출산전후휴가 급여등의 지급
○ ｢고용보험 및 산업재해보상보험의 보험료징수 등에 관한 법률｣에 따른 업무를 대행하거나 위탁받은 자에 대한 출연금</t>
    <phoneticPr fontId="2" type="noConversion"/>
  </si>
  <si>
    <t>고용보험법상 연장급여에 관한 설명으로 옳지 않은 것은?</t>
    <phoneticPr fontId="2" type="noConversion"/>
  </si>
  <si>
    <t>고용보험법령상 구직급여에 관한 설명으로 옳지 않은 것은?</t>
    <phoneticPr fontId="2" type="noConversion"/>
  </si>
  <si>
    <t>고용보험법령상 피보험자격에 관한 설명으로 옳지 않은 것은?</t>
    <phoneticPr fontId="2" type="noConversion"/>
  </si>
  <si>
    <t>고용보험법상 실업급여의 종류가 아닌 것은?</t>
    <phoneticPr fontId="2" type="noConversion"/>
  </si>
  <si>
    <t>고용보험법상「장애인고용촉진 및 직업재활법」에 따른 장애인 A(35세)는 B회사를 퇴사한 후 직업안정기관으로부터 구직급여 수급자격을 인정받았다. 피보험기간이 4년인 A가 받을 수 있는 구직급여의 소정급여일수는?</t>
    <phoneticPr fontId="2" type="noConversion"/>
  </si>
  <si>
    <t>고용보험법령상 ‘근로자의 수급자격이 제한되지 아니하는 정당한 이직 사유’에 해당하는 것을 모두 고른 것은?
ㄱ. 1개월의 임금체불이 발생하여 이직한 경우
ㄴ. 정년의 도래로 회사를 계속 다닐 수 없게 된 경우
ㄷ. 계약기간의 만료로 회사를 계속 다닐 수 없게 된 경우
ㄹ. 사업장에서 신체장애를 이유로 불합리한 차별대우를 받은 경우
ㅁ. 동거 친족의 질병으로 30일 이상 본인이 간호해야 하는 기간에 기업의 사정상 휴가가 허용되지 않아 이직한 경우</t>
    <phoneticPr fontId="2" type="noConversion"/>
  </si>
  <si>
    <t>고용보험법령상 육아휴직 급여 신청기간의 연장 사유에 해당하는 것을 모두 고른 것은?
ㄱ. 범죄혐의로 인한 구속
ㄴ. 「병역법」에 따른 의무복무
ㄷ. 본인의 직계비속의 질병
ㄹ. 본인의 형제자매의 부상
ㅁ. 배우자의 직계존속의 질병</t>
    <phoneticPr fontId="2" type="noConversion"/>
  </si>
  <si>
    <t>고용보험법령상 이주비의 지급요건을 모두 고른 것은?
ㄱ. 취업하거나 직업훈련 등을 받게 된 경우로서 고용노동부장관이 정하는 기준에 따라 신청지 관할 직업안정기관의 장이 주거의 변경이 필요하다고 인정할 것
ㄴ. 해당 수급자격자를 고용하는 사업주로부터 주거의 이전에 드는 비용이 지급되지 아니하거나 지급되더라도 그 금액이 이주비에 미달할 것
ㄷ. 취업을 위한 이주인 경우 1년 이상의 근로계약기간을 정하여 취업할 것</t>
    <phoneticPr fontId="2" type="noConversion"/>
  </si>
  <si>
    <t>산업재해보상보험법령상 근로복지공단(이하 ‘공단’이라 한다)에 관한 설명으로 옳지 않은 것은?</t>
    <phoneticPr fontId="2" type="noConversion"/>
  </si>
  <si>
    <t>산업재해보상보험법령에 관한 설명으로 옳은 것은?</t>
    <phoneticPr fontId="2" type="noConversion"/>
  </si>
  <si>
    <t>산업재해보상보험법상 보험급여에 관한 설명으로 옳은 것을 모두 고른 것은?
ㄱ. 진폐에 따른 보험급여의 종류에 휴업급여와 장해급여는 포함되지 않는다.
ㄴ. 임신 중인 근로자가 업무수행 과정에서 업무상 사고로 인하여, 출산한 자녀에게 장해가 발생한 경우 업무상의 재해로 본다.
ㄷ. 건강손상자녀에 대한 보험급여의 종류에 휴업급여, 유족급여 및 장례비는 포함되지 않는다.
ㄹ. 건강손상자녀에 대한 장해등급 판정은 20세 이후에 한다.</t>
    <phoneticPr fontId="2" type="noConversion"/>
  </si>
  <si>
    <t>산업재해보상보험법상 직업재활급여에 관한 설명으로 옳지 않은 것은?</t>
    <phoneticPr fontId="2" type="noConversion"/>
  </si>
  <si>
    <t>산업재해보상보험법상 과태료 부과 대상이 되는 자는 모두 몇 명인가?
○ 거짓으로 보험급여를 받은 자
○ 거짓으로 보험급여를 받도록 시킨 자
○ 근로복지공단이 아닌 자가 근로복지공단과 비슷한 명칭을 사용한 자
○ 근로자가 보험급여를 신청한 것을 이유로 근로자에게 불이익한 처우를 한 사업주
○ 요양기간을 연장할 필요가 있는 때 제출해야 할 진료계획을 정당한 사유 없이 제출하지 아니하는 자</t>
    <phoneticPr fontId="2" type="noConversion"/>
  </si>
  <si>
    <t>산업재해보상보험법상 유족보상일시금에 대해 근로자가 유언으로 보험급여를 받을 유족을 지정하지 않은 경우 다음 중 유족 간의 수급권 순위가 가장 높은 사람은?</t>
    <phoneticPr fontId="2" type="noConversion"/>
  </si>
  <si>
    <t>산업재해보상보험법상 보험급여의 지급 및 부당이득에 관한 설명으로 옳은 것은?</t>
    <phoneticPr fontId="2" type="noConversion"/>
  </si>
  <si>
    <t>산업재해보상보험법령상 노무제공자가 아닌 자는?</t>
    <phoneticPr fontId="2" type="noConversion"/>
  </si>
  <si>
    <t>산업재해보상보험법령상 심사청구에 관한 설명으로 옳지 않은 것은?</t>
    <phoneticPr fontId="2" type="noConversion"/>
  </si>
  <si>
    <t>국민연금법령에 관한 설명으로 옳은 것은?</t>
    <phoneticPr fontId="2" type="noConversion"/>
  </si>
  <si>
    <t>국민연금법상 유족연금에 관한 설명으로 옳지 않은 것은?</t>
    <phoneticPr fontId="2" type="noConversion"/>
  </si>
  <si>
    <t>국민연금법상 급여의 제한 등에 관한 설명으로 옳지 않은 것은?</t>
    <phoneticPr fontId="2" type="noConversion"/>
  </si>
  <si>
    <t>국민연금법령상 심사청구 등에 관한 설명으로 옳지 않은 것은?</t>
    <phoneticPr fontId="2" type="noConversion"/>
  </si>
  <si>
    <t>국민연금법상 국민연금공단(이하 ‘공단’이라 한다)에 관한 설명으로 옳지 않은 것은?</t>
    <phoneticPr fontId="2" type="noConversion"/>
  </si>
  <si>
    <t>국민건강보험법령상 다음 ( )에 들어가지 않는 숫자는?
○ 국민건강보험공단은 임원으로서 이사장 1명, 이사 ( )명 및 감사 ( )명을 둔다.
○ 국민건강보험공단 이사회의 정기회의는 매년 ( )회 정관으로 정하는 시기에 이사회의 의장이 소집한다.
○ 건강보험분쟁조정위원회는 위원장을 포함하여 ( )명 이내의 위원으로 구성하고, 위원장을 제외한 위원 중 ( )명은 당연직위원으로 한다.</t>
    <phoneticPr fontId="2" type="noConversion"/>
  </si>
  <si>
    <t>국민건강보험법령상 직장가입자에 해당하는 자는?</t>
    <phoneticPr fontId="2" type="noConversion"/>
  </si>
  <si>
    <t>국민건강보험법령상 지역가입자의 재산보험료부과점수당 금액은?</t>
    <phoneticPr fontId="2" type="noConversion"/>
  </si>
  <si>
    <t>국민건강보험법상 일반건강검진의 대상이 아닌 자는?</t>
    <phoneticPr fontId="2" type="noConversion"/>
  </si>
  <si>
    <t>국민건강보험법상 가입자의 자격변동 시기로 옳지 않은 것은?</t>
    <phoneticPr fontId="2" type="noConversion"/>
  </si>
  <si>
    <t>국민건강보험법상 요양급여가 아닌 것은?</t>
    <phoneticPr fontId="2" type="noConversion"/>
  </si>
  <si>
    <t>국민건강보험법상 보험료에 관한 설명으로 옳은 것은?</t>
    <phoneticPr fontId="2" type="noConversion"/>
  </si>
  <si>
    <t>고용보험 및 산업재해보상보험의 보험료징수 등에 관한 법률상 보험관계의 성립일 또는 소멸일에 관한 설명으로 옳은 것은?</t>
    <phoneticPr fontId="2" type="noConversion"/>
  </si>
  <si>
    <t>고용보험 및 산업재해보상보험의 보험료징수 등에 관한 법령상 보험가입자에 관한 설명으로 옳지 않은 것은?</t>
    <phoneticPr fontId="2" type="noConversion"/>
  </si>
  <si>
    <t>고용보험 및 산업재해보상보험의 보험료징수 등에 관한 법률상 소멸시효에 관한 설명으로 옳은 것은?</t>
    <phoneticPr fontId="2" type="noConversion"/>
  </si>
  <si>
    <t>고용보험 및 산업재해보상보험의 보험료징수 등에 관한 법률상 보험료율의 결정에 관한 설명으로 옳은 것은?</t>
    <phoneticPr fontId="2" type="noConversion"/>
  </si>
  <si>
    <t>고용보험 및 산업재해보상보험의 보험료징수 등에 관한 법률에 관한 설명으로 옳은 것은?</t>
    <phoneticPr fontId="2" type="noConversion"/>
  </si>
  <si>
    <t>적어도 3년마다 실시해야 한다.</t>
  </si>
  <si>
    <t>국공립 연구기관</t>
  </si>
  <si>
    <t>근로자인 피보험자가 이직한 경우에는 이직한 날에 피보험자격을 상실한다.</t>
  </si>
  <si>
    <t>고용보험법 조문의 일부이다. ( )에 들어갈 숫자는?
제77조의3(예술인인 피보험자에 대한 구직급여) 예술인의 구직급여는 다음 각 호의 요건을 모두 갖춘 경우에 지급한다. 다만, 제6호는 최종 이직 당시 단기예술인이었던 사람만 해당한다.
1. 이직일 이전 24개월 동안의 피보험 단위기간이 통산하여 ( ㄱ )개월 이상일 것
2. ～ 3. &lt;생략&gt;
4. 이직일 이전 24개월 중 ( ㄴ )개월 이상을 예술인인 피보험자로 피보험자격을 유지하였을 것
5. ～ 6. &lt;생략&gt;</t>
  </si>
  <si>
    <t>ㄱ: 3, ㄴ: 3</t>
  </si>
  <si>
    <t>배우자의 직계비속의 질병은 육아휴직 급여 신청기간의 연장 사유에 해당한다.</t>
  </si>
  <si>
    <t>「도로교통법」에 따른 어린이통학버스를 운전하는 사람</t>
  </si>
  <si>
    <t>임금체불이 이직일 전 1년 이내에 1개월 이상 발생한 경우</t>
  </si>
  <si>
    <t>육아휴직 급여에 관한 처분에 이의가 있는 자는 고용보험심사관에게 심사를 청구할 수 있다.</t>
  </si>
  <si>
    <t>ㄱ: 회복하기 어려운 손해, ㄴ: 신청 또는 직권, ㄷ: 직업안정기관의 장</t>
  </si>
  <si>
    <t>법 제91조의21(플랫폼 운영자에 대한 자료제공 등의 요청)을 위반하여 자료 또는 정보의 제공 요청에 따르지 아니한 자</t>
  </si>
  <si>
    <t>장해급여를 받을 권리</t>
  </si>
  <si>
    <t>심사 청구는 보험급여 결정등이 있음을 안 날부터 180일 이내에 하여야 한다.</t>
  </si>
  <si>
    <t>유족인 자녀가 20세가 된 때</t>
  </si>
  <si>
    <t>당해 연도부터 과거 5년간 부정수급 횟수가 2회이고 부정수급액의 합계가 5천만원인 자</t>
  </si>
  <si>
    <t>고용노동부 내에 직속으로 설치한다.</t>
  </si>
  <si>
    <t>간호 및 간병</t>
  </si>
  <si>
    <t>ㄱ: 통상임금, ㄴ: 50</t>
  </si>
  <si>
    <t>ㄱ: 6, ㄴ: 5, ㄷ: 3</t>
  </si>
  <si>
    <t>연금보험료를 징수하는 순위는 「국민건강보험법」에 따른 보험료의 후순위로 한다.</t>
  </si>
  <si>
    <t>ㄱ: 15, ㄴ: 5천, ㄷ: 30</t>
  </si>
  <si>
    <t>노령연금 수급권자로서 국적상실 기간 중 사망한 경우 그 유족</t>
  </si>
  <si>
    <t>국민연금법 조문의 일부이다. ( )에 들어갈 내용은?
제51조(기본연금액) 수급권자의 기본연금액은 다음 각 호의 금액을 합한 금액에 1천분의 ( ㄱ )을 곱한 금액으로 한다. 다만, 가입기간이 20년을 초과하면 그 초과하는 1년(1년 미만이면 매 1개월을 12분의 1년으로 계산한다)마다 본문에 따라 계산한 금액에 1천분의 ( ㄴ )을 곱한 금액을 더한다. &lt;이하 생략&gt;</t>
  </si>
  <si>
    <t>ㄱ: 1천190, ㄴ: 30</t>
  </si>
  <si>
    <t>국민연금법 조문의 일부이다. ( )에 들어갈 숫자는?
제19조(출산에 대한 가입기간 추가 산입) 자녀가 있는 가입자 또는 가입자였던 자가 노령연금수급권을 취득한 때(이 조에 따라 가입기간이 추가 산입되면 노령연금수급권을 취득할 수 있는 경우를 포함한다)에는 다음 각 호에 따른 기간을 가입기간에 추가로 산입한다.
1. 자녀가 2명 이하인 경우: 자녀 1명마다 ( ㄱ )개월을 더한 개월 수
2. 자녀가 3명 이상인 경우: 첫째 및 둘째 자녀에 대하여 인정되는 ( ㄴ )개월에 2자녀를 초과하는 자녀 1명마다 ( ㄷ )개월을 더한 개월 수</t>
  </si>
  <si>
    <t>ㄱ: 6, ㄴ: 12, ㄷ: 12</t>
  </si>
  <si>
    <t>0개</t>
  </si>
  <si>
    <t>지역가입자의 세대가 2명 이상으로 구성된 경우 그 중 1명에게 한 독촉은 세대 구성원인 다른 지역가입자 모두에게 효력이 있는 것으로 본다.</t>
  </si>
  <si>
    <t>ㄱ: 1천 500, ㄴ: 10</t>
  </si>
  <si>
    <t>수급권자(「의료급여법」에 따른 의료급여를 받는 사람)가 된 날</t>
  </si>
  <si>
    <t>법인이 보험사무를 대행하려는 경우에는 대통령령으로 정하는 바에 따라 국민건강보험공단의 인가를 받아야 한다.</t>
  </si>
  <si>
    <t>체납된 보험료등의 분할 납부를 승인받으려는 사업주는 납부 독촉에 따라 고지된 납부기한 만료일의 3일 전까지 체납 보험료등의 분할 납부 승인신청서를 국민건강보험공단에 제출해야 한다.</t>
  </si>
  <si>
    <t>보험급여액의 징수금</t>
  </si>
  <si>
    <t>ㄱ: 20, ㄴ: 15</t>
  </si>
  <si>
    <t>보건복지부장관은 관계 중앙행정기관의 장과 협의하여 기본계획을 3년마다 수립하여야 한다.</t>
  </si>
  <si>
    <t>위원회의 위원장은 보건복지부장관이 된다.</t>
  </si>
  <si>
    <t>공공부조와 사회서비스는 국가와 지방자치단체의 책임으로 시행하는 것을 원칙으로 한다.</t>
  </si>
  <si>
    <t>개별연장급여는 60일의 범위에서 대통령령으로 정하는 기간 동안 지급한다.</t>
  </si>
  <si>
    <t>산업용 기계 및 장비 수리업    100명 이하</t>
  </si>
  <si>
    <t>ㄱ, ㅁ</t>
  </si>
  <si>
    <t>공단의 상임임원과 직원은 그 직무 외에 영리를 목적으로 하는 업무에 종사할 수 있다.</t>
  </si>
  <si>
    <t>국가는 회계연도마다 예산의 범위에서 보험사업에 드는 비용의 전부를 지원하여야 한다.</t>
  </si>
  <si>
    <t>재활운동비의 지급기간은 3개월 이내로 한다.</t>
  </si>
  <si>
    <t>1명</t>
  </si>
  <si>
    <t>근로자가 사망할 당시 그 근로자와 생계를 같이 하고 있던 자녀</t>
  </si>
  <si>
    <t>보험급여는 신청일로부터 7일 이내에 지급하여야 한다.</t>
  </si>
  <si>
    <t>「여신전문금융업법」에 따른 신용카드회원 모집인</t>
  </si>
  <si>
    <t>근로복지공단(이하 ‘공단’이라 한다)의 합병증 등 예방관리에 관한 조치에 불복하는 자는 공단에 심사 청구를 할 수 있다.</t>
  </si>
  <si>
    <t>사업장가입자는 사망한 날에 자격을 상실한다.</t>
  </si>
  <si>
    <t>연금보험료를 낸 기간이 가입대상기간의 4분의 1인 가입자가 사망하면 그 유족에게 유족연금을 지급한다.</t>
  </si>
  <si>
    <t>가입자를 고의로 사망하게 한 유족에게는 사망에 따라 발생되는 유족연금을 지급하지 아니한다.</t>
  </si>
  <si>
    <t>국민연금재심사위원회는 위원장 1명을 포함한 20명 이내의 위원으로 구성한다.</t>
  </si>
  <si>
    <t>당연직 이사의 임기는 그 재임기간으로 한다.</t>
  </si>
  <si>
    <t>비상근 근로자</t>
  </si>
  <si>
    <t>104.2원</t>
  </si>
  <si>
    <t>직장가입자인 근로자가 그 사용관계가 끝난 날의 다음 날</t>
  </si>
  <si>
    <t>간호</t>
  </si>
  <si>
    <t>보험료는 가입자의 자격을 취득한 날이 속하는 달의 다음 달부터 가입자의 자격을 잃은 날의 전날이 속하는 달의 다음 달까지 징수한다.</t>
  </si>
  <si>
    <t>ㄱ: 45, ㄴ: 75</t>
  </si>
  <si>
    <t>보험관계는 사업이 폐업되거나 끝난 날 소멸한다.</t>
  </si>
  <si>
    <t>「고용보험법」을 적용받는 사업의 사업주는 당연히「고용보험법」에 따른 고용보험의 보험가입자가 된다.</t>
  </si>
  <si>
    <t>보험료, 이 법에 따른 그 밖의 징수금을 징수할 수 있는 권리는 3년간 행사하지 아니하면 시효로 인하여 소멸하며, 소멸시효에 관하여는「민법」을 우선 적용한다.</t>
  </si>
  <si>
    <t>사업종류의 변경으로 보험료 납부방법이 변경되는 경우에는 사업종류의 변경일을 변경 전 사업 폐지일로, 사업종류의 변경일의 다음 날을 새로운 사업성립일로 본다.</t>
  </si>
  <si>
    <t>“사회보장”이란 국민에게 발생하는 사회적 위험을 보험의 방식으로 대처함으로써 국민의 건강과 소득을 보장하는 제도를 말한다.</t>
  </si>
  <si>
    <t>재정추계 세부지침에 따라 해당 연도의 12월 31일까지 실시해야 한다.</t>
  </si>
  <si>
    <t>「고등교육법」제2조에 따른 학교</t>
  </si>
  <si>
    <t>「고용보험 및 산업재해보상보험의 보험료징수 등에 관한 법률」제7조에 따른 보험관계 성립일 전에 고용된 근로자의 경우에는 그 보험관계가 성립한 날에 피보험자격을 취득한 것으로 본다.</t>
  </si>
  <si>
    <t>기금은 보험료의 반환의 용도로 사용할 수 없다.</t>
  </si>
  <si>
    <t>ㄷ, ㅁ</t>
  </si>
  <si>
    <t>ㄱ: 6, ㄴ: 3</t>
  </si>
  <si>
    <t>육아휴직 시작일부터 3개월까지의 육아휴직 급여 월별 지급액은 육아휴직 시작일을 기준으로 한 월 통상임금에 해당하는 금액으로 하되, 해당 금액이 200만원을 넘는 경우에는 200만원으로 한다.</t>
  </si>
  <si>
    <t>사업장에서 본인의 의사에 반하여 성희롱을 당한 경우</t>
  </si>
  <si>
    <t>고용보험법 조문의 일부이다. ( )에 들어갈 내용은?
제93조(원처분등의 집행 정지) 심사의 청구는 원처분등의 집행을 정지시키지 아니한다. 다만, 심사관은 원처분등의 집행에 의하여 발생하는 ( ㄱ )를 피하기 위하여 긴급한 필요가 있다고 인정하면 ( ㄴ )으로 그 집행을 정지시킬 수 있다.
심사관은 제1항 단서에 따라 집행을 정지시키려고 할 때에는 그 이유를 적은 문서로 그 사실을 ( ㄷ )에 알려야 한다.</t>
  </si>
  <si>
    <t>ㄱ: 회복하기 어려운 손해, ㄴ: 직권, ㄷ: 직업안정기관의 장 또는 근로복지공단</t>
  </si>
  <si>
    <t>법 제34조(유사명칭의 사용 금지)를 위반하여 근로복지공단 또는 이와 비슷한 명칭을 사용한 자</t>
  </si>
  <si>
    <t>휴업급여를 받을 권리</t>
  </si>
  <si>
    <t>심사 청구서를 받은 근로복지공단의 소속 기관은 7일 이내에 의견서를 첨부하여 국민건강보험공단에 보내야 한다.</t>
  </si>
  <si>
    <t>유족과 사망한 근로자의 친족 관계가 끝난 경우</t>
  </si>
  <si>
    <t>당해 연도부터 과거 10년간 부정수급액의 합계가 5천만원인 자</t>
  </si>
  <si>
    <t>회의는 위원장을 포함하여 6명으로 구성한다.</t>
  </si>
  <si>
    <t>재활치료</t>
  </si>
  <si>
    <t>산업재해보상보험법 조문의 일부이다. ( )에 들어갈 내용은?
제91조의3(진폐보상연금) &lt;생략&gt;
진폐보상연금은 제5조제2호 및 제36조제6항에 따라 정하는 ( ㄱ )을 기준으로 하여 별표 6에 따라 산정하는 진폐장해등급별 진폐장해연금과 기초연금을 합산한 금액으로 한다. 이 경우 기초연금은 최저임금액의 100분의 ( ㄴ )에
365를 곱하여 산정한 금액으로 한다.</t>
  </si>
  <si>
    <t>ㄱ: 통상임금, ㄴ: 60</t>
  </si>
  <si>
    <t>ㄱ: 7, ㄴ: 6, ㄷ: 3</t>
  </si>
  <si>
    <t>국민연금법 조문의 일부이다. ( )에 들어갈 내용은?
제97조(연체금) &lt;생략&gt;
건강보험공단은 연금보험료의 납부 의무자가 체납된 연금보험료를 내지 아니하면 납부 기한 후 ( ㄱ )일이 경과한 날부터 매 1일이 경과할 때마다 체납된 연금보험료의 ( ㄴ )분의 1에 해당하는 연체금을 제1항에 따른 연체금에 가산하여 징수한다. 이 경우 연체금은 체납된 연금보험료의 1천분의 ( ㄷ )을 초과하지 못한다.</t>
  </si>
  <si>
    <t>ㄱ: 15, ㄴ: 5천, ㄷ: 50</t>
  </si>
  <si>
    <t>가입기간이 5년인 가입자가 사망한 경우 그 유족</t>
  </si>
  <si>
    <t>ㄱ: 1천190, ㄴ: 50</t>
  </si>
  <si>
    <t>ㄱ: 6, ㄴ: 12, ㄷ: 18</t>
  </si>
  <si>
    <t>독촉할 때에는 10일 이상 15일 이내의 납부기한을 정하여 독촉장을 발부하여야 한다.</t>
  </si>
  <si>
    <t>ㄱ: 1천 500, ㄴ: 20</t>
  </si>
  <si>
    <t>이송(移送)은 요양급여에 해당하지 않는다.</t>
  </si>
  <si>
    <t>「고용보험법」을 적용하지 아니하는 사업의 사업주로서 고용보험에 가입한 사업주가 고용보험계약을 해지할 때에는 근로자 3분의 이상의 동의를 받아야 한다.</t>
  </si>
  <si>
    <t>사업의 종류를 변경신고하려는 사업주가 「부가가치세법」제8조제8항에 따라 사업장 관할 세무서장에게 해당 사항을 변경 신고한 경우에는 그 신고한 날에 보험관계 변경신고서를 제출한 것으로 본다.</t>
  </si>
  <si>
    <t>「공인노무사법」제5조에 따라 등록한 사람으로서 같은 법 제2조에 따른 직무를 2년 이상 하고 있는 사람은 보험사무대행기관이 될 수 있다.</t>
  </si>
  <si>
    <t>납부기한이 지난 보험료의 분할 납부의 총 기간은 분할 납부의 승인을 받은 날의 다음 날부터 4년 이내로 한다.</t>
  </si>
  <si>
    <t>체납처분비</t>
  </si>
  <si>
    <t>ㄱ: 20, ㄴ: 18</t>
  </si>
  <si>
    <t>기본계획은 사회보장위원회와 국무회의의 심의를 거쳐 확정한다.</t>
  </si>
  <si>
    <t>공무원인 위원의 임기는 2년으로 한다.</t>
  </si>
  <si>
    <t>국가와 지방자치단체는 사회보장제도를 신설하거나 변경할 경우 상호협력하여 사회보장급여가 중복 또는 누락되지 아니하도록 하여야 한다.</t>
  </si>
  <si>
    <t>직업안정기관의 장은 직업능력개발 훈련 등을 받도록 지시한 경우에는 수급자격자에게 2년을 한도로 훈련연장급여를 지급할 수 있다.</t>
  </si>
  <si>
    <t>하나의 수급자격에 따라 구직급여를 지급받을 수 있는 날은 대기기간이 끝난 다음날부터 계산하기 시작하여 피보험기간과 연령에 따라 법령에서 정한 일수가 되는 날까지로 한다.</t>
  </si>
  <si>
    <t>건설업                                400명 이하</t>
  </si>
  <si>
    <t>장해급여</t>
  </si>
  <si>
    <t>공단의 업무 중 보험급여의 지급에 관한 사항을 체신관서에 위탁할 수 있다.</t>
  </si>
  <si>
    <t>어업 및 수렵업 중 법인이 아닌 자의 사업으로서 상시근로자 수가 5명 미만인 사업에 대하여는 이 법을 적용하지 아니한다.</t>
  </si>
  <si>
    <t>장해급여자 중 훈련대상자에 대하여 실시하는 직업훈련에 드는 비용 및 직업훈련수당은 직업재활급여에 포함된다.</t>
  </si>
  <si>
    <t>2명</t>
  </si>
  <si>
    <t>근로자가 사망할 당시 그 근로자와 생계를 같이 하고 있던 부모</t>
  </si>
  <si>
    <t>배우자인 수급권자가 재혼한 때 유족연금 수급권은 소멸한다.</t>
  </si>
  <si>
    <t>가입자가 고의로 요양 지시에 따르지 아니하여 사망한 경우 이를 원인으로 하는 급여의 전부 또는 일부를 지급하지 아니할 수 있다.</t>
  </si>
  <si>
    <t>국민연금심사위원회의 위원장은 국민연금공단의 상임이사 중 이사장이 임명하는 자로 한다.</t>
  </si>
  <si>
    <t>공단에 관하여「국민연금법」에서 정한 것 외에는「민법」중 사단법인에 관한 규정을 준용한다.</t>
  </si>
  <si>
    <t>「병역법」에 따른 현역병</t>
  </si>
  <si>
    <t>208.4원</t>
  </si>
  <si>
    <t>19세인 직장가입자</t>
  </si>
  <si>
    <t>휴직이나 그 밖의 사유로 보수의 전부 또는 일부가 지급되지 아니하는 가입자의 보수월액보험료는 해당 사유가 생긴 다음 달의 보수월액을 기준으로 산정한다.</t>
  </si>
  <si>
    <t>ㄱ: 45, ㄴ: 85</t>
  </si>
  <si>
    <t>일괄적용을 받는 사업의 경우에는 처음 하는 사업이 시작된 날의 다음 날에 보험관계가 성립한다.</t>
  </si>
  <si>
    <t>「산업재해보상보험법」을 적용받는 사업의 사업주는 당연히「산업재해보상보험법」에 따른 산업재해보상보험의 보험가입자가 된다.</t>
  </si>
  <si>
    <t>이 법에 따른 징수금의 독촉에 따라 중단된 소멸시효는 독촉한 날부터 새로 진행한다.</t>
  </si>
  <si>
    <t>고용보험료율을 결정하거나 변경하려면「고용보험법」에 따른 고용보험위원회의 심의를 거쳐야 한다.</t>
  </si>
  <si>
    <t>사업주는 그 달의 월별보험료를 그 달 말일까지 납부하여야 하며, 보험료의 정산에 따라 산정된 보험료는 근로복지공단이 정하여 고지한 기한까지 납부하여야 한다.</t>
  </si>
  <si>
    <t>재정추계를 실시하는 연도의 6월 30일까지 재정추계 세부지침을 마련해야 한다.</t>
  </si>
  <si>
    <t>「특정연구기관 육성법」제2조에 따른 특정연구기관</t>
  </si>
  <si>
    <t>사업주는 그 사업에 고용된 근로자의 피보험자격 취득에 관한 사항을 신고하려는 경우에는 그 사유가 발생한 날이 속하는 달의 말일까지 고용노동부장관에게 신고해야 한다.</t>
  </si>
  <si>
    <t>적립금에 관한 사항은 기금운용계획에 포함되지 않는다.</t>
  </si>
  <si>
    <t>ㄱ, ㄹ, ㅁ</t>
  </si>
  <si>
    <t>ㄱ: 6, ㄴ: 6</t>
  </si>
  <si>
    <t>피보험자가 육아휴직 기간 중에 그 사업에서 이직한 경우에도 계속하여 육아휴직 급여를 지급한다.</t>
  </si>
  <si>
    <t>「대부업 등의 등록 및 금융이용자 보호에 관한 법률」제3조제1항 단서에 따른 대출모집인</t>
  </si>
  <si>
    <t>사업장에서 노조활동을 이유로 불합리한 차별대우를 받은 경우</t>
  </si>
  <si>
    <t>ㄱ: 중대한 위해, ㄴ: 신청 또는 직권, ㄷ: 근로복지공단</t>
  </si>
  <si>
    <t>법 제45조(진료비의 청구 등) 제1항을 위반하여 근로복지공단이 아닌 자에게 진료비를 청구한 자</t>
  </si>
  <si>
    <t>유족급여를 받을 권리</t>
  </si>
  <si>
    <t>보험급여 결정등에 대하여는 「행정심판법」에 따른 행정심판을 제기할 수 있다.</t>
  </si>
  <si>
    <t>유족인 손자녀가 25세가 된 때</t>
  </si>
  <si>
    <t>직전 연도부터 과거 3년간 1회의 부정수급액이 3억원인 자</t>
  </si>
  <si>
    <t>위원장 1명을 포함하여 150명 이내의 위원으로 구성한다.</t>
  </si>
  <si>
    <t>진찰 및 검사</t>
  </si>
  <si>
    <t>ㄱ: 통상임금, ㄴ: 70</t>
  </si>
  <si>
    <t>ㄱ: 7, ㄴ: 6, ㄷ: 5</t>
  </si>
  <si>
    <t>과오납금을 반환받을 가입자의 권리는 3년간 행사하지 아니하면 소멸시효가 완성된다.</t>
  </si>
  <si>
    <t>ㄱ: 30, ㄴ: 5천, ㄷ: 30</t>
  </si>
  <si>
    <t>장애등급이 3급인 장애연금 수급권자가 사망한 경우 그 유족</t>
  </si>
  <si>
    <t>ㄱ: 1천190, ㄴ: 60</t>
  </si>
  <si>
    <t>ㄱ: 12, ㄴ: 12, ㄷ: 18</t>
  </si>
  <si>
    <t>공단은 독촉을 받은 자가 그 납부기한까지 보험료등을 내지 아니하면 국세청장의 승인을 받아 국세 체납처분의 예에 따라 이를 징수할 수 있다.</t>
  </si>
  <si>
    <t>ㄱ: 2천, ㄴ: 10</t>
  </si>
  <si>
    <t>요양급여의 적정성 평가의 세부적인 기준은 의약학적 타당성 및 계량화 가능성 등을 고려하여 건강보험심사평가원이 정한다.</t>
  </si>
  <si>
    <t>직장가입자의 피부양자가 된 날의 다음 날</t>
  </si>
  <si>
    <t>사업의 일괄적용을 받고 있는 사업주가 일괄적용관계의 해지 승인을 받으려는 경우에는 다음 보험연도가 시작되기 14일 전까지 이를 신청하여야 한다.</t>
  </si>
  <si>
    <t>보험사무대행기관은 사업주로부터 위임을 받아 고용보험 피보험자의 자격 관리에 관한 사무를 대행할 수 있다.</t>
  </si>
  <si>
    <t>분할 납부 승인을 받은 사업주가 지방세를 체납하여 체납처분을 받은 경우 국민건강보험공단은 분할 납부의 승인을 취소할 수 있다.</t>
  </si>
  <si>
    <t>월별보험료</t>
  </si>
  <si>
    <t>ㄱ: 25, ㄴ: 15</t>
  </si>
  <si>
    <t>관계 중앙행정기관의 장은 기본계획 작성지침에 따라 소관별 기본계획안을 작성하여 보건복지부장관에게 제출하여야 한다.</t>
  </si>
  <si>
    <t>위원회에 실무위원회를 두며, 실무위원회에 간사 2명을 둔다.</t>
  </si>
  <si>
    <t>지방자치단체의 장이 사회보장제도를 신설하려는 경우 매년 4월 30일까지 협의요청서를 보건복지부장관에게 제출해야 한다.</t>
  </si>
  <si>
    <t>개별연장급여를 지급하는 경우에 그 수급자격자의 수급기간은 그 수급자격자의 수급기간에 연장되는 구직급여일수를 더하여 산정한 기간으로 한다.</t>
  </si>
  <si>
    <t>수급자격자가 질병으로 직업안정기관에 출석할 수 없었던 경우로서 그 기간이 계속하여 14일인 경우 그 사유를 적은 증명서를 제출하여 실업의 인정을 받을 수 있다.</t>
  </si>
  <si>
    <t>금융 및 보험업                     300명 이하</t>
  </si>
  <si>
    <t>사업주는 고용노동부장관에게 그 사업에 고용된 근로자의 피보험자격 취득 및 상실에 관한 사항을 신고하려는 경우에는 그 사유가 발생한 날이 속하는 달의 다음 달 15일까지, 근로자가 그 기일 이전에 신고할 것을 요구하는 경우에는 지체 없이 신고해야 한다.</t>
  </si>
  <si>
    <t>공단의 임원은 이사장 1명과 상임이사 4명을 포함한 15명 이내의 이사와 감사 1명으로 한다.</t>
  </si>
  <si>
    <t>“중증요양상태”란 부상 또는 질병이 치유되었으나 정신적 또는 육체적 훼손으로 인하여 노동능력이 상실되거나 감소된 상태를 말한다.</t>
  </si>
  <si>
    <t>3명</t>
  </si>
  <si>
    <t>근로자가 사망할 당시 그 근로자와 생계를 같이 하고 있던 형제</t>
  </si>
  <si>
    <t>보험급여수급계좌의 해당 금융기관은 이 법에 따른 보험급여만이 보험급여수급계좌에 입금되도록 관리하여야 한다.</t>
  </si>
  <si>
    <t>한국표준직업분류표의 세분류에 따른 대여 제품 방문 점검원</t>
  </si>
  <si>
    <t>심사 청구가 법령의 방식을 위반한 것이라도 보정할 수 있는 경우에는 공단은 상당한 기간을 정하여 심사 청구인에게 보정할 것을 요구할 수 있다.</t>
  </si>
  <si>
    <t>임의계속가입자는 국적을 상실한 날에 자격을 상실한다.</t>
  </si>
  <si>
    <t>조부모인 유족의 유족연금 수급권은 가입자가 사망할 당시에 그 가입자의 태아가 출생하여 수급권을 갖게 되면 소멸한다.</t>
  </si>
  <si>
    <t>장애연금의 수급권자가 정당한 사유 없이 요양 지시에 따르지 아니하여 장애를 악화시킨 경우에는 장애연금액을 변경하지 아니할 수 있다.</t>
  </si>
  <si>
    <t>심사청구는 그 처분이 있음을 안 날부터 90일 이내에 문서로 하여야 하며, 처분이 있은 날부터 180일을 경과하면 이를 제기하지 못한다. 다만, 정당한 사유로 그 기간에 심사청구를 할 수 없었음을 증명하면 그 기간이 지난 후에도 심사 청구를 할 수 있다.</t>
  </si>
  <si>
    <t>임원으로 이사장 1명, 상임이사 4명 이내, 이사 9명, 감사 1명을 둔다.</t>
  </si>
  <si>
    <t>1개월 동안의 소정근로시간이 60시간 이상인 시간제공무원</t>
  </si>
  <si>
    <t>354.5원</t>
  </si>
  <si>
    <t>19세인 피부양자</t>
  </si>
  <si>
    <t>지역가입자가 공무원으로 사용된 날</t>
  </si>
  <si>
    <t>수술</t>
  </si>
  <si>
    <t>국외에서 업무에 종사하고 있는 직장가입자에 대한 보험료율은 지역가입자의 보험료율의 100분의 80으로 한다.</t>
  </si>
  <si>
    <t>ㄱ: 50, ㄴ: 75</t>
  </si>
  <si>
    <t>근로복지공단의 승인을 얻어 가입한 보험계약을 해지하는 경우에는 그 해지에 관하여 근로복지공단의 승인을 받은 날에 보험관계가 소멸한다.</t>
  </si>
  <si>
    <t>상시근로자 수가 3명인 농업 법인의 사업주는 산업재해보상보험에 가입할 수 없다.</t>
  </si>
  <si>
    <t>보험료 정산에 따라 사업주가 반환받을 권리의 소멸시효는 다음 보험연도의 첫날부터 진행하며, 보험연도 중에 보험관계가 소멸한 사업의 경우에는 보험관계가 소멸한 날부터 진행한다.</t>
  </si>
  <si>
    <t>산업재해보상보험의 보험관계가 성립한 후 4년이 지나지 아니한 사업에 대한 산재보험료율은 동일하게 정한다.</t>
  </si>
  <si>
    <t>근로복지공단은 사업주에게 징수하고자 하는 보험료 등의 종류, 납부할 금액 등을 적은 문서로써 납부기한 14일 전까지 월별보험료의 납입을 고지하여야 한다.</t>
  </si>
  <si>
    <t>부담 능력이 있는 국민에 대한 사회서비스에 드는 비용은 그 수익자가 부담함을 원칙으로 하되, 관계 법령에서 정하는 바에 따라 국가와 지방자치단체가 그 비용의 일부를 부담할 수 있다.</t>
  </si>
  <si>
    <t>재정추계의 실시는 「국민연금법」제4조제2항에 따른 국민연금의 재정전망 또는 「국가재정법」제7조제4항에 따른 장기 재정전망의 실시 시기와 연계해야 한다.</t>
  </si>
  <si>
    <t>「공공기관의 운영에 관한 법률」제4조에 따른 공공기관</t>
  </si>
  <si>
    <t>사업주가 피보험자격에 관한 사항을 신고하지 아니하는 경우 근로자가 이를 신고할 수는 없다.</t>
  </si>
  <si>
    <t>고용노동부장관은 대부금의 교부에 관한 업무를 「고용정책 기본법」에 따라 설립된 한국고용정보원에 위탁할 수 있다.</t>
  </si>
  <si>
    <t>ㄱ: 9, ㄴ: 3</t>
  </si>
  <si>
    <t>거짓으로 육아휴직 급여를 받은 이유로 육아휴직 급여를 지급받지 못한 경우 그 급여와 관련된 육아휴직 이후에 새로 육아휴직 급여 요건을 갖추었더라도 그 새로운 요건에 따른 육아휴직 급여를 지급받을 수 없다.</t>
  </si>
  <si>
    <t>「여신전문금융업법」제14조의2제1항제2호에 따른 신용카드회원모집인(전업과 부업 모두 포함)</t>
  </si>
  <si>
    <t>ㄱ: 중대한 위해, ㄴ: 직권, ㄷ: 직업안정기관의 장 또는 근로복지공단</t>
  </si>
  <si>
    <t>법 제47조(진료계획의 제출) 제1항에 따른 진료계획을 정당한 사유 없이 제출하지 아니하는 자</t>
  </si>
  <si>
    <t>「산업재해보상보험법」제84조에 따른 부당이득의 징수에 관한 결정에 대해서는 심사청구를 할 수 없다.</t>
  </si>
  <si>
    <t>유족인 형제자매가 19세가 된 때</t>
  </si>
  <si>
    <t>당해 연도 1회의 부정수급액이 1억8천만원인 자</t>
  </si>
  <si>
    <t>진폐는 업무상질병판정위원회의 심의 대상에 해당하는 질병이다.</t>
  </si>
  <si>
    <t>「산업재해보상보험법」에 따른 직장복귀지원금의 지급</t>
  </si>
  <si>
    <t>ㄱ: 평균임금, ㄴ: 60</t>
  </si>
  <si>
    <t>ㄱ: 8, ㄴ: 7, ㄷ: 3</t>
  </si>
  <si>
    <t>진폐보상연금</t>
  </si>
  <si>
    <t>“평균소득월액”이란 매년 사업장가입자 전원의 기준소득월액을 평균한 금액을 말한다.</t>
  </si>
  <si>
    <t>ㄱ: 30, ㄴ: 6천, ㄷ: 30</t>
  </si>
  <si>
    <t>연금보험료를 낸 기간이 가입대상기간의 2분의 1인 가입자가 가입 대상에서 제외되는 기간 중 사망한 경우 그 유족</t>
  </si>
  <si>
    <t>ㄱ: 1천290, ㄴ: 30</t>
  </si>
  <si>
    <t>ㄱ: 12, ㄴ: 24, ㄷ: 12</t>
  </si>
  <si>
    <t>직장가입자의 사용자가 2명 이상인 경우 그 중 1명에게 한 독촉은 해당 사업장의 다른 사용자 모두에게 효력이 있는 것으로 본다.</t>
  </si>
  <si>
    <t>ㄱ: 2천, ㄴ: 20</t>
  </si>
  <si>
    <t>치료효과성이 불확실하여 그 검증을 위하여 추가적인 근거가 필요한 경우 선별급여를 실시할 수 없다.</t>
  </si>
  <si>
    <t>국내에 거주하지 아니하게 된 날의 다음 날</t>
  </si>
  <si>
    <t>국민건강보험공단은 사업 실체가 없는 등의 사유로 계속하여 보험관계를 유지할 수 없다고 인정하는 경우에는 그 보험관계를 소멸시켜야 한다.</t>
  </si>
  <si>
    <t>보험사무대행기관이 거짓으로 인가를 받은 경우 인가를 취소해야 한다.</t>
  </si>
  <si>
    <t>천재지변으로 납부기한이 연장되었으나 연장된 납부기한이 지나 5회 체납한 경우에는 분할 납부의 승인을 신청할 수 없다.</t>
  </si>
  <si>
    <t>징수금의 연체금</t>
  </si>
  <si>
    <t>ㄱ: 25, ㄴ: 18</t>
  </si>
  <si>
    <t>보건복지부장관은 기본계획의 효율적 수립을 위하여 기본계획 작성지침을 작성하여 이를 관계 중앙행정기관의 장에게 통보하여야 한다.</t>
  </si>
  <si>
    <t>위원회는 위원장 1명, 부위원장 2명을 포함한 20명 이내의 위원으로 구성한다.</t>
  </si>
  <si>
    <t>보건복지부장관은 사회보장급여 관련 업무에 공통적으로 적용되는 기준을 마련할 수 있다.</t>
  </si>
  <si>
    <t>근로자의 피보험 단위기간은 피보험기간 중 보수 지급의 기초가 된 날을 합하여 계산한다.</t>
  </si>
  <si>
    <t>보건업 및 사회복지 서비스업  500명 이하</t>
  </si>
  <si>
    <t>ㄱ, ㄴ, ㄷ, ㅁ</t>
  </si>
  <si>
    <t>공단은 회계연도마다 회계연도가 끝난 후 2개월 이내에 사업 실적과 결산을 고용노동부장관에게 보고하여야 한다.</t>
  </si>
  <si>
    <t>직업훈련비용을 지급하는 훈련기간은 12개월 이내로 한다.</t>
  </si>
  <si>
    <t>4명</t>
  </si>
  <si>
    <t>근로자가 사망할 당시 그 근로자와 생계를 같이 하고 있지 아니하던 자매</t>
  </si>
  <si>
    <t>근로복지공단은 보험급여를 받은 사람이 거짓이나 그 밖의 부정한 방법으로 보험급여를 받은 경우 그 급여액의 3배에 해당하는 금액을 징수하여야 한다.</t>
  </si>
  <si>
    <t>「방문판매 등에 관한 법률」제2조제2호에 따른 방문판매원으로서 방문판매는 하지 않고 자가 소비만 하는 사람</t>
  </si>
  <si>
    <t>공단은 심사 청구서를 받은 날부터 90일 이내에 산업재해보상보험심사위원회의 심의를 거쳐 심사 청구에 대한 결정을 하여야 한다.</t>
  </si>
  <si>
    <t>임의가입자가 그 자격을 상실하게 되는 연금보험료의 체납기간은 원칙적으로 1년이다.</t>
  </si>
  <si>
    <t>유족연금의 수급권자인 배우자의 소재를 1년 이상 알 수 없는 때에는 유족인 자녀의 신청에 의하여 그 소재 불명의 기간동안 그에게 지급하여야 할 유족연금은 지급을 정지한다.</t>
  </si>
  <si>
    <t>입양으로 유족연금의 지급이 정지된 손자녀인 수급권자가 파양된 경우에는 직권으로 입양된 때부터 지급 정지를 해제한다.</t>
  </si>
  <si>
    <t>심사청구에 대한 결정에 불복하는 자는 그 결정통지를 받은 날부터 90일 이내에 재심사청구서에 따라 국민연금재심사위원회에 재심사를 청구할 수 있다.</t>
  </si>
  <si>
    <t>공단은 회계연도가 끝나고 2개월 내에 사업 실적과 결산을 보건복지부장관에게 보고 하여야 한다.</t>
  </si>
  <si>
    <t>고용 기간이 1개월 미만인 일용근로자</t>
  </si>
  <si>
    <t>709.0원</t>
  </si>
  <si>
    <t>20세인 피부양자</t>
  </si>
  <si>
    <t>지역가입자가 다른 세대로 전입한 날의 다음 날</t>
  </si>
  <si>
    <t>치료재료의 지급</t>
  </si>
  <si>
    <t>직장가입자의 보수 외 소득월액보험료는 직장가입자가 부담한다.</t>
  </si>
  <si>
    <t>ㄱ: 50, ㄴ: 85</t>
  </si>
  <si>
    <t>보험에 가입한 하수급인의 경우에는 그 하도급공사의 착공일의 다음 날에 보험관계가 성립한다.</t>
  </si>
  <si>
    <t>사업주가 근로복지공단의 승인을 받아 고용보험계약을 해지할 때에는 근로자 과반수의 동의를 받아야 한다.</t>
  </si>
  <si>
    <t>이 법에 따른 체납처분 절차에 따라 하는 교부청구로 중단된 소멸시효는 교부청구일로부터 새로 진행한다.</t>
  </si>
  <si>
    <t>산재보험료율을 정하는 경우에는 특정 사업 종류의 산재보험료율이 전체 사업의 평균산재보험료율의 2배를 초과하지 아니하도록 하여야 한다.</t>
  </si>
  <si>
    <t>국민건강보험공단은 보험료율이 인상 또는 인하된 때에는 개산보험료를 증액 또는 감액 조정하고, 이를 징수한다.</t>
  </si>
  <si>
    <t>재정추계의 결과는 사회보장위원회의 심의를 거친 후 1개월 이내에 관계 중앙행정기관의 장에게 통보해야 한다.</t>
  </si>
  <si>
    <t>「민법」제32조에 따라 설립된 법인으로서 사회보장제도의 신설 또는 변경과 관련된 업무에 전문성이 있다고 보건복지부장관이 인정하는 법인</t>
  </si>
  <si>
    <t>근로자인 피보험자는 「고용보험 및 산업재해보상보험의 보험료징수 등에 관한 법률」제10조에 따라 보험관계가 소멸한 경우에는 그 보험관계가 소멸한 날의 다음 날에 피보험자격을 상실한다.</t>
  </si>
  <si>
    <t>고용노동부장관은 「고용보험법」이 정하는 기금의 용도에 사용하기 위하여 기금을 내줄 경우 법과 영에 그 요건이 정하여져 있는 경우를 제외하고는 조건을 붙일 수 없다.</t>
  </si>
  <si>
    <t>ㄱ: 9, ㄴ: 6</t>
  </si>
  <si>
    <t>사업주와 공모하여 거짓으로 육아휴직 급여를 받은 자는 과태료 부과의 대상이 된다.</t>
  </si>
  <si>
    <t>보험을 모집하는 사람으로서 「보험업법」제84조제1항에 따라 등록한 보험설계사</t>
  </si>
  <si>
    <t>정년의 도래나 계약기간의 만료로 회사를 계속 다닐 수 없게 된 경우</t>
  </si>
  <si>
    <t>심사청구인은 법정대리인 외에 심사청구인인 법인의 임원 또는 직원을 대리인으로 선임할 수 있다.</t>
  </si>
  <si>
    <t>ㄱ: 중대한 손해, ㄴ: 직권, ㄷ: 근로복지공단</t>
  </si>
  <si>
    <t>진폐보상연금을 받을 권리</t>
  </si>
  <si>
    <t>업무상질병판정위원회의 심의를 거친 보험급여에 관한 결정에 불복하는 자는 「산업재해보상보험법」제103조에 따른 심사 청구를 하지 아니하고 재심사 청구를 할 수 있다.</t>
  </si>
  <si>
    <t>유족인 배우자가 재혼한 때(사실상 혼인 관계에 있는 경우를 포함)</t>
  </si>
  <si>
    <t>당해 연도 부정수급 횟수가 5회이고 부정수급액의 합계가 9천만원인 자</t>
  </si>
  <si>
    <t>약제 또는 진료재료와 의지(義肢)나 그 밖의 보조기의 지급</t>
  </si>
  <si>
    <t>ㄱ: 평균임금, ㄴ: 70</t>
  </si>
  <si>
    <t>ㄱ: 8, ㄴ: 7, ㄷ: 5</t>
  </si>
  <si>
    <t>상병(傷病)보상연금</t>
  </si>
  <si>
    <t>노령연금 수급권자의 배우자로서 별도의 소득이 없는 18세 이상 60세 미만인 자는 당연히 지역가입자가 된다.</t>
  </si>
  <si>
    <t>ㄱ: 30, ㄴ: 6천, ㄷ: 50</t>
  </si>
  <si>
    <t>사망일 5년 전부터 사망일까지의 기간 중 연금보험료를 낸 기간이 4년인 가입자로서 가입대상기간 중 체납기간이 3년인 사람이 사망한 경우 그 유족</t>
  </si>
  <si>
    <t>ㄱ: 1천290, ㄴ: 50</t>
  </si>
  <si>
    <t>ㄱ: 12, ㄴ: 24, ㄷ: 18</t>
  </si>
  <si>
    <t>공단은 보험료를 3회 이상 체납한 자가 신청하는 경우 분할납부를 승인할 수 있다.</t>
  </si>
  <si>
    <t>ㄱ: 3천, ㄴ: 30</t>
  </si>
  <si>
    <t>요양급여를 받는 사람이 본인일부부담금을 요양기관에 납부하는 경우 요양기관은 법 제41조제3항 및 제4항에 따라 보건복지부령으로 정하는 요양급여사항 또는 비급여사항 외에 입원보증금 등 다른 명목으로 비용을 청구할 수 있다.</t>
  </si>
  <si>
    <t>건강보험을 적용받고 있던 사람이 유공자등 의료보호대상자가 되어 건강보험의 적용배제신청을 한 날</t>
  </si>
  <si>
    <t>일괄적용을 받고 있는 사업이 사업의 폐업으로 일괄적용관계가 소멸한 경우에는 사업주는 소멸한 날의 다음 날부터 14일 이내에 일괄적용관계의 소멸 신고를 하여야 한다.</t>
  </si>
  <si>
    <t>보험사무를 거짓으로 운영하여 인가가 취소된 보험사무대행기관은 인가취소일부터 6개월 동안 보험사무대행기관으로 다시 인가받을 수 없다.</t>
  </si>
  <si>
    <t>분할 납부 승인을 취소하는 경우에도 분할 납부의 대상이 되는 보험료와 이 법에 따른 그 밖의 징수금을 한꺼번에 징수할 수는 없다.</t>
  </si>
  <si>
    <t>확정보험료</t>
  </si>
  <si>
    <t>ㄱ: 25, ㄴ: 20</t>
  </si>
  <si>
    <t>기본계획은 다른 법령에 따라 수립되는 사회보장에 관한 계획에 우선하며 그 계획의 기본이 된다.</t>
  </si>
  <si>
    <t>위원장이 부득이한 사유로 직무를 수행할 수 없을 때에는 위원장이 미리 정한 부위원장 순서로 그 직무를 대행한다.</t>
  </si>
  <si>
    <t>훈련연장급여를 지급하는 경우에 그 일액은 해당 수급자격자의 구직급여일액의 100분의 70으로 한다.</t>
  </si>
  <si>
    <t>숙박 및 음식점업                  300명 이하</t>
  </si>
  <si>
    <t>공단은 보험급여의 결정과 지급 등 보험사업을 효율적으로 수행하기 위하여 필요하면 국세청에 대통령령으로 정하는 자료의 제공을 요청할 수 있다.</t>
  </si>
  <si>
    <t>산업재해근로자의 권익 향상을 도모하기 위하여 매년 3월 28일을 산업재해근로자의 날로 하며, 산업재해근로자의 날부터 1주간을 산업재해근로자 추모 주간으로 한다.</t>
  </si>
  <si>
    <t>5명</t>
  </si>
  <si>
    <t>근로자가 사망할 당시 그 근로자와 생계를 같이 하고 있지 아니하던 배우자</t>
  </si>
  <si>
    <t>근로복지공단은 거짓으로 진료비를 지급받은 산재보험 의료기관으로서 매년 직전 연도부터 과거 2년간 부정수급 횟수가 2회 이상이고 부정수급액의 합계가 5천만원 이상인 자의 명단을 공개할 수 있다.</t>
  </si>
  <si>
    <t>공단은 심사 청구의 심리를 위하여 필요하면 직권으로 소속 직원에게 사건에 관계가 있는 사업장에 출입하여 문서를 검사하게 할 수 있다.</t>
  </si>
  <si>
    <t>지역가입자가 사업장가입자의 자격을 취득한 때에는 그에 해당하게 된 날의 다음 날에 그 자격을 상실한다.</t>
  </si>
  <si>
    <t>청구인은 결정이 있기 전까지는 언제든지 심사청구를 구두로 취하할 수 있다.</t>
  </si>
  <si>
    <t>기금이사의 임기는 계약기간으로 한다.</t>
  </si>
  <si>
    <t>선거에 당선되어 취임하는 공무원으로서 매월 보수 또는 보수에 준하는 급료를 받지 아니하는 사람</t>
  </si>
  <si>
    <t>800.0원</t>
  </si>
  <si>
    <t>20세인 지역가입자</t>
  </si>
  <si>
    <t>직장가입자가 다른 적용대상사업장의 사용자로 된 날</t>
  </si>
  <si>
    <t>장제비</t>
  </si>
  <si>
    <t>직장가입자가 교직원으로서 사립학교에 근무하는 교원이면 보험료액은 그 직장가입자가 100분의 40을, 국가가 100분의 60을 각각 부담한다.</t>
  </si>
  <si>
    <t>ㄱ: 50, ㄴ: 90</t>
  </si>
  <si>
    <t>산업재해보상보험에 의제가입한 사업주가 그 사업의 운영 중에 근로자를 고용하지 아니하게 된 때에 근로자를 사용하지 아니한 첫날부터 1년이 되는 날의 다음 날 그 보험관계가 소멸한다.</t>
  </si>
  <si>
    <t>월별보험료의 고지로 중단된 소멸시효는 월별보험료를 고지한 날로부터 새로 진행한다.</t>
  </si>
  <si>
    <t>고용노동부장관은 관련 규정에 따라 정한 특정 사업 종류의 산재보험료율이 인상되거나 인하되는 경우에는 직전 보험연도 산재보험료율의 100분의 40의 범위에서 조정하여야 한다.</t>
  </si>
  <si>
    <t>사회보험에 드는 비용은 국가가 부담하는 것을 원칙으로 하되, 사용자, 피용자 및 자영업자가 그 비용의 일부를 부담할 수 있다.</t>
    <phoneticPr fontId="2" type="noConversion"/>
  </si>
  <si>
    <t>재심사의 청구에 대한 재결은 「행정소송법」제18조(행정심판과의 관계)를 적용할 경우 행정심판에 대한 재결로 보지 아니한다.</t>
    <phoneticPr fontId="2" type="noConversion"/>
  </si>
  <si>
    <t>심사청구 문서에 적어야 하는 사항에는 피청구인인 처분청에 따른 심사청구에 관한 통지의 유무와 통지의 내용이 포함되어야 한다.</t>
    <phoneticPr fontId="2" type="noConversion"/>
  </si>
  <si>
    <t>「국민기초생활 보장법」제7조제1항제3호에 따른 의료급여 수급자는 본인의 희망에 따라 사업장가입자가 되지 아니할 수 있다.</t>
    <phoneticPr fontId="2" type="noConversion"/>
  </si>
  <si>
    <t>특별연장급여를 지급받고 있는 수급자격자에게는 특별연장급여의 지급이 끝난 후가 아니면 개별연장급여를 지급하지 아니한다.</t>
    <phoneticPr fontId="2" type="noConversion"/>
  </si>
  <si>
    <t>구직급여는 수급자격자가 실업한 상태에 있는 날 중에서 직업안정기관의 장으로부터 실업의 인정을 받은 날에 대하여 지급한다.</t>
    <phoneticPr fontId="2" type="noConversion"/>
  </si>
  <si>
    <t>고용보험법령상 우선지원 대상기업의 상시 사용하는 근로자 기준에서 산업분류와 상시 사용하는 근로자 수가 옳게 연결된 것은?
 산업분류                            상시 사용하는 근로자 수</t>
    <phoneticPr fontId="2" type="noConversion"/>
  </si>
  <si>
    <t>“장해”란 부상 또는 질병이 완치되거나 치료의 효과를 더 이상 기대할 수 없고 그 증상이 고정된 상태에 이르게 된 것을 말한다.</t>
    <phoneticPr fontId="2" type="noConversion"/>
  </si>
  <si>
    <t>직업안정기관 또는 근로복지공단은 심사청구서를 받은 날부터 7일 이내에 의견서를 첨부하여 심사청구서를 고용보험심사관에 보내야 한다.</t>
    <phoneticPr fontId="2" type="noConversion"/>
  </si>
  <si>
    <t>고용보험심사관은 원처분등의 집행에 의하여 발생하는 중대한 위해(危害)를 피하기 위하여 긴급한 필요가 있다고 인정되더라도 직권으로는 그 집행을 정지시킬 수 없다.</t>
    <phoneticPr fontId="2" type="noConversion"/>
  </si>
  <si>
    <t>육아휴직 급여와 출산전후휴가 급여등에 관한 처분에 대한 심사의 청구는 근로복지공단을 거쳐 고용보험심사관에게 하여야 한다.</t>
    <phoneticPr fontId="2" type="noConversion"/>
  </si>
  <si>
    <t>고용보험심사관은 심사의 청구에 대한 심리(審理)를 마쳤을 때에는 원처분등의 전부 또는 일부를 취소하거나 심사청구의 전부 또는 일부를 기각한다.</t>
    <phoneticPr fontId="2" type="noConversion"/>
  </si>
  <si>
    <t>심사청구에 대한 결정은 심사청구인 및 직업안정기관의 장 또는 근로복지공단에 결정서의 정본을 보낸 다음 날부터 효력이 발생한다.</t>
    <phoneticPr fontId="2" type="noConversion"/>
  </si>
  <si>
    <t>수급자격자가 사망한 경우 그 수급자격자에게 지급되어야 할 구직급여로서 아직 지급되지 아니한 것이 있는 경우 그 지급을 청구하려는 사람은 미지급 실업급여 청구서를 사망한 수급자격자의 신청지 관할 직업안정기관의 장에게 제출해야 한다.</t>
    <phoneticPr fontId="2" type="noConversion"/>
  </si>
  <si>
    <t>자영업자인 피보험자는 이 법에 따른 피보험자격의 취득 및 상실에 관한 신고를 하지 아니한다.</t>
    <phoneticPr fontId="2" type="noConversion"/>
  </si>
  <si>
    <t>피보험자는 언제든지 고용노동부장관에게 피보험자격의 취득 또는 상실에 관한 확인을 청구할 수 있다.</t>
    <phoneticPr fontId="2" type="noConversion"/>
  </si>
  <si>
    <t>기능</t>
    <phoneticPr fontId="2" type="noConversion"/>
  </si>
  <si>
    <t>사용여부</t>
    <phoneticPr fontId="2" type="noConversion"/>
  </si>
  <si>
    <t>행 하이라이트</t>
    <phoneticPr fontId="2" type="noConversion"/>
  </si>
  <si>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</si>
  <si>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</si>
  <si>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</si>
  <si>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</si>
  <si>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</si>
  <si>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</si>
  <si>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</si>
  <si>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</si>
  <si>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</si>
  <si>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</si>
  <si>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</si>
  <si>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</si>
  <si>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</si>
  <si>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</si>
  <si>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</si>
  <si>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</si>
  <si>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</si>
  <si>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</si>
  <si>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</si>
  <si>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</si>
  <si>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</si>
  <si>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</si>
  <si>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</si>
  <si>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</si>
  <si>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파일</t>
    <phoneticPr fontId="2" type="noConversion"/>
  </si>
  <si>
    <t>법률</t>
    <phoneticPr fontId="2" type="noConversion"/>
  </si>
  <si>
    <t>시행령</t>
    <phoneticPr fontId="2" type="noConversion"/>
  </si>
  <si>
    <t>시행규칙</t>
    <phoneticPr fontId="2" type="noConversion"/>
  </si>
  <si>
    <t>사회보장기본법</t>
  </si>
  <si>
    <t>사회보장기본법</t>
    <phoneticPr fontId="2" type="noConversion"/>
  </si>
  <si>
    <t>고용보험법</t>
  </si>
  <si>
    <t>고용보험법</t>
    <phoneticPr fontId="2" type="noConversion"/>
  </si>
  <si>
    <t>산업재해보상보험법</t>
  </si>
  <si>
    <t>산업재해보상보험법</t>
    <phoneticPr fontId="2" type="noConversion"/>
  </si>
  <si>
    <t>국민연금법</t>
  </si>
  <si>
    <t>국민연금법</t>
    <phoneticPr fontId="2" type="noConversion"/>
  </si>
  <si>
    <t>국민건강보험법</t>
  </si>
  <si>
    <t>국민건강보험법</t>
    <phoneticPr fontId="2" type="noConversion"/>
  </si>
  <si>
    <t>고용보험 및 산업재해보상보험의 보험료징수 등에 관한 법률</t>
  </si>
  <si>
    <t>고용보험 및 산업재해보상보험의 보험료징수 등에 관한 법률</t>
    <phoneticPr fontId="2" type="noConversion"/>
  </si>
  <si>
    <t>열기3-01.관련법령\04.사회보험법\01-1.사회보장기본법(법률).txt</t>
    <phoneticPr fontId="2" type="noConversion"/>
  </si>
  <si>
    <t>열기3-01.관련법령\04.사회보험법\01-2.사회보장기본법(시행령).txt</t>
    <phoneticPr fontId="2" type="noConversion"/>
  </si>
  <si>
    <t>열기3-01.관련법령\04.사회보험법\01-3.사회보장기본법(시행규칙).txt</t>
    <phoneticPr fontId="2" type="noConversion"/>
  </si>
  <si>
    <t>열기3-01.관련법령\04.사회보험법\02-1.고용보험법(법률).txt</t>
    <phoneticPr fontId="2" type="noConversion"/>
  </si>
  <si>
    <t>열기3-01.관련법령\04.사회보험법\02-2.고용보험법(시행령).txt</t>
    <phoneticPr fontId="2" type="noConversion"/>
  </si>
  <si>
    <t>열기3-01.관련법령\04.사회보험법\02-3.고용보험법(시행규칙).txt</t>
    <phoneticPr fontId="2" type="noConversion"/>
  </si>
  <si>
    <t>열기3-01.관련법령\04.사회보험법\03-1.산업재해보상보험법(법률).txt</t>
    <phoneticPr fontId="2" type="noConversion"/>
  </si>
  <si>
    <t>열기3-01.관련법령\04.사회보험법\03-2.산업재해보상보험법(시행령).txt</t>
    <phoneticPr fontId="2" type="noConversion"/>
  </si>
  <si>
    <t>열기3-01.관련법령\04.사회보험법\03-3.산업재해보상보험법(시행규칙).txt</t>
    <phoneticPr fontId="2" type="noConversion"/>
  </si>
  <si>
    <t>열기3-01.관련법령\04.사회보험법\04-1.국민연금법(법률).txt</t>
    <phoneticPr fontId="2" type="noConversion"/>
  </si>
  <si>
    <t>열기3-01.관련법령\04.사회보험법\04-2.국민연금법(시행령).txt</t>
    <phoneticPr fontId="2" type="noConversion"/>
  </si>
  <si>
    <t>열기3-01.관련법령\04.사회보험법\04-3.국민연금법(시행규칙).txt</t>
    <phoneticPr fontId="2" type="noConversion"/>
  </si>
  <si>
    <t>열기3-01.관련법령\04.사회보험법\05-1.국민건강보험법(법률).txt</t>
    <phoneticPr fontId="2" type="noConversion"/>
  </si>
  <si>
    <t>열기3-01.관련법령\04.사회보험법\05-2.국민건강보험법(시행령).txt</t>
    <phoneticPr fontId="2" type="noConversion"/>
  </si>
  <si>
    <t>열기3-01.관련법령\04.사회보험법\05-3.국민건강보험법(시행규칙).txt</t>
    <phoneticPr fontId="2" type="noConversion"/>
  </si>
  <si>
    <t>열기3-01.관련법령\04.사회보험법\06-1.고용보험 및 산업재해보상보험의 보험료징수 등에 관한 법률(법률).txt</t>
    <phoneticPr fontId="2" type="noConversion"/>
  </si>
  <si>
    <t>열기3-01.관련법령\04.사회보험법\06-2.고용보험 및 산업재해보상보험의 보험료징수 등에 관한 법률(시행령).txt</t>
    <phoneticPr fontId="2" type="noConversion"/>
  </si>
  <si>
    <t>열기3-01.관련법령\04.사회보험법\06-3.고용보험 및 산업재해보상보험의 보험료징수 등에 관한 법률(시행규칙).txt</t>
    <phoneticPr fontId="2" type="noConversion"/>
  </si>
  <si>
    <t>제01장 사회보장기본법</t>
  </si>
  <si>
    <t>제01장 사회보장기본법</t>
    <phoneticPr fontId="2" type="noConversion"/>
  </si>
  <si>
    <t>제02절 사회보장의 책임</t>
  </si>
  <si>
    <t>제02절 사회보장의 책임</t>
    <phoneticPr fontId="2" type="noConversion"/>
  </si>
  <si>
    <t>제03절 사회보장을 받을 권리(사회보장수급권)</t>
  </si>
  <si>
    <t>제03절 사회보장을 받을 권리(사회보장수급권)</t>
    <phoneticPr fontId="2" type="noConversion"/>
  </si>
  <si>
    <t>제04절 사회보장 계획의 수립</t>
  </si>
  <si>
    <t>제04절 사회보장 계획의 수립</t>
    <phoneticPr fontId="2" type="noConversion"/>
  </si>
  <si>
    <t>제05절 사회보장위원회</t>
  </si>
  <si>
    <t>제05절 사회보장위원회</t>
    <phoneticPr fontId="2" type="noConversion"/>
  </si>
  <si>
    <t>제06절 사회보장정책의 기본 방향</t>
  </si>
  <si>
    <t>제06절 사회보장정책의 기본 방향</t>
    <phoneticPr fontId="2" type="noConversion"/>
  </si>
  <si>
    <t>제07절 사회보장제도의 운영</t>
  </si>
  <si>
    <t>제07절 사회보장제도의 운영</t>
    <phoneticPr fontId="2" type="noConversion"/>
  </si>
  <si>
    <t>제08절 사회보장정보의 관리</t>
  </si>
  <si>
    <t>제08절 사회보장정보의 관리</t>
    <phoneticPr fontId="2" type="noConversion"/>
  </si>
  <si>
    <t>제02절 피보험자의 관리</t>
  </si>
  <si>
    <t>제02절 피보험자의 관리</t>
    <phoneticPr fontId="2" type="noConversion"/>
  </si>
  <si>
    <t>제03절 고용안정・직업능력개발 사업</t>
  </si>
  <si>
    <t>제03절 고용안정・직업능력개발 사업</t>
    <phoneticPr fontId="2" type="noConversion"/>
  </si>
  <si>
    <t>제04절 실업급여</t>
  </si>
  <si>
    <t>제04절 실업급여</t>
    <phoneticPr fontId="2" type="noConversion"/>
  </si>
  <si>
    <t>제05절 육아휴직급여 등</t>
  </si>
  <si>
    <t>제05절 육아휴직급여 등</t>
    <phoneticPr fontId="2" type="noConversion"/>
  </si>
  <si>
    <t>제06절 예술인의 특례</t>
  </si>
  <si>
    <t>제06절 예술인의 특례</t>
    <phoneticPr fontId="2" type="noConversion"/>
  </si>
  <si>
    <t>제07절 노무제공자의 특례</t>
  </si>
  <si>
    <t>제07절 노무제공자의 특례</t>
    <phoneticPr fontId="2" type="noConversion"/>
  </si>
  <si>
    <t>제08절 고용보험기금</t>
  </si>
  <si>
    <t>제08절 고용보험기금</t>
    <phoneticPr fontId="2" type="noConversion"/>
  </si>
  <si>
    <t>제09절 심사 및 재심사청구</t>
  </si>
  <si>
    <t>제09절 심사 및 재심사청구</t>
    <phoneticPr fontId="2" type="noConversion"/>
  </si>
  <si>
    <t>제10절 불이익 처우의 금지 및 소멸시효</t>
  </si>
  <si>
    <t>제10절 불이익 처우의 금지 및 소멸시효</t>
    <phoneticPr fontId="2" type="noConversion"/>
  </si>
  <si>
    <t>제02절 근로복지공단</t>
  </si>
  <si>
    <t>제02절 근로복지공단</t>
    <phoneticPr fontId="2" type="noConversion"/>
  </si>
  <si>
    <t>제03절 업무상 재해 등</t>
  </si>
  <si>
    <t>제03절 업무상 재해 등</t>
    <phoneticPr fontId="2" type="noConversion"/>
  </si>
  <si>
    <t>제04절 보험급여</t>
  </si>
  <si>
    <t>제04절 보험급여</t>
    <phoneticPr fontId="2" type="noConversion"/>
  </si>
  <si>
    <t>제05절 진폐에 따른 보험급여의 특례</t>
  </si>
  <si>
    <t>제05절 진폐에 따른 보험급여의 특례</t>
    <phoneticPr fontId="2" type="noConversion"/>
  </si>
  <si>
    <t>제06절 근로복지 사업 등</t>
  </si>
  <si>
    <t>제06절 근로복지 사업 등</t>
    <phoneticPr fontId="2" type="noConversion"/>
  </si>
  <si>
    <t>제07절 산업재해보상보험 및 예방기금</t>
  </si>
  <si>
    <t>제07절 산업재해보상보험 및 예방기금</t>
    <phoneticPr fontId="2" type="noConversion"/>
  </si>
  <si>
    <t>제08절 심사 청구 및 재심사 청구</t>
  </si>
  <si>
    <t>제08절 심사 청구 및 재심사 청구</t>
    <phoneticPr fontId="2" type="noConversion"/>
  </si>
  <si>
    <t>제02절 국민연금가입자</t>
  </si>
  <si>
    <t>제02절 국민연금가입자</t>
    <phoneticPr fontId="2" type="noConversion"/>
  </si>
  <si>
    <t>제03절 국민연금공단</t>
  </si>
  <si>
    <t>제03절 국민연금공단</t>
    <phoneticPr fontId="2" type="noConversion"/>
  </si>
  <si>
    <t>제04절 급여</t>
  </si>
  <si>
    <t>제04절 급여</t>
    <phoneticPr fontId="2" type="noConversion"/>
  </si>
  <si>
    <t>제05절 급여의 제한 및 정지</t>
  </si>
  <si>
    <t>제05절 급여의 제한 및 정지</t>
    <phoneticPr fontId="2" type="noConversion"/>
  </si>
  <si>
    <t>제06절 비용 부담 및 연금보험료 징수</t>
  </si>
  <si>
    <t>제06절 비용 부담 및 연금보험료 징수</t>
    <phoneticPr fontId="2" type="noConversion"/>
  </si>
  <si>
    <t>제07절 국민연금기금</t>
  </si>
  <si>
    <t>제07절 국민연금기금</t>
    <phoneticPr fontId="2" type="noConversion"/>
  </si>
  <si>
    <t>제08절 심사청구 및 재심사청구</t>
  </si>
  <si>
    <t>제08절 심사청구 및 재심사청구</t>
    <phoneticPr fontId="2" type="noConversion"/>
  </si>
  <si>
    <t>제09절 중복급여조정, 대위권, 시효 등</t>
  </si>
  <si>
    <t>제09절 중복급여조정, 대위권, 시효 등</t>
    <phoneticPr fontId="2" type="noConversion"/>
  </si>
  <si>
    <t>제02절 가입자</t>
  </si>
  <si>
    <t>제02절 가입자</t>
    <phoneticPr fontId="2" type="noConversion"/>
  </si>
  <si>
    <t>제03절 국민건강보험공단</t>
  </si>
  <si>
    <t>제03절 국민건강보험공단</t>
    <phoneticPr fontId="2" type="noConversion"/>
  </si>
  <si>
    <t>제05절 건강보험심사평가원</t>
  </si>
  <si>
    <t>제05절 건강보험심사평가원</t>
    <phoneticPr fontId="2" type="noConversion"/>
  </si>
  <si>
    <t>제06절 보험료</t>
  </si>
  <si>
    <t>제06절 보험료</t>
    <phoneticPr fontId="2" type="noConversion"/>
  </si>
  <si>
    <t>제07절 보험급여수급권의 제한과 보호</t>
  </si>
  <si>
    <t>제07절 보험급여수급권의 제한과 보호</t>
    <phoneticPr fontId="2" type="noConversion"/>
  </si>
  <si>
    <t>제08절 이의신청 및 심판청구</t>
  </si>
  <si>
    <t>제08절 이의신청 및 심판청구</t>
    <phoneticPr fontId="2" type="noConversion"/>
  </si>
  <si>
    <t>제09절 소멸시효, 근로자의 권익보호 등</t>
  </si>
  <si>
    <t>제09절 소멸시효, 근로자의 권익보호 등</t>
    <phoneticPr fontId="2" type="noConversion"/>
  </si>
  <si>
    <t>제02절 보험관계의 성립 및 소멸</t>
  </si>
  <si>
    <t>제02절 보험관계의 성립 및 소멸</t>
    <phoneticPr fontId="2" type="noConversion"/>
  </si>
  <si>
    <t>제03절 보험료</t>
  </si>
  <si>
    <t>제03절 보험료</t>
    <phoneticPr fontId="2" type="noConversion"/>
  </si>
  <si>
    <t>제04절 가산금, 연체금 등의 징수 및 납부 등</t>
  </si>
  <si>
    <t>제04절 가산금, 연체금 등의 징수 및 납부 등</t>
    <phoneticPr fontId="2" type="noConversion"/>
  </si>
  <si>
    <t>제05절 보험사무대행기관</t>
  </si>
  <si>
    <t>제05절 보험사무대행기관</t>
    <phoneticPr fontId="2" type="noConversion"/>
  </si>
  <si>
    <t>제06절 보험료의 수납절차 등</t>
  </si>
  <si>
    <t>제06절 보험료의 수납절차 등</t>
    <phoneticPr fontId="2" type="noConversion"/>
  </si>
  <si>
    <t>제07절 보험료의 시효 등</t>
  </si>
  <si>
    <t>제07절 보험료의 시효 등</t>
    <phoneticPr fontId="2" type="noConversion"/>
  </si>
  <si>
    <t>제02장 고용보험법</t>
  </si>
  <si>
    <t>제02장 고용보험법</t>
    <phoneticPr fontId="2" type="noConversion"/>
  </si>
  <si>
    <t>제03장 산업재해보상보험법</t>
  </si>
  <si>
    <t>제03장 산업재해보상보험법</t>
    <phoneticPr fontId="2" type="noConversion"/>
  </si>
  <si>
    <t>제04장 국민연금법</t>
  </si>
  <si>
    <t>제04장 국민연금법</t>
    <phoneticPr fontId="2" type="noConversion"/>
  </si>
  <si>
    <t>제05장 국민건강보험법</t>
  </si>
  <si>
    <t>제05장 국민건강보험법</t>
    <phoneticPr fontId="2" type="noConversion"/>
  </si>
  <si>
    <t>제06장 고용산재보험료징수법</t>
  </si>
  <si>
    <t>제06장 고용산재보험료징수법</t>
    <phoneticPr fontId="2" type="noConversion"/>
  </si>
  <si>
    <t>본문</t>
  </si>
  <si>
    <t>본문</t>
    <phoneticPr fontId="2" type="noConversion"/>
  </si>
  <si>
    <t>사회보장의 책임</t>
  </si>
  <si>
    <t>사회보장을 받을 권리(사회보장수급권)</t>
  </si>
  <si>
    <t>사회보장 계획의 수립</t>
  </si>
  <si>
    <t>사회보장위원회</t>
  </si>
  <si>
    <t>사회보장정책의 기본 방향</t>
  </si>
  <si>
    <t>사회보장제도의 운영</t>
  </si>
  <si>
    <t>사회보장정보의 관리</t>
  </si>
  <si>
    <t>피보험자의 관리</t>
  </si>
  <si>
    <t>고용안정・직업능력개발 사업</t>
  </si>
  <si>
    <t>실업급여</t>
  </si>
  <si>
    <t>육아휴직급여 등</t>
  </si>
  <si>
    <t>예술인의 특례</t>
  </si>
  <si>
    <t>노무제공자의 특례</t>
  </si>
  <si>
    <t>고용보험기금</t>
  </si>
  <si>
    <t>심사 및 재심사청구</t>
  </si>
  <si>
    <t>불이익 처우의 금지 및 소멸시효</t>
  </si>
  <si>
    <t>근로복지공단</t>
  </si>
  <si>
    <t>업무상 재해 등</t>
  </si>
  <si>
    <t>보험급여</t>
  </si>
  <si>
    <t>진폐에 따른 보험급여의 특례</t>
  </si>
  <si>
    <t>근로복지 사업 등</t>
  </si>
  <si>
    <t>산업재해보상보험 및 예방기금</t>
  </si>
  <si>
    <t>심사 청구 및 재심사 청구</t>
  </si>
  <si>
    <t>국민연금가입자</t>
  </si>
  <si>
    <t>국민연금공단</t>
  </si>
  <si>
    <t>급여</t>
  </si>
  <si>
    <t>급여의 제한 및 정지</t>
  </si>
  <si>
    <t>비용 부담 및 연금보험료 징수</t>
  </si>
  <si>
    <t>국민연금기금</t>
  </si>
  <si>
    <t>심사청구 및 재심사청구</t>
  </si>
  <si>
    <t>중복급여조정, 대위권, 시효 등</t>
  </si>
  <si>
    <t>가입자</t>
  </si>
  <si>
    <t>국민건강보험공단</t>
  </si>
  <si>
    <t>건강보험심사평가원</t>
  </si>
  <si>
    <t>보험료</t>
  </si>
  <si>
    <t>보험급여수급권의 제한과 보호</t>
  </si>
  <si>
    <t>이의신청 및 심판청구</t>
  </si>
  <si>
    <t>소멸시효, 근로자의 권익보호 등</t>
  </si>
  <si>
    <t>고용산재보험료징수법</t>
  </si>
  <si>
    <t>보험관계의 성립 및 소멸</t>
  </si>
  <si>
    <t xml:space="preserve">가산금, 연체금 등의 징수 및 납부 </t>
  </si>
  <si>
    <t>보험사무대행기관</t>
  </si>
  <si>
    <t>보험료의 수납절차 등</t>
  </si>
  <si>
    <t>보험료의 시효 등</t>
  </si>
  <si>
    <t>열기1-04.사회보험법\01.본문\제01장 사회보장기본법.제01절 서설.txt</t>
  </si>
  <si>
    <t>열기1-04.사회보험법\01.본문\제01장 사회보장기본법.제02절 사회보장의 책임.txt</t>
  </si>
  <si>
    <t>열기1-04.사회보험법\01.본문\제01장 사회보장기본법.제03절 사회보장을 받을 권리(사회보장수급권).txt</t>
  </si>
  <si>
    <t>열기1-04.사회보험법\01.본문\제01장 사회보장기본법.제04절 사회보장 계획의 수립.txt</t>
  </si>
  <si>
    <t>열기1-04.사회보험법\01.본문\제01장 사회보장기본법.제05절 사회보장위원회.txt</t>
  </si>
  <si>
    <t>열기1-04.사회보험법\01.본문\제01장 사회보장기본법.제06절 사회보장정책의 기본 방향.txt</t>
  </si>
  <si>
    <t>열기1-04.사회보험법\01.본문\제01장 사회보장기본법.제07절 사회보장제도의 운영.txt</t>
  </si>
  <si>
    <t>열기1-04.사회보험법\01.본문\제01장 사회보장기본법.제08절 사회보장정보의 관리.txt</t>
  </si>
  <si>
    <t>열기1-04.사회보험법\01.본문\제01장 사회보장기본법.제09절 기타.txt</t>
  </si>
  <si>
    <t>열기1-04.사회보험법\01.본문\제02장 고용보험법.제01절 서설.txt</t>
  </si>
  <si>
    <t>열기1-04.사회보험법\01.본문\제02장 고용보험법.제02절 피보험자의 관리.txt</t>
  </si>
  <si>
    <t>열기1-04.사회보험법\01.본문\제02장 고용보험법.제03절 고용안정・직업능력개발 사업.txt</t>
  </si>
  <si>
    <t>열기1-04.사회보험법\01.본문\제02장 고용보험법.제04절 실업급여.txt</t>
  </si>
  <si>
    <t>열기1-04.사회보험법\01.본문\제02장 고용보험법.제05절 육아휴직급여 등.txt</t>
  </si>
  <si>
    <t>열기1-04.사회보험법\01.본문\제02장 고용보험법.제06절 예술인의 특례.txt</t>
  </si>
  <si>
    <t>열기1-04.사회보험법\01.본문\제02장 고용보험법.제07절 노무제공자의 특례.txt</t>
  </si>
  <si>
    <t>열기1-04.사회보험법\01.본문\제02장 고용보험법.제08절 고용보험기금.txt</t>
  </si>
  <si>
    <t>열기1-04.사회보험법\01.본문\제02장 고용보험법.제09절 심사 및 재심사청구.txt</t>
  </si>
  <si>
    <t>열기1-04.사회보험법\01.본문\제02장 고용보험법.제10절 불이익 처우의 금지 및 소멸시효.txt</t>
  </si>
  <si>
    <t>열기1-04.사회보험법\01.본문\제02장 고용보험법.제11절 벌칙.txt</t>
  </si>
  <si>
    <t>열기1-04.사회보험법\01.본문\제03장 산업재해보상보험법.제01절 서설.txt</t>
  </si>
  <si>
    <t>열기1-04.사회보험법\01.본문\제03장 산업재해보상보험법.제02절 근로복지공단.txt</t>
  </si>
  <si>
    <t>열기1-04.사회보험법\01.본문\제03장 산업재해보상보험법.제03절 업무상 재해 등.txt</t>
  </si>
  <si>
    <t>열기1-04.사회보험법\01.본문\제03장 산업재해보상보험법.제04절 보험급여.txt</t>
  </si>
  <si>
    <t>열기1-04.사회보험법\01.본문\제03장 산업재해보상보험법.제05절 진폐에 따른 보험급여의 특례.txt</t>
  </si>
  <si>
    <t>열기1-04.사회보험법\01.본문\제03장 산업재해보상보험법.제06절 근로복지 사업 등.txt</t>
  </si>
  <si>
    <t>열기1-04.사회보험법\01.본문\제03장 산업재해보상보험법.제07절 산업재해보상보험 및 예방기금.txt</t>
  </si>
  <si>
    <t>열기1-04.사회보험법\01.본문\제03장 산업재해보상보험법.제08절 심사 청구 및 재심사 청구.txt</t>
  </si>
  <si>
    <t>열기1-04.사회보험법\01.본문\제03장 산업재해보상보험법.제09절 보칙.txt</t>
  </si>
  <si>
    <t>열기1-04.사회보험법\01.본문\제03장 산업재해보상보험법.제10절 특례.txt</t>
  </si>
  <si>
    <t>열기1-04.사회보험법\01.본문\제03장 산업재해보상보험법.제11절 벌칙.txt</t>
  </si>
  <si>
    <t>열기1-04.사회보험법\01.본문\제04장 국민연금법.제01절 서설.txt</t>
  </si>
  <si>
    <t>열기1-04.사회보험법\01.본문\제04장 국민연금법.제02절 국민연금가입자.txt</t>
  </si>
  <si>
    <t>열기1-04.사회보험법\01.본문\제04장 국민연금법.제03절 국민연금공단.txt</t>
  </si>
  <si>
    <t>열기1-04.사회보험법\01.본문\제04장 국민연금법.제04절 급여.txt</t>
  </si>
  <si>
    <t>열기1-04.사회보험법\01.본문\제04장 국민연금법.제05절 급여의 제한 및 정지.txt</t>
  </si>
  <si>
    <t>열기1-04.사회보험법\01.본문\제04장 국민연금법.제06절 비용 부담 및 연금보험료 징수.txt</t>
  </si>
  <si>
    <t>열기1-04.사회보험법\01.본문\제04장 국민연금법.제07절 국민연금기금.txt</t>
  </si>
  <si>
    <t>열기1-04.사회보험법\01.본문\제04장 국민연금법.제08절 심사청구 및 재심사청구.txt</t>
  </si>
  <si>
    <t>열기1-04.사회보험법\01.본문\제04장 국민연금법.제09절 중복급여조정, 대위권, 시효 등.txt</t>
  </si>
  <si>
    <t>열기1-04.사회보험법\01.본문\제04장 국민연금법.제10절 벌칙.txt</t>
  </si>
  <si>
    <t>열기1-04.사회보험법\01.본문\제05장 국민건강보험법.제01절 서설.txt</t>
  </si>
  <si>
    <t>열기1-04.사회보험법\01.본문\제05장 국민건강보험법.제02절 가입자.txt</t>
  </si>
  <si>
    <t>열기1-04.사회보험법\01.본문\제05장 국민건강보험법.제03절 국민건강보험공단.txt</t>
  </si>
  <si>
    <t>열기1-04.사회보험법\01.본문\제05장 국민건강보험법.제04절 보험급여.txt</t>
  </si>
  <si>
    <t>열기1-04.사회보험법\01.본문\제05장 국민건강보험법.제05절 건강보험심사평가원.txt</t>
  </si>
  <si>
    <t>열기1-04.사회보험법\01.본문\제05장 국민건강보험법.제06절 보험료.txt</t>
  </si>
  <si>
    <t>열기1-04.사회보험법\01.본문\제05장 국민건강보험법.제07절 보험급여수급권의 제한과 보호.txt</t>
  </si>
  <si>
    <t>열기1-04.사회보험법\01.본문\제05장 국민건강보험법.제08절 이의신청 및 심판청구.txt</t>
  </si>
  <si>
    <t>열기1-04.사회보험법\01.본문\제05장 국민건강보험법.제09절 소멸시효, 근로자의 권익보호 등.txt</t>
  </si>
  <si>
    <t>열기1-04.사회보험법\01.본문\제05장 국민건강보험법.제10절 벌칙.txt</t>
  </si>
  <si>
    <t>열기1-04.사회보험법\01.본문\제06장 고용산재보험료징수법.제01절 서설.txt</t>
  </si>
  <si>
    <t>열기1-04.사회보험법\01.본문\제06장 고용산재보험료징수법.제02절 보험관계의 성립 및 소멸.txt</t>
  </si>
  <si>
    <t>열기1-04.사회보험법\01.본문\제06장 고용산재보험료징수법.제03절 보험료.txt</t>
  </si>
  <si>
    <t>열기1-04.사회보험법\01.본문\제06장 고용산재보험료징수법.제04절 가산금, 연체금 등의 징수 및 납부 등.txt</t>
  </si>
  <si>
    <t>열기1-04.사회보험법\01.본문\제06장 고용산재보험료징수법.제05절 보험사무대행기관.txt</t>
  </si>
  <si>
    <t>열기1-04.사회보험법\01.본문\제06장 고용산재보험료징수법.제06절 보험료의 수납절차 등.txt</t>
  </si>
  <si>
    <t>열기1-04.사회보험법\01.본문\제06장 고용산재보험료징수법.제07절 보험료의 시효 등.txt</t>
  </si>
  <si>
    <t>열기1-04.사회보험법\01.본문\제06장 고용산재보험료징수법.제08절 적용특례.txt</t>
  </si>
  <si>
    <t>열기1-04.사회보험법\01.본문\제06장 고용산재보험료징수법.제09절 벌칙.txt</t>
  </si>
  <si>
    <t>Y</t>
  </si>
  <si>
    <t>Ⅴ</t>
  </si>
  <si>
    <t>2024-041-0</t>
  </si>
  <si>
    <t>2024-041-1</t>
  </si>
  <si>
    <t>2024-041-2</t>
  </si>
  <si>
    <t>2024-041-3</t>
  </si>
  <si>
    <t>2024-041-4</t>
  </si>
  <si>
    <t>2024-041-5</t>
  </si>
  <si>
    <t>2024-042-0</t>
  </si>
  <si>
    <t>2024-042-1</t>
  </si>
  <si>
    <t>2024-042-2</t>
  </si>
  <si>
    <t>2024-042-3</t>
  </si>
  <si>
    <t>2024-042-4</t>
  </si>
  <si>
    <t>2024-042-5</t>
  </si>
  <si>
    <t>2024-043-0</t>
  </si>
  <si>
    <t>2024-043-1</t>
  </si>
  <si>
    <t>2024-043-2</t>
  </si>
  <si>
    <t>2024-043-3</t>
  </si>
  <si>
    <t>2024-043-4</t>
  </si>
  <si>
    <t>2024-043-5</t>
  </si>
  <si>
    <t>2024-044-0</t>
  </si>
  <si>
    <t>2024-044-1</t>
  </si>
  <si>
    <t>2024-044-2</t>
  </si>
  <si>
    <t>2024-044-3</t>
  </si>
  <si>
    <t>2024-044-4</t>
  </si>
  <si>
    <t>2024-044-5</t>
  </si>
  <si>
    <t>2024-045-0</t>
  </si>
  <si>
    <t>2024-045-1</t>
  </si>
  <si>
    <t>직업안정기관 또는 근로복지공단은 심사청구서를 받은 날부터 7일 이내에 의견서를 첨부하여 심사청구서를 고용보험심사관에 보내야 한다.</t>
  </si>
  <si>
    <t>2024-045-2</t>
  </si>
  <si>
    <t>고용보험심사관은 원처분등의 집행에 의하여 발생하는 중대한 위해(危害)를 피하기 위하여 긴급한 필요가 있다고 인정되더라도 직권으로는 그 집행을 정지시킬 수 없다.</t>
  </si>
  <si>
    <t>2024-045-3</t>
  </si>
  <si>
    <t>육아휴직 급여와 출산전후휴가 급여등에 관한 처분에 대한 심사의 청구는 근로복지공단을 거쳐 고용보험심사관에게 하여야 한다.</t>
  </si>
  <si>
    <t>2024-045-4</t>
  </si>
  <si>
    <t>고용보험심사관은 심사의 청구에 대한 심리(審理)를 마쳤을 때에는 원처분등의 전부 또는 일부를 취소하거나 심사청구의 전부 또는 일부를 기각한다.</t>
  </si>
  <si>
    <t>2024-045-5</t>
  </si>
  <si>
    <t>심사청구에 대한 결정은 심사청구인 및 직업안정기관의 장 또는 근로복지공단에 결정서의 정본을 보낸 다음 날부터 효력이 발생한다.</t>
  </si>
  <si>
    <t>2024-046-0</t>
  </si>
  <si>
    <t>2024-046-1</t>
  </si>
  <si>
    <t>2024-046-2</t>
  </si>
  <si>
    <t>2024-046-3</t>
  </si>
  <si>
    <t>2024-046-4</t>
  </si>
  <si>
    <t>2024-046-5</t>
  </si>
  <si>
    <t>2024-047-0</t>
  </si>
  <si>
    <t>2024-047-1</t>
  </si>
  <si>
    <t>2024-047-2</t>
  </si>
  <si>
    <t>2024-047-3</t>
  </si>
  <si>
    <t>2024-047-4</t>
  </si>
  <si>
    <t>2024-047-5</t>
  </si>
  <si>
    <t>2024-048-0</t>
  </si>
  <si>
    <t>2024-048-1</t>
  </si>
  <si>
    <t>2024-048-2</t>
  </si>
  <si>
    <t>2024-048-3</t>
  </si>
  <si>
    <t>2024-048-4</t>
  </si>
  <si>
    <t>2024-048-5</t>
  </si>
  <si>
    <t>2024-049-0</t>
  </si>
  <si>
    <t>2024-049-1</t>
  </si>
  <si>
    <t>2024-049-2</t>
  </si>
  <si>
    <t>2024-049-3</t>
  </si>
  <si>
    <t>2024-049-4</t>
  </si>
  <si>
    <t>2024-049-5</t>
  </si>
  <si>
    <t>2024-050-0</t>
  </si>
  <si>
    <t>2024-050-1</t>
  </si>
  <si>
    <t>2024-050-2</t>
  </si>
  <si>
    <t>2024-050-3</t>
  </si>
  <si>
    <t>2024-050-4</t>
  </si>
  <si>
    <t>2024-050-5</t>
  </si>
  <si>
    <t>2024-051-0</t>
  </si>
  <si>
    <t>2024-051-1</t>
  </si>
  <si>
    <t>2024-051-2</t>
  </si>
  <si>
    <t>2024-051-3</t>
  </si>
  <si>
    <t>2024-051-4</t>
  </si>
  <si>
    <t>2024-051-5</t>
  </si>
  <si>
    <t>2024-052-0</t>
  </si>
  <si>
    <t>2024-052-1</t>
  </si>
  <si>
    <t>2024-052-2</t>
  </si>
  <si>
    <t>2024-052-3</t>
  </si>
  <si>
    <t>2024-052-4</t>
  </si>
  <si>
    <t>2024-052-5</t>
  </si>
  <si>
    <t>2024-053-0</t>
  </si>
  <si>
    <t>2024-053-1</t>
  </si>
  <si>
    <t>2024-053-2</t>
  </si>
  <si>
    <t>2024-053-3</t>
  </si>
  <si>
    <t>2024-053-4</t>
  </si>
  <si>
    <t>2024-053-5</t>
  </si>
  <si>
    <t>2024-054-0</t>
  </si>
  <si>
    <t>2024-054-1</t>
  </si>
  <si>
    <t>2024-054-2</t>
  </si>
  <si>
    <t>2024-054-3</t>
  </si>
  <si>
    <t>2024-054-4</t>
  </si>
  <si>
    <t>2024-054-5</t>
  </si>
  <si>
    <t>2024-055-0</t>
  </si>
  <si>
    <t>2024-055-1</t>
  </si>
  <si>
    <t>2024-055-2</t>
  </si>
  <si>
    <t>2024-055-3</t>
  </si>
  <si>
    <t>2024-055-4</t>
  </si>
  <si>
    <t>2024-055-5</t>
  </si>
  <si>
    <t>2024-056-0</t>
  </si>
  <si>
    <t>2024-056-1</t>
  </si>
  <si>
    <t>2024-056-2</t>
  </si>
  <si>
    <t>2024-056-3</t>
  </si>
  <si>
    <t>2024-056-4</t>
  </si>
  <si>
    <t>2024-056-5</t>
  </si>
  <si>
    <t>2024-057-0</t>
  </si>
  <si>
    <t>2024-057-1</t>
  </si>
  <si>
    <t>2024-057-2</t>
  </si>
  <si>
    <t>2024-057-3</t>
  </si>
  <si>
    <t>2024-057-4</t>
  </si>
  <si>
    <t>2024-057-5</t>
  </si>
  <si>
    <t>2024-058-0</t>
  </si>
  <si>
    <t>2024-058-1</t>
  </si>
  <si>
    <t>2024-058-2</t>
  </si>
  <si>
    <t>2024-058-3</t>
  </si>
  <si>
    <t>2024-058-4</t>
  </si>
  <si>
    <t>2024-058-5</t>
  </si>
  <si>
    <t>2024-059-0</t>
  </si>
  <si>
    <t>2024-059-1</t>
  </si>
  <si>
    <t>2024-059-2</t>
  </si>
  <si>
    <t>2024-059-3</t>
  </si>
  <si>
    <t>2024-059-4</t>
  </si>
  <si>
    <t>2024-059-5</t>
  </si>
  <si>
    <t>2024-060-0</t>
  </si>
  <si>
    <t>2024-060-1</t>
  </si>
  <si>
    <t>2024-060-2</t>
  </si>
  <si>
    <t>2024-060-3</t>
  </si>
  <si>
    <t>2024-060-4</t>
  </si>
  <si>
    <t>2024-060-5</t>
  </si>
  <si>
    <t>2024-061-0</t>
  </si>
  <si>
    <t>2024-061-1</t>
  </si>
  <si>
    <t>2024-061-2</t>
  </si>
  <si>
    <t>2024-061-3</t>
  </si>
  <si>
    <t>2024-061-4</t>
  </si>
  <si>
    <t>2024-061-5</t>
  </si>
  <si>
    <t>2024-062-0</t>
  </si>
  <si>
    <t>2024-062-1</t>
  </si>
  <si>
    <t>2024-062-2</t>
  </si>
  <si>
    <t>2024-062-3</t>
  </si>
  <si>
    <t>2024-062-4</t>
  </si>
  <si>
    <t>2024-062-5</t>
  </si>
  <si>
    <t>2024-063-0</t>
  </si>
  <si>
    <t>2024-063-1</t>
  </si>
  <si>
    <t>2024-063-2</t>
  </si>
  <si>
    <t>2024-063-3</t>
  </si>
  <si>
    <t>2024-063-4</t>
  </si>
  <si>
    <t>2024-063-5</t>
  </si>
  <si>
    <t>2024-064-0</t>
  </si>
  <si>
    <t>2024-064-1</t>
  </si>
  <si>
    <t>2024-064-2</t>
  </si>
  <si>
    <t>2024-064-3</t>
  </si>
  <si>
    <t>2024-064-4</t>
  </si>
  <si>
    <t>2024-064-5</t>
  </si>
  <si>
    <t>2024-065-0</t>
  </si>
  <si>
    <t>2024-065-1</t>
  </si>
  <si>
    <t>2024-065-2</t>
  </si>
  <si>
    <t>2024-065-3</t>
  </si>
  <si>
    <t>2024-065-4</t>
  </si>
  <si>
    <t>2024-065-5</t>
  </si>
  <si>
    <t>2024-066-0</t>
  </si>
  <si>
    <t>2024-066-1</t>
  </si>
  <si>
    <t>2024-066-2</t>
  </si>
  <si>
    <t>2024-066-3</t>
  </si>
  <si>
    <t>2024-066-4</t>
  </si>
  <si>
    <t>2024-066-5</t>
  </si>
  <si>
    <t>2024-067-0</t>
  </si>
  <si>
    <t>2024-067-1</t>
  </si>
  <si>
    <t>2024-067-2</t>
  </si>
  <si>
    <t>2024-067-3</t>
  </si>
  <si>
    <t>2024-067-4</t>
  </si>
  <si>
    <t>2024-067-5</t>
  </si>
  <si>
    <t>2024-068-0</t>
  </si>
  <si>
    <t>2024-068-1</t>
  </si>
  <si>
    <t>2024-068-2</t>
  </si>
  <si>
    <t>2024-068-3</t>
  </si>
  <si>
    <t>2024-068-4</t>
  </si>
  <si>
    <t>2024-068-5</t>
  </si>
  <si>
    <t>2024-069-0</t>
  </si>
  <si>
    <t>2024-069-1</t>
  </si>
  <si>
    <t>2024-069-2</t>
  </si>
  <si>
    <t>2024-069-3</t>
  </si>
  <si>
    <t>2024-069-4</t>
  </si>
  <si>
    <t>2024-069-5</t>
  </si>
  <si>
    <t>2024-070-0</t>
  </si>
  <si>
    <t>2024-070-1</t>
  </si>
  <si>
    <t>2024-070-2</t>
  </si>
  <si>
    <t>2024-070-3</t>
  </si>
  <si>
    <t>2024-070-4</t>
  </si>
  <si>
    <t>2024-070-5</t>
  </si>
  <si>
    <t>2024-071-0</t>
  </si>
  <si>
    <t>2024-071-1</t>
  </si>
  <si>
    <t>2024-071-2</t>
  </si>
  <si>
    <t>2024-071-3</t>
  </si>
  <si>
    <t>2024-071-4</t>
  </si>
  <si>
    <t>2024-071-5</t>
  </si>
  <si>
    <t>2024-072-0</t>
  </si>
  <si>
    <t>2024-072-1</t>
  </si>
  <si>
    <t>2024-072-2</t>
  </si>
  <si>
    <t>2024-072-3</t>
  </si>
  <si>
    <t>2024-072-4</t>
  </si>
  <si>
    <t>2024-072-5</t>
  </si>
  <si>
    <t>2024-073-0</t>
  </si>
  <si>
    <t>2024-073-1</t>
  </si>
  <si>
    <t>2024-073-2</t>
  </si>
  <si>
    <t>2024-073-3</t>
  </si>
  <si>
    <t>2024-073-4</t>
  </si>
  <si>
    <t>2024-073-5</t>
  </si>
  <si>
    <t>2024-074-0</t>
  </si>
  <si>
    <t>2024-074-1</t>
  </si>
  <si>
    <t>2024-074-2</t>
  </si>
  <si>
    <t>2024-074-3</t>
  </si>
  <si>
    <t>2024-074-4</t>
  </si>
  <si>
    <t>2024-074-5</t>
  </si>
  <si>
    <t>2024-075-0</t>
  </si>
  <si>
    <t>2024-075-1</t>
  </si>
  <si>
    <t>2024-075-2</t>
  </si>
  <si>
    <t>2024-075-3</t>
  </si>
  <si>
    <t>2024-075-4</t>
  </si>
  <si>
    <t>2024-075-5</t>
  </si>
  <si>
    <t>2024-076-0</t>
  </si>
  <si>
    <t>2024-076-1</t>
  </si>
  <si>
    <t>2024-076-2</t>
  </si>
  <si>
    <t>2024-076-3</t>
  </si>
  <si>
    <t>2024-076-4</t>
  </si>
  <si>
    <t>2024-076-5</t>
  </si>
  <si>
    <t>2024-077-0</t>
  </si>
  <si>
    <t>2024-077-1</t>
  </si>
  <si>
    <t>2024-077-2</t>
  </si>
  <si>
    <t>2024-077-3</t>
  </si>
  <si>
    <t>2024-077-4</t>
  </si>
  <si>
    <t>2024-077-5</t>
  </si>
  <si>
    <t>2024-078-0</t>
  </si>
  <si>
    <t>2024-078-1</t>
  </si>
  <si>
    <t>2024-078-2</t>
  </si>
  <si>
    <t>2024-078-3</t>
  </si>
  <si>
    <t>2024-078-4</t>
  </si>
  <si>
    <t>2024-078-5</t>
  </si>
  <si>
    <t>2024-079-0</t>
  </si>
  <si>
    <t>2024-079-1</t>
  </si>
  <si>
    <t>2024-079-2</t>
  </si>
  <si>
    <t>2024-079-3</t>
  </si>
  <si>
    <t>2024-079-4</t>
  </si>
  <si>
    <t>2024-079-5</t>
  </si>
  <si>
    <t>2024-080-0</t>
  </si>
  <si>
    <t>2024-080-1</t>
  </si>
  <si>
    <t>2024-080-2</t>
  </si>
  <si>
    <t>2024-080-3</t>
  </si>
  <si>
    <t>2024-080-4</t>
  </si>
  <si>
    <t>2024-080-5</t>
  </si>
  <si>
    <t>소계</t>
    <phoneticPr fontId="2" type="noConversion"/>
  </si>
  <si>
    <t>소계</t>
  </si>
  <si>
    <t>총계</t>
    <phoneticPr fontId="2" type="noConversion"/>
  </si>
  <si>
    <t>제01절 사회보장기본법의 서설</t>
  </si>
  <si>
    <t>제01절 사회보장기본법의 서설</t>
    <phoneticPr fontId="2" type="noConversion"/>
  </si>
  <si>
    <t>제01절 사회보장기본법의 서설</t>
    <phoneticPr fontId="2" type="noConversion"/>
  </si>
  <si>
    <t>사회보장기본법의 서설</t>
    <phoneticPr fontId="2" type="noConversion"/>
  </si>
  <si>
    <t>사회보장기본법의 기타</t>
    <phoneticPr fontId="2" type="noConversion"/>
  </si>
  <si>
    <t>제09절 사회보장기본법의 기타</t>
  </si>
  <si>
    <t>제09절 사회보장기본법의 기타</t>
    <phoneticPr fontId="2" type="noConversion"/>
  </si>
  <si>
    <t>제09절 사회보장기본법의 기타</t>
    <phoneticPr fontId="2" type="noConversion"/>
  </si>
  <si>
    <t>제01절 고용보험법의 서설</t>
  </si>
  <si>
    <t>제01절 고용보험법의 서설</t>
    <phoneticPr fontId="2" type="noConversion"/>
  </si>
  <si>
    <t>제01절 고용보험법의 서설</t>
    <phoneticPr fontId="2" type="noConversion"/>
  </si>
  <si>
    <t>고용보험법의 서설</t>
    <phoneticPr fontId="2" type="noConversion"/>
  </si>
  <si>
    <t>고용보험법의 벌칙</t>
    <phoneticPr fontId="2" type="noConversion"/>
  </si>
  <si>
    <t>제11절 고용보험법의 벌칙</t>
  </si>
  <si>
    <t>제11절 고용보험법의 벌칙</t>
    <phoneticPr fontId="2" type="noConversion"/>
  </si>
  <si>
    <t>제11절 고용보험법의 벌칙</t>
    <phoneticPr fontId="2" type="noConversion"/>
  </si>
  <si>
    <t>산업재해보상보험법</t>
    <phoneticPr fontId="2" type="noConversion"/>
  </si>
  <si>
    <t>제01절 산업재해보상보험법의 서설</t>
  </si>
  <si>
    <t>제01절 산업재해보상보험법의 서설</t>
    <phoneticPr fontId="2" type="noConversion"/>
  </si>
  <si>
    <t>제01절 산업재해보상보험법의 서설</t>
    <phoneticPr fontId="2" type="noConversion"/>
  </si>
  <si>
    <t>산업재해보상보험법의 서설</t>
    <phoneticPr fontId="2" type="noConversion"/>
  </si>
  <si>
    <t>산업재해보상보험법의 벌칙</t>
    <phoneticPr fontId="2" type="noConversion"/>
  </si>
  <si>
    <t>제11절 산업재해보상보험법의 벌칙</t>
  </si>
  <si>
    <t>제11절 산업재해보상보험법의 벌칙</t>
    <phoneticPr fontId="2" type="noConversion"/>
  </si>
  <si>
    <t>제11절 산업재해보상보험법의 벌칙</t>
    <phoneticPr fontId="2" type="noConversion"/>
  </si>
  <si>
    <t>산업재해보상보험법의 보칙</t>
    <phoneticPr fontId="2" type="noConversion"/>
  </si>
  <si>
    <t>산업재해보상보험법의 특례</t>
    <phoneticPr fontId="2" type="noConversion"/>
  </si>
  <si>
    <t>제09절 산업재해보상보험법의 보칙</t>
  </si>
  <si>
    <t>제09절 산업재해보상보험법의 보칙</t>
    <phoneticPr fontId="2" type="noConversion"/>
  </si>
  <si>
    <t>제09절 산업재해보상보험법의 보칙</t>
    <phoneticPr fontId="2" type="noConversion"/>
  </si>
  <si>
    <t>제10절 산업재해보상보험법의 특례</t>
  </si>
  <si>
    <t>제10절 산업재해보상보험법의 특례</t>
    <phoneticPr fontId="2" type="noConversion"/>
  </si>
  <si>
    <t>제10절 산업재해보상보험법의 특례</t>
    <phoneticPr fontId="2" type="noConversion"/>
  </si>
  <si>
    <t>제01절 국민연금법의 서설</t>
  </si>
  <si>
    <t>제01절 국민연금법의 서설</t>
    <phoneticPr fontId="2" type="noConversion"/>
  </si>
  <si>
    <t>제01절 국민연금법의 서설</t>
    <phoneticPr fontId="2" type="noConversion"/>
  </si>
  <si>
    <t>국민연금법의 서설</t>
    <phoneticPr fontId="2" type="noConversion"/>
  </si>
  <si>
    <t>국민연금법의 벌칙</t>
    <phoneticPr fontId="2" type="noConversion"/>
  </si>
  <si>
    <t>제10절 국민연금법의 벌칙</t>
  </si>
  <si>
    <t>제10절 국민연금법의 벌칙</t>
    <phoneticPr fontId="2" type="noConversion"/>
  </si>
  <si>
    <t>제10절 국민연금법의 벌칙</t>
    <phoneticPr fontId="2" type="noConversion"/>
  </si>
  <si>
    <t>제01절 국민건강보험법의 서설</t>
  </si>
  <si>
    <t>제01절 국민건강보험법의 서설</t>
    <phoneticPr fontId="2" type="noConversion"/>
  </si>
  <si>
    <t>제01절 국민건강보험법의 서설</t>
    <phoneticPr fontId="2" type="noConversion"/>
  </si>
  <si>
    <t>국민건강보험법의 서설</t>
    <phoneticPr fontId="2" type="noConversion"/>
  </si>
  <si>
    <t>국민건강보험법의 벌칙</t>
    <phoneticPr fontId="2" type="noConversion"/>
  </si>
  <si>
    <t>제10절 국민건강보험법의 벌칙</t>
  </si>
  <si>
    <t>제10절 국민건강보험법의 벌칙</t>
    <phoneticPr fontId="2" type="noConversion"/>
  </si>
  <si>
    <t>제10절 국민건강보험법의 벌칙</t>
    <phoneticPr fontId="2" type="noConversion"/>
  </si>
  <si>
    <t>제01절 고용산재보험료징수법의 서설</t>
  </si>
  <si>
    <t>제01절 고용산재보험료징수법의 서설</t>
    <phoneticPr fontId="2" type="noConversion"/>
  </si>
  <si>
    <t>제01절 고용산재보험료징수법의 서설</t>
    <phoneticPr fontId="2" type="noConversion"/>
  </si>
  <si>
    <t>고용산재보험료징수법의 서설</t>
    <phoneticPr fontId="2" type="noConversion"/>
  </si>
  <si>
    <t>고용산재보험료징수법의 벌칙</t>
    <phoneticPr fontId="2" type="noConversion"/>
  </si>
  <si>
    <t>제09절 고용산재보험료징수법의 벌칙</t>
  </si>
  <si>
    <t>제09절 고용산재보험료징수법의 벌칙</t>
    <phoneticPr fontId="2" type="noConversion"/>
  </si>
  <si>
    <t>제09절 고용산재보험료징수법의 벌칙</t>
    <phoneticPr fontId="2" type="noConversion"/>
  </si>
  <si>
    <t>제08절 고용산재보험료징수법의 적용특례</t>
  </si>
  <si>
    <t>제08절 고용산재보험료징수법의 적용특례</t>
    <phoneticPr fontId="2" type="noConversion"/>
  </si>
  <si>
    <t>제08절 고용산재보험료징수법의 적용특례</t>
    <phoneticPr fontId="2" type="noConversion"/>
  </si>
  <si>
    <t>고용산재보험료징수법의 적용특례</t>
    <phoneticPr fontId="2" type="noConversion"/>
  </si>
  <si>
    <t>2026년 현재(2010~2026)</t>
    <phoneticPr fontId="2" type="noConversion"/>
  </si>
  <si>
    <t>“사회서비스”란 생애주기에 걸쳐 보편적으로 충족되어야 하는 기본욕구와 특정한 사회위험에 의하여 발생하는 특수욕구를 동시에 고려하여 소득・서비스를 보장하는 맞춤형 사회보장제도를 말한다.</t>
    <phoneticPr fontId="2" type="noConversion"/>
  </si>
  <si>
    <t>고용노동부장관은 금융기관에서 직접 발행하거나 채무이행을 보증하는 유가증권을 매입하는 방법으로 기금을 관리・운용할 수 있다.</t>
  </si>
  <si>
    <t>「초・중등교육법」제2조에 따른 학교에서 운영하는 방과후학교의 과정을 담당하는 강사</t>
  </si>
  <si>
    <t>고용보험법령상 고용보험위원회(이하 ‘위원회’라 한다)에 관한 설명으로 옳은 것을 모두 고른 것은?
ㄱ. 위원회에 고용보험운영전문위원회와 고용보험기금관리・운용전문위원회를 둔다.
ㄴ. 위원회는 근로자를 대표하는 사람 및 사용자를 대표하는 사람 각 1명 이상을 포함한 15명 이내의 위원으로 구성하고, 위원 중 2명은 상임위원으로 한다.
ㄷ. 「고용보험 및 산업재해보상보험의 보험료징수 등에 관한 법률」에 따른 보험료율의 결정에 관한 사항은 위원회의 심의 사항이다.
ㄹ. 고용보험에 관한 전문적인 사항을 조사・연구하기 위하여 위원회에 5명 이내의 조사・연구위원을 둘 수 있다.</t>
  </si>
  <si>
    <t>법 제118조(산재보험 의료기관에 대한 조사 등)에 따른 근로복지공단의 소속 직원의 조사를 거부・방해 또는 기피한 자</t>
  </si>
  <si>
    <t>위원장이 회의를 소집하려면 회의 개최 5일 전까지 일시・장소 및 안건을 서면으로 알려야 하지만, 긴급한 경우에는 회의 개최 전날까지 구두, 전화, 그 밖의 방법으로 알릴 수 있다.</t>
  </si>
  <si>
    <t>국민건강보험법상 위반사실 공표의 요건이다. ( )에 들어갈 내용은?
보건복지부장관은 관련 서류의 위조・변조로 요양급여비용을 거짓으로 청구하여 업무정지 또는 과징금의 행정처분을 받은 요양기관이 다음 어느 하나에 해당하면 그 위반사실을 공표할 수 있다. 이 경우 공표 여부를 결정할 때에는 그 위반행위의 동기, 정도, 횟수 및 결과 등을 고려하여야 한다.
1. 거짓으로 청구한 금액이 ( ㄱ )만원 이상인 경우
2. 요양급여비용 총액 중 거짓으로 청구한 금액의 비율이 100분의 ( ㄴ ) 이상인 경우</t>
  </si>
  <si>
    <t>요양급여의 기준은 건강보험정책심의위원회의 심의・의결사항이 아니다.</t>
  </si>
  <si>
    <t>고용보험 및 산업재해보상보험의 보험료징수 등에 관한 법률 시행령 조문의 일부이다. ( )에 들어갈 숫자는?
제12조(고용보험료율) 법 제14조제1항에 따른 고용보험료율은 다음 각 호와 같다.
1. 고용안정・직업능력개발사업의 보험료율: 다음 각 목의 구분에 따른 보험료
가. 상시근로자수가 150명 미만인 사업주의 사업: 1만분의 ( ㄱ )
나. ～ 라. &lt;생략&gt;
2. 실업급여의 보험료율: 1천분의 ( ㄴ )</t>
  </si>
  <si>
    <t>국가와 지방자치단체는 사회보장에 대한 민간부문의 참여를 유도할 수 있도록 정책을 개발・시행하고 그 여건을 조성하여야 한다.</t>
  </si>
  <si>
    <t>「우체국예금・보험에 관한 법률」에 따른 우체국보험의 모집을 전업으로 하는 사람</t>
  </si>
  <si>
    <t>가입자가 고의로 질병・부상 또는 그 원인이 되는 사고를 일으켜 그로 인하여 장애를 입은 경우에는 그 장애를 지급 사유로 하는 장애연금을 지급하지 아니할 수 있다.</t>
  </si>
  <si>
    <t>진찰・검사</t>
  </si>
  <si>
    <t>고용보험 및 산업재해보상보험의 보험료징수 등에 관한 법령상 고용안정・직업능력개발사업의 보험료율이다. ( )에 들어갈 알맞은 내용은?
○ 상시근로자수가 150명 이상인 사업주의 사업으로서 우선지원대상기업의 범위에 해당하는 사업: 1만분의 ( ㄱ )
○ 국가・지방자치단체가 직접 하는 사업: 1만분의 ( ㄴ )</t>
  </si>
  <si>
    <t>고용보험료율은 보험수지와 경제상황 등을 고려하여 100분의 30의 범위에서 고용안정・직업능력개발사업의 보험료율 및 실업급여의 보험료율로 구분하여 정한다.</t>
  </si>
  <si>
    <t>사업주는 사업의 폐지・종료 등으로 보험관계가 소멸한 때에는 그 보험관계가 소멸한 날부터 14일 이내에 근로자, 예술인 또는 노무제공자에게 지급한 보수총액 등을 근로복지공단에 신고하여야 한다.</t>
  </si>
  <si>
    <t>60, 60</t>
    <phoneticPr fontId="2" type="noConversion"/>
  </si>
  <si>
    <t>70, 60</t>
    <phoneticPr fontId="2" type="noConversion"/>
  </si>
  <si>
    <t>고용보험법상 훈련연장급여에 관한 내용이다. ( )에 들어갈 숫자를 순서대로 옳게 나열한 것은?
제54조(연장급여의 수급기간 및 구직급여일액) ① &lt;중략&gt;
② 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t>
    <phoneticPr fontId="2" type="noConversion"/>
  </si>
  <si>
    <t>산업재해보상보험법상 직장복귀지원금 등에 관한 것이다. ( )에 들어갈 숫자로 옳은 것은?
제75조(직장복귀지원금 등) ① &lt;중략&gt;
② 제1항에 따른 직장복귀지원금은 고용노동부장관이 임금수준 및 노동시장의 여건 등을 고려하여 고시하는 금액의 범위에서 사업주가 장해급여자에게 지급한 임금액으로 하되, 그 지급기간은 (ㄱ)개월 이내로 한다.
③ 제1항에 따른 직장적응훈련비 및 재활운동비는 고용노동부장관이 직장적응훈련 또는 재활운동에 드는 비용을 고려하여 고시하는 금액의 범위에서 실제 드는 비용으로 하되, 그 지급기간은 (ㄴ)개월 이내로 한다.</t>
    <phoneticPr fontId="2" type="noConversion"/>
  </si>
  <si>
    <t>ㄱ: 3, ㄴ: 3</t>
    <phoneticPr fontId="2" type="noConversion"/>
  </si>
  <si>
    <t>ㄱ: 3, ㄴ: 6</t>
    <phoneticPr fontId="2" type="noConversion"/>
  </si>
  <si>
    <t>ㄱ: 6, ㄴ: 6</t>
    <phoneticPr fontId="2" type="noConversion"/>
  </si>
  <si>
    <t>ㄱ: 6, ㄴ: 12</t>
    <phoneticPr fontId="2" type="noConversion"/>
  </si>
  <si>
    <t>국민연금법령상 연금보험료 등의 독촉에 관한 내용이다. ( )에 들어갈 내용은?
제64조(연금보험료 등의 독촉) ① 국민건강보험공단은 법 제95조제1항에 따라 사업장가입자의 연금보험료와 그에 따른 징수금의 납부를 독촉할 때에는 납부기한이 지난 후 (ㄱ) 이내에 해당 사업장가입자의 사용자에게 독촉장을 발부하여야 한다.
② 국민건강보험공단은 법 제95조제1항에 따라 지역가입자의 연금보험료와 그에 따른 징수금의 납부를 독촉할 때에는 납부 기한이 지난 후 (ㄴ) 이내에 해당 가입자에게 독촉장을 발부하여야 한다.
③ 국민건강보험공단은 법 제95조제1항에 따라 제2차 납부의무자의 연금보험료, 연체금, 체납처분비의 납부를 독촉할 때에는 납부 기한이 지난 후 (ㄷ) 이내에 제2차 납부의무자에게 독촉장을 발부하여야 한다.</t>
    <phoneticPr fontId="2" type="noConversion"/>
  </si>
  <si>
    <t>ㄱ: 10일, ㄴ: 1개월, ㄷ: 10일</t>
    <phoneticPr fontId="2" type="noConversion"/>
  </si>
  <si>
    <t>ㄱ: 20일, ㄴ: 1개월, ㄷ: 20일</t>
    <phoneticPr fontId="2" type="noConversion"/>
  </si>
  <si>
    <t>ㄱ: 20일, ㄴ: 3개월, ㄷ: 20일</t>
    <phoneticPr fontId="2" type="noConversion"/>
  </si>
  <si>
    <t>국민연금법상 다음 ( )에 들어갈 숫자의 합은?
제64조(분할연금 수급권자 등) ① 혼인 기간이 ( )년 이상인 자가 다음 각 호의 요건을 모두 갖추면 그때부터 그가 생존하는 동안 배우자였던 자의 노령연금을 분할한 일정한 금액의 여금(이하 "분할연금"이라 한다)을 받을 수 있다.
1. 배우자와 이혼하였을 것
2. 배우자였던 사람이 노령연금 수급권자일 것
3. 60세가 되었을 것
&lt;중략&gt;
③ 제1항에 따른 분할연금은 제1항 각 호의 요건을 모두 갖추게 된 때부터 ( )년 이내에 청구하여야 한다.</t>
    <phoneticPr fontId="2" type="noConversion"/>
  </si>
  <si>
    <t>고용보험 및 산업재해보상보험의 보험료징수 등에 관한 법령상 상시근로자수가 150명 미만인 사업주의 사업의 고용안정・직업능력개발사업의 보험료율은?</t>
    <phoneticPr fontId="2" type="noConversion"/>
  </si>
  <si>
    <t>Ⅴ</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</si>
</sst>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7">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style="thin">
        <color indexed="64"/>
      </right>
      <top/>
      <bottom style="dotted">
        <color rgb="FFA6A6A6"/>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indexed="64"/>
      </left>
      <right/>
      <top/>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medium">
        <color indexed="64"/>
      </left>
      <right style="thin">
        <color auto="1"/>
      </right>
      <top/>
      <bottom style="medium">
        <color indexed="64"/>
      </bottom>
      <diagonal/>
    </border>
    <border>
      <left style="thin">
        <color indexed="64"/>
      </left>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right/>
      <top/>
      <bottom style="medium">
        <color indexed="64"/>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dotted">
        <color rgb="FFA6A6A6"/>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auto="1"/>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03">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8" xfId="0" applyFont="1" applyFill="1" applyBorder="1" applyAlignment="1">
      <alignment horizontal="center" vertical="top"/>
    </xf>
    <xf numFmtId="0" fontId="4" fillId="2" borderId="29"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7" xfId="0" quotePrefix="1" applyFont="1" applyFill="1" applyBorder="1" applyAlignment="1">
      <alignment horizontal="center" vertical="top"/>
    </xf>
    <xf numFmtId="0" fontId="5" fillId="3" borderId="27" xfId="0"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5" fillId="3" borderId="24" xfId="0" quotePrefix="1" applyFont="1" applyFill="1" applyBorder="1" applyAlignment="1">
      <alignment horizontal="center"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5" fillId="0" borderId="0" xfId="0" applyFont="1" applyAlignment="1">
      <alignment vertical="top"/>
    </xf>
    <xf numFmtId="0" fontId="5" fillId="0" borderId="0" xfId="0" applyFont="1" applyAlignment="1">
      <alignment horizontal="left"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4" fillId="2" borderId="42" xfId="0" applyFont="1" applyFill="1" applyBorder="1" applyAlignment="1">
      <alignment horizontal="center" vertical="top"/>
    </xf>
    <xf numFmtId="0" fontId="11" fillId="5" borderId="9" xfId="0" applyFont="1" applyFill="1" applyBorder="1" applyAlignment="1">
      <alignment vertical="top" wrapText="1"/>
    </xf>
    <xf numFmtId="0" fontId="11" fillId="3" borderId="43" xfId="0" applyFont="1" applyFill="1" applyBorder="1" applyAlignment="1">
      <alignment vertical="top"/>
    </xf>
    <xf numFmtId="0" fontId="5" fillId="0" borderId="23" xfId="0" applyFont="1" applyBorder="1" applyAlignment="1">
      <alignment horizontal="center" vertical="top"/>
    </xf>
    <xf numFmtId="0" fontId="5" fillId="0" borderId="45"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46" xfId="4" applyNumberFormat="1" applyFont="1" applyFill="1" applyBorder="1" applyAlignment="1">
      <alignment horizontal="center" vertical="top"/>
    </xf>
    <xf numFmtId="49" fontId="5" fillId="0" borderId="46"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6" xfId="4" applyNumberFormat="1" applyFont="1" applyFill="1" applyBorder="1" applyAlignment="1">
      <alignment horizontal="center" vertical="top" wrapText="1"/>
    </xf>
    <xf numFmtId="0" fontId="12" fillId="5" borderId="12" xfId="0" applyFont="1" applyFill="1" applyBorder="1" applyAlignment="1">
      <alignment vertical="top" wrapText="1"/>
    </xf>
    <xf numFmtId="0" fontId="13" fillId="3" borderId="47" xfId="0" applyFont="1" applyFill="1" applyBorder="1" applyAlignment="1">
      <alignment vertical="top"/>
    </xf>
    <xf numFmtId="0" fontId="11" fillId="3" borderId="37" xfId="0" applyFont="1" applyFill="1" applyBorder="1" applyAlignment="1">
      <alignment vertical="top"/>
    </xf>
    <xf numFmtId="0" fontId="5" fillId="0" borderId="14" xfId="0" applyFont="1" applyBorder="1" applyAlignment="1">
      <alignment horizontal="center" vertical="top"/>
    </xf>
    <xf numFmtId="0" fontId="5" fillId="0" borderId="49"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50" xfId="4" applyNumberFormat="1" applyFont="1" applyFill="1" applyBorder="1" applyAlignment="1">
      <alignment horizontal="center" vertical="top"/>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0" xfId="4" applyNumberFormat="1" applyFont="1" applyFill="1" applyBorder="1" applyAlignment="1">
      <alignment horizontal="center" vertical="top" wrapText="1"/>
    </xf>
    <xf numFmtId="0" fontId="12" fillId="5" borderId="52" xfId="0" applyFont="1" applyFill="1" applyBorder="1" applyAlignment="1">
      <alignment vertical="top" wrapText="1"/>
    </xf>
    <xf numFmtId="0" fontId="13" fillId="3" borderId="53" xfId="0" applyFont="1" applyFill="1" applyBorder="1" applyAlignment="1">
      <alignment vertical="top"/>
    </xf>
    <xf numFmtId="0" fontId="5" fillId="0" borderId="55"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0" fontId="5" fillId="0" borderId="58"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9" xfId="4" applyNumberFormat="1" applyFont="1" applyFill="1" applyBorder="1" applyAlignment="1">
      <alignment horizontal="center" vertical="top"/>
    </xf>
    <xf numFmtId="49" fontId="5" fillId="0" borderId="59"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14" fontId="5" fillId="0" borderId="59" xfId="4" applyNumberFormat="1" applyFont="1" applyFill="1" applyBorder="1" applyAlignment="1">
      <alignment horizontal="center" vertical="top" wrapText="1"/>
    </xf>
    <xf numFmtId="14" fontId="5" fillId="0" borderId="50" xfId="4" applyNumberFormat="1" applyFont="1" applyFill="1" applyBorder="1" applyAlignment="1">
      <alignment horizontal="center" vertical="top" wrapText="1"/>
    </xf>
    <xf numFmtId="0" fontId="5" fillId="0" borderId="59" xfId="4" applyNumberFormat="1" applyFont="1" applyFill="1" applyBorder="1" applyAlignment="1">
      <alignment horizontal="center" vertical="top" wrapText="1"/>
    </xf>
    <xf numFmtId="0" fontId="13" fillId="3" borderId="60" xfId="0" applyFont="1" applyFill="1" applyBorder="1" applyAlignment="1">
      <alignment vertical="top"/>
    </xf>
    <xf numFmtId="0" fontId="5" fillId="0" borderId="56" xfId="4" applyNumberFormat="1"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4" fillId="5" borderId="9" xfId="0" applyFont="1" applyFill="1" applyBorder="1" applyAlignment="1">
      <alignment vertical="top" wrapText="1"/>
    </xf>
    <xf numFmtId="0" fontId="3" fillId="3" borderId="63" xfId="0" applyFont="1" applyFill="1" applyBorder="1" applyAlignment="1">
      <alignment horizontal="center" vertical="top" wrapText="1"/>
    </xf>
    <xf numFmtId="0" fontId="3" fillId="0" borderId="64" xfId="0" applyFont="1" applyBorder="1" applyAlignment="1">
      <alignment horizontal="center" vertical="top" wrapText="1"/>
    </xf>
    <xf numFmtId="0" fontId="15"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65" xfId="0" applyFont="1" applyBorder="1" applyAlignment="1">
      <alignment horizontal="center" vertical="top" wrapText="1"/>
    </xf>
    <xf numFmtId="0" fontId="3" fillId="3" borderId="66" xfId="0" applyFont="1" applyFill="1" applyBorder="1" applyAlignment="1">
      <alignment horizontal="center" vertical="top" wrapText="1"/>
    </xf>
    <xf numFmtId="0" fontId="3" fillId="0" borderId="67" xfId="0" applyFont="1" applyBorder="1" applyAlignment="1">
      <alignment horizontal="center" vertical="top" wrapText="1"/>
    </xf>
    <xf numFmtId="0" fontId="11" fillId="5" borderId="12" xfId="0" applyFont="1" applyFill="1" applyBorder="1" applyAlignment="1">
      <alignment vertical="top" wrapText="1"/>
    </xf>
    <xf numFmtId="0" fontId="13" fillId="3" borderId="0" xfId="0" applyFont="1" applyFill="1" applyAlignment="1">
      <alignment vertical="top"/>
    </xf>
    <xf numFmtId="14" fontId="5" fillId="0" borderId="46" xfId="4" applyNumberFormat="1" applyFont="1" applyFill="1" applyBorder="1" applyAlignment="1">
      <alignment horizontal="center" vertical="top" wrapText="1"/>
    </xf>
    <xf numFmtId="0" fontId="11" fillId="0" borderId="44" xfId="0" applyFont="1" applyBorder="1" applyAlignment="1">
      <alignment vertical="top"/>
    </xf>
    <xf numFmtId="0" fontId="11" fillId="0" borderId="24" xfId="0" applyFont="1" applyBorder="1" applyAlignment="1">
      <alignment horizontal="center" vertical="top"/>
    </xf>
    <xf numFmtId="0" fontId="11" fillId="0" borderId="25" xfId="0" applyFont="1" applyBorder="1" applyAlignment="1">
      <alignment vertical="top"/>
    </xf>
    <xf numFmtId="0" fontId="11" fillId="0" borderId="48" xfId="0" applyFont="1" applyBorder="1" applyAlignment="1">
      <alignment vertical="top"/>
    </xf>
    <xf numFmtId="0" fontId="11" fillId="0" borderId="6" xfId="0" applyFont="1" applyBorder="1" applyAlignment="1">
      <alignment horizontal="center" vertical="top"/>
    </xf>
    <xf numFmtId="0" fontId="11" fillId="0" borderId="15" xfId="0" applyFont="1" applyBorder="1" applyAlignment="1">
      <alignment vertical="top"/>
    </xf>
    <xf numFmtId="0" fontId="5" fillId="0" borderId="68" xfId="0" applyFont="1" applyBorder="1" applyAlignment="1">
      <alignment vertical="top"/>
    </xf>
    <xf numFmtId="0" fontId="5" fillId="0" borderId="19" xfId="0" applyFont="1" applyBorder="1" applyAlignment="1">
      <alignment vertical="top"/>
    </xf>
    <xf numFmtId="0" fontId="11" fillId="0" borderId="6" xfId="0" quotePrefix="1" applyFont="1" applyBorder="1" applyAlignment="1">
      <alignment horizontal="center" vertical="top"/>
    </xf>
    <xf numFmtId="0" fontId="11" fillId="0" borderId="51" xfId="0" applyFont="1" applyBorder="1" applyAlignment="1">
      <alignment vertical="top"/>
    </xf>
    <xf numFmtId="0" fontId="5" fillId="0" borderId="57" xfId="0" applyFont="1" applyBorder="1" applyAlignment="1">
      <alignment vertical="top"/>
    </xf>
    <xf numFmtId="0" fontId="5" fillId="0" borderId="54" xfId="0" applyFont="1" applyBorder="1" applyAlignment="1">
      <alignment vertical="top"/>
    </xf>
    <xf numFmtId="0" fontId="5" fillId="0" borderId="22" xfId="0" applyFont="1" applyBorder="1" applyAlignment="1">
      <alignment vertical="top"/>
    </xf>
    <xf numFmtId="0" fontId="11" fillId="0" borderId="24" xfId="0" quotePrefix="1" applyFont="1" applyBorder="1" applyAlignment="1">
      <alignment horizontal="center" vertical="top"/>
    </xf>
    <xf numFmtId="0" fontId="5" fillId="0" borderId="24" xfId="0" applyFont="1" applyBorder="1" applyAlignment="1">
      <alignment horizontal="center" vertical="top"/>
    </xf>
    <xf numFmtId="0" fontId="5" fillId="0" borderId="6" xfId="0" applyFont="1" applyBorder="1" applyAlignment="1">
      <alignment horizontal="center" vertical="top"/>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3" fillId="0" borderId="0" xfId="0" applyFont="1" applyAlignment="1">
      <alignment vertical="top"/>
    </xf>
    <xf numFmtId="0" fontId="4" fillId="2" borderId="43" xfId="0" applyFont="1" applyFill="1" applyBorder="1" applyAlignment="1">
      <alignment horizontal="center" vertical="top"/>
    </xf>
    <xf numFmtId="0" fontId="5" fillId="0" borderId="63" xfId="0" applyFont="1" applyBorder="1" applyAlignment="1">
      <alignment vertical="top"/>
    </xf>
    <xf numFmtId="178" fontId="5" fillId="0" borderId="63" xfId="0" applyNumberFormat="1" applyFont="1" applyBorder="1" applyAlignment="1">
      <alignment vertical="top"/>
    </xf>
    <xf numFmtId="0" fontId="5" fillId="0" borderId="69" xfId="0" applyFont="1" applyBorder="1" applyAlignment="1">
      <alignment horizontal="center" vertical="top" wrapText="1"/>
    </xf>
    <xf numFmtId="0" fontId="5" fillId="0" borderId="1" xfId="0" applyFont="1" applyBorder="1" applyAlignment="1">
      <alignment vertical="top"/>
    </xf>
    <xf numFmtId="178" fontId="5" fillId="0" borderId="1" xfId="0" applyNumberFormat="1" applyFont="1" applyBorder="1" applyAlignment="1">
      <alignment vertical="top"/>
    </xf>
    <xf numFmtId="0" fontId="5" fillId="0" borderId="70" xfId="0" applyFont="1" applyBorder="1" applyAlignment="1">
      <alignment horizontal="center" vertical="top" wrapText="1"/>
    </xf>
    <xf numFmtId="0" fontId="12" fillId="5" borderId="71" xfId="0" applyFont="1" applyFill="1" applyBorder="1" applyAlignment="1">
      <alignment vertical="top" wrapText="1"/>
    </xf>
    <xf numFmtId="0" fontId="11" fillId="5" borderId="72" xfId="0" applyFont="1" applyFill="1" applyBorder="1" applyAlignment="1">
      <alignment horizontal="center" vertical="top"/>
    </xf>
    <xf numFmtId="178" fontId="11" fillId="5" borderId="66" xfId="0" applyNumberFormat="1" applyFont="1" applyFill="1" applyBorder="1" applyAlignment="1">
      <alignment vertical="top"/>
    </xf>
    <xf numFmtId="0" fontId="11" fillId="5" borderId="73" xfId="0" applyFont="1" applyFill="1" applyBorder="1" applyAlignment="1">
      <alignment horizontal="center" vertical="top" wrapText="1"/>
    </xf>
    <xf numFmtId="0" fontId="12" fillId="5" borderId="75" xfId="0" applyFont="1" applyFill="1" applyBorder="1" applyAlignment="1">
      <alignment vertical="top" wrapText="1"/>
    </xf>
    <xf numFmtId="0" fontId="11" fillId="5" borderId="61" xfId="0" applyFont="1" applyFill="1" applyBorder="1" applyAlignment="1">
      <alignment vertical="top" wrapText="1"/>
    </xf>
    <xf numFmtId="0" fontId="5" fillId="6" borderId="76" xfId="0" applyFont="1" applyFill="1" applyBorder="1" applyAlignment="1">
      <alignment vertical="top"/>
    </xf>
    <xf numFmtId="0" fontId="11" fillId="6" borderId="77" xfId="0" applyFont="1" applyFill="1" applyBorder="1" applyAlignment="1">
      <alignment horizontal="center" vertical="top"/>
    </xf>
    <xf numFmtId="178" fontId="11" fillId="6" borderId="78" xfId="0" applyNumberFormat="1" applyFont="1" applyFill="1" applyBorder="1" applyAlignment="1">
      <alignment vertical="top"/>
    </xf>
    <xf numFmtId="0" fontId="11" fillId="6" borderId="79" xfId="0" applyFont="1" applyFill="1" applyBorder="1" applyAlignment="1">
      <alignment horizontal="left" vertical="top"/>
    </xf>
    <xf numFmtId="178" fontId="5" fillId="0" borderId="2" xfId="0" applyNumberFormat="1" applyFont="1" applyBorder="1" applyAlignment="1">
      <alignment vertical="top"/>
    </xf>
    <xf numFmtId="0" fontId="5" fillId="0" borderId="74" xfId="0" applyFont="1" applyBorder="1" applyAlignment="1">
      <alignment horizontal="center" vertical="top" wrapText="1"/>
    </xf>
    <xf numFmtId="0" fontId="4" fillId="2" borderId="10"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61" xfId="0" applyFont="1" applyFill="1" applyBorder="1" applyAlignment="1">
      <alignment horizontal="center" vertical="top" wrapText="1"/>
    </xf>
    <xf numFmtId="0" fontId="4" fillId="2" borderId="62" xfId="0" applyFont="1" applyFill="1" applyBorder="1" applyAlignment="1">
      <alignment horizontal="center"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93B78-7218-4183-AAC8-54EBEA37E050}">
  <sheetPr codeName="Sheet1">
    <tabColor rgb="FFFFFF00"/>
  </sheetPr>
  <dimension ref="B2:C16"/>
  <sheetViews>
    <sheetView workbookViewId="0">
      <selection activeCell="C3" sqref="C3"/>
    </sheetView>
  </sheetViews>
  <sheetFormatPr defaultRowHeight="14.45" customHeight="1" x14ac:dyDescent="0.2"/>
  <cols>
    <col min="1" max="1" width="1.7109375" style="87" customWidth="1"/>
    <col min="2" max="2" width="15" style="87" customWidth="1"/>
    <col min="3" max="3" width="9.140625" style="89"/>
    <col min="4" max="16384" width="9.140625" style="87"/>
  </cols>
  <sheetData>
    <row r="2" spans="2:3" ht="14.45" customHeight="1" x14ac:dyDescent="0.2">
      <c r="B2" s="86" t="s">
        <v>2467</v>
      </c>
      <c r="C2" s="86" t="s">
        <v>2468</v>
      </c>
    </row>
    <row r="3" spans="2:3" ht="14.45" customHeight="1" x14ac:dyDescent="0.2">
      <c r="B3" s="88" t="s">
        <v>2469</v>
      </c>
      <c r="C3" s="88" t="s">
        <v>2734</v>
      </c>
    </row>
    <row r="5" spans="2:3" ht="14.45" customHeight="1" x14ac:dyDescent="0.2">
      <c r="B5" s="86" t="s">
        <v>2470</v>
      </c>
    </row>
    <row r="6" spans="2:3" ht="14.45" customHeight="1" x14ac:dyDescent="0.2">
      <c r="B6" s="88" t="s">
        <v>2471</v>
      </c>
    </row>
    <row r="7" spans="2:3" ht="14.45" customHeight="1" x14ac:dyDescent="0.2">
      <c r="B7" s="88" t="s">
        <v>2472</v>
      </c>
    </row>
    <row r="8" spans="2:3" ht="14.45" customHeight="1" x14ac:dyDescent="0.2">
      <c r="B8" s="88" t="s">
        <v>2473</v>
      </c>
    </row>
    <row r="9" spans="2:3" ht="14.45" customHeight="1" x14ac:dyDescent="0.2">
      <c r="B9" s="88" t="s">
        <v>2474</v>
      </c>
    </row>
    <row r="10" spans="2:3" ht="14.45" customHeight="1" x14ac:dyDescent="0.2">
      <c r="B10" s="88" t="s">
        <v>2475</v>
      </c>
    </row>
    <row r="11" spans="2:3" ht="14.45" customHeight="1" x14ac:dyDescent="0.2">
      <c r="B11" s="88" t="s">
        <v>2476</v>
      </c>
    </row>
    <row r="13" spans="2:3" ht="14.45" customHeight="1" x14ac:dyDescent="0.2">
      <c r="B13" s="86" t="s">
        <v>2477</v>
      </c>
    </row>
    <row r="14" spans="2:3" ht="14.45" customHeight="1" x14ac:dyDescent="0.2">
      <c r="B14" s="88" t="s">
        <v>2478</v>
      </c>
    </row>
    <row r="15" spans="2:3" ht="14.45" customHeight="1" x14ac:dyDescent="0.2">
      <c r="B15" s="88" t="s">
        <v>2479</v>
      </c>
    </row>
    <row r="16" spans="2:3" ht="14.45" customHeight="1" x14ac:dyDescent="0.2">
      <c r="B16" s="88" t="s">
        <v>2480</v>
      </c>
    </row>
  </sheetData>
  <phoneticPr fontId="2" type="noConversion"/>
  <dataValidations count="1">
    <dataValidation type="list" allowBlank="1" showInputMessage="1" showErrorMessage="1" sqref="C3" xr:uid="{4B7DE622-0EA8-437F-B1EE-D57FD16E4D5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3501B-B580-445F-8D94-64B2E520EFDC}">
  <sheetPr codeName="Sheet18" filterMode="1">
    <pageSetUpPr fitToPage="1"/>
  </sheetPr>
  <dimension ref="B1:N123"/>
  <sheetViews>
    <sheetView showGridLines="0" zoomScaleNormal="100" workbookViewId="0">
      <pane ySplit="3" topLeftCell="A52" activePane="bottomLeft" state="frozen"/>
      <selection activeCell="K25" sqref="K25"/>
      <selection pane="bottomLeft" activeCell="H106" sqref="H106:H122"/>
    </sheetView>
  </sheetViews>
  <sheetFormatPr defaultRowHeight="14.45" customHeight="1" x14ac:dyDescent="0.2"/>
  <cols>
    <col min="1" max="1" width="1.28515625" style="90" customWidth="1"/>
    <col min="2" max="2" width="33.7109375" style="90" customWidth="1"/>
    <col min="3" max="3" width="38.7109375" style="90" customWidth="1"/>
    <col min="4" max="4" width="4.7109375" style="84" customWidth="1"/>
    <col min="5" max="5" width="47.7109375" style="90" customWidth="1"/>
    <col min="6" max="6" width="3.28515625" style="90" customWidth="1"/>
    <col min="7" max="7" width="84.7109375" style="90" customWidth="1"/>
    <col min="8" max="8" width="4.42578125" style="91" customWidth="1"/>
    <col min="9" max="9" width="7" style="91" customWidth="1"/>
    <col min="10" max="10" width="3.28515625" style="84" customWidth="1"/>
    <col min="11" max="11" width="19.7109375" style="84" customWidth="1"/>
    <col min="12" max="13" width="5.7109375" style="84" customWidth="1"/>
    <col min="14" max="14" width="6.28515625" style="84" customWidth="1"/>
    <col min="15" max="16384" width="9.140625" style="90"/>
  </cols>
  <sheetData>
    <row r="1" spans="2:14" ht="14.45" customHeight="1" thickBot="1" x14ac:dyDescent="0.25"/>
    <row r="2" spans="2:14" ht="14.45" customHeight="1" x14ac:dyDescent="0.2">
      <c r="B2" s="196" t="s">
        <v>2481</v>
      </c>
      <c r="C2" s="197"/>
      <c r="D2" s="198" t="s">
        <v>2482</v>
      </c>
      <c r="E2" s="199"/>
      <c r="F2" s="199"/>
      <c r="G2" s="200"/>
      <c r="H2" s="199" t="s">
        <v>2483</v>
      </c>
      <c r="I2" s="200"/>
      <c r="J2" s="92" t="s">
        <v>2484</v>
      </c>
      <c r="K2" s="92" t="s">
        <v>41</v>
      </c>
      <c r="L2" s="198" t="s">
        <v>2485</v>
      </c>
      <c r="M2" s="200"/>
      <c r="N2" s="92" t="s">
        <v>2486</v>
      </c>
    </row>
    <row r="3" spans="2:14" ht="14.45" customHeight="1" thickBot="1" x14ac:dyDescent="0.25">
      <c r="B3" s="93" t="s">
        <v>2487</v>
      </c>
      <c r="C3" s="94" t="s">
        <v>2488</v>
      </c>
      <c r="D3" s="95" t="s">
        <v>2470</v>
      </c>
      <c r="E3" s="94" t="s">
        <v>2489</v>
      </c>
      <c r="F3" s="96"/>
      <c r="G3" s="97" t="s">
        <v>2490</v>
      </c>
      <c r="H3" s="98" t="s">
        <v>2471</v>
      </c>
      <c r="I3" s="97" t="s">
        <v>2491</v>
      </c>
      <c r="J3" s="99"/>
      <c r="K3" s="99"/>
      <c r="L3" s="93" t="s">
        <v>2492</v>
      </c>
      <c r="M3" s="97" t="s">
        <v>2493</v>
      </c>
      <c r="N3" s="99"/>
    </row>
    <row r="4" spans="2:14" ht="14.45" customHeight="1" x14ac:dyDescent="0.2">
      <c r="B4" s="100" t="s">
        <v>2529</v>
      </c>
      <c r="C4" s="101" t="s">
        <v>2985</v>
      </c>
      <c r="D4" s="102" t="s">
        <v>2629</v>
      </c>
      <c r="E4" s="155" t="s">
        <v>2498</v>
      </c>
      <c r="F4" s="156"/>
      <c r="G4" s="157" t="s">
        <v>2987</v>
      </c>
      <c r="H4" s="103" t="s">
        <v>2674</v>
      </c>
      <c r="I4" s="104"/>
      <c r="J4" s="105"/>
      <c r="K4" s="106"/>
      <c r="L4" s="107"/>
      <c r="M4" s="108"/>
      <c r="N4" s="109" t="str">
        <f>B4&amp;"-"&amp;C4&amp;"-"&amp;F4</f>
        <v>제01장 사회보장기본법-제01절 사회보장기본법의 서설-</v>
      </c>
    </row>
    <row r="5" spans="2:14" ht="14.45" hidden="1" customHeight="1" x14ac:dyDescent="0.2">
      <c r="B5" s="110" t="s">
        <v>2528</v>
      </c>
      <c r="C5" s="111" t="s">
        <v>2986</v>
      </c>
      <c r="D5" s="29"/>
      <c r="E5" s="161"/>
      <c r="F5" s="30"/>
      <c r="G5" s="162"/>
      <c r="H5" s="130"/>
      <c r="I5" s="131"/>
      <c r="J5" s="132"/>
      <c r="K5" s="133"/>
      <c r="L5" s="134"/>
      <c r="M5" s="135"/>
      <c r="N5" s="138" t="str">
        <f>B5&amp;"-"&amp;C5&amp;"-"&amp;F5</f>
        <v>제01장 사회보장기본법-제01절 사회보장기본법의 서설-</v>
      </c>
    </row>
    <row r="6" spans="2:14" ht="14.45" customHeight="1" x14ac:dyDescent="0.2">
      <c r="B6" s="110" t="s">
        <v>2528</v>
      </c>
      <c r="C6" s="112" t="s">
        <v>2531</v>
      </c>
      <c r="D6" s="113" t="s">
        <v>2628</v>
      </c>
      <c r="E6" s="158" t="s">
        <v>2498</v>
      </c>
      <c r="F6" s="159"/>
      <c r="G6" s="160" t="s">
        <v>2630</v>
      </c>
      <c r="H6" s="114" t="s">
        <v>2675</v>
      </c>
      <c r="I6" s="115"/>
      <c r="J6" s="116"/>
      <c r="K6" s="117"/>
      <c r="L6" s="118"/>
      <c r="M6" s="119"/>
      <c r="N6" s="120" t="str">
        <f t="shared" ref="N6:N69" si="0">B6&amp;"-"&amp;C6&amp;"-"&amp;F6</f>
        <v>제01장 사회보장기본법-제02절 사회보장의 책임-</v>
      </c>
    </row>
    <row r="7" spans="2:14" ht="14.45" hidden="1" customHeight="1" x14ac:dyDescent="0.2">
      <c r="B7" s="110" t="s">
        <v>2528</v>
      </c>
      <c r="C7" s="111" t="s">
        <v>2530</v>
      </c>
      <c r="D7" s="29"/>
      <c r="E7" s="161"/>
      <c r="F7" s="31"/>
      <c r="G7" s="162"/>
      <c r="H7" s="130"/>
      <c r="I7" s="131"/>
      <c r="J7" s="132"/>
      <c r="K7" s="133"/>
      <c r="L7" s="134"/>
      <c r="M7" s="135"/>
      <c r="N7" s="136" t="str">
        <f t="shared" si="0"/>
        <v>제01장 사회보장기본법-제02절 사회보장의 책임-</v>
      </c>
    </row>
    <row r="8" spans="2:14" ht="14.45" customHeight="1" x14ac:dyDescent="0.2">
      <c r="B8" s="110" t="s">
        <v>2528</v>
      </c>
      <c r="C8" s="112" t="s">
        <v>2533</v>
      </c>
      <c r="D8" s="113" t="s">
        <v>2628</v>
      </c>
      <c r="E8" s="158" t="s">
        <v>2498</v>
      </c>
      <c r="F8" s="163"/>
      <c r="G8" s="160" t="s">
        <v>2631</v>
      </c>
      <c r="H8" s="114" t="s">
        <v>2676</v>
      </c>
      <c r="I8" s="115"/>
      <c r="J8" s="116"/>
      <c r="K8" s="117"/>
      <c r="L8" s="118"/>
      <c r="M8" s="119"/>
      <c r="N8" s="120" t="str">
        <f t="shared" si="0"/>
        <v>제01장 사회보장기본법-제03절 사회보장을 받을 권리(사회보장수급권)-</v>
      </c>
    </row>
    <row r="9" spans="2:14" ht="14.45" hidden="1" customHeight="1" x14ac:dyDescent="0.2">
      <c r="B9" s="110" t="s">
        <v>2528</v>
      </c>
      <c r="C9" s="111" t="s">
        <v>2532</v>
      </c>
      <c r="D9" s="29"/>
      <c r="E9" s="161"/>
      <c r="F9" s="31"/>
      <c r="G9" s="162"/>
      <c r="H9" s="130"/>
      <c r="I9" s="131"/>
      <c r="J9" s="132"/>
      <c r="K9" s="133"/>
      <c r="L9" s="134"/>
      <c r="M9" s="135"/>
      <c r="N9" s="136" t="str">
        <f t="shared" si="0"/>
        <v>제01장 사회보장기본법-제03절 사회보장을 받을 권리(사회보장수급권)-</v>
      </c>
    </row>
    <row r="10" spans="2:14" ht="14.45" customHeight="1" x14ac:dyDescent="0.2">
      <c r="B10" s="110" t="s">
        <v>2528</v>
      </c>
      <c r="C10" s="112" t="s">
        <v>2535</v>
      </c>
      <c r="D10" s="113" t="s">
        <v>2628</v>
      </c>
      <c r="E10" s="164" t="s">
        <v>2498</v>
      </c>
      <c r="F10" s="159"/>
      <c r="G10" s="160" t="s">
        <v>2632</v>
      </c>
      <c r="H10" s="114" t="s">
        <v>2677</v>
      </c>
      <c r="I10" s="115"/>
      <c r="J10" s="116"/>
      <c r="K10" s="117"/>
      <c r="L10" s="118"/>
      <c r="M10" s="119"/>
      <c r="N10" s="120" t="str">
        <f t="shared" si="0"/>
        <v>제01장 사회보장기본법-제04절 사회보장 계획의 수립-</v>
      </c>
    </row>
    <row r="11" spans="2:14" ht="14.45" hidden="1" customHeight="1" x14ac:dyDescent="0.2">
      <c r="B11" s="110" t="s">
        <v>2528</v>
      </c>
      <c r="C11" s="111" t="s">
        <v>2534</v>
      </c>
      <c r="D11" s="29"/>
      <c r="E11" s="165"/>
      <c r="F11" s="31"/>
      <c r="G11" s="162"/>
      <c r="H11" s="130"/>
      <c r="I11" s="131"/>
      <c r="J11" s="132"/>
      <c r="K11" s="133"/>
      <c r="L11" s="134"/>
      <c r="M11" s="135"/>
      <c r="N11" s="136" t="str">
        <f t="shared" si="0"/>
        <v>제01장 사회보장기본법-제04절 사회보장 계획의 수립-</v>
      </c>
    </row>
    <row r="12" spans="2:14" ht="14.45" customHeight="1" x14ac:dyDescent="0.2">
      <c r="B12" s="110" t="s">
        <v>2528</v>
      </c>
      <c r="C12" s="112" t="s">
        <v>2537</v>
      </c>
      <c r="D12" s="113" t="s">
        <v>2628</v>
      </c>
      <c r="E12" s="164" t="s">
        <v>2498</v>
      </c>
      <c r="F12" s="159"/>
      <c r="G12" s="160" t="s">
        <v>2633</v>
      </c>
      <c r="H12" s="114" t="s">
        <v>2678</v>
      </c>
      <c r="I12" s="115"/>
      <c r="J12" s="116"/>
      <c r="K12" s="117"/>
      <c r="L12" s="118"/>
      <c r="M12" s="119"/>
      <c r="N12" s="120" t="str">
        <f t="shared" si="0"/>
        <v>제01장 사회보장기본법-제05절 사회보장위원회-</v>
      </c>
    </row>
    <row r="13" spans="2:14" ht="14.45" hidden="1" customHeight="1" x14ac:dyDescent="0.2">
      <c r="B13" s="110" t="s">
        <v>2528</v>
      </c>
      <c r="C13" s="111" t="s">
        <v>2536</v>
      </c>
      <c r="D13" s="29"/>
      <c r="E13" s="165"/>
      <c r="F13" s="31"/>
      <c r="G13" s="162"/>
      <c r="H13" s="130"/>
      <c r="I13" s="131"/>
      <c r="J13" s="132"/>
      <c r="K13" s="133"/>
      <c r="L13" s="134"/>
      <c r="M13" s="135"/>
      <c r="N13" s="136" t="str">
        <f t="shared" si="0"/>
        <v>제01장 사회보장기본법-제05절 사회보장위원회-</v>
      </c>
    </row>
    <row r="14" spans="2:14" ht="14.45" customHeight="1" x14ac:dyDescent="0.2">
      <c r="B14" s="110" t="s">
        <v>2528</v>
      </c>
      <c r="C14" s="112" t="s">
        <v>2539</v>
      </c>
      <c r="D14" s="113" t="s">
        <v>2628</v>
      </c>
      <c r="E14" s="164" t="s">
        <v>2498</v>
      </c>
      <c r="F14" s="159"/>
      <c r="G14" s="160" t="s">
        <v>2634</v>
      </c>
      <c r="H14" s="114" t="s">
        <v>2679</v>
      </c>
      <c r="I14" s="115"/>
      <c r="J14" s="116"/>
      <c r="K14" s="117"/>
      <c r="L14" s="118"/>
      <c r="M14" s="119"/>
      <c r="N14" s="120" t="str">
        <f t="shared" si="0"/>
        <v>제01장 사회보장기본법-제06절 사회보장정책의 기본 방향-</v>
      </c>
    </row>
    <row r="15" spans="2:14" ht="14.45" hidden="1" customHeight="1" x14ac:dyDescent="0.2">
      <c r="B15" s="110" t="s">
        <v>2528</v>
      </c>
      <c r="C15" s="111" t="s">
        <v>2538</v>
      </c>
      <c r="D15" s="29"/>
      <c r="E15" s="165"/>
      <c r="F15" s="30"/>
      <c r="G15" s="162"/>
      <c r="H15" s="130"/>
      <c r="I15" s="131"/>
      <c r="J15" s="132"/>
      <c r="K15" s="133"/>
      <c r="L15" s="134"/>
      <c r="M15" s="135"/>
      <c r="N15" s="136" t="str">
        <f t="shared" si="0"/>
        <v>제01장 사회보장기본법-제06절 사회보장정책의 기본 방향-</v>
      </c>
    </row>
    <row r="16" spans="2:14" ht="14.45" customHeight="1" x14ac:dyDescent="0.2">
      <c r="B16" s="110" t="s">
        <v>2528</v>
      </c>
      <c r="C16" s="112" t="s">
        <v>2541</v>
      </c>
      <c r="D16" s="113" t="s">
        <v>2628</v>
      </c>
      <c r="E16" s="164" t="s">
        <v>2498</v>
      </c>
      <c r="F16" s="159"/>
      <c r="G16" s="160" t="s">
        <v>2635</v>
      </c>
      <c r="H16" s="114" t="s">
        <v>2680</v>
      </c>
      <c r="I16" s="115"/>
      <c r="J16" s="116"/>
      <c r="K16" s="117"/>
      <c r="L16" s="118"/>
      <c r="M16" s="119"/>
      <c r="N16" s="120" t="str">
        <f t="shared" si="0"/>
        <v>제01장 사회보장기본법-제07절 사회보장제도의 운영-</v>
      </c>
    </row>
    <row r="17" spans="2:14" ht="14.45" hidden="1" customHeight="1" x14ac:dyDescent="0.2">
      <c r="B17" s="110" t="s">
        <v>2528</v>
      </c>
      <c r="C17" s="111" t="s">
        <v>2540</v>
      </c>
      <c r="D17" s="29"/>
      <c r="E17" s="165"/>
      <c r="F17" s="31"/>
      <c r="G17" s="162"/>
      <c r="H17" s="130"/>
      <c r="I17" s="131"/>
      <c r="J17" s="132"/>
      <c r="K17" s="133"/>
      <c r="L17" s="134"/>
      <c r="M17" s="135"/>
      <c r="N17" s="136" t="str">
        <f t="shared" si="0"/>
        <v>제01장 사회보장기본법-제07절 사회보장제도의 운영-</v>
      </c>
    </row>
    <row r="18" spans="2:14" ht="14.45" customHeight="1" x14ac:dyDescent="0.2">
      <c r="B18" s="110" t="s">
        <v>2528</v>
      </c>
      <c r="C18" s="112" t="s">
        <v>2543</v>
      </c>
      <c r="D18" s="113" t="s">
        <v>2628</v>
      </c>
      <c r="E18" s="164" t="s">
        <v>2498</v>
      </c>
      <c r="F18" s="159"/>
      <c r="G18" s="160" t="s">
        <v>2636</v>
      </c>
      <c r="H18" s="114" t="s">
        <v>2681</v>
      </c>
      <c r="I18" s="115"/>
      <c r="J18" s="116"/>
      <c r="K18" s="117"/>
      <c r="L18" s="118"/>
      <c r="M18" s="119"/>
      <c r="N18" s="120" t="str">
        <f t="shared" si="0"/>
        <v>제01장 사회보장기본법-제08절 사회보장정보의 관리-</v>
      </c>
    </row>
    <row r="19" spans="2:14" ht="14.45" hidden="1" customHeight="1" x14ac:dyDescent="0.2">
      <c r="B19" s="110" t="s">
        <v>2528</v>
      </c>
      <c r="C19" s="111" t="s">
        <v>2542</v>
      </c>
      <c r="D19" s="29"/>
      <c r="E19" s="165"/>
      <c r="F19" s="31"/>
      <c r="G19" s="162"/>
      <c r="H19" s="130"/>
      <c r="I19" s="131"/>
      <c r="J19" s="132"/>
      <c r="K19" s="133"/>
      <c r="L19" s="134"/>
      <c r="M19" s="135"/>
      <c r="N19" s="136" t="str">
        <f t="shared" si="0"/>
        <v>제01장 사회보장기본법-제08절 사회보장정보의 관리-</v>
      </c>
    </row>
    <row r="20" spans="2:14" ht="14.45" customHeight="1" thickBot="1" x14ac:dyDescent="0.25">
      <c r="B20" s="110" t="s">
        <v>2528</v>
      </c>
      <c r="C20" s="112" t="s">
        <v>2990</v>
      </c>
      <c r="D20" s="113" t="s">
        <v>2628</v>
      </c>
      <c r="E20" s="164" t="s">
        <v>2498</v>
      </c>
      <c r="F20" s="163"/>
      <c r="G20" s="160" t="s">
        <v>2988</v>
      </c>
      <c r="H20" s="114" t="s">
        <v>2682</v>
      </c>
      <c r="I20" s="115"/>
      <c r="J20" s="116"/>
      <c r="K20" s="117"/>
      <c r="L20" s="118"/>
      <c r="M20" s="119"/>
      <c r="N20" s="137" t="str">
        <f t="shared" si="0"/>
        <v>제01장 사회보장기본법-제09절 사회보장기본법의 기타-</v>
      </c>
    </row>
    <row r="21" spans="2:14" ht="14.45" hidden="1" customHeight="1" thickBot="1" x14ac:dyDescent="0.25">
      <c r="B21" s="121" t="s">
        <v>2528</v>
      </c>
      <c r="C21" s="122" t="s">
        <v>2991</v>
      </c>
      <c r="D21" s="41"/>
      <c r="E21" s="166"/>
      <c r="F21" s="43"/>
      <c r="G21" s="167"/>
      <c r="H21" s="123"/>
      <c r="I21" s="124"/>
      <c r="J21" s="125"/>
      <c r="K21" s="126"/>
      <c r="L21" s="127"/>
      <c r="M21" s="128"/>
      <c r="N21" s="129" t="str">
        <f t="shared" si="0"/>
        <v>제01장 사회보장기본법-제09절 사회보장기본법의 기타-</v>
      </c>
    </row>
    <row r="22" spans="2:14" ht="14.45" customHeight="1" x14ac:dyDescent="0.2">
      <c r="B22" s="100" t="s">
        <v>2619</v>
      </c>
      <c r="C22" s="101" t="s">
        <v>2993</v>
      </c>
      <c r="D22" s="102" t="s">
        <v>2628</v>
      </c>
      <c r="E22" s="155" t="s">
        <v>2500</v>
      </c>
      <c r="F22" s="168"/>
      <c r="G22" s="157" t="s">
        <v>2995</v>
      </c>
      <c r="H22" s="103" t="s">
        <v>2683</v>
      </c>
      <c r="I22" s="104"/>
      <c r="J22" s="105"/>
      <c r="K22" s="106"/>
      <c r="L22" s="107"/>
      <c r="M22" s="108"/>
      <c r="N22" s="154" t="str">
        <f t="shared" si="0"/>
        <v>제02장 고용보험법-제01절 고용보험법의 서설-</v>
      </c>
    </row>
    <row r="23" spans="2:14" ht="14.45" hidden="1" customHeight="1" x14ac:dyDescent="0.2">
      <c r="B23" s="110" t="s">
        <v>2618</v>
      </c>
      <c r="C23" s="111" t="s">
        <v>2994</v>
      </c>
      <c r="D23" s="29"/>
      <c r="E23" s="165"/>
      <c r="F23" s="31"/>
      <c r="G23" s="162"/>
      <c r="H23" s="130"/>
      <c r="I23" s="131"/>
      <c r="J23" s="132"/>
      <c r="K23" s="133"/>
      <c r="L23" s="134"/>
      <c r="M23" s="135"/>
      <c r="N23" s="136" t="str">
        <f t="shared" si="0"/>
        <v>제02장 고용보험법-제01절 고용보험법의 서설-</v>
      </c>
    </row>
    <row r="24" spans="2:14" ht="14.45" customHeight="1" x14ac:dyDescent="0.2">
      <c r="B24" s="110" t="s">
        <v>2618</v>
      </c>
      <c r="C24" s="112" t="s">
        <v>2545</v>
      </c>
      <c r="D24" s="113" t="s">
        <v>2628</v>
      </c>
      <c r="E24" s="164" t="s">
        <v>2500</v>
      </c>
      <c r="F24" s="163"/>
      <c r="G24" s="160" t="s">
        <v>2637</v>
      </c>
      <c r="H24" s="114" t="s">
        <v>2684</v>
      </c>
      <c r="I24" s="115"/>
      <c r="J24" s="116"/>
      <c r="K24" s="117"/>
      <c r="L24" s="118"/>
      <c r="M24" s="119"/>
      <c r="N24" s="137" t="str">
        <f t="shared" si="0"/>
        <v>제02장 고용보험법-제02절 피보험자의 관리-</v>
      </c>
    </row>
    <row r="25" spans="2:14" ht="14.45" hidden="1" customHeight="1" x14ac:dyDescent="0.2">
      <c r="B25" s="110" t="s">
        <v>2618</v>
      </c>
      <c r="C25" s="111" t="s">
        <v>2544</v>
      </c>
      <c r="D25" s="29"/>
      <c r="E25" s="165"/>
      <c r="F25" s="31"/>
      <c r="G25" s="162"/>
      <c r="H25" s="130"/>
      <c r="I25" s="131"/>
      <c r="J25" s="132"/>
      <c r="K25" s="133"/>
      <c r="L25" s="134"/>
      <c r="M25" s="135"/>
      <c r="N25" s="136" t="str">
        <f t="shared" si="0"/>
        <v>제02장 고용보험법-제02절 피보험자의 관리-</v>
      </c>
    </row>
    <row r="26" spans="2:14" ht="14.45" customHeight="1" x14ac:dyDescent="0.2">
      <c r="B26" s="110" t="s">
        <v>2618</v>
      </c>
      <c r="C26" s="112" t="s">
        <v>2547</v>
      </c>
      <c r="D26" s="113" t="s">
        <v>2628</v>
      </c>
      <c r="E26" s="164" t="s">
        <v>2500</v>
      </c>
      <c r="F26" s="163"/>
      <c r="G26" s="160" t="s">
        <v>2638</v>
      </c>
      <c r="H26" s="114" t="s">
        <v>2685</v>
      </c>
      <c r="I26" s="115"/>
      <c r="J26" s="116"/>
      <c r="K26" s="117"/>
      <c r="L26" s="118"/>
      <c r="M26" s="119"/>
      <c r="N26" s="137" t="str">
        <f t="shared" si="0"/>
        <v>제02장 고용보험법-제03절 고용안정・직업능력개발 사업-</v>
      </c>
    </row>
    <row r="27" spans="2:14" ht="14.45" hidden="1" customHeight="1" x14ac:dyDescent="0.2">
      <c r="B27" s="110" t="s">
        <v>2618</v>
      </c>
      <c r="C27" s="111" t="s">
        <v>2546</v>
      </c>
      <c r="D27" s="29"/>
      <c r="E27" s="165"/>
      <c r="F27" s="31"/>
      <c r="G27" s="162"/>
      <c r="H27" s="130"/>
      <c r="I27" s="131"/>
      <c r="J27" s="132"/>
      <c r="K27" s="133"/>
      <c r="L27" s="134"/>
      <c r="M27" s="135"/>
      <c r="N27" s="136" t="str">
        <f t="shared" si="0"/>
        <v>제02장 고용보험법-제03절 고용안정・직업능력개발 사업-</v>
      </c>
    </row>
    <row r="28" spans="2:14" ht="14.45" customHeight="1" x14ac:dyDescent="0.2">
      <c r="B28" s="110" t="s">
        <v>2618</v>
      </c>
      <c r="C28" s="112" t="s">
        <v>2549</v>
      </c>
      <c r="D28" s="113" t="s">
        <v>2628</v>
      </c>
      <c r="E28" s="164" t="s">
        <v>2500</v>
      </c>
      <c r="F28" s="159"/>
      <c r="G28" s="160" t="s">
        <v>2639</v>
      </c>
      <c r="H28" s="114" t="s">
        <v>2686</v>
      </c>
      <c r="I28" s="115"/>
      <c r="J28" s="116"/>
      <c r="K28" s="117"/>
      <c r="L28" s="118"/>
      <c r="M28" s="119"/>
      <c r="N28" s="120" t="str">
        <f t="shared" si="0"/>
        <v>제02장 고용보험법-제04절 실업급여-</v>
      </c>
    </row>
    <row r="29" spans="2:14" ht="14.45" hidden="1" customHeight="1" x14ac:dyDescent="0.2">
      <c r="B29" s="110" t="s">
        <v>2618</v>
      </c>
      <c r="C29" s="111" t="s">
        <v>2548</v>
      </c>
      <c r="D29" s="29"/>
      <c r="E29" s="165"/>
      <c r="F29" s="31"/>
      <c r="G29" s="162"/>
      <c r="H29" s="130"/>
      <c r="I29" s="131"/>
      <c r="J29" s="132"/>
      <c r="K29" s="133"/>
      <c r="L29" s="134"/>
      <c r="M29" s="135"/>
      <c r="N29" s="138" t="str">
        <f t="shared" si="0"/>
        <v>제02장 고용보험법-제04절 실업급여-</v>
      </c>
    </row>
    <row r="30" spans="2:14" ht="14.45" customHeight="1" x14ac:dyDescent="0.2">
      <c r="B30" s="110" t="s">
        <v>2618</v>
      </c>
      <c r="C30" s="112" t="s">
        <v>2551</v>
      </c>
      <c r="D30" s="113" t="s">
        <v>2628</v>
      </c>
      <c r="E30" s="164" t="s">
        <v>2500</v>
      </c>
      <c r="F30" s="159"/>
      <c r="G30" s="160" t="s">
        <v>2640</v>
      </c>
      <c r="H30" s="114" t="s">
        <v>2687</v>
      </c>
      <c r="I30" s="115"/>
      <c r="J30" s="116"/>
      <c r="K30" s="117"/>
      <c r="L30" s="118"/>
      <c r="M30" s="119"/>
      <c r="N30" s="120" t="str">
        <f t="shared" si="0"/>
        <v>제02장 고용보험법-제05절 육아휴직급여 등-</v>
      </c>
    </row>
    <row r="31" spans="2:14" ht="14.45" hidden="1" customHeight="1" x14ac:dyDescent="0.2">
      <c r="B31" s="110" t="s">
        <v>2618</v>
      </c>
      <c r="C31" s="111" t="s">
        <v>2550</v>
      </c>
      <c r="D31" s="29"/>
      <c r="E31" s="165"/>
      <c r="F31" s="30"/>
      <c r="G31" s="162"/>
      <c r="H31" s="130"/>
      <c r="I31" s="131"/>
      <c r="J31" s="132"/>
      <c r="K31" s="133"/>
      <c r="L31" s="134"/>
      <c r="M31" s="135"/>
      <c r="N31" s="136" t="str">
        <f t="shared" si="0"/>
        <v>제02장 고용보험법-제05절 육아휴직급여 등-</v>
      </c>
    </row>
    <row r="32" spans="2:14" ht="14.45" customHeight="1" x14ac:dyDescent="0.2">
      <c r="B32" s="110" t="s">
        <v>2618</v>
      </c>
      <c r="C32" s="112" t="s">
        <v>2553</v>
      </c>
      <c r="D32" s="113" t="s">
        <v>2628</v>
      </c>
      <c r="E32" s="164" t="s">
        <v>2500</v>
      </c>
      <c r="F32" s="159"/>
      <c r="G32" s="160" t="s">
        <v>2641</v>
      </c>
      <c r="H32" s="114" t="s">
        <v>2688</v>
      </c>
      <c r="I32" s="115"/>
      <c r="J32" s="116"/>
      <c r="K32" s="117"/>
      <c r="L32" s="118"/>
      <c r="M32" s="119"/>
      <c r="N32" s="120" t="str">
        <f t="shared" si="0"/>
        <v>제02장 고용보험법-제06절 예술인의 특례-</v>
      </c>
    </row>
    <row r="33" spans="2:14" ht="14.45" hidden="1" customHeight="1" x14ac:dyDescent="0.2">
      <c r="B33" s="110" t="s">
        <v>2618</v>
      </c>
      <c r="C33" s="111" t="s">
        <v>2552</v>
      </c>
      <c r="D33" s="29"/>
      <c r="E33" s="165"/>
      <c r="F33" s="31"/>
      <c r="G33" s="162"/>
      <c r="H33" s="130"/>
      <c r="I33" s="131"/>
      <c r="J33" s="132"/>
      <c r="K33" s="133"/>
      <c r="L33" s="134"/>
      <c r="M33" s="135"/>
      <c r="N33" s="136" t="str">
        <f t="shared" si="0"/>
        <v>제02장 고용보험법-제06절 예술인의 특례-</v>
      </c>
    </row>
    <row r="34" spans="2:14" ht="14.45" customHeight="1" x14ac:dyDescent="0.2">
      <c r="B34" s="110" t="s">
        <v>2618</v>
      </c>
      <c r="C34" s="112" t="s">
        <v>2555</v>
      </c>
      <c r="D34" s="113" t="s">
        <v>2628</v>
      </c>
      <c r="E34" s="164" t="s">
        <v>2500</v>
      </c>
      <c r="F34" s="159"/>
      <c r="G34" s="160" t="s">
        <v>2642</v>
      </c>
      <c r="H34" s="114" t="s">
        <v>2689</v>
      </c>
      <c r="I34" s="115"/>
      <c r="J34" s="116"/>
      <c r="K34" s="117"/>
      <c r="L34" s="118"/>
      <c r="M34" s="119"/>
      <c r="N34" s="120" t="str">
        <f t="shared" si="0"/>
        <v>제02장 고용보험법-제07절 노무제공자의 특례-</v>
      </c>
    </row>
    <row r="35" spans="2:14" ht="14.45" hidden="1" customHeight="1" x14ac:dyDescent="0.2">
      <c r="B35" s="110" t="s">
        <v>2618</v>
      </c>
      <c r="C35" s="111" t="s">
        <v>2554</v>
      </c>
      <c r="D35" s="29"/>
      <c r="E35" s="165"/>
      <c r="F35" s="31"/>
      <c r="G35" s="162"/>
      <c r="H35" s="130"/>
      <c r="I35" s="131"/>
      <c r="J35" s="132"/>
      <c r="K35" s="133"/>
      <c r="L35" s="134"/>
      <c r="M35" s="135"/>
      <c r="N35" s="136" t="str">
        <f t="shared" si="0"/>
        <v>제02장 고용보험법-제07절 노무제공자의 특례-</v>
      </c>
    </row>
    <row r="36" spans="2:14" ht="14.45" customHeight="1" x14ac:dyDescent="0.2">
      <c r="B36" s="110" t="s">
        <v>2618</v>
      </c>
      <c r="C36" s="112" t="s">
        <v>2557</v>
      </c>
      <c r="D36" s="113" t="s">
        <v>2628</v>
      </c>
      <c r="E36" s="164" t="s">
        <v>2500</v>
      </c>
      <c r="F36" s="159"/>
      <c r="G36" s="160" t="s">
        <v>2643</v>
      </c>
      <c r="H36" s="114" t="s">
        <v>2690</v>
      </c>
      <c r="I36" s="115"/>
      <c r="J36" s="116"/>
      <c r="K36" s="117"/>
      <c r="L36" s="118"/>
      <c r="M36" s="119"/>
      <c r="N36" s="120" t="str">
        <f t="shared" si="0"/>
        <v>제02장 고용보험법-제08절 고용보험기금-</v>
      </c>
    </row>
    <row r="37" spans="2:14" ht="14.45" hidden="1" customHeight="1" x14ac:dyDescent="0.2">
      <c r="B37" s="110" t="s">
        <v>2618</v>
      </c>
      <c r="C37" s="111" t="s">
        <v>2556</v>
      </c>
      <c r="D37" s="29"/>
      <c r="E37" s="165"/>
      <c r="F37" s="31"/>
      <c r="G37" s="162"/>
      <c r="H37" s="130"/>
      <c r="I37" s="131"/>
      <c r="J37" s="132"/>
      <c r="K37" s="133"/>
      <c r="L37" s="134"/>
      <c r="M37" s="135"/>
      <c r="N37" s="136" t="str">
        <f t="shared" si="0"/>
        <v>제02장 고용보험법-제08절 고용보험기금-</v>
      </c>
    </row>
    <row r="38" spans="2:14" ht="14.45" customHeight="1" x14ac:dyDescent="0.2">
      <c r="B38" s="110" t="s">
        <v>2618</v>
      </c>
      <c r="C38" s="112" t="s">
        <v>2559</v>
      </c>
      <c r="D38" s="113" t="s">
        <v>2628</v>
      </c>
      <c r="E38" s="164" t="s">
        <v>2500</v>
      </c>
      <c r="F38" s="159"/>
      <c r="G38" s="160" t="s">
        <v>2644</v>
      </c>
      <c r="H38" s="114" t="s">
        <v>2691</v>
      </c>
      <c r="I38" s="115"/>
      <c r="J38" s="116"/>
      <c r="K38" s="117"/>
      <c r="L38" s="118"/>
      <c r="M38" s="119"/>
      <c r="N38" s="120" t="str">
        <f t="shared" si="0"/>
        <v>제02장 고용보험법-제09절 심사 및 재심사청구-</v>
      </c>
    </row>
    <row r="39" spans="2:14" ht="14.45" hidden="1" customHeight="1" x14ac:dyDescent="0.2">
      <c r="B39" s="110" t="s">
        <v>2618</v>
      </c>
      <c r="C39" s="111" t="s">
        <v>2558</v>
      </c>
      <c r="D39" s="29"/>
      <c r="E39" s="165"/>
      <c r="F39" s="30"/>
      <c r="G39" s="162"/>
      <c r="H39" s="130"/>
      <c r="I39" s="131"/>
      <c r="J39" s="132"/>
      <c r="K39" s="133"/>
      <c r="L39" s="134"/>
      <c r="M39" s="135"/>
      <c r="N39" s="138" t="str">
        <f t="shared" si="0"/>
        <v>제02장 고용보험법-제09절 심사 및 재심사청구-</v>
      </c>
    </row>
    <row r="40" spans="2:14" ht="14.45" customHeight="1" x14ac:dyDescent="0.2">
      <c r="B40" s="110" t="s">
        <v>2618</v>
      </c>
      <c r="C40" s="112" t="s">
        <v>2561</v>
      </c>
      <c r="D40" s="113" t="s">
        <v>2628</v>
      </c>
      <c r="E40" s="164" t="s">
        <v>2500</v>
      </c>
      <c r="F40" s="159"/>
      <c r="G40" s="160" t="s">
        <v>2645</v>
      </c>
      <c r="H40" s="114" t="s">
        <v>2692</v>
      </c>
      <c r="I40" s="115"/>
      <c r="J40" s="116"/>
      <c r="K40" s="117"/>
      <c r="L40" s="118"/>
      <c r="M40" s="119"/>
      <c r="N40" s="120" t="str">
        <f t="shared" si="0"/>
        <v>제02장 고용보험법-제10절 불이익 처우의 금지 및 소멸시효-</v>
      </c>
    </row>
    <row r="41" spans="2:14" ht="14.45" hidden="1" customHeight="1" x14ac:dyDescent="0.2">
      <c r="B41" s="110" t="s">
        <v>2618</v>
      </c>
      <c r="C41" s="111" t="s">
        <v>2560</v>
      </c>
      <c r="D41" s="29"/>
      <c r="E41" s="165"/>
      <c r="F41" s="30"/>
      <c r="G41" s="162"/>
      <c r="H41" s="130"/>
      <c r="I41" s="131"/>
      <c r="J41" s="132"/>
      <c r="K41" s="133"/>
      <c r="L41" s="134"/>
      <c r="M41" s="135"/>
      <c r="N41" s="138" t="str">
        <f t="shared" si="0"/>
        <v>제02장 고용보험법-제10절 불이익 처우의 금지 및 소멸시효-</v>
      </c>
    </row>
    <row r="42" spans="2:14" ht="14.45" customHeight="1" thickBot="1" x14ac:dyDescent="0.25">
      <c r="B42" s="110" t="s">
        <v>2618</v>
      </c>
      <c r="C42" s="112" t="s">
        <v>2998</v>
      </c>
      <c r="D42" s="113" t="s">
        <v>2628</v>
      </c>
      <c r="E42" s="164" t="s">
        <v>2500</v>
      </c>
      <c r="F42" s="159"/>
      <c r="G42" s="160" t="s">
        <v>2996</v>
      </c>
      <c r="H42" s="114" t="s">
        <v>2693</v>
      </c>
      <c r="I42" s="115"/>
      <c r="J42" s="116"/>
      <c r="K42" s="117"/>
      <c r="L42" s="118"/>
      <c r="M42" s="119"/>
      <c r="N42" s="120" t="str">
        <f t="shared" si="0"/>
        <v>제02장 고용보험법-제11절 고용보험법의 벌칙-</v>
      </c>
    </row>
    <row r="43" spans="2:14" ht="14.45" hidden="1" customHeight="1" thickBot="1" x14ac:dyDescent="0.25">
      <c r="B43" s="121" t="s">
        <v>2618</v>
      </c>
      <c r="C43" s="122" t="s">
        <v>2999</v>
      </c>
      <c r="D43" s="41"/>
      <c r="E43" s="166"/>
      <c r="F43" s="42"/>
      <c r="G43" s="167"/>
      <c r="H43" s="123"/>
      <c r="I43" s="124"/>
      <c r="J43" s="125"/>
      <c r="K43" s="126"/>
      <c r="L43" s="127"/>
      <c r="M43" s="128"/>
      <c r="N43" s="129" t="str">
        <f t="shared" si="0"/>
        <v>제02장 고용보험법-제11절 고용보험법의 벌칙-</v>
      </c>
    </row>
    <row r="44" spans="2:14" ht="14.45" customHeight="1" x14ac:dyDescent="0.2">
      <c r="B44" s="100" t="s">
        <v>2621</v>
      </c>
      <c r="C44" s="101" t="s">
        <v>3002</v>
      </c>
      <c r="D44" s="102" t="s">
        <v>2628</v>
      </c>
      <c r="E44" s="155" t="s">
        <v>3000</v>
      </c>
      <c r="F44" s="156"/>
      <c r="G44" s="157" t="s">
        <v>3004</v>
      </c>
      <c r="H44" s="103" t="s">
        <v>2694</v>
      </c>
      <c r="I44" s="104"/>
      <c r="J44" s="105"/>
      <c r="K44" s="106"/>
      <c r="L44" s="107"/>
      <c r="M44" s="108"/>
      <c r="N44" s="109" t="str">
        <f t="shared" si="0"/>
        <v>제03장 산업재해보상보험법-제01절 산업재해보상보험법의 서설-</v>
      </c>
    </row>
    <row r="45" spans="2:14" ht="14.45" hidden="1" customHeight="1" x14ac:dyDescent="0.2">
      <c r="B45" s="110" t="s">
        <v>2620</v>
      </c>
      <c r="C45" s="111" t="s">
        <v>3003</v>
      </c>
      <c r="D45" s="29"/>
      <c r="E45" s="165"/>
      <c r="F45" s="30"/>
      <c r="G45" s="162"/>
      <c r="H45" s="130"/>
      <c r="I45" s="131"/>
      <c r="J45" s="132"/>
      <c r="K45" s="133"/>
      <c r="L45" s="134"/>
      <c r="M45" s="135"/>
      <c r="N45" s="136" t="str">
        <f t="shared" si="0"/>
        <v>제03장 산업재해보상보험법-제01절 산업재해보상보험법의 서설-</v>
      </c>
    </row>
    <row r="46" spans="2:14" ht="14.45" customHeight="1" x14ac:dyDescent="0.2">
      <c r="B46" s="110" t="s">
        <v>2620</v>
      </c>
      <c r="C46" s="112" t="s">
        <v>2563</v>
      </c>
      <c r="D46" s="113" t="s">
        <v>2628</v>
      </c>
      <c r="E46" s="164" t="s">
        <v>2502</v>
      </c>
      <c r="F46" s="159"/>
      <c r="G46" s="160" t="s">
        <v>2646</v>
      </c>
      <c r="H46" s="114" t="s">
        <v>2695</v>
      </c>
      <c r="I46" s="115"/>
      <c r="J46" s="116"/>
      <c r="K46" s="117"/>
      <c r="L46" s="118"/>
      <c r="M46" s="119"/>
      <c r="N46" s="120" t="str">
        <f t="shared" si="0"/>
        <v>제03장 산업재해보상보험법-제02절 근로복지공단-</v>
      </c>
    </row>
    <row r="47" spans="2:14" ht="14.45" hidden="1" customHeight="1" x14ac:dyDescent="0.2">
      <c r="B47" s="110" t="s">
        <v>2620</v>
      </c>
      <c r="C47" s="153" t="s">
        <v>2562</v>
      </c>
      <c r="D47" s="29"/>
      <c r="E47" s="165"/>
      <c r="F47" s="31"/>
      <c r="G47" s="162"/>
      <c r="H47" s="130"/>
      <c r="I47" s="131"/>
      <c r="J47" s="132"/>
      <c r="K47" s="133"/>
      <c r="L47" s="134"/>
      <c r="M47" s="135"/>
      <c r="N47" s="136" t="str">
        <f t="shared" si="0"/>
        <v>제03장 산업재해보상보험법-제02절 근로복지공단-</v>
      </c>
    </row>
    <row r="48" spans="2:14" ht="14.45" customHeight="1" x14ac:dyDescent="0.2">
      <c r="B48" s="110" t="s">
        <v>2620</v>
      </c>
      <c r="C48" s="112" t="s">
        <v>2565</v>
      </c>
      <c r="D48" s="113" t="s">
        <v>2628</v>
      </c>
      <c r="E48" s="164" t="s">
        <v>2502</v>
      </c>
      <c r="F48" s="159"/>
      <c r="G48" s="160" t="s">
        <v>2647</v>
      </c>
      <c r="H48" s="114" t="s">
        <v>2696</v>
      </c>
      <c r="I48" s="115"/>
      <c r="J48" s="116"/>
      <c r="K48" s="117"/>
      <c r="L48" s="118"/>
      <c r="M48" s="119"/>
      <c r="N48" s="120" t="str">
        <f t="shared" si="0"/>
        <v>제03장 산업재해보상보험법-제03절 업무상 재해 등-</v>
      </c>
    </row>
    <row r="49" spans="2:14" ht="14.45" hidden="1" customHeight="1" x14ac:dyDescent="0.2">
      <c r="B49" s="110" t="s">
        <v>2620</v>
      </c>
      <c r="C49" s="153" t="s">
        <v>2564</v>
      </c>
      <c r="D49" s="29"/>
      <c r="E49" s="165"/>
      <c r="F49" s="30"/>
      <c r="G49" s="162"/>
      <c r="H49" s="130"/>
      <c r="I49" s="131"/>
      <c r="J49" s="132"/>
      <c r="K49" s="133"/>
      <c r="L49" s="134"/>
      <c r="M49" s="135"/>
      <c r="N49" s="138" t="str">
        <f t="shared" si="0"/>
        <v>제03장 산업재해보상보험법-제03절 업무상 재해 등-</v>
      </c>
    </row>
    <row r="50" spans="2:14" ht="14.45" customHeight="1" x14ac:dyDescent="0.2">
      <c r="B50" s="110" t="s">
        <v>2620</v>
      </c>
      <c r="C50" s="112" t="s">
        <v>2567</v>
      </c>
      <c r="D50" s="113" t="s">
        <v>2628</v>
      </c>
      <c r="E50" s="164" t="s">
        <v>2502</v>
      </c>
      <c r="F50" s="159"/>
      <c r="G50" s="160" t="s">
        <v>2648</v>
      </c>
      <c r="H50" s="114" t="s">
        <v>2697</v>
      </c>
      <c r="I50" s="115"/>
      <c r="J50" s="116"/>
      <c r="K50" s="117"/>
      <c r="L50" s="118"/>
      <c r="M50" s="119"/>
      <c r="N50" s="120" t="str">
        <f t="shared" si="0"/>
        <v>제03장 산업재해보상보험법-제04절 보험급여-</v>
      </c>
    </row>
    <row r="51" spans="2:14" ht="14.45" hidden="1" customHeight="1" x14ac:dyDescent="0.2">
      <c r="B51" s="110" t="s">
        <v>2620</v>
      </c>
      <c r="C51" s="111" t="s">
        <v>2566</v>
      </c>
      <c r="D51" s="29"/>
      <c r="E51" s="165"/>
      <c r="F51" s="31"/>
      <c r="G51" s="162"/>
      <c r="H51" s="130"/>
      <c r="I51" s="131"/>
      <c r="J51" s="132"/>
      <c r="K51" s="133"/>
      <c r="L51" s="134"/>
      <c r="M51" s="135"/>
      <c r="N51" s="136" t="str">
        <f t="shared" si="0"/>
        <v>제03장 산업재해보상보험법-제04절 보험급여-</v>
      </c>
    </row>
    <row r="52" spans="2:14" ht="14.45" customHeight="1" x14ac:dyDescent="0.2">
      <c r="B52" s="110" t="s">
        <v>2620</v>
      </c>
      <c r="C52" s="112" t="s">
        <v>2569</v>
      </c>
      <c r="D52" s="113" t="s">
        <v>2628</v>
      </c>
      <c r="E52" s="164" t="s">
        <v>2502</v>
      </c>
      <c r="F52" s="163"/>
      <c r="G52" s="160" t="s">
        <v>2649</v>
      </c>
      <c r="H52" s="114" t="s">
        <v>2698</v>
      </c>
      <c r="I52" s="115"/>
      <c r="J52" s="116"/>
      <c r="K52" s="117"/>
      <c r="L52" s="118"/>
      <c r="M52" s="119"/>
      <c r="N52" s="137" t="str">
        <f t="shared" si="0"/>
        <v>제03장 산업재해보상보험법-제05절 진폐에 따른 보험급여의 특례-</v>
      </c>
    </row>
    <row r="53" spans="2:14" ht="14.45" hidden="1" customHeight="1" x14ac:dyDescent="0.2">
      <c r="B53" s="110" t="s">
        <v>2620</v>
      </c>
      <c r="C53" s="111" t="s">
        <v>2568</v>
      </c>
      <c r="D53" s="29"/>
      <c r="E53" s="165"/>
      <c r="F53" s="31"/>
      <c r="G53" s="162"/>
      <c r="H53" s="130"/>
      <c r="I53" s="131"/>
      <c r="J53" s="132"/>
      <c r="K53" s="133"/>
      <c r="L53" s="134"/>
      <c r="M53" s="135"/>
      <c r="N53" s="136" t="str">
        <f t="shared" si="0"/>
        <v>제03장 산업재해보상보험법-제05절 진폐에 따른 보험급여의 특례-</v>
      </c>
    </row>
    <row r="54" spans="2:14" ht="14.45" customHeight="1" x14ac:dyDescent="0.2">
      <c r="B54" s="110" t="s">
        <v>2620</v>
      </c>
      <c r="C54" s="112" t="s">
        <v>2571</v>
      </c>
      <c r="D54" s="113" t="s">
        <v>2628</v>
      </c>
      <c r="E54" s="164" t="s">
        <v>2502</v>
      </c>
      <c r="F54" s="163"/>
      <c r="G54" s="160" t="s">
        <v>2650</v>
      </c>
      <c r="H54" s="114" t="s">
        <v>2699</v>
      </c>
      <c r="I54" s="115"/>
      <c r="J54" s="116"/>
      <c r="K54" s="117"/>
      <c r="L54" s="118"/>
      <c r="M54" s="119"/>
      <c r="N54" s="137" t="str">
        <f t="shared" si="0"/>
        <v>제03장 산업재해보상보험법-제06절 근로복지 사업 등-</v>
      </c>
    </row>
    <row r="55" spans="2:14" ht="14.45" hidden="1" customHeight="1" x14ac:dyDescent="0.2">
      <c r="B55" s="110" t="s">
        <v>2620</v>
      </c>
      <c r="C55" s="153" t="s">
        <v>2570</v>
      </c>
      <c r="D55" s="29"/>
      <c r="E55" s="165"/>
      <c r="F55" s="31"/>
      <c r="G55" s="162"/>
      <c r="H55" s="130"/>
      <c r="I55" s="131"/>
      <c r="J55" s="132"/>
      <c r="K55" s="133"/>
      <c r="L55" s="134"/>
      <c r="M55" s="135"/>
      <c r="N55" s="136" t="str">
        <f t="shared" si="0"/>
        <v>제03장 산업재해보상보험법-제06절 근로복지 사업 등-</v>
      </c>
    </row>
    <row r="56" spans="2:14" ht="14.45" customHeight="1" x14ac:dyDescent="0.2">
      <c r="B56" s="110" t="s">
        <v>2620</v>
      </c>
      <c r="C56" s="112" t="s">
        <v>2573</v>
      </c>
      <c r="D56" s="113" t="s">
        <v>2628</v>
      </c>
      <c r="E56" s="164" t="s">
        <v>2502</v>
      </c>
      <c r="F56" s="159"/>
      <c r="G56" s="160" t="s">
        <v>2651</v>
      </c>
      <c r="H56" s="114" t="s">
        <v>2700</v>
      </c>
      <c r="I56" s="115"/>
      <c r="J56" s="116"/>
      <c r="K56" s="117"/>
      <c r="L56" s="118"/>
      <c r="M56" s="119"/>
      <c r="N56" s="120" t="str">
        <f t="shared" si="0"/>
        <v>제03장 산업재해보상보험법-제07절 산업재해보상보험 및 예방기금-</v>
      </c>
    </row>
    <row r="57" spans="2:14" ht="14.45" hidden="1" customHeight="1" x14ac:dyDescent="0.2">
      <c r="B57" s="110" t="s">
        <v>2620</v>
      </c>
      <c r="C57" s="111" t="s">
        <v>2572</v>
      </c>
      <c r="D57" s="29"/>
      <c r="E57" s="165"/>
      <c r="F57" s="31"/>
      <c r="G57" s="162"/>
      <c r="H57" s="130"/>
      <c r="I57" s="131"/>
      <c r="J57" s="132"/>
      <c r="K57" s="133"/>
      <c r="L57" s="134"/>
      <c r="M57" s="135"/>
      <c r="N57" s="138" t="str">
        <f t="shared" si="0"/>
        <v>제03장 산업재해보상보험법-제07절 산업재해보상보험 및 예방기금-</v>
      </c>
    </row>
    <row r="58" spans="2:14" ht="14.45" customHeight="1" x14ac:dyDescent="0.2">
      <c r="B58" s="110" t="s">
        <v>2620</v>
      </c>
      <c r="C58" s="112" t="s">
        <v>2575</v>
      </c>
      <c r="D58" s="113" t="s">
        <v>2628</v>
      </c>
      <c r="E58" s="164" t="s">
        <v>2502</v>
      </c>
      <c r="F58" s="159"/>
      <c r="G58" s="160" t="s">
        <v>2652</v>
      </c>
      <c r="H58" s="114" t="s">
        <v>2701</v>
      </c>
      <c r="I58" s="115"/>
      <c r="J58" s="116"/>
      <c r="K58" s="117"/>
      <c r="L58" s="118"/>
      <c r="M58" s="119"/>
      <c r="N58" s="120" t="str">
        <f t="shared" si="0"/>
        <v>제03장 산업재해보상보험법-제08절 심사 청구 및 재심사 청구-</v>
      </c>
    </row>
    <row r="59" spans="2:14" ht="14.45" hidden="1" customHeight="1" x14ac:dyDescent="0.2">
      <c r="B59" s="110" t="s">
        <v>2620</v>
      </c>
      <c r="C59" s="111" t="s">
        <v>2574</v>
      </c>
      <c r="D59" s="29"/>
      <c r="E59" s="165"/>
      <c r="F59" s="31"/>
      <c r="G59" s="162"/>
      <c r="H59" s="130"/>
      <c r="I59" s="131"/>
      <c r="J59" s="132"/>
      <c r="K59" s="133"/>
      <c r="L59" s="134"/>
      <c r="M59" s="135"/>
      <c r="N59" s="138" t="str">
        <f t="shared" si="0"/>
        <v>제03장 산업재해보상보험법-제08절 심사 청구 및 재심사 청구-</v>
      </c>
    </row>
    <row r="60" spans="2:14" ht="14.45" customHeight="1" x14ac:dyDescent="0.2">
      <c r="B60" s="110" t="s">
        <v>2620</v>
      </c>
      <c r="C60" s="112" t="s">
        <v>3012</v>
      </c>
      <c r="D60" s="113" t="s">
        <v>2628</v>
      </c>
      <c r="E60" s="164" t="s">
        <v>2502</v>
      </c>
      <c r="F60" s="159"/>
      <c r="G60" s="160" t="s">
        <v>3009</v>
      </c>
      <c r="H60" s="114" t="s">
        <v>2702</v>
      </c>
      <c r="I60" s="115"/>
      <c r="J60" s="116"/>
      <c r="K60" s="117"/>
      <c r="L60" s="118"/>
      <c r="M60" s="119"/>
      <c r="N60" s="120" t="str">
        <f t="shared" si="0"/>
        <v>제03장 산업재해보상보험법-제09절 산업재해보상보험법의 보칙-</v>
      </c>
    </row>
    <row r="61" spans="2:14" ht="14.45" hidden="1" customHeight="1" x14ac:dyDescent="0.2">
      <c r="B61" s="110" t="s">
        <v>2620</v>
      </c>
      <c r="C61" s="111" t="s">
        <v>3013</v>
      </c>
      <c r="D61" s="29"/>
      <c r="E61" s="165"/>
      <c r="F61" s="31"/>
      <c r="G61" s="162"/>
      <c r="H61" s="130"/>
      <c r="I61" s="131"/>
      <c r="J61" s="132"/>
      <c r="K61" s="133"/>
      <c r="L61" s="134"/>
      <c r="M61" s="135"/>
      <c r="N61" s="136" t="str">
        <f t="shared" si="0"/>
        <v>제03장 산업재해보상보험법-제09절 산업재해보상보험법의 보칙-</v>
      </c>
    </row>
    <row r="62" spans="2:14" ht="14.45" customHeight="1" x14ac:dyDescent="0.2">
      <c r="B62" s="110" t="s">
        <v>2620</v>
      </c>
      <c r="C62" s="112" t="s">
        <v>3015</v>
      </c>
      <c r="D62" s="113" t="s">
        <v>2628</v>
      </c>
      <c r="E62" s="164" t="s">
        <v>2502</v>
      </c>
      <c r="F62" s="159"/>
      <c r="G62" s="160" t="s">
        <v>3010</v>
      </c>
      <c r="H62" s="114" t="s">
        <v>2703</v>
      </c>
      <c r="I62" s="115"/>
      <c r="J62" s="116"/>
      <c r="K62" s="117"/>
      <c r="L62" s="118"/>
      <c r="M62" s="119"/>
      <c r="N62" s="120" t="str">
        <f t="shared" si="0"/>
        <v>제03장 산업재해보상보험법-제10절 산업재해보상보험법의 특례-</v>
      </c>
    </row>
    <row r="63" spans="2:14" ht="14.45" hidden="1" customHeight="1" x14ac:dyDescent="0.2">
      <c r="B63" s="110" t="s">
        <v>2620</v>
      </c>
      <c r="C63" s="111" t="s">
        <v>3016</v>
      </c>
      <c r="D63" s="29"/>
      <c r="E63" s="165"/>
      <c r="F63" s="30"/>
      <c r="G63" s="162"/>
      <c r="H63" s="130"/>
      <c r="I63" s="131"/>
      <c r="J63" s="132"/>
      <c r="K63" s="133"/>
      <c r="L63" s="134"/>
      <c r="M63" s="135"/>
      <c r="N63" s="136" t="str">
        <f t="shared" si="0"/>
        <v>제03장 산업재해보상보험법-제10절 산업재해보상보험법의 특례-</v>
      </c>
    </row>
    <row r="64" spans="2:14" ht="14.45" customHeight="1" thickBot="1" x14ac:dyDescent="0.25">
      <c r="B64" s="110" t="s">
        <v>2620</v>
      </c>
      <c r="C64" s="112" t="s">
        <v>3007</v>
      </c>
      <c r="D64" s="113" t="s">
        <v>2628</v>
      </c>
      <c r="E64" s="164" t="s">
        <v>2502</v>
      </c>
      <c r="F64" s="159"/>
      <c r="G64" s="160" t="s">
        <v>3005</v>
      </c>
      <c r="H64" s="114" t="s">
        <v>2704</v>
      </c>
      <c r="I64" s="115"/>
      <c r="J64" s="116"/>
      <c r="K64" s="117"/>
      <c r="L64" s="118"/>
      <c r="M64" s="119"/>
      <c r="N64" s="120" t="str">
        <f t="shared" si="0"/>
        <v>제03장 산업재해보상보험법-제11절 산업재해보상보험법의 벌칙-</v>
      </c>
    </row>
    <row r="65" spans="2:14" ht="14.45" hidden="1" customHeight="1" thickBot="1" x14ac:dyDescent="0.25">
      <c r="B65" s="121" t="s">
        <v>2620</v>
      </c>
      <c r="C65" s="122" t="s">
        <v>3008</v>
      </c>
      <c r="D65" s="41"/>
      <c r="E65" s="166"/>
      <c r="F65" s="43"/>
      <c r="G65" s="167"/>
      <c r="H65" s="123"/>
      <c r="I65" s="124"/>
      <c r="J65" s="125"/>
      <c r="K65" s="126"/>
      <c r="L65" s="127"/>
      <c r="M65" s="128"/>
      <c r="N65" s="140" t="str">
        <f t="shared" si="0"/>
        <v>제03장 산업재해보상보험법-제11절 산업재해보상보험법의 벌칙-</v>
      </c>
    </row>
    <row r="66" spans="2:14" ht="14.45" customHeight="1" x14ac:dyDescent="0.2">
      <c r="B66" s="100" t="s">
        <v>2623</v>
      </c>
      <c r="C66" s="101" t="s">
        <v>3018</v>
      </c>
      <c r="D66" s="102" t="s">
        <v>2628</v>
      </c>
      <c r="E66" s="155" t="s">
        <v>2504</v>
      </c>
      <c r="F66" s="156"/>
      <c r="G66" s="157" t="s">
        <v>3020</v>
      </c>
      <c r="H66" s="103" t="s">
        <v>2705</v>
      </c>
      <c r="I66" s="104"/>
      <c r="J66" s="105"/>
      <c r="K66" s="106"/>
      <c r="L66" s="107"/>
      <c r="M66" s="108"/>
      <c r="N66" s="109" t="str">
        <f t="shared" si="0"/>
        <v>제04장 국민연금법-제01절 국민연금법의 서설-</v>
      </c>
    </row>
    <row r="67" spans="2:14" ht="14.45" hidden="1" customHeight="1" x14ac:dyDescent="0.2">
      <c r="B67" s="110" t="s">
        <v>2622</v>
      </c>
      <c r="C67" s="111" t="s">
        <v>3019</v>
      </c>
      <c r="D67" s="29"/>
      <c r="E67" s="165"/>
      <c r="F67" s="30"/>
      <c r="G67" s="162"/>
      <c r="H67" s="130"/>
      <c r="I67" s="131"/>
      <c r="J67" s="132"/>
      <c r="K67" s="133"/>
      <c r="L67" s="134"/>
      <c r="M67" s="135"/>
      <c r="N67" s="136" t="str">
        <f t="shared" si="0"/>
        <v>제04장 국민연금법-제01절 국민연금법의 서설-</v>
      </c>
    </row>
    <row r="68" spans="2:14" ht="14.45" customHeight="1" x14ac:dyDescent="0.2">
      <c r="B68" s="110" t="s">
        <v>2622</v>
      </c>
      <c r="C68" s="112" t="s">
        <v>2577</v>
      </c>
      <c r="D68" s="113" t="s">
        <v>2628</v>
      </c>
      <c r="E68" s="164" t="s">
        <v>2504</v>
      </c>
      <c r="F68" s="159"/>
      <c r="G68" s="160" t="s">
        <v>2653</v>
      </c>
      <c r="H68" s="114" t="s">
        <v>2706</v>
      </c>
      <c r="I68" s="115"/>
      <c r="J68" s="116"/>
      <c r="K68" s="117"/>
      <c r="L68" s="118"/>
      <c r="M68" s="119"/>
      <c r="N68" s="120" t="str">
        <f t="shared" si="0"/>
        <v>제04장 국민연금법-제02절 국민연금가입자-</v>
      </c>
    </row>
    <row r="69" spans="2:14" ht="14.45" hidden="1" customHeight="1" x14ac:dyDescent="0.2">
      <c r="B69" s="110" t="s">
        <v>2622</v>
      </c>
      <c r="C69" s="111" t="s">
        <v>2576</v>
      </c>
      <c r="D69" s="29"/>
      <c r="E69" s="165"/>
      <c r="F69" s="30"/>
      <c r="G69" s="162"/>
      <c r="H69" s="130"/>
      <c r="I69" s="131"/>
      <c r="J69" s="132"/>
      <c r="K69" s="133"/>
      <c r="L69" s="134"/>
      <c r="M69" s="135"/>
      <c r="N69" s="136" t="str">
        <f t="shared" si="0"/>
        <v>제04장 국민연금법-제02절 국민연금가입자-</v>
      </c>
    </row>
    <row r="70" spans="2:14" ht="14.45" customHeight="1" x14ac:dyDescent="0.2">
      <c r="B70" s="110" t="s">
        <v>2622</v>
      </c>
      <c r="C70" s="112" t="s">
        <v>2579</v>
      </c>
      <c r="D70" s="113" t="s">
        <v>2628</v>
      </c>
      <c r="E70" s="164" t="s">
        <v>2504</v>
      </c>
      <c r="F70" s="159"/>
      <c r="G70" s="160" t="s">
        <v>2654</v>
      </c>
      <c r="H70" s="114" t="s">
        <v>2707</v>
      </c>
      <c r="I70" s="115"/>
      <c r="J70" s="116"/>
      <c r="K70" s="117"/>
      <c r="L70" s="118"/>
      <c r="M70" s="119"/>
      <c r="N70" s="120" t="str">
        <f t="shared" ref="N70:N123" si="1">B70&amp;"-"&amp;C70&amp;"-"&amp;F70</f>
        <v>제04장 국민연금법-제03절 국민연금공단-</v>
      </c>
    </row>
    <row r="71" spans="2:14" ht="14.45" hidden="1" customHeight="1" x14ac:dyDescent="0.2">
      <c r="B71" s="110" t="s">
        <v>2622</v>
      </c>
      <c r="C71" s="111" t="s">
        <v>2578</v>
      </c>
      <c r="D71" s="29"/>
      <c r="E71" s="165"/>
      <c r="F71" s="31"/>
      <c r="G71" s="162"/>
      <c r="H71" s="130"/>
      <c r="I71" s="131"/>
      <c r="J71" s="132"/>
      <c r="K71" s="133"/>
      <c r="L71" s="134"/>
      <c r="M71" s="135"/>
      <c r="N71" s="136" t="str">
        <f t="shared" si="1"/>
        <v>제04장 국민연금법-제03절 국민연금공단-</v>
      </c>
    </row>
    <row r="72" spans="2:14" ht="14.45" customHeight="1" x14ac:dyDescent="0.2">
      <c r="B72" s="110" t="s">
        <v>2622</v>
      </c>
      <c r="C72" s="112" t="s">
        <v>2581</v>
      </c>
      <c r="D72" s="113" t="s">
        <v>2628</v>
      </c>
      <c r="E72" s="164" t="s">
        <v>2504</v>
      </c>
      <c r="F72" s="163"/>
      <c r="G72" s="160" t="s">
        <v>2655</v>
      </c>
      <c r="H72" s="114" t="s">
        <v>2708</v>
      </c>
      <c r="I72" s="115"/>
      <c r="J72" s="116"/>
      <c r="K72" s="117"/>
      <c r="L72" s="118"/>
      <c r="M72" s="119"/>
      <c r="N72" s="137" t="str">
        <f t="shared" si="1"/>
        <v>제04장 국민연금법-제04절 급여-</v>
      </c>
    </row>
    <row r="73" spans="2:14" ht="14.45" hidden="1" customHeight="1" x14ac:dyDescent="0.2">
      <c r="B73" s="110" t="s">
        <v>2622</v>
      </c>
      <c r="C73" s="111" t="s">
        <v>2580</v>
      </c>
      <c r="D73" s="29"/>
      <c r="E73" s="165"/>
      <c r="F73" s="31"/>
      <c r="G73" s="162"/>
      <c r="H73" s="130"/>
      <c r="I73" s="131"/>
      <c r="J73" s="132"/>
      <c r="K73" s="133"/>
      <c r="L73" s="134"/>
      <c r="M73" s="135"/>
      <c r="N73" s="136" t="str">
        <f t="shared" si="1"/>
        <v>제04장 국민연금법-제04절 급여-</v>
      </c>
    </row>
    <row r="74" spans="2:14" ht="14.45" customHeight="1" x14ac:dyDescent="0.2">
      <c r="B74" s="110" t="s">
        <v>2622</v>
      </c>
      <c r="C74" s="112" t="s">
        <v>2583</v>
      </c>
      <c r="D74" s="113" t="s">
        <v>2628</v>
      </c>
      <c r="E74" s="164" t="s">
        <v>2504</v>
      </c>
      <c r="F74" s="163"/>
      <c r="G74" s="160" t="s">
        <v>2656</v>
      </c>
      <c r="H74" s="114" t="s">
        <v>2709</v>
      </c>
      <c r="I74" s="115"/>
      <c r="J74" s="116"/>
      <c r="K74" s="117"/>
      <c r="L74" s="118"/>
      <c r="M74" s="119"/>
      <c r="N74" s="137" t="str">
        <f t="shared" si="1"/>
        <v>제04장 국민연금법-제05절 급여의 제한 및 정지-</v>
      </c>
    </row>
    <row r="75" spans="2:14" ht="14.45" hidden="1" customHeight="1" x14ac:dyDescent="0.2">
      <c r="B75" s="110" t="s">
        <v>2622</v>
      </c>
      <c r="C75" s="111" t="s">
        <v>2582</v>
      </c>
      <c r="D75" s="29"/>
      <c r="E75" s="165"/>
      <c r="F75" s="31"/>
      <c r="G75" s="162"/>
      <c r="H75" s="130"/>
      <c r="I75" s="131"/>
      <c r="J75" s="132"/>
      <c r="K75" s="133"/>
      <c r="L75" s="134"/>
      <c r="M75" s="135"/>
      <c r="N75" s="136" t="str">
        <f t="shared" si="1"/>
        <v>제04장 국민연금법-제05절 급여의 제한 및 정지-</v>
      </c>
    </row>
    <row r="76" spans="2:14" ht="14.45" customHeight="1" x14ac:dyDescent="0.2">
      <c r="B76" s="110" t="s">
        <v>2622</v>
      </c>
      <c r="C76" s="112" t="s">
        <v>2585</v>
      </c>
      <c r="D76" s="113" t="s">
        <v>2628</v>
      </c>
      <c r="E76" s="164" t="s">
        <v>2504</v>
      </c>
      <c r="F76" s="163"/>
      <c r="G76" s="160" t="s">
        <v>2657</v>
      </c>
      <c r="H76" s="114" t="s">
        <v>2710</v>
      </c>
      <c r="I76" s="115"/>
      <c r="J76" s="116"/>
      <c r="K76" s="117"/>
      <c r="L76" s="118"/>
      <c r="M76" s="119"/>
      <c r="N76" s="137" t="str">
        <f t="shared" si="1"/>
        <v>제04장 국민연금법-제06절 비용 부담 및 연금보험료 징수-</v>
      </c>
    </row>
    <row r="77" spans="2:14" ht="14.45" hidden="1" customHeight="1" x14ac:dyDescent="0.2">
      <c r="B77" s="110" t="s">
        <v>2622</v>
      </c>
      <c r="C77" s="153" t="s">
        <v>2584</v>
      </c>
      <c r="D77" s="29"/>
      <c r="E77" s="165"/>
      <c r="F77" s="31"/>
      <c r="G77" s="162"/>
      <c r="H77" s="130"/>
      <c r="I77" s="131"/>
      <c r="J77" s="132"/>
      <c r="K77" s="133"/>
      <c r="L77" s="134"/>
      <c r="M77" s="135"/>
      <c r="N77" s="136" t="str">
        <f t="shared" si="1"/>
        <v>제04장 국민연금법-제06절 비용 부담 및 연금보험료 징수-</v>
      </c>
    </row>
    <row r="78" spans="2:14" ht="14.45" customHeight="1" x14ac:dyDescent="0.2">
      <c r="B78" s="110" t="s">
        <v>2622</v>
      </c>
      <c r="C78" s="112" t="s">
        <v>2587</v>
      </c>
      <c r="D78" s="113" t="s">
        <v>2628</v>
      </c>
      <c r="E78" s="164" t="s">
        <v>2504</v>
      </c>
      <c r="F78" s="159"/>
      <c r="G78" s="160" t="s">
        <v>2658</v>
      </c>
      <c r="H78" s="114" t="s">
        <v>2711</v>
      </c>
      <c r="I78" s="115"/>
      <c r="J78" s="116"/>
      <c r="K78" s="117"/>
      <c r="L78" s="118"/>
      <c r="M78" s="119"/>
      <c r="N78" s="120" t="str">
        <f t="shared" si="1"/>
        <v>제04장 국민연금법-제07절 국민연금기금-</v>
      </c>
    </row>
    <row r="79" spans="2:14" ht="14.45" hidden="1" customHeight="1" x14ac:dyDescent="0.2">
      <c r="B79" s="110" t="s">
        <v>2622</v>
      </c>
      <c r="C79" s="111" t="s">
        <v>2586</v>
      </c>
      <c r="D79" s="29"/>
      <c r="E79" s="165"/>
      <c r="F79" s="30"/>
      <c r="G79" s="162"/>
      <c r="H79" s="130"/>
      <c r="I79" s="131"/>
      <c r="J79" s="132"/>
      <c r="K79" s="133"/>
      <c r="L79" s="134"/>
      <c r="M79" s="135"/>
      <c r="N79" s="136" t="str">
        <f t="shared" si="1"/>
        <v>제04장 국민연금법-제07절 국민연금기금-</v>
      </c>
    </row>
    <row r="80" spans="2:14" ht="14.45" customHeight="1" x14ac:dyDescent="0.2">
      <c r="B80" s="110" t="s">
        <v>2622</v>
      </c>
      <c r="C80" s="112" t="s">
        <v>2589</v>
      </c>
      <c r="D80" s="113" t="s">
        <v>2628</v>
      </c>
      <c r="E80" s="164" t="s">
        <v>2504</v>
      </c>
      <c r="F80" s="159"/>
      <c r="G80" s="160" t="s">
        <v>2659</v>
      </c>
      <c r="H80" s="114" t="s">
        <v>2712</v>
      </c>
      <c r="I80" s="115"/>
      <c r="J80" s="116"/>
      <c r="K80" s="117"/>
      <c r="L80" s="118"/>
      <c r="M80" s="119"/>
      <c r="N80" s="120" t="str">
        <f t="shared" si="1"/>
        <v>제04장 국민연금법-제08절 심사청구 및 재심사청구-</v>
      </c>
    </row>
    <row r="81" spans="2:14" ht="14.45" hidden="1" customHeight="1" x14ac:dyDescent="0.2">
      <c r="B81" s="110" t="s">
        <v>2622</v>
      </c>
      <c r="C81" s="111" t="s">
        <v>2588</v>
      </c>
      <c r="D81" s="29"/>
      <c r="E81" s="165"/>
      <c r="F81" s="30"/>
      <c r="G81" s="162"/>
      <c r="H81" s="130"/>
      <c r="I81" s="131"/>
      <c r="J81" s="132"/>
      <c r="K81" s="133"/>
      <c r="L81" s="134"/>
      <c r="M81" s="135"/>
      <c r="N81" s="136" t="str">
        <f t="shared" si="1"/>
        <v>제04장 국민연금법-제08절 심사청구 및 재심사청구-</v>
      </c>
    </row>
    <row r="82" spans="2:14" ht="14.45" customHeight="1" x14ac:dyDescent="0.2">
      <c r="B82" s="110" t="s">
        <v>2622</v>
      </c>
      <c r="C82" s="112" t="s">
        <v>2591</v>
      </c>
      <c r="D82" s="113" t="s">
        <v>2628</v>
      </c>
      <c r="E82" s="164" t="s">
        <v>2504</v>
      </c>
      <c r="F82" s="159"/>
      <c r="G82" s="160" t="s">
        <v>2660</v>
      </c>
      <c r="H82" s="114" t="s">
        <v>2713</v>
      </c>
      <c r="I82" s="115"/>
      <c r="J82" s="116"/>
      <c r="K82" s="117"/>
      <c r="L82" s="118"/>
      <c r="M82" s="119"/>
      <c r="N82" s="120" t="str">
        <f t="shared" si="1"/>
        <v>제04장 국민연금법-제09절 중복급여조정, 대위권, 시효 등-</v>
      </c>
    </row>
    <row r="83" spans="2:14" ht="14.45" hidden="1" customHeight="1" x14ac:dyDescent="0.2">
      <c r="B83" s="110" t="s">
        <v>2622</v>
      </c>
      <c r="C83" s="111" t="s">
        <v>2590</v>
      </c>
      <c r="D83" s="29"/>
      <c r="E83" s="165"/>
      <c r="F83" s="31"/>
      <c r="G83" s="162"/>
      <c r="H83" s="130"/>
      <c r="I83" s="131"/>
      <c r="J83" s="132"/>
      <c r="K83" s="133"/>
      <c r="L83" s="134"/>
      <c r="M83" s="135"/>
      <c r="N83" s="136" t="str">
        <f t="shared" si="1"/>
        <v>제04장 국민연금법-제09절 중복급여조정, 대위권, 시효 등-</v>
      </c>
    </row>
    <row r="84" spans="2:14" ht="14.45" customHeight="1" thickBot="1" x14ac:dyDescent="0.25">
      <c r="B84" s="110" t="s">
        <v>2622</v>
      </c>
      <c r="C84" s="112" t="s">
        <v>3023</v>
      </c>
      <c r="D84" s="113" t="s">
        <v>2628</v>
      </c>
      <c r="E84" s="164" t="s">
        <v>2504</v>
      </c>
      <c r="F84" s="159"/>
      <c r="G84" s="160" t="s">
        <v>3021</v>
      </c>
      <c r="H84" s="114" t="s">
        <v>2714</v>
      </c>
      <c r="I84" s="115"/>
      <c r="J84" s="116"/>
      <c r="K84" s="117"/>
      <c r="L84" s="118"/>
      <c r="M84" s="119"/>
      <c r="N84" s="120" t="str">
        <f t="shared" si="1"/>
        <v>제04장 국민연금법-제10절 국민연금법의 벌칙-</v>
      </c>
    </row>
    <row r="85" spans="2:14" ht="14.45" hidden="1" customHeight="1" thickBot="1" x14ac:dyDescent="0.25">
      <c r="B85" s="121" t="s">
        <v>2622</v>
      </c>
      <c r="C85" s="122" t="s">
        <v>3024</v>
      </c>
      <c r="D85" s="41"/>
      <c r="E85" s="166"/>
      <c r="F85" s="43"/>
      <c r="G85" s="167"/>
      <c r="H85" s="123"/>
      <c r="I85" s="124"/>
      <c r="J85" s="125"/>
      <c r="K85" s="126"/>
      <c r="L85" s="127"/>
      <c r="M85" s="128"/>
      <c r="N85" s="129" t="str">
        <f t="shared" si="1"/>
        <v>제04장 국민연금법-제10절 국민연금법의 벌칙-</v>
      </c>
    </row>
    <row r="86" spans="2:14" ht="14.45" customHeight="1" x14ac:dyDescent="0.2">
      <c r="B86" s="100" t="s">
        <v>2625</v>
      </c>
      <c r="C86" s="101" t="s">
        <v>3026</v>
      </c>
      <c r="D86" s="102" t="s">
        <v>2628</v>
      </c>
      <c r="E86" s="155" t="s">
        <v>2506</v>
      </c>
      <c r="F86" s="168"/>
      <c r="G86" s="157" t="s">
        <v>3028</v>
      </c>
      <c r="H86" s="103" t="s">
        <v>2715</v>
      </c>
      <c r="I86" s="104"/>
      <c r="J86" s="105"/>
      <c r="K86" s="106"/>
      <c r="L86" s="107"/>
      <c r="M86" s="108"/>
      <c r="N86" s="154" t="str">
        <f t="shared" si="1"/>
        <v>제05장 국민건강보험법-제01절 국민건강보험법의 서설-</v>
      </c>
    </row>
    <row r="87" spans="2:14" ht="14.45" hidden="1" customHeight="1" x14ac:dyDescent="0.2">
      <c r="B87" s="110" t="s">
        <v>2624</v>
      </c>
      <c r="C87" s="153" t="s">
        <v>3027</v>
      </c>
      <c r="D87" s="29"/>
      <c r="E87" s="165"/>
      <c r="F87" s="31"/>
      <c r="G87" s="162"/>
      <c r="H87" s="130"/>
      <c r="I87" s="131"/>
      <c r="J87" s="132"/>
      <c r="K87" s="133"/>
      <c r="L87" s="134"/>
      <c r="M87" s="135"/>
      <c r="N87" s="136" t="str">
        <f t="shared" si="1"/>
        <v>제05장 국민건강보험법-제01절 국민건강보험법의 서설-</v>
      </c>
    </row>
    <row r="88" spans="2:14" ht="14.45" customHeight="1" x14ac:dyDescent="0.2">
      <c r="B88" s="110" t="s">
        <v>2624</v>
      </c>
      <c r="C88" s="112" t="s">
        <v>2593</v>
      </c>
      <c r="D88" s="113" t="s">
        <v>2628</v>
      </c>
      <c r="E88" s="164" t="s">
        <v>2506</v>
      </c>
      <c r="F88" s="159"/>
      <c r="G88" s="160" t="s">
        <v>2661</v>
      </c>
      <c r="H88" s="114" t="s">
        <v>2716</v>
      </c>
      <c r="I88" s="115"/>
      <c r="J88" s="116"/>
      <c r="K88" s="117"/>
      <c r="L88" s="118"/>
      <c r="M88" s="119"/>
      <c r="N88" s="120" t="str">
        <f t="shared" si="1"/>
        <v>제05장 국민건강보험법-제02절 가입자-</v>
      </c>
    </row>
    <row r="89" spans="2:14" ht="14.45" hidden="1" customHeight="1" x14ac:dyDescent="0.2">
      <c r="B89" s="110" t="s">
        <v>2624</v>
      </c>
      <c r="C89" s="111" t="s">
        <v>2592</v>
      </c>
      <c r="D89" s="29"/>
      <c r="E89" s="165"/>
      <c r="F89" s="31"/>
      <c r="G89" s="162"/>
      <c r="H89" s="130"/>
      <c r="I89" s="131"/>
      <c r="J89" s="132"/>
      <c r="K89" s="133"/>
      <c r="L89" s="134"/>
      <c r="M89" s="135"/>
      <c r="N89" s="136" t="str">
        <f t="shared" si="1"/>
        <v>제05장 국민건강보험법-제02절 가입자-</v>
      </c>
    </row>
    <row r="90" spans="2:14" ht="14.45" customHeight="1" x14ac:dyDescent="0.2">
      <c r="B90" s="110" t="s">
        <v>2624</v>
      </c>
      <c r="C90" s="112" t="s">
        <v>2595</v>
      </c>
      <c r="D90" s="113" t="s">
        <v>2628</v>
      </c>
      <c r="E90" s="164" t="s">
        <v>2506</v>
      </c>
      <c r="F90" s="159"/>
      <c r="G90" s="160" t="s">
        <v>2662</v>
      </c>
      <c r="H90" s="114" t="s">
        <v>2717</v>
      </c>
      <c r="I90" s="115"/>
      <c r="J90" s="116"/>
      <c r="K90" s="117"/>
      <c r="L90" s="118"/>
      <c r="M90" s="119"/>
      <c r="N90" s="120" t="str">
        <f t="shared" si="1"/>
        <v>제05장 국민건강보험법-제03절 국민건강보험공단-</v>
      </c>
    </row>
    <row r="91" spans="2:14" ht="14.45" hidden="1" customHeight="1" x14ac:dyDescent="0.2">
      <c r="B91" s="110" t="s">
        <v>2624</v>
      </c>
      <c r="C91" s="111" t="s">
        <v>2594</v>
      </c>
      <c r="D91" s="29"/>
      <c r="E91" s="165"/>
      <c r="F91" s="30"/>
      <c r="G91" s="162"/>
      <c r="H91" s="130"/>
      <c r="I91" s="131"/>
      <c r="J91" s="132"/>
      <c r="K91" s="133"/>
      <c r="L91" s="134"/>
      <c r="M91" s="135"/>
      <c r="N91" s="136" t="str">
        <f t="shared" si="1"/>
        <v>제05장 국민건강보험법-제03절 국민건강보험공단-</v>
      </c>
    </row>
    <row r="92" spans="2:14" ht="14.45" customHeight="1" x14ac:dyDescent="0.2">
      <c r="B92" s="110" t="s">
        <v>2624</v>
      </c>
      <c r="C92" s="112" t="s">
        <v>2567</v>
      </c>
      <c r="D92" s="113" t="s">
        <v>2628</v>
      </c>
      <c r="E92" s="164" t="s">
        <v>2506</v>
      </c>
      <c r="F92" s="159"/>
      <c r="G92" s="160" t="s">
        <v>2648</v>
      </c>
      <c r="H92" s="114" t="s">
        <v>2718</v>
      </c>
      <c r="I92" s="115"/>
      <c r="J92" s="116"/>
      <c r="K92" s="117"/>
      <c r="L92" s="118"/>
      <c r="M92" s="119"/>
      <c r="N92" s="120" t="str">
        <f t="shared" si="1"/>
        <v>제05장 국민건강보험법-제04절 보험급여-</v>
      </c>
    </row>
    <row r="93" spans="2:14" ht="14.45" hidden="1" customHeight="1" x14ac:dyDescent="0.2">
      <c r="B93" s="110" t="s">
        <v>2624</v>
      </c>
      <c r="C93" s="111" t="s">
        <v>2566</v>
      </c>
      <c r="D93" s="29"/>
      <c r="E93" s="165"/>
      <c r="F93" s="30"/>
      <c r="G93" s="162"/>
      <c r="H93" s="130"/>
      <c r="I93" s="131"/>
      <c r="J93" s="132"/>
      <c r="K93" s="133"/>
      <c r="L93" s="134"/>
      <c r="M93" s="135"/>
      <c r="N93" s="136" t="str">
        <f t="shared" si="1"/>
        <v>제05장 국민건강보험법-제04절 보험급여-</v>
      </c>
    </row>
    <row r="94" spans="2:14" ht="14.45" customHeight="1" x14ac:dyDescent="0.2">
      <c r="B94" s="110" t="s">
        <v>2624</v>
      </c>
      <c r="C94" s="112" t="s">
        <v>2597</v>
      </c>
      <c r="D94" s="113" t="s">
        <v>2628</v>
      </c>
      <c r="E94" s="164" t="s">
        <v>2506</v>
      </c>
      <c r="F94" s="159"/>
      <c r="G94" s="160" t="s">
        <v>2663</v>
      </c>
      <c r="H94" s="114" t="s">
        <v>2719</v>
      </c>
      <c r="I94" s="115"/>
      <c r="J94" s="116"/>
      <c r="K94" s="117"/>
      <c r="L94" s="118"/>
      <c r="M94" s="119"/>
      <c r="N94" s="137" t="str">
        <f t="shared" si="1"/>
        <v>제05장 국민건강보험법-제05절 건강보험심사평가원-</v>
      </c>
    </row>
    <row r="95" spans="2:14" ht="14.45" hidden="1" customHeight="1" x14ac:dyDescent="0.2">
      <c r="B95" s="110" t="s">
        <v>2624</v>
      </c>
      <c r="C95" s="111" t="s">
        <v>2596</v>
      </c>
      <c r="D95" s="29"/>
      <c r="E95" s="165"/>
      <c r="F95" s="30"/>
      <c r="G95" s="162"/>
      <c r="H95" s="130"/>
      <c r="I95" s="131"/>
      <c r="J95" s="132"/>
      <c r="K95" s="133"/>
      <c r="L95" s="134"/>
      <c r="M95" s="135"/>
      <c r="N95" s="136" t="str">
        <f t="shared" si="1"/>
        <v>제05장 국민건강보험법-제05절 건강보험심사평가원-</v>
      </c>
    </row>
    <row r="96" spans="2:14" ht="14.45" customHeight="1" x14ac:dyDescent="0.2">
      <c r="B96" s="110" t="s">
        <v>2624</v>
      </c>
      <c r="C96" s="112" t="s">
        <v>2599</v>
      </c>
      <c r="D96" s="113" t="s">
        <v>2628</v>
      </c>
      <c r="E96" s="164" t="s">
        <v>2506</v>
      </c>
      <c r="F96" s="159"/>
      <c r="G96" s="160" t="s">
        <v>2664</v>
      </c>
      <c r="H96" s="114" t="s">
        <v>2720</v>
      </c>
      <c r="I96" s="115"/>
      <c r="J96" s="116"/>
      <c r="K96" s="117"/>
      <c r="L96" s="118"/>
      <c r="M96" s="119"/>
      <c r="N96" s="137" t="str">
        <f t="shared" si="1"/>
        <v>제05장 국민건강보험법-제06절 보험료-</v>
      </c>
    </row>
    <row r="97" spans="2:14" ht="14.45" hidden="1" customHeight="1" x14ac:dyDescent="0.2">
      <c r="B97" s="110" t="s">
        <v>2624</v>
      </c>
      <c r="C97" s="111" t="s">
        <v>2598</v>
      </c>
      <c r="D97" s="29"/>
      <c r="E97" s="165"/>
      <c r="F97" s="30"/>
      <c r="G97" s="162"/>
      <c r="H97" s="130"/>
      <c r="I97" s="131"/>
      <c r="J97" s="132"/>
      <c r="K97" s="133"/>
      <c r="L97" s="134"/>
      <c r="M97" s="135"/>
      <c r="N97" s="136" t="str">
        <f t="shared" si="1"/>
        <v>제05장 국민건강보험법-제06절 보험료-</v>
      </c>
    </row>
    <row r="98" spans="2:14" ht="14.45" customHeight="1" x14ac:dyDescent="0.2">
      <c r="B98" s="110" t="s">
        <v>2624</v>
      </c>
      <c r="C98" s="112" t="s">
        <v>2601</v>
      </c>
      <c r="D98" s="113" t="s">
        <v>2628</v>
      </c>
      <c r="E98" s="164" t="s">
        <v>2506</v>
      </c>
      <c r="F98" s="159"/>
      <c r="G98" s="160" t="s">
        <v>2665</v>
      </c>
      <c r="H98" s="114" t="s">
        <v>2721</v>
      </c>
      <c r="I98" s="115"/>
      <c r="J98" s="116"/>
      <c r="K98" s="117"/>
      <c r="L98" s="118"/>
      <c r="M98" s="119"/>
      <c r="N98" s="137" t="str">
        <f t="shared" si="1"/>
        <v>제05장 국민건강보험법-제07절 보험급여수급권의 제한과 보호-</v>
      </c>
    </row>
    <row r="99" spans="2:14" ht="14.45" hidden="1" customHeight="1" x14ac:dyDescent="0.2">
      <c r="B99" s="110" t="s">
        <v>2624</v>
      </c>
      <c r="C99" s="111" t="s">
        <v>2600</v>
      </c>
      <c r="D99" s="29"/>
      <c r="E99" s="165"/>
      <c r="F99" s="30"/>
      <c r="G99" s="162"/>
      <c r="H99" s="130"/>
      <c r="I99" s="131"/>
      <c r="J99" s="132"/>
      <c r="K99" s="133"/>
      <c r="L99" s="134"/>
      <c r="M99" s="135"/>
      <c r="N99" s="136" t="str">
        <f t="shared" si="1"/>
        <v>제05장 국민건강보험법-제07절 보험급여수급권의 제한과 보호-</v>
      </c>
    </row>
    <row r="100" spans="2:14" ht="14.45" customHeight="1" x14ac:dyDescent="0.2">
      <c r="B100" s="110" t="s">
        <v>2624</v>
      </c>
      <c r="C100" s="112" t="s">
        <v>2603</v>
      </c>
      <c r="D100" s="113" t="s">
        <v>2628</v>
      </c>
      <c r="E100" s="164" t="s">
        <v>2506</v>
      </c>
      <c r="F100" s="159"/>
      <c r="G100" s="160" t="s">
        <v>2666</v>
      </c>
      <c r="H100" s="114" t="s">
        <v>2722</v>
      </c>
      <c r="I100" s="115"/>
      <c r="J100" s="116"/>
      <c r="K100" s="117"/>
      <c r="L100" s="118"/>
      <c r="M100" s="119"/>
      <c r="N100" s="137" t="str">
        <f t="shared" si="1"/>
        <v>제05장 국민건강보험법-제08절 이의신청 및 심판청구-</v>
      </c>
    </row>
    <row r="101" spans="2:14" ht="14.45" hidden="1" customHeight="1" x14ac:dyDescent="0.2">
      <c r="B101" s="110" t="s">
        <v>2624</v>
      </c>
      <c r="C101" s="111" t="s">
        <v>2602</v>
      </c>
      <c r="D101" s="29"/>
      <c r="E101" s="165"/>
      <c r="F101" s="30"/>
      <c r="G101" s="162"/>
      <c r="H101" s="130"/>
      <c r="I101" s="131"/>
      <c r="J101" s="132"/>
      <c r="K101" s="133"/>
      <c r="L101" s="134"/>
      <c r="M101" s="135"/>
      <c r="N101" s="136" t="str">
        <f t="shared" si="1"/>
        <v>제05장 국민건강보험법-제08절 이의신청 및 심판청구-</v>
      </c>
    </row>
    <row r="102" spans="2:14" ht="14.45" customHeight="1" x14ac:dyDescent="0.2">
      <c r="B102" s="110" t="s">
        <v>2624</v>
      </c>
      <c r="C102" s="112" t="s">
        <v>2605</v>
      </c>
      <c r="D102" s="113" t="s">
        <v>2628</v>
      </c>
      <c r="E102" s="164" t="s">
        <v>2506</v>
      </c>
      <c r="F102" s="159"/>
      <c r="G102" s="160" t="s">
        <v>2667</v>
      </c>
      <c r="H102" s="114" t="s">
        <v>2723</v>
      </c>
      <c r="I102" s="115"/>
      <c r="J102" s="116"/>
      <c r="K102" s="117"/>
      <c r="L102" s="118"/>
      <c r="M102" s="119"/>
      <c r="N102" s="137" t="str">
        <f t="shared" si="1"/>
        <v>제05장 국민건강보험법-제09절 소멸시효, 근로자의 권익보호 등-</v>
      </c>
    </row>
    <row r="103" spans="2:14" ht="14.45" hidden="1" customHeight="1" x14ac:dyDescent="0.2">
      <c r="B103" s="110" t="s">
        <v>2624</v>
      </c>
      <c r="C103" s="111" t="s">
        <v>2604</v>
      </c>
      <c r="D103" s="29"/>
      <c r="E103" s="165"/>
      <c r="F103" s="30"/>
      <c r="G103" s="162"/>
      <c r="H103" s="130"/>
      <c r="I103" s="131"/>
      <c r="J103" s="132"/>
      <c r="K103" s="133"/>
      <c r="L103" s="134"/>
      <c r="M103" s="135"/>
      <c r="N103" s="136" t="str">
        <f t="shared" si="1"/>
        <v>제05장 국민건강보험법-제09절 소멸시효, 근로자의 권익보호 등-</v>
      </c>
    </row>
    <row r="104" spans="2:14" ht="14.45" customHeight="1" thickBot="1" x14ac:dyDescent="0.25">
      <c r="B104" s="110" t="s">
        <v>2624</v>
      </c>
      <c r="C104" s="112" t="s">
        <v>3031</v>
      </c>
      <c r="D104" s="113" t="s">
        <v>2628</v>
      </c>
      <c r="E104" s="164" t="s">
        <v>2506</v>
      </c>
      <c r="F104" s="159"/>
      <c r="G104" s="160" t="s">
        <v>3029</v>
      </c>
      <c r="H104" s="114" t="s">
        <v>2724</v>
      </c>
      <c r="I104" s="115"/>
      <c r="J104" s="116"/>
      <c r="K104" s="117"/>
      <c r="L104" s="118"/>
      <c r="M104" s="119"/>
      <c r="N104" s="137" t="str">
        <f t="shared" si="1"/>
        <v>제05장 국민건강보험법-제10절 국민건강보험법의 벌칙-</v>
      </c>
    </row>
    <row r="105" spans="2:14" ht="14.45" hidden="1" customHeight="1" thickBot="1" x14ac:dyDescent="0.25">
      <c r="B105" s="121" t="s">
        <v>2624</v>
      </c>
      <c r="C105" s="122" t="s">
        <v>3032</v>
      </c>
      <c r="D105" s="41"/>
      <c r="E105" s="166"/>
      <c r="F105" s="42"/>
      <c r="G105" s="167"/>
      <c r="H105" s="123"/>
      <c r="I105" s="124"/>
      <c r="J105" s="125"/>
      <c r="K105" s="126"/>
      <c r="L105" s="127"/>
      <c r="M105" s="128"/>
      <c r="N105" s="129" t="str">
        <f t="shared" si="1"/>
        <v>제05장 국민건강보험법-제10절 국민건강보험법의 벌칙-</v>
      </c>
    </row>
    <row r="106" spans="2:14" ht="14.45" customHeight="1" x14ac:dyDescent="0.2">
      <c r="B106" s="100" t="s">
        <v>2627</v>
      </c>
      <c r="C106" s="101" t="s">
        <v>3034</v>
      </c>
      <c r="D106" s="102" t="s">
        <v>2628</v>
      </c>
      <c r="E106" s="155" t="s">
        <v>2668</v>
      </c>
      <c r="F106" s="169"/>
      <c r="G106" s="157" t="s">
        <v>3036</v>
      </c>
      <c r="H106" s="103" t="s">
        <v>2725</v>
      </c>
      <c r="I106" s="104"/>
      <c r="J106" s="105"/>
      <c r="K106" s="106"/>
      <c r="L106" s="107"/>
      <c r="M106" s="108"/>
      <c r="N106" s="154" t="str">
        <f t="shared" si="1"/>
        <v>제06장 고용산재보험료징수법-제01절 고용산재보험료징수법의 서설-</v>
      </c>
    </row>
    <row r="107" spans="2:14" ht="14.45" hidden="1" customHeight="1" x14ac:dyDescent="0.2">
      <c r="B107" s="110" t="s">
        <v>2626</v>
      </c>
      <c r="C107" s="111" t="s">
        <v>3035</v>
      </c>
      <c r="D107" s="29"/>
      <c r="E107" s="165"/>
      <c r="F107" s="30"/>
      <c r="G107" s="162"/>
      <c r="H107" s="130"/>
      <c r="I107" s="131"/>
      <c r="J107" s="132"/>
      <c r="K107" s="133"/>
      <c r="L107" s="134"/>
      <c r="M107" s="135"/>
      <c r="N107" s="136" t="str">
        <f t="shared" si="1"/>
        <v>제06장 고용산재보험료징수법-제01절 고용산재보험료징수법의 서설-</v>
      </c>
    </row>
    <row r="108" spans="2:14" ht="14.45" customHeight="1" x14ac:dyDescent="0.2">
      <c r="B108" s="110" t="s">
        <v>2626</v>
      </c>
      <c r="C108" s="112" t="s">
        <v>2607</v>
      </c>
      <c r="D108" s="113" t="s">
        <v>2628</v>
      </c>
      <c r="E108" s="164" t="s">
        <v>2668</v>
      </c>
      <c r="F108" s="170"/>
      <c r="G108" s="160" t="s">
        <v>2669</v>
      </c>
      <c r="H108" s="114" t="s">
        <v>2726</v>
      </c>
      <c r="I108" s="115"/>
      <c r="J108" s="116"/>
      <c r="K108" s="117"/>
      <c r="L108" s="118"/>
      <c r="M108" s="119"/>
      <c r="N108" s="137" t="str">
        <f t="shared" si="1"/>
        <v>제06장 고용산재보험료징수법-제02절 보험관계의 성립 및 소멸-</v>
      </c>
    </row>
    <row r="109" spans="2:14" ht="14.45" hidden="1" customHeight="1" x14ac:dyDescent="0.2">
      <c r="B109" s="110" t="s">
        <v>2626</v>
      </c>
      <c r="C109" s="111" t="s">
        <v>2606</v>
      </c>
      <c r="D109" s="29"/>
      <c r="E109" s="165"/>
      <c r="F109" s="30"/>
      <c r="G109" s="162"/>
      <c r="H109" s="130"/>
      <c r="I109" s="131"/>
      <c r="J109" s="132"/>
      <c r="K109" s="133"/>
      <c r="L109" s="134"/>
      <c r="M109" s="135"/>
      <c r="N109" s="136" t="str">
        <f t="shared" si="1"/>
        <v>제06장 고용산재보험료징수법-제02절 보험관계의 성립 및 소멸-</v>
      </c>
    </row>
    <row r="110" spans="2:14" ht="14.45" customHeight="1" x14ac:dyDescent="0.2">
      <c r="B110" s="110" t="s">
        <v>2626</v>
      </c>
      <c r="C110" s="112" t="s">
        <v>2609</v>
      </c>
      <c r="D110" s="113" t="s">
        <v>2628</v>
      </c>
      <c r="E110" s="164" t="s">
        <v>2668</v>
      </c>
      <c r="F110" s="170"/>
      <c r="G110" s="160" t="s">
        <v>2664</v>
      </c>
      <c r="H110" s="114" t="s">
        <v>2727</v>
      </c>
      <c r="I110" s="115"/>
      <c r="J110" s="116"/>
      <c r="K110" s="117"/>
      <c r="L110" s="118"/>
      <c r="M110" s="119"/>
      <c r="N110" s="137" t="str">
        <f t="shared" si="1"/>
        <v>제06장 고용산재보험료징수법-제03절 보험료-</v>
      </c>
    </row>
    <row r="111" spans="2:14" ht="14.45" hidden="1" customHeight="1" x14ac:dyDescent="0.2">
      <c r="B111" s="110" t="s">
        <v>2626</v>
      </c>
      <c r="C111" s="111" t="s">
        <v>2608</v>
      </c>
      <c r="D111" s="29"/>
      <c r="E111" s="165"/>
      <c r="F111" s="30"/>
      <c r="G111" s="162"/>
      <c r="H111" s="130"/>
      <c r="I111" s="131"/>
      <c r="J111" s="132"/>
      <c r="K111" s="133"/>
      <c r="L111" s="134"/>
      <c r="M111" s="135"/>
      <c r="N111" s="136" t="str">
        <f t="shared" si="1"/>
        <v>제06장 고용산재보험료징수법-제03절 보험료-</v>
      </c>
    </row>
    <row r="112" spans="2:14" ht="14.45" customHeight="1" x14ac:dyDescent="0.2">
      <c r="B112" s="110" t="s">
        <v>2626</v>
      </c>
      <c r="C112" s="112" t="s">
        <v>2611</v>
      </c>
      <c r="D112" s="113" t="s">
        <v>2628</v>
      </c>
      <c r="E112" s="164" t="s">
        <v>2668</v>
      </c>
      <c r="F112" s="170"/>
      <c r="G112" s="160" t="s">
        <v>2670</v>
      </c>
      <c r="H112" s="114" t="s">
        <v>2728</v>
      </c>
      <c r="I112" s="115"/>
      <c r="J112" s="116"/>
      <c r="K112" s="117"/>
      <c r="L112" s="118"/>
      <c r="M112" s="119"/>
      <c r="N112" s="137" t="str">
        <f t="shared" si="1"/>
        <v>제06장 고용산재보험료징수법-제04절 가산금, 연체금 등의 징수 및 납부 등-</v>
      </c>
    </row>
    <row r="113" spans="2:14" ht="14.45" hidden="1" customHeight="1" x14ac:dyDescent="0.2">
      <c r="B113" s="110" t="s">
        <v>2626</v>
      </c>
      <c r="C113" s="111" t="s">
        <v>2610</v>
      </c>
      <c r="D113" s="29"/>
      <c r="E113" s="165"/>
      <c r="F113" s="30"/>
      <c r="G113" s="162"/>
      <c r="H113" s="130"/>
      <c r="I113" s="131"/>
      <c r="J113" s="132"/>
      <c r="K113" s="133"/>
      <c r="L113" s="134"/>
      <c r="M113" s="135"/>
      <c r="N113" s="136" t="str">
        <f t="shared" si="1"/>
        <v>제06장 고용산재보험료징수법-제04절 가산금, 연체금 등의 징수 및 납부 등-</v>
      </c>
    </row>
    <row r="114" spans="2:14" ht="14.45" customHeight="1" x14ac:dyDescent="0.2">
      <c r="B114" s="110" t="s">
        <v>2626</v>
      </c>
      <c r="C114" s="112" t="s">
        <v>2613</v>
      </c>
      <c r="D114" s="113" t="s">
        <v>2628</v>
      </c>
      <c r="E114" s="164" t="s">
        <v>2668</v>
      </c>
      <c r="F114" s="170"/>
      <c r="G114" s="160" t="s">
        <v>2671</v>
      </c>
      <c r="H114" s="114" t="s">
        <v>2729</v>
      </c>
      <c r="I114" s="115"/>
      <c r="J114" s="116"/>
      <c r="K114" s="117"/>
      <c r="L114" s="118"/>
      <c r="M114" s="119"/>
      <c r="N114" s="137" t="str">
        <f t="shared" si="1"/>
        <v>제06장 고용산재보험료징수법-제05절 보험사무대행기관-</v>
      </c>
    </row>
    <row r="115" spans="2:14" ht="14.45" hidden="1" customHeight="1" x14ac:dyDescent="0.2">
      <c r="B115" s="110" t="s">
        <v>2626</v>
      </c>
      <c r="C115" s="111" t="s">
        <v>2612</v>
      </c>
      <c r="D115" s="29"/>
      <c r="E115" s="165"/>
      <c r="F115" s="30"/>
      <c r="G115" s="162"/>
      <c r="H115" s="130"/>
      <c r="I115" s="131"/>
      <c r="J115" s="132"/>
      <c r="K115" s="133"/>
      <c r="L115" s="134"/>
      <c r="M115" s="135"/>
      <c r="N115" s="136" t="str">
        <f t="shared" si="1"/>
        <v>제06장 고용산재보험료징수법-제05절 보험사무대행기관-</v>
      </c>
    </row>
    <row r="116" spans="2:14" ht="14.45" customHeight="1" x14ac:dyDescent="0.2">
      <c r="B116" s="110" t="s">
        <v>2626</v>
      </c>
      <c r="C116" s="112" t="s">
        <v>2615</v>
      </c>
      <c r="D116" s="113" t="s">
        <v>2628</v>
      </c>
      <c r="E116" s="164" t="s">
        <v>2668</v>
      </c>
      <c r="F116" s="170"/>
      <c r="G116" s="160" t="s">
        <v>2672</v>
      </c>
      <c r="H116" s="114" t="s">
        <v>2730</v>
      </c>
      <c r="I116" s="115"/>
      <c r="J116" s="116"/>
      <c r="K116" s="117"/>
      <c r="L116" s="118"/>
      <c r="M116" s="119"/>
      <c r="N116" s="137" t="str">
        <f t="shared" si="1"/>
        <v>제06장 고용산재보험료징수법-제06절 보험료의 수납절차 등-</v>
      </c>
    </row>
    <row r="117" spans="2:14" ht="14.45" hidden="1" customHeight="1" x14ac:dyDescent="0.2">
      <c r="B117" s="110" t="s">
        <v>2626</v>
      </c>
      <c r="C117" s="111" t="s">
        <v>2614</v>
      </c>
      <c r="D117" s="29"/>
      <c r="E117" s="165"/>
      <c r="F117" s="30"/>
      <c r="G117" s="162"/>
      <c r="H117" s="130"/>
      <c r="I117" s="131"/>
      <c r="J117" s="132"/>
      <c r="K117" s="133"/>
      <c r="L117" s="134"/>
      <c r="M117" s="135"/>
      <c r="N117" s="136" t="str">
        <f t="shared" si="1"/>
        <v>제06장 고용산재보험료징수법-제06절 보험료의 수납절차 등-</v>
      </c>
    </row>
    <row r="118" spans="2:14" ht="14.45" customHeight="1" x14ac:dyDescent="0.2">
      <c r="B118" s="110" t="s">
        <v>2626</v>
      </c>
      <c r="C118" s="112" t="s">
        <v>2617</v>
      </c>
      <c r="D118" s="113" t="s">
        <v>2628</v>
      </c>
      <c r="E118" s="164" t="s">
        <v>2668</v>
      </c>
      <c r="F118" s="170"/>
      <c r="G118" s="160" t="s">
        <v>2673</v>
      </c>
      <c r="H118" s="114" t="s">
        <v>2731</v>
      </c>
      <c r="I118" s="115"/>
      <c r="J118" s="116"/>
      <c r="K118" s="117"/>
      <c r="L118" s="118"/>
      <c r="M118" s="119"/>
      <c r="N118" s="137" t="str">
        <f t="shared" si="1"/>
        <v>제06장 고용산재보험료징수법-제07절 보험료의 시효 등-</v>
      </c>
    </row>
    <row r="119" spans="2:14" ht="14.45" hidden="1" customHeight="1" x14ac:dyDescent="0.2">
      <c r="B119" s="110" t="s">
        <v>2626</v>
      </c>
      <c r="C119" s="111" t="s">
        <v>2616</v>
      </c>
      <c r="D119" s="29"/>
      <c r="E119" s="165"/>
      <c r="F119" s="30"/>
      <c r="G119" s="162"/>
      <c r="H119" s="130"/>
      <c r="I119" s="131"/>
      <c r="J119" s="132"/>
      <c r="K119" s="133"/>
      <c r="L119" s="134"/>
      <c r="M119" s="135"/>
      <c r="N119" s="136" t="str">
        <f t="shared" si="1"/>
        <v>제06장 고용산재보험료징수법-제07절 보험료의 시효 등-</v>
      </c>
    </row>
    <row r="120" spans="2:14" ht="14.45" customHeight="1" x14ac:dyDescent="0.2">
      <c r="B120" s="110" t="s">
        <v>2626</v>
      </c>
      <c r="C120" s="112" t="s">
        <v>3042</v>
      </c>
      <c r="D120" s="113" t="s">
        <v>2628</v>
      </c>
      <c r="E120" s="164" t="s">
        <v>2668</v>
      </c>
      <c r="F120" s="170"/>
      <c r="G120" s="160" t="s">
        <v>3044</v>
      </c>
      <c r="H120" s="114" t="s">
        <v>2732</v>
      </c>
      <c r="I120" s="115"/>
      <c r="J120" s="116"/>
      <c r="K120" s="117"/>
      <c r="L120" s="118"/>
      <c r="M120" s="119"/>
      <c r="N120" s="137" t="str">
        <f t="shared" si="1"/>
        <v>제06장 고용산재보험료징수법-제08절 고용산재보험료징수법의 적용특례-</v>
      </c>
    </row>
    <row r="121" spans="2:14" ht="14.45" hidden="1" customHeight="1" x14ac:dyDescent="0.2">
      <c r="B121" s="110" t="s">
        <v>2626</v>
      </c>
      <c r="C121" s="111" t="s">
        <v>3043</v>
      </c>
      <c r="D121" s="29"/>
      <c r="E121" s="165"/>
      <c r="F121" s="30"/>
      <c r="G121" s="162"/>
      <c r="H121" s="130"/>
      <c r="I121" s="131"/>
      <c r="J121" s="132"/>
      <c r="K121" s="133"/>
      <c r="L121" s="134"/>
      <c r="M121" s="135"/>
      <c r="N121" s="136" t="str">
        <f t="shared" si="1"/>
        <v>제06장 고용산재보험료징수법-제08절 고용산재보험료징수법의 적용특례-</v>
      </c>
    </row>
    <row r="122" spans="2:14" ht="14.45" customHeight="1" x14ac:dyDescent="0.2">
      <c r="B122" s="110" t="s">
        <v>2626</v>
      </c>
      <c r="C122" s="112" t="s">
        <v>3039</v>
      </c>
      <c r="D122" s="113" t="s">
        <v>2628</v>
      </c>
      <c r="E122" s="164" t="s">
        <v>2668</v>
      </c>
      <c r="F122" s="159"/>
      <c r="G122" s="160" t="s">
        <v>3037</v>
      </c>
      <c r="H122" s="114" t="s">
        <v>2733</v>
      </c>
      <c r="I122" s="115"/>
      <c r="J122" s="116"/>
      <c r="K122" s="117"/>
      <c r="L122" s="118"/>
      <c r="M122" s="119"/>
      <c r="N122" s="120" t="str">
        <f t="shared" si="1"/>
        <v>제06장 고용산재보험료징수법-제09절 고용산재보험료징수법의 벌칙-</v>
      </c>
    </row>
    <row r="123" spans="2:14" ht="14.45" hidden="1" customHeight="1" thickBot="1" x14ac:dyDescent="0.25">
      <c r="B123" s="121" t="s">
        <v>2626</v>
      </c>
      <c r="C123" s="139" t="s">
        <v>3040</v>
      </c>
      <c r="D123" s="41"/>
      <c r="E123" s="166"/>
      <c r="F123" s="42"/>
      <c r="G123" s="167"/>
      <c r="H123" s="123"/>
      <c r="I123" s="124"/>
      <c r="J123" s="125"/>
      <c r="K123" s="126"/>
      <c r="L123" s="127"/>
      <c r="M123" s="128"/>
      <c r="N123" s="129" t="str">
        <f t="shared" si="1"/>
        <v>제06장 고용산재보험료징수법-제09절 고용산재보험료징수법의 벌칙-</v>
      </c>
    </row>
  </sheetData>
  <autoFilter ref="B3:N123" xr:uid="{F152053D-6840-4F11-85E4-273300A555D9}">
    <filterColumn colId="2">
      <customFilters>
        <customFilter operator="notEqual" val=" "/>
      </customFilters>
    </filterColumn>
  </autoFilter>
  <mergeCells count="4">
    <mergeCell ref="B2:C2"/>
    <mergeCell ref="D2:G2"/>
    <mergeCell ref="H2:I2"/>
    <mergeCell ref="L2:M2"/>
  </mergeCells>
  <phoneticPr fontId="2" type="noConversion"/>
  <conditionalFormatting sqref="B4:N123">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A7878688-EA69-46FE-A538-154DAFD02F90}">
          <x14:formula1>
            <xm:f>설정!$B$6:$B$11</xm:f>
          </x14:formula1>
          <xm:sqref>D4:D123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245DD-3465-4150-AC99-273C6328AF84}">
  <sheetPr codeName="Sheet11"/>
  <dimension ref="B1:O20"/>
  <sheetViews>
    <sheetView showGridLines="0" zoomScaleNormal="100" workbookViewId="0">
      <pane ySplit="2" topLeftCell="A3" activePane="bottomLeft" state="frozen"/>
      <selection activeCell="K25" sqref="K25"/>
      <selection pane="bottomLeft" activeCell="J24" sqref="J24"/>
    </sheetView>
  </sheetViews>
  <sheetFormatPr defaultRowHeight="14.45" customHeight="1" x14ac:dyDescent="0.2"/>
  <cols>
    <col min="1" max="1" width="1.28515625" style="141" customWidth="1"/>
    <col min="2" max="2" width="50.7109375" style="141" customWidth="1"/>
    <col min="3" max="3" width="9.7109375" style="142" customWidth="1"/>
    <col min="4" max="4" width="4.42578125" style="142" customWidth="1"/>
    <col min="5" max="6" width="9.140625" style="141"/>
    <col min="7" max="9" width="9.140625" style="5"/>
    <col min="10" max="15" width="9.140625" style="142"/>
    <col min="16" max="16384" width="9.140625" style="141"/>
  </cols>
  <sheetData>
    <row r="1" spans="2:9" ht="14.45" customHeight="1" thickBot="1" x14ac:dyDescent="0.25"/>
    <row r="2" spans="2:9" s="142" customFormat="1" ht="14.45" customHeight="1" thickBot="1" x14ac:dyDescent="0.25">
      <c r="B2" s="201" t="s">
        <v>2476</v>
      </c>
      <c r="C2" s="202"/>
      <c r="D2" s="143" t="s">
        <v>2494</v>
      </c>
      <c r="E2" s="141"/>
      <c r="F2" s="141"/>
      <c r="G2" s="5"/>
      <c r="H2" s="5"/>
      <c r="I2" s="5"/>
    </row>
    <row r="3" spans="2:9" s="142" customFormat="1" ht="14.45" customHeight="1" x14ac:dyDescent="0.2">
      <c r="B3" s="144" t="s">
        <v>2499</v>
      </c>
      <c r="C3" s="145" t="s">
        <v>2495</v>
      </c>
      <c r="D3" s="146" t="s">
        <v>2510</v>
      </c>
      <c r="E3" s="141"/>
      <c r="F3" s="141"/>
      <c r="G3" s="5"/>
      <c r="H3" s="5"/>
      <c r="I3" s="147"/>
    </row>
    <row r="4" spans="2:9" s="142" customFormat="1" ht="14.45" customHeight="1" x14ac:dyDescent="0.2">
      <c r="B4" s="110" t="s">
        <v>2498</v>
      </c>
      <c r="C4" s="148" t="s">
        <v>2496</v>
      </c>
      <c r="D4" s="149" t="s">
        <v>2511</v>
      </c>
      <c r="E4" s="141"/>
      <c r="F4" s="141"/>
      <c r="G4" s="5"/>
      <c r="H4" s="5"/>
      <c r="I4" s="5"/>
    </row>
    <row r="5" spans="2:9" s="142" customFormat="1" ht="14.45" customHeight="1" thickBot="1" x14ac:dyDescent="0.25">
      <c r="B5" s="121" t="s">
        <v>2498</v>
      </c>
      <c r="C5" s="150" t="s">
        <v>2497</v>
      </c>
      <c r="D5" s="151" t="s">
        <v>2512</v>
      </c>
      <c r="E5" s="141"/>
      <c r="F5" s="141"/>
      <c r="G5" s="5"/>
      <c r="H5" s="5"/>
      <c r="I5" s="5"/>
    </row>
    <row r="6" spans="2:9" s="142" customFormat="1" ht="14.45" customHeight="1" x14ac:dyDescent="0.2">
      <c r="B6" s="152" t="s">
        <v>2501</v>
      </c>
      <c r="C6" s="145" t="s">
        <v>2495</v>
      </c>
      <c r="D6" s="146" t="s">
        <v>2513</v>
      </c>
      <c r="E6" s="141"/>
      <c r="F6" s="141"/>
      <c r="G6" s="5"/>
      <c r="H6" s="5"/>
      <c r="I6" s="5"/>
    </row>
    <row r="7" spans="2:9" s="142" customFormat="1" ht="14.45" customHeight="1" x14ac:dyDescent="0.2">
      <c r="B7" s="110" t="s">
        <v>2500</v>
      </c>
      <c r="C7" s="148" t="s">
        <v>2496</v>
      </c>
      <c r="D7" s="149" t="s">
        <v>2514</v>
      </c>
      <c r="E7" s="141"/>
      <c r="F7" s="141"/>
      <c r="G7" s="5"/>
      <c r="H7" s="5"/>
      <c r="I7" s="5"/>
    </row>
    <row r="8" spans="2:9" s="142" customFormat="1" ht="14.45" customHeight="1" thickBot="1" x14ac:dyDescent="0.25">
      <c r="B8" s="110" t="s">
        <v>2500</v>
      </c>
      <c r="C8" s="150" t="s">
        <v>2497</v>
      </c>
      <c r="D8" s="151" t="s">
        <v>2515</v>
      </c>
      <c r="E8" s="141"/>
      <c r="F8" s="141"/>
      <c r="G8" s="5"/>
      <c r="H8" s="5"/>
      <c r="I8" s="5"/>
    </row>
    <row r="9" spans="2:9" s="142" customFormat="1" ht="14.45" customHeight="1" x14ac:dyDescent="0.2">
      <c r="B9" s="144" t="s">
        <v>2503</v>
      </c>
      <c r="C9" s="145" t="s">
        <v>2495</v>
      </c>
      <c r="D9" s="146" t="s">
        <v>2516</v>
      </c>
      <c r="E9" s="141"/>
      <c r="F9" s="141"/>
      <c r="G9" s="5"/>
      <c r="H9" s="5"/>
      <c r="I9" s="5"/>
    </row>
    <row r="10" spans="2:9" s="142" customFormat="1" ht="14.45" customHeight="1" x14ac:dyDescent="0.2">
      <c r="B10" s="110" t="s">
        <v>2502</v>
      </c>
      <c r="C10" s="148" t="s">
        <v>2496</v>
      </c>
      <c r="D10" s="149" t="s">
        <v>2517</v>
      </c>
      <c r="E10" s="141"/>
      <c r="F10" s="141"/>
      <c r="G10" s="5"/>
      <c r="H10" s="5"/>
      <c r="I10" s="5"/>
    </row>
    <row r="11" spans="2:9" s="142" customFormat="1" ht="14.45" customHeight="1" thickBot="1" x14ac:dyDescent="0.25">
      <c r="B11" s="121" t="s">
        <v>2502</v>
      </c>
      <c r="C11" s="150" t="s">
        <v>2497</v>
      </c>
      <c r="D11" s="151" t="s">
        <v>2518</v>
      </c>
      <c r="E11" s="141"/>
      <c r="F11" s="141"/>
      <c r="G11" s="5"/>
      <c r="H11" s="5"/>
      <c r="I11" s="5"/>
    </row>
    <row r="12" spans="2:9" s="142" customFormat="1" ht="14.45" customHeight="1" x14ac:dyDescent="0.2">
      <c r="B12" s="100" t="s">
        <v>2505</v>
      </c>
      <c r="C12" s="145" t="s">
        <v>2495</v>
      </c>
      <c r="D12" s="146" t="s">
        <v>2519</v>
      </c>
      <c r="E12" s="141"/>
      <c r="F12" s="141"/>
      <c r="G12" s="5"/>
      <c r="H12" s="5"/>
      <c r="I12" s="5"/>
    </row>
    <row r="13" spans="2:9" s="142" customFormat="1" ht="14.45" customHeight="1" x14ac:dyDescent="0.2">
      <c r="B13" s="110" t="s">
        <v>2504</v>
      </c>
      <c r="C13" s="148" t="s">
        <v>2496</v>
      </c>
      <c r="D13" s="149" t="s">
        <v>2520</v>
      </c>
      <c r="E13" s="141"/>
      <c r="F13" s="141"/>
      <c r="G13" s="5"/>
      <c r="H13" s="5"/>
      <c r="I13" s="5"/>
    </row>
    <row r="14" spans="2:9" s="142" customFormat="1" ht="14.45" customHeight="1" thickBot="1" x14ac:dyDescent="0.25">
      <c r="B14" s="121" t="s">
        <v>2504</v>
      </c>
      <c r="C14" s="150" t="s">
        <v>2497</v>
      </c>
      <c r="D14" s="151" t="s">
        <v>2521</v>
      </c>
      <c r="E14" s="141"/>
      <c r="F14" s="141"/>
      <c r="G14" s="5"/>
      <c r="H14" s="5"/>
      <c r="I14" s="5"/>
    </row>
    <row r="15" spans="2:9" s="142" customFormat="1" ht="14.45" customHeight="1" x14ac:dyDescent="0.2">
      <c r="B15" s="100" t="s">
        <v>2507</v>
      </c>
      <c r="C15" s="145" t="s">
        <v>2495</v>
      </c>
      <c r="D15" s="146" t="s">
        <v>2522</v>
      </c>
      <c r="E15" s="141"/>
      <c r="F15" s="141"/>
      <c r="G15" s="5"/>
      <c r="H15" s="5"/>
      <c r="I15" s="5"/>
    </row>
    <row r="16" spans="2:9" s="142" customFormat="1" ht="14.45" customHeight="1" x14ac:dyDescent="0.2">
      <c r="B16" s="110" t="s">
        <v>2506</v>
      </c>
      <c r="C16" s="148" t="s">
        <v>2496</v>
      </c>
      <c r="D16" s="149" t="s">
        <v>2523</v>
      </c>
      <c r="E16" s="141"/>
      <c r="F16" s="141"/>
      <c r="G16" s="5"/>
      <c r="H16" s="5"/>
      <c r="I16" s="5"/>
    </row>
    <row r="17" spans="2:9" s="142" customFormat="1" ht="14.45" customHeight="1" thickBot="1" x14ac:dyDescent="0.25">
      <c r="B17" s="121" t="s">
        <v>2506</v>
      </c>
      <c r="C17" s="150" t="s">
        <v>2497</v>
      </c>
      <c r="D17" s="151" t="s">
        <v>2524</v>
      </c>
      <c r="E17" s="141"/>
      <c r="F17" s="141"/>
      <c r="G17" s="5"/>
      <c r="H17" s="5"/>
      <c r="I17" s="5"/>
    </row>
    <row r="18" spans="2:9" s="142" customFormat="1" ht="14.45" customHeight="1" x14ac:dyDescent="0.2">
      <c r="B18" s="100" t="s">
        <v>2509</v>
      </c>
      <c r="C18" s="145" t="s">
        <v>2495</v>
      </c>
      <c r="D18" s="146" t="s">
        <v>2525</v>
      </c>
      <c r="E18" s="141"/>
      <c r="F18" s="141"/>
      <c r="G18" s="5"/>
      <c r="H18" s="5"/>
      <c r="I18" s="5"/>
    </row>
    <row r="19" spans="2:9" s="142" customFormat="1" ht="14.45" customHeight="1" x14ac:dyDescent="0.2">
      <c r="B19" s="110" t="s">
        <v>2508</v>
      </c>
      <c r="C19" s="148" t="s">
        <v>2496</v>
      </c>
      <c r="D19" s="149" t="s">
        <v>2526</v>
      </c>
      <c r="E19" s="141"/>
      <c r="F19" s="141"/>
      <c r="G19" s="5"/>
      <c r="H19" s="5"/>
      <c r="I19" s="5"/>
    </row>
    <row r="20" spans="2:9" s="142" customFormat="1" ht="14.45" customHeight="1" thickBot="1" x14ac:dyDescent="0.25">
      <c r="B20" s="121" t="s">
        <v>2508</v>
      </c>
      <c r="C20" s="150" t="s">
        <v>2497</v>
      </c>
      <c r="D20" s="151" t="s">
        <v>2527</v>
      </c>
      <c r="E20" s="141"/>
      <c r="F20" s="141"/>
      <c r="G20" s="5"/>
      <c r="H20" s="5"/>
      <c r="I20" s="5"/>
    </row>
  </sheetData>
  <mergeCells count="1">
    <mergeCell ref="B2:C2"/>
  </mergeCells>
  <phoneticPr fontId="2" type="noConversion"/>
  <conditionalFormatting sqref="B3:D20">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9C836-155A-410F-96D6-AAB1343A1F9C}">
  <sheetPr codeName="Sheet19">
    <pageSetUpPr fitToPage="1"/>
  </sheetPr>
  <dimension ref="B2:V70"/>
  <sheetViews>
    <sheetView showGridLines="0" zoomScaleNormal="100" workbookViewId="0">
      <pane ySplit="3" topLeftCell="A4" activePane="bottomLeft" state="frozen"/>
      <selection activeCell="H15" sqref="H15"/>
      <selection pane="bottomLeft" activeCell="B3" sqref="B3"/>
    </sheetView>
  </sheetViews>
  <sheetFormatPr defaultRowHeight="14.45" customHeight="1" x14ac:dyDescent="0.2"/>
  <cols>
    <col min="1" max="1" width="1.28515625" style="90" customWidth="1"/>
    <col min="2" max="2" width="40.7109375" style="90" customWidth="1"/>
    <col min="3" max="3" width="45.7109375" style="90" customWidth="1"/>
    <col min="4" max="20" width="5.7109375" style="90" customWidth="1"/>
    <col min="21" max="21" width="4.42578125" style="91" customWidth="1"/>
    <col min="22" max="22" width="0" style="90" hidden="1" customWidth="1"/>
    <col min="23" max="16384" width="9.140625" style="90"/>
  </cols>
  <sheetData>
    <row r="2" spans="2:22" ht="14.45" customHeight="1" thickBot="1" x14ac:dyDescent="0.25">
      <c r="B2" s="175" t="s">
        <v>3045</v>
      </c>
    </row>
    <row r="3" spans="2:22" ht="14.45" customHeight="1" thickBot="1" x14ac:dyDescent="0.25">
      <c r="B3" s="6" t="s">
        <v>2487</v>
      </c>
      <c r="C3" s="176" t="s">
        <v>2488</v>
      </c>
      <c r="D3" s="176">
        <v>2010</v>
      </c>
      <c r="E3" s="176">
        <v>2011</v>
      </c>
      <c r="F3" s="176">
        <v>2012</v>
      </c>
      <c r="G3" s="176">
        <v>2013</v>
      </c>
      <c r="H3" s="176">
        <v>2014</v>
      </c>
      <c r="I3" s="176">
        <v>2015</v>
      </c>
      <c r="J3" s="176">
        <v>2016</v>
      </c>
      <c r="K3" s="176">
        <v>2017</v>
      </c>
      <c r="L3" s="176">
        <v>2018</v>
      </c>
      <c r="M3" s="176">
        <v>2019</v>
      </c>
      <c r="N3" s="176">
        <v>2020</v>
      </c>
      <c r="O3" s="176">
        <v>2021</v>
      </c>
      <c r="P3" s="176">
        <v>2022</v>
      </c>
      <c r="Q3" s="176">
        <v>2023</v>
      </c>
      <c r="R3" s="176">
        <v>2024</v>
      </c>
      <c r="S3" s="176">
        <v>2025</v>
      </c>
      <c r="T3" s="176">
        <v>2026</v>
      </c>
      <c r="U3" s="92" t="s">
        <v>2471</v>
      </c>
    </row>
    <row r="4" spans="2:22" ht="14.45" customHeight="1" x14ac:dyDescent="0.2">
      <c r="B4" s="188" t="s">
        <v>2528</v>
      </c>
      <c r="C4" s="177" t="s">
        <v>2984</v>
      </c>
      <c r="D4" s="178">
        <f>COUNTIFS(기출문제!$H:$H,기출빈도!$V4,기출문제!$C:$C,기출빈도!D$3)</f>
        <v>0</v>
      </c>
      <c r="E4" s="178">
        <f>COUNTIFS(기출문제!$H:$H,기출빈도!$V4,기출문제!$C:$C,기출빈도!E$3)</f>
        <v>0</v>
      </c>
      <c r="F4" s="178">
        <f>COUNTIFS(기출문제!$H:$H,기출빈도!$V4,기출문제!$C:$C,기출빈도!F$3)</f>
        <v>0</v>
      </c>
      <c r="G4" s="178">
        <f>COUNTIFS(기출문제!$H:$H,기출빈도!$V4,기출문제!$C:$C,기출빈도!G$3)</f>
        <v>0</v>
      </c>
      <c r="H4" s="178">
        <f>COUNTIFS(기출문제!$H:$H,기출빈도!$V4,기출문제!$C:$C,기출빈도!H$3)</f>
        <v>0</v>
      </c>
      <c r="I4" s="178">
        <f>COUNTIFS(기출문제!$H:$H,기출빈도!$V4,기출문제!$C:$C,기출빈도!I$3)</f>
        <v>0</v>
      </c>
      <c r="J4" s="178">
        <f>COUNTIFS(기출문제!$H:$H,기출빈도!$V4,기출문제!$C:$C,기출빈도!J$3)</f>
        <v>0</v>
      </c>
      <c r="K4" s="178">
        <f>COUNTIFS(기출문제!$H:$H,기출빈도!$V4,기출문제!$C:$C,기출빈도!K$3)</f>
        <v>0</v>
      </c>
      <c r="L4" s="178">
        <f>COUNTIFS(기출문제!$H:$H,기출빈도!$V4,기출문제!$C:$C,기출빈도!L$3)</f>
        <v>0</v>
      </c>
      <c r="M4" s="178">
        <f>COUNTIFS(기출문제!$H:$H,기출빈도!$V4,기출문제!$C:$C,기출빈도!M$3)</f>
        <v>0</v>
      </c>
      <c r="N4" s="178">
        <f>COUNTIFS(기출문제!$H:$H,기출빈도!$V4,기출문제!$C:$C,기출빈도!N$3)</f>
        <v>0</v>
      </c>
      <c r="O4" s="178">
        <f>COUNTIFS(기출문제!$H:$H,기출빈도!$V4,기출문제!$C:$C,기출빈도!O$3)</f>
        <v>0</v>
      </c>
      <c r="P4" s="178">
        <f>COUNTIFS(기출문제!$H:$H,기출빈도!$V4,기출문제!$C:$C,기출빈도!P$3)</f>
        <v>0</v>
      </c>
      <c r="Q4" s="178">
        <f>COUNTIFS(기출문제!$H:$H,기출빈도!$V4,기출문제!$C:$C,기출빈도!Q$3)</f>
        <v>0</v>
      </c>
      <c r="R4" s="178">
        <f>COUNTIFS(기출문제!$H:$H,기출빈도!$V4,기출문제!$C:$C,기출빈도!R$3)</f>
        <v>0</v>
      </c>
      <c r="S4" s="178">
        <f>COUNTIFS(기출문제!$H:$H,기출빈도!$V4,기출문제!$C:$C,기출빈도!S$3)</f>
        <v>0</v>
      </c>
      <c r="T4" s="178">
        <f>COUNTIFS(기출문제!$H:$H,기출빈도!$V4,기출문제!$C:$C,기출빈도!T$3)</f>
        <v>0</v>
      </c>
      <c r="U4" s="179" t="s">
        <v>2674</v>
      </c>
      <c r="V4" s="90" t="str">
        <f>MID(C4, 6, 30)</f>
        <v>사회보장기본법의 서설</v>
      </c>
    </row>
    <row r="5" spans="2:22" ht="14.45" customHeight="1" x14ac:dyDescent="0.2">
      <c r="B5" s="187" t="s">
        <v>2528</v>
      </c>
      <c r="C5" s="180" t="s">
        <v>2530</v>
      </c>
      <c r="D5" s="181">
        <f>COUNTIFS(기출문제!$H:$H,기출빈도!$V5,기출문제!$C:$C,기출빈도!D$3)</f>
        <v>0</v>
      </c>
      <c r="E5" s="181">
        <f>COUNTIFS(기출문제!$H:$H,기출빈도!$V5,기출문제!$C:$C,기출빈도!E$3)</f>
        <v>0</v>
      </c>
      <c r="F5" s="181">
        <f>COUNTIFS(기출문제!$H:$H,기출빈도!$V5,기출문제!$C:$C,기출빈도!F$3)</f>
        <v>0</v>
      </c>
      <c r="G5" s="181">
        <f>COUNTIFS(기출문제!$H:$H,기출빈도!$V5,기출문제!$C:$C,기출빈도!G$3)</f>
        <v>0</v>
      </c>
      <c r="H5" s="181">
        <f>COUNTIFS(기출문제!$H:$H,기출빈도!$V5,기출문제!$C:$C,기출빈도!H$3)</f>
        <v>0</v>
      </c>
      <c r="I5" s="181">
        <f>COUNTIFS(기출문제!$H:$H,기출빈도!$V5,기출문제!$C:$C,기출빈도!I$3)</f>
        <v>0</v>
      </c>
      <c r="J5" s="181">
        <f>COUNTIFS(기출문제!$H:$H,기출빈도!$V5,기출문제!$C:$C,기출빈도!J$3)</f>
        <v>0</v>
      </c>
      <c r="K5" s="181">
        <f>COUNTIFS(기출문제!$H:$H,기출빈도!$V5,기출문제!$C:$C,기출빈도!K$3)</f>
        <v>0</v>
      </c>
      <c r="L5" s="181">
        <f>COUNTIFS(기출문제!$H:$H,기출빈도!$V5,기출문제!$C:$C,기출빈도!L$3)</f>
        <v>0</v>
      </c>
      <c r="M5" s="181">
        <f>COUNTIFS(기출문제!$H:$H,기출빈도!$V5,기출문제!$C:$C,기출빈도!M$3)</f>
        <v>0</v>
      </c>
      <c r="N5" s="181">
        <f>COUNTIFS(기출문제!$H:$H,기출빈도!$V5,기출문제!$C:$C,기출빈도!N$3)</f>
        <v>0</v>
      </c>
      <c r="O5" s="181">
        <f>COUNTIFS(기출문제!$H:$H,기출빈도!$V5,기출문제!$C:$C,기출빈도!O$3)</f>
        <v>0</v>
      </c>
      <c r="P5" s="181">
        <f>COUNTIFS(기출문제!$H:$H,기출빈도!$V5,기출문제!$C:$C,기출빈도!P$3)</f>
        <v>0</v>
      </c>
      <c r="Q5" s="181">
        <f>COUNTIFS(기출문제!$H:$H,기출빈도!$V5,기출문제!$C:$C,기출빈도!Q$3)</f>
        <v>0</v>
      </c>
      <c r="R5" s="181">
        <f>COUNTIFS(기출문제!$H:$H,기출빈도!$V5,기출문제!$C:$C,기출빈도!R$3)</f>
        <v>0</v>
      </c>
      <c r="S5" s="181">
        <f>COUNTIFS(기출문제!$H:$H,기출빈도!$V5,기출문제!$C:$C,기출빈도!S$3)</f>
        <v>0</v>
      </c>
      <c r="T5" s="181">
        <f>COUNTIFS(기출문제!$H:$H,기출빈도!$V5,기출문제!$C:$C,기출빈도!T$3)</f>
        <v>0</v>
      </c>
      <c r="U5" s="182" t="s">
        <v>2675</v>
      </c>
      <c r="V5" s="90" t="str">
        <f t="shared" ref="V5:V69" si="0">MID(C5, 6, 30)</f>
        <v>사회보장의 책임</v>
      </c>
    </row>
    <row r="6" spans="2:22" ht="14.45" customHeight="1" x14ac:dyDescent="0.2">
      <c r="B6" s="187" t="s">
        <v>2528</v>
      </c>
      <c r="C6" s="180" t="s">
        <v>2532</v>
      </c>
      <c r="D6" s="181">
        <f>COUNTIFS(기출문제!$H:$H,기출빈도!$V6,기출문제!$C:$C,기출빈도!D$3)</f>
        <v>0</v>
      </c>
      <c r="E6" s="181">
        <f>COUNTIFS(기출문제!$H:$H,기출빈도!$V6,기출문제!$C:$C,기출빈도!E$3)</f>
        <v>0</v>
      </c>
      <c r="F6" s="181">
        <f>COUNTIFS(기출문제!$H:$H,기출빈도!$V6,기출문제!$C:$C,기출빈도!F$3)</f>
        <v>0</v>
      </c>
      <c r="G6" s="181">
        <f>COUNTIFS(기출문제!$H:$H,기출빈도!$V6,기출문제!$C:$C,기출빈도!G$3)</f>
        <v>0</v>
      </c>
      <c r="H6" s="181">
        <f>COUNTIFS(기출문제!$H:$H,기출빈도!$V6,기출문제!$C:$C,기출빈도!H$3)</f>
        <v>0</v>
      </c>
      <c r="I6" s="181">
        <f>COUNTIFS(기출문제!$H:$H,기출빈도!$V6,기출문제!$C:$C,기출빈도!I$3)</f>
        <v>0</v>
      </c>
      <c r="J6" s="181">
        <f>COUNTIFS(기출문제!$H:$H,기출빈도!$V6,기출문제!$C:$C,기출빈도!J$3)</f>
        <v>0</v>
      </c>
      <c r="K6" s="181">
        <f>COUNTIFS(기출문제!$H:$H,기출빈도!$V6,기출문제!$C:$C,기출빈도!K$3)</f>
        <v>0</v>
      </c>
      <c r="L6" s="181">
        <f>COUNTIFS(기출문제!$H:$H,기출빈도!$V6,기출문제!$C:$C,기출빈도!L$3)</f>
        <v>0</v>
      </c>
      <c r="M6" s="181">
        <f>COUNTIFS(기출문제!$H:$H,기출빈도!$V6,기출문제!$C:$C,기출빈도!M$3)</f>
        <v>0</v>
      </c>
      <c r="N6" s="181">
        <f>COUNTIFS(기출문제!$H:$H,기출빈도!$V6,기출문제!$C:$C,기출빈도!N$3)</f>
        <v>0</v>
      </c>
      <c r="O6" s="181">
        <f>COUNTIFS(기출문제!$H:$H,기출빈도!$V6,기출문제!$C:$C,기출빈도!O$3)</f>
        <v>0</v>
      </c>
      <c r="P6" s="181">
        <f>COUNTIFS(기출문제!$H:$H,기출빈도!$V6,기출문제!$C:$C,기출빈도!P$3)</f>
        <v>0</v>
      </c>
      <c r="Q6" s="181">
        <f>COUNTIFS(기출문제!$H:$H,기출빈도!$V6,기출문제!$C:$C,기출빈도!Q$3)</f>
        <v>0</v>
      </c>
      <c r="R6" s="181">
        <f>COUNTIFS(기출문제!$H:$H,기출빈도!$V6,기출문제!$C:$C,기출빈도!R$3)</f>
        <v>0</v>
      </c>
      <c r="S6" s="181">
        <f>COUNTIFS(기출문제!$H:$H,기출빈도!$V6,기출문제!$C:$C,기출빈도!S$3)</f>
        <v>0</v>
      </c>
      <c r="T6" s="181">
        <f>COUNTIFS(기출문제!$H:$H,기출빈도!$V6,기출문제!$C:$C,기출빈도!T$3)</f>
        <v>0</v>
      </c>
      <c r="U6" s="182" t="s">
        <v>2676</v>
      </c>
      <c r="V6" s="90" t="str">
        <f t="shared" si="0"/>
        <v>사회보장을 받을 권리(사회보장수급권)</v>
      </c>
    </row>
    <row r="7" spans="2:22" ht="14.45" customHeight="1" x14ac:dyDescent="0.2">
      <c r="B7" s="187" t="s">
        <v>2528</v>
      </c>
      <c r="C7" s="180" t="s">
        <v>2534</v>
      </c>
      <c r="D7" s="181">
        <f>COUNTIFS(기출문제!$H:$H,기출빈도!$V7,기출문제!$C:$C,기출빈도!D$3)</f>
        <v>0</v>
      </c>
      <c r="E7" s="181">
        <f>COUNTIFS(기출문제!$H:$H,기출빈도!$V7,기출문제!$C:$C,기출빈도!E$3)</f>
        <v>0</v>
      </c>
      <c r="F7" s="181">
        <f>COUNTIFS(기출문제!$H:$H,기출빈도!$V7,기출문제!$C:$C,기출빈도!F$3)</f>
        <v>0</v>
      </c>
      <c r="G7" s="181">
        <f>COUNTIFS(기출문제!$H:$H,기출빈도!$V7,기출문제!$C:$C,기출빈도!G$3)</f>
        <v>0</v>
      </c>
      <c r="H7" s="181">
        <f>COUNTIFS(기출문제!$H:$H,기출빈도!$V7,기출문제!$C:$C,기출빈도!H$3)</f>
        <v>0</v>
      </c>
      <c r="I7" s="181">
        <f>COUNTIFS(기출문제!$H:$H,기출빈도!$V7,기출문제!$C:$C,기출빈도!I$3)</f>
        <v>0</v>
      </c>
      <c r="J7" s="181">
        <f>COUNTIFS(기출문제!$H:$H,기출빈도!$V7,기출문제!$C:$C,기출빈도!J$3)</f>
        <v>0</v>
      </c>
      <c r="K7" s="181">
        <f>COUNTIFS(기출문제!$H:$H,기출빈도!$V7,기출문제!$C:$C,기출빈도!K$3)</f>
        <v>0</v>
      </c>
      <c r="L7" s="181">
        <f>COUNTIFS(기출문제!$H:$H,기출빈도!$V7,기출문제!$C:$C,기출빈도!L$3)</f>
        <v>0</v>
      </c>
      <c r="M7" s="181">
        <f>COUNTIFS(기출문제!$H:$H,기출빈도!$V7,기출문제!$C:$C,기출빈도!M$3)</f>
        <v>0</v>
      </c>
      <c r="N7" s="181">
        <f>COUNTIFS(기출문제!$H:$H,기출빈도!$V7,기출문제!$C:$C,기출빈도!N$3)</f>
        <v>0</v>
      </c>
      <c r="O7" s="181">
        <f>COUNTIFS(기출문제!$H:$H,기출빈도!$V7,기출문제!$C:$C,기출빈도!O$3)</f>
        <v>0</v>
      </c>
      <c r="P7" s="181">
        <f>COUNTIFS(기출문제!$H:$H,기출빈도!$V7,기출문제!$C:$C,기출빈도!P$3)</f>
        <v>0</v>
      </c>
      <c r="Q7" s="181">
        <f>COUNTIFS(기출문제!$H:$H,기출빈도!$V7,기출문제!$C:$C,기출빈도!Q$3)</f>
        <v>0</v>
      </c>
      <c r="R7" s="181">
        <f>COUNTIFS(기출문제!$H:$H,기출빈도!$V7,기출문제!$C:$C,기출빈도!R$3)</f>
        <v>0</v>
      </c>
      <c r="S7" s="181">
        <f>COUNTIFS(기출문제!$H:$H,기출빈도!$V7,기출문제!$C:$C,기출빈도!S$3)</f>
        <v>0</v>
      </c>
      <c r="T7" s="181">
        <f>COUNTIFS(기출문제!$H:$H,기출빈도!$V7,기출문제!$C:$C,기출빈도!T$3)</f>
        <v>0</v>
      </c>
      <c r="U7" s="182" t="s">
        <v>2677</v>
      </c>
      <c r="V7" s="90" t="str">
        <f t="shared" si="0"/>
        <v>사회보장 계획의 수립</v>
      </c>
    </row>
    <row r="8" spans="2:22" ht="14.45" customHeight="1" x14ac:dyDescent="0.2">
      <c r="B8" s="187" t="s">
        <v>2528</v>
      </c>
      <c r="C8" s="180" t="s">
        <v>2536</v>
      </c>
      <c r="D8" s="193"/>
      <c r="E8" s="193"/>
      <c r="F8" s="193"/>
      <c r="G8" s="193"/>
      <c r="H8" s="193"/>
      <c r="I8" s="193"/>
      <c r="J8" s="193"/>
      <c r="K8" s="193"/>
      <c r="L8" s="193"/>
      <c r="M8" s="193"/>
      <c r="N8" s="193"/>
      <c r="O8" s="193"/>
      <c r="P8" s="193"/>
      <c r="Q8" s="193"/>
      <c r="R8" s="193"/>
      <c r="S8" s="193"/>
      <c r="T8" s="193"/>
      <c r="U8" s="194" t="s">
        <v>2678</v>
      </c>
    </row>
    <row r="9" spans="2:22" ht="14.45" customHeight="1" x14ac:dyDescent="0.2">
      <c r="B9" s="187" t="s">
        <v>2528</v>
      </c>
      <c r="C9" s="180" t="s">
        <v>2538</v>
      </c>
      <c r="D9" s="193"/>
      <c r="E9" s="193"/>
      <c r="F9" s="193"/>
      <c r="G9" s="193"/>
      <c r="H9" s="193"/>
      <c r="I9" s="193"/>
      <c r="J9" s="193"/>
      <c r="K9" s="193"/>
      <c r="L9" s="193"/>
      <c r="M9" s="193"/>
      <c r="N9" s="193"/>
      <c r="O9" s="193"/>
      <c r="P9" s="193"/>
      <c r="Q9" s="193"/>
      <c r="R9" s="193"/>
      <c r="S9" s="193"/>
      <c r="T9" s="193"/>
      <c r="U9" s="194" t="s">
        <v>2679</v>
      </c>
    </row>
    <row r="10" spans="2:22" ht="14.45" customHeight="1" x14ac:dyDescent="0.2">
      <c r="B10" s="187" t="s">
        <v>2528</v>
      </c>
      <c r="C10" s="180" t="s">
        <v>2540</v>
      </c>
      <c r="D10" s="193"/>
      <c r="E10" s="193"/>
      <c r="F10" s="193"/>
      <c r="G10" s="193"/>
      <c r="H10" s="193"/>
      <c r="I10" s="193"/>
      <c r="J10" s="193"/>
      <c r="K10" s="193"/>
      <c r="L10" s="193"/>
      <c r="M10" s="193"/>
      <c r="N10" s="193"/>
      <c r="O10" s="193"/>
      <c r="P10" s="193"/>
      <c r="Q10" s="193"/>
      <c r="R10" s="193"/>
      <c r="S10" s="193"/>
      <c r="T10" s="193"/>
      <c r="U10" s="194" t="s">
        <v>2680</v>
      </c>
    </row>
    <row r="11" spans="2:22" ht="14.45" customHeight="1" x14ac:dyDescent="0.2">
      <c r="B11" s="187" t="s">
        <v>2528</v>
      </c>
      <c r="C11" s="180" t="s">
        <v>2542</v>
      </c>
      <c r="D11" s="193"/>
      <c r="E11" s="193"/>
      <c r="F11" s="193"/>
      <c r="G11" s="193"/>
      <c r="H11" s="193"/>
      <c r="I11" s="193"/>
      <c r="J11" s="193"/>
      <c r="K11" s="193"/>
      <c r="L11" s="193"/>
      <c r="M11" s="193"/>
      <c r="N11" s="193"/>
      <c r="O11" s="193"/>
      <c r="P11" s="193"/>
      <c r="Q11" s="193"/>
      <c r="R11" s="193"/>
      <c r="S11" s="193"/>
      <c r="T11" s="193"/>
      <c r="U11" s="194" t="s">
        <v>2681</v>
      </c>
    </row>
    <row r="12" spans="2:22" ht="14.45" customHeight="1" x14ac:dyDescent="0.2">
      <c r="B12" s="187" t="s">
        <v>2528</v>
      </c>
      <c r="C12" s="180" t="s">
        <v>2989</v>
      </c>
      <c r="D12" s="193"/>
      <c r="E12" s="193"/>
      <c r="F12" s="193"/>
      <c r="G12" s="193"/>
      <c r="H12" s="193"/>
      <c r="I12" s="193"/>
      <c r="J12" s="193"/>
      <c r="K12" s="193"/>
      <c r="L12" s="193"/>
      <c r="M12" s="193"/>
      <c r="N12" s="193"/>
      <c r="O12" s="193"/>
      <c r="P12" s="193"/>
      <c r="Q12" s="193"/>
      <c r="R12" s="193"/>
      <c r="S12" s="193"/>
      <c r="T12" s="193"/>
      <c r="U12" s="194" t="s">
        <v>2682</v>
      </c>
    </row>
    <row r="13" spans="2:22" ht="14.45" customHeight="1" thickBot="1" x14ac:dyDescent="0.25">
      <c r="B13" s="183" t="s">
        <v>2528</v>
      </c>
      <c r="C13" s="184" t="s">
        <v>2981</v>
      </c>
      <c r="D13" s="185">
        <f>SUM(D4:D7)</f>
        <v>0</v>
      </c>
      <c r="E13" s="185">
        <f t="shared" ref="E13" si="1">SUM(E4:E7)</f>
        <v>0</v>
      </c>
      <c r="F13" s="185">
        <f t="shared" ref="F13" si="2">SUM(F4:F7)</f>
        <v>0</v>
      </c>
      <c r="G13" s="185">
        <f t="shared" ref="G13" si="3">SUM(G4:G7)</f>
        <v>0</v>
      </c>
      <c r="H13" s="185">
        <f t="shared" ref="H13" si="4">SUM(H4:H7)</f>
        <v>0</v>
      </c>
      <c r="I13" s="185">
        <f t="shared" ref="I13" si="5">SUM(I4:I7)</f>
        <v>0</v>
      </c>
      <c r="J13" s="185">
        <f t="shared" ref="J13" si="6">SUM(J4:J7)</f>
        <v>0</v>
      </c>
      <c r="K13" s="185">
        <f t="shared" ref="K13" si="7">SUM(K4:K7)</f>
        <v>0</v>
      </c>
      <c r="L13" s="185">
        <f t="shared" ref="L13" si="8">SUM(L4:L7)</f>
        <v>0</v>
      </c>
      <c r="M13" s="185">
        <f t="shared" ref="M13" si="9">SUM(M4:M7)</f>
        <v>0</v>
      </c>
      <c r="N13" s="185">
        <f t="shared" ref="N13" si="10">SUM(N4:N7)</f>
        <v>0</v>
      </c>
      <c r="O13" s="185">
        <f t="shared" ref="O13" si="11">SUM(O4:O7)</f>
        <v>0</v>
      </c>
      <c r="P13" s="185">
        <f t="shared" ref="P13" si="12">SUM(P4:P7)</f>
        <v>0</v>
      </c>
      <c r="Q13" s="185">
        <f t="shared" ref="Q13" si="13">SUM(Q4:Q7)</f>
        <v>0</v>
      </c>
      <c r="R13" s="185">
        <f t="shared" ref="R13" si="14">SUM(R4:R7)</f>
        <v>0</v>
      </c>
      <c r="S13" s="185">
        <f t="shared" ref="S13" si="15">SUM(S4:S7)</f>
        <v>0</v>
      </c>
      <c r="T13" s="185">
        <f t="shared" ref="T13" si="16">SUM(T4:T7)</f>
        <v>0</v>
      </c>
      <c r="U13" s="186"/>
      <c r="V13" s="90" t="str">
        <f t="shared" si="0"/>
        <v/>
      </c>
    </row>
    <row r="14" spans="2:22" ht="14.45" customHeight="1" x14ac:dyDescent="0.2">
      <c r="B14" s="188" t="s">
        <v>2618</v>
      </c>
      <c r="C14" s="177" t="s">
        <v>2992</v>
      </c>
      <c r="D14" s="178">
        <f>COUNTIFS(기출문제!$H:$H,기출빈도!$V14,기출문제!$C:$C,기출빈도!D$3)</f>
        <v>0</v>
      </c>
      <c r="E14" s="178">
        <f>COUNTIFS(기출문제!$H:$H,기출빈도!$V14,기출문제!$C:$C,기출빈도!E$3)</f>
        <v>0</v>
      </c>
      <c r="F14" s="178">
        <f>COUNTIFS(기출문제!$H:$H,기출빈도!$V14,기출문제!$C:$C,기출빈도!F$3)</f>
        <v>0</v>
      </c>
      <c r="G14" s="178">
        <f>COUNTIFS(기출문제!$H:$H,기출빈도!$V14,기출문제!$C:$C,기출빈도!G$3)</f>
        <v>0</v>
      </c>
      <c r="H14" s="178">
        <f>COUNTIFS(기출문제!$H:$H,기출빈도!$V14,기출문제!$C:$C,기출빈도!H$3)</f>
        <v>0</v>
      </c>
      <c r="I14" s="178">
        <f>COUNTIFS(기출문제!$H:$H,기출빈도!$V14,기출문제!$C:$C,기출빈도!I$3)</f>
        <v>0</v>
      </c>
      <c r="J14" s="178">
        <f>COUNTIFS(기출문제!$H:$H,기출빈도!$V14,기출문제!$C:$C,기출빈도!J$3)</f>
        <v>0</v>
      </c>
      <c r="K14" s="178">
        <f>COUNTIFS(기출문제!$H:$H,기출빈도!$V14,기출문제!$C:$C,기출빈도!K$3)</f>
        <v>0</v>
      </c>
      <c r="L14" s="178">
        <f>COUNTIFS(기출문제!$H:$H,기출빈도!$V14,기출문제!$C:$C,기출빈도!L$3)</f>
        <v>0</v>
      </c>
      <c r="M14" s="178">
        <f>COUNTIFS(기출문제!$H:$H,기출빈도!$V14,기출문제!$C:$C,기출빈도!M$3)</f>
        <v>0</v>
      </c>
      <c r="N14" s="178">
        <f>COUNTIFS(기출문제!$H:$H,기출빈도!$V14,기출문제!$C:$C,기출빈도!N$3)</f>
        <v>0</v>
      </c>
      <c r="O14" s="178">
        <f>COUNTIFS(기출문제!$H:$H,기출빈도!$V14,기출문제!$C:$C,기출빈도!O$3)</f>
        <v>0</v>
      </c>
      <c r="P14" s="178">
        <f>COUNTIFS(기출문제!$H:$H,기출빈도!$V14,기출문제!$C:$C,기출빈도!P$3)</f>
        <v>0</v>
      </c>
      <c r="Q14" s="178">
        <f>COUNTIFS(기출문제!$H:$H,기출빈도!$V14,기출문제!$C:$C,기출빈도!Q$3)</f>
        <v>0</v>
      </c>
      <c r="R14" s="178">
        <f>COUNTIFS(기출문제!$H:$H,기출빈도!$V14,기출문제!$C:$C,기출빈도!R$3)</f>
        <v>0</v>
      </c>
      <c r="S14" s="178">
        <f>COUNTIFS(기출문제!$H:$H,기출빈도!$V14,기출문제!$C:$C,기출빈도!S$3)</f>
        <v>0</v>
      </c>
      <c r="T14" s="178">
        <f>COUNTIFS(기출문제!$H:$H,기출빈도!$V14,기출문제!$C:$C,기출빈도!T$3)</f>
        <v>0</v>
      </c>
      <c r="U14" s="179" t="s">
        <v>2683</v>
      </c>
      <c r="V14" s="90" t="str">
        <f t="shared" si="0"/>
        <v>고용보험법의 서설</v>
      </c>
    </row>
    <row r="15" spans="2:22" ht="14.45" customHeight="1" x14ac:dyDescent="0.2">
      <c r="B15" s="187" t="s">
        <v>2618</v>
      </c>
      <c r="C15" s="180" t="s">
        <v>2544</v>
      </c>
      <c r="D15" s="181">
        <f>COUNTIFS(기출문제!$H:$H,기출빈도!$V15,기출문제!$C:$C,기출빈도!D$3)</f>
        <v>0</v>
      </c>
      <c r="E15" s="181">
        <f>COUNTIFS(기출문제!$H:$H,기출빈도!$V15,기출문제!$C:$C,기출빈도!E$3)</f>
        <v>0</v>
      </c>
      <c r="F15" s="181">
        <f>COUNTIFS(기출문제!$H:$H,기출빈도!$V15,기출문제!$C:$C,기출빈도!F$3)</f>
        <v>0</v>
      </c>
      <c r="G15" s="181">
        <f>COUNTIFS(기출문제!$H:$H,기출빈도!$V15,기출문제!$C:$C,기출빈도!G$3)</f>
        <v>0</v>
      </c>
      <c r="H15" s="181">
        <f>COUNTIFS(기출문제!$H:$H,기출빈도!$V15,기출문제!$C:$C,기출빈도!H$3)</f>
        <v>0</v>
      </c>
      <c r="I15" s="181">
        <f>COUNTIFS(기출문제!$H:$H,기출빈도!$V15,기출문제!$C:$C,기출빈도!I$3)</f>
        <v>0</v>
      </c>
      <c r="J15" s="181">
        <f>COUNTIFS(기출문제!$H:$H,기출빈도!$V15,기출문제!$C:$C,기출빈도!J$3)</f>
        <v>0</v>
      </c>
      <c r="K15" s="181">
        <f>COUNTIFS(기출문제!$H:$H,기출빈도!$V15,기출문제!$C:$C,기출빈도!K$3)</f>
        <v>0</v>
      </c>
      <c r="L15" s="181">
        <f>COUNTIFS(기출문제!$H:$H,기출빈도!$V15,기출문제!$C:$C,기출빈도!L$3)</f>
        <v>0</v>
      </c>
      <c r="M15" s="181">
        <f>COUNTIFS(기출문제!$H:$H,기출빈도!$V15,기출문제!$C:$C,기출빈도!M$3)</f>
        <v>0</v>
      </c>
      <c r="N15" s="181">
        <f>COUNTIFS(기출문제!$H:$H,기출빈도!$V15,기출문제!$C:$C,기출빈도!N$3)</f>
        <v>0</v>
      </c>
      <c r="O15" s="181">
        <f>COUNTIFS(기출문제!$H:$H,기출빈도!$V15,기출문제!$C:$C,기출빈도!O$3)</f>
        <v>0</v>
      </c>
      <c r="P15" s="181">
        <f>COUNTIFS(기출문제!$H:$H,기출빈도!$V15,기출문제!$C:$C,기출빈도!P$3)</f>
        <v>0</v>
      </c>
      <c r="Q15" s="181">
        <f>COUNTIFS(기출문제!$H:$H,기출빈도!$V15,기출문제!$C:$C,기출빈도!Q$3)</f>
        <v>0</v>
      </c>
      <c r="R15" s="181">
        <f>COUNTIFS(기출문제!$H:$H,기출빈도!$V15,기출문제!$C:$C,기출빈도!R$3)</f>
        <v>0</v>
      </c>
      <c r="S15" s="181">
        <f>COUNTIFS(기출문제!$H:$H,기출빈도!$V15,기출문제!$C:$C,기출빈도!S$3)</f>
        <v>0</v>
      </c>
      <c r="T15" s="181">
        <f>COUNTIFS(기출문제!$H:$H,기출빈도!$V15,기출문제!$C:$C,기출빈도!T$3)</f>
        <v>0</v>
      </c>
      <c r="U15" s="182" t="s">
        <v>2684</v>
      </c>
      <c r="V15" s="90" t="str">
        <f t="shared" si="0"/>
        <v>피보험자의 관리</v>
      </c>
    </row>
    <row r="16" spans="2:22" ht="14.45" customHeight="1" x14ac:dyDescent="0.2">
      <c r="B16" s="187" t="s">
        <v>2618</v>
      </c>
      <c r="C16" s="180" t="s">
        <v>2546</v>
      </c>
      <c r="D16" s="181">
        <f>COUNTIFS(기출문제!$H:$H,기출빈도!$V16,기출문제!$C:$C,기출빈도!D$3)</f>
        <v>0</v>
      </c>
      <c r="E16" s="181">
        <f>COUNTIFS(기출문제!$H:$H,기출빈도!$V16,기출문제!$C:$C,기출빈도!E$3)</f>
        <v>0</v>
      </c>
      <c r="F16" s="181">
        <f>COUNTIFS(기출문제!$H:$H,기출빈도!$V16,기출문제!$C:$C,기출빈도!F$3)</f>
        <v>0</v>
      </c>
      <c r="G16" s="181">
        <f>COUNTIFS(기출문제!$H:$H,기출빈도!$V16,기출문제!$C:$C,기출빈도!G$3)</f>
        <v>0</v>
      </c>
      <c r="H16" s="181">
        <f>COUNTIFS(기출문제!$H:$H,기출빈도!$V16,기출문제!$C:$C,기출빈도!H$3)</f>
        <v>0</v>
      </c>
      <c r="I16" s="181">
        <f>COUNTIFS(기출문제!$H:$H,기출빈도!$V16,기출문제!$C:$C,기출빈도!I$3)</f>
        <v>0</v>
      </c>
      <c r="J16" s="181">
        <f>COUNTIFS(기출문제!$H:$H,기출빈도!$V16,기출문제!$C:$C,기출빈도!J$3)</f>
        <v>0</v>
      </c>
      <c r="K16" s="181">
        <f>COUNTIFS(기출문제!$H:$H,기출빈도!$V16,기출문제!$C:$C,기출빈도!K$3)</f>
        <v>0</v>
      </c>
      <c r="L16" s="181">
        <f>COUNTIFS(기출문제!$H:$H,기출빈도!$V16,기출문제!$C:$C,기출빈도!L$3)</f>
        <v>0</v>
      </c>
      <c r="M16" s="181">
        <f>COUNTIFS(기출문제!$H:$H,기출빈도!$V16,기출문제!$C:$C,기출빈도!M$3)</f>
        <v>0</v>
      </c>
      <c r="N16" s="181">
        <f>COUNTIFS(기출문제!$H:$H,기출빈도!$V16,기출문제!$C:$C,기출빈도!N$3)</f>
        <v>0</v>
      </c>
      <c r="O16" s="181">
        <f>COUNTIFS(기출문제!$H:$H,기출빈도!$V16,기출문제!$C:$C,기출빈도!O$3)</f>
        <v>0</v>
      </c>
      <c r="P16" s="181">
        <f>COUNTIFS(기출문제!$H:$H,기출빈도!$V16,기출문제!$C:$C,기출빈도!P$3)</f>
        <v>0</v>
      </c>
      <c r="Q16" s="181">
        <f>COUNTIFS(기출문제!$H:$H,기출빈도!$V16,기출문제!$C:$C,기출빈도!Q$3)</f>
        <v>0</v>
      </c>
      <c r="R16" s="181">
        <f>COUNTIFS(기출문제!$H:$H,기출빈도!$V16,기출문제!$C:$C,기출빈도!R$3)</f>
        <v>0</v>
      </c>
      <c r="S16" s="181">
        <f>COUNTIFS(기출문제!$H:$H,기출빈도!$V16,기출문제!$C:$C,기출빈도!S$3)</f>
        <v>0</v>
      </c>
      <c r="T16" s="181">
        <f>COUNTIFS(기출문제!$H:$H,기출빈도!$V16,기출문제!$C:$C,기출빈도!T$3)</f>
        <v>0</v>
      </c>
      <c r="U16" s="182" t="s">
        <v>2685</v>
      </c>
      <c r="V16" s="90" t="str">
        <f t="shared" si="0"/>
        <v>고용안정・직업능력개발 사업</v>
      </c>
    </row>
    <row r="17" spans="2:22" ht="14.45" customHeight="1" x14ac:dyDescent="0.2">
      <c r="B17" s="187" t="s">
        <v>2618</v>
      </c>
      <c r="C17" s="180" t="s">
        <v>2548</v>
      </c>
      <c r="D17" s="181">
        <f>COUNTIFS(기출문제!$H:$H,기출빈도!$V17,기출문제!$C:$C,기출빈도!D$3)</f>
        <v>0</v>
      </c>
      <c r="E17" s="181">
        <f>COUNTIFS(기출문제!$H:$H,기출빈도!$V17,기출문제!$C:$C,기출빈도!E$3)</f>
        <v>0</v>
      </c>
      <c r="F17" s="181">
        <f>COUNTIFS(기출문제!$H:$H,기출빈도!$V17,기출문제!$C:$C,기출빈도!F$3)</f>
        <v>0</v>
      </c>
      <c r="G17" s="181">
        <f>COUNTIFS(기출문제!$H:$H,기출빈도!$V17,기출문제!$C:$C,기출빈도!G$3)</f>
        <v>0</v>
      </c>
      <c r="H17" s="181">
        <f>COUNTIFS(기출문제!$H:$H,기출빈도!$V17,기출문제!$C:$C,기출빈도!H$3)</f>
        <v>0</v>
      </c>
      <c r="I17" s="181">
        <f>COUNTIFS(기출문제!$H:$H,기출빈도!$V17,기출문제!$C:$C,기출빈도!I$3)</f>
        <v>0</v>
      </c>
      <c r="J17" s="181">
        <f>COUNTIFS(기출문제!$H:$H,기출빈도!$V17,기출문제!$C:$C,기출빈도!J$3)</f>
        <v>0</v>
      </c>
      <c r="K17" s="181">
        <f>COUNTIFS(기출문제!$H:$H,기출빈도!$V17,기출문제!$C:$C,기출빈도!K$3)</f>
        <v>0</v>
      </c>
      <c r="L17" s="181">
        <f>COUNTIFS(기출문제!$H:$H,기출빈도!$V17,기출문제!$C:$C,기출빈도!L$3)</f>
        <v>0</v>
      </c>
      <c r="M17" s="181">
        <f>COUNTIFS(기출문제!$H:$H,기출빈도!$V17,기출문제!$C:$C,기출빈도!M$3)</f>
        <v>0</v>
      </c>
      <c r="N17" s="181">
        <f>COUNTIFS(기출문제!$H:$H,기출빈도!$V17,기출문제!$C:$C,기출빈도!N$3)</f>
        <v>0</v>
      </c>
      <c r="O17" s="181">
        <f>COUNTIFS(기출문제!$H:$H,기출빈도!$V17,기출문제!$C:$C,기출빈도!O$3)</f>
        <v>0</v>
      </c>
      <c r="P17" s="181">
        <f>COUNTIFS(기출문제!$H:$H,기출빈도!$V17,기출문제!$C:$C,기출빈도!P$3)</f>
        <v>0</v>
      </c>
      <c r="Q17" s="181">
        <f>COUNTIFS(기출문제!$H:$H,기출빈도!$V17,기출문제!$C:$C,기출빈도!Q$3)</f>
        <v>0</v>
      </c>
      <c r="R17" s="181">
        <f>COUNTIFS(기출문제!$H:$H,기출빈도!$V17,기출문제!$C:$C,기출빈도!R$3)</f>
        <v>0</v>
      </c>
      <c r="S17" s="181">
        <f>COUNTIFS(기출문제!$H:$H,기출빈도!$V17,기출문제!$C:$C,기출빈도!S$3)</f>
        <v>0</v>
      </c>
      <c r="T17" s="181">
        <f>COUNTIFS(기출문제!$H:$H,기출빈도!$V17,기출문제!$C:$C,기출빈도!T$3)</f>
        <v>0</v>
      </c>
      <c r="U17" s="182" t="s">
        <v>2686</v>
      </c>
      <c r="V17" s="90" t="str">
        <f t="shared" si="0"/>
        <v>실업급여</v>
      </c>
    </row>
    <row r="18" spans="2:22" ht="14.45" customHeight="1" x14ac:dyDescent="0.2">
      <c r="B18" s="187" t="s">
        <v>2618</v>
      </c>
      <c r="C18" s="180" t="s">
        <v>2550</v>
      </c>
      <c r="D18" s="181">
        <f>COUNTIFS(기출문제!$H:$H,기출빈도!$V18,기출문제!$C:$C,기출빈도!D$3)</f>
        <v>0</v>
      </c>
      <c r="E18" s="181">
        <f>COUNTIFS(기출문제!$H:$H,기출빈도!$V18,기출문제!$C:$C,기출빈도!E$3)</f>
        <v>0</v>
      </c>
      <c r="F18" s="181">
        <f>COUNTIFS(기출문제!$H:$H,기출빈도!$V18,기출문제!$C:$C,기출빈도!F$3)</f>
        <v>0</v>
      </c>
      <c r="G18" s="181">
        <f>COUNTIFS(기출문제!$H:$H,기출빈도!$V18,기출문제!$C:$C,기출빈도!G$3)</f>
        <v>0</v>
      </c>
      <c r="H18" s="181">
        <f>COUNTIFS(기출문제!$H:$H,기출빈도!$V18,기출문제!$C:$C,기출빈도!H$3)</f>
        <v>0</v>
      </c>
      <c r="I18" s="181">
        <f>COUNTIFS(기출문제!$H:$H,기출빈도!$V18,기출문제!$C:$C,기출빈도!I$3)</f>
        <v>0</v>
      </c>
      <c r="J18" s="181">
        <f>COUNTIFS(기출문제!$H:$H,기출빈도!$V18,기출문제!$C:$C,기출빈도!J$3)</f>
        <v>0</v>
      </c>
      <c r="K18" s="181">
        <f>COUNTIFS(기출문제!$H:$H,기출빈도!$V18,기출문제!$C:$C,기출빈도!K$3)</f>
        <v>0</v>
      </c>
      <c r="L18" s="181">
        <f>COUNTIFS(기출문제!$H:$H,기출빈도!$V18,기출문제!$C:$C,기출빈도!L$3)</f>
        <v>0</v>
      </c>
      <c r="M18" s="181">
        <f>COUNTIFS(기출문제!$H:$H,기출빈도!$V18,기출문제!$C:$C,기출빈도!M$3)</f>
        <v>0</v>
      </c>
      <c r="N18" s="181">
        <f>COUNTIFS(기출문제!$H:$H,기출빈도!$V18,기출문제!$C:$C,기출빈도!N$3)</f>
        <v>0</v>
      </c>
      <c r="O18" s="181">
        <f>COUNTIFS(기출문제!$H:$H,기출빈도!$V18,기출문제!$C:$C,기출빈도!O$3)</f>
        <v>0</v>
      </c>
      <c r="P18" s="181">
        <f>COUNTIFS(기출문제!$H:$H,기출빈도!$V18,기출문제!$C:$C,기출빈도!P$3)</f>
        <v>0</v>
      </c>
      <c r="Q18" s="181">
        <f>COUNTIFS(기출문제!$H:$H,기출빈도!$V18,기출문제!$C:$C,기출빈도!Q$3)</f>
        <v>0</v>
      </c>
      <c r="R18" s="181">
        <f>COUNTIFS(기출문제!$H:$H,기출빈도!$V18,기출문제!$C:$C,기출빈도!R$3)</f>
        <v>0</v>
      </c>
      <c r="S18" s="181">
        <f>COUNTIFS(기출문제!$H:$H,기출빈도!$V18,기출문제!$C:$C,기출빈도!S$3)</f>
        <v>0</v>
      </c>
      <c r="T18" s="181">
        <f>COUNTIFS(기출문제!$H:$H,기출빈도!$V18,기출문제!$C:$C,기출빈도!T$3)</f>
        <v>0</v>
      </c>
      <c r="U18" s="182" t="s">
        <v>2687</v>
      </c>
      <c r="V18" s="90" t="str">
        <f t="shared" si="0"/>
        <v>육아휴직급여 등</v>
      </c>
    </row>
    <row r="19" spans="2:22" ht="14.45" customHeight="1" x14ac:dyDescent="0.2">
      <c r="B19" s="187" t="s">
        <v>2618</v>
      </c>
      <c r="C19" s="180" t="s">
        <v>2552</v>
      </c>
      <c r="D19" s="181">
        <f>COUNTIFS(기출문제!$H:$H,기출빈도!$V19,기출문제!$C:$C,기출빈도!D$3)</f>
        <v>0</v>
      </c>
      <c r="E19" s="181">
        <f>COUNTIFS(기출문제!$H:$H,기출빈도!$V19,기출문제!$C:$C,기출빈도!E$3)</f>
        <v>0</v>
      </c>
      <c r="F19" s="181">
        <f>COUNTIFS(기출문제!$H:$H,기출빈도!$V19,기출문제!$C:$C,기출빈도!F$3)</f>
        <v>0</v>
      </c>
      <c r="G19" s="181">
        <f>COUNTIFS(기출문제!$H:$H,기출빈도!$V19,기출문제!$C:$C,기출빈도!G$3)</f>
        <v>0</v>
      </c>
      <c r="H19" s="181">
        <f>COUNTIFS(기출문제!$H:$H,기출빈도!$V19,기출문제!$C:$C,기출빈도!H$3)</f>
        <v>0</v>
      </c>
      <c r="I19" s="181">
        <f>COUNTIFS(기출문제!$H:$H,기출빈도!$V19,기출문제!$C:$C,기출빈도!I$3)</f>
        <v>0</v>
      </c>
      <c r="J19" s="181">
        <f>COUNTIFS(기출문제!$H:$H,기출빈도!$V19,기출문제!$C:$C,기출빈도!J$3)</f>
        <v>0</v>
      </c>
      <c r="K19" s="181">
        <f>COUNTIFS(기출문제!$H:$H,기출빈도!$V19,기출문제!$C:$C,기출빈도!K$3)</f>
        <v>0</v>
      </c>
      <c r="L19" s="181">
        <f>COUNTIFS(기출문제!$H:$H,기출빈도!$V19,기출문제!$C:$C,기출빈도!L$3)</f>
        <v>0</v>
      </c>
      <c r="M19" s="181">
        <f>COUNTIFS(기출문제!$H:$H,기출빈도!$V19,기출문제!$C:$C,기출빈도!M$3)</f>
        <v>0</v>
      </c>
      <c r="N19" s="181">
        <f>COUNTIFS(기출문제!$H:$H,기출빈도!$V19,기출문제!$C:$C,기출빈도!N$3)</f>
        <v>0</v>
      </c>
      <c r="O19" s="181">
        <f>COUNTIFS(기출문제!$H:$H,기출빈도!$V19,기출문제!$C:$C,기출빈도!O$3)</f>
        <v>0</v>
      </c>
      <c r="P19" s="181">
        <f>COUNTIFS(기출문제!$H:$H,기출빈도!$V19,기출문제!$C:$C,기출빈도!P$3)</f>
        <v>0</v>
      </c>
      <c r="Q19" s="181">
        <f>COUNTIFS(기출문제!$H:$H,기출빈도!$V19,기출문제!$C:$C,기출빈도!Q$3)</f>
        <v>0</v>
      </c>
      <c r="R19" s="181">
        <f>COUNTIFS(기출문제!$H:$H,기출빈도!$V19,기출문제!$C:$C,기출빈도!R$3)</f>
        <v>0</v>
      </c>
      <c r="S19" s="181">
        <f>COUNTIFS(기출문제!$H:$H,기출빈도!$V19,기출문제!$C:$C,기출빈도!S$3)</f>
        <v>0</v>
      </c>
      <c r="T19" s="181">
        <f>COUNTIFS(기출문제!$H:$H,기출빈도!$V19,기출문제!$C:$C,기출빈도!T$3)</f>
        <v>0</v>
      </c>
      <c r="U19" s="182" t="s">
        <v>2688</v>
      </c>
      <c r="V19" s="90" t="str">
        <f t="shared" si="0"/>
        <v>예술인의 특례</v>
      </c>
    </row>
    <row r="20" spans="2:22" ht="14.45" customHeight="1" x14ac:dyDescent="0.2">
      <c r="B20" s="187" t="s">
        <v>2618</v>
      </c>
      <c r="C20" s="180" t="s">
        <v>2554</v>
      </c>
      <c r="D20" s="181">
        <f>COUNTIFS(기출문제!$H:$H,기출빈도!$V20,기출문제!$C:$C,기출빈도!D$3)</f>
        <v>0</v>
      </c>
      <c r="E20" s="181">
        <f>COUNTIFS(기출문제!$H:$H,기출빈도!$V20,기출문제!$C:$C,기출빈도!E$3)</f>
        <v>0</v>
      </c>
      <c r="F20" s="181">
        <f>COUNTIFS(기출문제!$H:$H,기출빈도!$V20,기출문제!$C:$C,기출빈도!F$3)</f>
        <v>0</v>
      </c>
      <c r="G20" s="181">
        <f>COUNTIFS(기출문제!$H:$H,기출빈도!$V20,기출문제!$C:$C,기출빈도!G$3)</f>
        <v>0</v>
      </c>
      <c r="H20" s="181">
        <f>COUNTIFS(기출문제!$H:$H,기출빈도!$V20,기출문제!$C:$C,기출빈도!H$3)</f>
        <v>0</v>
      </c>
      <c r="I20" s="181">
        <f>COUNTIFS(기출문제!$H:$H,기출빈도!$V20,기출문제!$C:$C,기출빈도!I$3)</f>
        <v>0</v>
      </c>
      <c r="J20" s="181">
        <f>COUNTIFS(기출문제!$H:$H,기출빈도!$V20,기출문제!$C:$C,기출빈도!J$3)</f>
        <v>0</v>
      </c>
      <c r="K20" s="181">
        <f>COUNTIFS(기출문제!$H:$H,기출빈도!$V20,기출문제!$C:$C,기출빈도!K$3)</f>
        <v>0</v>
      </c>
      <c r="L20" s="181">
        <f>COUNTIFS(기출문제!$H:$H,기출빈도!$V20,기출문제!$C:$C,기출빈도!L$3)</f>
        <v>0</v>
      </c>
      <c r="M20" s="181">
        <f>COUNTIFS(기출문제!$H:$H,기출빈도!$V20,기출문제!$C:$C,기출빈도!M$3)</f>
        <v>0</v>
      </c>
      <c r="N20" s="181">
        <f>COUNTIFS(기출문제!$H:$H,기출빈도!$V20,기출문제!$C:$C,기출빈도!N$3)</f>
        <v>0</v>
      </c>
      <c r="O20" s="181">
        <f>COUNTIFS(기출문제!$H:$H,기출빈도!$V20,기출문제!$C:$C,기출빈도!O$3)</f>
        <v>0</v>
      </c>
      <c r="P20" s="181">
        <f>COUNTIFS(기출문제!$H:$H,기출빈도!$V20,기출문제!$C:$C,기출빈도!P$3)</f>
        <v>0</v>
      </c>
      <c r="Q20" s="181">
        <f>COUNTIFS(기출문제!$H:$H,기출빈도!$V20,기출문제!$C:$C,기출빈도!Q$3)</f>
        <v>0</v>
      </c>
      <c r="R20" s="181">
        <f>COUNTIFS(기출문제!$H:$H,기출빈도!$V20,기출문제!$C:$C,기출빈도!R$3)</f>
        <v>0</v>
      </c>
      <c r="S20" s="181">
        <f>COUNTIFS(기출문제!$H:$H,기출빈도!$V20,기출문제!$C:$C,기출빈도!S$3)</f>
        <v>0</v>
      </c>
      <c r="T20" s="181">
        <f>COUNTIFS(기출문제!$H:$H,기출빈도!$V20,기출문제!$C:$C,기출빈도!T$3)</f>
        <v>0</v>
      </c>
      <c r="U20" s="182" t="s">
        <v>2689</v>
      </c>
      <c r="V20" s="90" t="str">
        <f t="shared" si="0"/>
        <v>노무제공자의 특례</v>
      </c>
    </row>
    <row r="21" spans="2:22" ht="14.45" customHeight="1" x14ac:dyDescent="0.2">
      <c r="B21" s="187" t="s">
        <v>2618</v>
      </c>
      <c r="C21" s="180" t="s">
        <v>2556</v>
      </c>
      <c r="D21" s="181">
        <f>COUNTIFS(기출문제!$H:$H,기출빈도!$V21,기출문제!$C:$C,기출빈도!D$3)</f>
        <v>0</v>
      </c>
      <c r="E21" s="181">
        <f>COUNTIFS(기출문제!$H:$H,기출빈도!$V21,기출문제!$C:$C,기출빈도!E$3)</f>
        <v>0</v>
      </c>
      <c r="F21" s="181">
        <f>COUNTIFS(기출문제!$H:$H,기출빈도!$V21,기출문제!$C:$C,기출빈도!F$3)</f>
        <v>0</v>
      </c>
      <c r="G21" s="181">
        <f>COUNTIFS(기출문제!$H:$H,기출빈도!$V21,기출문제!$C:$C,기출빈도!G$3)</f>
        <v>0</v>
      </c>
      <c r="H21" s="181">
        <f>COUNTIFS(기출문제!$H:$H,기출빈도!$V21,기출문제!$C:$C,기출빈도!H$3)</f>
        <v>0</v>
      </c>
      <c r="I21" s="181">
        <f>COUNTIFS(기출문제!$H:$H,기출빈도!$V21,기출문제!$C:$C,기출빈도!I$3)</f>
        <v>0</v>
      </c>
      <c r="J21" s="181">
        <f>COUNTIFS(기출문제!$H:$H,기출빈도!$V21,기출문제!$C:$C,기출빈도!J$3)</f>
        <v>0</v>
      </c>
      <c r="K21" s="181">
        <f>COUNTIFS(기출문제!$H:$H,기출빈도!$V21,기출문제!$C:$C,기출빈도!K$3)</f>
        <v>0</v>
      </c>
      <c r="L21" s="181">
        <f>COUNTIFS(기출문제!$H:$H,기출빈도!$V21,기출문제!$C:$C,기출빈도!L$3)</f>
        <v>0</v>
      </c>
      <c r="M21" s="181">
        <f>COUNTIFS(기출문제!$H:$H,기출빈도!$V21,기출문제!$C:$C,기출빈도!M$3)</f>
        <v>0</v>
      </c>
      <c r="N21" s="181">
        <f>COUNTIFS(기출문제!$H:$H,기출빈도!$V21,기출문제!$C:$C,기출빈도!N$3)</f>
        <v>0</v>
      </c>
      <c r="O21" s="181">
        <f>COUNTIFS(기출문제!$H:$H,기출빈도!$V21,기출문제!$C:$C,기출빈도!O$3)</f>
        <v>0</v>
      </c>
      <c r="P21" s="181">
        <f>COUNTIFS(기출문제!$H:$H,기출빈도!$V21,기출문제!$C:$C,기출빈도!P$3)</f>
        <v>0</v>
      </c>
      <c r="Q21" s="181">
        <f>COUNTIFS(기출문제!$H:$H,기출빈도!$V21,기출문제!$C:$C,기출빈도!Q$3)</f>
        <v>0</v>
      </c>
      <c r="R21" s="181">
        <f>COUNTIFS(기출문제!$H:$H,기출빈도!$V21,기출문제!$C:$C,기출빈도!R$3)</f>
        <v>0</v>
      </c>
      <c r="S21" s="181">
        <f>COUNTIFS(기출문제!$H:$H,기출빈도!$V21,기출문제!$C:$C,기출빈도!S$3)</f>
        <v>0</v>
      </c>
      <c r="T21" s="181">
        <f>COUNTIFS(기출문제!$H:$H,기출빈도!$V21,기출문제!$C:$C,기출빈도!T$3)</f>
        <v>0</v>
      </c>
      <c r="U21" s="182" t="s">
        <v>2690</v>
      </c>
      <c r="V21" s="90" t="str">
        <f t="shared" si="0"/>
        <v>고용보험기금</v>
      </c>
    </row>
    <row r="22" spans="2:22" ht="14.45" customHeight="1" x14ac:dyDescent="0.2">
      <c r="B22" s="187" t="s">
        <v>2618</v>
      </c>
      <c r="C22" s="180" t="s">
        <v>2558</v>
      </c>
      <c r="D22" s="193"/>
      <c r="E22" s="193"/>
      <c r="F22" s="193"/>
      <c r="G22" s="193"/>
      <c r="H22" s="193"/>
      <c r="I22" s="193"/>
      <c r="J22" s="193"/>
      <c r="K22" s="193"/>
      <c r="L22" s="193"/>
      <c r="M22" s="193"/>
      <c r="N22" s="193"/>
      <c r="O22" s="193"/>
      <c r="P22" s="193"/>
      <c r="Q22" s="193"/>
      <c r="R22" s="193"/>
      <c r="S22" s="193"/>
      <c r="T22" s="193"/>
      <c r="U22" s="194" t="s">
        <v>2691</v>
      </c>
    </row>
    <row r="23" spans="2:22" ht="14.45" customHeight="1" x14ac:dyDescent="0.2">
      <c r="B23" s="187" t="s">
        <v>2618</v>
      </c>
      <c r="C23" s="180" t="s">
        <v>2560</v>
      </c>
      <c r="D23" s="193"/>
      <c r="E23" s="193"/>
      <c r="F23" s="193"/>
      <c r="G23" s="193"/>
      <c r="H23" s="193"/>
      <c r="I23" s="193"/>
      <c r="J23" s="193"/>
      <c r="K23" s="193"/>
      <c r="L23" s="193"/>
      <c r="M23" s="193"/>
      <c r="N23" s="193"/>
      <c r="O23" s="193"/>
      <c r="P23" s="193"/>
      <c r="Q23" s="193"/>
      <c r="R23" s="193"/>
      <c r="S23" s="193"/>
      <c r="T23" s="193"/>
      <c r="U23" s="194" t="s">
        <v>2692</v>
      </c>
    </row>
    <row r="24" spans="2:22" ht="14.45" customHeight="1" x14ac:dyDescent="0.2">
      <c r="B24" s="187" t="s">
        <v>2618</v>
      </c>
      <c r="C24" s="180" t="s">
        <v>2997</v>
      </c>
      <c r="D24" s="193"/>
      <c r="E24" s="193"/>
      <c r="F24" s="193"/>
      <c r="G24" s="193"/>
      <c r="H24" s="193"/>
      <c r="I24" s="193"/>
      <c r="J24" s="193"/>
      <c r="K24" s="193"/>
      <c r="L24" s="193"/>
      <c r="M24" s="193"/>
      <c r="N24" s="193"/>
      <c r="O24" s="193"/>
      <c r="P24" s="193"/>
      <c r="Q24" s="193"/>
      <c r="R24" s="193"/>
      <c r="S24" s="193"/>
      <c r="T24" s="193"/>
      <c r="U24" s="194" t="s">
        <v>2693</v>
      </c>
    </row>
    <row r="25" spans="2:22" ht="14.45" customHeight="1" thickBot="1" x14ac:dyDescent="0.25">
      <c r="B25" s="183" t="s">
        <v>2618</v>
      </c>
      <c r="C25" s="184" t="s">
        <v>2982</v>
      </c>
      <c r="D25" s="185">
        <f>SUM(D14:D21)</f>
        <v>0</v>
      </c>
      <c r="E25" s="185">
        <f t="shared" ref="E25" si="17">SUM(E14:E21)</f>
        <v>0</v>
      </c>
      <c r="F25" s="185">
        <f t="shared" ref="F25" si="18">SUM(F14:F21)</f>
        <v>0</v>
      </c>
      <c r="G25" s="185">
        <f t="shared" ref="G25" si="19">SUM(G14:G21)</f>
        <v>0</v>
      </c>
      <c r="H25" s="185">
        <f t="shared" ref="H25" si="20">SUM(H14:H21)</f>
        <v>0</v>
      </c>
      <c r="I25" s="185">
        <f t="shared" ref="I25" si="21">SUM(I14:I21)</f>
        <v>0</v>
      </c>
      <c r="J25" s="185">
        <f t="shared" ref="J25" si="22">SUM(J14:J21)</f>
        <v>0</v>
      </c>
      <c r="K25" s="185">
        <f t="shared" ref="K25" si="23">SUM(K14:K21)</f>
        <v>0</v>
      </c>
      <c r="L25" s="185">
        <f t="shared" ref="L25" si="24">SUM(L14:L21)</f>
        <v>0</v>
      </c>
      <c r="M25" s="185">
        <f t="shared" ref="M25" si="25">SUM(M14:M21)</f>
        <v>0</v>
      </c>
      <c r="N25" s="185">
        <f t="shared" ref="N25" si="26">SUM(N14:N21)</f>
        <v>0</v>
      </c>
      <c r="O25" s="185">
        <f t="shared" ref="O25" si="27">SUM(O14:O21)</f>
        <v>0</v>
      </c>
      <c r="P25" s="185">
        <f t="shared" ref="P25" si="28">SUM(P14:P21)</f>
        <v>0</v>
      </c>
      <c r="Q25" s="185">
        <f t="shared" ref="Q25" si="29">SUM(Q14:Q21)</f>
        <v>0</v>
      </c>
      <c r="R25" s="185">
        <f t="shared" ref="R25" si="30">SUM(R14:R21)</f>
        <v>0</v>
      </c>
      <c r="S25" s="185">
        <f t="shared" ref="S25" si="31">SUM(S14:S21)</f>
        <v>0</v>
      </c>
      <c r="T25" s="185">
        <f t="shared" ref="T25" si="32">SUM(T14:T21)</f>
        <v>0</v>
      </c>
      <c r="U25" s="186"/>
      <c r="V25" s="90" t="str">
        <f t="shared" si="0"/>
        <v/>
      </c>
    </row>
    <row r="26" spans="2:22" ht="14.45" customHeight="1" x14ac:dyDescent="0.2">
      <c r="B26" s="188" t="s">
        <v>2620</v>
      </c>
      <c r="C26" s="177" t="s">
        <v>3001</v>
      </c>
      <c r="D26" s="178">
        <f>COUNTIFS(기출문제!$H:$H,기출빈도!$V26,기출문제!$C:$C,기출빈도!D$3)</f>
        <v>0</v>
      </c>
      <c r="E26" s="178">
        <f>COUNTIFS(기출문제!$H:$H,기출빈도!$V26,기출문제!$C:$C,기출빈도!E$3)</f>
        <v>0</v>
      </c>
      <c r="F26" s="178">
        <f>COUNTIFS(기출문제!$H:$H,기출빈도!$V26,기출문제!$C:$C,기출빈도!F$3)</f>
        <v>0</v>
      </c>
      <c r="G26" s="178">
        <f>COUNTIFS(기출문제!$H:$H,기출빈도!$V26,기출문제!$C:$C,기출빈도!G$3)</f>
        <v>0</v>
      </c>
      <c r="H26" s="178">
        <f>COUNTIFS(기출문제!$H:$H,기출빈도!$V26,기출문제!$C:$C,기출빈도!H$3)</f>
        <v>0</v>
      </c>
      <c r="I26" s="178">
        <f>COUNTIFS(기출문제!$H:$H,기출빈도!$V26,기출문제!$C:$C,기출빈도!I$3)</f>
        <v>0</v>
      </c>
      <c r="J26" s="178">
        <f>COUNTIFS(기출문제!$H:$H,기출빈도!$V26,기출문제!$C:$C,기출빈도!J$3)</f>
        <v>0</v>
      </c>
      <c r="K26" s="178">
        <f>COUNTIFS(기출문제!$H:$H,기출빈도!$V26,기출문제!$C:$C,기출빈도!K$3)</f>
        <v>0</v>
      </c>
      <c r="L26" s="178">
        <f>COUNTIFS(기출문제!$H:$H,기출빈도!$V26,기출문제!$C:$C,기출빈도!L$3)</f>
        <v>0</v>
      </c>
      <c r="M26" s="178">
        <f>COUNTIFS(기출문제!$H:$H,기출빈도!$V26,기출문제!$C:$C,기출빈도!M$3)</f>
        <v>0</v>
      </c>
      <c r="N26" s="178">
        <f>COUNTIFS(기출문제!$H:$H,기출빈도!$V26,기출문제!$C:$C,기출빈도!N$3)</f>
        <v>0</v>
      </c>
      <c r="O26" s="178">
        <f>COUNTIFS(기출문제!$H:$H,기출빈도!$V26,기출문제!$C:$C,기출빈도!O$3)</f>
        <v>0</v>
      </c>
      <c r="P26" s="178">
        <f>COUNTIFS(기출문제!$H:$H,기출빈도!$V26,기출문제!$C:$C,기출빈도!P$3)</f>
        <v>0</v>
      </c>
      <c r="Q26" s="178">
        <f>COUNTIFS(기출문제!$H:$H,기출빈도!$V26,기출문제!$C:$C,기출빈도!Q$3)</f>
        <v>0</v>
      </c>
      <c r="R26" s="178">
        <f>COUNTIFS(기출문제!$H:$H,기출빈도!$V26,기출문제!$C:$C,기출빈도!R$3)</f>
        <v>0</v>
      </c>
      <c r="S26" s="178">
        <f>COUNTIFS(기출문제!$H:$H,기출빈도!$V26,기출문제!$C:$C,기출빈도!S$3)</f>
        <v>0</v>
      </c>
      <c r="T26" s="178">
        <f>COUNTIFS(기출문제!$H:$H,기출빈도!$V26,기출문제!$C:$C,기출빈도!T$3)</f>
        <v>0</v>
      </c>
      <c r="U26" s="179" t="s">
        <v>2694</v>
      </c>
      <c r="V26" s="90" t="str">
        <f t="shared" si="0"/>
        <v>산업재해보상보험법의 서설</v>
      </c>
    </row>
    <row r="27" spans="2:22" ht="14.45" customHeight="1" x14ac:dyDescent="0.2">
      <c r="B27" s="187" t="s">
        <v>2620</v>
      </c>
      <c r="C27" s="180" t="s">
        <v>2562</v>
      </c>
      <c r="D27" s="181">
        <f>COUNTIFS(기출문제!$H:$H,기출빈도!$V27,기출문제!$C:$C,기출빈도!D$3)</f>
        <v>0</v>
      </c>
      <c r="E27" s="181">
        <f>COUNTIFS(기출문제!$H:$H,기출빈도!$V27,기출문제!$C:$C,기출빈도!E$3)</f>
        <v>0</v>
      </c>
      <c r="F27" s="181">
        <f>COUNTIFS(기출문제!$H:$H,기출빈도!$V27,기출문제!$C:$C,기출빈도!F$3)</f>
        <v>0</v>
      </c>
      <c r="G27" s="181">
        <f>COUNTIFS(기출문제!$H:$H,기출빈도!$V27,기출문제!$C:$C,기출빈도!G$3)</f>
        <v>0</v>
      </c>
      <c r="H27" s="181">
        <f>COUNTIFS(기출문제!$H:$H,기출빈도!$V27,기출문제!$C:$C,기출빈도!H$3)</f>
        <v>0</v>
      </c>
      <c r="I27" s="181">
        <f>COUNTIFS(기출문제!$H:$H,기출빈도!$V27,기출문제!$C:$C,기출빈도!I$3)</f>
        <v>0</v>
      </c>
      <c r="J27" s="181">
        <f>COUNTIFS(기출문제!$H:$H,기출빈도!$V27,기출문제!$C:$C,기출빈도!J$3)</f>
        <v>0</v>
      </c>
      <c r="K27" s="181">
        <f>COUNTIFS(기출문제!$H:$H,기출빈도!$V27,기출문제!$C:$C,기출빈도!K$3)</f>
        <v>0</v>
      </c>
      <c r="L27" s="181">
        <f>COUNTIFS(기출문제!$H:$H,기출빈도!$V27,기출문제!$C:$C,기출빈도!L$3)</f>
        <v>0</v>
      </c>
      <c r="M27" s="181">
        <f>COUNTIFS(기출문제!$H:$H,기출빈도!$V27,기출문제!$C:$C,기출빈도!M$3)</f>
        <v>0</v>
      </c>
      <c r="N27" s="181">
        <f>COUNTIFS(기출문제!$H:$H,기출빈도!$V27,기출문제!$C:$C,기출빈도!N$3)</f>
        <v>0</v>
      </c>
      <c r="O27" s="181">
        <f>COUNTIFS(기출문제!$H:$H,기출빈도!$V27,기출문제!$C:$C,기출빈도!O$3)</f>
        <v>0</v>
      </c>
      <c r="P27" s="181">
        <f>COUNTIFS(기출문제!$H:$H,기출빈도!$V27,기출문제!$C:$C,기출빈도!P$3)</f>
        <v>0</v>
      </c>
      <c r="Q27" s="181">
        <f>COUNTIFS(기출문제!$H:$H,기출빈도!$V27,기출문제!$C:$C,기출빈도!Q$3)</f>
        <v>0</v>
      </c>
      <c r="R27" s="181">
        <f>COUNTIFS(기출문제!$H:$H,기출빈도!$V27,기출문제!$C:$C,기출빈도!R$3)</f>
        <v>0</v>
      </c>
      <c r="S27" s="181">
        <f>COUNTIFS(기출문제!$H:$H,기출빈도!$V27,기출문제!$C:$C,기출빈도!S$3)</f>
        <v>0</v>
      </c>
      <c r="T27" s="181">
        <f>COUNTIFS(기출문제!$H:$H,기출빈도!$V27,기출문제!$C:$C,기출빈도!T$3)</f>
        <v>0</v>
      </c>
      <c r="U27" s="182" t="s">
        <v>2695</v>
      </c>
      <c r="V27" s="90" t="str">
        <f t="shared" si="0"/>
        <v>근로복지공단</v>
      </c>
    </row>
    <row r="28" spans="2:22" ht="14.45" customHeight="1" x14ac:dyDescent="0.2">
      <c r="B28" s="187" t="s">
        <v>2620</v>
      </c>
      <c r="C28" s="180" t="s">
        <v>2564</v>
      </c>
      <c r="D28" s="181">
        <f>COUNTIFS(기출문제!$H:$H,기출빈도!$V28,기출문제!$C:$C,기출빈도!D$3)</f>
        <v>0</v>
      </c>
      <c r="E28" s="181">
        <f>COUNTIFS(기출문제!$H:$H,기출빈도!$V28,기출문제!$C:$C,기출빈도!E$3)</f>
        <v>0</v>
      </c>
      <c r="F28" s="181">
        <f>COUNTIFS(기출문제!$H:$H,기출빈도!$V28,기출문제!$C:$C,기출빈도!F$3)</f>
        <v>0</v>
      </c>
      <c r="G28" s="181">
        <f>COUNTIFS(기출문제!$H:$H,기출빈도!$V28,기출문제!$C:$C,기출빈도!G$3)</f>
        <v>0</v>
      </c>
      <c r="H28" s="181">
        <f>COUNTIFS(기출문제!$H:$H,기출빈도!$V28,기출문제!$C:$C,기출빈도!H$3)</f>
        <v>0</v>
      </c>
      <c r="I28" s="181">
        <f>COUNTIFS(기출문제!$H:$H,기출빈도!$V28,기출문제!$C:$C,기출빈도!I$3)</f>
        <v>0</v>
      </c>
      <c r="J28" s="181">
        <f>COUNTIFS(기출문제!$H:$H,기출빈도!$V28,기출문제!$C:$C,기출빈도!J$3)</f>
        <v>0</v>
      </c>
      <c r="K28" s="181">
        <f>COUNTIFS(기출문제!$H:$H,기출빈도!$V28,기출문제!$C:$C,기출빈도!K$3)</f>
        <v>0</v>
      </c>
      <c r="L28" s="181">
        <f>COUNTIFS(기출문제!$H:$H,기출빈도!$V28,기출문제!$C:$C,기출빈도!L$3)</f>
        <v>0</v>
      </c>
      <c r="M28" s="181">
        <f>COUNTIFS(기출문제!$H:$H,기출빈도!$V28,기출문제!$C:$C,기출빈도!M$3)</f>
        <v>0</v>
      </c>
      <c r="N28" s="181">
        <f>COUNTIFS(기출문제!$H:$H,기출빈도!$V28,기출문제!$C:$C,기출빈도!N$3)</f>
        <v>0</v>
      </c>
      <c r="O28" s="181">
        <f>COUNTIFS(기출문제!$H:$H,기출빈도!$V28,기출문제!$C:$C,기출빈도!O$3)</f>
        <v>0</v>
      </c>
      <c r="P28" s="181">
        <f>COUNTIFS(기출문제!$H:$H,기출빈도!$V28,기출문제!$C:$C,기출빈도!P$3)</f>
        <v>0</v>
      </c>
      <c r="Q28" s="181">
        <f>COUNTIFS(기출문제!$H:$H,기출빈도!$V28,기출문제!$C:$C,기출빈도!Q$3)</f>
        <v>0</v>
      </c>
      <c r="R28" s="181">
        <f>COUNTIFS(기출문제!$H:$H,기출빈도!$V28,기출문제!$C:$C,기출빈도!R$3)</f>
        <v>0</v>
      </c>
      <c r="S28" s="181">
        <f>COUNTIFS(기출문제!$H:$H,기출빈도!$V28,기출문제!$C:$C,기출빈도!S$3)</f>
        <v>0</v>
      </c>
      <c r="T28" s="181">
        <f>COUNTIFS(기출문제!$H:$H,기출빈도!$V28,기출문제!$C:$C,기출빈도!T$3)</f>
        <v>0</v>
      </c>
      <c r="U28" s="182" t="s">
        <v>2696</v>
      </c>
      <c r="V28" s="90" t="str">
        <f t="shared" si="0"/>
        <v>업무상 재해 등</v>
      </c>
    </row>
    <row r="29" spans="2:22" ht="14.45" customHeight="1" x14ac:dyDescent="0.2">
      <c r="B29" s="187" t="s">
        <v>2620</v>
      </c>
      <c r="C29" s="180" t="s">
        <v>2566</v>
      </c>
      <c r="D29" s="181">
        <f>COUNTIFS(기출문제!$H:$H,기출빈도!$V29,기출문제!$C:$C,기출빈도!D$3)</f>
        <v>0</v>
      </c>
      <c r="E29" s="181">
        <f>COUNTIFS(기출문제!$H:$H,기출빈도!$V29,기출문제!$C:$C,기출빈도!E$3)</f>
        <v>0</v>
      </c>
      <c r="F29" s="181">
        <f>COUNTIFS(기출문제!$H:$H,기출빈도!$V29,기출문제!$C:$C,기출빈도!F$3)</f>
        <v>0</v>
      </c>
      <c r="G29" s="181">
        <f>COUNTIFS(기출문제!$H:$H,기출빈도!$V29,기출문제!$C:$C,기출빈도!G$3)</f>
        <v>0</v>
      </c>
      <c r="H29" s="181">
        <f>COUNTIFS(기출문제!$H:$H,기출빈도!$V29,기출문제!$C:$C,기출빈도!H$3)</f>
        <v>0</v>
      </c>
      <c r="I29" s="181">
        <f>COUNTIFS(기출문제!$H:$H,기출빈도!$V29,기출문제!$C:$C,기출빈도!I$3)</f>
        <v>0</v>
      </c>
      <c r="J29" s="181">
        <f>COUNTIFS(기출문제!$H:$H,기출빈도!$V29,기출문제!$C:$C,기출빈도!J$3)</f>
        <v>0</v>
      </c>
      <c r="K29" s="181">
        <f>COUNTIFS(기출문제!$H:$H,기출빈도!$V29,기출문제!$C:$C,기출빈도!K$3)</f>
        <v>0</v>
      </c>
      <c r="L29" s="181">
        <f>COUNTIFS(기출문제!$H:$H,기출빈도!$V29,기출문제!$C:$C,기출빈도!L$3)</f>
        <v>0</v>
      </c>
      <c r="M29" s="181">
        <f>COUNTIFS(기출문제!$H:$H,기출빈도!$V29,기출문제!$C:$C,기출빈도!M$3)</f>
        <v>0</v>
      </c>
      <c r="N29" s="181">
        <f>COUNTIFS(기출문제!$H:$H,기출빈도!$V29,기출문제!$C:$C,기출빈도!N$3)</f>
        <v>0</v>
      </c>
      <c r="O29" s="181">
        <f>COUNTIFS(기출문제!$H:$H,기출빈도!$V29,기출문제!$C:$C,기출빈도!O$3)</f>
        <v>0</v>
      </c>
      <c r="P29" s="181">
        <f>COUNTIFS(기출문제!$H:$H,기출빈도!$V29,기출문제!$C:$C,기출빈도!P$3)</f>
        <v>0</v>
      </c>
      <c r="Q29" s="181">
        <f>COUNTIFS(기출문제!$H:$H,기출빈도!$V29,기출문제!$C:$C,기출빈도!Q$3)</f>
        <v>0</v>
      </c>
      <c r="R29" s="181">
        <f>COUNTIFS(기출문제!$H:$H,기출빈도!$V29,기출문제!$C:$C,기출빈도!R$3)</f>
        <v>0</v>
      </c>
      <c r="S29" s="181">
        <f>COUNTIFS(기출문제!$H:$H,기출빈도!$V29,기출문제!$C:$C,기출빈도!S$3)</f>
        <v>0</v>
      </c>
      <c r="T29" s="181">
        <f>COUNTIFS(기출문제!$H:$H,기출빈도!$V29,기출문제!$C:$C,기출빈도!T$3)</f>
        <v>0</v>
      </c>
      <c r="U29" s="182" t="s">
        <v>2697</v>
      </c>
      <c r="V29" s="90" t="str">
        <f t="shared" si="0"/>
        <v>보험급여</v>
      </c>
    </row>
    <row r="30" spans="2:22" ht="14.45" customHeight="1" x14ac:dyDescent="0.2">
      <c r="B30" s="187" t="s">
        <v>2620</v>
      </c>
      <c r="C30" s="180" t="s">
        <v>2568</v>
      </c>
      <c r="D30" s="193"/>
      <c r="E30" s="193"/>
      <c r="F30" s="193"/>
      <c r="G30" s="193"/>
      <c r="H30" s="193"/>
      <c r="I30" s="193"/>
      <c r="J30" s="193"/>
      <c r="K30" s="193"/>
      <c r="L30" s="193"/>
      <c r="M30" s="193"/>
      <c r="N30" s="193"/>
      <c r="O30" s="193"/>
      <c r="P30" s="193"/>
      <c r="Q30" s="193"/>
      <c r="R30" s="193"/>
      <c r="S30" s="193"/>
      <c r="T30" s="193"/>
      <c r="U30" s="194" t="s">
        <v>2698</v>
      </c>
    </row>
    <row r="31" spans="2:22" ht="14.45" customHeight="1" x14ac:dyDescent="0.2">
      <c r="B31" s="187" t="s">
        <v>2620</v>
      </c>
      <c r="C31" s="180" t="s">
        <v>2570</v>
      </c>
      <c r="D31" s="193"/>
      <c r="E31" s="193"/>
      <c r="F31" s="193"/>
      <c r="G31" s="193"/>
      <c r="H31" s="193"/>
      <c r="I31" s="193"/>
      <c r="J31" s="193"/>
      <c r="K31" s="193"/>
      <c r="L31" s="193"/>
      <c r="M31" s="193"/>
      <c r="N31" s="193"/>
      <c r="O31" s="193"/>
      <c r="P31" s="193"/>
      <c r="Q31" s="193"/>
      <c r="R31" s="193"/>
      <c r="S31" s="193"/>
      <c r="T31" s="193"/>
      <c r="U31" s="194" t="s">
        <v>2699</v>
      </c>
    </row>
    <row r="32" spans="2:22" ht="14.45" customHeight="1" x14ac:dyDescent="0.2">
      <c r="B32" s="187" t="s">
        <v>2620</v>
      </c>
      <c r="C32" s="180" t="s">
        <v>2572</v>
      </c>
      <c r="D32" s="193"/>
      <c r="E32" s="193"/>
      <c r="F32" s="193"/>
      <c r="G32" s="193"/>
      <c r="H32" s="193"/>
      <c r="I32" s="193"/>
      <c r="J32" s="193"/>
      <c r="K32" s="193"/>
      <c r="L32" s="193"/>
      <c r="M32" s="193"/>
      <c r="N32" s="193"/>
      <c r="O32" s="193"/>
      <c r="P32" s="193"/>
      <c r="Q32" s="193"/>
      <c r="R32" s="193"/>
      <c r="S32" s="193"/>
      <c r="T32" s="193"/>
      <c r="U32" s="194" t="s">
        <v>2700</v>
      </c>
    </row>
    <row r="33" spans="2:22" ht="14.45" customHeight="1" x14ac:dyDescent="0.2">
      <c r="B33" s="187" t="s">
        <v>2620</v>
      </c>
      <c r="C33" s="180" t="s">
        <v>2574</v>
      </c>
      <c r="D33" s="193"/>
      <c r="E33" s="193"/>
      <c r="F33" s="193"/>
      <c r="G33" s="193"/>
      <c r="H33" s="193"/>
      <c r="I33" s="193"/>
      <c r="J33" s="193"/>
      <c r="K33" s="193"/>
      <c r="L33" s="193"/>
      <c r="M33" s="193"/>
      <c r="N33" s="193"/>
      <c r="O33" s="193"/>
      <c r="P33" s="193"/>
      <c r="Q33" s="193"/>
      <c r="R33" s="193"/>
      <c r="S33" s="193"/>
      <c r="T33" s="193"/>
      <c r="U33" s="194" t="s">
        <v>2701</v>
      </c>
    </row>
    <row r="34" spans="2:22" ht="14.45" customHeight="1" x14ac:dyDescent="0.2">
      <c r="B34" s="187" t="s">
        <v>2620</v>
      </c>
      <c r="C34" s="180" t="s">
        <v>3011</v>
      </c>
      <c r="D34" s="193"/>
      <c r="E34" s="193"/>
      <c r="F34" s="193"/>
      <c r="G34" s="193"/>
      <c r="H34" s="193"/>
      <c r="I34" s="193"/>
      <c r="J34" s="193"/>
      <c r="K34" s="193"/>
      <c r="L34" s="193"/>
      <c r="M34" s="193"/>
      <c r="N34" s="193"/>
      <c r="O34" s="193"/>
      <c r="P34" s="193"/>
      <c r="Q34" s="193"/>
      <c r="R34" s="193"/>
      <c r="S34" s="193"/>
      <c r="T34" s="193"/>
      <c r="U34" s="194" t="s">
        <v>2702</v>
      </c>
    </row>
    <row r="35" spans="2:22" ht="14.45" customHeight="1" x14ac:dyDescent="0.2">
      <c r="B35" s="187" t="s">
        <v>2620</v>
      </c>
      <c r="C35" s="180" t="s">
        <v>3014</v>
      </c>
      <c r="D35" s="193"/>
      <c r="E35" s="193"/>
      <c r="F35" s="193"/>
      <c r="G35" s="193"/>
      <c r="H35" s="193"/>
      <c r="I35" s="193"/>
      <c r="J35" s="193"/>
      <c r="K35" s="193"/>
      <c r="L35" s="193"/>
      <c r="M35" s="193"/>
      <c r="N35" s="193"/>
      <c r="O35" s="193"/>
      <c r="P35" s="193"/>
      <c r="Q35" s="193"/>
      <c r="R35" s="193"/>
      <c r="S35" s="193"/>
      <c r="T35" s="193"/>
      <c r="U35" s="194" t="s">
        <v>2703</v>
      </c>
    </row>
    <row r="36" spans="2:22" ht="14.45" customHeight="1" x14ac:dyDescent="0.2">
      <c r="B36" s="187" t="s">
        <v>2620</v>
      </c>
      <c r="C36" s="180" t="s">
        <v>3006</v>
      </c>
      <c r="D36" s="193"/>
      <c r="E36" s="193"/>
      <c r="F36" s="193"/>
      <c r="G36" s="193"/>
      <c r="H36" s="193"/>
      <c r="I36" s="193"/>
      <c r="J36" s="193"/>
      <c r="K36" s="193"/>
      <c r="L36" s="193"/>
      <c r="M36" s="193"/>
      <c r="N36" s="193"/>
      <c r="O36" s="193"/>
      <c r="P36" s="193"/>
      <c r="Q36" s="193"/>
      <c r="R36" s="193"/>
      <c r="S36" s="193"/>
      <c r="T36" s="193"/>
      <c r="U36" s="194" t="s">
        <v>2704</v>
      </c>
    </row>
    <row r="37" spans="2:22" ht="14.45" customHeight="1" thickBot="1" x14ac:dyDescent="0.25">
      <c r="B37" s="183" t="s">
        <v>2620</v>
      </c>
      <c r="C37" s="184" t="s">
        <v>2982</v>
      </c>
      <c r="D37" s="185">
        <f>SUM(D26:D29)</f>
        <v>0</v>
      </c>
      <c r="E37" s="185">
        <f t="shared" ref="E37" si="33">SUM(E26:E29)</f>
        <v>0</v>
      </c>
      <c r="F37" s="185">
        <f t="shared" ref="F37" si="34">SUM(F26:F29)</f>
        <v>0</v>
      </c>
      <c r="G37" s="185">
        <f t="shared" ref="G37" si="35">SUM(G26:G29)</f>
        <v>0</v>
      </c>
      <c r="H37" s="185">
        <f t="shared" ref="H37" si="36">SUM(H26:H29)</f>
        <v>0</v>
      </c>
      <c r="I37" s="185">
        <f t="shared" ref="I37" si="37">SUM(I26:I29)</f>
        <v>0</v>
      </c>
      <c r="J37" s="185">
        <f t="shared" ref="J37" si="38">SUM(J26:J29)</f>
        <v>0</v>
      </c>
      <c r="K37" s="185">
        <f t="shared" ref="K37" si="39">SUM(K26:K29)</f>
        <v>0</v>
      </c>
      <c r="L37" s="185">
        <f t="shared" ref="L37" si="40">SUM(L26:L29)</f>
        <v>0</v>
      </c>
      <c r="M37" s="185">
        <f t="shared" ref="M37" si="41">SUM(M26:M29)</f>
        <v>0</v>
      </c>
      <c r="N37" s="185">
        <f t="shared" ref="N37" si="42">SUM(N26:N29)</f>
        <v>0</v>
      </c>
      <c r="O37" s="185">
        <f t="shared" ref="O37" si="43">SUM(O26:O29)</f>
        <v>0</v>
      </c>
      <c r="P37" s="185">
        <f t="shared" ref="P37" si="44">SUM(P26:P29)</f>
        <v>0</v>
      </c>
      <c r="Q37" s="185">
        <f t="shared" ref="Q37" si="45">SUM(Q26:Q29)</f>
        <v>0</v>
      </c>
      <c r="R37" s="185">
        <f t="shared" ref="R37" si="46">SUM(R26:R29)</f>
        <v>0</v>
      </c>
      <c r="S37" s="185">
        <f t="shared" ref="S37" si="47">SUM(S26:S29)</f>
        <v>0</v>
      </c>
      <c r="T37" s="185">
        <f t="shared" ref="T37" si="48">SUM(T26:T29)</f>
        <v>0</v>
      </c>
      <c r="U37" s="186"/>
      <c r="V37" s="90" t="str">
        <f t="shared" si="0"/>
        <v/>
      </c>
    </row>
    <row r="38" spans="2:22" ht="14.45" customHeight="1" x14ac:dyDescent="0.2">
      <c r="B38" s="188" t="s">
        <v>2622</v>
      </c>
      <c r="C38" s="177" t="s">
        <v>3017</v>
      </c>
      <c r="D38" s="178">
        <f>COUNTIFS(기출문제!$H:$H,기출빈도!$V38,기출문제!$C:$C,기출빈도!D$3)</f>
        <v>0</v>
      </c>
      <c r="E38" s="178">
        <f>COUNTIFS(기출문제!$H:$H,기출빈도!$V38,기출문제!$C:$C,기출빈도!E$3)</f>
        <v>0</v>
      </c>
      <c r="F38" s="178">
        <f>COUNTIFS(기출문제!$H:$H,기출빈도!$V38,기출문제!$C:$C,기출빈도!F$3)</f>
        <v>0</v>
      </c>
      <c r="G38" s="178">
        <f>COUNTIFS(기출문제!$H:$H,기출빈도!$V38,기출문제!$C:$C,기출빈도!G$3)</f>
        <v>0</v>
      </c>
      <c r="H38" s="178">
        <f>COUNTIFS(기출문제!$H:$H,기출빈도!$V38,기출문제!$C:$C,기출빈도!H$3)</f>
        <v>0</v>
      </c>
      <c r="I38" s="178">
        <f>COUNTIFS(기출문제!$H:$H,기출빈도!$V38,기출문제!$C:$C,기출빈도!I$3)</f>
        <v>0</v>
      </c>
      <c r="J38" s="178">
        <f>COUNTIFS(기출문제!$H:$H,기출빈도!$V38,기출문제!$C:$C,기출빈도!J$3)</f>
        <v>0</v>
      </c>
      <c r="K38" s="178">
        <f>COUNTIFS(기출문제!$H:$H,기출빈도!$V38,기출문제!$C:$C,기출빈도!K$3)</f>
        <v>0</v>
      </c>
      <c r="L38" s="178">
        <f>COUNTIFS(기출문제!$H:$H,기출빈도!$V38,기출문제!$C:$C,기출빈도!L$3)</f>
        <v>0</v>
      </c>
      <c r="M38" s="178">
        <f>COUNTIFS(기출문제!$H:$H,기출빈도!$V38,기출문제!$C:$C,기출빈도!M$3)</f>
        <v>0</v>
      </c>
      <c r="N38" s="178">
        <f>COUNTIFS(기출문제!$H:$H,기출빈도!$V38,기출문제!$C:$C,기출빈도!N$3)</f>
        <v>0</v>
      </c>
      <c r="O38" s="178">
        <f>COUNTIFS(기출문제!$H:$H,기출빈도!$V38,기출문제!$C:$C,기출빈도!O$3)</f>
        <v>0</v>
      </c>
      <c r="P38" s="178">
        <f>COUNTIFS(기출문제!$H:$H,기출빈도!$V38,기출문제!$C:$C,기출빈도!P$3)</f>
        <v>0</v>
      </c>
      <c r="Q38" s="178">
        <f>COUNTIFS(기출문제!$H:$H,기출빈도!$V38,기출문제!$C:$C,기출빈도!Q$3)</f>
        <v>0</v>
      </c>
      <c r="R38" s="178">
        <f>COUNTIFS(기출문제!$H:$H,기출빈도!$V38,기출문제!$C:$C,기출빈도!R$3)</f>
        <v>0</v>
      </c>
      <c r="S38" s="178">
        <f>COUNTIFS(기출문제!$H:$H,기출빈도!$V38,기출문제!$C:$C,기출빈도!S$3)</f>
        <v>0</v>
      </c>
      <c r="T38" s="178">
        <f>COUNTIFS(기출문제!$H:$H,기출빈도!$V38,기출문제!$C:$C,기출빈도!T$3)</f>
        <v>0</v>
      </c>
      <c r="U38" s="179" t="s">
        <v>2705</v>
      </c>
      <c r="V38" s="90" t="str">
        <f t="shared" si="0"/>
        <v>국민연금법의 서설</v>
      </c>
    </row>
    <row r="39" spans="2:22" ht="14.45" customHeight="1" x14ac:dyDescent="0.2">
      <c r="B39" s="187" t="s">
        <v>2622</v>
      </c>
      <c r="C39" s="180" t="s">
        <v>2576</v>
      </c>
      <c r="D39" s="181">
        <f>COUNTIFS(기출문제!$H:$H,기출빈도!$V39,기출문제!$C:$C,기출빈도!D$3)</f>
        <v>0</v>
      </c>
      <c r="E39" s="181">
        <f>COUNTIFS(기출문제!$H:$H,기출빈도!$V39,기출문제!$C:$C,기출빈도!E$3)</f>
        <v>0</v>
      </c>
      <c r="F39" s="181">
        <f>COUNTIFS(기출문제!$H:$H,기출빈도!$V39,기출문제!$C:$C,기출빈도!F$3)</f>
        <v>0</v>
      </c>
      <c r="G39" s="181">
        <f>COUNTIFS(기출문제!$H:$H,기출빈도!$V39,기출문제!$C:$C,기출빈도!G$3)</f>
        <v>0</v>
      </c>
      <c r="H39" s="181">
        <f>COUNTIFS(기출문제!$H:$H,기출빈도!$V39,기출문제!$C:$C,기출빈도!H$3)</f>
        <v>0</v>
      </c>
      <c r="I39" s="181">
        <f>COUNTIFS(기출문제!$H:$H,기출빈도!$V39,기출문제!$C:$C,기출빈도!I$3)</f>
        <v>0</v>
      </c>
      <c r="J39" s="181">
        <f>COUNTIFS(기출문제!$H:$H,기출빈도!$V39,기출문제!$C:$C,기출빈도!J$3)</f>
        <v>0</v>
      </c>
      <c r="K39" s="181">
        <f>COUNTIFS(기출문제!$H:$H,기출빈도!$V39,기출문제!$C:$C,기출빈도!K$3)</f>
        <v>0</v>
      </c>
      <c r="L39" s="181">
        <f>COUNTIFS(기출문제!$H:$H,기출빈도!$V39,기출문제!$C:$C,기출빈도!L$3)</f>
        <v>0</v>
      </c>
      <c r="M39" s="181">
        <f>COUNTIFS(기출문제!$H:$H,기출빈도!$V39,기출문제!$C:$C,기출빈도!M$3)</f>
        <v>0</v>
      </c>
      <c r="N39" s="181">
        <f>COUNTIFS(기출문제!$H:$H,기출빈도!$V39,기출문제!$C:$C,기출빈도!N$3)</f>
        <v>0</v>
      </c>
      <c r="O39" s="181">
        <f>COUNTIFS(기출문제!$H:$H,기출빈도!$V39,기출문제!$C:$C,기출빈도!O$3)</f>
        <v>0</v>
      </c>
      <c r="P39" s="181">
        <f>COUNTIFS(기출문제!$H:$H,기출빈도!$V39,기출문제!$C:$C,기출빈도!P$3)</f>
        <v>0</v>
      </c>
      <c r="Q39" s="181">
        <f>COUNTIFS(기출문제!$H:$H,기출빈도!$V39,기출문제!$C:$C,기출빈도!Q$3)</f>
        <v>0</v>
      </c>
      <c r="R39" s="181">
        <f>COUNTIFS(기출문제!$H:$H,기출빈도!$V39,기출문제!$C:$C,기출빈도!R$3)</f>
        <v>0</v>
      </c>
      <c r="S39" s="181">
        <f>COUNTIFS(기출문제!$H:$H,기출빈도!$V39,기출문제!$C:$C,기출빈도!S$3)</f>
        <v>0</v>
      </c>
      <c r="T39" s="181">
        <f>COUNTIFS(기출문제!$H:$H,기출빈도!$V39,기출문제!$C:$C,기출빈도!T$3)</f>
        <v>0</v>
      </c>
      <c r="U39" s="182" t="s">
        <v>2706</v>
      </c>
      <c r="V39" s="90" t="str">
        <f t="shared" si="0"/>
        <v>국민연금가입자</v>
      </c>
    </row>
    <row r="40" spans="2:22" ht="14.45" customHeight="1" x14ac:dyDescent="0.2">
      <c r="B40" s="187" t="s">
        <v>2622</v>
      </c>
      <c r="C40" s="180" t="s">
        <v>2578</v>
      </c>
      <c r="D40" s="181">
        <f>COUNTIFS(기출문제!$H:$H,기출빈도!$V40,기출문제!$C:$C,기출빈도!D$3)</f>
        <v>0</v>
      </c>
      <c r="E40" s="181">
        <f>COUNTIFS(기출문제!$H:$H,기출빈도!$V40,기출문제!$C:$C,기출빈도!E$3)</f>
        <v>0</v>
      </c>
      <c r="F40" s="181">
        <f>COUNTIFS(기출문제!$H:$H,기출빈도!$V40,기출문제!$C:$C,기출빈도!F$3)</f>
        <v>0</v>
      </c>
      <c r="G40" s="181">
        <f>COUNTIFS(기출문제!$H:$H,기출빈도!$V40,기출문제!$C:$C,기출빈도!G$3)</f>
        <v>0</v>
      </c>
      <c r="H40" s="181">
        <f>COUNTIFS(기출문제!$H:$H,기출빈도!$V40,기출문제!$C:$C,기출빈도!H$3)</f>
        <v>0</v>
      </c>
      <c r="I40" s="181">
        <f>COUNTIFS(기출문제!$H:$H,기출빈도!$V40,기출문제!$C:$C,기출빈도!I$3)</f>
        <v>0</v>
      </c>
      <c r="J40" s="181">
        <f>COUNTIFS(기출문제!$H:$H,기출빈도!$V40,기출문제!$C:$C,기출빈도!J$3)</f>
        <v>0</v>
      </c>
      <c r="K40" s="181">
        <f>COUNTIFS(기출문제!$H:$H,기출빈도!$V40,기출문제!$C:$C,기출빈도!K$3)</f>
        <v>0</v>
      </c>
      <c r="L40" s="181">
        <f>COUNTIFS(기출문제!$H:$H,기출빈도!$V40,기출문제!$C:$C,기출빈도!L$3)</f>
        <v>0</v>
      </c>
      <c r="M40" s="181">
        <f>COUNTIFS(기출문제!$H:$H,기출빈도!$V40,기출문제!$C:$C,기출빈도!M$3)</f>
        <v>0</v>
      </c>
      <c r="N40" s="181">
        <f>COUNTIFS(기출문제!$H:$H,기출빈도!$V40,기출문제!$C:$C,기출빈도!N$3)</f>
        <v>0</v>
      </c>
      <c r="O40" s="181">
        <f>COUNTIFS(기출문제!$H:$H,기출빈도!$V40,기출문제!$C:$C,기출빈도!O$3)</f>
        <v>0</v>
      </c>
      <c r="P40" s="181">
        <f>COUNTIFS(기출문제!$H:$H,기출빈도!$V40,기출문제!$C:$C,기출빈도!P$3)</f>
        <v>0</v>
      </c>
      <c r="Q40" s="181">
        <f>COUNTIFS(기출문제!$H:$H,기출빈도!$V40,기출문제!$C:$C,기출빈도!Q$3)</f>
        <v>0</v>
      </c>
      <c r="R40" s="181">
        <f>COUNTIFS(기출문제!$H:$H,기출빈도!$V40,기출문제!$C:$C,기출빈도!R$3)</f>
        <v>0</v>
      </c>
      <c r="S40" s="181">
        <f>COUNTIFS(기출문제!$H:$H,기출빈도!$V40,기출문제!$C:$C,기출빈도!S$3)</f>
        <v>0</v>
      </c>
      <c r="T40" s="181">
        <f>COUNTIFS(기출문제!$H:$H,기출빈도!$V40,기출문제!$C:$C,기출빈도!T$3)</f>
        <v>0</v>
      </c>
      <c r="U40" s="182" t="s">
        <v>2707</v>
      </c>
      <c r="V40" s="90" t="str">
        <f t="shared" si="0"/>
        <v>국민연금공단</v>
      </c>
    </row>
    <row r="41" spans="2:22" ht="14.45" customHeight="1" x14ac:dyDescent="0.2">
      <c r="B41" s="187" t="s">
        <v>2622</v>
      </c>
      <c r="C41" s="180" t="s">
        <v>2580</v>
      </c>
      <c r="D41" s="181">
        <f>COUNTIFS(기출문제!$H:$H,기출빈도!$V41,기출문제!$C:$C,기출빈도!D$3)</f>
        <v>0</v>
      </c>
      <c r="E41" s="181">
        <f>COUNTIFS(기출문제!$H:$H,기출빈도!$V41,기출문제!$C:$C,기출빈도!E$3)</f>
        <v>0</v>
      </c>
      <c r="F41" s="181">
        <f>COUNTIFS(기출문제!$H:$H,기출빈도!$V41,기출문제!$C:$C,기출빈도!F$3)</f>
        <v>0</v>
      </c>
      <c r="G41" s="181">
        <f>COUNTIFS(기출문제!$H:$H,기출빈도!$V41,기출문제!$C:$C,기출빈도!G$3)</f>
        <v>0</v>
      </c>
      <c r="H41" s="181">
        <f>COUNTIFS(기출문제!$H:$H,기출빈도!$V41,기출문제!$C:$C,기출빈도!H$3)</f>
        <v>0</v>
      </c>
      <c r="I41" s="181">
        <f>COUNTIFS(기출문제!$H:$H,기출빈도!$V41,기출문제!$C:$C,기출빈도!I$3)</f>
        <v>0</v>
      </c>
      <c r="J41" s="181">
        <f>COUNTIFS(기출문제!$H:$H,기출빈도!$V41,기출문제!$C:$C,기출빈도!J$3)</f>
        <v>0</v>
      </c>
      <c r="K41" s="181">
        <f>COUNTIFS(기출문제!$H:$H,기출빈도!$V41,기출문제!$C:$C,기출빈도!K$3)</f>
        <v>0</v>
      </c>
      <c r="L41" s="181">
        <f>COUNTIFS(기출문제!$H:$H,기출빈도!$V41,기출문제!$C:$C,기출빈도!L$3)</f>
        <v>0</v>
      </c>
      <c r="M41" s="181">
        <f>COUNTIFS(기출문제!$H:$H,기출빈도!$V41,기출문제!$C:$C,기출빈도!M$3)</f>
        <v>0</v>
      </c>
      <c r="N41" s="181">
        <f>COUNTIFS(기출문제!$H:$H,기출빈도!$V41,기출문제!$C:$C,기출빈도!N$3)</f>
        <v>0</v>
      </c>
      <c r="O41" s="181">
        <f>COUNTIFS(기출문제!$H:$H,기출빈도!$V41,기출문제!$C:$C,기출빈도!O$3)</f>
        <v>0</v>
      </c>
      <c r="P41" s="181">
        <f>COUNTIFS(기출문제!$H:$H,기출빈도!$V41,기출문제!$C:$C,기출빈도!P$3)</f>
        <v>0</v>
      </c>
      <c r="Q41" s="181">
        <f>COUNTIFS(기출문제!$H:$H,기출빈도!$V41,기출문제!$C:$C,기출빈도!Q$3)</f>
        <v>0</v>
      </c>
      <c r="R41" s="181">
        <f>COUNTIFS(기출문제!$H:$H,기출빈도!$V41,기출문제!$C:$C,기출빈도!R$3)</f>
        <v>0</v>
      </c>
      <c r="S41" s="181">
        <f>COUNTIFS(기출문제!$H:$H,기출빈도!$V41,기출문제!$C:$C,기출빈도!S$3)</f>
        <v>0</v>
      </c>
      <c r="T41" s="181">
        <f>COUNTIFS(기출문제!$H:$H,기출빈도!$V41,기출문제!$C:$C,기출빈도!T$3)</f>
        <v>0</v>
      </c>
      <c r="U41" s="182" t="s">
        <v>2708</v>
      </c>
      <c r="V41" s="90" t="str">
        <f t="shared" si="0"/>
        <v>급여</v>
      </c>
    </row>
    <row r="42" spans="2:22" ht="14.45" customHeight="1" x14ac:dyDescent="0.2">
      <c r="B42" s="187" t="s">
        <v>2622</v>
      </c>
      <c r="C42" s="180" t="s">
        <v>2582</v>
      </c>
      <c r="D42" s="181">
        <f>COUNTIFS(기출문제!$H:$H,기출빈도!$V42,기출문제!$C:$C,기출빈도!D$3)</f>
        <v>0</v>
      </c>
      <c r="E42" s="181">
        <f>COUNTIFS(기출문제!$H:$H,기출빈도!$V42,기출문제!$C:$C,기출빈도!E$3)</f>
        <v>0</v>
      </c>
      <c r="F42" s="181">
        <f>COUNTIFS(기출문제!$H:$H,기출빈도!$V42,기출문제!$C:$C,기출빈도!F$3)</f>
        <v>0</v>
      </c>
      <c r="G42" s="181">
        <f>COUNTIFS(기출문제!$H:$H,기출빈도!$V42,기출문제!$C:$C,기출빈도!G$3)</f>
        <v>0</v>
      </c>
      <c r="H42" s="181">
        <f>COUNTIFS(기출문제!$H:$H,기출빈도!$V42,기출문제!$C:$C,기출빈도!H$3)</f>
        <v>0</v>
      </c>
      <c r="I42" s="181">
        <f>COUNTIFS(기출문제!$H:$H,기출빈도!$V42,기출문제!$C:$C,기출빈도!I$3)</f>
        <v>0</v>
      </c>
      <c r="J42" s="181">
        <f>COUNTIFS(기출문제!$H:$H,기출빈도!$V42,기출문제!$C:$C,기출빈도!J$3)</f>
        <v>0</v>
      </c>
      <c r="K42" s="181">
        <f>COUNTIFS(기출문제!$H:$H,기출빈도!$V42,기출문제!$C:$C,기출빈도!K$3)</f>
        <v>0</v>
      </c>
      <c r="L42" s="181">
        <f>COUNTIFS(기출문제!$H:$H,기출빈도!$V42,기출문제!$C:$C,기출빈도!L$3)</f>
        <v>0</v>
      </c>
      <c r="M42" s="181">
        <f>COUNTIFS(기출문제!$H:$H,기출빈도!$V42,기출문제!$C:$C,기출빈도!M$3)</f>
        <v>0</v>
      </c>
      <c r="N42" s="181">
        <f>COUNTIFS(기출문제!$H:$H,기출빈도!$V42,기출문제!$C:$C,기출빈도!N$3)</f>
        <v>0</v>
      </c>
      <c r="O42" s="181">
        <f>COUNTIFS(기출문제!$H:$H,기출빈도!$V42,기출문제!$C:$C,기출빈도!O$3)</f>
        <v>0</v>
      </c>
      <c r="P42" s="181">
        <f>COUNTIFS(기출문제!$H:$H,기출빈도!$V42,기출문제!$C:$C,기출빈도!P$3)</f>
        <v>0</v>
      </c>
      <c r="Q42" s="181">
        <f>COUNTIFS(기출문제!$H:$H,기출빈도!$V42,기출문제!$C:$C,기출빈도!Q$3)</f>
        <v>0</v>
      </c>
      <c r="R42" s="181">
        <f>COUNTIFS(기출문제!$H:$H,기출빈도!$V42,기출문제!$C:$C,기출빈도!R$3)</f>
        <v>0</v>
      </c>
      <c r="S42" s="181">
        <f>COUNTIFS(기출문제!$H:$H,기출빈도!$V42,기출문제!$C:$C,기출빈도!S$3)</f>
        <v>0</v>
      </c>
      <c r="T42" s="181">
        <f>COUNTIFS(기출문제!$H:$H,기출빈도!$V42,기출문제!$C:$C,기출빈도!T$3)</f>
        <v>0</v>
      </c>
      <c r="U42" s="182" t="s">
        <v>2709</v>
      </c>
      <c r="V42" s="90" t="str">
        <f t="shared" si="0"/>
        <v>급여의 제한 및 정지</v>
      </c>
    </row>
    <row r="43" spans="2:22" ht="14.45" customHeight="1" x14ac:dyDescent="0.2">
      <c r="B43" s="187" t="s">
        <v>2622</v>
      </c>
      <c r="C43" s="180" t="s">
        <v>2584</v>
      </c>
      <c r="D43" s="181">
        <f>COUNTIFS(기출문제!$H:$H,기출빈도!$V43,기출문제!$C:$C,기출빈도!D$3)</f>
        <v>0</v>
      </c>
      <c r="E43" s="181">
        <f>COUNTIFS(기출문제!$H:$H,기출빈도!$V43,기출문제!$C:$C,기출빈도!E$3)</f>
        <v>0</v>
      </c>
      <c r="F43" s="181">
        <f>COUNTIFS(기출문제!$H:$H,기출빈도!$V43,기출문제!$C:$C,기출빈도!F$3)</f>
        <v>0</v>
      </c>
      <c r="G43" s="181">
        <f>COUNTIFS(기출문제!$H:$H,기출빈도!$V43,기출문제!$C:$C,기출빈도!G$3)</f>
        <v>0</v>
      </c>
      <c r="H43" s="181">
        <f>COUNTIFS(기출문제!$H:$H,기출빈도!$V43,기출문제!$C:$C,기출빈도!H$3)</f>
        <v>0</v>
      </c>
      <c r="I43" s="181">
        <f>COUNTIFS(기출문제!$H:$H,기출빈도!$V43,기출문제!$C:$C,기출빈도!I$3)</f>
        <v>0</v>
      </c>
      <c r="J43" s="181">
        <f>COUNTIFS(기출문제!$H:$H,기출빈도!$V43,기출문제!$C:$C,기출빈도!J$3)</f>
        <v>0</v>
      </c>
      <c r="K43" s="181">
        <f>COUNTIFS(기출문제!$H:$H,기출빈도!$V43,기출문제!$C:$C,기출빈도!K$3)</f>
        <v>0</v>
      </c>
      <c r="L43" s="181">
        <f>COUNTIFS(기출문제!$H:$H,기출빈도!$V43,기출문제!$C:$C,기출빈도!L$3)</f>
        <v>0</v>
      </c>
      <c r="M43" s="181">
        <f>COUNTIFS(기출문제!$H:$H,기출빈도!$V43,기출문제!$C:$C,기출빈도!M$3)</f>
        <v>0</v>
      </c>
      <c r="N43" s="181">
        <f>COUNTIFS(기출문제!$H:$H,기출빈도!$V43,기출문제!$C:$C,기출빈도!N$3)</f>
        <v>0</v>
      </c>
      <c r="O43" s="181">
        <f>COUNTIFS(기출문제!$H:$H,기출빈도!$V43,기출문제!$C:$C,기출빈도!O$3)</f>
        <v>0</v>
      </c>
      <c r="P43" s="181">
        <f>COUNTIFS(기출문제!$H:$H,기출빈도!$V43,기출문제!$C:$C,기출빈도!P$3)</f>
        <v>0</v>
      </c>
      <c r="Q43" s="181">
        <f>COUNTIFS(기출문제!$H:$H,기출빈도!$V43,기출문제!$C:$C,기출빈도!Q$3)</f>
        <v>0</v>
      </c>
      <c r="R43" s="181">
        <f>COUNTIFS(기출문제!$H:$H,기출빈도!$V43,기출문제!$C:$C,기출빈도!R$3)</f>
        <v>0</v>
      </c>
      <c r="S43" s="181">
        <f>COUNTIFS(기출문제!$H:$H,기출빈도!$V43,기출문제!$C:$C,기출빈도!S$3)</f>
        <v>0</v>
      </c>
      <c r="T43" s="181">
        <f>COUNTIFS(기출문제!$H:$H,기출빈도!$V43,기출문제!$C:$C,기출빈도!T$3)</f>
        <v>0</v>
      </c>
      <c r="U43" s="182" t="s">
        <v>2710</v>
      </c>
      <c r="V43" s="90" t="str">
        <f t="shared" si="0"/>
        <v>비용 부담 및 연금보험료 징수</v>
      </c>
    </row>
    <row r="44" spans="2:22" ht="14.45" customHeight="1" x14ac:dyDescent="0.2">
      <c r="B44" s="187" t="s">
        <v>2622</v>
      </c>
      <c r="C44" s="180" t="s">
        <v>2586</v>
      </c>
      <c r="D44" s="193"/>
      <c r="E44" s="193"/>
      <c r="F44" s="193"/>
      <c r="G44" s="193"/>
      <c r="H44" s="193"/>
      <c r="I44" s="193"/>
      <c r="J44" s="193"/>
      <c r="K44" s="193"/>
      <c r="L44" s="193"/>
      <c r="M44" s="193"/>
      <c r="N44" s="193"/>
      <c r="O44" s="193"/>
      <c r="P44" s="193"/>
      <c r="Q44" s="193"/>
      <c r="R44" s="193"/>
      <c r="S44" s="193"/>
      <c r="T44" s="193"/>
      <c r="U44" s="194" t="s">
        <v>2711</v>
      </c>
    </row>
    <row r="45" spans="2:22" ht="14.45" customHeight="1" x14ac:dyDescent="0.2">
      <c r="B45" s="187" t="s">
        <v>2622</v>
      </c>
      <c r="C45" s="180" t="s">
        <v>2588</v>
      </c>
      <c r="D45" s="193"/>
      <c r="E45" s="193"/>
      <c r="F45" s="193"/>
      <c r="G45" s="193"/>
      <c r="H45" s="193"/>
      <c r="I45" s="193"/>
      <c r="J45" s="193"/>
      <c r="K45" s="193"/>
      <c r="L45" s="193"/>
      <c r="M45" s="193"/>
      <c r="N45" s="193"/>
      <c r="O45" s="193"/>
      <c r="P45" s="193"/>
      <c r="Q45" s="193"/>
      <c r="R45" s="193"/>
      <c r="S45" s="193"/>
      <c r="T45" s="193"/>
      <c r="U45" s="194" t="s">
        <v>2712</v>
      </c>
    </row>
    <row r="46" spans="2:22" ht="14.45" customHeight="1" x14ac:dyDescent="0.2">
      <c r="B46" s="187" t="s">
        <v>2622</v>
      </c>
      <c r="C46" s="180" t="s">
        <v>2590</v>
      </c>
      <c r="D46" s="193"/>
      <c r="E46" s="193"/>
      <c r="F46" s="193"/>
      <c r="G46" s="193"/>
      <c r="H46" s="193"/>
      <c r="I46" s="193"/>
      <c r="J46" s="193"/>
      <c r="K46" s="193"/>
      <c r="L46" s="193"/>
      <c r="M46" s="193"/>
      <c r="N46" s="193"/>
      <c r="O46" s="193"/>
      <c r="P46" s="193"/>
      <c r="Q46" s="193"/>
      <c r="R46" s="193"/>
      <c r="S46" s="193"/>
      <c r="T46" s="193"/>
      <c r="U46" s="194" t="s">
        <v>2713</v>
      </c>
    </row>
    <row r="47" spans="2:22" ht="14.45" customHeight="1" x14ac:dyDescent="0.2">
      <c r="B47" s="187" t="s">
        <v>2622</v>
      </c>
      <c r="C47" s="180" t="s">
        <v>3022</v>
      </c>
      <c r="D47" s="193"/>
      <c r="E47" s="193"/>
      <c r="F47" s="193"/>
      <c r="G47" s="193"/>
      <c r="H47" s="193"/>
      <c r="I47" s="193"/>
      <c r="J47" s="193"/>
      <c r="K47" s="193"/>
      <c r="L47" s="193"/>
      <c r="M47" s="193"/>
      <c r="N47" s="193"/>
      <c r="O47" s="193"/>
      <c r="P47" s="193"/>
      <c r="Q47" s="193"/>
      <c r="R47" s="193"/>
      <c r="S47" s="193"/>
      <c r="T47" s="193"/>
      <c r="U47" s="194" t="s">
        <v>2714</v>
      </c>
    </row>
    <row r="48" spans="2:22" ht="14.45" customHeight="1" thickBot="1" x14ac:dyDescent="0.25">
      <c r="B48" s="183" t="s">
        <v>2622</v>
      </c>
      <c r="C48" s="184" t="s">
        <v>2982</v>
      </c>
      <c r="D48" s="185">
        <f>SUM(D38:D43)</f>
        <v>0</v>
      </c>
      <c r="E48" s="185">
        <f t="shared" ref="E48" si="49">SUM(E38:E43)</f>
        <v>0</v>
      </c>
      <c r="F48" s="185">
        <f t="shared" ref="F48" si="50">SUM(F38:F43)</f>
        <v>0</v>
      </c>
      <c r="G48" s="185">
        <f t="shared" ref="G48" si="51">SUM(G38:G43)</f>
        <v>0</v>
      </c>
      <c r="H48" s="185">
        <f t="shared" ref="H48" si="52">SUM(H38:H43)</f>
        <v>0</v>
      </c>
      <c r="I48" s="185">
        <f t="shared" ref="I48" si="53">SUM(I38:I43)</f>
        <v>0</v>
      </c>
      <c r="J48" s="185">
        <f t="shared" ref="J48" si="54">SUM(J38:J43)</f>
        <v>0</v>
      </c>
      <c r="K48" s="185">
        <f t="shared" ref="K48" si="55">SUM(K38:K43)</f>
        <v>0</v>
      </c>
      <c r="L48" s="185">
        <f t="shared" ref="L48" si="56">SUM(L38:L43)</f>
        <v>0</v>
      </c>
      <c r="M48" s="185">
        <f t="shared" ref="M48" si="57">SUM(M38:M43)</f>
        <v>0</v>
      </c>
      <c r="N48" s="185">
        <f t="shared" ref="N48" si="58">SUM(N38:N43)</f>
        <v>0</v>
      </c>
      <c r="O48" s="185">
        <f t="shared" ref="O48" si="59">SUM(O38:O43)</f>
        <v>0</v>
      </c>
      <c r="P48" s="185">
        <f t="shared" ref="P48" si="60">SUM(P38:P43)</f>
        <v>0</v>
      </c>
      <c r="Q48" s="185">
        <f t="shared" ref="Q48" si="61">SUM(Q38:Q43)</f>
        <v>0</v>
      </c>
      <c r="R48" s="185">
        <f t="shared" ref="R48" si="62">SUM(R38:R43)</f>
        <v>0</v>
      </c>
      <c r="S48" s="185">
        <f t="shared" ref="S48" si="63">SUM(S38:S43)</f>
        <v>0</v>
      </c>
      <c r="T48" s="185">
        <f t="shared" ref="T48" si="64">SUM(T38:T43)</f>
        <v>0</v>
      </c>
      <c r="U48" s="186"/>
      <c r="V48" s="90" t="str">
        <f t="shared" si="0"/>
        <v/>
      </c>
    </row>
    <row r="49" spans="2:22" ht="14.45" customHeight="1" x14ac:dyDescent="0.2">
      <c r="B49" s="188" t="s">
        <v>2624</v>
      </c>
      <c r="C49" s="177" t="s">
        <v>3025</v>
      </c>
      <c r="D49" s="178">
        <f>COUNTIFS(기출문제!$H:$H,기출빈도!$V49,기출문제!$C:$C,기출빈도!D$3)</f>
        <v>0</v>
      </c>
      <c r="E49" s="178">
        <f>COUNTIFS(기출문제!$H:$H,기출빈도!$V49,기출문제!$C:$C,기출빈도!E$3)</f>
        <v>0</v>
      </c>
      <c r="F49" s="178">
        <f>COUNTIFS(기출문제!$H:$H,기출빈도!$V49,기출문제!$C:$C,기출빈도!F$3)</f>
        <v>0</v>
      </c>
      <c r="G49" s="178">
        <f>COUNTIFS(기출문제!$H:$H,기출빈도!$V49,기출문제!$C:$C,기출빈도!G$3)</f>
        <v>0</v>
      </c>
      <c r="H49" s="178">
        <f>COUNTIFS(기출문제!$H:$H,기출빈도!$V49,기출문제!$C:$C,기출빈도!H$3)</f>
        <v>0</v>
      </c>
      <c r="I49" s="178">
        <f>COUNTIFS(기출문제!$H:$H,기출빈도!$V49,기출문제!$C:$C,기출빈도!I$3)</f>
        <v>0</v>
      </c>
      <c r="J49" s="178">
        <f>COUNTIFS(기출문제!$H:$H,기출빈도!$V49,기출문제!$C:$C,기출빈도!J$3)</f>
        <v>0</v>
      </c>
      <c r="K49" s="178">
        <f>COUNTIFS(기출문제!$H:$H,기출빈도!$V49,기출문제!$C:$C,기출빈도!K$3)</f>
        <v>0</v>
      </c>
      <c r="L49" s="178">
        <f>COUNTIFS(기출문제!$H:$H,기출빈도!$V49,기출문제!$C:$C,기출빈도!L$3)</f>
        <v>0</v>
      </c>
      <c r="M49" s="178">
        <f>COUNTIFS(기출문제!$H:$H,기출빈도!$V49,기출문제!$C:$C,기출빈도!M$3)</f>
        <v>0</v>
      </c>
      <c r="N49" s="178">
        <f>COUNTIFS(기출문제!$H:$H,기출빈도!$V49,기출문제!$C:$C,기출빈도!N$3)</f>
        <v>0</v>
      </c>
      <c r="O49" s="178">
        <f>COUNTIFS(기출문제!$H:$H,기출빈도!$V49,기출문제!$C:$C,기출빈도!O$3)</f>
        <v>0</v>
      </c>
      <c r="P49" s="178">
        <f>COUNTIFS(기출문제!$H:$H,기출빈도!$V49,기출문제!$C:$C,기출빈도!P$3)</f>
        <v>0</v>
      </c>
      <c r="Q49" s="178">
        <f>COUNTIFS(기출문제!$H:$H,기출빈도!$V49,기출문제!$C:$C,기출빈도!Q$3)</f>
        <v>0</v>
      </c>
      <c r="R49" s="178">
        <f>COUNTIFS(기출문제!$H:$H,기출빈도!$V49,기출문제!$C:$C,기출빈도!R$3)</f>
        <v>0</v>
      </c>
      <c r="S49" s="178">
        <f>COUNTIFS(기출문제!$H:$H,기출빈도!$V49,기출문제!$C:$C,기출빈도!S$3)</f>
        <v>0</v>
      </c>
      <c r="T49" s="178">
        <f>COUNTIFS(기출문제!$H:$H,기출빈도!$V49,기출문제!$C:$C,기출빈도!T$3)</f>
        <v>0</v>
      </c>
      <c r="U49" s="179" t="s">
        <v>2715</v>
      </c>
      <c r="V49" s="90" t="str">
        <f t="shared" si="0"/>
        <v>국민건강보험법의 서설</v>
      </c>
    </row>
    <row r="50" spans="2:22" ht="14.45" customHeight="1" x14ac:dyDescent="0.2">
      <c r="B50" s="187" t="s">
        <v>2624</v>
      </c>
      <c r="C50" s="180" t="s">
        <v>2592</v>
      </c>
      <c r="D50" s="181">
        <f>COUNTIFS(기출문제!$H:$H,기출빈도!$V50,기출문제!$C:$C,기출빈도!D$3)</f>
        <v>0</v>
      </c>
      <c r="E50" s="181">
        <f>COUNTIFS(기출문제!$H:$H,기출빈도!$V50,기출문제!$C:$C,기출빈도!E$3)</f>
        <v>0</v>
      </c>
      <c r="F50" s="181">
        <f>COUNTIFS(기출문제!$H:$H,기출빈도!$V50,기출문제!$C:$C,기출빈도!F$3)</f>
        <v>0</v>
      </c>
      <c r="G50" s="181">
        <f>COUNTIFS(기출문제!$H:$H,기출빈도!$V50,기출문제!$C:$C,기출빈도!G$3)</f>
        <v>0</v>
      </c>
      <c r="H50" s="181">
        <f>COUNTIFS(기출문제!$H:$H,기출빈도!$V50,기출문제!$C:$C,기출빈도!H$3)</f>
        <v>0</v>
      </c>
      <c r="I50" s="181">
        <f>COUNTIFS(기출문제!$H:$H,기출빈도!$V50,기출문제!$C:$C,기출빈도!I$3)</f>
        <v>0</v>
      </c>
      <c r="J50" s="181">
        <f>COUNTIFS(기출문제!$H:$H,기출빈도!$V50,기출문제!$C:$C,기출빈도!J$3)</f>
        <v>0</v>
      </c>
      <c r="K50" s="181">
        <f>COUNTIFS(기출문제!$H:$H,기출빈도!$V50,기출문제!$C:$C,기출빈도!K$3)</f>
        <v>0</v>
      </c>
      <c r="L50" s="181">
        <f>COUNTIFS(기출문제!$H:$H,기출빈도!$V50,기출문제!$C:$C,기출빈도!L$3)</f>
        <v>0</v>
      </c>
      <c r="M50" s="181">
        <f>COUNTIFS(기출문제!$H:$H,기출빈도!$V50,기출문제!$C:$C,기출빈도!M$3)</f>
        <v>0</v>
      </c>
      <c r="N50" s="181">
        <f>COUNTIFS(기출문제!$H:$H,기출빈도!$V50,기출문제!$C:$C,기출빈도!N$3)</f>
        <v>0</v>
      </c>
      <c r="O50" s="181">
        <f>COUNTIFS(기출문제!$H:$H,기출빈도!$V50,기출문제!$C:$C,기출빈도!O$3)</f>
        <v>0</v>
      </c>
      <c r="P50" s="181">
        <f>COUNTIFS(기출문제!$H:$H,기출빈도!$V50,기출문제!$C:$C,기출빈도!P$3)</f>
        <v>0</v>
      </c>
      <c r="Q50" s="181">
        <f>COUNTIFS(기출문제!$H:$H,기출빈도!$V50,기출문제!$C:$C,기출빈도!Q$3)</f>
        <v>0</v>
      </c>
      <c r="R50" s="181">
        <f>COUNTIFS(기출문제!$H:$H,기출빈도!$V50,기출문제!$C:$C,기출빈도!R$3)</f>
        <v>0</v>
      </c>
      <c r="S50" s="181">
        <f>COUNTIFS(기출문제!$H:$H,기출빈도!$V50,기출문제!$C:$C,기출빈도!S$3)</f>
        <v>0</v>
      </c>
      <c r="T50" s="181">
        <f>COUNTIFS(기출문제!$H:$H,기출빈도!$V50,기출문제!$C:$C,기출빈도!T$3)</f>
        <v>0</v>
      </c>
      <c r="U50" s="182" t="s">
        <v>2716</v>
      </c>
      <c r="V50" s="90" t="str">
        <f t="shared" si="0"/>
        <v>가입자</v>
      </c>
    </row>
    <row r="51" spans="2:22" ht="14.45" customHeight="1" x14ac:dyDescent="0.2">
      <c r="B51" s="187" t="s">
        <v>2624</v>
      </c>
      <c r="C51" s="180" t="s">
        <v>2594</v>
      </c>
      <c r="D51" s="181">
        <f>COUNTIFS(기출문제!$H:$H,기출빈도!$V51,기출문제!$C:$C,기출빈도!D$3)</f>
        <v>0</v>
      </c>
      <c r="E51" s="181">
        <f>COUNTIFS(기출문제!$H:$H,기출빈도!$V51,기출문제!$C:$C,기출빈도!E$3)</f>
        <v>0</v>
      </c>
      <c r="F51" s="181">
        <f>COUNTIFS(기출문제!$H:$H,기출빈도!$V51,기출문제!$C:$C,기출빈도!F$3)</f>
        <v>0</v>
      </c>
      <c r="G51" s="181">
        <f>COUNTIFS(기출문제!$H:$H,기출빈도!$V51,기출문제!$C:$C,기출빈도!G$3)</f>
        <v>0</v>
      </c>
      <c r="H51" s="181">
        <f>COUNTIFS(기출문제!$H:$H,기출빈도!$V51,기출문제!$C:$C,기출빈도!H$3)</f>
        <v>0</v>
      </c>
      <c r="I51" s="181">
        <f>COUNTIFS(기출문제!$H:$H,기출빈도!$V51,기출문제!$C:$C,기출빈도!I$3)</f>
        <v>0</v>
      </c>
      <c r="J51" s="181">
        <f>COUNTIFS(기출문제!$H:$H,기출빈도!$V51,기출문제!$C:$C,기출빈도!J$3)</f>
        <v>0</v>
      </c>
      <c r="K51" s="181">
        <f>COUNTIFS(기출문제!$H:$H,기출빈도!$V51,기출문제!$C:$C,기출빈도!K$3)</f>
        <v>0</v>
      </c>
      <c r="L51" s="181">
        <f>COUNTIFS(기출문제!$H:$H,기출빈도!$V51,기출문제!$C:$C,기출빈도!L$3)</f>
        <v>0</v>
      </c>
      <c r="M51" s="181">
        <f>COUNTIFS(기출문제!$H:$H,기출빈도!$V51,기출문제!$C:$C,기출빈도!M$3)</f>
        <v>0</v>
      </c>
      <c r="N51" s="181">
        <f>COUNTIFS(기출문제!$H:$H,기출빈도!$V51,기출문제!$C:$C,기출빈도!N$3)</f>
        <v>0</v>
      </c>
      <c r="O51" s="181">
        <f>COUNTIFS(기출문제!$H:$H,기출빈도!$V51,기출문제!$C:$C,기출빈도!O$3)</f>
        <v>0</v>
      </c>
      <c r="P51" s="181">
        <f>COUNTIFS(기출문제!$H:$H,기출빈도!$V51,기출문제!$C:$C,기출빈도!P$3)</f>
        <v>0</v>
      </c>
      <c r="Q51" s="181">
        <f>COUNTIFS(기출문제!$H:$H,기출빈도!$V51,기출문제!$C:$C,기출빈도!Q$3)</f>
        <v>0</v>
      </c>
      <c r="R51" s="181">
        <f>COUNTIFS(기출문제!$H:$H,기출빈도!$V51,기출문제!$C:$C,기출빈도!R$3)</f>
        <v>0</v>
      </c>
      <c r="S51" s="181">
        <f>COUNTIFS(기출문제!$H:$H,기출빈도!$V51,기출문제!$C:$C,기출빈도!S$3)</f>
        <v>0</v>
      </c>
      <c r="T51" s="181">
        <f>COUNTIFS(기출문제!$H:$H,기출빈도!$V51,기출문제!$C:$C,기출빈도!T$3)</f>
        <v>0</v>
      </c>
      <c r="U51" s="182" t="s">
        <v>2717</v>
      </c>
      <c r="V51" s="90" t="str">
        <f t="shared" si="0"/>
        <v>국민건강보험공단</v>
      </c>
    </row>
    <row r="52" spans="2:22" ht="14.45" customHeight="1" x14ac:dyDescent="0.2">
      <c r="B52" s="187" t="s">
        <v>2624</v>
      </c>
      <c r="C52" s="180" t="s">
        <v>2566</v>
      </c>
      <c r="D52" s="181">
        <f>COUNTIFS(기출문제!$H:$H,기출빈도!$V52,기출문제!$C:$C,기출빈도!D$3)</f>
        <v>0</v>
      </c>
      <c r="E52" s="181">
        <f>COUNTIFS(기출문제!$H:$H,기출빈도!$V52,기출문제!$C:$C,기출빈도!E$3)</f>
        <v>0</v>
      </c>
      <c r="F52" s="181">
        <f>COUNTIFS(기출문제!$H:$H,기출빈도!$V52,기출문제!$C:$C,기출빈도!F$3)</f>
        <v>0</v>
      </c>
      <c r="G52" s="181">
        <f>COUNTIFS(기출문제!$H:$H,기출빈도!$V52,기출문제!$C:$C,기출빈도!G$3)</f>
        <v>0</v>
      </c>
      <c r="H52" s="181">
        <f>COUNTIFS(기출문제!$H:$H,기출빈도!$V52,기출문제!$C:$C,기출빈도!H$3)</f>
        <v>0</v>
      </c>
      <c r="I52" s="181">
        <f>COUNTIFS(기출문제!$H:$H,기출빈도!$V52,기출문제!$C:$C,기출빈도!I$3)</f>
        <v>0</v>
      </c>
      <c r="J52" s="181">
        <f>COUNTIFS(기출문제!$H:$H,기출빈도!$V52,기출문제!$C:$C,기출빈도!J$3)</f>
        <v>0</v>
      </c>
      <c r="K52" s="181">
        <f>COUNTIFS(기출문제!$H:$H,기출빈도!$V52,기출문제!$C:$C,기출빈도!K$3)</f>
        <v>0</v>
      </c>
      <c r="L52" s="181">
        <f>COUNTIFS(기출문제!$H:$H,기출빈도!$V52,기출문제!$C:$C,기출빈도!L$3)</f>
        <v>0</v>
      </c>
      <c r="M52" s="181">
        <f>COUNTIFS(기출문제!$H:$H,기출빈도!$V52,기출문제!$C:$C,기출빈도!M$3)</f>
        <v>0</v>
      </c>
      <c r="N52" s="181">
        <f>COUNTIFS(기출문제!$H:$H,기출빈도!$V52,기출문제!$C:$C,기출빈도!N$3)</f>
        <v>0</v>
      </c>
      <c r="O52" s="181">
        <f>COUNTIFS(기출문제!$H:$H,기출빈도!$V52,기출문제!$C:$C,기출빈도!O$3)</f>
        <v>0</v>
      </c>
      <c r="P52" s="181">
        <f>COUNTIFS(기출문제!$H:$H,기출빈도!$V52,기출문제!$C:$C,기출빈도!P$3)</f>
        <v>0</v>
      </c>
      <c r="Q52" s="181">
        <f>COUNTIFS(기출문제!$H:$H,기출빈도!$V52,기출문제!$C:$C,기출빈도!Q$3)</f>
        <v>0</v>
      </c>
      <c r="R52" s="181">
        <f>COUNTIFS(기출문제!$H:$H,기출빈도!$V52,기출문제!$C:$C,기출빈도!R$3)</f>
        <v>0</v>
      </c>
      <c r="S52" s="181">
        <f>COUNTIFS(기출문제!$H:$H,기출빈도!$V52,기출문제!$C:$C,기출빈도!S$3)</f>
        <v>0</v>
      </c>
      <c r="T52" s="181">
        <f>COUNTIFS(기출문제!$H:$H,기출빈도!$V52,기출문제!$C:$C,기출빈도!T$3)</f>
        <v>0</v>
      </c>
      <c r="U52" s="182" t="s">
        <v>2718</v>
      </c>
      <c r="V52" s="90" t="str">
        <f t="shared" si="0"/>
        <v>보험급여</v>
      </c>
    </row>
    <row r="53" spans="2:22" ht="14.45" customHeight="1" x14ac:dyDescent="0.2">
      <c r="B53" s="187" t="s">
        <v>2624</v>
      </c>
      <c r="C53" s="180" t="s">
        <v>2596</v>
      </c>
      <c r="D53" s="193"/>
      <c r="E53" s="193"/>
      <c r="F53" s="193"/>
      <c r="G53" s="193"/>
      <c r="H53" s="193"/>
      <c r="I53" s="193"/>
      <c r="J53" s="193"/>
      <c r="K53" s="193"/>
      <c r="L53" s="193"/>
      <c r="M53" s="193"/>
      <c r="N53" s="193"/>
      <c r="O53" s="193"/>
      <c r="P53" s="193"/>
      <c r="Q53" s="193"/>
      <c r="R53" s="193"/>
      <c r="S53" s="193"/>
      <c r="T53" s="193"/>
      <c r="U53" s="194" t="s">
        <v>2719</v>
      </c>
    </row>
    <row r="54" spans="2:22" ht="14.45" customHeight="1" x14ac:dyDescent="0.2">
      <c r="B54" s="187" t="s">
        <v>2624</v>
      </c>
      <c r="C54" s="180" t="s">
        <v>2598</v>
      </c>
      <c r="D54" s="193"/>
      <c r="E54" s="193"/>
      <c r="F54" s="193"/>
      <c r="G54" s="193"/>
      <c r="H54" s="193"/>
      <c r="I54" s="193"/>
      <c r="J54" s="193"/>
      <c r="K54" s="193"/>
      <c r="L54" s="193"/>
      <c r="M54" s="193"/>
      <c r="N54" s="193"/>
      <c r="O54" s="193"/>
      <c r="P54" s="193"/>
      <c r="Q54" s="193"/>
      <c r="R54" s="193"/>
      <c r="S54" s="193"/>
      <c r="T54" s="193"/>
      <c r="U54" s="194" t="s">
        <v>2720</v>
      </c>
    </row>
    <row r="55" spans="2:22" ht="14.45" customHeight="1" x14ac:dyDescent="0.2">
      <c r="B55" s="187" t="s">
        <v>2624</v>
      </c>
      <c r="C55" s="180" t="s">
        <v>2600</v>
      </c>
      <c r="D55" s="193"/>
      <c r="E55" s="193"/>
      <c r="F55" s="193"/>
      <c r="G55" s="193"/>
      <c r="H55" s="193"/>
      <c r="I55" s="193"/>
      <c r="J55" s="193"/>
      <c r="K55" s="193"/>
      <c r="L55" s="193"/>
      <c r="M55" s="193"/>
      <c r="N55" s="193"/>
      <c r="O55" s="193"/>
      <c r="P55" s="193"/>
      <c r="Q55" s="193"/>
      <c r="R55" s="193"/>
      <c r="S55" s="193"/>
      <c r="T55" s="193"/>
      <c r="U55" s="194" t="s">
        <v>2721</v>
      </c>
    </row>
    <row r="56" spans="2:22" ht="14.45" customHeight="1" x14ac:dyDescent="0.2">
      <c r="B56" s="187" t="s">
        <v>2624</v>
      </c>
      <c r="C56" s="180" t="s">
        <v>2602</v>
      </c>
      <c r="D56" s="193"/>
      <c r="E56" s="193"/>
      <c r="F56" s="193"/>
      <c r="G56" s="193"/>
      <c r="H56" s="193"/>
      <c r="I56" s="193"/>
      <c r="J56" s="193"/>
      <c r="K56" s="193"/>
      <c r="L56" s="193"/>
      <c r="M56" s="193"/>
      <c r="N56" s="193"/>
      <c r="O56" s="193"/>
      <c r="P56" s="193"/>
      <c r="Q56" s="193"/>
      <c r="R56" s="193"/>
      <c r="S56" s="193"/>
      <c r="T56" s="193"/>
      <c r="U56" s="194" t="s">
        <v>2722</v>
      </c>
    </row>
    <row r="57" spans="2:22" ht="14.45" customHeight="1" x14ac:dyDescent="0.2">
      <c r="B57" s="187" t="s">
        <v>2624</v>
      </c>
      <c r="C57" s="180" t="s">
        <v>2604</v>
      </c>
      <c r="D57" s="193"/>
      <c r="E57" s="193"/>
      <c r="F57" s="193"/>
      <c r="G57" s="193"/>
      <c r="H57" s="193"/>
      <c r="I57" s="193"/>
      <c r="J57" s="193"/>
      <c r="K57" s="193"/>
      <c r="L57" s="193"/>
      <c r="M57" s="193"/>
      <c r="N57" s="193"/>
      <c r="O57" s="193"/>
      <c r="P57" s="193"/>
      <c r="Q57" s="193"/>
      <c r="R57" s="193"/>
      <c r="S57" s="193"/>
      <c r="T57" s="193"/>
      <c r="U57" s="194" t="s">
        <v>2723</v>
      </c>
    </row>
    <row r="58" spans="2:22" ht="14.45" customHeight="1" x14ac:dyDescent="0.2">
      <c r="B58" s="187" t="s">
        <v>2624</v>
      </c>
      <c r="C58" s="180" t="s">
        <v>3030</v>
      </c>
      <c r="D58" s="193"/>
      <c r="E58" s="193"/>
      <c r="F58" s="193"/>
      <c r="G58" s="193"/>
      <c r="H58" s="193"/>
      <c r="I58" s="193"/>
      <c r="J58" s="193"/>
      <c r="K58" s="193"/>
      <c r="L58" s="193"/>
      <c r="M58" s="193"/>
      <c r="N58" s="193"/>
      <c r="O58" s="193"/>
      <c r="P58" s="193"/>
      <c r="Q58" s="193"/>
      <c r="R58" s="193"/>
      <c r="S58" s="193"/>
      <c r="T58" s="193"/>
      <c r="U58" s="194" t="s">
        <v>2724</v>
      </c>
    </row>
    <row r="59" spans="2:22" ht="14.45" customHeight="1" thickBot="1" x14ac:dyDescent="0.25">
      <c r="B59" s="183" t="s">
        <v>2624</v>
      </c>
      <c r="C59" s="184" t="s">
        <v>2982</v>
      </c>
      <c r="D59" s="185">
        <f>SUM(D49:D52)</f>
        <v>0</v>
      </c>
      <c r="E59" s="185">
        <f t="shared" ref="E59" si="65">SUM(E49:E52)</f>
        <v>0</v>
      </c>
      <c r="F59" s="185">
        <f t="shared" ref="F59" si="66">SUM(F49:F52)</f>
        <v>0</v>
      </c>
      <c r="G59" s="185">
        <f t="shared" ref="G59" si="67">SUM(G49:G52)</f>
        <v>0</v>
      </c>
      <c r="H59" s="185">
        <f t="shared" ref="H59" si="68">SUM(H49:H52)</f>
        <v>0</v>
      </c>
      <c r="I59" s="185">
        <f t="shared" ref="I59" si="69">SUM(I49:I52)</f>
        <v>0</v>
      </c>
      <c r="J59" s="185">
        <f t="shared" ref="J59" si="70">SUM(J49:J52)</f>
        <v>0</v>
      </c>
      <c r="K59" s="185">
        <f t="shared" ref="K59" si="71">SUM(K49:K52)</f>
        <v>0</v>
      </c>
      <c r="L59" s="185">
        <f t="shared" ref="L59" si="72">SUM(L49:L52)</f>
        <v>0</v>
      </c>
      <c r="M59" s="185">
        <f t="shared" ref="M59" si="73">SUM(M49:M52)</f>
        <v>0</v>
      </c>
      <c r="N59" s="185">
        <f t="shared" ref="N59" si="74">SUM(N49:N52)</f>
        <v>0</v>
      </c>
      <c r="O59" s="185">
        <f t="shared" ref="O59" si="75">SUM(O49:O52)</f>
        <v>0</v>
      </c>
      <c r="P59" s="185">
        <f t="shared" ref="P59" si="76">SUM(P49:P52)</f>
        <v>0</v>
      </c>
      <c r="Q59" s="185">
        <f t="shared" ref="Q59" si="77">SUM(Q49:Q52)</f>
        <v>0</v>
      </c>
      <c r="R59" s="185">
        <f t="shared" ref="R59" si="78">SUM(R49:R52)</f>
        <v>0</v>
      </c>
      <c r="S59" s="185">
        <f t="shared" ref="S59" si="79">SUM(S49:S52)</f>
        <v>0</v>
      </c>
      <c r="T59" s="185">
        <f t="shared" ref="T59" si="80">SUM(T49:T52)</f>
        <v>0</v>
      </c>
      <c r="U59" s="186"/>
      <c r="V59" s="90" t="str">
        <f t="shared" si="0"/>
        <v/>
      </c>
    </row>
    <row r="60" spans="2:22" ht="14.45" customHeight="1" x14ac:dyDescent="0.2">
      <c r="B60" s="188" t="s">
        <v>2626</v>
      </c>
      <c r="C60" s="177" t="s">
        <v>3033</v>
      </c>
      <c r="D60" s="178">
        <f>COUNTIFS(기출문제!$H:$H,기출빈도!$V60,기출문제!$C:$C,기출빈도!D$3)</f>
        <v>0</v>
      </c>
      <c r="E60" s="178">
        <f>COUNTIFS(기출문제!$H:$H,기출빈도!$V60,기출문제!$C:$C,기출빈도!E$3)</f>
        <v>0</v>
      </c>
      <c r="F60" s="178">
        <f>COUNTIFS(기출문제!$H:$H,기출빈도!$V60,기출문제!$C:$C,기출빈도!F$3)</f>
        <v>0</v>
      </c>
      <c r="G60" s="178">
        <f>COUNTIFS(기출문제!$H:$H,기출빈도!$V60,기출문제!$C:$C,기출빈도!G$3)</f>
        <v>0</v>
      </c>
      <c r="H60" s="178">
        <f>COUNTIFS(기출문제!$H:$H,기출빈도!$V60,기출문제!$C:$C,기출빈도!H$3)</f>
        <v>0</v>
      </c>
      <c r="I60" s="178">
        <f>COUNTIFS(기출문제!$H:$H,기출빈도!$V60,기출문제!$C:$C,기출빈도!I$3)</f>
        <v>0</v>
      </c>
      <c r="J60" s="178">
        <f>COUNTIFS(기출문제!$H:$H,기출빈도!$V60,기출문제!$C:$C,기출빈도!J$3)</f>
        <v>0</v>
      </c>
      <c r="K60" s="178">
        <f>COUNTIFS(기출문제!$H:$H,기출빈도!$V60,기출문제!$C:$C,기출빈도!K$3)</f>
        <v>0</v>
      </c>
      <c r="L60" s="178">
        <f>COUNTIFS(기출문제!$H:$H,기출빈도!$V60,기출문제!$C:$C,기출빈도!L$3)</f>
        <v>0</v>
      </c>
      <c r="M60" s="178">
        <f>COUNTIFS(기출문제!$H:$H,기출빈도!$V60,기출문제!$C:$C,기출빈도!M$3)</f>
        <v>0</v>
      </c>
      <c r="N60" s="178">
        <f>COUNTIFS(기출문제!$H:$H,기출빈도!$V60,기출문제!$C:$C,기출빈도!N$3)</f>
        <v>0</v>
      </c>
      <c r="O60" s="178">
        <f>COUNTIFS(기출문제!$H:$H,기출빈도!$V60,기출문제!$C:$C,기출빈도!O$3)</f>
        <v>0</v>
      </c>
      <c r="P60" s="178">
        <f>COUNTIFS(기출문제!$H:$H,기출빈도!$V60,기출문제!$C:$C,기출빈도!P$3)</f>
        <v>0</v>
      </c>
      <c r="Q60" s="178">
        <f>COUNTIFS(기출문제!$H:$H,기출빈도!$V60,기출문제!$C:$C,기출빈도!Q$3)</f>
        <v>0</v>
      </c>
      <c r="R60" s="178">
        <f>COUNTIFS(기출문제!$H:$H,기출빈도!$V60,기출문제!$C:$C,기출빈도!R$3)</f>
        <v>0</v>
      </c>
      <c r="S60" s="178">
        <f>COUNTIFS(기출문제!$H:$H,기출빈도!$V60,기출문제!$C:$C,기출빈도!S$3)</f>
        <v>0</v>
      </c>
      <c r="T60" s="178">
        <f>COUNTIFS(기출문제!$H:$H,기출빈도!$V60,기출문제!$C:$C,기출빈도!T$3)</f>
        <v>0</v>
      </c>
      <c r="U60" s="179" t="s">
        <v>2725</v>
      </c>
      <c r="V60" s="90" t="str">
        <f t="shared" si="0"/>
        <v>고용산재보험료징수법의 서설</v>
      </c>
    </row>
    <row r="61" spans="2:22" ht="14.45" customHeight="1" x14ac:dyDescent="0.2">
      <c r="B61" s="187" t="s">
        <v>2626</v>
      </c>
      <c r="C61" s="180" t="s">
        <v>2606</v>
      </c>
      <c r="D61" s="181">
        <f>COUNTIFS(기출문제!$H:$H,기출빈도!$V61,기출문제!$C:$C,기출빈도!D$3)</f>
        <v>0</v>
      </c>
      <c r="E61" s="181">
        <f>COUNTIFS(기출문제!$H:$H,기출빈도!$V61,기출문제!$C:$C,기출빈도!E$3)</f>
        <v>0</v>
      </c>
      <c r="F61" s="181">
        <f>COUNTIFS(기출문제!$H:$H,기출빈도!$V61,기출문제!$C:$C,기출빈도!F$3)</f>
        <v>0</v>
      </c>
      <c r="G61" s="181">
        <f>COUNTIFS(기출문제!$H:$H,기출빈도!$V61,기출문제!$C:$C,기출빈도!G$3)</f>
        <v>0</v>
      </c>
      <c r="H61" s="181">
        <f>COUNTIFS(기출문제!$H:$H,기출빈도!$V61,기출문제!$C:$C,기출빈도!H$3)</f>
        <v>0</v>
      </c>
      <c r="I61" s="181">
        <f>COUNTIFS(기출문제!$H:$H,기출빈도!$V61,기출문제!$C:$C,기출빈도!I$3)</f>
        <v>0</v>
      </c>
      <c r="J61" s="181">
        <f>COUNTIFS(기출문제!$H:$H,기출빈도!$V61,기출문제!$C:$C,기출빈도!J$3)</f>
        <v>0</v>
      </c>
      <c r="K61" s="181">
        <f>COUNTIFS(기출문제!$H:$H,기출빈도!$V61,기출문제!$C:$C,기출빈도!K$3)</f>
        <v>0</v>
      </c>
      <c r="L61" s="181">
        <f>COUNTIFS(기출문제!$H:$H,기출빈도!$V61,기출문제!$C:$C,기출빈도!L$3)</f>
        <v>0</v>
      </c>
      <c r="M61" s="181">
        <f>COUNTIFS(기출문제!$H:$H,기출빈도!$V61,기출문제!$C:$C,기출빈도!M$3)</f>
        <v>0</v>
      </c>
      <c r="N61" s="181">
        <f>COUNTIFS(기출문제!$H:$H,기출빈도!$V61,기출문제!$C:$C,기출빈도!N$3)</f>
        <v>0</v>
      </c>
      <c r="O61" s="181">
        <f>COUNTIFS(기출문제!$H:$H,기출빈도!$V61,기출문제!$C:$C,기출빈도!O$3)</f>
        <v>0</v>
      </c>
      <c r="P61" s="181">
        <f>COUNTIFS(기출문제!$H:$H,기출빈도!$V61,기출문제!$C:$C,기출빈도!P$3)</f>
        <v>0</v>
      </c>
      <c r="Q61" s="181">
        <f>COUNTIFS(기출문제!$H:$H,기출빈도!$V61,기출문제!$C:$C,기출빈도!Q$3)</f>
        <v>0</v>
      </c>
      <c r="R61" s="181">
        <f>COUNTIFS(기출문제!$H:$H,기출빈도!$V61,기출문제!$C:$C,기출빈도!R$3)</f>
        <v>0</v>
      </c>
      <c r="S61" s="181">
        <f>COUNTIFS(기출문제!$H:$H,기출빈도!$V61,기출문제!$C:$C,기출빈도!S$3)</f>
        <v>0</v>
      </c>
      <c r="T61" s="181">
        <f>COUNTIFS(기출문제!$H:$H,기출빈도!$V61,기출문제!$C:$C,기출빈도!T$3)</f>
        <v>0</v>
      </c>
      <c r="U61" s="182" t="s">
        <v>2726</v>
      </c>
      <c r="V61" s="90" t="str">
        <f t="shared" si="0"/>
        <v>보험관계의 성립 및 소멸</v>
      </c>
    </row>
    <row r="62" spans="2:22" ht="14.45" customHeight="1" x14ac:dyDescent="0.2">
      <c r="B62" s="187" t="s">
        <v>2626</v>
      </c>
      <c r="C62" s="180" t="s">
        <v>2608</v>
      </c>
      <c r="D62" s="181">
        <f>COUNTIFS(기출문제!$H:$H,기출빈도!$V62,기출문제!$C:$C,기출빈도!D$3)</f>
        <v>0</v>
      </c>
      <c r="E62" s="181">
        <f>COUNTIFS(기출문제!$H:$H,기출빈도!$V62,기출문제!$C:$C,기출빈도!E$3)</f>
        <v>0</v>
      </c>
      <c r="F62" s="181">
        <f>COUNTIFS(기출문제!$H:$H,기출빈도!$V62,기출문제!$C:$C,기출빈도!F$3)</f>
        <v>0</v>
      </c>
      <c r="G62" s="181">
        <f>COUNTIFS(기출문제!$H:$H,기출빈도!$V62,기출문제!$C:$C,기출빈도!G$3)</f>
        <v>0</v>
      </c>
      <c r="H62" s="181">
        <f>COUNTIFS(기출문제!$H:$H,기출빈도!$V62,기출문제!$C:$C,기출빈도!H$3)</f>
        <v>0</v>
      </c>
      <c r="I62" s="181">
        <f>COUNTIFS(기출문제!$H:$H,기출빈도!$V62,기출문제!$C:$C,기출빈도!I$3)</f>
        <v>0</v>
      </c>
      <c r="J62" s="181">
        <f>COUNTIFS(기출문제!$H:$H,기출빈도!$V62,기출문제!$C:$C,기출빈도!J$3)</f>
        <v>0</v>
      </c>
      <c r="K62" s="181">
        <f>COUNTIFS(기출문제!$H:$H,기출빈도!$V62,기출문제!$C:$C,기출빈도!K$3)</f>
        <v>0</v>
      </c>
      <c r="L62" s="181">
        <f>COUNTIFS(기출문제!$H:$H,기출빈도!$V62,기출문제!$C:$C,기출빈도!L$3)</f>
        <v>0</v>
      </c>
      <c r="M62" s="181">
        <f>COUNTIFS(기출문제!$H:$H,기출빈도!$V62,기출문제!$C:$C,기출빈도!M$3)</f>
        <v>0</v>
      </c>
      <c r="N62" s="181">
        <f>COUNTIFS(기출문제!$H:$H,기출빈도!$V62,기출문제!$C:$C,기출빈도!N$3)</f>
        <v>0</v>
      </c>
      <c r="O62" s="181">
        <f>COUNTIFS(기출문제!$H:$H,기출빈도!$V62,기출문제!$C:$C,기출빈도!O$3)</f>
        <v>0</v>
      </c>
      <c r="P62" s="181">
        <f>COUNTIFS(기출문제!$H:$H,기출빈도!$V62,기출문제!$C:$C,기출빈도!P$3)</f>
        <v>0</v>
      </c>
      <c r="Q62" s="181">
        <f>COUNTIFS(기출문제!$H:$H,기출빈도!$V62,기출문제!$C:$C,기출빈도!Q$3)</f>
        <v>0</v>
      </c>
      <c r="R62" s="181">
        <f>COUNTIFS(기출문제!$H:$H,기출빈도!$V62,기출문제!$C:$C,기출빈도!R$3)</f>
        <v>0</v>
      </c>
      <c r="S62" s="181">
        <f>COUNTIFS(기출문제!$H:$H,기출빈도!$V62,기출문제!$C:$C,기출빈도!S$3)</f>
        <v>0</v>
      </c>
      <c r="T62" s="181">
        <f>COUNTIFS(기출문제!$H:$H,기출빈도!$V62,기출문제!$C:$C,기출빈도!T$3)</f>
        <v>0</v>
      </c>
      <c r="U62" s="182" t="s">
        <v>2727</v>
      </c>
      <c r="V62" s="90" t="str">
        <f t="shared" si="0"/>
        <v>보험료</v>
      </c>
    </row>
    <row r="63" spans="2:22" ht="14.45" customHeight="1" x14ac:dyDescent="0.2">
      <c r="B63" s="187" t="s">
        <v>2626</v>
      </c>
      <c r="C63" s="180" t="s">
        <v>2610</v>
      </c>
      <c r="D63" s="193"/>
      <c r="E63" s="193"/>
      <c r="F63" s="193"/>
      <c r="G63" s="193"/>
      <c r="H63" s="193"/>
      <c r="I63" s="193"/>
      <c r="J63" s="193"/>
      <c r="K63" s="193"/>
      <c r="L63" s="193"/>
      <c r="M63" s="193"/>
      <c r="N63" s="193"/>
      <c r="O63" s="193"/>
      <c r="P63" s="193"/>
      <c r="Q63" s="193"/>
      <c r="R63" s="193"/>
      <c r="S63" s="193"/>
      <c r="T63" s="193"/>
      <c r="U63" s="194" t="s">
        <v>2728</v>
      </c>
    </row>
    <row r="64" spans="2:22" ht="14.45" customHeight="1" x14ac:dyDescent="0.2">
      <c r="B64" s="187" t="s">
        <v>2626</v>
      </c>
      <c r="C64" s="180" t="s">
        <v>2612</v>
      </c>
      <c r="D64" s="193"/>
      <c r="E64" s="193"/>
      <c r="F64" s="193"/>
      <c r="G64" s="193"/>
      <c r="H64" s="193"/>
      <c r="I64" s="193"/>
      <c r="J64" s="193"/>
      <c r="K64" s="193"/>
      <c r="L64" s="193"/>
      <c r="M64" s="193"/>
      <c r="N64" s="193"/>
      <c r="O64" s="193"/>
      <c r="P64" s="193"/>
      <c r="Q64" s="193"/>
      <c r="R64" s="193"/>
      <c r="S64" s="193"/>
      <c r="T64" s="193"/>
      <c r="U64" s="194" t="s">
        <v>2729</v>
      </c>
    </row>
    <row r="65" spans="2:22" ht="14.45" customHeight="1" x14ac:dyDescent="0.2">
      <c r="B65" s="187" t="s">
        <v>2626</v>
      </c>
      <c r="C65" s="180" t="s">
        <v>2614</v>
      </c>
      <c r="D65" s="193"/>
      <c r="E65" s="193"/>
      <c r="F65" s="193"/>
      <c r="G65" s="193"/>
      <c r="H65" s="193"/>
      <c r="I65" s="193"/>
      <c r="J65" s="193"/>
      <c r="K65" s="193"/>
      <c r="L65" s="193"/>
      <c r="M65" s="193"/>
      <c r="N65" s="193"/>
      <c r="O65" s="193"/>
      <c r="P65" s="193"/>
      <c r="Q65" s="193"/>
      <c r="R65" s="193"/>
      <c r="S65" s="193"/>
      <c r="T65" s="193"/>
      <c r="U65" s="194" t="s">
        <v>2730</v>
      </c>
    </row>
    <row r="66" spans="2:22" ht="14.45" customHeight="1" x14ac:dyDescent="0.2">
      <c r="B66" s="187" t="s">
        <v>2626</v>
      </c>
      <c r="C66" s="180" t="s">
        <v>2616</v>
      </c>
      <c r="D66" s="193"/>
      <c r="E66" s="193"/>
      <c r="F66" s="193"/>
      <c r="G66" s="193"/>
      <c r="H66" s="193"/>
      <c r="I66" s="193"/>
      <c r="J66" s="193"/>
      <c r="K66" s="193"/>
      <c r="L66" s="193"/>
      <c r="M66" s="193"/>
      <c r="N66" s="193"/>
      <c r="O66" s="193"/>
      <c r="P66" s="193"/>
      <c r="Q66" s="193"/>
      <c r="R66" s="193"/>
      <c r="S66" s="193"/>
      <c r="T66" s="193"/>
      <c r="U66" s="194" t="s">
        <v>2731</v>
      </c>
    </row>
    <row r="67" spans="2:22" ht="14.45" customHeight="1" x14ac:dyDescent="0.2">
      <c r="B67" s="187" t="s">
        <v>2626</v>
      </c>
      <c r="C67" s="180" t="s">
        <v>3041</v>
      </c>
      <c r="D67" s="193"/>
      <c r="E67" s="193"/>
      <c r="F67" s="193"/>
      <c r="G67" s="193"/>
      <c r="H67" s="193"/>
      <c r="I67" s="193"/>
      <c r="J67" s="193"/>
      <c r="K67" s="193"/>
      <c r="L67" s="193"/>
      <c r="M67" s="193"/>
      <c r="N67" s="193"/>
      <c r="O67" s="193"/>
      <c r="P67" s="193"/>
      <c r="Q67" s="193"/>
      <c r="R67" s="193"/>
      <c r="S67" s="193"/>
      <c r="T67" s="193"/>
      <c r="U67" s="194" t="s">
        <v>2732</v>
      </c>
    </row>
    <row r="68" spans="2:22" ht="14.45" customHeight="1" x14ac:dyDescent="0.2">
      <c r="B68" s="187" t="s">
        <v>2626</v>
      </c>
      <c r="C68" s="180" t="s">
        <v>3038</v>
      </c>
      <c r="D68" s="193"/>
      <c r="E68" s="193"/>
      <c r="F68" s="193"/>
      <c r="G68" s="193"/>
      <c r="H68" s="193"/>
      <c r="I68" s="193"/>
      <c r="J68" s="193"/>
      <c r="K68" s="193"/>
      <c r="L68" s="193"/>
      <c r="M68" s="193"/>
      <c r="N68" s="193"/>
      <c r="O68" s="193"/>
      <c r="P68" s="193"/>
      <c r="Q68" s="193"/>
      <c r="R68" s="193"/>
      <c r="S68" s="193"/>
      <c r="T68" s="193"/>
      <c r="U68" s="194" t="s">
        <v>2733</v>
      </c>
    </row>
    <row r="69" spans="2:22" ht="14.45" customHeight="1" thickBot="1" x14ac:dyDescent="0.25">
      <c r="B69" s="183" t="s">
        <v>2626</v>
      </c>
      <c r="C69" s="184" t="s">
        <v>2982</v>
      </c>
      <c r="D69" s="185">
        <f>SUM(D60:D62)</f>
        <v>0</v>
      </c>
      <c r="E69" s="185">
        <f t="shared" ref="E69" si="81">SUM(E60:E62)</f>
        <v>0</v>
      </c>
      <c r="F69" s="185">
        <f t="shared" ref="F69" si="82">SUM(F60:F62)</f>
        <v>0</v>
      </c>
      <c r="G69" s="185">
        <f t="shared" ref="G69" si="83">SUM(G60:G62)</f>
        <v>0</v>
      </c>
      <c r="H69" s="185">
        <f t="shared" ref="H69" si="84">SUM(H60:H62)</f>
        <v>0</v>
      </c>
      <c r="I69" s="185">
        <f t="shared" ref="I69" si="85">SUM(I60:I62)</f>
        <v>0</v>
      </c>
      <c r="J69" s="185">
        <f t="shared" ref="J69" si="86">SUM(J60:J62)</f>
        <v>0</v>
      </c>
      <c r="K69" s="185">
        <f t="shared" ref="K69" si="87">SUM(K60:K62)</f>
        <v>0</v>
      </c>
      <c r="L69" s="185">
        <f t="shared" ref="L69" si="88">SUM(L60:L62)</f>
        <v>0</v>
      </c>
      <c r="M69" s="185">
        <f t="shared" ref="M69" si="89">SUM(M60:M62)</f>
        <v>0</v>
      </c>
      <c r="N69" s="185">
        <f t="shared" ref="N69" si="90">SUM(N60:N62)</f>
        <v>0</v>
      </c>
      <c r="O69" s="185">
        <f t="shared" ref="O69" si="91">SUM(O60:O62)</f>
        <v>0</v>
      </c>
      <c r="P69" s="185">
        <f t="shared" ref="P69" si="92">SUM(P60:P62)</f>
        <v>0</v>
      </c>
      <c r="Q69" s="185">
        <f t="shared" ref="Q69" si="93">SUM(Q60:Q62)</f>
        <v>0</v>
      </c>
      <c r="R69" s="185">
        <f t="shared" ref="R69" si="94">SUM(R60:R62)</f>
        <v>0</v>
      </c>
      <c r="S69" s="185">
        <f t="shared" ref="S69" si="95">SUM(S60:S62)</f>
        <v>0</v>
      </c>
      <c r="T69" s="185">
        <f t="shared" ref="T69" si="96">SUM(T60:T62)</f>
        <v>0</v>
      </c>
      <c r="U69" s="186"/>
      <c r="V69" s="90" t="str">
        <f t="shared" si="0"/>
        <v/>
      </c>
    </row>
    <row r="70" spans="2:22" ht="14.45" customHeight="1" thickBot="1" x14ac:dyDescent="0.25">
      <c r="B70" s="189"/>
      <c r="C70" s="190" t="s">
        <v>2983</v>
      </c>
      <c r="D70" s="191">
        <f>SUM(D13,D25,D37,D48,D59,D69)</f>
        <v>0</v>
      </c>
      <c r="E70" s="191">
        <f t="shared" ref="E70:T70" si="97">SUM(E13,E25,E37,E48,E59,E69)</f>
        <v>0</v>
      </c>
      <c r="F70" s="191">
        <f t="shared" si="97"/>
        <v>0</v>
      </c>
      <c r="G70" s="191">
        <f t="shared" si="97"/>
        <v>0</v>
      </c>
      <c r="H70" s="191">
        <f t="shared" si="97"/>
        <v>0</v>
      </c>
      <c r="I70" s="191">
        <f t="shared" si="97"/>
        <v>0</v>
      </c>
      <c r="J70" s="191">
        <f t="shared" si="97"/>
        <v>0</v>
      </c>
      <c r="K70" s="191">
        <f t="shared" si="97"/>
        <v>0</v>
      </c>
      <c r="L70" s="191">
        <f t="shared" si="97"/>
        <v>0</v>
      </c>
      <c r="M70" s="191">
        <f t="shared" si="97"/>
        <v>0</v>
      </c>
      <c r="N70" s="191">
        <f t="shared" si="97"/>
        <v>0</v>
      </c>
      <c r="O70" s="191">
        <f t="shared" si="97"/>
        <v>0</v>
      </c>
      <c r="P70" s="191">
        <f t="shared" si="97"/>
        <v>0</v>
      </c>
      <c r="Q70" s="191">
        <f t="shared" si="97"/>
        <v>0</v>
      </c>
      <c r="R70" s="191">
        <f t="shared" si="97"/>
        <v>0</v>
      </c>
      <c r="S70" s="191">
        <f t="shared" si="97"/>
        <v>0</v>
      </c>
      <c r="T70" s="191">
        <f t="shared" si="97"/>
        <v>0</v>
      </c>
      <c r="U70" s="192"/>
      <c r="V70" s="90" t="str">
        <f t="shared" ref="V70" si="98">MID(C70, 6, 30)</f>
        <v/>
      </c>
    </row>
  </sheetData>
  <phoneticPr fontId="2" type="noConversion"/>
  <conditionalFormatting sqref="B4:U69">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227" activePane="bottomLeft" state="frozen"/>
      <selection pane="bottomLeft" activeCell="F242" sqref="F242"/>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27</v>
      </c>
      <c r="C2" s="7" t="s">
        <v>0</v>
      </c>
      <c r="D2" s="195" t="s">
        <v>1</v>
      </c>
      <c r="E2" s="195"/>
      <c r="F2" s="8" t="s">
        <v>2</v>
      </c>
      <c r="G2" s="7" t="s">
        <v>3</v>
      </c>
      <c r="H2" s="7" t="s">
        <v>40</v>
      </c>
      <c r="I2" s="9" t="s">
        <v>37</v>
      </c>
    </row>
    <row r="3" spans="2:9" ht="14.25" thickBot="1" x14ac:dyDescent="0.25">
      <c r="B3" s="10"/>
      <c r="C3" s="11"/>
      <c r="D3" s="12"/>
      <c r="E3" s="13"/>
      <c r="F3" s="14"/>
      <c r="G3" s="11"/>
      <c r="H3" s="11"/>
      <c r="I3" s="15"/>
    </row>
    <row r="4" spans="2:9" x14ac:dyDescent="0.2">
      <c r="B4" s="16" t="str">
        <f t="shared" ref="B4:B190" si="0">C4&amp;"-"&amp;D4&amp;"-"&amp;E4</f>
        <v>2026-041-0</v>
      </c>
      <c r="C4" s="17">
        <v>2026</v>
      </c>
      <c r="D4" s="18" t="s">
        <v>43</v>
      </c>
      <c r="E4" s="19">
        <v>0</v>
      </c>
      <c r="F4" s="20" t="s">
        <v>2077</v>
      </c>
      <c r="G4" s="17"/>
      <c r="H4" s="21"/>
      <c r="I4" s="22"/>
    </row>
    <row r="5" spans="2:9" x14ac:dyDescent="0.2">
      <c r="B5" s="23" t="str">
        <f t="shared" si="0"/>
        <v>2026-041-1</v>
      </c>
      <c r="C5" s="24">
        <v>2026</v>
      </c>
      <c r="D5" s="25" t="s">
        <v>43</v>
      </c>
      <c r="E5" s="24">
        <v>1</v>
      </c>
      <c r="F5" s="26" t="s">
        <v>980</v>
      </c>
      <c r="G5" s="24"/>
      <c r="H5" s="27"/>
      <c r="I5" s="28"/>
    </row>
    <row r="6" spans="2:9" ht="27" x14ac:dyDescent="0.2">
      <c r="B6" s="23" t="str">
        <f t="shared" si="0"/>
        <v>2026-041-2</v>
      </c>
      <c r="C6" s="24">
        <v>2026</v>
      </c>
      <c r="D6" s="25" t="s">
        <v>43</v>
      </c>
      <c r="E6" s="24">
        <v>2</v>
      </c>
      <c r="F6" s="26" t="s">
        <v>2209</v>
      </c>
      <c r="G6" s="24"/>
      <c r="H6" s="27"/>
      <c r="I6" s="28"/>
    </row>
    <row r="7" spans="2:9" ht="27" x14ac:dyDescent="0.2">
      <c r="B7" s="23" t="str">
        <f t="shared" si="0"/>
        <v>2026-041-3</v>
      </c>
      <c r="C7" s="24">
        <v>2026</v>
      </c>
      <c r="D7" s="25" t="s">
        <v>43</v>
      </c>
      <c r="E7" s="24">
        <v>3</v>
      </c>
      <c r="F7" s="26" t="s">
        <v>3046</v>
      </c>
      <c r="G7" s="24"/>
      <c r="H7" s="27"/>
      <c r="I7" s="28"/>
    </row>
    <row r="8" spans="2:9" ht="27" x14ac:dyDescent="0.2">
      <c r="B8" s="23" t="str">
        <f t="shared" si="0"/>
        <v>2026-041-4</v>
      </c>
      <c r="C8" s="24">
        <v>2026</v>
      </c>
      <c r="D8" s="25" t="s">
        <v>43</v>
      </c>
      <c r="E8" s="24">
        <v>4</v>
      </c>
      <c r="F8" s="26" t="s">
        <v>2334</v>
      </c>
      <c r="G8" s="24" t="s">
        <v>3076</v>
      </c>
      <c r="H8" s="27"/>
      <c r="I8" s="28"/>
    </row>
    <row r="9" spans="2:9" x14ac:dyDescent="0.2">
      <c r="B9" s="29" t="str">
        <f t="shared" si="0"/>
        <v>2026-041-5</v>
      </c>
      <c r="C9" s="30">
        <v>2026</v>
      </c>
      <c r="D9" s="31" t="s">
        <v>43</v>
      </c>
      <c r="E9" s="30">
        <v>5</v>
      </c>
      <c r="F9" s="32" t="s">
        <v>2451</v>
      </c>
      <c r="G9" s="30"/>
      <c r="H9" s="33"/>
      <c r="I9" s="34"/>
    </row>
    <row r="10" spans="2:9" x14ac:dyDescent="0.2">
      <c r="B10" s="35" t="str">
        <f t="shared" si="0"/>
        <v>2026-042-0</v>
      </c>
      <c r="C10" s="36">
        <v>2026</v>
      </c>
      <c r="D10" s="37" t="s">
        <v>44</v>
      </c>
      <c r="E10" s="36">
        <v>0</v>
      </c>
      <c r="F10" s="38" t="s">
        <v>2078</v>
      </c>
      <c r="G10" s="36"/>
      <c r="H10" s="39"/>
      <c r="I10" s="40"/>
    </row>
    <row r="11" spans="2:9" x14ac:dyDescent="0.2">
      <c r="B11" s="23" t="str">
        <f t="shared" si="0"/>
        <v>2026-042-1</v>
      </c>
      <c r="C11" s="24">
        <v>2026</v>
      </c>
      <c r="D11" s="25" t="s">
        <v>44</v>
      </c>
      <c r="E11" s="24">
        <v>1</v>
      </c>
      <c r="F11" s="26" t="s">
        <v>2146</v>
      </c>
      <c r="G11" s="24"/>
      <c r="H11" s="27"/>
      <c r="I11" s="28"/>
    </row>
    <row r="12" spans="2:9" x14ac:dyDescent="0.2">
      <c r="B12" s="23" t="str">
        <f t="shared" si="0"/>
        <v>2026-042-2</v>
      </c>
      <c r="C12" s="24">
        <v>2026</v>
      </c>
      <c r="D12" s="25" t="s">
        <v>44</v>
      </c>
      <c r="E12" s="24">
        <v>2</v>
      </c>
      <c r="F12" s="26" t="s">
        <v>2210</v>
      </c>
      <c r="G12" s="24" t="s">
        <v>3076</v>
      </c>
      <c r="H12" s="27"/>
      <c r="I12" s="28"/>
    </row>
    <row r="13" spans="2:9" x14ac:dyDescent="0.2">
      <c r="B13" s="23" t="str">
        <f t="shared" si="0"/>
        <v>2026-042-3</v>
      </c>
      <c r="C13" s="24">
        <v>2026</v>
      </c>
      <c r="D13" s="25" t="s">
        <v>44</v>
      </c>
      <c r="E13" s="24">
        <v>3</v>
      </c>
      <c r="F13" s="26" t="s">
        <v>2270</v>
      </c>
      <c r="G13" s="24"/>
      <c r="H13" s="27"/>
      <c r="I13" s="28"/>
    </row>
    <row r="14" spans="2:9" ht="27" x14ac:dyDescent="0.2">
      <c r="B14" s="23" t="str">
        <f t="shared" si="0"/>
        <v>2026-042-4</v>
      </c>
      <c r="C14" s="24">
        <v>2026</v>
      </c>
      <c r="D14" s="25" t="s">
        <v>44</v>
      </c>
      <c r="E14" s="24">
        <v>4</v>
      </c>
      <c r="F14" s="26" t="s">
        <v>2335</v>
      </c>
      <c r="G14" s="24"/>
      <c r="H14" s="27"/>
      <c r="I14" s="28"/>
    </row>
    <row r="15" spans="2:9" x14ac:dyDescent="0.2">
      <c r="B15" s="29" t="str">
        <f t="shared" si="0"/>
        <v>2026-042-5</v>
      </c>
      <c r="C15" s="30">
        <v>2026</v>
      </c>
      <c r="D15" s="31" t="s">
        <v>44</v>
      </c>
      <c r="E15" s="30">
        <v>5</v>
      </c>
      <c r="F15" s="32" t="s">
        <v>2396</v>
      </c>
      <c r="G15" s="30"/>
      <c r="H15" s="33"/>
      <c r="I15" s="34"/>
    </row>
    <row r="16" spans="2:9" ht="27" x14ac:dyDescent="0.2">
      <c r="B16" s="35" t="str">
        <f t="shared" si="0"/>
        <v>2026-043-0</v>
      </c>
      <c r="C16" s="36">
        <v>2026</v>
      </c>
      <c r="D16" s="37" t="s">
        <v>45</v>
      </c>
      <c r="E16" s="36">
        <v>0</v>
      </c>
      <c r="F16" s="38" t="s">
        <v>2079</v>
      </c>
      <c r="G16" s="36"/>
      <c r="H16" s="39"/>
      <c r="I16" s="40"/>
    </row>
    <row r="17" spans="2:9" x14ac:dyDescent="0.2">
      <c r="B17" s="23" t="str">
        <f t="shared" si="0"/>
        <v>2026-043-1</v>
      </c>
      <c r="C17" s="24">
        <v>2026</v>
      </c>
      <c r="D17" s="25" t="s">
        <v>45</v>
      </c>
      <c r="E17" s="24">
        <v>1</v>
      </c>
      <c r="F17" s="26" t="s">
        <v>2147</v>
      </c>
      <c r="G17" s="24"/>
      <c r="H17" s="27"/>
      <c r="I17" s="28"/>
    </row>
    <row r="18" spans="2:9" x14ac:dyDescent="0.2">
      <c r="B18" s="23" t="str">
        <f t="shared" si="0"/>
        <v>2026-043-2</v>
      </c>
      <c r="C18" s="24">
        <v>2026</v>
      </c>
      <c r="D18" s="25" t="s">
        <v>45</v>
      </c>
      <c r="E18" s="24">
        <v>2</v>
      </c>
      <c r="F18" s="26" t="s">
        <v>2211</v>
      </c>
      <c r="G18" s="24"/>
      <c r="H18" s="27"/>
      <c r="I18" s="28"/>
    </row>
    <row r="19" spans="2:9" x14ac:dyDescent="0.2">
      <c r="B19" s="23" t="str">
        <f t="shared" si="0"/>
        <v>2026-043-3</v>
      </c>
      <c r="C19" s="24">
        <v>2026</v>
      </c>
      <c r="D19" s="25" t="s">
        <v>45</v>
      </c>
      <c r="E19" s="24">
        <v>3</v>
      </c>
      <c r="F19" s="26" t="s">
        <v>2271</v>
      </c>
      <c r="G19" s="24"/>
      <c r="H19" s="27"/>
      <c r="I19" s="28"/>
    </row>
    <row r="20" spans="2:9" x14ac:dyDescent="0.2">
      <c r="B20" s="23" t="str">
        <f t="shared" si="0"/>
        <v>2026-043-4</v>
      </c>
      <c r="C20" s="24">
        <v>2026</v>
      </c>
      <c r="D20" s="25" t="s">
        <v>45</v>
      </c>
      <c r="E20" s="24">
        <v>4</v>
      </c>
      <c r="F20" s="26" t="s">
        <v>2336</v>
      </c>
      <c r="G20" s="24"/>
      <c r="H20" s="27"/>
      <c r="I20" s="28"/>
    </row>
    <row r="21" spans="2:9" ht="27" x14ac:dyDescent="0.2">
      <c r="B21" s="29" t="str">
        <f t="shared" si="0"/>
        <v>2026-043-5</v>
      </c>
      <c r="C21" s="30">
        <v>2026</v>
      </c>
      <c r="D21" s="31" t="s">
        <v>45</v>
      </c>
      <c r="E21" s="30">
        <v>5</v>
      </c>
      <c r="F21" s="32" t="s">
        <v>2397</v>
      </c>
      <c r="G21" s="30" t="s">
        <v>3076</v>
      </c>
      <c r="H21" s="33"/>
      <c r="I21" s="34"/>
    </row>
    <row r="22" spans="2:9" x14ac:dyDescent="0.2">
      <c r="B22" s="35" t="str">
        <f t="shared" si="0"/>
        <v>2026-044-0</v>
      </c>
      <c r="C22" s="36">
        <v>2026</v>
      </c>
      <c r="D22" s="37" t="s">
        <v>46</v>
      </c>
      <c r="E22" s="36">
        <v>0</v>
      </c>
      <c r="F22" s="38" t="s">
        <v>2080</v>
      </c>
      <c r="G22" s="36"/>
      <c r="H22" s="39"/>
      <c r="I22" s="40"/>
    </row>
    <row r="23" spans="2:9" x14ac:dyDescent="0.2">
      <c r="B23" s="23" t="str">
        <f t="shared" si="0"/>
        <v>2026-044-1</v>
      </c>
      <c r="C23" s="24">
        <v>2026</v>
      </c>
      <c r="D23" s="25" t="s">
        <v>46</v>
      </c>
      <c r="E23" s="24">
        <v>1</v>
      </c>
      <c r="F23" s="26" t="s">
        <v>2148</v>
      </c>
      <c r="G23" s="24"/>
      <c r="H23" s="27"/>
      <c r="I23" s="28"/>
    </row>
    <row r="24" spans="2:9" ht="27" x14ac:dyDescent="0.2">
      <c r="B24" s="23" t="str">
        <f t="shared" si="0"/>
        <v>2026-044-2</v>
      </c>
      <c r="C24" s="24">
        <v>2026</v>
      </c>
      <c r="D24" s="25" t="s">
        <v>46</v>
      </c>
      <c r="E24" s="24">
        <v>2</v>
      </c>
      <c r="F24" s="26" t="s">
        <v>2212</v>
      </c>
      <c r="G24" s="24" t="s">
        <v>3076</v>
      </c>
      <c r="H24" s="27"/>
      <c r="I24" s="28"/>
    </row>
    <row r="25" spans="2:9" ht="27" x14ac:dyDescent="0.2">
      <c r="B25" s="23" t="str">
        <f t="shared" si="0"/>
        <v>2026-044-3</v>
      </c>
      <c r="C25" s="24">
        <v>2026</v>
      </c>
      <c r="D25" s="25" t="s">
        <v>46</v>
      </c>
      <c r="E25" s="24">
        <v>3</v>
      </c>
      <c r="F25" s="26" t="s">
        <v>2272</v>
      </c>
      <c r="G25" s="24"/>
      <c r="H25" s="27"/>
      <c r="I25" s="28"/>
    </row>
    <row r="26" spans="2:9" x14ac:dyDescent="0.2">
      <c r="B26" s="23" t="str">
        <f t="shared" si="0"/>
        <v>2026-044-4</v>
      </c>
      <c r="C26" s="24">
        <v>2026</v>
      </c>
      <c r="D26" s="25" t="s">
        <v>46</v>
      </c>
      <c r="E26" s="24">
        <v>4</v>
      </c>
      <c r="F26" s="26" t="s">
        <v>2337</v>
      </c>
      <c r="G26" s="24"/>
      <c r="H26" s="27"/>
      <c r="I26" s="28"/>
    </row>
    <row r="27" spans="2:9" ht="27" x14ac:dyDescent="0.2">
      <c r="B27" s="29" t="str">
        <f t="shared" si="0"/>
        <v>2026-044-5</v>
      </c>
      <c r="C27" s="30">
        <v>2026</v>
      </c>
      <c r="D27" s="31" t="s">
        <v>46</v>
      </c>
      <c r="E27" s="30">
        <v>5</v>
      </c>
      <c r="F27" s="32" t="s">
        <v>2398</v>
      </c>
      <c r="G27" s="30"/>
      <c r="H27" s="33"/>
      <c r="I27" s="34"/>
    </row>
    <row r="28" spans="2:9" x14ac:dyDescent="0.2">
      <c r="B28" s="35" t="str">
        <f t="shared" si="0"/>
        <v>2026-045-0</v>
      </c>
      <c r="C28" s="36">
        <v>2026</v>
      </c>
      <c r="D28" s="37" t="s">
        <v>47</v>
      </c>
      <c r="E28" s="36">
        <v>0</v>
      </c>
      <c r="F28" s="38" t="s">
        <v>2081</v>
      </c>
      <c r="G28" s="36"/>
      <c r="H28" s="39"/>
      <c r="I28" s="40"/>
    </row>
    <row r="29" spans="2:9" ht="27" x14ac:dyDescent="0.2">
      <c r="B29" s="23" t="str">
        <f t="shared" si="0"/>
        <v>2026-045-1</v>
      </c>
      <c r="C29" s="24">
        <v>2026</v>
      </c>
      <c r="D29" s="25" t="s">
        <v>47</v>
      </c>
      <c r="E29" s="24">
        <v>1</v>
      </c>
      <c r="F29" s="26" t="s">
        <v>3047</v>
      </c>
      <c r="G29" s="24" t="s">
        <v>3076</v>
      </c>
      <c r="H29" s="27"/>
      <c r="I29" s="28"/>
    </row>
    <row r="30" spans="2:9" x14ac:dyDescent="0.2">
      <c r="B30" s="23" t="str">
        <f t="shared" si="0"/>
        <v>2026-045-2</v>
      </c>
      <c r="C30" s="24">
        <v>2026</v>
      </c>
      <c r="D30" s="25" t="s">
        <v>47</v>
      </c>
      <c r="E30" s="24">
        <v>2</v>
      </c>
      <c r="F30" s="26" t="s">
        <v>2213</v>
      </c>
      <c r="G30" s="24"/>
      <c r="H30" s="27"/>
      <c r="I30" s="28"/>
    </row>
    <row r="31" spans="2:9" x14ac:dyDescent="0.2">
      <c r="B31" s="23" t="str">
        <f t="shared" si="0"/>
        <v>2026-045-3</v>
      </c>
      <c r="C31" s="24">
        <v>2026</v>
      </c>
      <c r="D31" s="25" t="s">
        <v>47</v>
      </c>
      <c r="E31" s="24">
        <v>3</v>
      </c>
      <c r="F31" s="26" t="s">
        <v>2273</v>
      </c>
      <c r="G31" s="24"/>
      <c r="H31" s="27"/>
      <c r="I31" s="28"/>
    </row>
    <row r="32" spans="2:9" x14ac:dyDescent="0.2">
      <c r="B32" s="23" t="str">
        <f t="shared" si="0"/>
        <v>2026-045-4</v>
      </c>
      <c r="C32" s="24">
        <v>2026</v>
      </c>
      <c r="D32" s="25" t="s">
        <v>47</v>
      </c>
      <c r="E32" s="24">
        <v>4</v>
      </c>
      <c r="F32" s="26" t="s">
        <v>2338</v>
      </c>
      <c r="G32" s="24"/>
      <c r="H32" s="27"/>
      <c r="I32" s="28"/>
    </row>
    <row r="33" spans="2:9" ht="27" x14ac:dyDescent="0.2">
      <c r="B33" s="29" t="str">
        <f t="shared" si="0"/>
        <v>2026-045-5</v>
      </c>
      <c r="C33" s="30">
        <v>2026</v>
      </c>
      <c r="D33" s="31" t="s">
        <v>47</v>
      </c>
      <c r="E33" s="30">
        <v>5</v>
      </c>
      <c r="F33" s="32" t="s">
        <v>2399</v>
      </c>
      <c r="G33" s="30"/>
      <c r="H33" s="33"/>
      <c r="I33" s="34"/>
    </row>
    <row r="34" spans="2:9" ht="81" x14ac:dyDescent="0.2">
      <c r="B34" s="35" t="str">
        <f t="shared" si="0"/>
        <v>2026-046-0</v>
      </c>
      <c r="C34" s="36">
        <v>2026</v>
      </c>
      <c r="D34" s="37" t="s">
        <v>48</v>
      </c>
      <c r="E34" s="36">
        <v>0</v>
      </c>
      <c r="F34" s="38" t="s">
        <v>2082</v>
      </c>
      <c r="G34" s="36"/>
      <c r="H34" s="39"/>
      <c r="I34" s="40"/>
    </row>
    <row r="35" spans="2:9" x14ac:dyDescent="0.2">
      <c r="B35" s="23" t="str">
        <f t="shared" si="0"/>
        <v>2026-046-1</v>
      </c>
      <c r="C35" s="24">
        <v>2026</v>
      </c>
      <c r="D35" s="25" t="s">
        <v>48</v>
      </c>
      <c r="E35" s="24">
        <v>1</v>
      </c>
      <c r="F35" s="26" t="s">
        <v>4</v>
      </c>
      <c r="G35" s="24"/>
      <c r="H35" s="27"/>
      <c r="I35" s="28"/>
    </row>
    <row r="36" spans="2:9" x14ac:dyDescent="0.2">
      <c r="B36" s="23" t="str">
        <f t="shared" si="0"/>
        <v>2026-046-2</v>
      </c>
      <c r="C36" s="24">
        <v>2026</v>
      </c>
      <c r="D36" s="25" t="s">
        <v>48</v>
      </c>
      <c r="E36" s="24">
        <v>2</v>
      </c>
      <c r="F36" s="26" t="s">
        <v>2214</v>
      </c>
      <c r="G36" s="24"/>
      <c r="H36" s="27"/>
      <c r="I36" s="28"/>
    </row>
    <row r="37" spans="2:9" x14ac:dyDescent="0.2">
      <c r="B37" s="23" t="str">
        <f t="shared" si="0"/>
        <v>2026-046-3</v>
      </c>
      <c r="C37" s="24">
        <v>2026</v>
      </c>
      <c r="D37" s="25" t="s">
        <v>48</v>
      </c>
      <c r="E37" s="24">
        <v>3</v>
      </c>
      <c r="F37" s="26" t="s">
        <v>2274</v>
      </c>
      <c r="G37" s="24"/>
      <c r="H37" s="27"/>
      <c r="I37" s="28"/>
    </row>
    <row r="38" spans="2:9" x14ac:dyDescent="0.2">
      <c r="B38" s="23" t="str">
        <f t="shared" si="0"/>
        <v>2026-046-4</v>
      </c>
      <c r="C38" s="24">
        <v>2026</v>
      </c>
      <c r="D38" s="25" t="s">
        <v>48</v>
      </c>
      <c r="E38" s="24">
        <v>4</v>
      </c>
      <c r="F38" s="26" t="s">
        <v>21</v>
      </c>
      <c r="G38" s="24"/>
      <c r="H38" s="27"/>
      <c r="I38" s="28"/>
    </row>
    <row r="39" spans="2:9" x14ac:dyDescent="0.2">
      <c r="B39" s="29" t="str">
        <f t="shared" si="0"/>
        <v>2026-046-5</v>
      </c>
      <c r="C39" s="30">
        <v>2026</v>
      </c>
      <c r="D39" s="31" t="s">
        <v>48</v>
      </c>
      <c r="E39" s="30">
        <v>5</v>
      </c>
      <c r="F39" s="32" t="s">
        <v>1485</v>
      </c>
      <c r="G39" s="30" t="s">
        <v>3076</v>
      </c>
      <c r="H39" s="33"/>
      <c r="I39" s="34"/>
    </row>
    <row r="40" spans="2:9" ht="94.5" x14ac:dyDescent="0.2">
      <c r="B40" s="35" t="str">
        <f t="shared" si="0"/>
        <v>2026-047-0</v>
      </c>
      <c r="C40" s="36">
        <v>2026</v>
      </c>
      <c r="D40" s="37" t="s">
        <v>49</v>
      </c>
      <c r="E40" s="36">
        <v>0</v>
      </c>
      <c r="F40" s="38" t="s">
        <v>2149</v>
      </c>
      <c r="G40" s="36"/>
      <c r="H40" s="39"/>
      <c r="I40" s="40"/>
    </row>
    <row r="41" spans="2:9" x14ac:dyDescent="0.2">
      <c r="B41" s="23" t="str">
        <f t="shared" si="0"/>
        <v>2026-047-1</v>
      </c>
      <c r="C41" s="24">
        <v>2026</v>
      </c>
      <c r="D41" s="25" t="s">
        <v>49</v>
      </c>
      <c r="E41" s="24">
        <v>1</v>
      </c>
      <c r="F41" s="26" t="s">
        <v>2150</v>
      </c>
      <c r="G41" s="24"/>
      <c r="H41" s="27"/>
      <c r="I41" s="28"/>
    </row>
    <row r="42" spans="2:9" x14ac:dyDescent="0.2">
      <c r="B42" s="23" t="str">
        <f t="shared" si="0"/>
        <v>2026-047-2</v>
      </c>
      <c r="C42" s="24">
        <v>2026</v>
      </c>
      <c r="D42" s="25" t="s">
        <v>49</v>
      </c>
      <c r="E42" s="24">
        <v>2</v>
      </c>
      <c r="F42" s="26" t="s">
        <v>2215</v>
      </c>
      <c r="G42" s="24"/>
      <c r="H42" s="27"/>
      <c r="I42" s="28"/>
    </row>
    <row r="43" spans="2:9" x14ac:dyDescent="0.2">
      <c r="B43" s="23" t="str">
        <f t="shared" si="0"/>
        <v>2026-047-3</v>
      </c>
      <c r="C43" s="24">
        <v>2026</v>
      </c>
      <c r="D43" s="25" t="s">
        <v>49</v>
      </c>
      <c r="E43" s="24">
        <v>3</v>
      </c>
      <c r="F43" s="26" t="s">
        <v>2275</v>
      </c>
      <c r="G43" s="24"/>
      <c r="H43" s="27"/>
      <c r="I43" s="28"/>
    </row>
    <row r="44" spans="2:9" x14ac:dyDescent="0.2">
      <c r="B44" s="23" t="str">
        <f t="shared" si="0"/>
        <v>2026-047-4</v>
      </c>
      <c r="C44" s="24">
        <v>2026</v>
      </c>
      <c r="D44" s="25" t="s">
        <v>49</v>
      </c>
      <c r="E44" s="24">
        <v>4</v>
      </c>
      <c r="F44" s="26" t="s">
        <v>2339</v>
      </c>
      <c r="G44" s="24" t="s">
        <v>3076</v>
      </c>
      <c r="H44" s="27"/>
      <c r="I44" s="28"/>
    </row>
    <row r="45" spans="2:9" x14ac:dyDescent="0.2">
      <c r="B45" s="29" t="str">
        <f t="shared" si="0"/>
        <v>2026-047-5</v>
      </c>
      <c r="C45" s="30">
        <v>2026</v>
      </c>
      <c r="D45" s="31" t="s">
        <v>49</v>
      </c>
      <c r="E45" s="30">
        <v>5</v>
      </c>
      <c r="F45" s="32" t="s">
        <v>2400</v>
      </c>
      <c r="G45" s="30"/>
      <c r="H45" s="33"/>
      <c r="I45" s="34"/>
    </row>
    <row r="46" spans="2:9" x14ac:dyDescent="0.2">
      <c r="B46" s="35" t="str">
        <f t="shared" si="0"/>
        <v>2026-048-0</v>
      </c>
      <c r="C46" s="36">
        <v>2026</v>
      </c>
      <c r="D46" s="37" t="s">
        <v>50</v>
      </c>
      <c r="E46" s="36">
        <v>0</v>
      </c>
      <c r="F46" s="38" t="s">
        <v>2083</v>
      </c>
      <c r="G46" s="36"/>
      <c r="H46" s="39"/>
      <c r="I46" s="40"/>
    </row>
    <row r="47" spans="2:9" x14ac:dyDescent="0.2">
      <c r="B47" s="23" t="str">
        <f t="shared" si="0"/>
        <v>2026-048-1</v>
      </c>
      <c r="C47" s="24">
        <v>2026</v>
      </c>
      <c r="D47" s="25" t="s">
        <v>50</v>
      </c>
      <c r="E47" s="24">
        <v>1</v>
      </c>
      <c r="F47" s="26" t="s">
        <v>2151</v>
      </c>
      <c r="G47" s="24" t="s">
        <v>3076</v>
      </c>
      <c r="H47" s="27"/>
      <c r="I47" s="28"/>
    </row>
    <row r="48" spans="2:9" ht="27" x14ac:dyDescent="0.2">
      <c r="B48" s="23" t="str">
        <f t="shared" si="0"/>
        <v>2026-048-2</v>
      </c>
      <c r="C48" s="24">
        <v>2026</v>
      </c>
      <c r="D48" s="25" t="s">
        <v>50</v>
      </c>
      <c r="E48" s="24">
        <v>2</v>
      </c>
      <c r="F48" s="26" t="s">
        <v>2216</v>
      </c>
      <c r="G48" s="24"/>
      <c r="H48" s="27"/>
      <c r="I48" s="28"/>
    </row>
    <row r="49" spans="2:9" x14ac:dyDescent="0.2">
      <c r="B49" s="23" t="str">
        <f t="shared" si="0"/>
        <v>2026-048-3</v>
      </c>
      <c r="C49" s="24">
        <v>2026</v>
      </c>
      <c r="D49" s="25" t="s">
        <v>50</v>
      </c>
      <c r="E49" s="24">
        <v>3</v>
      </c>
      <c r="F49" s="26" t="s">
        <v>2276</v>
      </c>
      <c r="G49" s="24"/>
      <c r="H49" s="27"/>
      <c r="I49" s="28"/>
    </row>
    <row r="50" spans="2:9" ht="27" x14ac:dyDescent="0.2">
      <c r="B50" s="23" t="str">
        <f t="shared" si="0"/>
        <v>2026-048-4</v>
      </c>
      <c r="C50" s="24">
        <v>2026</v>
      </c>
      <c r="D50" s="25" t="s">
        <v>50</v>
      </c>
      <c r="E50" s="24">
        <v>4</v>
      </c>
      <c r="F50" s="26" t="s">
        <v>2340</v>
      </c>
      <c r="G50" s="24"/>
      <c r="H50" s="27"/>
      <c r="I50" s="28"/>
    </row>
    <row r="51" spans="2:9" x14ac:dyDescent="0.2">
      <c r="B51" s="29" t="str">
        <f t="shared" si="0"/>
        <v>2026-048-5</v>
      </c>
      <c r="C51" s="30">
        <v>2026</v>
      </c>
      <c r="D51" s="31" t="s">
        <v>50</v>
      </c>
      <c r="E51" s="30">
        <v>5</v>
      </c>
      <c r="F51" s="32" t="s">
        <v>2401</v>
      </c>
      <c r="G51" s="30"/>
      <c r="H51" s="33"/>
      <c r="I51" s="34"/>
    </row>
    <row r="52" spans="2:9" x14ac:dyDescent="0.2">
      <c r="B52" s="35" t="str">
        <f t="shared" si="0"/>
        <v>2026-049-0</v>
      </c>
      <c r="C52" s="36">
        <v>2026</v>
      </c>
      <c r="D52" s="37" t="s">
        <v>51</v>
      </c>
      <c r="E52" s="36">
        <v>0</v>
      </c>
      <c r="F52" s="38" t="s">
        <v>2084</v>
      </c>
      <c r="G52" s="36"/>
      <c r="H52" s="39"/>
      <c r="I52" s="40"/>
    </row>
    <row r="53" spans="2:9" x14ac:dyDescent="0.2">
      <c r="B53" s="23" t="str">
        <f t="shared" si="0"/>
        <v>2026-049-1</v>
      </c>
      <c r="C53" s="24">
        <v>2026</v>
      </c>
      <c r="D53" s="25" t="s">
        <v>51</v>
      </c>
      <c r="E53" s="24">
        <v>1</v>
      </c>
      <c r="F53" s="26" t="s">
        <v>2152</v>
      </c>
      <c r="G53" s="24"/>
      <c r="H53" s="27"/>
      <c r="I53" s="28"/>
    </row>
    <row r="54" spans="2:9" x14ac:dyDescent="0.2">
      <c r="B54" s="23" t="str">
        <f t="shared" si="0"/>
        <v>2026-049-2</v>
      </c>
      <c r="C54" s="24">
        <v>2026</v>
      </c>
      <c r="D54" s="25" t="s">
        <v>51</v>
      </c>
      <c r="E54" s="24">
        <v>2</v>
      </c>
      <c r="F54" s="26" t="s">
        <v>3048</v>
      </c>
      <c r="G54" s="24"/>
      <c r="H54" s="27"/>
      <c r="I54" s="28"/>
    </row>
    <row r="55" spans="2:9" x14ac:dyDescent="0.2">
      <c r="B55" s="23" t="str">
        <f t="shared" si="0"/>
        <v>2026-049-3</v>
      </c>
      <c r="C55" s="24">
        <v>2026</v>
      </c>
      <c r="D55" s="25" t="s">
        <v>51</v>
      </c>
      <c r="E55" s="24">
        <v>3</v>
      </c>
      <c r="F55" s="26" t="s">
        <v>2277</v>
      </c>
      <c r="G55" s="24"/>
      <c r="H55" s="27"/>
      <c r="I55" s="28"/>
    </row>
    <row r="56" spans="2:9" x14ac:dyDescent="0.2">
      <c r="B56" s="23" t="str">
        <f t="shared" si="0"/>
        <v>2026-049-4</v>
      </c>
      <c r="C56" s="24">
        <v>2026</v>
      </c>
      <c r="D56" s="25" t="s">
        <v>51</v>
      </c>
      <c r="E56" s="24">
        <v>4</v>
      </c>
      <c r="F56" s="26" t="s">
        <v>2341</v>
      </c>
      <c r="G56" s="24" t="s">
        <v>3076</v>
      </c>
      <c r="H56" s="27"/>
      <c r="I56" s="28"/>
    </row>
    <row r="57" spans="2:9" x14ac:dyDescent="0.2">
      <c r="B57" s="29" t="str">
        <f t="shared" si="0"/>
        <v>2026-049-5</v>
      </c>
      <c r="C57" s="30">
        <v>2026</v>
      </c>
      <c r="D57" s="31" t="s">
        <v>51</v>
      </c>
      <c r="E57" s="30">
        <v>5</v>
      </c>
      <c r="F57" s="32" t="s">
        <v>2402</v>
      </c>
      <c r="G57" s="30"/>
      <c r="H57" s="33"/>
      <c r="I57" s="34"/>
    </row>
    <row r="58" spans="2:9" x14ac:dyDescent="0.2">
      <c r="B58" s="35" t="str">
        <f t="shared" si="0"/>
        <v>2026-050-0</v>
      </c>
      <c r="C58" s="36">
        <v>2026</v>
      </c>
      <c r="D58" s="37" t="s">
        <v>52</v>
      </c>
      <c r="E58" s="36">
        <v>0</v>
      </c>
      <c r="F58" s="38" t="s">
        <v>2085</v>
      </c>
      <c r="G58" s="36"/>
      <c r="H58" s="39"/>
      <c r="I58" s="40"/>
    </row>
    <row r="59" spans="2:9" x14ac:dyDescent="0.2">
      <c r="B59" s="23" t="str">
        <f t="shared" si="0"/>
        <v>2026-050-1</v>
      </c>
      <c r="C59" s="24">
        <v>2026</v>
      </c>
      <c r="D59" s="25" t="s">
        <v>52</v>
      </c>
      <c r="E59" s="24">
        <v>1</v>
      </c>
      <c r="F59" s="26" t="s">
        <v>2153</v>
      </c>
      <c r="G59" s="24" t="s">
        <v>3076</v>
      </c>
      <c r="H59" s="27"/>
      <c r="I59" s="28"/>
    </row>
    <row r="60" spans="2:9" x14ac:dyDescent="0.2">
      <c r="B60" s="23" t="str">
        <f t="shared" si="0"/>
        <v>2026-050-2</v>
      </c>
      <c r="C60" s="24">
        <v>2026</v>
      </c>
      <c r="D60" s="25" t="s">
        <v>52</v>
      </c>
      <c r="E60" s="24">
        <v>2</v>
      </c>
      <c r="F60" s="26" t="s">
        <v>2217</v>
      </c>
      <c r="G60" s="24"/>
      <c r="H60" s="27"/>
      <c r="I60" s="28"/>
    </row>
    <row r="61" spans="2:9" x14ac:dyDescent="0.2">
      <c r="B61" s="23" t="str">
        <f t="shared" si="0"/>
        <v>2026-050-3</v>
      </c>
      <c r="C61" s="24">
        <v>2026</v>
      </c>
      <c r="D61" s="25" t="s">
        <v>52</v>
      </c>
      <c r="E61" s="24">
        <v>3</v>
      </c>
      <c r="F61" s="26" t="s">
        <v>2278</v>
      </c>
      <c r="G61" s="24"/>
      <c r="H61" s="27"/>
      <c r="I61" s="28"/>
    </row>
    <row r="62" spans="2:9" x14ac:dyDescent="0.2">
      <c r="B62" s="23" t="str">
        <f t="shared" si="0"/>
        <v>2026-050-4</v>
      </c>
      <c r="C62" s="24">
        <v>2026</v>
      </c>
      <c r="D62" s="25" t="s">
        <v>52</v>
      </c>
      <c r="E62" s="24">
        <v>4</v>
      </c>
      <c r="F62" s="26" t="s">
        <v>1465</v>
      </c>
      <c r="G62" s="24"/>
      <c r="H62" s="27"/>
      <c r="I62" s="28"/>
    </row>
    <row r="63" spans="2:9" x14ac:dyDescent="0.2">
      <c r="B63" s="29" t="str">
        <f t="shared" si="0"/>
        <v>2026-050-5</v>
      </c>
      <c r="C63" s="30">
        <v>2026</v>
      </c>
      <c r="D63" s="31" t="s">
        <v>52</v>
      </c>
      <c r="E63" s="30">
        <v>5</v>
      </c>
      <c r="F63" s="32" t="s">
        <v>2403</v>
      </c>
      <c r="G63" s="30"/>
      <c r="H63" s="33"/>
      <c r="I63" s="34"/>
    </row>
    <row r="64" spans="2:9" ht="94.5" x14ac:dyDescent="0.2">
      <c r="B64" s="35" t="str">
        <f t="shared" si="0"/>
        <v>2026-051-0</v>
      </c>
      <c r="C64" s="36">
        <v>2026</v>
      </c>
      <c r="D64" s="37" t="s">
        <v>53</v>
      </c>
      <c r="E64" s="36">
        <v>0</v>
      </c>
      <c r="F64" s="38" t="s">
        <v>3049</v>
      </c>
      <c r="G64" s="36"/>
      <c r="H64" s="39"/>
      <c r="I64" s="40"/>
    </row>
    <row r="65" spans="2:9" x14ac:dyDescent="0.2">
      <c r="B65" s="23" t="str">
        <f t="shared" si="0"/>
        <v>2026-051-1</v>
      </c>
      <c r="C65" s="24">
        <v>2026</v>
      </c>
      <c r="D65" s="25" t="s">
        <v>53</v>
      </c>
      <c r="E65" s="24">
        <v>1</v>
      </c>
      <c r="F65" s="26" t="s">
        <v>5</v>
      </c>
      <c r="G65" s="24"/>
      <c r="H65" s="27"/>
      <c r="I65" s="28"/>
    </row>
    <row r="66" spans="2:9" x14ac:dyDescent="0.2">
      <c r="B66" s="23" t="str">
        <f t="shared" si="0"/>
        <v>2026-051-2</v>
      </c>
      <c r="C66" s="24">
        <v>2026</v>
      </c>
      <c r="D66" s="25" t="s">
        <v>53</v>
      </c>
      <c r="E66" s="24">
        <v>2</v>
      </c>
      <c r="F66" s="26" t="s">
        <v>10</v>
      </c>
      <c r="G66" s="24"/>
      <c r="H66" s="27"/>
      <c r="I66" s="28"/>
    </row>
    <row r="67" spans="2:9" x14ac:dyDescent="0.2">
      <c r="B67" s="23" t="str">
        <f t="shared" si="0"/>
        <v>2026-051-3</v>
      </c>
      <c r="C67" s="24">
        <v>2026</v>
      </c>
      <c r="D67" s="25" t="s">
        <v>53</v>
      </c>
      <c r="E67" s="24">
        <v>3</v>
      </c>
      <c r="F67" s="26" t="s">
        <v>9</v>
      </c>
      <c r="G67" s="24" t="s">
        <v>3076</v>
      </c>
      <c r="H67" s="27"/>
      <c r="I67" s="28"/>
    </row>
    <row r="68" spans="2:9" x14ac:dyDescent="0.2">
      <c r="B68" s="23" t="str">
        <f t="shared" si="0"/>
        <v>2026-051-4</v>
      </c>
      <c r="C68" s="24">
        <v>2026</v>
      </c>
      <c r="D68" s="25" t="s">
        <v>53</v>
      </c>
      <c r="E68" s="24">
        <v>4</v>
      </c>
      <c r="F68" s="26" t="s">
        <v>17</v>
      </c>
      <c r="G68" s="24"/>
      <c r="H68" s="27"/>
      <c r="I68" s="28"/>
    </row>
    <row r="69" spans="2:9" x14ac:dyDescent="0.2">
      <c r="B69" s="29" t="str">
        <f t="shared" si="0"/>
        <v>2026-051-5</v>
      </c>
      <c r="C69" s="30">
        <v>2026</v>
      </c>
      <c r="D69" s="31" t="s">
        <v>53</v>
      </c>
      <c r="E69" s="30">
        <v>5</v>
      </c>
      <c r="F69" s="32" t="s">
        <v>21</v>
      </c>
      <c r="G69" s="30"/>
      <c r="H69" s="33"/>
      <c r="I69" s="34"/>
    </row>
    <row r="70" spans="2:9" x14ac:dyDescent="0.2">
      <c r="B70" s="35" t="str">
        <f t="shared" si="0"/>
        <v>2026-052-0</v>
      </c>
      <c r="C70" s="36">
        <v>2026</v>
      </c>
      <c r="D70" s="37" t="s">
        <v>54</v>
      </c>
      <c r="E70" s="36">
        <v>0</v>
      </c>
      <c r="F70" s="38" t="s">
        <v>2086</v>
      </c>
      <c r="G70" s="36"/>
      <c r="H70" s="39"/>
      <c r="I70" s="40"/>
    </row>
    <row r="71" spans="2:9" x14ac:dyDescent="0.2">
      <c r="B71" s="23" t="str">
        <f t="shared" si="0"/>
        <v>2026-052-1</v>
      </c>
      <c r="C71" s="24">
        <v>2026</v>
      </c>
      <c r="D71" s="25" t="s">
        <v>54</v>
      </c>
      <c r="E71" s="24">
        <v>1</v>
      </c>
      <c r="F71" s="26" t="s">
        <v>2154</v>
      </c>
      <c r="G71" s="24"/>
      <c r="H71" s="27"/>
      <c r="I71" s="28"/>
    </row>
    <row r="72" spans="2:9" ht="27" x14ac:dyDescent="0.2">
      <c r="B72" s="23" t="str">
        <f t="shared" si="0"/>
        <v>2026-052-2</v>
      </c>
      <c r="C72" s="24">
        <v>2026</v>
      </c>
      <c r="D72" s="25" t="s">
        <v>54</v>
      </c>
      <c r="E72" s="24">
        <v>2</v>
      </c>
      <c r="F72" s="26" t="s">
        <v>2453</v>
      </c>
      <c r="G72" s="24"/>
      <c r="H72" s="27"/>
      <c r="I72" s="28"/>
    </row>
    <row r="73" spans="2:9" x14ac:dyDescent="0.2">
      <c r="B73" s="23" t="str">
        <f t="shared" si="0"/>
        <v>2026-052-3</v>
      </c>
      <c r="C73" s="24">
        <v>2026</v>
      </c>
      <c r="D73" s="25" t="s">
        <v>54</v>
      </c>
      <c r="E73" s="24">
        <v>3</v>
      </c>
      <c r="F73" s="26" t="s">
        <v>581</v>
      </c>
      <c r="G73" s="24"/>
      <c r="H73" s="27"/>
      <c r="I73" s="28"/>
    </row>
    <row r="74" spans="2:9" x14ac:dyDescent="0.2">
      <c r="B74" s="23" t="str">
        <f t="shared" si="0"/>
        <v>2026-052-4</v>
      </c>
      <c r="C74" s="24">
        <v>2026</v>
      </c>
      <c r="D74" s="25" t="s">
        <v>54</v>
      </c>
      <c r="E74" s="24">
        <v>4</v>
      </c>
      <c r="F74" s="26" t="s">
        <v>2452</v>
      </c>
      <c r="G74" s="24" t="s">
        <v>3076</v>
      </c>
      <c r="H74" s="27"/>
      <c r="I74" s="28"/>
    </row>
    <row r="75" spans="2:9" x14ac:dyDescent="0.2">
      <c r="B75" s="29" t="str">
        <f t="shared" si="0"/>
        <v>2026-052-5</v>
      </c>
      <c r="C75" s="30">
        <v>2026</v>
      </c>
      <c r="D75" s="31" t="s">
        <v>54</v>
      </c>
      <c r="E75" s="30">
        <v>5</v>
      </c>
      <c r="F75" s="32" t="s">
        <v>2404</v>
      </c>
      <c r="G75" s="30"/>
      <c r="H75" s="33"/>
      <c r="I75" s="34"/>
    </row>
    <row r="76" spans="2:9" ht="54" x14ac:dyDescent="0.2">
      <c r="B76" s="35" t="str">
        <f t="shared" si="0"/>
        <v>2026-053-0</v>
      </c>
      <c r="C76" s="36">
        <v>2026</v>
      </c>
      <c r="D76" s="37" t="s">
        <v>55</v>
      </c>
      <c r="E76" s="36">
        <v>0</v>
      </c>
      <c r="F76" s="38" t="s">
        <v>2218</v>
      </c>
      <c r="G76" s="36"/>
      <c r="H76" s="39"/>
      <c r="I76" s="40"/>
    </row>
    <row r="77" spans="2:9" x14ac:dyDescent="0.2">
      <c r="B77" s="23" t="str">
        <f t="shared" si="0"/>
        <v>2026-053-1</v>
      </c>
      <c r="C77" s="24">
        <v>2026</v>
      </c>
      <c r="D77" s="25" t="s">
        <v>55</v>
      </c>
      <c r="E77" s="24">
        <v>1</v>
      </c>
      <c r="F77" s="26" t="s">
        <v>2155</v>
      </c>
      <c r="G77" s="24"/>
      <c r="H77" s="27"/>
      <c r="I77" s="28"/>
    </row>
    <row r="78" spans="2:9" x14ac:dyDescent="0.2">
      <c r="B78" s="23" t="str">
        <f t="shared" si="0"/>
        <v>2026-053-2</v>
      </c>
      <c r="C78" s="24">
        <v>2026</v>
      </c>
      <c r="D78" s="25" t="s">
        <v>55</v>
      </c>
      <c r="E78" s="24">
        <v>2</v>
      </c>
      <c r="F78" s="26" t="s">
        <v>2219</v>
      </c>
      <c r="G78" s="24"/>
      <c r="H78" s="27"/>
      <c r="I78" s="28"/>
    </row>
    <row r="79" spans="2:9" x14ac:dyDescent="0.2">
      <c r="B79" s="23" t="str">
        <f t="shared" si="0"/>
        <v>2026-053-3</v>
      </c>
      <c r="C79" s="24">
        <v>2026</v>
      </c>
      <c r="D79" s="25" t="s">
        <v>55</v>
      </c>
      <c r="E79" s="24">
        <v>3</v>
      </c>
      <c r="F79" s="26" t="s">
        <v>2279</v>
      </c>
      <c r="G79" s="24"/>
      <c r="H79" s="27"/>
      <c r="I79" s="28"/>
    </row>
    <row r="80" spans="2:9" x14ac:dyDescent="0.2">
      <c r="B80" s="23" t="str">
        <f t="shared" si="0"/>
        <v>2026-053-4</v>
      </c>
      <c r="C80" s="24">
        <v>2026</v>
      </c>
      <c r="D80" s="25" t="s">
        <v>55</v>
      </c>
      <c r="E80" s="24">
        <v>4</v>
      </c>
      <c r="F80" s="26" t="s">
        <v>2342</v>
      </c>
      <c r="G80" s="24" t="s">
        <v>3076</v>
      </c>
      <c r="H80" s="27"/>
      <c r="I80" s="28"/>
    </row>
    <row r="81" spans="2:9" x14ac:dyDescent="0.2">
      <c r="B81" s="29" t="str">
        <f t="shared" si="0"/>
        <v>2026-053-5</v>
      </c>
      <c r="C81" s="30">
        <v>2026</v>
      </c>
      <c r="D81" s="31" t="s">
        <v>55</v>
      </c>
      <c r="E81" s="30">
        <v>5</v>
      </c>
      <c r="F81" s="32" t="s">
        <v>2405</v>
      </c>
      <c r="G81" s="30"/>
      <c r="H81" s="33"/>
      <c r="I81" s="34"/>
    </row>
    <row r="82" spans="2:9" x14ac:dyDescent="0.2">
      <c r="B82" s="35" t="str">
        <f t="shared" si="0"/>
        <v>2026-054-0</v>
      </c>
      <c r="C82" s="36">
        <v>2026</v>
      </c>
      <c r="D82" s="37" t="s">
        <v>56</v>
      </c>
      <c r="E82" s="36">
        <v>0</v>
      </c>
      <c r="F82" s="38" t="s">
        <v>2087</v>
      </c>
      <c r="G82" s="36"/>
      <c r="H82" s="39"/>
      <c r="I82" s="40"/>
    </row>
    <row r="83" spans="2:9" x14ac:dyDescent="0.2">
      <c r="B83" s="23" t="str">
        <f t="shared" si="0"/>
        <v>2026-054-1</v>
      </c>
      <c r="C83" s="24">
        <v>2026</v>
      </c>
      <c r="D83" s="25" t="s">
        <v>56</v>
      </c>
      <c r="E83" s="24">
        <v>1</v>
      </c>
      <c r="F83" s="26" t="s">
        <v>2156</v>
      </c>
      <c r="G83" s="24" t="s">
        <v>3076</v>
      </c>
      <c r="H83" s="27"/>
      <c r="I83" s="28"/>
    </row>
    <row r="84" spans="2:9" x14ac:dyDescent="0.2">
      <c r="B84" s="23" t="str">
        <f t="shared" si="0"/>
        <v>2026-054-2</v>
      </c>
      <c r="C84" s="24">
        <v>2026</v>
      </c>
      <c r="D84" s="25" t="s">
        <v>56</v>
      </c>
      <c r="E84" s="24">
        <v>2</v>
      </c>
      <c r="F84" s="26" t="s">
        <v>2220</v>
      </c>
      <c r="G84" s="24"/>
      <c r="H84" s="27"/>
      <c r="I84" s="28"/>
    </row>
    <row r="85" spans="2:9" x14ac:dyDescent="0.2">
      <c r="B85" s="23" t="str">
        <f t="shared" si="0"/>
        <v>2026-054-3</v>
      </c>
      <c r="C85" s="24">
        <v>2026</v>
      </c>
      <c r="D85" s="25" t="s">
        <v>56</v>
      </c>
      <c r="E85" s="24">
        <v>3</v>
      </c>
      <c r="F85" s="26" t="s">
        <v>2280</v>
      </c>
      <c r="G85" s="24"/>
      <c r="H85" s="27"/>
      <c r="I85" s="28"/>
    </row>
    <row r="86" spans="2:9" x14ac:dyDescent="0.2">
      <c r="B86" s="23" t="str">
        <f t="shared" si="0"/>
        <v>2026-054-4</v>
      </c>
      <c r="C86" s="24">
        <v>2026</v>
      </c>
      <c r="D86" s="25" t="s">
        <v>56</v>
      </c>
      <c r="E86" s="24">
        <v>4</v>
      </c>
      <c r="F86" s="26" t="s">
        <v>2343</v>
      </c>
      <c r="G86" s="24"/>
      <c r="H86" s="27"/>
      <c r="I86" s="28"/>
    </row>
    <row r="87" spans="2:9" x14ac:dyDescent="0.2">
      <c r="B87" s="29" t="str">
        <f t="shared" si="0"/>
        <v>2026-054-5</v>
      </c>
      <c r="C87" s="30">
        <v>2026</v>
      </c>
      <c r="D87" s="31" t="s">
        <v>56</v>
      </c>
      <c r="E87" s="30">
        <v>5</v>
      </c>
      <c r="F87" s="32" t="s">
        <v>3050</v>
      </c>
      <c r="G87" s="30"/>
      <c r="H87" s="33"/>
      <c r="I87" s="34"/>
    </row>
    <row r="88" spans="2:9" x14ac:dyDescent="0.2">
      <c r="B88" s="35" t="str">
        <f t="shared" si="0"/>
        <v>2026-055-0</v>
      </c>
      <c r="C88" s="36">
        <v>2026</v>
      </c>
      <c r="D88" s="37" t="s">
        <v>57</v>
      </c>
      <c r="E88" s="36">
        <v>0</v>
      </c>
      <c r="F88" s="38" t="s">
        <v>2088</v>
      </c>
      <c r="G88" s="36"/>
      <c r="H88" s="39"/>
      <c r="I88" s="40"/>
    </row>
    <row r="89" spans="2:9" x14ac:dyDescent="0.2">
      <c r="B89" s="23" t="str">
        <f t="shared" si="0"/>
        <v>2026-055-1</v>
      </c>
      <c r="C89" s="24">
        <v>2026</v>
      </c>
      <c r="D89" s="25" t="s">
        <v>57</v>
      </c>
      <c r="E89" s="24">
        <v>1</v>
      </c>
      <c r="F89" s="26" t="s">
        <v>2157</v>
      </c>
      <c r="G89" s="24"/>
      <c r="H89" s="27"/>
      <c r="I89" s="28"/>
    </row>
    <row r="90" spans="2:9" x14ac:dyDescent="0.2">
      <c r="B90" s="23" t="str">
        <f t="shared" si="0"/>
        <v>2026-055-2</v>
      </c>
      <c r="C90" s="24">
        <v>2026</v>
      </c>
      <c r="D90" s="25" t="s">
        <v>57</v>
      </c>
      <c r="E90" s="24">
        <v>2</v>
      </c>
      <c r="F90" s="26" t="s">
        <v>2221</v>
      </c>
      <c r="G90" s="24" t="s">
        <v>3076</v>
      </c>
      <c r="H90" s="27"/>
      <c r="I90" s="28"/>
    </row>
    <row r="91" spans="2:9" x14ac:dyDescent="0.2">
      <c r="B91" s="23" t="str">
        <f t="shared" si="0"/>
        <v>2026-055-3</v>
      </c>
      <c r="C91" s="24">
        <v>2026</v>
      </c>
      <c r="D91" s="25" t="s">
        <v>57</v>
      </c>
      <c r="E91" s="24">
        <v>3</v>
      </c>
      <c r="F91" s="26" t="s">
        <v>2281</v>
      </c>
      <c r="G91" s="24"/>
      <c r="H91" s="27"/>
      <c r="I91" s="28"/>
    </row>
    <row r="92" spans="2:9" x14ac:dyDescent="0.2">
      <c r="B92" s="23" t="str">
        <f t="shared" si="0"/>
        <v>2026-055-4</v>
      </c>
      <c r="C92" s="24">
        <v>2026</v>
      </c>
      <c r="D92" s="25" t="s">
        <v>57</v>
      </c>
      <c r="E92" s="24">
        <v>4</v>
      </c>
      <c r="F92" s="26" t="s">
        <v>1591</v>
      </c>
      <c r="G92" s="24"/>
      <c r="H92" s="27"/>
      <c r="I92" s="28"/>
    </row>
    <row r="93" spans="2:9" x14ac:dyDescent="0.2">
      <c r="B93" s="29" t="str">
        <f t="shared" si="0"/>
        <v>2026-055-5</v>
      </c>
      <c r="C93" s="30">
        <v>2026</v>
      </c>
      <c r="D93" s="31" t="s">
        <v>57</v>
      </c>
      <c r="E93" s="30">
        <v>5</v>
      </c>
      <c r="F93" s="32" t="s">
        <v>2406</v>
      </c>
      <c r="G93" s="30"/>
      <c r="H93" s="33"/>
      <c r="I93" s="34"/>
    </row>
    <row r="94" spans="2:9" x14ac:dyDescent="0.2">
      <c r="B94" s="35" t="str">
        <f t="shared" si="0"/>
        <v>2026-056-0</v>
      </c>
      <c r="C94" s="36">
        <v>2026</v>
      </c>
      <c r="D94" s="37" t="s">
        <v>58</v>
      </c>
      <c r="E94" s="36">
        <v>0</v>
      </c>
      <c r="F94" s="38" t="s">
        <v>2089</v>
      </c>
      <c r="G94" s="36"/>
      <c r="H94" s="39"/>
      <c r="I94" s="40"/>
    </row>
    <row r="95" spans="2:9" x14ac:dyDescent="0.2">
      <c r="B95" s="23" t="str">
        <f t="shared" si="0"/>
        <v>2026-056-1</v>
      </c>
      <c r="C95" s="24">
        <v>2026</v>
      </c>
      <c r="D95" s="25" t="s">
        <v>58</v>
      </c>
      <c r="E95" s="24">
        <v>1</v>
      </c>
      <c r="F95" s="26" t="s">
        <v>2158</v>
      </c>
      <c r="G95" s="24"/>
      <c r="H95" s="27"/>
      <c r="I95" s="28"/>
    </row>
    <row r="96" spans="2:9" x14ac:dyDescent="0.2">
      <c r="B96" s="23" t="str">
        <f t="shared" si="0"/>
        <v>2026-056-2</v>
      </c>
      <c r="C96" s="24">
        <v>2026</v>
      </c>
      <c r="D96" s="25" t="s">
        <v>58</v>
      </c>
      <c r="E96" s="24">
        <v>2</v>
      </c>
      <c r="F96" s="26" t="s">
        <v>2222</v>
      </c>
      <c r="G96" s="24"/>
      <c r="H96" s="27"/>
      <c r="I96" s="28"/>
    </row>
    <row r="97" spans="2:9" x14ac:dyDescent="0.2">
      <c r="B97" s="23" t="str">
        <f t="shared" si="0"/>
        <v>2026-056-3</v>
      </c>
      <c r="C97" s="24">
        <v>2026</v>
      </c>
      <c r="D97" s="25" t="s">
        <v>58</v>
      </c>
      <c r="E97" s="24">
        <v>3</v>
      </c>
      <c r="F97" s="26" t="s">
        <v>2282</v>
      </c>
      <c r="G97" s="24"/>
      <c r="H97" s="27"/>
      <c r="I97" s="28"/>
    </row>
    <row r="98" spans="2:9" x14ac:dyDescent="0.2">
      <c r="B98" s="23" t="str">
        <f t="shared" si="0"/>
        <v>2026-056-4</v>
      </c>
      <c r="C98" s="24">
        <v>2026</v>
      </c>
      <c r="D98" s="25" t="s">
        <v>58</v>
      </c>
      <c r="E98" s="24">
        <v>4</v>
      </c>
      <c r="F98" s="26" t="s">
        <v>2344</v>
      </c>
      <c r="G98" s="24"/>
      <c r="H98" s="27"/>
      <c r="I98" s="28"/>
    </row>
    <row r="99" spans="2:9" ht="27" x14ac:dyDescent="0.2">
      <c r="B99" s="29" t="str">
        <f t="shared" si="0"/>
        <v>2026-056-5</v>
      </c>
      <c r="C99" s="30">
        <v>2026</v>
      </c>
      <c r="D99" s="31" t="s">
        <v>58</v>
      </c>
      <c r="E99" s="30">
        <v>5</v>
      </c>
      <c r="F99" s="32" t="s">
        <v>2407</v>
      </c>
      <c r="G99" s="30" t="s">
        <v>3076</v>
      </c>
      <c r="H99" s="33"/>
      <c r="I99" s="34"/>
    </row>
    <row r="100" spans="2:9" ht="27" x14ac:dyDescent="0.2">
      <c r="B100" s="35" t="str">
        <f t="shared" si="0"/>
        <v>2026-057-0</v>
      </c>
      <c r="C100" s="36">
        <v>2026</v>
      </c>
      <c r="D100" s="37" t="s">
        <v>59</v>
      </c>
      <c r="E100" s="36">
        <v>0</v>
      </c>
      <c r="F100" s="38" t="s">
        <v>2090</v>
      </c>
      <c r="G100" s="36"/>
      <c r="H100" s="39"/>
      <c r="I100" s="40"/>
    </row>
    <row r="101" spans="2:9" x14ac:dyDescent="0.2">
      <c r="B101" s="23" t="str">
        <f t="shared" si="0"/>
        <v>2026-057-1</v>
      </c>
      <c r="C101" s="24">
        <v>2026</v>
      </c>
      <c r="D101" s="25" t="s">
        <v>59</v>
      </c>
      <c r="E101" s="24">
        <v>1</v>
      </c>
      <c r="F101" s="26" t="s">
        <v>2159</v>
      </c>
      <c r="G101" s="24" t="s">
        <v>3076</v>
      </c>
      <c r="H101" s="27"/>
      <c r="I101" s="28"/>
    </row>
    <row r="102" spans="2:9" x14ac:dyDescent="0.2">
      <c r="B102" s="23" t="str">
        <f t="shared" si="0"/>
        <v>2026-057-2</v>
      </c>
      <c r="C102" s="24">
        <v>2026</v>
      </c>
      <c r="D102" s="25" t="s">
        <v>59</v>
      </c>
      <c r="E102" s="24">
        <v>2</v>
      </c>
      <c r="F102" s="26" t="s">
        <v>2223</v>
      </c>
      <c r="G102" s="24"/>
      <c r="H102" s="27"/>
      <c r="I102" s="28"/>
    </row>
    <row r="103" spans="2:9" x14ac:dyDescent="0.2">
      <c r="B103" s="23" t="str">
        <f t="shared" si="0"/>
        <v>2026-057-3</v>
      </c>
      <c r="C103" s="24">
        <v>2026</v>
      </c>
      <c r="D103" s="25" t="s">
        <v>59</v>
      </c>
      <c r="E103" s="24">
        <v>3</v>
      </c>
      <c r="F103" s="26" t="s">
        <v>2283</v>
      </c>
      <c r="G103" s="24"/>
      <c r="H103" s="27"/>
      <c r="I103" s="28"/>
    </row>
    <row r="104" spans="2:9" x14ac:dyDescent="0.2">
      <c r="B104" s="23" t="str">
        <f t="shared" si="0"/>
        <v>2026-057-4</v>
      </c>
      <c r="C104" s="24">
        <v>2026</v>
      </c>
      <c r="D104" s="25" t="s">
        <v>59</v>
      </c>
      <c r="E104" s="24">
        <v>4</v>
      </c>
      <c r="F104" s="26" t="s">
        <v>2345</v>
      </c>
      <c r="G104" s="24"/>
      <c r="H104" s="27"/>
      <c r="I104" s="28"/>
    </row>
    <row r="105" spans="2:9" x14ac:dyDescent="0.2">
      <c r="B105" s="29" t="str">
        <f t="shared" si="0"/>
        <v>2026-057-5</v>
      </c>
      <c r="C105" s="30">
        <v>2026</v>
      </c>
      <c r="D105" s="31" t="s">
        <v>59</v>
      </c>
      <c r="E105" s="30">
        <v>5</v>
      </c>
      <c r="F105" s="32" t="s">
        <v>2408</v>
      </c>
      <c r="G105" s="30"/>
      <c r="H105" s="33"/>
      <c r="I105" s="34"/>
    </row>
    <row r="106" spans="2:9" x14ac:dyDescent="0.2">
      <c r="B106" s="35" t="str">
        <f t="shared" si="0"/>
        <v>2026-058-0</v>
      </c>
      <c r="C106" s="36">
        <v>2026</v>
      </c>
      <c r="D106" s="37" t="s">
        <v>60</v>
      </c>
      <c r="E106" s="36">
        <v>0</v>
      </c>
      <c r="F106" s="38" t="s">
        <v>2091</v>
      </c>
      <c r="G106" s="36"/>
      <c r="H106" s="39"/>
      <c r="I106" s="40"/>
    </row>
    <row r="107" spans="2:9" x14ac:dyDescent="0.2">
      <c r="B107" s="23" t="str">
        <f t="shared" si="0"/>
        <v>2026-058-1</v>
      </c>
      <c r="C107" s="24">
        <v>2026</v>
      </c>
      <c r="D107" s="25" t="s">
        <v>60</v>
      </c>
      <c r="E107" s="24">
        <v>1</v>
      </c>
      <c r="F107" s="26" t="s">
        <v>2160</v>
      </c>
      <c r="G107" s="24"/>
      <c r="H107" s="27"/>
      <c r="I107" s="28"/>
    </row>
    <row r="108" spans="2:9" x14ac:dyDescent="0.2">
      <c r="B108" s="23" t="str">
        <f t="shared" si="0"/>
        <v>2026-058-2</v>
      </c>
      <c r="C108" s="24">
        <v>2026</v>
      </c>
      <c r="D108" s="25" t="s">
        <v>60</v>
      </c>
      <c r="E108" s="24">
        <v>2</v>
      </c>
      <c r="F108" s="26" t="s">
        <v>2224</v>
      </c>
      <c r="G108" s="24"/>
      <c r="H108" s="27"/>
      <c r="I108" s="28"/>
    </row>
    <row r="109" spans="2:9" x14ac:dyDescent="0.2">
      <c r="B109" s="23" t="str">
        <f t="shared" si="0"/>
        <v>2026-058-3</v>
      </c>
      <c r="C109" s="24">
        <v>2026</v>
      </c>
      <c r="D109" s="25" t="s">
        <v>60</v>
      </c>
      <c r="E109" s="24">
        <v>3</v>
      </c>
      <c r="F109" s="26" t="s">
        <v>2284</v>
      </c>
      <c r="G109" s="24" t="s">
        <v>3076</v>
      </c>
      <c r="H109" s="27"/>
      <c r="I109" s="28"/>
    </row>
    <row r="110" spans="2:9" x14ac:dyDescent="0.2">
      <c r="B110" s="23" t="str">
        <f t="shared" si="0"/>
        <v>2026-058-4</v>
      </c>
      <c r="C110" s="24">
        <v>2026</v>
      </c>
      <c r="D110" s="25" t="s">
        <v>60</v>
      </c>
      <c r="E110" s="24">
        <v>4</v>
      </c>
      <c r="F110" s="26" t="s">
        <v>2346</v>
      </c>
      <c r="G110" s="24"/>
      <c r="H110" s="27"/>
      <c r="I110" s="28"/>
    </row>
    <row r="111" spans="2:9" x14ac:dyDescent="0.2">
      <c r="B111" s="29" t="str">
        <f t="shared" si="0"/>
        <v>2026-058-5</v>
      </c>
      <c r="C111" s="30">
        <v>2026</v>
      </c>
      <c r="D111" s="31" t="s">
        <v>60</v>
      </c>
      <c r="E111" s="30">
        <v>5</v>
      </c>
      <c r="F111" s="32" t="s">
        <v>2409</v>
      </c>
      <c r="G111" s="30"/>
      <c r="H111" s="33"/>
      <c r="I111" s="34"/>
    </row>
    <row r="112" spans="2:9" x14ac:dyDescent="0.2">
      <c r="B112" s="35" t="str">
        <f t="shared" si="0"/>
        <v>2026-059-0</v>
      </c>
      <c r="C112" s="36">
        <v>2026</v>
      </c>
      <c r="D112" s="37" t="s">
        <v>61</v>
      </c>
      <c r="E112" s="36">
        <v>0</v>
      </c>
      <c r="F112" s="38" t="s">
        <v>2092</v>
      </c>
      <c r="G112" s="36"/>
      <c r="H112" s="39"/>
      <c r="I112" s="40"/>
    </row>
    <row r="113" spans="2:9" x14ac:dyDescent="0.2">
      <c r="B113" s="23" t="str">
        <f t="shared" si="0"/>
        <v>2026-059-1</v>
      </c>
      <c r="C113" s="24">
        <v>2026</v>
      </c>
      <c r="D113" s="25" t="s">
        <v>61</v>
      </c>
      <c r="E113" s="24">
        <v>1</v>
      </c>
      <c r="F113" s="26" t="s">
        <v>2161</v>
      </c>
      <c r="G113" s="24"/>
      <c r="H113" s="27"/>
      <c r="I113" s="28"/>
    </row>
    <row r="114" spans="2:9" x14ac:dyDescent="0.2">
      <c r="B114" s="23" t="str">
        <f t="shared" si="0"/>
        <v>2026-059-2</v>
      </c>
      <c r="C114" s="24">
        <v>2026</v>
      </c>
      <c r="D114" s="25" t="s">
        <v>61</v>
      </c>
      <c r="E114" s="24">
        <v>2</v>
      </c>
      <c r="F114" s="26" t="s">
        <v>2225</v>
      </c>
      <c r="G114" s="24"/>
      <c r="H114" s="27"/>
      <c r="I114" s="28"/>
    </row>
    <row r="115" spans="2:9" x14ac:dyDescent="0.2">
      <c r="B115" s="23" t="str">
        <f t="shared" si="0"/>
        <v>2026-059-3</v>
      </c>
      <c r="C115" s="24">
        <v>2026</v>
      </c>
      <c r="D115" s="25" t="s">
        <v>61</v>
      </c>
      <c r="E115" s="24">
        <v>3</v>
      </c>
      <c r="F115" s="26" t="s">
        <v>2285</v>
      </c>
      <c r="G115" s="24"/>
      <c r="H115" s="27"/>
      <c r="I115" s="28"/>
    </row>
    <row r="116" spans="2:9" x14ac:dyDescent="0.2">
      <c r="B116" s="23" t="str">
        <f t="shared" si="0"/>
        <v>2026-059-4</v>
      </c>
      <c r="C116" s="24">
        <v>2026</v>
      </c>
      <c r="D116" s="25" t="s">
        <v>61</v>
      </c>
      <c r="E116" s="24">
        <v>4</v>
      </c>
      <c r="F116" s="26" t="s">
        <v>2347</v>
      </c>
      <c r="G116" s="24"/>
      <c r="H116" s="27"/>
      <c r="I116" s="28"/>
    </row>
    <row r="117" spans="2:9" ht="27" x14ac:dyDescent="0.2">
      <c r="B117" s="29" t="str">
        <f t="shared" si="0"/>
        <v>2026-059-5</v>
      </c>
      <c r="C117" s="30">
        <v>2026</v>
      </c>
      <c r="D117" s="31" t="s">
        <v>61</v>
      </c>
      <c r="E117" s="30">
        <v>5</v>
      </c>
      <c r="F117" s="32" t="s">
        <v>3051</v>
      </c>
      <c r="G117" s="30" t="s">
        <v>3076</v>
      </c>
      <c r="H117" s="33"/>
      <c r="I117" s="34"/>
    </row>
    <row r="118" spans="2:9" x14ac:dyDescent="0.2">
      <c r="B118" s="35" t="str">
        <f t="shared" si="0"/>
        <v>2026-060-0</v>
      </c>
      <c r="C118" s="36">
        <v>2026</v>
      </c>
      <c r="D118" s="37" t="s">
        <v>62</v>
      </c>
      <c r="E118" s="36">
        <v>0</v>
      </c>
      <c r="F118" s="38" t="s">
        <v>2093</v>
      </c>
      <c r="G118" s="36"/>
      <c r="H118" s="39"/>
      <c r="I118" s="40"/>
    </row>
    <row r="119" spans="2:9" x14ac:dyDescent="0.2">
      <c r="B119" s="23" t="str">
        <f t="shared" si="0"/>
        <v>2026-060-1</v>
      </c>
      <c r="C119" s="24">
        <v>2026</v>
      </c>
      <c r="D119" s="25" t="s">
        <v>62</v>
      </c>
      <c r="E119" s="24">
        <v>1</v>
      </c>
      <c r="F119" s="26" t="s">
        <v>2162</v>
      </c>
      <c r="G119" s="24"/>
      <c r="H119" s="27"/>
      <c r="I119" s="28"/>
    </row>
    <row r="120" spans="2:9" x14ac:dyDescent="0.2">
      <c r="B120" s="23" t="str">
        <f t="shared" si="0"/>
        <v>2026-060-2</v>
      </c>
      <c r="C120" s="24">
        <v>2026</v>
      </c>
      <c r="D120" s="25" t="s">
        <v>62</v>
      </c>
      <c r="E120" s="24">
        <v>2</v>
      </c>
      <c r="F120" s="26" t="s">
        <v>2226</v>
      </c>
      <c r="G120" s="24"/>
      <c r="H120" s="27"/>
      <c r="I120" s="28"/>
    </row>
    <row r="121" spans="2:9" x14ac:dyDescent="0.2">
      <c r="B121" s="23" t="str">
        <f t="shared" si="0"/>
        <v>2026-060-3</v>
      </c>
      <c r="C121" s="24">
        <v>2026</v>
      </c>
      <c r="D121" s="25" t="s">
        <v>62</v>
      </c>
      <c r="E121" s="24">
        <v>3</v>
      </c>
      <c r="F121" s="26" t="s">
        <v>2286</v>
      </c>
      <c r="G121" s="24"/>
      <c r="H121" s="27"/>
      <c r="I121" s="28"/>
    </row>
    <row r="122" spans="2:9" x14ac:dyDescent="0.2">
      <c r="B122" s="23" t="str">
        <f t="shared" si="0"/>
        <v>2026-060-4</v>
      </c>
      <c r="C122" s="24">
        <v>2026</v>
      </c>
      <c r="D122" s="25" t="s">
        <v>62</v>
      </c>
      <c r="E122" s="24">
        <v>4</v>
      </c>
      <c r="F122" s="26" t="s">
        <v>2348</v>
      </c>
      <c r="G122" s="24" t="s">
        <v>3076</v>
      </c>
      <c r="H122" s="27"/>
      <c r="I122" s="28"/>
    </row>
    <row r="123" spans="2:9" x14ac:dyDescent="0.2">
      <c r="B123" s="29" t="str">
        <f t="shared" si="0"/>
        <v>2026-060-5</v>
      </c>
      <c r="C123" s="30">
        <v>2026</v>
      </c>
      <c r="D123" s="31" t="s">
        <v>62</v>
      </c>
      <c r="E123" s="30">
        <v>5</v>
      </c>
      <c r="F123" s="32" t="s">
        <v>2410</v>
      </c>
      <c r="G123" s="30"/>
      <c r="H123" s="33"/>
      <c r="I123" s="34"/>
    </row>
    <row r="124" spans="2:9" ht="67.5" x14ac:dyDescent="0.2">
      <c r="B124" s="35" t="str">
        <f t="shared" si="0"/>
        <v>2026-061-0</v>
      </c>
      <c r="C124" s="36">
        <v>2026</v>
      </c>
      <c r="D124" s="37" t="s">
        <v>63</v>
      </c>
      <c r="E124" s="36">
        <v>0</v>
      </c>
      <c r="F124" s="38" t="s">
        <v>2227</v>
      </c>
      <c r="G124" s="36"/>
      <c r="H124" s="39"/>
      <c r="I124" s="40"/>
    </row>
    <row r="125" spans="2:9" x14ac:dyDescent="0.2">
      <c r="B125" s="23" t="str">
        <f t="shared" si="0"/>
        <v>2026-061-1</v>
      </c>
      <c r="C125" s="24">
        <v>2026</v>
      </c>
      <c r="D125" s="25" t="s">
        <v>63</v>
      </c>
      <c r="E125" s="24">
        <v>1</v>
      </c>
      <c r="F125" s="26" t="s">
        <v>2163</v>
      </c>
      <c r="G125" s="24"/>
      <c r="H125" s="27"/>
      <c r="I125" s="28"/>
    </row>
    <row r="126" spans="2:9" x14ac:dyDescent="0.2">
      <c r="B126" s="23" t="str">
        <f t="shared" si="0"/>
        <v>2026-061-2</v>
      </c>
      <c r="C126" s="24">
        <v>2026</v>
      </c>
      <c r="D126" s="25" t="s">
        <v>63</v>
      </c>
      <c r="E126" s="24">
        <v>2</v>
      </c>
      <c r="F126" s="26" t="s">
        <v>2228</v>
      </c>
      <c r="G126" s="24"/>
      <c r="H126" s="27"/>
      <c r="I126" s="28"/>
    </row>
    <row r="127" spans="2:9" x14ac:dyDescent="0.2">
      <c r="B127" s="23" t="str">
        <f t="shared" si="0"/>
        <v>2026-061-3</v>
      </c>
      <c r="C127" s="24">
        <v>2026</v>
      </c>
      <c r="D127" s="25" t="s">
        <v>63</v>
      </c>
      <c r="E127" s="24">
        <v>3</v>
      </c>
      <c r="F127" s="26" t="s">
        <v>2287</v>
      </c>
      <c r="G127" s="24"/>
      <c r="H127" s="27"/>
      <c r="I127" s="28"/>
    </row>
    <row r="128" spans="2:9" x14ac:dyDescent="0.2">
      <c r="B128" s="23" t="str">
        <f t="shared" si="0"/>
        <v>2026-061-4</v>
      </c>
      <c r="C128" s="24">
        <v>2026</v>
      </c>
      <c r="D128" s="25" t="s">
        <v>63</v>
      </c>
      <c r="E128" s="24">
        <v>4</v>
      </c>
      <c r="F128" s="26" t="s">
        <v>2349</v>
      </c>
      <c r="G128" s="24" t="s">
        <v>3076</v>
      </c>
      <c r="H128" s="27"/>
      <c r="I128" s="28"/>
    </row>
    <row r="129" spans="2:9" x14ac:dyDescent="0.2">
      <c r="B129" s="29" t="str">
        <f t="shared" si="0"/>
        <v>2026-061-5</v>
      </c>
      <c r="C129" s="30">
        <v>2026</v>
      </c>
      <c r="D129" s="31" t="s">
        <v>63</v>
      </c>
      <c r="E129" s="30">
        <v>5</v>
      </c>
      <c r="F129" s="32" t="s">
        <v>2411</v>
      </c>
      <c r="G129" s="30"/>
      <c r="H129" s="33"/>
      <c r="I129" s="34"/>
    </row>
    <row r="130" spans="2:9" ht="54" x14ac:dyDescent="0.2">
      <c r="B130" s="35" t="str">
        <f t="shared" si="0"/>
        <v>2026-062-0</v>
      </c>
      <c r="C130" s="36">
        <v>2026</v>
      </c>
      <c r="D130" s="37" t="s">
        <v>64</v>
      </c>
      <c r="E130" s="36">
        <v>0</v>
      </c>
      <c r="F130" s="38" t="s">
        <v>2094</v>
      </c>
      <c r="G130" s="36"/>
      <c r="H130" s="39"/>
      <c r="I130" s="40"/>
    </row>
    <row r="131" spans="2:9" x14ac:dyDescent="0.2">
      <c r="B131" s="23" t="str">
        <f t="shared" si="0"/>
        <v>2026-062-1</v>
      </c>
      <c r="C131" s="24">
        <v>2026</v>
      </c>
      <c r="D131" s="25" t="s">
        <v>64</v>
      </c>
      <c r="E131" s="24">
        <v>1</v>
      </c>
      <c r="F131" s="26" t="s">
        <v>2164</v>
      </c>
      <c r="G131" s="24"/>
      <c r="H131" s="27"/>
      <c r="I131" s="28"/>
    </row>
    <row r="132" spans="2:9" x14ac:dyDescent="0.2">
      <c r="B132" s="23" t="str">
        <f t="shared" si="0"/>
        <v>2026-062-2</v>
      </c>
      <c r="C132" s="24">
        <v>2026</v>
      </c>
      <c r="D132" s="25" t="s">
        <v>64</v>
      </c>
      <c r="E132" s="24">
        <v>2</v>
      </c>
      <c r="F132" s="26" t="s">
        <v>2229</v>
      </c>
      <c r="G132" s="24" t="s">
        <v>3076</v>
      </c>
      <c r="H132" s="27"/>
      <c r="I132" s="28"/>
    </row>
    <row r="133" spans="2:9" x14ac:dyDescent="0.2">
      <c r="B133" s="23" t="str">
        <f t="shared" si="0"/>
        <v>2026-062-3</v>
      </c>
      <c r="C133" s="24">
        <v>2026</v>
      </c>
      <c r="D133" s="25" t="s">
        <v>64</v>
      </c>
      <c r="E133" s="24">
        <v>3</v>
      </c>
      <c r="F133" s="26" t="s">
        <v>2288</v>
      </c>
      <c r="G133" s="24"/>
      <c r="H133" s="27"/>
      <c r="I133" s="28"/>
    </row>
    <row r="134" spans="2:9" x14ac:dyDescent="0.2">
      <c r="B134" s="23" t="str">
        <f t="shared" si="0"/>
        <v>2026-062-4</v>
      </c>
      <c r="C134" s="24">
        <v>2026</v>
      </c>
      <c r="D134" s="25" t="s">
        <v>64</v>
      </c>
      <c r="E134" s="24">
        <v>4</v>
      </c>
      <c r="F134" s="26" t="s">
        <v>2350</v>
      </c>
      <c r="G134" s="24"/>
      <c r="H134" s="27"/>
      <c r="I134" s="28"/>
    </row>
    <row r="135" spans="2:9" x14ac:dyDescent="0.2">
      <c r="B135" s="29" t="str">
        <f t="shared" si="0"/>
        <v>2026-062-5</v>
      </c>
      <c r="C135" s="30">
        <v>2026</v>
      </c>
      <c r="D135" s="31" t="s">
        <v>64</v>
      </c>
      <c r="E135" s="30">
        <v>5</v>
      </c>
      <c r="F135" s="32" t="s">
        <v>2412</v>
      </c>
      <c r="G135" s="30"/>
      <c r="H135" s="33"/>
      <c r="I135" s="34"/>
    </row>
    <row r="136" spans="2:9" x14ac:dyDescent="0.2">
      <c r="B136" s="35" t="str">
        <f t="shared" si="0"/>
        <v>2026-063-0</v>
      </c>
      <c r="C136" s="36">
        <v>2026</v>
      </c>
      <c r="D136" s="37" t="s">
        <v>65</v>
      </c>
      <c r="E136" s="36">
        <v>0</v>
      </c>
      <c r="F136" s="38" t="s">
        <v>2095</v>
      </c>
      <c r="G136" s="36"/>
      <c r="H136" s="39"/>
      <c r="I136" s="40"/>
    </row>
    <row r="137" spans="2:9" x14ac:dyDescent="0.2">
      <c r="B137" s="23" t="str">
        <f t="shared" si="0"/>
        <v>2026-063-1</v>
      </c>
      <c r="C137" s="24">
        <v>2026</v>
      </c>
      <c r="D137" s="25" t="s">
        <v>65</v>
      </c>
      <c r="E137" s="24">
        <v>1</v>
      </c>
      <c r="F137" s="26" t="s">
        <v>1122</v>
      </c>
      <c r="G137" s="24"/>
      <c r="H137" s="27"/>
      <c r="I137" s="28"/>
    </row>
    <row r="138" spans="2:9" x14ac:dyDescent="0.2">
      <c r="B138" s="23" t="str">
        <f t="shared" si="0"/>
        <v>2026-063-2</v>
      </c>
      <c r="C138" s="24">
        <v>2026</v>
      </c>
      <c r="D138" s="25" t="s">
        <v>65</v>
      </c>
      <c r="E138" s="24">
        <v>2</v>
      </c>
      <c r="F138" s="26" t="s">
        <v>1775</v>
      </c>
      <c r="G138" s="24"/>
      <c r="H138" s="27"/>
      <c r="I138" s="28"/>
    </row>
    <row r="139" spans="2:9" x14ac:dyDescent="0.2">
      <c r="B139" s="23" t="str">
        <f t="shared" si="0"/>
        <v>2026-063-3</v>
      </c>
      <c r="C139" s="24">
        <v>2026</v>
      </c>
      <c r="D139" s="25" t="s">
        <v>65</v>
      </c>
      <c r="E139" s="24">
        <v>3</v>
      </c>
      <c r="F139" s="26" t="s">
        <v>2028</v>
      </c>
      <c r="G139" s="24" t="s">
        <v>3076</v>
      </c>
      <c r="H139" s="27"/>
      <c r="I139" s="28"/>
    </row>
    <row r="140" spans="2:9" x14ac:dyDescent="0.2">
      <c r="B140" s="23" t="str">
        <f t="shared" si="0"/>
        <v>2026-063-4</v>
      </c>
      <c r="C140" s="24">
        <v>2026</v>
      </c>
      <c r="D140" s="25" t="s">
        <v>65</v>
      </c>
      <c r="E140" s="24">
        <v>4</v>
      </c>
      <c r="F140" s="26" t="s">
        <v>2351</v>
      </c>
      <c r="G140" s="24"/>
      <c r="H140" s="27"/>
      <c r="I140" s="28"/>
    </row>
    <row r="141" spans="2:9" x14ac:dyDescent="0.2">
      <c r="B141" s="29" t="str">
        <f t="shared" si="0"/>
        <v>2026-063-5</v>
      </c>
      <c r="C141" s="30">
        <v>2026</v>
      </c>
      <c r="D141" s="31" t="s">
        <v>65</v>
      </c>
      <c r="E141" s="30">
        <v>5</v>
      </c>
      <c r="F141" s="32" t="s">
        <v>2413</v>
      </c>
      <c r="G141" s="30"/>
      <c r="H141" s="33"/>
      <c r="I141" s="34"/>
    </row>
    <row r="142" spans="2:9" x14ac:dyDescent="0.2">
      <c r="B142" s="35" t="str">
        <f t="shared" si="0"/>
        <v>2026-064-0</v>
      </c>
      <c r="C142" s="36">
        <v>2026</v>
      </c>
      <c r="D142" s="37" t="s">
        <v>66</v>
      </c>
      <c r="E142" s="36">
        <v>0</v>
      </c>
      <c r="F142" s="38" t="s">
        <v>2096</v>
      </c>
      <c r="G142" s="36"/>
      <c r="H142" s="39"/>
      <c r="I142" s="40"/>
    </row>
    <row r="143" spans="2:9" x14ac:dyDescent="0.2">
      <c r="B143" s="23" t="str">
        <f t="shared" si="0"/>
        <v>2026-064-1</v>
      </c>
      <c r="C143" s="24">
        <v>2026</v>
      </c>
      <c r="D143" s="25" t="s">
        <v>66</v>
      </c>
      <c r="E143" s="24">
        <v>1</v>
      </c>
      <c r="F143" s="26" t="s">
        <v>2165</v>
      </c>
      <c r="G143" s="24"/>
      <c r="H143" s="27"/>
      <c r="I143" s="28"/>
    </row>
    <row r="144" spans="2:9" x14ac:dyDescent="0.2">
      <c r="B144" s="23" t="str">
        <f t="shared" si="0"/>
        <v>2026-064-2</v>
      </c>
      <c r="C144" s="24">
        <v>2026</v>
      </c>
      <c r="D144" s="25" t="s">
        <v>66</v>
      </c>
      <c r="E144" s="24">
        <v>2</v>
      </c>
      <c r="F144" s="26" t="s">
        <v>2454</v>
      </c>
      <c r="G144" s="24" t="s">
        <v>3076</v>
      </c>
      <c r="H144" s="27"/>
      <c r="I144" s="28"/>
    </row>
    <row r="145" spans="2:9" x14ac:dyDescent="0.2">
      <c r="B145" s="23" t="str">
        <f t="shared" si="0"/>
        <v>2026-064-3</v>
      </c>
      <c r="C145" s="24">
        <v>2026</v>
      </c>
      <c r="D145" s="25" t="s">
        <v>66</v>
      </c>
      <c r="E145" s="24">
        <v>3</v>
      </c>
      <c r="F145" s="26" t="s">
        <v>2289</v>
      </c>
      <c r="G145" s="24"/>
      <c r="H145" s="27"/>
      <c r="I145" s="28"/>
    </row>
    <row r="146" spans="2:9" x14ac:dyDescent="0.2">
      <c r="B146" s="23" t="str">
        <f t="shared" si="0"/>
        <v>2026-064-4</v>
      </c>
      <c r="C146" s="24">
        <v>2026</v>
      </c>
      <c r="D146" s="25" t="s">
        <v>66</v>
      </c>
      <c r="E146" s="24">
        <v>4</v>
      </c>
      <c r="F146" s="26" t="s">
        <v>2352</v>
      </c>
      <c r="G146" s="24"/>
      <c r="H146" s="27"/>
      <c r="I146" s="28"/>
    </row>
    <row r="147" spans="2:9" x14ac:dyDescent="0.2">
      <c r="B147" s="29" t="str">
        <f t="shared" si="0"/>
        <v>2026-064-5</v>
      </c>
      <c r="C147" s="30">
        <v>2026</v>
      </c>
      <c r="D147" s="31" t="s">
        <v>66</v>
      </c>
      <c r="E147" s="30">
        <v>5</v>
      </c>
      <c r="F147" s="32" t="s">
        <v>2414</v>
      </c>
      <c r="G147" s="30"/>
      <c r="H147" s="33"/>
      <c r="I147" s="34"/>
    </row>
    <row r="148" spans="2:9" ht="67.5" x14ac:dyDescent="0.2">
      <c r="B148" s="35" t="str">
        <f t="shared" si="0"/>
        <v>2026-065-0</v>
      </c>
      <c r="C148" s="36">
        <v>2026</v>
      </c>
      <c r="D148" s="37" t="s">
        <v>67</v>
      </c>
      <c r="E148" s="36">
        <v>0</v>
      </c>
      <c r="F148" s="38" t="s">
        <v>2230</v>
      </c>
      <c r="G148" s="36"/>
      <c r="H148" s="39"/>
      <c r="I148" s="40"/>
    </row>
    <row r="149" spans="2:9" x14ac:dyDescent="0.2">
      <c r="B149" s="23" t="str">
        <f t="shared" si="0"/>
        <v>2026-065-1</v>
      </c>
      <c r="C149" s="24">
        <v>2026</v>
      </c>
      <c r="D149" s="25" t="s">
        <v>67</v>
      </c>
      <c r="E149" s="24">
        <v>1</v>
      </c>
      <c r="F149" s="26" t="s">
        <v>2166</v>
      </c>
      <c r="G149" s="24"/>
      <c r="H149" s="27"/>
      <c r="I149" s="28"/>
    </row>
    <row r="150" spans="2:9" x14ac:dyDescent="0.2">
      <c r="B150" s="23" t="str">
        <f t="shared" si="0"/>
        <v>2026-065-2</v>
      </c>
      <c r="C150" s="24">
        <v>2026</v>
      </c>
      <c r="D150" s="25" t="s">
        <v>67</v>
      </c>
      <c r="E150" s="24">
        <v>2</v>
      </c>
      <c r="F150" s="26" t="s">
        <v>2231</v>
      </c>
      <c r="G150" s="24"/>
      <c r="H150" s="27"/>
      <c r="I150" s="28"/>
    </row>
    <row r="151" spans="2:9" x14ac:dyDescent="0.2">
      <c r="B151" s="23" t="str">
        <f t="shared" si="0"/>
        <v>2026-065-3</v>
      </c>
      <c r="C151" s="24">
        <v>2026</v>
      </c>
      <c r="D151" s="25" t="s">
        <v>67</v>
      </c>
      <c r="E151" s="24">
        <v>3</v>
      </c>
      <c r="F151" s="26" t="s">
        <v>2290</v>
      </c>
      <c r="G151" s="24"/>
      <c r="H151" s="27"/>
      <c r="I151" s="28"/>
    </row>
    <row r="152" spans="2:9" x14ac:dyDescent="0.2">
      <c r="B152" s="23" t="str">
        <f t="shared" si="0"/>
        <v>2026-065-4</v>
      </c>
      <c r="C152" s="24">
        <v>2026</v>
      </c>
      <c r="D152" s="25" t="s">
        <v>67</v>
      </c>
      <c r="E152" s="24">
        <v>4</v>
      </c>
      <c r="F152" s="26" t="s">
        <v>2353</v>
      </c>
      <c r="G152" s="24"/>
      <c r="H152" s="27"/>
      <c r="I152" s="28"/>
    </row>
    <row r="153" spans="2:9" x14ac:dyDescent="0.2">
      <c r="B153" s="29" t="str">
        <f t="shared" si="0"/>
        <v>2026-065-5</v>
      </c>
      <c r="C153" s="30">
        <v>2026</v>
      </c>
      <c r="D153" s="31" t="s">
        <v>67</v>
      </c>
      <c r="E153" s="30">
        <v>5</v>
      </c>
      <c r="F153" s="32" t="s">
        <v>2415</v>
      </c>
      <c r="G153" s="30" t="s">
        <v>3076</v>
      </c>
      <c r="H153" s="33"/>
      <c r="I153" s="34"/>
    </row>
    <row r="154" spans="2:9" x14ac:dyDescent="0.2">
      <c r="B154" s="35" t="str">
        <f t="shared" si="0"/>
        <v>2026-066-0</v>
      </c>
      <c r="C154" s="36">
        <v>2026</v>
      </c>
      <c r="D154" s="37" t="s">
        <v>68</v>
      </c>
      <c r="E154" s="36">
        <v>0</v>
      </c>
      <c r="F154" s="38" t="s">
        <v>2097</v>
      </c>
      <c r="G154" s="36"/>
      <c r="H154" s="39"/>
      <c r="I154" s="40"/>
    </row>
    <row r="155" spans="2:9" x14ac:dyDescent="0.2">
      <c r="B155" s="23" t="str">
        <f t="shared" si="0"/>
        <v>2026-066-1</v>
      </c>
      <c r="C155" s="24">
        <v>2026</v>
      </c>
      <c r="D155" s="25" t="s">
        <v>68</v>
      </c>
      <c r="E155" s="24">
        <v>1</v>
      </c>
      <c r="F155" s="26" t="s">
        <v>2167</v>
      </c>
      <c r="G155" s="24" t="s">
        <v>3076</v>
      </c>
      <c r="H155" s="27"/>
      <c r="I155" s="28"/>
    </row>
    <row r="156" spans="2:9" x14ac:dyDescent="0.2">
      <c r="B156" s="23" t="str">
        <f t="shared" si="0"/>
        <v>2026-066-2</v>
      </c>
      <c r="C156" s="24">
        <v>2026</v>
      </c>
      <c r="D156" s="25" t="s">
        <v>68</v>
      </c>
      <c r="E156" s="24">
        <v>2</v>
      </c>
      <c r="F156" s="26" t="s">
        <v>2232</v>
      </c>
      <c r="G156" s="24"/>
      <c r="H156" s="27"/>
      <c r="I156" s="28"/>
    </row>
    <row r="157" spans="2:9" x14ac:dyDescent="0.2">
      <c r="B157" s="23" t="str">
        <f t="shared" si="0"/>
        <v>2026-066-3</v>
      </c>
      <c r="C157" s="24">
        <v>2026</v>
      </c>
      <c r="D157" s="25" t="s">
        <v>68</v>
      </c>
      <c r="E157" s="24">
        <v>3</v>
      </c>
      <c r="F157" s="26" t="s">
        <v>2291</v>
      </c>
      <c r="G157" s="24"/>
      <c r="H157" s="27"/>
      <c r="I157" s="28"/>
    </row>
    <row r="158" spans="2:9" x14ac:dyDescent="0.2">
      <c r="B158" s="23" t="str">
        <f t="shared" si="0"/>
        <v>2026-066-4</v>
      </c>
      <c r="C158" s="24">
        <v>2026</v>
      </c>
      <c r="D158" s="25" t="s">
        <v>68</v>
      </c>
      <c r="E158" s="24">
        <v>4</v>
      </c>
      <c r="F158" s="26" t="s">
        <v>2354</v>
      </c>
      <c r="G158" s="24"/>
      <c r="H158" s="27"/>
      <c r="I158" s="28"/>
    </row>
    <row r="159" spans="2:9" ht="27" x14ac:dyDescent="0.2">
      <c r="B159" s="29" t="str">
        <f t="shared" si="0"/>
        <v>2026-066-5</v>
      </c>
      <c r="C159" s="30">
        <v>2026</v>
      </c>
      <c r="D159" s="31" t="s">
        <v>68</v>
      </c>
      <c r="E159" s="30">
        <v>5</v>
      </c>
      <c r="F159" s="32" t="s">
        <v>2416</v>
      </c>
      <c r="G159" s="30"/>
      <c r="H159" s="33"/>
      <c r="I159" s="34"/>
    </row>
    <row r="160" spans="2:9" ht="54" x14ac:dyDescent="0.2">
      <c r="B160" s="35" t="str">
        <f t="shared" si="0"/>
        <v>2026-067-0</v>
      </c>
      <c r="C160" s="36">
        <v>2026</v>
      </c>
      <c r="D160" s="37" t="s">
        <v>69</v>
      </c>
      <c r="E160" s="36">
        <v>0</v>
      </c>
      <c r="F160" s="38" t="s">
        <v>2168</v>
      </c>
      <c r="G160" s="36"/>
      <c r="H160" s="39"/>
      <c r="I160" s="40"/>
    </row>
    <row r="161" spans="2:9" x14ac:dyDescent="0.2">
      <c r="B161" s="23" t="str">
        <f t="shared" si="0"/>
        <v>2026-067-1</v>
      </c>
      <c r="C161" s="24">
        <v>2026</v>
      </c>
      <c r="D161" s="25" t="s">
        <v>69</v>
      </c>
      <c r="E161" s="24">
        <v>1</v>
      </c>
      <c r="F161" s="26" t="s">
        <v>2169</v>
      </c>
      <c r="G161" s="24"/>
      <c r="H161" s="27"/>
      <c r="I161" s="28"/>
    </row>
    <row r="162" spans="2:9" x14ac:dyDescent="0.2">
      <c r="B162" s="23" t="str">
        <f t="shared" si="0"/>
        <v>2026-067-2</v>
      </c>
      <c r="C162" s="24">
        <v>2026</v>
      </c>
      <c r="D162" s="25" t="s">
        <v>69</v>
      </c>
      <c r="E162" s="24">
        <v>2</v>
      </c>
      <c r="F162" s="26" t="s">
        <v>2233</v>
      </c>
      <c r="G162" s="24"/>
      <c r="H162" s="27"/>
      <c r="I162" s="28"/>
    </row>
    <row r="163" spans="2:9" x14ac:dyDescent="0.2">
      <c r="B163" s="23" t="str">
        <f t="shared" si="0"/>
        <v>2026-067-3</v>
      </c>
      <c r="C163" s="24">
        <v>2026</v>
      </c>
      <c r="D163" s="25" t="s">
        <v>69</v>
      </c>
      <c r="E163" s="24">
        <v>3</v>
      </c>
      <c r="F163" s="26" t="s">
        <v>2292</v>
      </c>
      <c r="G163" s="24"/>
      <c r="H163" s="27"/>
      <c r="I163" s="28"/>
    </row>
    <row r="164" spans="2:9" x14ac:dyDescent="0.2">
      <c r="B164" s="23" t="str">
        <f t="shared" si="0"/>
        <v>2026-067-4</v>
      </c>
      <c r="C164" s="24">
        <v>2026</v>
      </c>
      <c r="D164" s="25" t="s">
        <v>69</v>
      </c>
      <c r="E164" s="24">
        <v>4</v>
      </c>
      <c r="F164" s="26" t="s">
        <v>2355</v>
      </c>
      <c r="G164" s="24"/>
      <c r="H164" s="27"/>
      <c r="I164" s="28"/>
    </row>
    <row r="165" spans="2:9" x14ac:dyDescent="0.2">
      <c r="B165" s="29" t="str">
        <f t="shared" si="0"/>
        <v>2026-067-5</v>
      </c>
      <c r="C165" s="30">
        <v>2026</v>
      </c>
      <c r="D165" s="31" t="s">
        <v>69</v>
      </c>
      <c r="E165" s="30">
        <v>5</v>
      </c>
      <c r="F165" s="32" t="s">
        <v>2417</v>
      </c>
      <c r="G165" s="30" t="s">
        <v>3076</v>
      </c>
      <c r="H165" s="33"/>
      <c r="I165" s="34"/>
    </row>
    <row r="166" spans="2:9" ht="94.5" x14ac:dyDescent="0.2">
      <c r="B166" s="35" t="str">
        <f t="shared" si="0"/>
        <v>2026-068-0</v>
      </c>
      <c r="C166" s="36">
        <v>2026</v>
      </c>
      <c r="D166" s="37" t="s">
        <v>70</v>
      </c>
      <c r="E166" s="36">
        <v>0</v>
      </c>
      <c r="F166" s="38" t="s">
        <v>2170</v>
      </c>
      <c r="G166" s="36"/>
      <c r="H166" s="39"/>
      <c r="I166" s="40"/>
    </row>
    <row r="167" spans="2:9" x14ac:dyDescent="0.2">
      <c r="B167" s="23" t="str">
        <f t="shared" si="0"/>
        <v>2026-068-1</v>
      </c>
      <c r="C167" s="24">
        <v>2026</v>
      </c>
      <c r="D167" s="25" t="s">
        <v>70</v>
      </c>
      <c r="E167" s="24">
        <v>1</v>
      </c>
      <c r="F167" s="26" t="s">
        <v>2171</v>
      </c>
      <c r="G167" s="24"/>
      <c r="H167" s="27"/>
      <c r="I167" s="28"/>
    </row>
    <row r="168" spans="2:9" x14ac:dyDescent="0.2">
      <c r="B168" s="23" t="str">
        <f t="shared" si="0"/>
        <v>2026-068-2</v>
      </c>
      <c r="C168" s="24">
        <v>2026</v>
      </c>
      <c r="D168" s="25" t="s">
        <v>70</v>
      </c>
      <c r="E168" s="24">
        <v>2</v>
      </c>
      <c r="F168" s="26" t="s">
        <v>2234</v>
      </c>
      <c r="G168" s="24"/>
      <c r="H168" s="27"/>
      <c r="I168" s="28"/>
    </row>
    <row r="169" spans="2:9" x14ac:dyDescent="0.2">
      <c r="B169" s="23" t="str">
        <f t="shared" si="0"/>
        <v>2026-068-3</v>
      </c>
      <c r="C169" s="24">
        <v>2026</v>
      </c>
      <c r="D169" s="25" t="s">
        <v>70</v>
      </c>
      <c r="E169" s="24">
        <v>3</v>
      </c>
      <c r="F169" s="26" t="s">
        <v>2293</v>
      </c>
      <c r="G169" s="24"/>
      <c r="H169" s="27"/>
      <c r="I169" s="28"/>
    </row>
    <row r="170" spans="2:9" x14ac:dyDescent="0.2">
      <c r="B170" s="23" t="str">
        <f t="shared" si="0"/>
        <v>2026-068-4</v>
      </c>
      <c r="C170" s="24">
        <v>2026</v>
      </c>
      <c r="D170" s="25" t="s">
        <v>70</v>
      </c>
      <c r="E170" s="24">
        <v>4</v>
      </c>
      <c r="F170" s="26" t="s">
        <v>2356</v>
      </c>
      <c r="G170" s="24"/>
      <c r="H170" s="27"/>
      <c r="I170" s="28"/>
    </row>
    <row r="171" spans="2:9" x14ac:dyDescent="0.2">
      <c r="B171" s="29" t="str">
        <f t="shared" si="0"/>
        <v>2026-068-5</v>
      </c>
      <c r="C171" s="30">
        <v>2026</v>
      </c>
      <c r="D171" s="31" t="s">
        <v>70</v>
      </c>
      <c r="E171" s="30">
        <v>5</v>
      </c>
      <c r="F171" s="32" t="s">
        <v>2418</v>
      </c>
      <c r="G171" s="30" t="s">
        <v>3076</v>
      </c>
      <c r="H171" s="33"/>
      <c r="I171" s="34"/>
    </row>
    <row r="172" spans="2:9" ht="67.5" x14ac:dyDescent="0.2">
      <c r="B172" s="35" t="str">
        <f t="shared" si="0"/>
        <v>2026-069-0</v>
      </c>
      <c r="C172" s="36">
        <v>2026</v>
      </c>
      <c r="D172" s="37" t="s">
        <v>71</v>
      </c>
      <c r="E172" s="36">
        <v>0</v>
      </c>
      <c r="F172" s="38" t="s">
        <v>2098</v>
      </c>
      <c r="G172" s="36"/>
      <c r="H172" s="39"/>
      <c r="I172" s="40"/>
    </row>
    <row r="173" spans="2:9" x14ac:dyDescent="0.2">
      <c r="B173" s="23" t="str">
        <f t="shared" si="0"/>
        <v>2026-069-1</v>
      </c>
      <c r="C173" s="24">
        <v>2026</v>
      </c>
      <c r="D173" s="25" t="s">
        <v>71</v>
      </c>
      <c r="E173" s="24">
        <v>1</v>
      </c>
      <c r="F173" s="26" t="s">
        <v>2172</v>
      </c>
      <c r="G173" s="24"/>
      <c r="H173" s="27"/>
      <c r="I173" s="28"/>
    </row>
    <row r="174" spans="2:9" x14ac:dyDescent="0.2">
      <c r="B174" s="23" t="str">
        <f t="shared" si="0"/>
        <v>2026-069-2</v>
      </c>
      <c r="C174" s="24">
        <v>2026</v>
      </c>
      <c r="D174" s="25" t="s">
        <v>71</v>
      </c>
      <c r="E174" s="24">
        <v>2</v>
      </c>
      <c r="F174" s="26" t="s">
        <v>7</v>
      </c>
      <c r="G174" s="24"/>
      <c r="H174" s="27"/>
      <c r="I174" s="28"/>
    </row>
    <row r="175" spans="2:9" x14ac:dyDescent="0.2">
      <c r="B175" s="23" t="str">
        <f t="shared" si="0"/>
        <v>2026-069-3</v>
      </c>
      <c r="C175" s="24">
        <v>2026</v>
      </c>
      <c r="D175" s="25" t="s">
        <v>71</v>
      </c>
      <c r="E175" s="24">
        <v>3</v>
      </c>
      <c r="F175" s="26" t="s">
        <v>14</v>
      </c>
      <c r="G175" s="24"/>
      <c r="H175" s="27"/>
      <c r="I175" s="28"/>
    </row>
    <row r="176" spans="2:9" x14ac:dyDescent="0.2">
      <c r="B176" s="23" t="str">
        <f t="shared" si="0"/>
        <v>2026-069-4</v>
      </c>
      <c r="C176" s="24">
        <v>2026</v>
      </c>
      <c r="D176" s="25" t="s">
        <v>71</v>
      </c>
      <c r="E176" s="24">
        <v>4</v>
      </c>
      <c r="F176" s="26" t="s">
        <v>18</v>
      </c>
      <c r="G176" s="24" t="s">
        <v>3076</v>
      </c>
      <c r="H176" s="27"/>
      <c r="I176" s="28"/>
    </row>
    <row r="177" spans="2:9" x14ac:dyDescent="0.2">
      <c r="B177" s="29" t="str">
        <f t="shared" si="0"/>
        <v>2026-069-5</v>
      </c>
      <c r="C177" s="30">
        <v>2026</v>
      </c>
      <c r="D177" s="31" t="s">
        <v>71</v>
      </c>
      <c r="E177" s="30">
        <v>5</v>
      </c>
      <c r="F177" s="32" t="s">
        <v>20</v>
      </c>
      <c r="G177" s="30"/>
      <c r="H177" s="33"/>
      <c r="I177" s="34"/>
    </row>
    <row r="178" spans="2:9" ht="27" x14ac:dyDescent="0.2">
      <c r="B178" s="35" t="str">
        <f t="shared" si="0"/>
        <v>2026-070-0</v>
      </c>
      <c r="C178" s="36">
        <v>2026</v>
      </c>
      <c r="D178" s="37" t="s">
        <v>72</v>
      </c>
      <c r="E178" s="36">
        <v>0</v>
      </c>
      <c r="F178" s="38" t="s">
        <v>2099</v>
      </c>
      <c r="G178" s="36"/>
      <c r="H178" s="39"/>
      <c r="I178" s="40"/>
    </row>
    <row r="179" spans="2:9" ht="27" x14ac:dyDescent="0.2">
      <c r="B179" s="23" t="str">
        <f t="shared" si="0"/>
        <v>2026-070-1</v>
      </c>
      <c r="C179" s="24">
        <v>2026</v>
      </c>
      <c r="D179" s="25" t="s">
        <v>72</v>
      </c>
      <c r="E179" s="24">
        <v>1</v>
      </c>
      <c r="F179" s="26" t="s">
        <v>2173</v>
      </c>
      <c r="G179" s="24"/>
      <c r="H179" s="27"/>
      <c r="I179" s="28"/>
    </row>
    <row r="180" spans="2:9" x14ac:dyDescent="0.2">
      <c r="B180" s="23" t="str">
        <f t="shared" si="0"/>
        <v>2026-070-2</v>
      </c>
      <c r="C180" s="24">
        <v>2026</v>
      </c>
      <c r="D180" s="25" t="s">
        <v>72</v>
      </c>
      <c r="E180" s="24">
        <v>2</v>
      </c>
      <c r="F180" s="26" t="s">
        <v>2235</v>
      </c>
      <c r="G180" s="24"/>
      <c r="H180" s="27"/>
      <c r="I180" s="28"/>
    </row>
    <row r="181" spans="2:9" ht="27" x14ac:dyDescent="0.2">
      <c r="B181" s="23" t="str">
        <f t="shared" si="0"/>
        <v>2026-070-3</v>
      </c>
      <c r="C181" s="24">
        <v>2026</v>
      </c>
      <c r="D181" s="25" t="s">
        <v>72</v>
      </c>
      <c r="E181" s="24">
        <v>3</v>
      </c>
      <c r="F181" s="26" t="s">
        <v>2294</v>
      </c>
      <c r="G181" s="24" t="s">
        <v>3076</v>
      </c>
      <c r="H181" s="27"/>
      <c r="I181" s="28"/>
    </row>
    <row r="182" spans="2:9" ht="27" x14ac:dyDescent="0.2">
      <c r="B182" s="23" t="str">
        <f t="shared" si="0"/>
        <v>2026-070-4</v>
      </c>
      <c r="C182" s="24">
        <v>2026</v>
      </c>
      <c r="D182" s="25" t="s">
        <v>72</v>
      </c>
      <c r="E182" s="24">
        <v>4</v>
      </c>
      <c r="F182" s="26" t="s">
        <v>2357</v>
      </c>
      <c r="G182" s="24"/>
      <c r="H182" s="27"/>
      <c r="I182" s="28"/>
    </row>
    <row r="183" spans="2:9" x14ac:dyDescent="0.2">
      <c r="B183" s="29" t="str">
        <f t="shared" si="0"/>
        <v>2026-070-5</v>
      </c>
      <c r="C183" s="30">
        <v>2026</v>
      </c>
      <c r="D183" s="31" t="s">
        <v>72</v>
      </c>
      <c r="E183" s="30">
        <v>5</v>
      </c>
      <c r="F183" s="32" t="s">
        <v>2419</v>
      </c>
      <c r="G183" s="30"/>
      <c r="H183" s="33"/>
      <c r="I183" s="34"/>
    </row>
    <row r="184" spans="2:9" ht="67.5" x14ac:dyDescent="0.2">
      <c r="B184" s="35" t="str">
        <f t="shared" si="0"/>
        <v>2026-071-0</v>
      </c>
      <c r="C184" s="36">
        <v>2026</v>
      </c>
      <c r="D184" s="37" t="s">
        <v>73</v>
      </c>
      <c r="E184" s="36">
        <v>0</v>
      </c>
      <c r="F184" s="38" t="s">
        <v>2100</v>
      </c>
      <c r="G184" s="36"/>
      <c r="H184" s="39"/>
      <c r="I184" s="40"/>
    </row>
    <row r="185" spans="2:9" x14ac:dyDescent="0.2">
      <c r="B185" s="23" t="str">
        <f t="shared" si="0"/>
        <v>2026-071-1</v>
      </c>
      <c r="C185" s="24">
        <v>2026</v>
      </c>
      <c r="D185" s="25" t="s">
        <v>73</v>
      </c>
      <c r="E185" s="24">
        <v>1</v>
      </c>
      <c r="F185" s="26" t="s">
        <v>2172</v>
      </c>
      <c r="G185" s="24"/>
      <c r="H185" s="27"/>
      <c r="I185" s="28"/>
    </row>
    <row r="186" spans="2:9" x14ac:dyDescent="0.2">
      <c r="B186" s="23" t="str">
        <f t="shared" si="0"/>
        <v>2026-071-2</v>
      </c>
      <c r="C186" s="24">
        <v>2026</v>
      </c>
      <c r="D186" s="25" t="s">
        <v>73</v>
      </c>
      <c r="E186" s="24">
        <v>2</v>
      </c>
      <c r="F186" s="26" t="s">
        <v>7</v>
      </c>
      <c r="G186" s="24"/>
      <c r="H186" s="27"/>
      <c r="I186" s="28"/>
    </row>
    <row r="187" spans="2:9" x14ac:dyDescent="0.2">
      <c r="B187" s="23" t="str">
        <f t="shared" si="0"/>
        <v>2026-071-3</v>
      </c>
      <c r="C187" s="24">
        <v>2026</v>
      </c>
      <c r="D187" s="25" t="s">
        <v>73</v>
      </c>
      <c r="E187" s="24">
        <v>3</v>
      </c>
      <c r="F187" s="26" t="s">
        <v>14</v>
      </c>
      <c r="G187" s="24"/>
      <c r="H187" s="27"/>
      <c r="I187" s="28"/>
    </row>
    <row r="188" spans="2:9" x14ac:dyDescent="0.2">
      <c r="B188" s="23" t="str">
        <f t="shared" si="0"/>
        <v>2026-071-4</v>
      </c>
      <c r="C188" s="24">
        <v>2026</v>
      </c>
      <c r="D188" s="25" t="s">
        <v>73</v>
      </c>
      <c r="E188" s="24">
        <v>4</v>
      </c>
      <c r="F188" s="26" t="s">
        <v>18</v>
      </c>
      <c r="G188" s="24"/>
      <c r="H188" s="27"/>
      <c r="I188" s="28"/>
    </row>
    <row r="189" spans="2:9" x14ac:dyDescent="0.2">
      <c r="B189" s="29" t="str">
        <f t="shared" si="0"/>
        <v>2026-071-5</v>
      </c>
      <c r="C189" s="30">
        <v>2026</v>
      </c>
      <c r="D189" s="31" t="s">
        <v>73</v>
      </c>
      <c r="E189" s="30">
        <v>5</v>
      </c>
      <c r="F189" s="32" t="s">
        <v>20</v>
      </c>
      <c r="G189" s="30" t="s">
        <v>3076</v>
      </c>
      <c r="H189" s="33"/>
      <c r="I189" s="34"/>
    </row>
    <row r="190" spans="2:9" ht="81" x14ac:dyDescent="0.2">
      <c r="B190" s="35" t="str">
        <f t="shared" si="0"/>
        <v>2026-072-0</v>
      </c>
      <c r="C190" s="36">
        <v>2026</v>
      </c>
      <c r="D190" s="37" t="s">
        <v>74</v>
      </c>
      <c r="E190" s="36">
        <v>0</v>
      </c>
      <c r="F190" s="38" t="s">
        <v>3052</v>
      </c>
      <c r="G190" s="36"/>
      <c r="H190" s="39"/>
      <c r="I190" s="40"/>
    </row>
    <row r="191" spans="2:9" x14ac:dyDescent="0.2">
      <c r="B191" s="23" t="str">
        <f t="shared" ref="B191:B254" si="1">C191&amp;"-"&amp;D191&amp;"-"&amp;E191</f>
        <v>2026-072-1</v>
      </c>
      <c r="C191" s="24">
        <v>2026</v>
      </c>
      <c r="D191" s="25" t="s">
        <v>74</v>
      </c>
      <c r="E191" s="24">
        <v>1</v>
      </c>
      <c r="F191" s="26" t="s">
        <v>2174</v>
      </c>
      <c r="G191" s="24"/>
      <c r="H191" s="27"/>
      <c r="I191" s="28"/>
    </row>
    <row r="192" spans="2:9" x14ac:dyDescent="0.2">
      <c r="B192" s="23" t="str">
        <f t="shared" si="1"/>
        <v>2026-072-2</v>
      </c>
      <c r="C192" s="24">
        <v>2026</v>
      </c>
      <c r="D192" s="25" t="s">
        <v>74</v>
      </c>
      <c r="E192" s="24">
        <v>2</v>
      </c>
      <c r="F192" s="26" t="s">
        <v>2236</v>
      </c>
      <c r="G192" s="24" t="s">
        <v>3076</v>
      </c>
      <c r="H192" s="27"/>
      <c r="I192" s="28"/>
    </row>
    <row r="193" spans="2:9" x14ac:dyDescent="0.2">
      <c r="B193" s="23" t="str">
        <f t="shared" si="1"/>
        <v>2026-072-3</v>
      </c>
      <c r="C193" s="24">
        <v>2026</v>
      </c>
      <c r="D193" s="25" t="s">
        <v>74</v>
      </c>
      <c r="E193" s="24">
        <v>3</v>
      </c>
      <c r="F193" s="26" t="s">
        <v>2295</v>
      </c>
      <c r="G193" s="24"/>
      <c r="H193" s="27"/>
      <c r="I193" s="28"/>
    </row>
    <row r="194" spans="2:9" x14ac:dyDescent="0.2">
      <c r="B194" s="23" t="str">
        <f t="shared" si="1"/>
        <v>2026-072-4</v>
      </c>
      <c r="C194" s="24">
        <v>2026</v>
      </c>
      <c r="D194" s="25" t="s">
        <v>74</v>
      </c>
      <c r="E194" s="24">
        <v>4</v>
      </c>
      <c r="F194" s="26" t="s">
        <v>2358</v>
      </c>
      <c r="G194" s="24"/>
      <c r="H194" s="27"/>
      <c r="I194" s="28"/>
    </row>
    <row r="195" spans="2:9" x14ac:dyDescent="0.2">
      <c r="B195" s="29" t="str">
        <f t="shared" si="1"/>
        <v>2026-072-5</v>
      </c>
      <c r="C195" s="30">
        <v>2026</v>
      </c>
      <c r="D195" s="31" t="s">
        <v>74</v>
      </c>
      <c r="E195" s="30">
        <v>5</v>
      </c>
      <c r="F195" s="32" t="s">
        <v>2420</v>
      </c>
      <c r="G195" s="30"/>
      <c r="H195" s="33"/>
      <c r="I195" s="34"/>
    </row>
    <row r="196" spans="2:9" x14ac:dyDescent="0.2">
      <c r="B196" s="35" t="str">
        <f t="shared" si="1"/>
        <v>2026-073-0</v>
      </c>
      <c r="C196" s="36">
        <v>2026</v>
      </c>
      <c r="D196" s="37" t="s">
        <v>75</v>
      </c>
      <c r="E196" s="36">
        <v>0</v>
      </c>
      <c r="F196" s="38" t="s">
        <v>2101</v>
      </c>
      <c r="G196" s="36"/>
      <c r="H196" s="39"/>
      <c r="I196" s="40"/>
    </row>
    <row r="197" spans="2:9" x14ac:dyDescent="0.2">
      <c r="B197" s="23" t="str">
        <f t="shared" si="1"/>
        <v>2026-073-1</v>
      </c>
      <c r="C197" s="24">
        <v>2026</v>
      </c>
      <c r="D197" s="25" t="s">
        <v>75</v>
      </c>
      <c r="E197" s="24">
        <v>1</v>
      </c>
      <c r="F197" s="26" t="s">
        <v>3053</v>
      </c>
      <c r="G197" s="24"/>
      <c r="H197" s="27"/>
      <c r="I197" s="28"/>
    </row>
    <row r="198" spans="2:9" x14ac:dyDescent="0.2">
      <c r="B198" s="23" t="str">
        <f t="shared" si="1"/>
        <v>2026-073-2</v>
      </c>
      <c r="C198" s="24">
        <v>2026</v>
      </c>
      <c r="D198" s="25" t="s">
        <v>75</v>
      </c>
      <c r="E198" s="24">
        <v>2</v>
      </c>
      <c r="F198" s="26" t="s">
        <v>2237</v>
      </c>
      <c r="G198" s="24"/>
      <c r="H198" s="27"/>
      <c r="I198" s="28"/>
    </row>
    <row r="199" spans="2:9" x14ac:dyDescent="0.2">
      <c r="B199" s="23" t="str">
        <f t="shared" si="1"/>
        <v>2026-073-3</v>
      </c>
      <c r="C199" s="24">
        <v>2026</v>
      </c>
      <c r="D199" s="25" t="s">
        <v>75</v>
      </c>
      <c r="E199" s="24">
        <v>3</v>
      </c>
      <c r="F199" s="26" t="s">
        <v>2296</v>
      </c>
      <c r="G199" s="24" t="s">
        <v>3076</v>
      </c>
      <c r="H199" s="27"/>
      <c r="I199" s="28"/>
    </row>
    <row r="200" spans="2:9" x14ac:dyDescent="0.2">
      <c r="B200" s="23" t="str">
        <f t="shared" si="1"/>
        <v>2026-073-4</v>
      </c>
      <c r="C200" s="24">
        <v>2026</v>
      </c>
      <c r="D200" s="25" t="s">
        <v>75</v>
      </c>
      <c r="E200" s="24">
        <v>4</v>
      </c>
      <c r="F200" s="26" t="s">
        <v>2359</v>
      </c>
      <c r="G200" s="24"/>
      <c r="H200" s="27"/>
      <c r="I200" s="28"/>
    </row>
    <row r="201" spans="2:9" ht="27" x14ac:dyDescent="0.2">
      <c r="B201" s="29" t="str">
        <f t="shared" si="1"/>
        <v>2026-073-5</v>
      </c>
      <c r="C201" s="30">
        <v>2026</v>
      </c>
      <c r="D201" s="31" t="s">
        <v>75</v>
      </c>
      <c r="E201" s="30">
        <v>5</v>
      </c>
      <c r="F201" s="32" t="s">
        <v>2421</v>
      </c>
      <c r="G201" s="30"/>
      <c r="H201" s="33"/>
      <c r="I201" s="34"/>
    </row>
    <row r="202" spans="2:9" x14ac:dyDescent="0.2">
      <c r="B202" s="35" t="str">
        <f t="shared" si="1"/>
        <v>2026-074-0</v>
      </c>
      <c r="C202" s="36">
        <v>2026</v>
      </c>
      <c r="D202" s="37" t="s">
        <v>76</v>
      </c>
      <c r="E202" s="36">
        <v>0</v>
      </c>
      <c r="F202" s="38" t="s">
        <v>2102</v>
      </c>
      <c r="G202" s="36"/>
      <c r="H202" s="39"/>
      <c r="I202" s="40"/>
    </row>
    <row r="203" spans="2:9" x14ac:dyDescent="0.2">
      <c r="B203" s="23" t="str">
        <f t="shared" si="1"/>
        <v>2026-074-1</v>
      </c>
      <c r="C203" s="24">
        <v>2026</v>
      </c>
      <c r="D203" s="25" t="s">
        <v>76</v>
      </c>
      <c r="E203" s="24">
        <v>1</v>
      </c>
      <c r="F203" s="26" t="s">
        <v>2175</v>
      </c>
      <c r="G203" s="24"/>
      <c r="H203" s="27"/>
      <c r="I203" s="28"/>
    </row>
    <row r="204" spans="2:9" x14ac:dyDescent="0.2">
      <c r="B204" s="23" t="str">
        <f t="shared" si="1"/>
        <v>2026-074-2</v>
      </c>
      <c r="C204" s="24">
        <v>2026</v>
      </c>
      <c r="D204" s="25" t="s">
        <v>76</v>
      </c>
      <c r="E204" s="24">
        <v>2</v>
      </c>
      <c r="F204" s="26" t="s">
        <v>1103</v>
      </c>
      <c r="G204" s="24"/>
      <c r="H204" s="27"/>
      <c r="I204" s="28"/>
    </row>
    <row r="205" spans="2:9" x14ac:dyDescent="0.2">
      <c r="B205" s="23" t="str">
        <f t="shared" si="1"/>
        <v>2026-074-3</v>
      </c>
      <c r="C205" s="24">
        <v>2026</v>
      </c>
      <c r="D205" s="25" t="s">
        <v>76</v>
      </c>
      <c r="E205" s="24">
        <v>3</v>
      </c>
      <c r="F205" s="26" t="s">
        <v>2297</v>
      </c>
      <c r="G205" s="24" t="s">
        <v>3076</v>
      </c>
      <c r="H205" s="27"/>
      <c r="I205" s="28"/>
    </row>
    <row r="206" spans="2:9" x14ac:dyDescent="0.2">
      <c r="B206" s="23" t="str">
        <f t="shared" si="1"/>
        <v>2026-074-4</v>
      </c>
      <c r="C206" s="24">
        <v>2026</v>
      </c>
      <c r="D206" s="25" t="s">
        <v>76</v>
      </c>
      <c r="E206" s="24">
        <v>4</v>
      </c>
      <c r="F206" s="26" t="s">
        <v>2360</v>
      </c>
      <c r="G206" s="24"/>
      <c r="H206" s="27"/>
      <c r="I206" s="28"/>
    </row>
    <row r="207" spans="2:9" x14ac:dyDescent="0.2">
      <c r="B207" s="29" t="str">
        <f t="shared" si="1"/>
        <v>2026-074-5</v>
      </c>
      <c r="C207" s="30">
        <v>2026</v>
      </c>
      <c r="D207" s="31" t="s">
        <v>76</v>
      </c>
      <c r="E207" s="30">
        <v>5</v>
      </c>
      <c r="F207" s="32" t="s">
        <v>2422</v>
      </c>
      <c r="G207" s="30"/>
      <c r="H207" s="33"/>
      <c r="I207" s="34"/>
    </row>
    <row r="208" spans="2:9" x14ac:dyDescent="0.2">
      <c r="B208" s="35" t="str">
        <f t="shared" si="1"/>
        <v>2026-075-0</v>
      </c>
      <c r="C208" s="36">
        <v>2026</v>
      </c>
      <c r="D208" s="37" t="s">
        <v>77</v>
      </c>
      <c r="E208" s="36">
        <v>0</v>
      </c>
      <c r="F208" s="38" t="s">
        <v>2103</v>
      </c>
      <c r="G208" s="36"/>
      <c r="H208" s="39"/>
      <c r="I208" s="40"/>
    </row>
    <row r="209" spans="2:9" ht="27" x14ac:dyDescent="0.2">
      <c r="B209" s="23" t="str">
        <f t="shared" si="1"/>
        <v>2026-075-1</v>
      </c>
      <c r="C209" s="24">
        <v>2026</v>
      </c>
      <c r="D209" s="25" t="s">
        <v>77</v>
      </c>
      <c r="E209" s="24">
        <v>1</v>
      </c>
      <c r="F209" s="26" t="s">
        <v>2238</v>
      </c>
      <c r="G209" s="24"/>
      <c r="H209" s="27"/>
      <c r="I209" s="28"/>
    </row>
    <row r="210" spans="2:9" ht="27" x14ac:dyDescent="0.2">
      <c r="B210" s="23" t="str">
        <f t="shared" si="1"/>
        <v>2026-075-2</v>
      </c>
      <c r="C210" s="24">
        <v>2026</v>
      </c>
      <c r="D210" s="25" t="s">
        <v>77</v>
      </c>
      <c r="E210" s="24">
        <v>2</v>
      </c>
      <c r="F210" s="26" t="s">
        <v>2239</v>
      </c>
      <c r="G210" s="24" t="s">
        <v>3076</v>
      </c>
      <c r="H210" s="27"/>
      <c r="I210" s="28"/>
    </row>
    <row r="211" spans="2:9" ht="27" x14ac:dyDescent="0.2">
      <c r="B211" s="23" t="str">
        <f t="shared" si="1"/>
        <v>2026-075-3</v>
      </c>
      <c r="C211" s="24">
        <v>2026</v>
      </c>
      <c r="D211" s="25" t="s">
        <v>77</v>
      </c>
      <c r="E211" s="24">
        <v>3</v>
      </c>
      <c r="F211" s="26" t="s">
        <v>2298</v>
      </c>
      <c r="G211" s="24"/>
      <c r="H211" s="27"/>
      <c r="I211" s="28"/>
    </row>
    <row r="212" spans="2:9" ht="27" x14ac:dyDescent="0.2">
      <c r="B212" s="23" t="str">
        <f t="shared" si="1"/>
        <v>2026-075-4</v>
      </c>
      <c r="C212" s="24">
        <v>2026</v>
      </c>
      <c r="D212" s="25" t="s">
        <v>77</v>
      </c>
      <c r="E212" s="24">
        <v>4</v>
      </c>
      <c r="F212" s="26" t="s">
        <v>2361</v>
      </c>
      <c r="G212" s="24"/>
      <c r="H212" s="27"/>
      <c r="I212" s="28"/>
    </row>
    <row r="213" spans="2:9" ht="27" x14ac:dyDescent="0.2">
      <c r="B213" s="29" t="str">
        <f t="shared" si="1"/>
        <v>2026-075-5</v>
      </c>
      <c r="C213" s="30">
        <v>2026</v>
      </c>
      <c r="D213" s="31" t="s">
        <v>77</v>
      </c>
      <c r="E213" s="30">
        <v>5</v>
      </c>
      <c r="F213" s="32" t="s">
        <v>2423</v>
      </c>
      <c r="G213" s="30"/>
      <c r="H213" s="33"/>
      <c r="I213" s="34"/>
    </row>
    <row r="214" spans="2:9" x14ac:dyDescent="0.2">
      <c r="B214" s="35" t="str">
        <f t="shared" si="1"/>
        <v>2026-076-0</v>
      </c>
      <c r="C214" s="36">
        <v>2026</v>
      </c>
      <c r="D214" s="37" t="s">
        <v>78</v>
      </c>
      <c r="E214" s="36">
        <v>0</v>
      </c>
      <c r="F214" s="38" t="s">
        <v>2104</v>
      </c>
      <c r="G214" s="36"/>
      <c r="H214" s="39"/>
      <c r="I214" s="40"/>
    </row>
    <row r="215" spans="2:9" x14ac:dyDescent="0.2">
      <c r="B215" s="23" t="str">
        <f t="shared" si="1"/>
        <v>2026-076-1</v>
      </c>
      <c r="C215" s="24">
        <v>2026</v>
      </c>
      <c r="D215" s="25" t="s">
        <v>78</v>
      </c>
      <c r="E215" s="24">
        <v>1</v>
      </c>
      <c r="F215" s="26" t="s">
        <v>2176</v>
      </c>
      <c r="G215" s="24" t="s">
        <v>3076</v>
      </c>
      <c r="H215" s="27"/>
      <c r="I215" s="28"/>
    </row>
    <row r="216" spans="2:9" ht="27" x14ac:dyDescent="0.2">
      <c r="B216" s="23" t="str">
        <f t="shared" si="1"/>
        <v>2026-076-2</v>
      </c>
      <c r="C216" s="24">
        <v>2026</v>
      </c>
      <c r="D216" s="25" t="s">
        <v>78</v>
      </c>
      <c r="E216" s="24">
        <v>2</v>
      </c>
      <c r="F216" s="26" t="s">
        <v>2240</v>
      </c>
      <c r="G216" s="24"/>
      <c r="H216" s="27"/>
      <c r="I216" s="28"/>
    </row>
    <row r="217" spans="2:9" x14ac:dyDescent="0.2">
      <c r="B217" s="23" t="str">
        <f t="shared" si="1"/>
        <v>2026-076-3</v>
      </c>
      <c r="C217" s="24">
        <v>2026</v>
      </c>
      <c r="D217" s="25" t="s">
        <v>78</v>
      </c>
      <c r="E217" s="24">
        <v>3</v>
      </c>
      <c r="F217" s="26" t="s">
        <v>2299</v>
      </c>
      <c r="G217" s="24"/>
      <c r="H217" s="27"/>
      <c r="I217" s="28"/>
    </row>
    <row r="218" spans="2:9" x14ac:dyDescent="0.2">
      <c r="B218" s="23" t="str">
        <f t="shared" si="1"/>
        <v>2026-076-4</v>
      </c>
      <c r="C218" s="24">
        <v>2026</v>
      </c>
      <c r="D218" s="25" t="s">
        <v>78</v>
      </c>
      <c r="E218" s="24">
        <v>4</v>
      </c>
      <c r="F218" s="26" t="s">
        <v>2362</v>
      </c>
      <c r="G218" s="24"/>
      <c r="H218" s="27"/>
      <c r="I218" s="28"/>
    </row>
    <row r="219" spans="2:9" ht="27" x14ac:dyDescent="0.2">
      <c r="B219" s="29" t="str">
        <f t="shared" si="1"/>
        <v>2026-076-5</v>
      </c>
      <c r="C219" s="30">
        <v>2026</v>
      </c>
      <c r="D219" s="31" t="s">
        <v>78</v>
      </c>
      <c r="E219" s="30">
        <v>5</v>
      </c>
      <c r="F219" s="32" t="s">
        <v>2424</v>
      </c>
      <c r="G219" s="30"/>
      <c r="H219" s="33"/>
      <c r="I219" s="34"/>
    </row>
    <row r="220" spans="2:9" x14ac:dyDescent="0.2">
      <c r="B220" s="35" t="str">
        <f t="shared" si="1"/>
        <v>2026-077-0</v>
      </c>
      <c r="C220" s="36">
        <v>2026</v>
      </c>
      <c r="D220" s="37" t="s">
        <v>79</v>
      </c>
      <c r="E220" s="36">
        <v>0</v>
      </c>
      <c r="F220" s="38" t="s">
        <v>2105</v>
      </c>
      <c r="G220" s="36"/>
      <c r="H220" s="39"/>
      <c r="I220" s="40"/>
    </row>
    <row r="221" spans="2:9" ht="27" x14ac:dyDescent="0.2">
      <c r="B221" s="23" t="str">
        <f t="shared" si="1"/>
        <v>2026-077-1</v>
      </c>
      <c r="C221" s="24">
        <v>2026</v>
      </c>
      <c r="D221" s="25" t="s">
        <v>79</v>
      </c>
      <c r="E221" s="24">
        <v>1</v>
      </c>
      <c r="F221" s="26" t="s">
        <v>2177</v>
      </c>
      <c r="G221" s="24"/>
      <c r="H221" s="27"/>
      <c r="I221" s="28"/>
    </row>
    <row r="222" spans="2:9" x14ac:dyDescent="0.2">
      <c r="B222" s="23" t="str">
        <f t="shared" si="1"/>
        <v>2026-077-2</v>
      </c>
      <c r="C222" s="24">
        <v>2026</v>
      </c>
      <c r="D222" s="25" t="s">
        <v>79</v>
      </c>
      <c r="E222" s="24">
        <v>2</v>
      </c>
      <c r="F222" s="26" t="s">
        <v>2241</v>
      </c>
      <c r="G222" s="24"/>
      <c r="H222" s="27"/>
      <c r="I222" s="28"/>
    </row>
    <row r="223" spans="2:9" ht="27" x14ac:dyDescent="0.2">
      <c r="B223" s="23" t="str">
        <f t="shared" si="1"/>
        <v>2026-077-3</v>
      </c>
      <c r="C223" s="24">
        <v>2026</v>
      </c>
      <c r="D223" s="25" t="s">
        <v>79</v>
      </c>
      <c r="E223" s="24">
        <v>3</v>
      </c>
      <c r="F223" s="26" t="s">
        <v>2300</v>
      </c>
      <c r="G223" s="24" t="s">
        <v>3076</v>
      </c>
      <c r="H223" s="27"/>
      <c r="I223" s="28"/>
    </row>
    <row r="224" spans="2:9" x14ac:dyDescent="0.2">
      <c r="B224" s="23" t="str">
        <f t="shared" si="1"/>
        <v>2026-077-4</v>
      </c>
      <c r="C224" s="24">
        <v>2026</v>
      </c>
      <c r="D224" s="25" t="s">
        <v>79</v>
      </c>
      <c r="E224" s="24">
        <v>4</v>
      </c>
      <c r="F224" s="26" t="s">
        <v>2363</v>
      </c>
      <c r="G224" s="24"/>
      <c r="H224" s="27"/>
      <c r="I224" s="28"/>
    </row>
    <row r="225" spans="2:9" ht="27" x14ac:dyDescent="0.2">
      <c r="B225" s="29" t="str">
        <f t="shared" si="1"/>
        <v>2026-077-5</v>
      </c>
      <c r="C225" s="30">
        <v>2026</v>
      </c>
      <c r="D225" s="31" t="s">
        <v>79</v>
      </c>
      <c r="E225" s="30">
        <v>5</v>
      </c>
      <c r="F225" s="32" t="s">
        <v>2425</v>
      </c>
      <c r="G225" s="30"/>
      <c r="H225" s="33"/>
      <c r="I225" s="34"/>
    </row>
    <row r="226" spans="2:9" ht="94.5" x14ac:dyDescent="0.2">
      <c r="B226" s="35" t="str">
        <f t="shared" si="1"/>
        <v>2026-078-0</v>
      </c>
      <c r="C226" s="36">
        <v>2026</v>
      </c>
      <c r="D226" s="37" t="s">
        <v>80</v>
      </c>
      <c r="E226" s="36">
        <v>0</v>
      </c>
      <c r="F226" s="38" t="s">
        <v>2106</v>
      </c>
      <c r="G226" s="36"/>
      <c r="H226" s="39"/>
      <c r="I226" s="40"/>
    </row>
    <row r="227" spans="2:9" x14ac:dyDescent="0.2">
      <c r="B227" s="23" t="str">
        <f t="shared" si="1"/>
        <v>2026-078-1</v>
      </c>
      <c r="C227" s="24">
        <v>2026</v>
      </c>
      <c r="D227" s="25" t="s">
        <v>80</v>
      </c>
      <c r="E227" s="24">
        <v>1</v>
      </c>
      <c r="F227" s="26" t="s">
        <v>15</v>
      </c>
      <c r="G227" s="24"/>
      <c r="H227" s="27"/>
      <c r="I227" s="28"/>
    </row>
    <row r="228" spans="2:9" x14ac:dyDescent="0.2">
      <c r="B228" s="23" t="str">
        <f t="shared" si="1"/>
        <v>2026-078-2</v>
      </c>
      <c r="C228" s="24">
        <v>2026</v>
      </c>
      <c r="D228" s="25" t="s">
        <v>80</v>
      </c>
      <c r="E228" s="24">
        <v>2</v>
      </c>
      <c r="F228" s="26" t="s">
        <v>16</v>
      </c>
      <c r="G228" s="24"/>
      <c r="H228" s="27"/>
      <c r="I228" s="28"/>
    </row>
    <row r="229" spans="2:9" x14ac:dyDescent="0.2">
      <c r="B229" s="23" t="str">
        <f t="shared" si="1"/>
        <v>2026-078-3</v>
      </c>
      <c r="C229" s="24">
        <v>2026</v>
      </c>
      <c r="D229" s="25" t="s">
        <v>80</v>
      </c>
      <c r="E229" s="24">
        <v>3</v>
      </c>
      <c r="F229" s="26" t="s">
        <v>11</v>
      </c>
      <c r="G229" s="24"/>
      <c r="H229" s="27"/>
      <c r="I229" s="28"/>
    </row>
    <row r="230" spans="2:9" x14ac:dyDescent="0.2">
      <c r="B230" s="23" t="str">
        <f t="shared" si="1"/>
        <v>2026-078-4</v>
      </c>
      <c r="C230" s="24">
        <v>2026</v>
      </c>
      <c r="D230" s="25" t="s">
        <v>80</v>
      </c>
      <c r="E230" s="24">
        <v>4</v>
      </c>
      <c r="F230" s="26" t="s">
        <v>19</v>
      </c>
      <c r="G230" s="24"/>
      <c r="H230" s="27"/>
      <c r="I230" s="28"/>
    </row>
    <row r="231" spans="2:9" x14ac:dyDescent="0.2">
      <c r="B231" s="29" t="str">
        <f t="shared" si="1"/>
        <v>2026-078-5</v>
      </c>
      <c r="C231" s="30">
        <v>2026</v>
      </c>
      <c r="D231" s="31" t="s">
        <v>80</v>
      </c>
      <c r="E231" s="30">
        <v>5</v>
      </c>
      <c r="F231" s="32" t="s">
        <v>21</v>
      </c>
      <c r="G231" s="30" t="s">
        <v>3076</v>
      </c>
      <c r="H231" s="33"/>
      <c r="I231" s="34"/>
    </row>
    <row r="232" spans="2:9" ht="27" x14ac:dyDescent="0.2">
      <c r="B232" s="35" t="str">
        <f t="shared" si="1"/>
        <v>2026-079-0</v>
      </c>
      <c r="C232" s="36">
        <v>2026</v>
      </c>
      <c r="D232" s="37" t="s">
        <v>81</v>
      </c>
      <c r="E232" s="36">
        <v>0</v>
      </c>
      <c r="F232" s="38" t="s">
        <v>2107</v>
      </c>
      <c r="G232" s="36"/>
      <c r="H232" s="39"/>
      <c r="I232" s="40"/>
    </row>
    <row r="233" spans="2:9" x14ac:dyDescent="0.2">
      <c r="B233" s="23" t="str">
        <f t="shared" si="1"/>
        <v>2026-079-1</v>
      </c>
      <c r="C233" s="24">
        <v>2026</v>
      </c>
      <c r="D233" s="25" t="s">
        <v>81</v>
      </c>
      <c r="E233" s="24">
        <v>1</v>
      </c>
      <c r="F233" s="26" t="s">
        <v>2178</v>
      </c>
      <c r="G233" s="24"/>
      <c r="H233" s="27"/>
      <c r="I233" s="28"/>
    </row>
    <row r="234" spans="2:9" x14ac:dyDescent="0.2">
      <c r="B234" s="23" t="str">
        <f t="shared" si="1"/>
        <v>2026-079-2</v>
      </c>
      <c r="C234" s="24">
        <v>2026</v>
      </c>
      <c r="D234" s="25" t="s">
        <v>81</v>
      </c>
      <c r="E234" s="24">
        <v>2</v>
      </c>
      <c r="F234" s="26" t="s">
        <v>2242</v>
      </c>
      <c r="G234" s="24" t="s">
        <v>3076</v>
      </c>
      <c r="H234" s="27"/>
      <c r="I234" s="28"/>
    </row>
    <row r="235" spans="2:9" x14ac:dyDescent="0.2">
      <c r="B235" s="23" t="str">
        <f t="shared" si="1"/>
        <v>2026-079-3</v>
      </c>
      <c r="C235" s="24">
        <v>2026</v>
      </c>
      <c r="D235" s="25" t="s">
        <v>81</v>
      </c>
      <c r="E235" s="24">
        <v>3</v>
      </c>
      <c r="F235" s="26" t="s">
        <v>2301</v>
      </c>
      <c r="G235" s="24"/>
      <c r="H235" s="27"/>
      <c r="I235" s="28"/>
    </row>
    <row r="236" spans="2:9" x14ac:dyDescent="0.2">
      <c r="B236" s="23" t="str">
        <f t="shared" si="1"/>
        <v>2026-079-4</v>
      </c>
      <c r="C236" s="24">
        <v>2026</v>
      </c>
      <c r="D236" s="25" t="s">
        <v>81</v>
      </c>
      <c r="E236" s="24">
        <v>4</v>
      </c>
      <c r="F236" s="26" t="s">
        <v>2364</v>
      </c>
      <c r="G236" s="24"/>
      <c r="H236" s="27"/>
      <c r="I236" s="28"/>
    </row>
    <row r="237" spans="2:9" x14ac:dyDescent="0.2">
      <c r="B237" s="29" t="str">
        <f t="shared" si="1"/>
        <v>2026-079-5</v>
      </c>
      <c r="C237" s="30">
        <v>2026</v>
      </c>
      <c r="D237" s="31" t="s">
        <v>81</v>
      </c>
      <c r="E237" s="30">
        <v>5</v>
      </c>
      <c r="F237" s="32" t="s">
        <v>2426</v>
      </c>
      <c r="G237" s="30"/>
      <c r="H237" s="33"/>
      <c r="I237" s="34"/>
    </row>
    <row r="238" spans="2:9" ht="81" x14ac:dyDescent="0.2">
      <c r="B238" s="35" t="str">
        <f t="shared" si="1"/>
        <v>2026-080-0</v>
      </c>
      <c r="C238" s="36">
        <v>2026</v>
      </c>
      <c r="D238" s="37" t="s">
        <v>82</v>
      </c>
      <c r="E238" s="36">
        <v>0</v>
      </c>
      <c r="F238" s="38" t="s">
        <v>3054</v>
      </c>
      <c r="G238" s="36"/>
      <c r="H238" s="39"/>
      <c r="I238" s="40"/>
    </row>
    <row r="239" spans="2:9" x14ac:dyDescent="0.2">
      <c r="B239" s="23" t="str">
        <f t="shared" si="1"/>
        <v>2026-080-1</v>
      </c>
      <c r="C239" s="24">
        <v>2026</v>
      </c>
      <c r="D239" s="25" t="s">
        <v>82</v>
      </c>
      <c r="E239" s="24">
        <v>1</v>
      </c>
      <c r="F239" s="26" t="s">
        <v>2179</v>
      </c>
      <c r="G239" s="24"/>
      <c r="H239" s="27"/>
      <c r="I239" s="28"/>
    </row>
    <row r="240" spans="2:9" x14ac:dyDescent="0.2">
      <c r="B240" s="23" t="str">
        <f t="shared" si="1"/>
        <v>2026-080-2</v>
      </c>
      <c r="C240" s="24">
        <v>2026</v>
      </c>
      <c r="D240" s="25" t="s">
        <v>82</v>
      </c>
      <c r="E240" s="24">
        <v>2</v>
      </c>
      <c r="F240" s="26" t="s">
        <v>2243</v>
      </c>
      <c r="G240" s="24"/>
      <c r="H240" s="27"/>
      <c r="I240" s="28"/>
    </row>
    <row r="241" spans="2:9" x14ac:dyDescent="0.2">
      <c r="B241" s="23" t="str">
        <f t="shared" si="1"/>
        <v>2026-080-3</v>
      </c>
      <c r="C241" s="24">
        <v>2026</v>
      </c>
      <c r="D241" s="25" t="s">
        <v>82</v>
      </c>
      <c r="E241" s="24">
        <v>3</v>
      </c>
      <c r="F241" s="26" t="s">
        <v>2302</v>
      </c>
      <c r="G241" s="24"/>
      <c r="H241" s="27"/>
      <c r="I241" s="28"/>
    </row>
    <row r="242" spans="2:9" x14ac:dyDescent="0.2">
      <c r="B242" s="23" t="str">
        <f t="shared" si="1"/>
        <v>2026-080-4</v>
      </c>
      <c r="C242" s="24">
        <v>2026</v>
      </c>
      <c r="D242" s="25" t="s">
        <v>82</v>
      </c>
      <c r="E242" s="24">
        <v>4</v>
      </c>
      <c r="F242" s="26" t="s">
        <v>2365</v>
      </c>
      <c r="G242" s="24" t="s">
        <v>3076</v>
      </c>
      <c r="H242" s="27"/>
      <c r="I242" s="28"/>
    </row>
    <row r="243" spans="2:9" ht="14.25" thickBot="1" x14ac:dyDescent="0.25">
      <c r="B243" s="41" t="str">
        <f t="shared" si="1"/>
        <v>2026-080-5</v>
      </c>
      <c r="C243" s="42">
        <v>2026</v>
      </c>
      <c r="D243" s="43" t="s">
        <v>82</v>
      </c>
      <c r="E243" s="42">
        <v>5</v>
      </c>
      <c r="F243" s="44" t="s">
        <v>2427</v>
      </c>
      <c r="G243" s="42"/>
      <c r="H243" s="45"/>
      <c r="I243" s="46"/>
    </row>
    <row r="244" spans="2:9" x14ac:dyDescent="0.2">
      <c r="B244" s="16" t="str">
        <f t="shared" si="1"/>
        <v>2025-041-0</v>
      </c>
      <c r="C244" s="17">
        <v>2025</v>
      </c>
      <c r="D244" s="47" t="s">
        <v>43</v>
      </c>
      <c r="E244" s="17">
        <v>0</v>
      </c>
      <c r="F244" s="20" t="s">
        <v>2108</v>
      </c>
      <c r="G244" s="17"/>
      <c r="H244" s="21"/>
      <c r="I244" s="22"/>
    </row>
    <row r="245" spans="2:9" x14ac:dyDescent="0.2">
      <c r="B245" s="23" t="str">
        <f t="shared" si="1"/>
        <v>2025-041-1</v>
      </c>
      <c r="C245" s="24">
        <v>2025</v>
      </c>
      <c r="D245" s="25" t="s">
        <v>43</v>
      </c>
      <c r="E245" s="24">
        <v>1</v>
      </c>
      <c r="F245" s="26" t="s">
        <v>2180</v>
      </c>
      <c r="G245" s="24" t="s">
        <v>2735</v>
      </c>
      <c r="H245" s="27"/>
      <c r="I245" s="28"/>
    </row>
    <row r="246" spans="2:9" x14ac:dyDescent="0.2">
      <c r="B246" s="23" t="str">
        <f t="shared" si="1"/>
        <v>2025-041-2</v>
      </c>
      <c r="C246" s="24">
        <v>2025</v>
      </c>
      <c r="D246" s="25" t="s">
        <v>43</v>
      </c>
      <c r="E246" s="24">
        <v>2</v>
      </c>
      <c r="F246" s="26" t="s">
        <v>2244</v>
      </c>
      <c r="G246" s="24"/>
      <c r="H246" s="27"/>
      <c r="I246" s="28"/>
    </row>
    <row r="247" spans="2:9" x14ac:dyDescent="0.2">
      <c r="B247" s="23" t="str">
        <f t="shared" si="1"/>
        <v>2025-041-3</v>
      </c>
      <c r="C247" s="24">
        <v>2025</v>
      </c>
      <c r="D247" s="25" t="s">
        <v>43</v>
      </c>
      <c r="E247" s="24">
        <v>3</v>
      </c>
      <c r="F247" s="26" t="s">
        <v>2303</v>
      </c>
      <c r="G247" s="24"/>
      <c r="H247" s="27"/>
      <c r="I247" s="28"/>
    </row>
    <row r="248" spans="2:9" ht="27" x14ac:dyDescent="0.2">
      <c r="B248" s="23" t="str">
        <f t="shared" si="1"/>
        <v>2025-041-4</v>
      </c>
      <c r="C248" s="24">
        <v>2025</v>
      </c>
      <c r="D248" s="25" t="s">
        <v>43</v>
      </c>
      <c r="E248" s="24">
        <v>4</v>
      </c>
      <c r="F248" s="26" t="s">
        <v>2366</v>
      </c>
      <c r="G248" s="24"/>
      <c r="H248" s="27"/>
      <c r="I248" s="28"/>
    </row>
    <row r="249" spans="2:9" x14ac:dyDescent="0.2">
      <c r="B249" s="29" t="str">
        <f t="shared" si="1"/>
        <v>2025-041-5</v>
      </c>
      <c r="C249" s="30">
        <v>2025</v>
      </c>
      <c r="D249" s="31" t="s">
        <v>43</v>
      </c>
      <c r="E249" s="30">
        <v>5</v>
      </c>
      <c r="F249" s="32" t="s">
        <v>2428</v>
      </c>
      <c r="G249" s="30"/>
      <c r="H249" s="33"/>
      <c r="I249" s="34"/>
    </row>
    <row r="250" spans="2:9" x14ac:dyDescent="0.2">
      <c r="B250" s="35" t="str">
        <f t="shared" si="1"/>
        <v>2025-042-0</v>
      </c>
      <c r="C250" s="36">
        <v>2025</v>
      </c>
      <c r="D250" s="37" t="s">
        <v>44</v>
      </c>
      <c r="E250" s="36">
        <v>0</v>
      </c>
      <c r="F250" s="38" t="s">
        <v>2109</v>
      </c>
      <c r="G250" s="36"/>
      <c r="H250" s="39"/>
      <c r="I250" s="40"/>
    </row>
    <row r="251" spans="2:9" x14ac:dyDescent="0.2">
      <c r="B251" s="23" t="str">
        <f t="shared" si="1"/>
        <v>2025-042-1</v>
      </c>
      <c r="C251" s="24">
        <v>2025</v>
      </c>
      <c r="D251" s="25" t="s">
        <v>44</v>
      </c>
      <c r="E251" s="24">
        <v>1</v>
      </c>
      <c r="F251" s="26" t="s">
        <v>2181</v>
      </c>
      <c r="G251" s="24"/>
      <c r="H251" s="27"/>
      <c r="I251" s="28"/>
    </row>
    <row r="252" spans="2:9" x14ac:dyDescent="0.2">
      <c r="B252" s="23" t="str">
        <f t="shared" si="1"/>
        <v>2025-042-2</v>
      </c>
      <c r="C252" s="24">
        <v>2025</v>
      </c>
      <c r="D252" s="25" t="s">
        <v>44</v>
      </c>
      <c r="E252" s="24">
        <v>2</v>
      </c>
      <c r="F252" s="26" t="s">
        <v>2245</v>
      </c>
      <c r="G252" s="24"/>
      <c r="H252" s="27"/>
      <c r="I252" s="28"/>
    </row>
    <row r="253" spans="2:9" x14ac:dyDescent="0.2">
      <c r="B253" s="23" t="str">
        <f t="shared" si="1"/>
        <v>2025-042-3</v>
      </c>
      <c r="C253" s="24">
        <v>2025</v>
      </c>
      <c r="D253" s="25" t="s">
        <v>44</v>
      </c>
      <c r="E253" s="24">
        <v>3</v>
      </c>
      <c r="F253" s="26" t="s">
        <v>2304</v>
      </c>
      <c r="G253" s="24"/>
      <c r="H253" s="27"/>
      <c r="I253" s="28"/>
    </row>
    <row r="254" spans="2:9" x14ac:dyDescent="0.2">
      <c r="B254" s="23" t="str">
        <f t="shared" si="1"/>
        <v>2025-042-4</v>
      </c>
      <c r="C254" s="24">
        <v>2025</v>
      </c>
      <c r="D254" s="25" t="s">
        <v>44</v>
      </c>
      <c r="E254" s="24">
        <v>4</v>
      </c>
      <c r="F254" s="26" t="s">
        <v>2367</v>
      </c>
      <c r="G254" s="24"/>
      <c r="H254" s="27"/>
      <c r="I254" s="28"/>
    </row>
    <row r="255" spans="2:9" x14ac:dyDescent="0.2">
      <c r="B255" s="29" t="str">
        <f t="shared" ref="B255:B318" si="2">C255&amp;"-"&amp;D255&amp;"-"&amp;E255</f>
        <v>2025-042-5</v>
      </c>
      <c r="C255" s="30">
        <v>2025</v>
      </c>
      <c r="D255" s="31" t="s">
        <v>44</v>
      </c>
      <c r="E255" s="30">
        <v>5</v>
      </c>
      <c r="F255" s="32" t="s">
        <v>2429</v>
      </c>
      <c r="G255" s="30" t="s">
        <v>2735</v>
      </c>
      <c r="H255" s="33"/>
      <c r="I255" s="34"/>
    </row>
    <row r="256" spans="2:9" x14ac:dyDescent="0.2">
      <c r="B256" s="35" t="str">
        <f t="shared" si="2"/>
        <v>2025-043-0</v>
      </c>
      <c r="C256" s="36">
        <v>2025</v>
      </c>
      <c r="D256" s="37" t="s">
        <v>45</v>
      </c>
      <c r="E256" s="36">
        <v>0</v>
      </c>
      <c r="F256" s="38" t="s">
        <v>2110</v>
      </c>
      <c r="G256" s="36"/>
      <c r="H256" s="39"/>
      <c r="I256" s="40"/>
    </row>
    <row r="257" spans="2:9" x14ac:dyDescent="0.2">
      <c r="B257" s="23" t="str">
        <f t="shared" si="2"/>
        <v>2025-043-1</v>
      </c>
      <c r="C257" s="24">
        <v>2025</v>
      </c>
      <c r="D257" s="25" t="s">
        <v>45</v>
      </c>
      <c r="E257" s="24">
        <v>1</v>
      </c>
      <c r="F257" s="26" t="s">
        <v>2182</v>
      </c>
      <c r="G257" s="24"/>
      <c r="H257" s="27"/>
      <c r="I257" s="28"/>
    </row>
    <row r="258" spans="2:9" ht="27" x14ac:dyDescent="0.2">
      <c r="B258" s="23" t="str">
        <f t="shared" si="2"/>
        <v>2025-043-2</v>
      </c>
      <c r="C258" s="24">
        <v>2025</v>
      </c>
      <c r="D258" s="25" t="s">
        <v>45</v>
      </c>
      <c r="E258" s="24">
        <v>2</v>
      </c>
      <c r="F258" s="26" t="s">
        <v>2246</v>
      </c>
      <c r="G258" s="24"/>
      <c r="H258" s="27"/>
      <c r="I258" s="28"/>
    </row>
    <row r="259" spans="2:9" x14ac:dyDescent="0.2">
      <c r="B259" s="23" t="str">
        <f t="shared" si="2"/>
        <v>2025-043-3</v>
      </c>
      <c r="C259" s="24">
        <v>2025</v>
      </c>
      <c r="D259" s="25" t="s">
        <v>45</v>
      </c>
      <c r="E259" s="24">
        <v>3</v>
      </c>
      <c r="F259" s="26" t="s">
        <v>2305</v>
      </c>
      <c r="G259" s="24" t="s">
        <v>2735</v>
      </c>
      <c r="H259" s="27"/>
      <c r="I259" s="28"/>
    </row>
    <row r="260" spans="2:9" x14ac:dyDescent="0.2">
      <c r="B260" s="23" t="str">
        <f t="shared" si="2"/>
        <v>2025-043-4</v>
      </c>
      <c r="C260" s="24">
        <v>2025</v>
      </c>
      <c r="D260" s="25" t="s">
        <v>45</v>
      </c>
      <c r="E260" s="24">
        <v>4</v>
      </c>
      <c r="F260" s="26" t="s">
        <v>2368</v>
      </c>
      <c r="G260" s="24"/>
      <c r="H260" s="27"/>
      <c r="I260" s="28"/>
    </row>
    <row r="261" spans="2:9" ht="27" x14ac:dyDescent="0.2">
      <c r="B261" s="29" t="str">
        <f t="shared" si="2"/>
        <v>2025-043-5</v>
      </c>
      <c r="C261" s="30">
        <v>2025</v>
      </c>
      <c r="D261" s="31" t="s">
        <v>45</v>
      </c>
      <c r="E261" s="30">
        <v>5</v>
      </c>
      <c r="F261" s="32" t="s">
        <v>3055</v>
      </c>
      <c r="G261" s="30"/>
      <c r="H261" s="33"/>
      <c r="I261" s="34"/>
    </row>
    <row r="262" spans="2:9" ht="81" x14ac:dyDescent="0.2">
      <c r="B262" s="35" t="str">
        <f t="shared" si="2"/>
        <v>2025-044-0</v>
      </c>
      <c r="C262" s="36">
        <v>2025</v>
      </c>
      <c r="D262" s="37" t="s">
        <v>46</v>
      </c>
      <c r="E262" s="36">
        <v>0</v>
      </c>
      <c r="F262" s="38" t="s">
        <v>2111</v>
      </c>
      <c r="G262" s="36"/>
      <c r="H262" s="39"/>
      <c r="I262" s="40"/>
    </row>
    <row r="263" spans="2:9" x14ac:dyDescent="0.2">
      <c r="B263" s="23" t="str">
        <f t="shared" si="2"/>
        <v>2025-044-1</v>
      </c>
      <c r="C263" s="24">
        <v>2025</v>
      </c>
      <c r="D263" s="25" t="s">
        <v>46</v>
      </c>
      <c r="E263" s="24">
        <v>1</v>
      </c>
      <c r="F263" s="26" t="s">
        <v>7</v>
      </c>
      <c r="G263" s="24"/>
      <c r="H263" s="27"/>
      <c r="I263" s="28"/>
    </row>
    <row r="264" spans="2:9" x14ac:dyDescent="0.2">
      <c r="B264" s="23" t="str">
        <f t="shared" si="2"/>
        <v>2025-044-2</v>
      </c>
      <c r="C264" s="24">
        <v>2025</v>
      </c>
      <c r="D264" s="25" t="s">
        <v>46</v>
      </c>
      <c r="E264" s="24">
        <v>2</v>
      </c>
      <c r="F264" s="26" t="s">
        <v>14</v>
      </c>
      <c r="G264" s="24"/>
      <c r="H264" s="27"/>
      <c r="I264" s="28"/>
    </row>
    <row r="265" spans="2:9" x14ac:dyDescent="0.2">
      <c r="B265" s="23" t="str">
        <f t="shared" si="2"/>
        <v>2025-044-3</v>
      </c>
      <c r="C265" s="24">
        <v>2025</v>
      </c>
      <c r="D265" s="25" t="s">
        <v>46</v>
      </c>
      <c r="E265" s="24">
        <v>3</v>
      </c>
      <c r="F265" s="26" t="s">
        <v>18</v>
      </c>
      <c r="G265" s="24"/>
      <c r="H265" s="27"/>
      <c r="I265" s="28"/>
    </row>
    <row r="266" spans="2:9" x14ac:dyDescent="0.2">
      <c r="B266" s="23" t="str">
        <f t="shared" si="2"/>
        <v>2025-044-4</v>
      </c>
      <c r="C266" s="24">
        <v>2025</v>
      </c>
      <c r="D266" s="25" t="s">
        <v>46</v>
      </c>
      <c r="E266" s="24">
        <v>4</v>
      </c>
      <c r="F266" s="26" t="s">
        <v>20</v>
      </c>
      <c r="G266" s="24"/>
      <c r="H266" s="27"/>
      <c r="I266" s="28"/>
    </row>
    <row r="267" spans="2:9" x14ac:dyDescent="0.2">
      <c r="B267" s="29" t="str">
        <f t="shared" si="2"/>
        <v>2025-044-5</v>
      </c>
      <c r="C267" s="30">
        <v>2025</v>
      </c>
      <c r="D267" s="31" t="s">
        <v>46</v>
      </c>
      <c r="E267" s="30">
        <v>5</v>
      </c>
      <c r="F267" s="32" t="s">
        <v>22</v>
      </c>
      <c r="G267" s="30" t="s">
        <v>2735</v>
      </c>
      <c r="H267" s="33"/>
      <c r="I267" s="34"/>
    </row>
    <row r="268" spans="2:9" x14ac:dyDescent="0.2">
      <c r="B268" s="35" t="str">
        <f t="shared" si="2"/>
        <v>2025-045-0</v>
      </c>
      <c r="C268" s="36">
        <v>2025</v>
      </c>
      <c r="D268" s="37" t="s">
        <v>47</v>
      </c>
      <c r="E268" s="36">
        <v>0</v>
      </c>
      <c r="F268" s="38" t="s">
        <v>2112</v>
      </c>
      <c r="G268" s="36"/>
      <c r="H268" s="39"/>
      <c r="I268" s="40"/>
    </row>
    <row r="269" spans="2:9" x14ac:dyDescent="0.2">
      <c r="B269" s="23" t="str">
        <f t="shared" si="2"/>
        <v>2025-045-1</v>
      </c>
      <c r="C269" s="24">
        <v>2025</v>
      </c>
      <c r="D269" s="25" t="s">
        <v>47</v>
      </c>
      <c r="E269" s="24">
        <v>1</v>
      </c>
      <c r="F269" s="26" t="s">
        <v>2183</v>
      </c>
      <c r="G269" s="24"/>
      <c r="H269" s="27"/>
      <c r="I269" s="28"/>
    </row>
    <row r="270" spans="2:9" ht="27" x14ac:dyDescent="0.2">
      <c r="B270" s="23" t="str">
        <f t="shared" si="2"/>
        <v>2025-045-2</v>
      </c>
      <c r="C270" s="24">
        <v>2025</v>
      </c>
      <c r="D270" s="25" t="s">
        <v>47</v>
      </c>
      <c r="E270" s="24">
        <v>2</v>
      </c>
      <c r="F270" s="26" t="s">
        <v>2247</v>
      </c>
      <c r="G270" s="24"/>
      <c r="H270" s="27"/>
      <c r="I270" s="28"/>
    </row>
    <row r="271" spans="2:9" ht="27" x14ac:dyDescent="0.2">
      <c r="B271" s="23" t="str">
        <f t="shared" si="2"/>
        <v>2025-045-3</v>
      </c>
      <c r="C271" s="24">
        <v>2025</v>
      </c>
      <c r="D271" s="25" t="s">
        <v>47</v>
      </c>
      <c r="E271" s="24">
        <v>3</v>
      </c>
      <c r="F271" s="26" t="s">
        <v>2306</v>
      </c>
      <c r="G271" s="24"/>
      <c r="H271" s="27"/>
      <c r="I271" s="28"/>
    </row>
    <row r="272" spans="2:9" x14ac:dyDescent="0.2">
      <c r="B272" s="23" t="str">
        <f t="shared" si="2"/>
        <v>2025-045-4</v>
      </c>
      <c r="C272" s="24">
        <v>2025</v>
      </c>
      <c r="D272" s="25" t="s">
        <v>47</v>
      </c>
      <c r="E272" s="24">
        <v>4</v>
      </c>
      <c r="F272" s="26" t="s">
        <v>2455</v>
      </c>
      <c r="G272" s="24"/>
      <c r="H272" s="27"/>
      <c r="I272" s="28"/>
    </row>
    <row r="273" spans="2:9" x14ac:dyDescent="0.2">
      <c r="B273" s="29" t="str">
        <f t="shared" si="2"/>
        <v>2025-045-5</v>
      </c>
      <c r="C273" s="30">
        <v>2025</v>
      </c>
      <c r="D273" s="31" t="s">
        <v>47</v>
      </c>
      <c r="E273" s="30">
        <v>5</v>
      </c>
      <c r="F273" s="32" t="s">
        <v>2430</v>
      </c>
      <c r="G273" s="30" t="s">
        <v>2735</v>
      </c>
      <c r="H273" s="33"/>
      <c r="I273" s="34"/>
    </row>
    <row r="274" spans="2:9" x14ac:dyDescent="0.2">
      <c r="B274" s="35" t="str">
        <f t="shared" si="2"/>
        <v>2025-046-0</v>
      </c>
      <c r="C274" s="36">
        <v>2025</v>
      </c>
      <c r="D274" s="37" t="s">
        <v>48</v>
      </c>
      <c r="E274" s="36">
        <v>0</v>
      </c>
      <c r="F274" s="38" t="s">
        <v>2113</v>
      </c>
      <c r="G274" s="36"/>
      <c r="H274" s="39"/>
      <c r="I274" s="40"/>
    </row>
    <row r="275" spans="2:9" x14ac:dyDescent="0.2">
      <c r="B275" s="23" t="str">
        <f t="shared" si="2"/>
        <v>2025-046-1</v>
      </c>
      <c r="C275" s="24">
        <v>2025</v>
      </c>
      <c r="D275" s="25" t="s">
        <v>48</v>
      </c>
      <c r="E275" s="24">
        <v>1</v>
      </c>
      <c r="F275" s="26" t="s">
        <v>2456</v>
      </c>
      <c r="G275" s="24"/>
      <c r="H275" s="27"/>
      <c r="I275" s="28"/>
    </row>
    <row r="276" spans="2:9" ht="27" x14ac:dyDescent="0.2">
      <c r="B276" s="23" t="str">
        <f t="shared" si="2"/>
        <v>2025-046-2</v>
      </c>
      <c r="C276" s="24">
        <v>2025</v>
      </c>
      <c r="D276" s="25" t="s">
        <v>48</v>
      </c>
      <c r="E276" s="24">
        <v>2</v>
      </c>
      <c r="F276" s="26" t="s">
        <v>2248</v>
      </c>
      <c r="G276" s="24"/>
      <c r="H276" s="27"/>
      <c r="I276" s="28"/>
    </row>
    <row r="277" spans="2:9" ht="27" x14ac:dyDescent="0.2">
      <c r="B277" s="23" t="str">
        <f t="shared" si="2"/>
        <v>2025-046-3</v>
      </c>
      <c r="C277" s="24">
        <v>2025</v>
      </c>
      <c r="D277" s="25" t="s">
        <v>48</v>
      </c>
      <c r="E277" s="24">
        <v>3</v>
      </c>
      <c r="F277" s="26" t="s">
        <v>2307</v>
      </c>
      <c r="G277" s="24" t="s">
        <v>2735</v>
      </c>
      <c r="H277" s="27"/>
      <c r="I277" s="28"/>
    </row>
    <row r="278" spans="2:9" x14ac:dyDescent="0.2">
      <c r="B278" s="23" t="str">
        <f t="shared" si="2"/>
        <v>2025-046-4</v>
      </c>
      <c r="C278" s="24">
        <v>2025</v>
      </c>
      <c r="D278" s="25" t="s">
        <v>48</v>
      </c>
      <c r="E278" s="24">
        <v>4</v>
      </c>
      <c r="F278" s="26" t="s">
        <v>2369</v>
      </c>
      <c r="G278" s="24"/>
      <c r="H278" s="27"/>
      <c r="I278" s="28"/>
    </row>
    <row r="279" spans="2:9" ht="27" x14ac:dyDescent="0.2">
      <c r="B279" s="29" t="str">
        <f t="shared" si="2"/>
        <v>2025-046-5</v>
      </c>
      <c r="C279" s="30">
        <v>2025</v>
      </c>
      <c r="D279" s="31" t="s">
        <v>48</v>
      </c>
      <c r="E279" s="30">
        <v>5</v>
      </c>
      <c r="F279" s="32" t="s">
        <v>2464</v>
      </c>
      <c r="G279" s="30"/>
      <c r="H279" s="33"/>
      <c r="I279" s="34"/>
    </row>
    <row r="280" spans="2:9" ht="40.5" x14ac:dyDescent="0.2">
      <c r="B280" s="35" t="str">
        <f t="shared" si="2"/>
        <v>2025-047-0</v>
      </c>
      <c r="C280" s="36">
        <v>2025</v>
      </c>
      <c r="D280" s="37" t="s">
        <v>49</v>
      </c>
      <c r="E280" s="36">
        <v>0</v>
      </c>
      <c r="F280" s="38" t="s">
        <v>2457</v>
      </c>
      <c r="G280" s="36"/>
      <c r="H280" s="39"/>
      <c r="I280" s="40"/>
    </row>
    <row r="281" spans="2:9" x14ac:dyDescent="0.2">
      <c r="B281" s="23" t="str">
        <f t="shared" si="2"/>
        <v>2025-047-1</v>
      </c>
      <c r="C281" s="24">
        <v>2025</v>
      </c>
      <c r="D281" s="25" t="s">
        <v>49</v>
      </c>
      <c r="E281" s="24">
        <v>1</v>
      </c>
      <c r="F281" s="26" t="s">
        <v>2184</v>
      </c>
      <c r="G281" s="24" t="s">
        <v>2735</v>
      </c>
      <c r="H281" s="27"/>
      <c r="I281" s="28"/>
    </row>
    <row r="282" spans="2:9" x14ac:dyDescent="0.2">
      <c r="B282" s="23" t="str">
        <f t="shared" si="2"/>
        <v>2025-047-2</v>
      </c>
      <c r="C282" s="24">
        <v>2025</v>
      </c>
      <c r="D282" s="25" t="s">
        <v>49</v>
      </c>
      <c r="E282" s="24">
        <v>2</v>
      </c>
      <c r="F282" s="26" t="s">
        <v>2249</v>
      </c>
      <c r="G282" s="24"/>
      <c r="H282" s="27"/>
      <c r="I282" s="28"/>
    </row>
    <row r="283" spans="2:9" x14ac:dyDescent="0.2">
      <c r="B283" s="23" t="str">
        <f t="shared" si="2"/>
        <v>2025-047-3</v>
      </c>
      <c r="C283" s="24">
        <v>2025</v>
      </c>
      <c r="D283" s="25" t="s">
        <v>49</v>
      </c>
      <c r="E283" s="24">
        <v>3</v>
      </c>
      <c r="F283" s="26" t="s">
        <v>2308</v>
      </c>
      <c r="G283" s="24"/>
      <c r="H283" s="27"/>
      <c r="I283" s="28"/>
    </row>
    <row r="284" spans="2:9" x14ac:dyDescent="0.2">
      <c r="B284" s="23" t="str">
        <f t="shared" si="2"/>
        <v>2025-047-4</v>
      </c>
      <c r="C284" s="24">
        <v>2025</v>
      </c>
      <c r="D284" s="25" t="s">
        <v>49</v>
      </c>
      <c r="E284" s="24">
        <v>4</v>
      </c>
      <c r="F284" s="26" t="s">
        <v>2370</v>
      </c>
      <c r="G284" s="24"/>
      <c r="H284" s="27"/>
      <c r="I284" s="28"/>
    </row>
    <row r="285" spans="2:9" x14ac:dyDescent="0.2">
      <c r="B285" s="29" t="str">
        <f t="shared" si="2"/>
        <v>2025-047-5</v>
      </c>
      <c r="C285" s="30">
        <v>2025</v>
      </c>
      <c r="D285" s="31" t="s">
        <v>49</v>
      </c>
      <c r="E285" s="30">
        <v>5</v>
      </c>
      <c r="F285" s="32" t="s">
        <v>2431</v>
      </c>
      <c r="G285" s="30"/>
      <c r="H285" s="33"/>
      <c r="I285" s="34"/>
    </row>
    <row r="286" spans="2:9" x14ac:dyDescent="0.2">
      <c r="B286" s="35" t="str">
        <f t="shared" si="2"/>
        <v>2025-048-0</v>
      </c>
      <c r="C286" s="36">
        <v>2025</v>
      </c>
      <c r="D286" s="37" t="s">
        <v>50</v>
      </c>
      <c r="E286" s="36">
        <v>0</v>
      </c>
      <c r="F286" s="38" t="s">
        <v>2114</v>
      </c>
      <c r="G286" s="36"/>
      <c r="H286" s="39"/>
      <c r="I286" s="40"/>
    </row>
    <row r="287" spans="2:9" x14ac:dyDescent="0.2">
      <c r="B287" s="23" t="str">
        <f t="shared" si="2"/>
        <v>2025-048-1</v>
      </c>
      <c r="C287" s="24">
        <v>2025</v>
      </c>
      <c r="D287" s="25" t="s">
        <v>50</v>
      </c>
      <c r="E287" s="24">
        <v>1</v>
      </c>
      <c r="F287" s="26" t="s">
        <v>662</v>
      </c>
      <c r="G287" s="24" t="s">
        <v>2735</v>
      </c>
      <c r="H287" s="27"/>
      <c r="I287" s="28"/>
    </row>
    <row r="288" spans="2:9" ht="27" x14ac:dyDescent="0.2">
      <c r="B288" s="23" t="str">
        <f t="shared" si="2"/>
        <v>2025-048-2</v>
      </c>
      <c r="C288" s="24">
        <v>2025</v>
      </c>
      <c r="D288" s="25" t="s">
        <v>50</v>
      </c>
      <c r="E288" s="24">
        <v>2</v>
      </c>
      <c r="F288" s="26" t="s">
        <v>924</v>
      </c>
      <c r="G288" s="24"/>
      <c r="H288" s="27"/>
      <c r="I288" s="28"/>
    </row>
    <row r="289" spans="2:9" ht="40.5" x14ac:dyDescent="0.2">
      <c r="B289" s="23" t="str">
        <f t="shared" si="2"/>
        <v>2025-048-3</v>
      </c>
      <c r="C289" s="24">
        <v>2025</v>
      </c>
      <c r="D289" s="25" t="s">
        <v>50</v>
      </c>
      <c r="E289" s="24">
        <v>3</v>
      </c>
      <c r="F289" s="26" t="s">
        <v>2309</v>
      </c>
      <c r="G289" s="24"/>
      <c r="H289" s="27"/>
      <c r="I289" s="28"/>
    </row>
    <row r="290" spans="2:9" x14ac:dyDescent="0.2">
      <c r="B290" s="23" t="str">
        <f t="shared" si="2"/>
        <v>2025-048-4</v>
      </c>
      <c r="C290" s="24">
        <v>2025</v>
      </c>
      <c r="D290" s="25" t="s">
        <v>50</v>
      </c>
      <c r="E290" s="24">
        <v>4</v>
      </c>
      <c r="F290" s="26" t="s">
        <v>2466</v>
      </c>
      <c r="G290" s="24"/>
      <c r="H290" s="27"/>
      <c r="I290" s="28"/>
    </row>
    <row r="291" spans="2:9" x14ac:dyDescent="0.2">
      <c r="B291" s="29" t="str">
        <f t="shared" si="2"/>
        <v>2025-048-5</v>
      </c>
      <c r="C291" s="30">
        <v>2025</v>
      </c>
      <c r="D291" s="31" t="s">
        <v>50</v>
      </c>
      <c r="E291" s="30">
        <v>5</v>
      </c>
      <c r="F291" s="32" t="s">
        <v>2465</v>
      </c>
      <c r="G291" s="30"/>
      <c r="H291" s="33"/>
      <c r="I291" s="34"/>
    </row>
    <row r="292" spans="2:9" x14ac:dyDescent="0.2">
      <c r="B292" s="35" t="str">
        <f t="shared" si="2"/>
        <v>2025-049-0</v>
      </c>
      <c r="C292" s="36">
        <v>2025</v>
      </c>
      <c r="D292" s="37" t="s">
        <v>51</v>
      </c>
      <c r="E292" s="36">
        <v>0</v>
      </c>
      <c r="F292" s="38" t="s">
        <v>2115</v>
      </c>
      <c r="G292" s="36"/>
      <c r="H292" s="39"/>
      <c r="I292" s="40"/>
    </row>
    <row r="293" spans="2:9" x14ac:dyDescent="0.2">
      <c r="B293" s="23" t="str">
        <f t="shared" si="2"/>
        <v>2025-049-1</v>
      </c>
      <c r="C293" s="24">
        <v>2025</v>
      </c>
      <c r="D293" s="25" t="s">
        <v>51</v>
      </c>
      <c r="E293" s="24">
        <v>1</v>
      </c>
      <c r="F293" s="26" t="s">
        <v>793</v>
      </c>
      <c r="G293" s="24"/>
      <c r="H293" s="27"/>
      <c r="I293" s="28"/>
    </row>
    <row r="294" spans="2:9" x14ac:dyDescent="0.2">
      <c r="B294" s="23" t="str">
        <f t="shared" si="2"/>
        <v>2025-049-2</v>
      </c>
      <c r="C294" s="24">
        <v>2025</v>
      </c>
      <c r="D294" s="25" t="s">
        <v>51</v>
      </c>
      <c r="E294" s="24">
        <v>2</v>
      </c>
      <c r="F294" s="26" t="s">
        <v>2250</v>
      </c>
      <c r="G294" s="24" t="s">
        <v>2735</v>
      </c>
      <c r="H294" s="27"/>
      <c r="I294" s="28"/>
    </row>
    <row r="295" spans="2:9" x14ac:dyDescent="0.2">
      <c r="B295" s="23" t="str">
        <f t="shared" si="2"/>
        <v>2025-049-3</v>
      </c>
      <c r="C295" s="24">
        <v>2025</v>
      </c>
      <c r="D295" s="25" t="s">
        <v>51</v>
      </c>
      <c r="E295" s="24">
        <v>3</v>
      </c>
      <c r="F295" s="26" t="s">
        <v>1571</v>
      </c>
      <c r="G295" s="24"/>
      <c r="H295" s="27"/>
      <c r="I295" s="28"/>
    </row>
    <row r="296" spans="2:9" x14ac:dyDescent="0.2">
      <c r="B296" s="23" t="str">
        <f t="shared" si="2"/>
        <v>2025-049-4</v>
      </c>
      <c r="C296" s="24">
        <v>2025</v>
      </c>
      <c r="D296" s="25" t="s">
        <v>51</v>
      </c>
      <c r="E296" s="24">
        <v>4</v>
      </c>
      <c r="F296" s="26" t="s">
        <v>943</v>
      </c>
      <c r="G296" s="24"/>
      <c r="H296" s="27"/>
      <c r="I296" s="28"/>
    </row>
    <row r="297" spans="2:9" x14ac:dyDescent="0.2">
      <c r="B297" s="29" t="str">
        <f t="shared" si="2"/>
        <v>2025-049-5</v>
      </c>
      <c r="C297" s="30">
        <v>2025</v>
      </c>
      <c r="D297" s="31" t="s">
        <v>51</v>
      </c>
      <c r="E297" s="30">
        <v>5</v>
      </c>
      <c r="F297" s="32" t="s">
        <v>1866</v>
      </c>
      <c r="G297" s="30"/>
      <c r="H297" s="33"/>
      <c r="I297" s="34"/>
    </row>
    <row r="298" spans="2:9" ht="27" x14ac:dyDescent="0.2">
      <c r="B298" s="35" t="str">
        <f t="shared" si="2"/>
        <v>2025-050-0</v>
      </c>
      <c r="C298" s="36">
        <v>2025</v>
      </c>
      <c r="D298" s="37" t="s">
        <v>52</v>
      </c>
      <c r="E298" s="36">
        <v>0</v>
      </c>
      <c r="F298" s="38" t="s">
        <v>2116</v>
      </c>
      <c r="G298" s="36"/>
      <c r="H298" s="39"/>
      <c r="I298" s="40"/>
    </row>
    <row r="299" spans="2:9" x14ac:dyDescent="0.2">
      <c r="B299" s="23" t="str">
        <f t="shared" si="2"/>
        <v>2025-050-1</v>
      </c>
      <c r="C299" s="24">
        <v>2025</v>
      </c>
      <c r="D299" s="25" t="s">
        <v>52</v>
      </c>
      <c r="E299" s="24">
        <v>1</v>
      </c>
      <c r="F299" s="26" t="s">
        <v>527</v>
      </c>
      <c r="G299" s="24"/>
      <c r="H299" s="27"/>
      <c r="I299" s="28"/>
    </row>
    <row r="300" spans="2:9" x14ac:dyDescent="0.2">
      <c r="B300" s="23" t="str">
        <f t="shared" si="2"/>
        <v>2025-050-2</v>
      </c>
      <c r="C300" s="24">
        <v>2025</v>
      </c>
      <c r="D300" s="25" t="s">
        <v>52</v>
      </c>
      <c r="E300" s="24">
        <v>2</v>
      </c>
      <c r="F300" s="26" t="s">
        <v>1067</v>
      </c>
      <c r="G300" s="24"/>
      <c r="H300" s="27"/>
      <c r="I300" s="28"/>
    </row>
    <row r="301" spans="2:9" x14ac:dyDescent="0.2">
      <c r="B301" s="23" t="str">
        <f t="shared" si="2"/>
        <v>2025-050-3</v>
      </c>
      <c r="C301" s="24">
        <v>2025</v>
      </c>
      <c r="D301" s="25" t="s">
        <v>52</v>
      </c>
      <c r="E301" s="24">
        <v>3</v>
      </c>
      <c r="F301" s="26" t="s">
        <v>854</v>
      </c>
      <c r="G301" s="24"/>
      <c r="H301" s="27"/>
      <c r="I301" s="28"/>
    </row>
    <row r="302" spans="2:9" x14ac:dyDescent="0.2">
      <c r="B302" s="23" t="str">
        <f t="shared" si="2"/>
        <v>2025-050-4</v>
      </c>
      <c r="C302" s="24">
        <v>2025</v>
      </c>
      <c r="D302" s="25" t="s">
        <v>52</v>
      </c>
      <c r="E302" s="24">
        <v>4</v>
      </c>
      <c r="F302" s="26" t="s">
        <v>1176</v>
      </c>
      <c r="G302" s="24" t="s">
        <v>2735</v>
      </c>
      <c r="H302" s="27"/>
      <c r="I302" s="28"/>
    </row>
    <row r="303" spans="2:9" x14ac:dyDescent="0.2">
      <c r="B303" s="29" t="str">
        <f t="shared" si="2"/>
        <v>2025-050-5</v>
      </c>
      <c r="C303" s="30">
        <v>2025</v>
      </c>
      <c r="D303" s="31" t="s">
        <v>52</v>
      </c>
      <c r="E303" s="30">
        <v>5</v>
      </c>
      <c r="F303" s="32" t="s">
        <v>1481</v>
      </c>
      <c r="G303" s="30"/>
      <c r="H303" s="33"/>
      <c r="I303" s="34"/>
    </row>
    <row r="304" spans="2:9" ht="81" x14ac:dyDescent="0.2">
      <c r="B304" s="35" t="str">
        <f t="shared" si="2"/>
        <v>2025-051-0</v>
      </c>
      <c r="C304" s="36">
        <v>2025</v>
      </c>
      <c r="D304" s="37" t="s">
        <v>53</v>
      </c>
      <c r="E304" s="36">
        <v>0</v>
      </c>
      <c r="F304" s="38" t="s">
        <v>2117</v>
      </c>
      <c r="G304" s="36"/>
      <c r="H304" s="39"/>
      <c r="I304" s="40"/>
    </row>
    <row r="305" spans="2:9" x14ac:dyDescent="0.2">
      <c r="B305" s="23" t="str">
        <f t="shared" si="2"/>
        <v>2025-051-1</v>
      </c>
      <c r="C305" s="24">
        <v>2025</v>
      </c>
      <c r="D305" s="25" t="s">
        <v>53</v>
      </c>
      <c r="E305" s="24">
        <v>1</v>
      </c>
      <c r="F305" s="26" t="s">
        <v>2185</v>
      </c>
      <c r="G305" s="24"/>
      <c r="H305" s="27"/>
      <c r="I305" s="28"/>
    </row>
    <row r="306" spans="2:9" x14ac:dyDescent="0.2">
      <c r="B306" s="23" t="str">
        <f t="shared" si="2"/>
        <v>2025-051-2</v>
      </c>
      <c r="C306" s="24">
        <v>2025</v>
      </c>
      <c r="D306" s="25" t="s">
        <v>53</v>
      </c>
      <c r="E306" s="24">
        <v>2</v>
      </c>
      <c r="F306" s="26" t="s">
        <v>16</v>
      </c>
      <c r="G306" s="24"/>
      <c r="H306" s="27"/>
      <c r="I306" s="28"/>
    </row>
    <row r="307" spans="2:9" x14ac:dyDescent="0.2">
      <c r="B307" s="23" t="str">
        <f t="shared" si="2"/>
        <v>2025-051-3</v>
      </c>
      <c r="C307" s="24">
        <v>2025</v>
      </c>
      <c r="D307" s="25" t="s">
        <v>53</v>
      </c>
      <c r="E307" s="24">
        <v>3</v>
      </c>
      <c r="F307" s="26" t="s">
        <v>9</v>
      </c>
      <c r="G307" s="24"/>
      <c r="H307" s="27"/>
      <c r="I307" s="28"/>
    </row>
    <row r="308" spans="2:9" x14ac:dyDescent="0.2">
      <c r="B308" s="23" t="str">
        <f t="shared" si="2"/>
        <v>2025-051-4</v>
      </c>
      <c r="C308" s="24">
        <v>2025</v>
      </c>
      <c r="D308" s="25" t="s">
        <v>53</v>
      </c>
      <c r="E308" s="24">
        <v>4</v>
      </c>
      <c r="F308" s="26" t="s">
        <v>640</v>
      </c>
      <c r="G308" s="24"/>
      <c r="H308" s="27"/>
      <c r="I308" s="28"/>
    </row>
    <row r="309" spans="2:9" x14ac:dyDescent="0.2">
      <c r="B309" s="29" t="str">
        <f t="shared" si="2"/>
        <v>2025-051-5</v>
      </c>
      <c r="C309" s="30">
        <v>2025</v>
      </c>
      <c r="D309" s="31" t="s">
        <v>53</v>
      </c>
      <c r="E309" s="30">
        <v>5</v>
      </c>
      <c r="F309" s="32" t="s">
        <v>1485</v>
      </c>
      <c r="G309" s="30" t="s">
        <v>2735</v>
      </c>
      <c r="H309" s="33"/>
      <c r="I309" s="34"/>
    </row>
    <row r="310" spans="2:9" ht="81" x14ac:dyDescent="0.2">
      <c r="B310" s="35" t="str">
        <f t="shared" si="2"/>
        <v>2025-052-0</v>
      </c>
      <c r="C310" s="36">
        <v>2025</v>
      </c>
      <c r="D310" s="37" t="s">
        <v>54</v>
      </c>
      <c r="E310" s="36">
        <v>0</v>
      </c>
      <c r="F310" s="38" t="s">
        <v>2118</v>
      </c>
      <c r="G310" s="36"/>
      <c r="H310" s="39"/>
      <c r="I310" s="40"/>
    </row>
    <row r="311" spans="2:9" x14ac:dyDescent="0.2">
      <c r="B311" s="23" t="str">
        <f t="shared" si="2"/>
        <v>2025-052-1</v>
      </c>
      <c r="C311" s="24">
        <v>2025</v>
      </c>
      <c r="D311" s="25" t="s">
        <v>54</v>
      </c>
      <c r="E311" s="24">
        <v>1</v>
      </c>
      <c r="F311" s="26" t="s">
        <v>6</v>
      </c>
      <c r="G311" s="24"/>
      <c r="H311" s="27"/>
      <c r="I311" s="28"/>
    </row>
    <row r="312" spans="2:9" x14ac:dyDescent="0.2">
      <c r="B312" s="23" t="str">
        <f t="shared" si="2"/>
        <v>2025-052-2</v>
      </c>
      <c r="C312" s="24">
        <v>2025</v>
      </c>
      <c r="D312" s="25" t="s">
        <v>54</v>
      </c>
      <c r="E312" s="24">
        <v>2</v>
      </c>
      <c r="F312" s="26" t="s">
        <v>17</v>
      </c>
      <c r="G312" s="24"/>
      <c r="H312" s="27"/>
      <c r="I312" s="28"/>
    </row>
    <row r="313" spans="2:9" x14ac:dyDescent="0.2">
      <c r="B313" s="23" t="str">
        <f t="shared" si="2"/>
        <v>2025-052-3</v>
      </c>
      <c r="C313" s="24">
        <v>2025</v>
      </c>
      <c r="D313" s="25" t="s">
        <v>54</v>
      </c>
      <c r="E313" s="24">
        <v>3</v>
      </c>
      <c r="F313" s="26" t="s">
        <v>84</v>
      </c>
      <c r="G313" s="24"/>
      <c r="H313" s="27"/>
      <c r="I313" s="28"/>
    </row>
    <row r="314" spans="2:9" x14ac:dyDescent="0.2">
      <c r="B314" s="23" t="str">
        <f t="shared" si="2"/>
        <v>2025-052-4</v>
      </c>
      <c r="C314" s="24">
        <v>2025</v>
      </c>
      <c r="D314" s="25" t="s">
        <v>54</v>
      </c>
      <c r="E314" s="24">
        <v>4</v>
      </c>
      <c r="F314" s="26" t="s">
        <v>2371</v>
      </c>
      <c r="G314" s="24" t="s">
        <v>2735</v>
      </c>
      <c r="H314" s="27"/>
      <c r="I314" s="28"/>
    </row>
    <row r="315" spans="2:9" x14ac:dyDescent="0.2">
      <c r="B315" s="29" t="str">
        <f t="shared" si="2"/>
        <v>2025-052-5</v>
      </c>
      <c r="C315" s="30">
        <v>2025</v>
      </c>
      <c r="D315" s="31" t="s">
        <v>54</v>
      </c>
      <c r="E315" s="30">
        <v>5</v>
      </c>
      <c r="F315" s="32" t="s">
        <v>42</v>
      </c>
      <c r="G315" s="30"/>
      <c r="H315" s="33"/>
      <c r="I315" s="34"/>
    </row>
    <row r="316" spans="2:9" ht="81" x14ac:dyDescent="0.2">
      <c r="B316" s="35" t="str">
        <f t="shared" si="2"/>
        <v>2025-053-0</v>
      </c>
      <c r="C316" s="36">
        <v>2025</v>
      </c>
      <c r="D316" s="37" t="s">
        <v>55</v>
      </c>
      <c r="E316" s="36">
        <v>0</v>
      </c>
      <c r="F316" s="38" t="s">
        <v>2119</v>
      </c>
      <c r="G316" s="36"/>
      <c r="H316" s="39"/>
      <c r="I316" s="40"/>
    </row>
    <row r="317" spans="2:9" x14ac:dyDescent="0.2">
      <c r="B317" s="23" t="str">
        <f t="shared" si="2"/>
        <v>2025-053-1</v>
      </c>
      <c r="C317" s="24">
        <v>2025</v>
      </c>
      <c r="D317" s="25" t="s">
        <v>55</v>
      </c>
      <c r="E317" s="24">
        <v>1</v>
      </c>
      <c r="F317" s="26" t="s">
        <v>5</v>
      </c>
      <c r="G317" s="24"/>
      <c r="H317" s="27"/>
      <c r="I317" s="28"/>
    </row>
    <row r="318" spans="2:9" x14ac:dyDescent="0.2">
      <c r="B318" s="23" t="str">
        <f t="shared" si="2"/>
        <v>2025-053-2</v>
      </c>
      <c r="C318" s="24">
        <v>2025</v>
      </c>
      <c r="D318" s="25" t="s">
        <v>55</v>
      </c>
      <c r="E318" s="24">
        <v>2</v>
      </c>
      <c r="F318" s="26" t="s">
        <v>13</v>
      </c>
      <c r="G318" s="24"/>
      <c r="H318" s="27"/>
      <c r="I318" s="28"/>
    </row>
    <row r="319" spans="2:9" x14ac:dyDescent="0.2">
      <c r="B319" s="23" t="str">
        <f t="shared" ref="B319:B382" si="3">C319&amp;"-"&amp;D319&amp;"-"&amp;E319</f>
        <v>2025-053-3</v>
      </c>
      <c r="C319" s="24">
        <v>2025</v>
      </c>
      <c r="D319" s="25" t="s">
        <v>55</v>
      </c>
      <c r="E319" s="24">
        <v>3</v>
      </c>
      <c r="F319" s="26" t="s">
        <v>4</v>
      </c>
      <c r="G319" s="24"/>
      <c r="H319" s="27"/>
      <c r="I319" s="28"/>
    </row>
    <row r="320" spans="2:9" x14ac:dyDescent="0.2">
      <c r="B320" s="23" t="str">
        <f t="shared" si="3"/>
        <v>2025-053-4</v>
      </c>
      <c r="C320" s="24">
        <v>2025</v>
      </c>
      <c r="D320" s="25" t="s">
        <v>55</v>
      </c>
      <c r="E320" s="24">
        <v>4</v>
      </c>
      <c r="F320" s="26" t="s">
        <v>16</v>
      </c>
      <c r="G320" s="24"/>
      <c r="H320" s="27"/>
      <c r="I320" s="28"/>
    </row>
    <row r="321" spans="2:9" x14ac:dyDescent="0.2">
      <c r="B321" s="29" t="str">
        <f t="shared" si="3"/>
        <v>2025-053-5</v>
      </c>
      <c r="C321" s="30">
        <v>2025</v>
      </c>
      <c r="D321" s="31" t="s">
        <v>55</v>
      </c>
      <c r="E321" s="30">
        <v>5</v>
      </c>
      <c r="F321" s="32" t="s">
        <v>6</v>
      </c>
      <c r="G321" s="30" t="s">
        <v>2735</v>
      </c>
      <c r="H321" s="33"/>
      <c r="I321" s="34"/>
    </row>
    <row r="322" spans="2:9" x14ac:dyDescent="0.2">
      <c r="B322" s="35" t="str">
        <f t="shared" si="3"/>
        <v>2025-054-0</v>
      </c>
      <c r="C322" s="36">
        <v>2025</v>
      </c>
      <c r="D322" s="37" t="s">
        <v>56</v>
      </c>
      <c r="E322" s="36">
        <v>0</v>
      </c>
      <c r="F322" s="38" t="s">
        <v>2120</v>
      </c>
      <c r="G322" s="36"/>
      <c r="H322" s="39"/>
      <c r="I322" s="40"/>
    </row>
    <row r="323" spans="2:9" x14ac:dyDescent="0.2">
      <c r="B323" s="23" t="str">
        <f t="shared" si="3"/>
        <v>2025-054-1</v>
      </c>
      <c r="C323" s="24">
        <v>2025</v>
      </c>
      <c r="D323" s="25" t="s">
        <v>56</v>
      </c>
      <c r="E323" s="24">
        <v>1</v>
      </c>
      <c r="F323" s="26" t="s">
        <v>2186</v>
      </c>
      <c r="G323" s="24" t="s">
        <v>2735</v>
      </c>
      <c r="H323" s="27"/>
      <c r="I323" s="28"/>
    </row>
    <row r="324" spans="2:9" x14ac:dyDescent="0.2">
      <c r="B324" s="23" t="str">
        <f t="shared" si="3"/>
        <v>2025-054-2</v>
      </c>
      <c r="C324" s="24">
        <v>2025</v>
      </c>
      <c r="D324" s="25" t="s">
        <v>56</v>
      </c>
      <c r="E324" s="24">
        <v>2</v>
      </c>
      <c r="F324" s="26" t="s">
        <v>2251</v>
      </c>
      <c r="G324" s="24"/>
      <c r="H324" s="27"/>
      <c r="I324" s="28"/>
    </row>
    <row r="325" spans="2:9" x14ac:dyDescent="0.2">
      <c r="B325" s="23" t="str">
        <f t="shared" si="3"/>
        <v>2025-054-3</v>
      </c>
      <c r="C325" s="24">
        <v>2025</v>
      </c>
      <c r="D325" s="25" t="s">
        <v>56</v>
      </c>
      <c r="E325" s="24">
        <v>3</v>
      </c>
      <c r="F325" s="26" t="s">
        <v>2310</v>
      </c>
      <c r="G325" s="24"/>
      <c r="H325" s="27"/>
      <c r="I325" s="28"/>
    </row>
    <row r="326" spans="2:9" x14ac:dyDescent="0.2">
      <c r="B326" s="23" t="str">
        <f t="shared" si="3"/>
        <v>2025-054-4</v>
      </c>
      <c r="C326" s="24">
        <v>2025</v>
      </c>
      <c r="D326" s="25" t="s">
        <v>56</v>
      </c>
      <c r="E326" s="24">
        <v>4</v>
      </c>
      <c r="F326" s="26" t="s">
        <v>2372</v>
      </c>
      <c r="G326" s="24"/>
      <c r="H326" s="27"/>
      <c r="I326" s="28"/>
    </row>
    <row r="327" spans="2:9" ht="27" x14ac:dyDescent="0.2">
      <c r="B327" s="29" t="str">
        <f t="shared" si="3"/>
        <v>2025-054-5</v>
      </c>
      <c r="C327" s="30">
        <v>2025</v>
      </c>
      <c r="D327" s="31" t="s">
        <v>56</v>
      </c>
      <c r="E327" s="30">
        <v>5</v>
      </c>
      <c r="F327" s="32" t="s">
        <v>2432</v>
      </c>
      <c r="G327" s="30"/>
      <c r="H327" s="33"/>
      <c r="I327" s="34"/>
    </row>
    <row r="328" spans="2:9" x14ac:dyDescent="0.2">
      <c r="B328" s="35" t="str">
        <f t="shared" si="3"/>
        <v>2025-055-0</v>
      </c>
      <c r="C328" s="36">
        <v>2025</v>
      </c>
      <c r="D328" s="37" t="s">
        <v>57</v>
      </c>
      <c r="E328" s="36">
        <v>0</v>
      </c>
      <c r="F328" s="38" t="s">
        <v>2121</v>
      </c>
      <c r="G328" s="36"/>
      <c r="H328" s="39"/>
      <c r="I328" s="40"/>
    </row>
    <row r="329" spans="2:9" x14ac:dyDescent="0.2">
      <c r="B329" s="23" t="str">
        <f t="shared" si="3"/>
        <v>2025-055-1</v>
      </c>
      <c r="C329" s="24">
        <v>2025</v>
      </c>
      <c r="D329" s="25" t="s">
        <v>57</v>
      </c>
      <c r="E329" s="24">
        <v>1</v>
      </c>
      <c r="F329" s="26" t="s">
        <v>2187</v>
      </c>
      <c r="G329" s="24"/>
      <c r="H329" s="27"/>
      <c r="I329" s="28"/>
    </row>
    <row r="330" spans="2:9" x14ac:dyDescent="0.2">
      <c r="B330" s="23" t="str">
        <f t="shared" si="3"/>
        <v>2025-055-2</v>
      </c>
      <c r="C330" s="24">
        <v>2025</v>
      </c>
      <c r="D330" s="25" t="s">
        <v>57</v>
      </c>
      <c r="E330" s="24">
        <v>2</v>
      </c>
      <c r="F330" s="26" t="s">
        <v>2252</v>
      </c>
      <c r="G330" s="24" t="s">
        <v>2735</v>
      </c>
      <c r="H330" s="27"/>
      <c r="I330" s="28"/>
    </row>
    <row r="331" spans="2:9" ht="27" x14ac:dyDescent="0.2">
      <c r="B331" s="23" t="str">
        <f t="shared" si="3"/>
        <v>2025-055-3</v>
      </c>
      <c r="C331" s="24">
        <v>2025</v>
      </c>
      <c r="D331" s="25" t="s">
        <v>57</v>
      </c>
      <c r="E331" s="24">
        <v>3</v>
      </c>
      <c r="F331" s="26" t="s">
        <v>2311</v>
      </c>
      <c r="G331" s="24"/>
      <c r="H331" s="27"/>
      <c r="I331" s="28"/>
    </row>
    <row r="332" spans="2:9" x14ac:dyDescent="0.2">
      <c r="B332" s="23" t="str">
        <f t="shared" si="3"/>
        <v>2025-055-4</v>
      </c>
      <c r="C332" s="24">
        <v>2025</v>
      </c>
      <c r="D332" s="25" t="s">
        <v>57</v>
      </c>
      <c r="E332" s="24">
        <v>4</v>
      </c>
      <c r="F332" s="26" t="s">
        <v>2458</v>
      </c>
      <c r="G332" s="24"/>
      <c r="H332" s="27"/>
      <c r="I332" s="28"/>
    </row>
    <row r="333" spans="2:9" ht="27" x14ac:dyDescent="0.2">
      <c r="B333" s="29" t="str">
        <f t="shared" si="3"/>
        <v>2025-055-5</v>
      </c>
      <c r="C333" s="30">
        <v>2025</v>
      </c>
      <c r="D333" s="31" t="s">
        <v>57</v>
      </c>
      <c r="E333" s="30">
        <v>5</v>
      </c>
      <c r="F333" s="32" t="s">
        <v>2433</v>
      </c>
      <c r="G333" s="30"/>
      <c r="H333" s="33"/>
      <c r="I333" s="34"/>
    </row>
    <row r="334" spans="2:9" ht="67.5" x14ac:dyDescent="0.2">
      <c r="B334" s="35" t="str">
        <f t="shared" si="3"/>
        <v>2025-056-0</v>
      </c>
      <c r="C334" s="36">
        <v>2025</v>
      </c>
      <c r="D334" s="37" t="s">
        <v>58</v>
      </c>
      <c r="E334" s="36">
        <v>0</v>
      </c>
      <c r="F334" s="38" t="s">
        <v>2122</v>
      </c>
      <c r="G334" s="36"/>
      <c r="H334" s="39"/>
      <c r="I334" s="40"/>
    </row>
    <row r="335" spans="2:9" x14ac:dyDescent="0.2">
      <c r="B335" s="23" t="str">
        <f t="shared" si="3"/>
        <v>2025-056-1</v>
      </c>
      <c r="C335" s="24">
        <v>2025</v>
      </c>
      <c r="D335" s="25" t="s">
        <v>58</v>
      </c>
      <c r="E335" s="24">
        <v>1</v>
      </c>
      <c r="F335" s="26" t="s">
        <v>4</v>
      </c>
      <c r="G335" s="24" t="s">
        <v>2735</v>
      </c>
      <c r="H335" s="27"/>
      <c r="I335" s="28"/>
    </row>
    <row r="336" spans="2:9" x14ac:dyDescent="0.2">
      <c r="B336" s="23" t="str">
        <f t="shared" si="3"/>
        <v>2025-056-2</v>
      </c>
      <c r="C336" s="24">
        <v>2025</v>
      </c>
      <c r="D336" s="25" t="s">
        <v>58</v>
      </c>
      <c r="E336" s="24">
        <v>2</v>
      </c>
      <c r="F336" s="26" t="s">
        <v>8</v>
      </c>
      <c r="G336" s="24"/>
      <c r="H336" s="27"/>
      <c r="I336" s="28"/>
    </row>
    <row r="337" spans="2:9" x14ac:dyDescent="0.2">
      <c r="B337" s="23" t="str">
        <f t="shared" si="3"/>
        <v>2025-056-3</v>
      </c>
      <c r="C337" s="24">
        <v>2025</v>
      </c>
      <c r="D337" s="25" t="s">
        <v>58</v>
      </c>
      <c r="E337" s="24">
        <v>3</v>
      </c>
      <c r="F337" s="26" t="s">
        <v>12</v>
      </c>
      <c r="G337" s="24"/>
      <c r="H337" s="27"/>
      <c r="I337" s="28"/>
    </row>
    <row r="338" spans="2:9" x14ac:dyDescent="0.2">
      <c r="B338" s="23" t="str">
        <f t="shared" si="3"/>
        <v>2025-056-4</v>
      </c>
      <c r="C338" s="24">
        <v>2025</v>
      </c>
      <c r="D338" s="25" t="s">
        <v>58</v>
      </c>
      <c r="E338" s="24">
        <v>4</v>
      </c>
      <c r="F338" s="26" t="s">
        <v>17</v>
      </c>
      <c r="G338" s="24"/>
      <c r="H338" s="27"/>
      <c r="I338" s="28"/>
    </row>
    <row r="339" spans="2:9" x14ac:dyDescent="0.2">
      <c r="B339" s="29" t="str">
        <f t="shared" si="3"/>
        <v>2025-056-5</v>
      </c>
      <c r="C339" s="30">
        <v>2025</v>
      </c>
      <c r="D339" s="31" t="s">
        <v>58</v>
      </c>
      <c r="E339" s="30">
        <v>5</v>
      </c>
      <c r="F339" s="32" t="s">
        <v>19</v>
      </c>
      <c r="G339" s="30"/>
      <c r="H339" s="33"/>
      <c r="I339" s="34"/>
    </row>
    <row r="340" spans="2:9" x14ac:dyDescent="0.2">
      <c r="B340" s="35" t="str">
        <f t="shared" si="3"/>
        <v>2025-057-0</v>
      </c>
      <c r="C340" s="36">
        <v>2025</v>
      </c>
      <c r="D340" s="37" t="s">
        <v>59</v>
      </c>
      <c r="E340" s="36">
        <v>0</v>
      </c>
      <c r="F340" s="38" t="s">
        <v>2123</v>
      </c>
      <c r="G340" s="36"/>
      <c r="H340" s="39"/>
      <c r="I340" s="40"/>
    </row>
    <row r="341" spans="2:9" x14ac:dyDescent="0.2">
      <c r="B341" s="23" t="str">
        <f t="shared" si="3"/>
        <v>2025-057-1</v>
      </c>
      <c r="C341" s="24">
        <v>2025</v>
      </c>
      <c r="D341" s="25" t="s">
        <v>59</v>
      </c>
      <c r="E341" s="24">
        <v>1</v>
      </c>
      <c r="F341" s="26" t="s">
        <v>2188</v>
      </c>
      <c r="G341" s="24"/>
      <c r="H341" s="27"/>
      <c r="I341" s="28"/>
    </row>
    <row r="342" spans="2:9" x14ac:dyDescent="0.2">
      <c r="B342" s="23" t="str">
        <f t="shared" si="3"/>
        <v>2025-057-2</v>
      </c>
      <c r="C342" s="24">
        <v>2025</v>
      </c>
      <c r="D342" s="25" t="s">
        <v>59</v>
      </c>
      <c r="E342" s="24">
        <v>2</v>
      </c>
      <c r="F342" s="26" t="s">
        <v>2253</v>
      </c>
      <c r="G342" s="24"/>
      <c r="H342" s="27"/>
      <c r="I342" s="28"/>
    </row>
    <row r="343" spans="2:9" x14ac:dyDescent="0.2">
      <c r="B343" s="23" t="str">
        <f t="shared" si="3"/>
        <v>2025-057-3</v>
      </c>
      <c r="C343" s="24">
        <v>2025</v>
      </c>
      <c r="D343" s="25" t="s">
        <v>59</v>
      </c>
      <c r="E343" s="24">
        <v>3</v>
      </c>
      <c r="F343" s="26" t="s">
        <v>1871</v>
      </c>
      <c r="G343" s="24" t="s">
        <v>2735</v>
      </c>
      <c r="H343" s="27"/>
      <c r="I343" s="28"/>
    </row>
    <row r="344" spans="2:9" x14ac:dyDescent="0.2">
      <c r="B344" s="23" t="str">
        <f t="shared" si="3"/>
        <v>2025-057-4</v>
      </c>
      <c r="C344" s="24">
        <v>2025</v>
      </c>
      <c r="D344" s="25" t="s">
        <v>59</v>
      </c>
      <c r="E344" s="24">
        <v>4</v>
      </c>
      <c r="F344" s="26" t="s">
        <v>2373</v>
      </c>
      <c r="G344" s="24"/>
      <c r="H344" s="27"/>
      <c r="I344" s="28"/>
    </row>
    <row r="345" spans="2:9" ht="27" x14ac:dyDescent="0.2">
      <c r="B345" s="29" t="str">
        <f t="shared" si="3"/>
        <v>2025-057-5</v>
      </c>
      <c r="C345" s="30">
        <v>2025</v>
      </c>
      <c r="D345" s="31" t="s">
        <v>59</v>
      </c>
      <c r="E345" s="30">
        <v>5</v>
      </c>
      <c r="F345" s="32" t="s">
        <v>949</v>
      </c>
      <c r="G345" s="30"/>
      <c r="H345" s="33"/>
      <c r="I345" s="34"/>
    </row>
    <row r="346" spans="2:9" ht="81" x14ac:dyDescent="0.2">
      <c r="B346" s="35" t="str">
        <f t="shared" si="3"/>
        <v>2025-058-0</v>
      </c>
      <c r="C346" s="36">
        <v>2025</v>
      </c>
      <c r="D346" s="37" t="s">
        <v>60</v>
      </c>
      <c r="E346" s="36">
        <v>0</v>
      </c>
      <c r="F346" s="38" t="s">
        <v>2124</v>
      </c>
      <c r="G346" s="36"/>
      <c r="H346" s="39"/>
      <c r="I346" s="40"/>
    </row>
    <row r="347" spans="2:9" x14ac:dyDescent="0.2">
      <c r="B347" s="23" t="str">
        <f t="shared" si="3"/>
        <v>2025-058-1</v>
      </c>
      <c r="C347" s="24">
        <v>2025</v>
      </c>
      <c r="D347" s="25" t="s">
        <v>60</v>
      </c>
      <c r="E347" s="24">
        <v>1</v>
      </c>
      <c r="F347" s="26" t="s">
        <v>2189</v>
      </c>
      <c r="G347" s="24"/>
      <c r="H347" s="27"/>
      <c r="I347" s="28"/>
    </row>
    <row r="348" spans="2:9" x14ac:dyDescent="0.2">
      <c r="B348" s="23" t="str">
        <f t="shared" si="3"/>
        <v>2025-058-2</v>
      </c>
      <c r="C348" s="24">
        <v>2025</v>
      </c>
      <c r="D348" s="25" t="s">
        <v>60</v>
      </c>
      <c r="E348" s="24">
        <v>2</v>
      </c>
      <c r="F348" s="26" t="s">
        <v>2254</v>
      </c>
      <c r="G348" s="24" t="s">
        <v>2735</v>
      </c>
      <c r="H348" s="27"/>
      <c r="I348" s="28"/>
    </row>
    <row r="349" spans="2:9" x14ac:dyDescent="0.2">
      <c r="B349" s="23" t="str">
        <f t="shared" si="3"/>
        <v>2025-058-3</v>
      </c>
      <c r="C349" s="24">
        <v>2025</v>
      </c>
      <c r="D349" s="25" t="s">
        <v>60</v>
      </c>
      <c r="E349" s="24">
        <v>3</v>
      </c>
      <c r="F349" s="26" t="s">
        <v>2312</v>
      </c>
      <c r="G349" s="24"/>
      <c r="H349" s="27"/>
      <c r="I349" s="28"/>
    </row>
    <row r="350" spans="2:9" x14ac:dyDescent="0.2">
      <c r="B350" s="23" t="str">
        <f t="shared" si="3"/>
        <v>2025-058-4</v>
      </c>
      <c r="C350" s="24">
        <v>2025</v>
      </c>
      <c r="D350" s="25" t="s">
        <v>60</v>
      </c>
      <c r="E350" s="24">
        <v>4</v>
      </c>
      <c r="F350" s="26" t="s">
        <v>2374</v>
      </c>
      <c r="G350" s="24"/>
      <c r="H350" s="27"/>
      <c r="I350" s="28"/>
    </row>
    <row r="351" spans="2:9" x14ac:dyDescent="0.2">
      <c r="B351" s="29" t="str">
        <f t="shared" si="3"/>
        <v>2025-058-5</v>
      </c>
      <c r="C351" s="30">
        <v>2025</v>
      </c>
      <c r="D351" s="31" t="s">
        <v>60</v>
      </c>
      <c r="E351" s="30">
        <v>5</v>
      </c>
      <c r="F351" s="32" t="s">
        <v>2434</v>
      </c>
      <c r="G351" s="30"/>
      <c r="H351" s="33"/>
      <c r="I351" s="34"/>
    </row>
    <row r="352" spans="2:9" ht="27" x14ac:dyDescent="0.2">
      <c r="B352" s="35" t="str">
        <f t="shared" si="3"/>
        <v>2025-059-0</v>
      </c>
      <c r="C352" s="36">
        <v>2025</v>
      </c>
      <c r="D352" s="37" t="s">
        <v>61</v>
      </c>
      <c r="E352" s="36">
        <v>0</v>
      </c>
      <c r="F352" s="38" t="s">
        <v>2125</v>
      </c>
      <c r="G352" s="36"/>
      <c r="H352" s="39"/>
      <c r="I352" s="40"/>
    </row>
    <row r="353" spans="2:9" x14ac:dyDescent="0.2">
      <c r="B353" s="23" t="str">
        <f t="shared" si="3"/>
        <v>2025-059-1</v>
      </c>
      <c r="C353" s="24">
        <v>2025</v>
      </c>
      <c r="D353" s="25" t="s">
        <v>61</v>
      </c>
      <c r="E353" s="24">
        <v>1</v>
      </c>
      <c r="F353" s="26" t="s">
        <v>2190</v>
      </c>
      <c r="G353" s="24" t="s">
        <v>2735</v>
      </c>
      <c r="H353" s="27"/>
      <c r="I353" s="28"/>
    </row>
    <row r="354" spans="2:9" x14ac:dyDescent="0.2">
      <c r="B354" s="23" t="str">
        <f t="shared" si="3"/>
        <v>2025-059-2</v>
      </c>
      <c r="C354" s="24">
        <v>2025</v>
      </c>
      <c r="D354" s="25" t="s">
        <v>61</v>
      </c>
      <c r="E354" s="24">
        <v>2</v>
      </c>
      <c r="F354" s="26" t="s">
        <v>2255</v>
      </c>
      <c r="G354" s="24"/>
      <c r="H354" s="27"/>
      <c r="I354" s="28"/>
    </row>
    <row r="355" spans="2:9" x14ac:dyDescent="0.2">
      <c r="B355" s="23" t="str">
        <f t="shared" si="3"/>
        <v>2025-059-3</v>
      </c>
      <c r="C355" s="24">
        <v>2025</v>
      </c>
      <c r="D355" s="25" t="s">
        <v>61</v>
      </c>
      <c r="E355" s="24">
        <v>3</v>
      </c>
      <c r="F355" s="26" t="s">
        <v>2313</v>
      </c>
      <c r="G355" s="24"/>
      <c r="H355" s="27"/>
      <c r="I355" s="28"/>
    </row>
    <row r="356" spans="2:9" x14ac:dyDescent="0.2">
      <c r="B356" s="23" t="str">
        <f t="shared" si="3"/>
        <v>2025-059-4</v>
      </c>
      <c r="C356" s="24">
        <v>2025</v>
      </c>
      <c r="D356" s="25" t="s">
        <v>61</v>
      </c>
      <c r="E356" s="24">
        <v>4</v>
      </c>
      <c r="F356" s="26" t="s">
        <v>2375</v>
      </c>
      <c r="G356" s="24"/>
      <c r="H356" s="27"/>
      <c r="I356" s="28"/>
    </row>
    <row r="357" spans="2:9" x14ac:dyDescent="0.2">
      <c r="B357" s="29" t="str">
        <f t="shared" si="3"/>
        <v>2025-059-5</v>
      </c>
      <c r="C357" s="30">
        <v>2025</v>
      </c>
      <c r="D357" s="31" t="s">
        <v>61</v>
      </c>
      <c r="E357" s="30">
        <v>5</v>
      </c>
      <c r="F357" s="32" t="s">
        <v>2435</v>
      </c>
      <c r="G357" s="30"/>
      <c r="H357" s="33"/>
      <c r="I357" s="34"/>
    </row>
    <row r="358" spans="2:9" x14ac:dyDescent="0.2">
      <c r="B358" s="35" t="str">
        <f t="shared" si="3"/>
        <v>2025-060-0</v>
      </c>
      <c r="C358" s="36">
        <v>2025</v>
      </c>
      <c r="D358" s="37" t="s">
        <v>62</v>
      </c>
      <c r="E358" s="36">
        <v>0</v>
      </c>
      <c r="F358" s="38" t="s">
        <v>2126</v>
      </c>
      <c r="G358" s="36"/>
      <c r="H358" s="39"/>
      <c r="I358" s="40"/>
    </row>
    <row r="359" spans="2:9" x14ac:dyDescent="0.2">
      <c r="B359" s="23" t="str">
        <f t="shared" si="3"/>
        <v>2025-060-1</v>
      </c>
      <c r="C359" s="24">
        <v>2025</v>
      </c>
      <c r="D359" s="25" t="s">
        <v>62</v>
      </c>
      <c r="E359" s="24">
        <v>1</v>
      </c>
      <c r="F359" s="26" t="s">
        <v>2191</v>
      </c>
      <c r="G359" s="24"/>
      <c r="H359" s="27"/>
      <c r="I359" s="28"/>
    </row>
    <row r="360" spans="2:9" ht="27" x14ac:dyDescent="0.2">
      <c r="B360" s="23" t="str">
        <f t="shared" si="3"/>
        <v>2025-060-2</v>
      </c>
      <c r="C360" s="24">
        <v>2025</v>
      </c>
      <c r="D360" s="25" t="s">
        <v>62</v>
      </c>
      <c r="E360" s="24">
        <v>2</v>
      </c>
      <c r="F360" s="26" t="s">
        <v>1710</v>
      </c>
      <c r="G360" s="24"/>
      <c r="H360" s="27"/>
      <c r="I360" s="28"/>
    </row>
    <row r="361" spans="2:9" x14ac:dyDescent="0.2">
      <c r="B361" s="23" t="str">
        <f t="shared" si="3"/>
        <v>2025-060-3</v>
      </c>
      <c r="C361" s="24">
        <v>2025</v>
      </c>
      <c r="D361" s="25" t="s">
        <v>62</v>
      </c>
      <c r="E361" s="24">
        <v>3</v>
      </c>
      <c r="F361" s="26" t="s">
        <v>2314</v>
      </c>
      <c r="G361" s="24" t="s">
        <v>2735</v>
      </c>
      <c r="H361" s="27"/>
      <c r="I361" s="28"/>
    </row>
    <row r="362" spans="2:9" ht="27" x14ac:dyDescent="0.2">
      <c r="B362" s="23" t="str">
        <f t="shared" si="3"/>
        <v>2025-060-4</v>
      </c>
      <c r="C362" s="24">
        <v>2025</v>
      </c>
      <c r="D362" s="25" t="s">
        <v>62</v>
      </c>
      <c r="E362" s="24">
        <v>4</v>
      </c>
      <c r="F362" s="26" t="s">
        <v>2376</v>
      </c>
      <c r="G362" s="24"/>
      <c r="H362" s="27"/>
      <c r="I362" s="28"/>
    </row>
    <row r="363" spans="2:9" ht="27" x14ac:dyDescent="0.2">
      <c r="B363" s="29" t="str">
        <f t="shared" si="3"/>
        <v>2025-060-5</v>
      </c>
      <c r="C363" s="30">
        <v>2025</v>
      </c>
      <c r="D363" s="31" t="s">
        <v>62</v>
      </c>
      <c r="E363" s="30">
        <v>5</v>
      </c>
      <c r="F363" s="32" t="s">
        <v>2436</v>
      </c>
      <c r="G363" s="30"/>
      <c r="H363" s="33"/>
      <c r="I363" s="34"/>
    </row>
    <row r="364" spans="2:9" x14ac:dyDescent="0.2">
      <c r="B364" s="35" t="str">
        <f t="shared" si="3"/>
        <v>2025-061-0</v>
      </c>
      <c r="C364" s="36">
        <v>2025</v>
      </c>
      <c r="D364" s="37" t="s">
        <v>63</v>
      </c>
      <c r="E364" s="36">
        <v>0</v>
      </c>
      <c r="F364" s="38" t="s">
        <v>2127</v>
      </c>
      <c r="G364" s="36"/>
      <c r="H364" s="39"/>
      <c r="I364" s="40"/>
    </row>
    <row r="365" spans="2:9" x14ac:dyDescent="0.2">
      <c r="B365" s="23" t="str">
        <f t="shared" si="3"/>
        <v>2025-061-1</v>
      </c>
      <c r="C365" s="24">
        <v>2025</v>
      </c>
      <c r="D365" s="25" t="s">
        <v>63</v>
      </c>
      <c r="E365" s="24">
        <v>1</v>
      </c>
      <c r="F365" s="26" t="s">
        <v>2192</v>
      </c>
      <c r="G365" s="24"/>
      <c r="H365" s="27"/>
      <c r="I365" s="28"/>
    </row>
    <row r="366" spans="2:9" x14ac:dyDescent="0.2">
      <c r="B366" s="23" t="str">
        <f t="shared" si="3"/>
        <v>2025-061-2</v>
      </c>
      <c r="C366" s="24">
        <v>2025</v>
      </c>
      <c r="D366" s="25" t="s">
        <v>63</v>
      </c>
      <c r="E366" s="24">
        <v>2</v>
      </c>
      <c r="F366" s="26" t="s">
        <v>2152</v>
      </c>
      <c r="G366" s="24"/>
      <c r="H366" s="27"/>
      <c r="I366" s="28"/>
    </row>
    <row r="367" spans="2:9" x14ac:dyDescent="0.2">
      <c r="B367" s="23" t="str">
        <f t="shared" si="3"/>
        <v>2025-061-3</v>
      </c>
      <c r="C367" s="24">
        <v>2025</v>
      </c>
      <c r="D367" s="25" t="s">
        <v>63</v>
      </c>
      <c r="E367" s="24">
        <v>3</v>
      </c>
      <c r="F367" s="26" t="s">
        <v>2315</v>
      </c>
      <c r="G367" s="24"/>
      <c r="H367" s="27"/>
      <c r="I367" s="28"/>
    </row>
    <row r="368" spans="2:9" x14ac:dyDescent="0.2">
      <c r="B368" s="23" t="str">
        <f t="shared" si="3"/>
        <v>2025-061-4</v>
      </c>
      <c r="C368" s="24">
        <v>2025</v>
      </c>
      <c r="D368" s="25" t="s">
        <v>63</v>
      </c>
      <c r="E368" s="24">
        <v>4</v>
      </c>
      <c r="F368" s="26" t="s">
        <v>2377</v>
      </c>
      <c r="G368" s="24" t="s">
        <v>2735</v>
      </c>
      <c r="H368" s="27"/>
      <c r="I368" s="28"/>
    </row>
    <row r="369" spans="2:9" x14ac:dyDescent="0.2">
      <c r="B369" s="29" t="str">
        <f t="shared" si="3"/>
        <v>2025-061-5</v>
      </c>
      <c r="C369" s="30">
        <v>2025</v>
      </c>
      <c r="D369" s="31" t="s">
        <v>63</v>
      </c>
      <c r="E369" s="30">
        <v>5</v>
      </c>
      <c r="F369" s="32" t="s">
        <v>3056</v>
      </c>
      <c r="G369" s="30"/>
      <c r="H369" s="33"/>
      <c r="I369" s="34"/>
    </row>
    <row r="370" spans="2:9" x14ac:dyDescent="0.2">
      <c r="B370" s="35" t="str">
        <f t="shared" si="3"/>
        <v>2025-062-0</v>
      </c>
      <c r="C370" s="36">
        <v>2025</v>
      </c>
      <c r="D370" s="37" t="s">
        <v>64</v>
      </c>
      <c r="E370" s="36">
        <v>0</v>
      </c>
      <c r="F370" s="38" t="s">
        <v>2128</v>
      </c>
      <c r="G370" s="36"/>
      <c r="H370" s="39"/>
      <c r="I370" s="40"/>
    </row>
    <row r="371" spans="2:9" x14ac:dyDescent="0.2">
      <c r="B371" s="23" t="str">
        <f t="shared" si="3"/>
        <v>2025-062-1</v>
      </c>
      <c r="C371" s="24">
        <v>2025</v>
      </c>
      <c r="D371" s="25" t="s">
        <v>64</v>
      </c>
      <c r="E371" s="24">
        <v>1</v>
      </c>
      <c r="F371" s="26" t="s">
        <v>2193</v>
      </c>
      <c r="G371" s="24"/>
      <c r="H371" s="27"/>
      <c r="I371" s="28"/>
    </row>
    <row r="372" spans="2:9" x14ac:dyDescent="0.2">
      <c r="B372" s="23" t="str">
        <f t="shared" si="3"/>
        <v>2025-062-2</v>
      </c>
      <c r="C372" s="24">
        <v>2025</v>
      </c>
      <c r="D372" s="25" t="s">
        <v>64</v>
      </c>
      <c r="E372" s="24">
        <v>2</v>
      </c>
      <c r="F372" s="26" t="s">
        <v>1008</v>
      </c>
      <c r="G372" s="24"/>
      <c r="H372" s="27"/>
      <c r="I372" s="28"/>
    </row>
    <row r="373" spans="2:9" ht="27" x14ac:dyDescent="0.2">
      <c r="B373" s="23" t="str">
        <f t="shared" si="3"/>
        <v>2025-062-3</v>
      </c>
      <c r="C373" s="24">
        <v>2025</v>
      </c>
      <c r="D373" s="25" t="s">
        <v>64</v>
      </c>
      <c r="E373" s="24">
        <v>3</v>
      </c>
      <c r="F373" s="26" t="s">
        <v>2316</v>
      </c>
      <c r="G373" s="24"/>
      <c r="H373" s="27"/>
      <c r="I373" s="28"/>
    </row>
    <row r="374" spans="2:9" ht="27" x14ac:dyDescent="0.2">
      <c r="B374" s="23" t="str">
        <f t="shared" si="3"/>
        <v>2025-062-4</v>
      </c>
      <c r="C374" s="24">
        <v>2025</v>
      </c>
      <c r="D374" s="25" t="s">
        <v>64</v>
      </c>
      <c r="E374" s="24">
        <v>4</v>
      </c>
      <c r="F374" s="26" t="s">
        <v>2378</v>
      </c>
      <c r="G374" s="24" t="s">
        <v>2735</v>
      </c>
      <c r="H374" s="27"/>
      <c r="I374" s="28"/>
    </row>
    <row r="375" spans="2:9" ht="27" x14ac:dyDescent="0.2">
      <c r="B375" s="29" t="str">
        <f t="shared" si="3"/>
        <v>2025-062-5</v>
      </c>
      <c r="C375" s="30">
        <v>2025</v>
      </c>
      <c r="D375" s="31" t="s">
        <v>64</v>
      </c>
      <c r="E375" s="30">
        <v>5</v>
      </c>
      <c r="F375" s="32" t="s">
        <v>2437</v>
      </c>
      <c r="G375" s="30"/>
      <c r="H375" s="33"/>
      <c r="I375" s="34"/>
    </row>
    <row r="376" spans="2:9" x14ac:dyDescent="0.2">
      <c r="B376" s="35" t="str">
        <f t="shared" si="3"/>
        <v>2025-063-0</v>
      </c>
      <c r="C376" s="36">
        <v>2025</v>
      </c>
      <c r="D376" s="37" t="s">
        <v>65</v>
      </c>
      <c r="E376" s="36">
        <v>0</v>
      </c>
      <c r="F376" s="38" t="s">
        <v>2129</v>
      </c>
      <c r="G376" s="36"/>
      <c r="H376" s="39"/>
      <c r="I376" s="40"/>
    </row>
    <row r="377" spans="2:9" x14ac:dyDescent="0.2">
      <c r="B377" s="23" t="str">
        <f t="shared" si="3"/>
        <v>2025-063-1</v>
      </c>
      <c r="C377" s="24">
        <v>2025</v>
      </c>
      <c r="D377" s="25" t="s">
        <v>65</v>
      </c>
      <c r="E377" s="24">
        <v>1</v>
      </c>
      <c r="F377" s="26" t="s">
        <v>2194</v>
      </c>
      <c r="G377" s="24"/>
      <c r="H377" s="27"/>
      <c r="I377" s="28"/>
    </row>
    <row r="378" spans="2:9" x14ac:dyDescent="0.2">
      <c r="B378" s="23" t="str">
        <f t="shared" si="3"/>
        <v>2025-063-2</v>
      </c>
      <c r="C378" s="24">
        <v>2025</v>
      </c>
      <c r="D378" s="25" t="s">
        <v>65</v>
      </c>
      <c r="E378" s="24">
        <v>2</v>
      </c>
      <c r="F378" s="26" t="s">
        <v>1559</v>
      </c>
      <c r="G378" s="24" t="s">
        <v>2735</v>
      </c>
      <c r="H378" s="27"/>
      <c r="I378" s="28"/>
    </row>
    <row r="379" spans="2:9" x14ac:dyDescent="0.2">
      <c r="B379" s="23" t="str">
        <f t="shared" si="3"/>
        <v>2025-063-3</v>
      </c>
      <c r="C379" s="24">
        <v>2025</v>
      </c>
      <c r="D379" s="25" t="s">
        <v>65</v>
      </c>
      <c r="E379" s="24">
        <v>3</v>
      </c>
      <c r="F379" s="26" t="s">
        <v>2317</v>
      </c>
      <c r="G379" s="24"/>
      <c r="H379" s="27"/>
      <c r="I379" s="28"/>
    </row>
    <row r="380" spans="2:9" x14ac:dyDescent="0.2">
      <c r="B380" s="23" t="str">
        <f t="shared" si="3"/>
        <v>2025-063-4</v>
      </c>
      <c r="C380" s="24">
        <v>2025</v>
      </c>
      <c r="D380" s="25" t="s">
        <v>65</v>
      </c>
      <c r="E380" s="24">
        <v>4</v>
      </c>
      <c r="F380" s="26" t="s">
        <v>2379</v>
      </c>
      <c r="G380" s="24"/>
      <c r="H380" s="27"/>
      <c r="I380" s="28"/>
    </row>
    <row r="381" spans="2:9" x14ac:dyDescent="0.2">
      <c r="B381" s="29" t="str">
        <f t="shared" si="3"/>
        <v>2025-063-5</v>
      </c>
      <c r="C381" s="30">
        <v>2025</v>
      </c>
      <c r="D381" s="31" t="s">
        <v>65</v>
      </c>
      <c r="E381" s="30">
        <v>5</v>
      </c>
      <c r="F381" s="32" t="s">
        <v>2438</v>
      </c>
      <c r="G381" s="30"/>
      <c r="H381" s="33"/>
      <c r="I381" s="34"/>
    </row>
    <row r="382" spans="2:9" x14ac:dyDescent="0.2">
      <c r="B382" s="35" t="str">
        <f t="shared" si="3"/>
        <v>2025-064-0</v>
      </c>
      <c r="C382" s="36">
        <v>2025</v>
      </c>
      <c r="D382" s="37" t="s">
        <v>66</v>
      </c>
      <c r="E382" s="36">
        <v>0</v>
      </c>
      <c r="F382" s="38" t="s">
        <v>2130</v>
      </c>
      <c r="G382" s="36"/>
      <c r="H382" s="39"/>
      <c r="I382" s="40"/>
    </row>
    <row r="383" spans="2:9" x14ac:dyDescent="0.2">
      <c r="B383" s="23" t="str">
        <f t="shared" ref="B383:B446" si="4">C383&amp;"-"&amp;D383&amp;"-"&amp;E383</f>
        <v>2025-064-1</v>
      </c>
      <c r="C383" s="24">
        <v>2025</v>
      </c>
      <c r="D383" s="25" t="s">
        <v>66</v>
      </c>
      <c r="E383" s="24">
        <v>1</v>
      </c>
      <c r="F383" s="26" t="s">
        <v>2195</v>
      </c>
      <c r="G383" s="24" t="s">
        <v>2735</v>
      </c>
      <c r="H383" s="27"/>
      <c r="I383" s="28"/>
    </row>
    <row r="384" spans="2:9" x14ac:dyDescent="0.2">
      <c r="B384" s="23" t="str">
        <f t="shared" si="4"/>
        <v>2025-064-2</v>
      </c>
      <c r="C384" s="24">
        <v>2025</v>
      </c>
      <c r="D384" s="25" t="s">
        <v>66</v>
      </c>
      <c r="E384" s="24">
        <v>2</v>
      </c>
      <c r="F384" s="26" t="s">
        <v>2256</v>
      </c>
      <c r="G384" s="24"/>
      <c r="H384" s="27"/>
      <c r="I384" s="28"/>
    </row>
    <row r="385" spans="2:9" x14ac:dyDescent="0.2">
      <c r="B385" s="23" t="str">
        <f t="shared" si="4"/>
        <v>2025-064-3</v>
      </c>
      <c r="C385" s="24">
        <v>2025</v>
      </c>
      <c r="D385" s="25" t="s">
        <v>66</v>
      </c>
      <c r="E385" s="24">
        <v>3</v>
      </c>
      <c r="F385" s="26" t="s">
        <v>2318</v>
      </c>
      <c r="G385" s="24"/>
      <c r="H385" s="27"/>
      <c r="I385" s="28"/>
    </row>
    <row r="386" spans="2:9" ht="27" x14ac:dyDescent="0.2">
      <c r="B386" s="23" t="str">
        <f t="shared" si="4"/>
        <v>2025-064-4</v>
      </c>
      <c r="C386" s="24">
        <v>2025</v>
      </c>
      <c r="D386" s="25" t="s">
        <v>66</v>
      </c>
      <c r="E386" s="24">
        <v>4</v>
      </c>
      <c r="F386" s="26" t="s">
        <v>2380</v>
      </c>
      <c r="G386" s="24"/>
      <c r="H386" s="27"/>
      <c r="I386" s="28"/>
    </row>
    <row r="387" spans="2:9" x14ac:dyDescent="0.2">
      <c r="B387" s="29" t="str">
        <f t="shared" si="4"/>
        <v>2025-064-5</v>
      </c>
      <c r="C387" s="30">
        <v>2025</v>
      </c>
      <c r="D387" s="31" t="s">
        <v>66</v>
      </c>
      <c r="E387" s="30">
        <v>5</v>
      </c>
      <c r="F387" s="32" t="s">
        <v>1837</v>
      </c>
      <c r="G387" s="30"/>
      <c r="H387" s="33"/>
      <c r="I387" s="34"/>
    </row>
    <row r="388" spans="2:9" x14ac:dyDescent="0.2">
      <c r="B388" s="35" t="str">
        <f t="shared" si="4"/>
        <v>2025-065-0</v>
      </c>
      <c r="C388" s="36">
        <v>2025</v>
      </c>
      <c r="D388" s="37" t="s">
        <v>67</v>
      </c>
      <c r="E388" s="36">
        <v>0</v>
      </c>
      <c r="F388" s="38" t="s">
        <v>2131</v>
      </c>
      <c r="G388" s="36"/>
      <c r="H388" s="39"/>
      <c r="I388" s="40"/>
    </row>
    <row r="389" spans="2:9" x14ac:dyDescent="0.2">
      <c r="B389" s="23" t="str">
        <f t="shared" si="4"/>
        <v>2025-065-1</v>
      </c>
      <c r="C389" s="24">
        <v>2025</v>
      </c>
      <c r="D389" s="25" t="s">
        <v>67</v>
      </c>
      <c r="E389" s="24">
        <v>1</v>
      </c>
      <c r="F389" s="26" t="s">
        <v>2196</v>
      </c>
      <c r="G389" s="24"/>
      <c r="H389" s="27"/>
      <c r="I389" s="28"/>
    </row>
    <row r="390" spans="2:9" ht="27" x14ac:dyDescent="0.2">
      <c r="B390" s="23" t="str">
        <f t="shared" si="4"/>
        <v>2025-065-2</v>
      </c>
      <c r="C390" s="24">
        <v>2025</v>
      </c>
      <c r="D390" s="25" t="s">
        <v>67</v>
      </c>
      <c r="E390" s="24">
        <v>2</v>
      </c>
      <c r="F390" s="26" t="s">
        <v>2257</v>
      </c>
      <c r="G390" s="24"/>
      <c r="H390" s="27"/>
      <c r="I390" s="28"/>
    </row>
    <row r="391" spans="2:9" ht="27" x14ac:dyDescent="0.2">
      <c r="B391" s="23" t="str">
        <f t="shared" si="4"/>
        <v>2025-065-3</v>
      </c>
      <c r="C391" s="24">
        <v>2025</v>
      </c>
      <c r="D391" s="25" t="s">
        <v>67</v>
      </c>
      <c r="E391" s="24">
        <v>3</v>
      </c>
      <c r="F391" s="26" t="s">
        <v>2319</v>
      </c>
      <c r="G391" s="24"/>
      <c r="H391" s="27"/>
      <c r="I391" s="28"/>
    </row>
    <row r="392" spans="2:9" x14ac:dyDescent="0.2">
      <c r="B392" s="23" t="str">
        <f t="shared" si="4"/>
        <v>2025-065-4</v>
      </c>
      <c r="C392" s="24">
        <v>2025</v>
      </c>
      <c r="D392" s="25" t="s">
        <v>67</v>
      </c>
      <c r="E392" s="24">
        <v>4</v>
      </c>
      <c r="F392" s="26" t="s">
        <v>2381</v>
      </c>
      <c r="G392" s="24" t="s">
        <v>2735</v>
      </c>
      <c r="H392" s="27"/>
      <c r="I392" s="28"/>
    </row>
    <row r="393" spans="2:9" ht="27" x14ac:dyDescent="0.2">
      <c r="B393" s="29" t="str">
        <f t="shared" si="4"/>
        <v>2025-065-5</v>
      </c>
      <c r="C393" s="30">
        <v>2025</v>
      </c>
      <c r="D393" s="31" t="s">
        <v>67</v>
      </c>
      <c r="E393" s="30">
        <v>5</v>
      </c>
      <c r="F393" s="32" t="s">
        <v>3057</v>
      </c>
      <c r="G393" s="30"/>
      <c r="H393" s="33"/>
      <c r="I393" s="34"/>
    </row>
    <row r="394" spans="2:9" x14ac:dyDescent="0.2">
      <c r="B394" s="35" t="str">
        <f t="shared" si="4"/>
        <v>2025-066-0</v>
      </c>
      <c r="C394" s="36">
        <v>2025</v>
      </c>
      <c r="D394" s="37" t="s">
        <v>68</v>
      </c>
      <c r="E394" s="36">
        <v>0</v>
      </c>
      <c r="F394" s="38" t="s">
        <v>2132</v>
      </c>
      <c r="G394" s="36"/>
      <c r="H394" s="39"/>
      <c r="I394" s="40"/>
    </row>
    <row r="395" spans="2:9" x14ac:dyDescent="0.2">
      <c r="B395" s="23" t="str">
        <f t="shared" si="4"/>
        <v>2025-066-1</v>
      </c>
      <c r="C395" s="24">
        <v>2025</v>
      </c>
      <c r="D395" s="25" t="s">
        <v>68</v>
      </c>
      <c r="E395" s="24">
        <v>1</v>
      </c>
      <c r="F395" s="26" t="s">
        <v>2197</v>
      </c>
      <c r="G395" s="24"/>
      <c r="H395" s="27"/>
      <c r="I395" s="28"/>
    </row>
    <row r="396" spans="2:9" x14ac:dyDescent="0.2">
      <c r="B396" s="23" t="str">
        <f t="shared" si="4"/>
        <v>2025-066-2</v>
      </c>
      <c r="C396" s="24">
        <v>2025</v>
      </c>
      <c r="D396" s="25" t="s">
        <v>68</v>
      </c>
      <c r="E396" s="24">
        <v>2</v>
      </c>
      <c r="F396" s="26" t="s">
        <v>2258</v>
      </c>
      <c r="G396" s="24"/>
      <c r="H396" s="27"/>
      <c r="I396" s="28"/>
    </row>
    <row r="397" spans="2:9" ht="27" x14ac:dyDescent="0.2">
      <c r="B397" s="23" t="str">
        <f t="shared" si="4"/>
        <v>2025-066-3</v>
      </c>
      <c r="C397" s="24">
        <v>2025</v>
      </c>
      <c r="D397" s="25" t="s">
        <v>68</v>
      </c>
      <c r="E397" s="24">
        <v>3</v>
      </c>
      <c r="F397" s="26" t="s">
        <v>2320</v>
      </c>
      <c r="G397" s="24"/>
      <c r="H397" s="27"/>
      <c r="I397" s="28"/>
    </row>
    <row r="398" spans="2:9" ht="27" x14ac:dyDescent="0.2">
      <c r="B398" s="23" t="str">
        <f t="shared" si="4"/>
        <v>2025-066-4</v>
      </c>
      <c r="C398" s="24">
        <v>2025</v>
      </c>
      <c r="D398" s="25" t="s">
        <v>68</v>
      </c>
      <c r="E398" s="24">
        <v>4</v>
      </c>
      <c r="F398" s="26" t="s">
        <v>2382</v>
      </c>
      <c r="G398" s="24"/>
      <c r="H398" s="27"/>
      <c r="I398" s="28"/>
    </row>
    <row r="399" spans="2:9" x14ac:dyDescent="0.2">
      <c r="B399" s="29" t="str">
        <f t="shared" si="4"/>
        <v>2025-066-5</v>
      </c>
      <c r="C399" s="30">
        <v>2025</v>
      </c>
      <c r="D399" s="31" t="s">
        <v>68</v>
      </c>
      <c r="E399" s="30">
        <v>5</v>
      </c>
      <c r="F399" s="32" t="s">
        <v>2439</v>
      </c>
      <c r="G399" s="30" t="s">
        <v>2735</v>
      </c>
      <c r="H399" s="33"/>
      <c r="I399" s="34"/>
    </row>
    <row r="400" spans="2:9" x14ac:dyDescent="0.2">
      <c r="B400" s="35" t="str">
        <f t="shared" si="4"/>
        <v>2025-067-0</v>
      </c>
      <c r="C400" s="36">
        <v>2025</v>
      </c>
      <c r="D400" s="37" t="s">
        <v>69</v>
      </c>
      <c r="E400" s="36">
        <v>0</v>
      </c>
      <c r="F400" s="38" t="s">
        <v>2133</v>
      </c>
      <c r="G400" s="36"/>
      <c r="H400" s="39"/>
      <c r="I400" s="40"/>
    </row>
    <row r="401" spans="2:9" x14ac:dyDescent="0.2">
      <c r="B401" s="23" t="str">
        <f t="shared" si="4"/>
        <v>2025-067-1</v>
      </c>
      <c r="C401" s="24">
        <v>2025</v>
      </c>
      <c r="D401" s="25" t="s">
        <v>69</v>
      </c>
      <c r="E401" s="24">
        <v>1</v>
      </c>
      <c r="F401" s="26" t="s">
        <v>2198</v>
      </c>
      <c r="G401" s="24"/>
      <c r="H401" s="27"/>
      <c r="I401" s="28"/>
    </row>
    <row r="402" spans="2:9" x14ac:dyDescent="0.2">
      <c r="B402" s="23" t="str">
        <f t="shared" si="4"/>
        <v>2025-067-2</v>
      </c>
      <c r="C402" s="24">
        <v>2025</v>
      </c>
      <c r="D402" s="25" t="s">
        <v>69</v>
      </c>
      <c r="E402" s="24">
        <v>2</v>
      </c>
      <c r="F402" s="26" t="s">
        <v>2259</v>
      </c>
      <c r="G402" s="24" t="s">
        <v>2735</v>
      </c>
      <c r="H402" s="27"/>
      <c r="I402" s="28"/>
    </row>
    <row r="403" spans="2:9" x14ac:dyDescent="0.2">
      <c r="B403" s="23" t="str">
        <f t="shared" si="4"/>
        <v>2025-067-3</v>
      </c>
      <c r="C403" s="24">
        <v>2025</v>
      </c>
      <c r="D403" s="25" t="s">
        <v>69</v>
      </c>
      <c r="E403" s="24">
        <v>3</v>
      </c>
      <c r="F403" s="26" t="s">
        <v>2321</v>
      </c>
      <c r="G403" s="24"/>
      <c r="H403" s="27"/>
      <c r="I403" s="28"/>
    </row>
    <row r="404" spans="2:9" x14ac:dyDescent="0.2">
      <c r="B404" s="23" t="str">
        <f t="shared" si="4"/>
        <v>2025-067-4</v>
      </c>
      <c r="C404" s="24">
        <v>2025</v>
      </c>
      <c r="D404" s="25" t="s">
        <v>69</v>
      </c>
      <c r="E404" s="24">
        <v>4</v>
      </c>
      <c r="F404" s="26" t="s">
        <v>2383</v>
      </c>
      <c r="G404" s="24"/>
      <c r="H404" s="27"/>
      <c r="I404" s="28"/>
    </row>
    <row r="405" spans="2:9" x14ac:dyDescent="0.2">
      <c r="B405" s="29" t="str">
        <f t="shared" si="4"/>
        <v>2025-067-5</v>
      </c>
      <c r="C405" s="30">
        <v>2025</v>
      </c>
      <c r="D405" s="31" t="s">
        <v>69</v>
      </c>
      <c r="E405" s="30">
        <v>5</v>
      </c>
      <c r="F405" s="32" t="s">
        <v>2440</v>
      </c>
      <c r="G405" s="30"/>
      <c r="H405" s="33"/>
      <c r="I405" s="34"/>
    </row>
    <row r="406" spans="2:9" ht="67.5" x14ac:dyDescent="0.2">
      <c r="B406" s="35" t="str">
        <f t="shared" si="4"/>
        <v>2025-068-0</v>
      </c>
      <c r="C406" s="36">
        <v>2025</v>
      </c>
      <c r="D406" s="37" t="s">
        <v>70</v>
      </c>
      <c r="E406" s="36">
        <v>0</v>
      </c>
      <c r="F406" s="38" t="s">
        <v>2134</v>
      </c>
      <c r="G406" s="36"/>
      <c r="H406" s="39"/>
      <c r="I406" s="40"/>
    </row>
    <row r="407" spans="2:9" x14ac:dyDescent="0.2">
      <c r="B407" s="23" t="str">
        <f t="shared" si="4"/>
        <v>2025-068-1</v>
      </c>
      <c r="C407" s="24">
        <v>2025</v>
      </c>
      <c r="D407" s="25" t="s">
        <v>70</v>
      </c>
      <c r="E407" s="24">
        <v>1</v>
      </c>
      <c r="F407" s="26">
        <v>1</v>
      </c>
      <c r="G407" s="24"/>
      <c r="H407" s="27"/>
      <c r="I407" s="28"/>
    </row>
    <row r="408" spans="2:9" x14ac:dyDescent="0.2">
      <c r="B408" s="23" t="str">
        <f t="shared" si="4"/>
        <v>2025-068-2</v>
      </c>
      <c r="C408" s="24">
        <v>2025</v>
      </c>
      <c r="D408" s="25" t="s">
        <v>70</v>
      </c>
      <c r="E408" s="24">
        <v>2</v>
      </c>
      <c r="F408" s="26">
        <v>2</v>
      </c>
      <c r="G408" s="24"/>
      <c r="H408" s="27"/>
      <c r="I408" s="28"/>
    </row>
    <row r="409" spans="2:9" x14ac:dyDescent="0.2">
      <c r="B409" s="23" t="str">
        <f t="shared" si="4"/>
        <v>2025-068-3</v>
      </c>
      <c r="C409" s="24">
        <v>2025</v>
      </c>
      <c r="D409" s="25" t="s">
        <v>70</v>
      </c>
      <c r="E409" s="24">
        <v>3</v>
      </c>
      <c r="F409" s="26">
        <v>14</v>
      </c>
      <c r="G409" s="24"/>
      <c r="H409" s="27"/>
      <c r="I409" s="28"/>
    </row>
    <row r="410" spans="2:9" x14ac:dyDescent="0.2">
      <c r="B410" s="23" t="str">
        <f t="shared" si="4"/>
        <v>2025-068-4</v>
      </c>
      <c r="C410" s="24">
        <v>2025</v>
      </c>
      <c r="D410" s="25" t="s">
        <v>70</v>
      </c>
      <c r="E410" s="24">
        <v>4</v>
      </c>
      <c r="F410" s="26">
        <v>20</v>
      </c>
      <c r="G410" s="24" t="s">
        <v>2735</v>
      </c>
      <c r="H410" s="27"/>
      <c r="I410" s="28"/>
    </row>
    <row r="411" spans="2:9" x14ac:dyDescent="0.2">
      <c r="B411" s="29" t="str">
        <f t="shared" si="4"/>
        <v>2025-068-5</v>
      </c>
      <c r="C411" s="30">
        <v>2025</v>
      </c>
      <c r="D411" s="31" t="s">
        <v>70</v>
      </c>
      <c r="E411" s="30">
        <v>5</v>
      </c>
      <c r="F411" s="32">
        <v>60</v>
      </c>
      <c r="G411" s="30"/>
      <c r="H411" s="33"/>
      <c r="I411" s="34"/>
    </row>
    <row r="412" spans="2:9" x14ac:dyDescent="0.2">
      <c r="B412" s="35" t="str">
        <f t="shared" si="4"/>
        <v>2025-069-0</v>
      </c>
      <c r="C412" s="36">
        <v>2025</v>
      </c>
      <c r="D412" s="37" t="s">
        <v>71</v>
      </c>
      <c r="E412" s="36">
        <v>0</v>
      </c>
      <c r="F412" s="38" t="s">
        <v>2135</v>
      </c>
      <c r="G412" s="36"/>
      <c r="H412" s="39"/>
      <c r="I412" s="40"/>
    </row>
    <row r="413" spans="2:9" x14ac:dyDescent="0.2">
      <c r="B413" s="23" t="str">
        <f t="shared" si="4"/>
        <v>2025-069-1</v>
      </c>
      <c r="C413" s="24">
        <v>2025</v>
      </c>
      <c r="D413" s="25" t="s">
        <v>71</v>
      </c>
      <c r="E413" s="24">
        <v>1</v>
      </c>
      <c r="F413" s="26" t="s">
        <v>2199</v>
      </c>
      <c r="G413" s="24"/>
      <c r="H413" s="27"/>
      <c r="I413" s="28"/>
    </row>
    <row r="414" spans="2:9" x14ac:dyDescent="0.2">
      <c r="B414" s="23" t="str">
        <f t="shared" si="4"/>
        <v>2025-069-2</v>
      </c>
      <c r="C414" s="24">
        <v>2025</v>
      </c>
      <c r="D414" s="25" t="s">
        <v>71</v>
      </c>
      <c r="E414" s="24">
        <v>2</v>
      </c>
      <c r="F414" s="26" t="s">
        <v>2260</v>
      </c>
      <c r="G414" s="24"/>
      <c r="H414" s="27"/>
      <c r="I414" s="28"/>
    </row>
    <row r="415" spans="2:9" x14ac:dyDescent="0.2">
      <c r="B415" s="23" t="str">
        <f t="shared" si="4"/>
        <v>2025-069-3</v>
      </c>
      <c r="C415" s="24">
        <v>2025</v>
      </c>
      <c r="D415" s="25" t="s">
        <v>71</v>
      </c>
      <c r="E415" s="24">
        <v>3</v>
      </c>
      <c r="F415" s="26" t="s">
        <v>2322</v>
      </c>
      <c r="G415" s="24" t="s">
        <v>2735</v>
      </c>
      <c r="H415" s="27"/>
      <c r="I415" s="28"/>
    </row>
    <row r="416" spans="2:9" x14ac:dyDescent="0.2">
      <c r="B416" s="23" t="str">
        <f t="shared" si="4"/>
        <v>2025-069-4</v>
      </c>
      <c r="C416" s="24">
        <v>2025</v>
      </c>
      <c r="D416" s="25" t="s">
        <v>71</v>
      </c>
      <c r="E416" s="24">
        <v>4</v>
      </c>
      <c r="F416" s="26" t="s">
        <v>2384</v>
      </c>
      <c r="G416" s="24"/>
      <c r="H416" s="27"/>
      <c r="I416" s="28"/>
    </row>
    <row r="417" spans="2:9" x14ac:dyDescent="0.2">
      <c r="B417" s="29" t="str">
        <f t="shared" si="4"/>
        <v>2025-069-5</v>
      </c>
      <c r="C417" s="30">
        <v>2025</v>
      </c>
      <c r="D417" s="31" t="s">
        <v>71</v>
      </c>
      <c r="E417" s="30">
        <v>5</v>
      </c>
      <c r="F417" s="32" t="s">
        <v>2441</v>
      </c>
      <c r="G417" s="30"/>
      <c r="H417" s="33"/>
      <c r="I417" s="34"/>
    </row>
    <row r="418" spans="2:9" x14ac:dyDescent="0.2">
      <c r="B418" s="35" t="str">
        <f t="shared" si="4"/>
        <v>2025-070-0</v>
      </c>
      <c r="C418" s="36">
        <v>2025</v>
      </c>
      <c r="D418" s="37" t="s">
        <v>72</v>
      </c>
      <c r="E418" s="36">
        <v>0</v>
      </c>
      <c r="F418" s="38" t="s">
        <v>2136</v>
      </c>
      <c r="G418" s="36"/>
      <c r="H418" s="39"/>
      <c r="I418" s="40"/>
    </row>
    <row r="419" spans="2:9" x14ac:dyDescent="0.2">
      <c r="B419" s="23" t="str">
        <f t="shared" si="4"/>
        <v>2025-070-1</v>
      </c>
      <c r="C419" s="24">
        <v>2025</v>
      </c>
      <c r="D419" s="25" t="s">
        <v>72</v>
      </c>
      <c r="E419" s="24">
        <v>1</v>
      </c>
      <c r="F419" s="26" t="s">
        <v>2200</v>
      </c>
      <c r="G419" s="24"/>
      <c r="H419" s="27"/>
      <c r="I419" s="28"/>
    </row>
    <row r="420" spans="2:9" x14ac:dyDescent="0.2">
      <c r="B420" s="23" t="str">
        <f t="shared" si="4"/>
        <v>2025-070-2</v>
      </c>
      <c r="C420" s="24">
        <v>2025</v>
      </c>
      <c r="D420" s="25" t="s">
        <v>72</v>
      </c>
      <c r="E420" s="24">
        <v>2</v>
      </c>
      <c r="F420" s="26" t="s">
        <v>2261</v>
      </c>
      <c r="G420" s="24" t="s">
        <v>2735</v>
      </c>
      <c r="H420" s="27"/>
      <c r="I420" s="28"/>
    </row>
    <row r="421" spans="2:9" x14ac:dyDescent="0.2">
      <c r="B421" s="23" t="str">
        <f t="shared" si="4"/>
        <v>2025-070-3</v>
      </c>
      <c r="C421" s="24">
        <v>2025</v>
      </c>
      <c r="D421" s="25" t="s">
        <v>72</v>
      </c>
      <c r="E421" s="24">
        <v>3</v>
      </c>
      <c r="F421" s="26" t="s">
        <v>2323</v>
      </c>
      <c r="G421" s="24"/>
      <c r="H421" s="27"/>
      <c r="I421" s="28"/>
    </row>
    <row r="422" spans="2:9" x14ac:dyDescent="0.2">
      <c r="B422" s="23" t="str">
        <f t="shared" si="4"/>
        <v>2025-070-4</v>
      </c>
      <c r="C422" s="24">
        <v>2025</v>
      </c>
      <c r="D422" s="25" t="s">
        <v>72</v>
      </c>
      <c r="E422" s="24">
        <v>4</v>
      </c>
      <c r="F422" s="26" t="s">
        <v>2385</v>
      </c>
      <c r="G422" s="24"/>
      <c r="H422" s="27"/>
      <c r="I422" s="28"/>
    </row>
    <row r="423" spans="2:9" x14ac:dyDescent="0.2">
      <c r="B423" s="29" t="str">
        <f t="shared" si="4"/>
        <v>2025-070-5</v>
      </c>
      <c r="C423" s="30">
        <v>2025</v>
      </c>
      <c r="D423" s="31" t="s">
        <v>72</v>
      </c>
      <c r="E423" s="30">
        <v>5</v>
      </c>
      <c r="F423" s="32" t="s">
        <v>2442</v>
      </c>
      <c r="G423" s="30"/>
      <c r="H423" s="33"/>
      <c r="I423" s="34"/>
    </row>
    <row r="424" spans="2:9" x14ac:dyDescent="0.2">
      <c r="B424" s="35" t="str">
        <f t="shared" si="4"/>
        <v>2025-071-0</v>
      </c>
      <c r="C424" s="36">
        <v>2025</v>
      </c>
      <c r="D424" s="37" t="s">
        <v>73</v>
      </c>
      <c r="E424" s="36">
        <v>0</v>
      </c>
      <c r="F424" s="38" t="s">
        <v>2137</v>
      </c>
      <c r="G424" s="36"/>
      <c r="H424" s="39"/>
      <c r="I424" s="40"/>
    </row>
    <row r="425" spans="2:9" x14ac:dyDescent="0.2">
      <c r="B425" s="23" t="str">
        <f t="shared" si="4"/>
        <v>2025-071-1</v>
      </c>
      <c r="C425" s="24">
        <v>2025</v>
      </c>
      <c r="D425" s="25" t="s">
        <v>73</v>
      </c>
      <c r="E425" s="24">
        <v>1</v>
      </c>
      <c r="F425" s="26" t="s">
        <v>1856</v>
      </c>
      <c r="G425" s="24"/>
      <c r="H425" s="27"/>
      <c r="I425" s="28"/>
    </row>
    <row r="426" spans="2:9" x14ac:dyDescent="0.2">
      <c r="B426" s="23" t="str">
        <f t="shared" si="4"/>
        <v>2025-071-2</v>
      </c>
      <c r="C426" s="24">
        <v>2025</v>
      </c>
      <c r="D426" s="25" t="s">
        <v>73</v>
      </c>
      <c r="E426" s="24">
        <v>2</v>
      </c>
      <c r="F426" s="26" t="s">
        <v>2262</v>
      </c>
      <c r="G426" s="24"/>
      <c r="H426" s="27"/>
      <c r="I426" s="28"/>
    </row>
    <row r="427" spans="2:9" x14ac:dyDescent="0.2">
      <c r="B427" s="23" t="str">
        <f t="shared" si="4"/>
        <v>2025-071-3</v>
      </c>
      <c r="C427" s="24">
        <v>2025</v>
      </c>
      <c r="D427" s="25" t="s">
        <v>73</v>
      </c>
      <c r="E427" s="24">
        <v>3</v>
      </c>
      <c r="F427" s="26" t="s">
        <v>2324</v>
      </c>
      <c r="G427" s="24" t="s">
        <v>2735</v>
      </c>
      <c r="H427" s="27"/>
      <c r="I427" s="28"/>
    </row>
    <row r="428" spans="2:9" x14ac:dyDescent="0.2">
      <c r="B428" s="23" t="str">
        <f t="shared" si="4"/>
        <v>2025-071-4</v>
      </c>
      <c r="C428" s="24">
        <v>2025</v>
      </c>
      <c r="D428" s="25" t="s">
        <v>73</v>
      </c>
      <c r="E428" s="24">
        <v>4</v>
      </c>
      <c r="F428" s="26" t="s">
        <v>2386</v>
      </c>
      <c r="G428" s="24"/>
      <c r="H428" s="27"/>
      <c r="I428" s="28"/>
    </row>
    <row r="429" spans="2:9" x14ac:dyDescent="0.2">
      <c r="B429" s="29" t="str">
        <f t="shared" si="4"/>
        <v>2025-071-5</v>
      </c>
      <c r="C429" s="30">
        <v>2025</v>
      </c>
      <c r="D429" s="31" t="s">
        <v>73</v>
      </c>
      <c r="E429" s="30">
        <v>5</v>
      </c>
      <c r="F429" s="32" t="s">
        <v>2443</v>
      </c>
      <c r="G429" s="30"/>
      <c r="H429" s="33"/>
      <c r="I429" s="34"/>
    </row>
    <row r="430" spans="2:9" x14ac:dyDescent="0.2">
      <c r="B430" s="35" t="str">
        <f t="shared" si="4"/>
        <v>2025-072-0</v>
      </c>
      <c r="C430" s="36">
        <v>2025</v>
      </c>
      <c r="D430" s="37" t="s">
        <v>74</v>
      </c>
      <c r="E430" s="36">
        <v>0</v>
      </c>
      <c r="F430" s="38" t="s">
        <v>2138</v>
      </c>
      <c r="G430" s="36"/>
      <c r="H430" s="39"/>
      <c r="I430" s="40"/>
    </row>
    <row r="431" spans="2:9" x14ac:dyDescent="0.2">
      <c r="B431" s="23" t="str">
        <f t="shared" si="4"/>
        <v>2025-072-1</v>
      </c>
      <c r="C431" s="24">
        <v>2025</v>
      </c>
      <c r="D431" s="25" t="s">
        <v>74</v>
      </c>
      <c r="E431" s="24">
        <v>1</v>
      </c>
      <c r="F431" s="26" t="s">
        <v>2201</v>
      </c>
      <c r="G431" s="24"/>
      <c r="H431" s="27"/>
      <c r="I431" s="28"/>
    </row>
    <row r="432" spans="2:9" x14ac:dyDescent="0.2">
      <c r="B432" s="23" t="str">
        <f t="shared" si="4"/>
        <v>2025-072-2</v>
      </c>
      <c r="C432" s="24">
        <v>2025</v>
      </c>
      <c r="D432" s="25" t="s">
        <v>74</v>
      </c>
      <c r="E432" s="24">
        <v>2</v>
      </c>
      <c r="F432" s="26" t="s">
        <v>691</v>
      </c>
      <c r="G432" s="24"/>
      <c r="H432" s="27"/>
      <c r="I432" s="28"/>
    </row>
    <row r="433" spans="2:9" x14ac:dyDescent="0.2">
      <c r="B433" s="23" t="str">
        <f t="shared" si="4"/>
        <v>2025-072-3</v>
      </c>
      <c r="C433" s="24">
        <v>2025</v>
      </c>
      <c r="D433" s="25" t="s">
        <v>74</v>
      </c>
      <c r="E433" s="24">
        <v>3</v>
      </c>
      <c r="F433" s="26" t="s">
        <v>2325</v>
      </c>
      <c r="G433" s="24"/>
      <c r="H433" s="27"/>
      <c r="I433" s="28"/>
    </row>
    <row r="434" spans="2:9" x14ac:dyDescent="0.2">
      <c r="B434" s="23" t="str">
        <f t="shared" si="4"/>
        <v>2025-072-4</v>
      </c>
      <c r="C434" s="24">
        <v>2025</v>
      </c>
      <c r="D434" s="25" t="s">
        <v>74</v>
      </c>
      <c r="E434" s="24">
        <v>4</v>
      </c>
      <c r="F434" s="26" t="s">
        <v>2387</v>
      </c>
      <c r="G434" s="24" t="s">
        <v>2735</v>
      </c>
      <c r="H434" s="27"/>
      <c r="I434" s="28"/>
    </row>
    <row r="435" spans="2:9" x14ac:dyDescent="0.2">
      <c r="B435" s="29" t="str">
        <f t="shared" si="4"/>
        <v>2025-072-5</v>
      </c>
      <c r="C435" s="30">
        <v>2025</v>
      </c>
      <c r="D435" s="31" t="s">
        <v>74</v>
      </c>
      <c r="E435" s="30">
        <v>5</v>
      </c>
      <c r="F435" s="32" t="s">
        <v>2444</v>
      </c>
      <c r="G435" s="30"/>
      <c r="H435" s="33"/>
      <c r="I435" s="34"/>
    </row>
    <row r="436" spans="2:9" x14ac:dyDescent="0.2">
      <c r="B436" s="35" t="str">
        <f t="shared" si="4"/>
        <v>2025-073-0</v>
      </c>
      <c r="C436" s="36">
        <v>2025</v>
      </c>
      <c r="D436" s="37" t="s">
        <v>75</v>
      </c>
      <c r="E436" s="36">
        <v>0</v>
      </c>
      <c r="F436" s="38" t="s">
        <v>2139</v>
      </c>
      <c r="G436" s="36"/>
      <c r="H436" s="39"/>
      <c r="I436" s="40"/>
    </row>
    <row r="437" spans="2:9" x14ac:dyDescent="0.2">
      <c r="B437" s="23" t="str">
        <f t="shared" si="4"/>
        <v>2025-073-1</v>
      </c>
      <c r="C437" s="24">
        <v>2025</v>
      </c>
      <c r="D437" s="25" t="s">
        <v>75</v>
      </c>
      <c r="E437" s="24">
        <v>1</v>
      </c>
      <c r="F437" s="26" t="s">
        <v>2202</v>
      </c>
      <c r="G437" s="24"/>
      <c r="H437" s="27"/>
      <c r="I437" s="28"/>
    </row>
    <row r="438" spans="2:9" x14ac:dyDescent="0.2">
      <c r="B438" s="23" t="str">
        <f t="shared" si="4"/>
        <v>2025-073-2</v>
      </c>
      <c r="C438" s="24">
        <v>2025</v>
      </c>
      <c r="D438" s="25" t="s">
        <v>75</v>
      </c>
      <c r="E438" s="24">
        <v>2</v>
      </c>
      <c r="F438" s="26" t="s">
        <v>3058</v>
      </c>
      <c r="G438" s="24"/>
      <c r="H438" s="27"/>
      <c r="I438" s="28"/>
    </row>
    <row r="439" spans="2:9" x14ac:dyDescent="0.2">
      <c r="B439" s="23" t="str">
        <f t="shared" si="4"/>
        <v>2025-073-3</v>
      </c>
      <c r="C439" s="24">
        <v>2025</v>
      </c>
      <c r="D439" s="25" t="s">
        <v>75</v>
      </c>
      <c r="E439" s="24">
        <v>3</v>
      </c>
      <c r="F439" s="26" t="s">
        <v>2326</v>
      </c>
      <c r="G439" s="24"/>
      <c r="H439" s="27"/>
      <c r="I439" s="28"/>
    </row>
    <row r="440" spans="2:9" x14ac:dyDescent="0.2">
      <c r="B440" s="23" t="str">
        <f t="shared" si="4"/>
        <v>2025-073-4</v>
      </c>
      <c r="C440" s="24">
        <v>2025</v>
      </c>
      <c r="D440" s="25" t="s">
        <v>75</v>
      </c>
      <c r="E440" s="24">
        <v>4</v>
      </c>
      <c r="F440" s="26" t="s">
        <v>2388</v>
      </c>
      <c r="G440" s="24"/>
      <c r="H440" s="27"/>
      <c r="I440" s="28"/>
    </row>
    <row r="441" spans="2:9" x14ac:dyDescent="0.2">
      <c r="B441" s="29" t="str">
        <f t="shared" si="4"/>
        <v>2025-073-5</v>
      </c>
      <c r="C441" s="30">
        <v>2025</v>
      </c>
      <c r="D441" s="31" t="s">
        <v>75</v>
      </c>
      <c r="E441" s="30">
        <v>5</v>
      </c>
      <c r="F441" s="32" t="s">
        <v>2445</v>
      </c>
      <c r="G441" s="30" t="s">
        <v>2735</v>
      </c>
      <c r="H441" s="33"/>
      <c r="I441" s="34"/>
    </row>
    <row r="442" spans="2:9" x14ac:dyDescent="0.2">
      <c r="B442" s="35" t="str">
        <f t="shared" si="4"/>
        <v>2025-074-0</v>
      </c>
      <c r="C442" s="36">
        <v>2025</v>
      </c>
      <c r="D442" s="37" t="s">
        <v>76</v>
      </c>
      <c r="E442" s="36">
        <v>0</v>
      </c>
      <c r="F442" s="38" t="s">
        <v>2140</v>
      </c>
      <c r="G442" s="36"/>
      <c r="H442" s="39"/>
      <c r="I442" s="40"/>
    </row>
    <row r="443" spans="2:9" ht="27" x14ac:dyDescent="0.2">
      <c r="B443" s="23" t="str">
        <f t="shared" si="4"/>
        <v>2025-074-1</v>
      </c>
      <c r="C443" s="24">
        <v>2025</v>
      </c>
      <c r="D443" s="25" t="s">
        <v>76</v>
      </c>
      <c r="E443" s="24">
        <v>1</v>
      </c>
      <c r="F443" s="26" t="s">
        <v>2203</v>
      </c>
      <c r="G443" s="24"/>
      <c r="H443" s="27"/>
      <c r="I443" s="28"/>
    </row>
    <row r="444" spans="2:9" ht="27" x14ac:dyDescent="0.2">
      <c r="B444" s="23" t="str">
        <f t="shared" si="4"/>
        <v>2025-074-2</v>
      </c>
      <c r="C444" s="24">
        <v>2025</v>
      </c>
      <c r="D444" s="25" t="s">
        <v>76</v>
      </c>
      <c r="E444" s="24">
        <v>2</v>
      </c>
      <c r="F444" s="26" t="s">
        <v>2263</v>
      </c>
      <c r="G444" s="24"/>
      <c r="H444" s="27"/>
      <c r="I444" s="28"/>
    </row>
    <row r="445" spans="2:9" x14ac:dyDescent="0.2">
      <c r="B445" s="23" t="str">
        <f t="shared" si="4"/>
        <v>2025-074-3</v>
      </c>
      <c r="C445" s="24">
        <v>2025</v>
      </c>
      <c r="D445" s="25" t="s">
        <v>76</v>
      </c>
      <c r="E445" s="24">
        <v>3</v>
      </c>
      <c r="F445" s="26" t="s">
        <v>2327</v>
      </c>
      <c r="G445" s="24"/>
      <c r="H445" s="27"/>
      <c r="I445" s="28"/>
    </row>
    <row r="446" spans="2:9" x14ac:dyDescent="0.2">
      <c r="B446" s="23" t="str">
        <f t="shared" si="4"/>
        <v>2025-074-4</v>
      </c>
      <c r="C446" s="24">
        <v>2025</v>
      </c>
      <c r="D446" s="25" t="s">
        <v>76</v>
      </c>
      <c r="E446" s="24">
        <v>4</v>
      </c>
      <c r="F446" s="26" t="s">
        <v>2389</v>
      </c>
      <c r="G446" s="24" t="s">
        <v>2735</v>
      </c>
      <c r="H446" s="27"/>
      <c r="I446" s="28"/>
    </row>
    <row r="447" spans="2:9" ht="27" x14ac:dyDescent="0.2">
      <c r="B447" s="29" t="str">
        <f t="shared" ref="B447:B483" si="5">C447&amp;"-"&amp;D447&amp;"-"&amp;E447</f>
        <v>2025-074-5</v>
      </c>
      <c r="C447" s="30">
        <v>2025</v>
      </c>
      <c r="D447" s="31" t="s">
        <v>76</v>
      </c>
      <c r="E447" s="30">
        <v>5</v>
      </c>
      <c r="F447" s="32" t="s">
        <v>2446</v>
      </c>
      <c r="G447" s="30"/>
      <c r="H447" s="33"/>
      <c r="I447" s="34"/>
    </row>
    <row r="448" spans="2:9" ht="54" x14ac:dyDescent="0.2">
      <c r="B448" s="35" t="str">
        <f t="shared" si="5"/>
        <v>2025-075-0</v>
      </c>
      <c r="C448" s="36">
        <v>2025</v>
      </c>
      <c r="D448" s="37" t="s">
        <v>77</v>
      </c>
      <c r="E448" s="36">
        <v>0</v>
      </c>
      <c r="F448" s="38" t="s">
        <v>3059</v>
      </c>
      <c r="G448" s="36"/>
      <c r="H448" s="39"/>
      <c r="I448" s="40"/>
    </row>
    <row r="449" spans="2:9" x14ac:dyDescent="0.2">
      <c r="B449" s="23" t="str">
        <f t="shared" si="5"/>
        <v>2025-075-1</v>
      </c>
      <c r="C449" s="24">
        <v>2025</v>
      </c>
      <c r="D449" s="25" t="s">
        <v>77</v>
      </c>
      <c r="E449" s="24">
        <v>1</v>
      </c>
      <c r="F449" s="26" t="s">
        <v>2204</v>
      </c>
      <c r="G449" s="24"/>
      <c r="H449" s="27"/>
      <c r="I449" s="28"/>
    </row>
    <row r="450" spans="2:9" x14ac:dyDescent="0.2">
      <c r="B450" s="23" t="str">
        <f t="shared" si="5"/>
        <v>2025-075-2</v>
      </c>
      <c r="C450" s="24">
        <v>2025</v>
      </c>
      <c r="D450" s="25" t="s">
        <v>77</v>
      </c>
      <c r="E450" s="24">
        <v>2</v>
      </c>
      <c r="F450" s="26" t="s">
        <v>2264</v>
      </c>
      <c r="G450" s="24" t="s">
        <v>2735</v>
      </c>
      <c r="H450" s="27"/>
      <c r="I450" s="28"/>
    </row>
    <row r="451" spans="2:9" x14ac:dyDescent="0.2">
      <c r="B451" s="23" t="str">
        <f t="shared" si="5"/>
        <v>2025-075-3</v>
      </c>
      <c r="C451" s="24">
        <v>2025</v>
      </c>
      <c r="D451" s="25" t="s">
        <v>77</v>
      </c>
      <c r="E451" s="24">
        <v>3</v>
      </c>
      <c r="F451" s="26" t="s">
        <v>2328</v>
      </c>
      <c r="G451" s="24"/>
      <c r="H451" s="27"/>
      <c r="I451" s="28"/>
    </row>
    <row r="452" spans="2:9" x14ac:dyDescent="0.2">
      <c r="B452" s="23" t="str">
        <f t="shared" si="5"/>
        <v>2025-075-4</v>
      </c>
      <c r="C452" s="24">
        <v>2025</v>
      </c>
      <c r="D452" s="25" t="s">
        <v>77</v>
      </c>
      <c r="E452" s="24">
        <v>4</v>
      </c>
      <c r="F452" s="26" t="s">
        <v>2390</v>
      </c>
      <c r="G452" s="24"/>
      <c r="H452" s="27"/>
      <c r="I452" s="28"/>
    </row>
    <row r="453" spans="2:9" x14ac:dyDescent="0.2">
      <c r="B453" s="29" t="str">
        <f t="shared" si="5"/>
        <v>2025-075-5</v>
      </c>
      <c r="C453" s="30">
        <v>2025</v>
      </c>
      <c r="D453" s="31" t="s">
        <v>77</v>
      </c>
      <c r="E453" s="30">
        <v>5</v>
      </c>
      <c r="F453" s="32" t="s">
        <v>2447</v>
      </c>
      <c r="G453" s="30"/>
      <c r="H453" s="33"/>
      <c r="I453" s="34"/>
    </row>
    <row r="454" spans="2:9" x14ac:dyDescent="0.2">
      <c r="B454" s="35" t="str">
        <f t="shared" si="5"/>
        <v>2025-076-0</v>
      </c>
      <c r="C454" s="36">
        <v>2025</v>
      </c>
      <c r="D454" s="37" t="s">
        <v>78</v>
      </c>
      <c r="E454" s="36">
        <v>0</v>
      </c>
      <c r="F454" s="38" t="s">
        <v>2141</v>
      </c>
      <c r="G454" s="36"/>
      <c r="H454" s="39"/>
      <c r="I454" s="40"/>
    </row>
    <row r="455" spans="2:9" x14ac:dyDescent="0.2">
      <c r="B455" s="23" t="str">
        <f t="shared" si="5"/>
        <v>2025-076-1</v>
      </c>
      <c r="C455" s="24">
        <v>2025</v>
      </c>
      <c r="D455" s="25" t="s">
        <v>78</v>
      </c>
      <c r="E455" s="24">
        <v>1</v>
      </c>
      <c r="F455" s="26" t="s">
        <v>2205</v>
      </c>
      <c r="G455" s="24"/>
      <c r="H455" s="27"/>
      <c r="I455" s="28"/>
    </row>
    <row r="456" spans="2:9" x14ac:dyDescent="0.2">
      <c r="B456" s="23" t="str">
        <f t="shared" si="5"/>
        <v>2025-076-2</v>
      </c>
      <c r="C456" s="24">
        <v>2025</v>
      </c>
      <c r="D456" s="25" t="s">
        <v>78</v>
      </c>
      <c r="E456" s="24">
        <v>2</v>
      </c>
      <c r="F456" s="26" t="s">
        <v>2265</v>
      </c>
      <c r="G456" s="24"/>
      <c r="H456" s="27"/>
      <c r="I456" s="28"/>
    </row>
    <row r="457" spans="2:9" ht="27" x14ac:dyDescent="0.2">
      <c r="B457" s="23" t="str">
        <f t="shared" si="5"/>
        <v>2025-076-3</v>
      </c>
      <c r="C457" s="24">
        <v>2025</v>
      </c>
      <c r="D457" s="25" t="s">
        <v>78</v>
      </c>
      <c r="E457" s="24">
        <v>3</v>
      </c>
      <c r="F457" s="26" t="s">
        <v>2329</v>
      </c>
      <c r="G457" s="24"/>
      <c r="H457" s="27"/>
      <c r="I457" s="28"/>
    </row>
    <row r="458" spans="2:9" x14ac:dyDescent="0.2">
      <c r="B458" s="23" t="str">
        <f t="shared" si="5"/>
        <v>2025-076-4</v>
      </c>
      <c r="C458" s="24">
        <v>2025</v>
      </c>
      <c r="D458" s="25" t="s">
        <v>78</v>
      </c>
      <c r="E458" s="24">
        <v>4</v>
      </c>
      <c r="F458" s="26" t="s">
        <v>2391</v>
      </c>
      <c r="G458" s="24"/>
      <c r="H458" s="27"/>
      <c r="I458" s="28"/>
    </row>
    <row r="459" spans="2:9" ht="27" x14ac:dyDescent="0.2">
      <c r="B459" s="29" t="str">
        <f t="shared" si="5"/>
        <v>2025-076-5</v>
      </c>
      <c r="C459" s="30">
        <v>2025</v>
      </c>
      <c r="D459" s="31" t="s">
        <v>78</v>
      </c>
      <c r="E459" s="30">
        <v>5</v>
      </c>
      <c r="F459" s="32" t="s">
        <v>2448</v>
      </c>
      <c r="G459" s="30" t="s">
        <v>2735</v>
      </c>
      <c r="H459" s="33"/>
      <c r="I459" s="34"/>
    </row>
    <row r="460" spans="2:9" x14ac:dyDescent="0.2">
      <c r="B460" s="35" t="str">
        <f t="shared" si="5"/>
        <v>2025-077-0</v>
      </c>
      <c r="C460" s="36">
        <v>2025</v>
      </c>
      <c r="D460" s="37" t="s">
        <v>79</v>
      </c>
      <c r="E460" s="36">
        <v>0</v>
      </c>
      <c r="F460" s="38" t="s">
        <v>2142</v>
      </c>
      <c r="G460" s="36"/>
      <c r="H460" s="39"/>
      <c r="I460" s="40"/>
    </row>
    <row r="461" spans="2:9" x14ac:dyDescent="0.2">
      <c r="B461" s="23" t="str">
        <f t="shared" si="5"/>
        <v>2025-077-1</v>
      </c>
      <c r="C461" s="24">
        <v>2025</v>
      </c>
      <c r="D461" s="25" t="s">
        <v>79</v>
      </c>
      <c r="E461" s="24">
        <v>1</v>
      </c>
      <c r="F461" s="26" t="s">
        <v>2206</v>
      </c>
      <c r="G461" s="24"/>
      <c r="H461" s="27"/>
      <c r="I461" s="28"/>
    </row>
    <row r="462" spans="2:9" ht="27" x14ac:dyDescent="0.2">
      <c r="B462" s="23" t="str">
        <f t="shared" si="5"/>
        <v>2025-077-2</v>
      </c>
      <c r="C462" s="24">
        <v>2025</v>
      </c>
      <c r="D462" s="25" t="s">
        <v>79</v>
      </c>
      <c r="E462" s="24">
        <v>2</v>
      </c>
      <c r="F462" s="26" t="s">
        <v>2266</v>
      </c>
      <c r="G462" s="24"/>
      <c r="H462" s="27"/>
      <c r="I462" s="28"/>
    </row>
    <row r="463" spans="2:9" x14ac:dyDescent="0.2">
      <c r="B463" s="23" t="str">
        <f t="shared" si="5"/>
        <v>2025-077-3</v>
      </c>
      <c r="C463" s="24">
        <v>2025</v>
      </c>
      <c r="D463" s="25" t="s">
        <v>79</v>
      </c>
      <c r="E463" s="24">
        <v>3</v>
      </c>
      <c r="F463" s="26" t="s">
        <v>2330</v>
      </c>
      <c r="G463" s="24" t="s">
        <v>2735</v>
      </c>
      <c r="H463" s="27"/>
      <c r="I463" s="28"/>
    </row>
    <row r="464" spans="2:9" x14ac:dyDescent="0.2">
      <c r="B464" s="23" t="str">
        <f t="shared" si="5"/>
        <v>2025-077-4</v>
      </c>
      <c r="C464" s="24">
        <v>2025</v>
      </c>
      <c r="D464" s="25" t="s">
        <v>79</v>
      </c>
      <c r="E464" s="24">
        <v>4</v>
      </c>
      <c r="F464" s="26" t="s">
        <v>2392</v>
      </c>
      <c r="G464" s="24"/>
      <c r="H464" s="27"/>
      <c r="I464" s="28"/>
    </row>
    <row r="465" spans="2:9" ht="27" x14ac:dyDescent="0.2">
      <c r="B465" s="29" t="str">
        <f t="shared" si="5"/>
        <v>2025-077-5</v>
      </c>
      <c r="C465" s="30">
        <v>2025</v>
      </c>
      <c r="D465" s="31" t="s">
        <v>79</v>
      </c>
      <c r="E465" s="30">
        <v>5</v>
      </c>
      <c r="F465" s="32" t="s">
        <v>653</v>
      </c>
      <c r="G465" s="30"/>
      <c r="H465" s="33"/>
      <c r="I465" s="34"/>
    </row>
    <row r="466" spans="2:9" x14ac:dyDescent="0.2">
      <c r="B466" s="35" t="str">
        <f t="shared" si="5"/>
        <v>2025-078-0</v>
      </c>
      <c r="C466" s="36">
        <v>2025</v>
      </c>
      <c r="D466" s="37" t="s">
        <v>80</v>
      </c>
      <c r="E466" s="36">
        <v>0</v>
      </c>
      <c r="F466" s="38" t="s">
        <v>2143</v>
      </c>
      <c r="G466" s="36"/>
      <c r="H466" s="39"/>
      <c r="I466" s="40"/>
    </row>
    <row r="467" spans="2:9" ht="27" x14ac:dyDescent="0.2">
      <c r="B467" s="23" t="str">
        <f t="shared" si="5"/>
        <v>2025-078-1</v>
      </c>
      <c r="C467" s="24">
        <v>2025</v>
      </c>
      <c r="D467" s="25" t="s">
        <v>80</v>
      </c>
      <c r="E467" s="24">
        <v>1</v>
      </c>
      <c r="F467" s="26" t="s">
        <v>2207</v>
      </c>
      <c r="G467" s="24"/>
      <c r="H467" s="27"/>
      <c r="I467" s="28"/>
    </row>
    <row r="468" spans="2:9" x14ac:dyDescent="0.2">
      <c r="B468" s="23" t="str">
        <f t="shared" si="5"/>
        <v>2025-078-2</v>
      </c>
      <c r="C468" s="24">
        <v>2025</v>
      </c>
      <c r="D468" s="25" t="s">
        <v>80</v>
      </c>
      <c r="E468" s="24">
        <v>2</v>
      </c>
      <c r="F468" s="26" t="s">
        <v>2267</v>
      </c>
      <c r="G468" s="24"/>
      <c r="H468" s="27"/>
      <c r="I468" s="28"/>
    </row>
    <row r="469" spans="2:9" ht="27" x14ac:dyDescent="0.2">
      <c r="B469" s="23" t="str">
        <f t="shared" si="5"/>
        <v>2025-078-3</v>
      </c>
      <c r="C469" s="24">
        <v>2025</v>
      </c>
      <c r="D469" s="25" t="s">
        <v>80</v>
      </c>
      <c r="E469" s="24">
        <v>3</v>
      </c>
      <c r="F469" s="26" t="s">
        <v>2331</v>
      </c>
      <c r="G469" s="24" t="s">
        <v>2735</v>
      </c>
      <c r="H469" s="27"/>
      <c r="I469" s="28"/>
    </row>
    <row r="470" spans="2:9" x14ac:dyDescent="0.2">
      <c r="B470" s="23" t="str">
        <f t="shared" si="5"/>
        <v>2025-078-4</v>
      </c>
      <c r="C470" s="24">
        <v>2025</v>
      </c>
      <c r="D470" s="25" t="s">
        <v>80</v>
      </c>
      <c r="E470" s="24">
        <v>4</v>
      </c>
      <c r="F470" s="26" t="s">
        <v>2393</v>
      </c>
      <c r="G470" s="24"/>
      <c r="H470" s="27"/>
      <c r="I470" s="28"/>
    </row>
    <row r="471" spans="2:9" x14ac:dyDescent="0.2">
      <c r="B471" s="29" t="str">
        <f t="shared" si="5"/>
        <v>2025-078-5</v>
      </c>
      <c r="C471" s="30">
        <v>2025</v>
      </c>
      <c r="D471" s="31" t="s">
        <v>80</v>
      </c>
      <c r="E471" s="30">
        <v>5</v>
      </c>
      <c r="F471" s="32" t="s">
        <v>2449</v>
      </c>
      <c r="G471" s="30"/>
      <c r="H471" s="33"/>
      <c r="I471" s="34"/>
    </row>
    <row r="472" spans="2:9" x14ac:dyDescent="0.2">
      <c r="B472" s="35" t="str">
        <f t="shared" si="5"/>
        <v>2025-079-0</v>
      </c>
      <c r="C472" s="36">
        <v>2025</v>
      </c>
      <c r="D472" s="37" t="s">
        <v>81</v>
      </c>
      <c r="E472" s="36">
        <v>0</v>
      </c>
      <c r="F472" s="38" t="s">
        <v>2144</v>
      </c>
      <c r="G472" s="36"/>
      <c r="H472" s="39"/>
      <c r="I472" s="40"/>
    </row>
    <row r="473" spans="2:9" ht="27" x14ac:dyDescent="0.2">
      <c r="B473" s="23" t="str">
        <f t="shared" si="5"/>
        <v>2025-079-1</v>
      </c>
      <c r="C473" s="24">
        <v>2025</v>
      </c>
      <c r="D473" s="25" t="s">
        <v>81</v>
      </c>
      <c r="E473" s="24">
        <v>1</v>
      </c>
      <c r="F473" s="26" t="s">
        <v>3060</v>
      </c>
      <c r="G473" s="24"/>
      <c r="H473" s="27"/>
      <c r="I473" s="28"/>
    </row>
    <row r="474" spans="2:9" x14ac:dyDescent="0.2">
      <c r="B474" s="23" t="str">
        <f t="shared" si="5"/>
        <v>2025-079-2</v>
      </c>
      <c r="C474" s="24">
        <v>2025</v>
      </c>
      <c r="D474" s="25" t="s">
        <v>81</v>
      </c>
      <c r="E474" s="24">
        <v>2</v>
      </c>
      <c r="F474" s="26" t="s">
        <v>2268</v>
      </c>
      <c r="G474" s="24" t="s">
        <v>2735</v>
      </c>
      <c r="H474" s="27"/>
      <c r="I474" s="28"/>
    </row>
    <row r="475" spans="2:9" x14ac:dyDescent="0.2">
      <c r="B475" s="23" t="str">
        <f t="shared" si="5"/>
        <v>2025-079-3</v>
      </c>
      <c r="C475" s="24">
        <v>2025</v>
      </c>
      <c r="D475" s="25" t="s">
        <v>81</v>
      </c>
      <c r="E475" s="24">
        <v>3</v>
      </c>
      <c r="F475" s="26" t="s">
        <v>2332</v>
      </c>
      <c r="G475" s="24"/>
      <c r="H475" s="27"/>
      <c r="I475" s="28"/>
    </row>
    <row r="476" spans="2:9" ht="27" x14ac:dyDescent="0.2">
      <c r="B476" s="23" t="str">
        <f t="shared" si="5"/>
        <v>2025-079-4</v>
      </c>
      <c r="C476" s="24">
        <v>2025</v>
      </c>
      <c r="D476" s="25" t="s">
        <v>81</v>
      </c>
      <c r="E476" s="24">
        <v>4</v>
      </c>
      <c r="F476" s="26" t="s">
        <v>2394</v>
      </c>
      <c r="G476" s="24"/>
      <c r="H476" s="27"/>
      <c r="I476" s="28"/>
    </row>
    <row r="477" spans="2:9" ht="27" x14ac:dyDescent="0.2">
      <c r="B477" s="29" t="str">
        <f t="shared" si="5"/>
        <v>2025-079-5</v>
      </c>
      <c r="C477" s="30">
        <v>2025</v>
      </c>
      <c r="D477" s="31" t="s">
        <v>81</v>
      </c>
      <c r="E477" s="30">
        <v>5</v>
      </c>
      <c r="F477" s="32" t="s">
        <v>2450</v>
      </c>
      <c r="G477" s="30"/>
      <c r="H477" s="33"/>
      <c r="I477" s="34"/>
    </row>
    <row r="478" spans="2:9" x14ac:dyDescent="0.2">
      <c r="B478" s="35" t="str">
        <f t="shared" si="5"/>
        <v>2025-080-0</v>
      </c>
      <c r="C478" s="36">
        <v>2025</v>
      </c>
      <c r="D478" s="37" t="s">
        <v>82</v>
      </c>
      <c r="E478" s="36">
        <v>0</v>
      </c>
      <c r="F478" s="38" t="s">
        <v>2145</v>
      </c>
      <c r="G478" s="36"/>
      <c r="H478" s="39"/>
      <c r="I478" s="40"/>
    </row>
    <row r="479" spans="2:9" ht="27" x14ac:dyDescent="0.2">
      <c r="B479" s="23" t="str">
        <f t="shared" si="5"/>
        <v>2025-080-1</v>
      </c>
      <c r="C479" s="24">
        <v>2025</v>
      </c>
      <c r="D479" s="25" t="s">
        <v>82</v>
      </c>
      <c r="E479" s="24">
        <v>1</v>
      </c>
      <c r="F479" s="26" t="s">
        <v>2208</v>
      </c>
      <c r="G479" s="24"/>
      <c r="H479" s="27"/>
      <c r="I479" s="28"/>
    </row>
    <row r="480" spans="2:9" ht="27" x14ac:dyDescent="0.2">
      <c r="B480" s="23" t="str">
        <f t="shared" si="5"/>
        <v>2025-080-2</v>
      </c>
      <c r="C480" s="24">
        <v>2025</v>
      </c>
      <c r="D480" s="25" t="s">
        <v>82</v>
      </c>
      <c r="E480" s="24">
        <v>2</v>
      </c>
      <c r="F480" s="26" t="s">
        <v>2269</v>
      </c>
      <c r="G480" s="24"/>
      <c r="H480" s="27"/>
      <c r="I480" s="28"/>
    </row>
    <row r="481" spans="2:9" ht="27" x14ac:dyDescent="0.2">
      <c r="B481" s="23" t="str">
        <f t="shared" si="5"/>
        <v>2025-080-3</v>
      </c>
      <c r="C481" s="24">
        <v>2025</v>
      </c>
      <c r="D481" s="25" t="s">
        <v>82</v>
      </c>
      <c r="E481" s="24">
        <v>3</v>
      </c>
      <c r="F481" s="26" t="s">
        <v>2333</v>
      </c>
      <c r="G481" s="24"/>
      <c r="H481" s="27"/>
      <c r="I481" s="28"/>
    </row>
    <row r="482" spans="2:9" x14ac:dyDescent="0.2">
      <c r="B482" s="23" t="str">
        <f t="shared" si="5"/>
        <v>2025-080-4</v>
      </c>
      <c r="C482" s="24">
        <v>2025</v>
      </c>
      <c r="D482" s="25" t="s">
        <v>82</v>
      </c>
      <c r="E482" s="24">
        <v>4</v>
      </c>
      <c r="F482" s="26" t="s">
        <v>2395</v>
      </c>
      <c r="G482" s="24"/>
      <c r="H482" s="27"/>
      <c r="I482" s="28"/>
    </row>
    <row r="483" spans="2:9" ht="27.75" thickBot="1" x14ac:dyDescent="0.25">
      <c r="B483" s="41" t="str">
        <f t="shared" si="5"/>
        <v>2025-080-5</v>
      </c>
      <c r="C483" s="42">
        <v>2025</v>
      </c>
      <c r="D483" s="43" t="s">
        <v>82</v>
      </c>
      <c r="E483" s="42">
        <v>5</v>
      </c>
      <c r="F483" s="44" t="s">
        <v>3061</v>
      </c>
      <c r="G483" s="42" t="s">
        <v>2735</v>
      </c>
      <c r="H483" s="45"/>
      <c r="I483" s="46"/>
    </row>
    <row r="484" spans="2:9" ht="81" x14ac:dyDescent="0.2">
      <c r="B484" s="48" t="str">
        <f>C484&amp;"-"&amp;D484&amp;"-"&amp;E484</f>
        <v>2024-041-0</v>
      </c>
      <c r="C484" s="49">
        <v>2024</v>
      </c>
      <c r="D484" s="49" t="s">
        <v>43</v>
      </c>
      <c r="E484" s="50">
        <v>0</v>
      </c>
      <c r="F484" s="51" t="s">
        <v>158</v>
      </c>
      <c r="G484" s="49"/>
      <c r="H484" s="52"/>
      <c r="I484" s="53"/>
    </row>
    <row r="485" spans="2:9" x14ac:dyDescent="0.2">
      <c r="B485" s="54" t="str">
        <f t="shared" ref="B485:B548" si="6">C485&amp;"-"&amp;D485&amp;"-"&amp;E485</f>
        <v>2024-041-1</v>
      </c>
      <c r="C485" s="55">
        <v>2024</v>
      </c>
      <c r="D485" s="55" t="s">
        <v>43</v>
      </c>
      <c r="E485" s="56">
        <v>1</v>
      </c>
      <c r="F485" s="57" t="s">
        <v>6</v>
      </c>
      <c r="G485" s="55"/>
      <c r="H485" s="58"/>
      <c r="I485" s="59"/>
    </row>
    <row r="486" spans="2:9" x14ac:dyDescent="0.2">
      <c r="B486" s="54" t="str">
        <f t="shared" si="6"/>
        <v>2024-041-2</v>
      </c>
      <c r="C486" s="55">
        <v>2024</v>
      </c>
      <c r="D486" s="55" t="s">
        <v>43</v>
      </c>
      <c r="E486" s="56">
        <v>2</v>
      </c>
      <c r="F486" s="57" t="s">
        <v>11</v>
      </c>
      <c r="G486" s="55"/>
      <c r="H486" s="58"/>
      <c r="I486" s="59"/>
    </row>
    <row r="487" spans="2:9" x14ac:dyDescent="0.2">
      <c r="B487" s="54" t="str">
        <f t="shared" si="6"/>
        <v>2024-041-3</v>
      </c>
      <c r="C487" s="55">
        <v>2024</v>
      </c>
      <c r="D487" s="55" t="s">
        <v>43</v>
      </c>
      <c r="E487" s="56">
        <v>3</v>
      </c>
      <c r="F487" s="57" t="s">
        <v>17</v>
      </c>
      <c r="G487" s="55"/>
      <c r="H487" s="58"/>
      <c r="I487" s="59"/>
    </row>
    <row r="488" spans="2:9" x14ac:dyDescent="0.2">
      <c r="B488" s="54" t="str">
        <f t="shared" si="6"/>
        <v>2024-041-4</v>
      </c>
      <c r="C488" s="55">
        <v>2024</v>
      </c>
      <c r="D488" s="55" t="s">
        <v>43</v>
      </c>
      <c r="E488" s="55">
        <v>4</v>
      </c>
      <c r="F488" s="57" t="s">
        <v>19</v>
      </c>
      <c r="G488" s="55"/>
      <c r="H488" s="58"/>
      <c r="I488" s="59"/>
    </row>
    <row r="489" spans="2:9" x14ac:dyDescent="0.2">
      <c r="B489" s="60" t="str">
        <f t="shared" si="6"/>
        <v>2024-041-5</v>
      </c>
      <c r="C489" s="61">
        <v>2024</v>
      </c>
      <c r="D489" s="61" t="s">
        <v>43</v>
      </c>
      <c r="E489" s="61">
        <v>5</v>
      </c>
      <c r="F489" s="62" t="s">
        <v>21</v>
      </c>
      <c r="G489" s="61" t="s">
        <v>2735</v>
      </c>
      <c r="H489" s="63"/>
      <c r="I489" s="64"/>
    </row>
    <row r="490" spans="2:9" x14ac:dyDescent="0.2">
      <c r="B490" s="65" t="str">
        <f t="shared" si="6"/>
        <v>2024-042-0</v>
      </c>
      <c r="C490" s="66">
        <v>2024</v>
      </c>
      <c r="D490" s="66" t="s">
        <v>44</v>
      </c>
      <c r="E490" s="66">
        <v>0</v>
      </c>
      <c r="F490" s="67" t="s">
        <v>159</v>
      </c>
      <c r="G490" s="66"/>
      <c r="H490" s="68"/>
      <c r="I490" s="69"/>
    </row>
    <row r="491" spans="2:9" ht="27" x14ac:dyDescent="0.2">
      <c r="B491" s="54" t="str">
        <f t="shared" si="6"/>
        <v>2024-042-1</v>
      </c>
      <c r="C491" s="55">
        <v>2024</v>
      </c>
      <c r="D491" s="55" t="s">
        <v>44</v>
      </c>
      <c r="E491" s="55">
        <v>1</v>
      </c>
      <c r="F491" s="57" t="s">
        <v>525</v>
      </c>
      <c r="G491" s="55" t="s">
        <v>2735</v>
      </c>
      <c r="H491" s="58"/>
      <c r="I491" s="59"/>
    </row>
    <row r="492" spans="2:9" ht="27" x14ac:dyDescent="0.2">
      <c r="B492" s="54" t="str">
        <f t="shared" si="6"/>
        <v>2024-042-2</v>
      </c>
      <c r="C492" s="55">
        <v>2024</v>
      </c>
      <c r="D492" s="55" t="s">
        <v>44</v>
      </c>
      <c r="E492" s="55">
        <v>2</v>
      </c>
      <c r="F492" s="57" t="s">
        <v>852</v>
      </c>
      <c r="G492" s="55"/>
      <c r="H492" s="58"/>
      <c r="I492" s="59"/>
    </row>
    <row r="493" spans="2:9" ht="27" x14ac:dyDescent="0.2">
      <c r="B493" s="54" t="str">
        <f t="shared" si="6"/>
        <v>2024-042-3</v>
      </c>
      <c r="C493" s="55">
        <v>2024</v>
      </c>
      <c r="D493" s="55" t="s">
        <v>44</v>
      </c>
      <c r="E493" s="55">
        <v>3</v>
      </c>
      <c r="F493" s="57" t="s">
        <v>1174</v>
      </c>
      <c r="G493" s="55"/>
      <c r="H493" s="58"/>
      <c r="I493" s="59"/>
    </row>
    <row r="494" spans="2:9" ht="27" x14ac:dyDescent="0.2">
      <c r="B494" s="54" t="str">
        <f t="shared" si="6"/>
        <v>2024-042-4</v>
      </c>
      <c r="C494" s="55">
        <v>2024</v>
      </c>
      <c r="D494" s="55" t="s">
        <v>44</v>
      </c>
      <c r="E494" s="55">
        <v>4</v>
      </c>
      <c r="F494" s="57" t="s">
        <v>1479</v>
      </c>
      <c r="G494" s="55"/>
      <c r="H494" s="58"/>
      <c r="I494" s="59"/>
    </row>
    <row r="495" spans="2:9" ht="27" x14ac:dyDescent="0.2">
      <c r="B495" s="60" t="str">
        <f t="shared" si="6"/>
        <v>2024-042-5</v>
      </c>
      <c r="C495" s="61">
        <v>2024</v>
      </c>
      <c r="D495" s="61" t="s">
        <v>44</v>
      </c>
      <c r="E495" s="61">
        <v>5</v>
      </c>
      <c r="F495" s="62" t="s">
        <v>1783</v>
      </c>
      <c r="G495" s="61"/>
      <c r="H495" s="63"/>
      <c r="I495" s="64"/>
    </row>
    <row r="496" spans="2:9" x14ac:dyDescent="0.2">
      <c r="B496" s="65" t="str">
        <f t="shared" si="6"/>
        <v>2024-043-0</v>
      </c>
      <c r="C496" s="66">
        <v>2024</v>
      </c>
      <c r="D496" s="66" t="s">
        <v>45</v>
      </c>
      <c r="E496" s="66">
        <v>0</v>
      </c>
      <c r="F496" s="67" t="s">
        <v>160</v>
      </c>
      <c r="G496" s="66"/>
      <c r="H496" s="68"/>
      <c r="I496" s="69"/>
    </row>
    <row r="497" spans="2:9" s="2" customFormat="1" x14ac:dyDescent="0.2">
      <c r="B497" s="54" t="str">
        <f t="shared" si="6"/>
        <v>2024-043-1</v>
      </c>
      <c r="C497" s="55">
        <v>2024</v>
      </c>
      <c r="D497" s="55" t="s">
        <v>45</v>
      </c>
      <c r="E497" s="55">
        <v>1</v>
      </c>
      <c r="F497" s="57" t="s">
        <v>526</v>
      </c>
      <c r="G497" s="55"/>
      <c r="H497" s="58"/>
      <c r="I497" s="59"/>
    </row>
    <row r="498" spans="2:9" s="2" customFormat="1" x14ac:dyDescent="0.2">
      <c r="B498" s="54" t="str">
        <f t="shared" si="6"/>
        <v>2024-043-2</v>
      </c>
      <c r="C498" s="55">
        <v>2024</v>
      </c>
      <c r="D498" s="55" t="s">
        <v>45</v>
      </c>
      <c r="E498" s="55">
        <v>2</v>
      </c>
      <c r="F498" s="57" t="s">
        <v>853</v>
      </c>
      <c r="G498" s="55" t="s">
        <v>2735</v>
      </c>
      <c r="H498" s="58"/>
      <c r="I498" s="59"/>
    </row>
    <row r="499" spans="2:9" s="2" customFormat="1" ht="27" x14ac:dyDescent="0.2">
      <c r="B499" s="54" t="str">
        <f t="shared" si="6"/>
        <v>2024-043-3</v>
      </c>
      <c r="C499" s="55">
        <v>2024</v>
      </c>
      <c r="D499" s="55" t="s">
        <v>45</v>
      </c>
      <c r="E499" s="55">
        <v>3</v>
      </c>
      <c r="F499" s="57" t="s">
        <v>1175</v>
      </c>
      <c r="G499" s="55"/>
      <c r="H499" s="58"/>
      <c r="I499" s="59"/>
    </row>
    <row r="500" spans="2:9" s="2" customFormat="1" ht="27" x14ac:dyDescent="0.2">
      <c r="B500" s="54" t="str">
        <f t="shared" si="6"/>
        <v>2024-043-4</v>
      </c>
      <c r="C500" s="55">
        <v>2024</v>
      </c>
      <c r="D500" s="55" t="s">
        <v>45</v>
      </c>
      <c r="E500" s="55">
        <v>4</v>
      </c>
      <c r="F500" s="57" t="s">
        <v>1480</v>
      </c>
      <c r="G500" s="55"/>
      <c r="H500" s="58"/>
      <c r="I500" s="59"/>
    </row>
    <row r="501" spans="2:9" s="2" customFormat="1" x14ac:dyDescent="0.2">
      <c r="B501" s="60" t="str">
        <f t="shared" si="6"/>
        <v>2024-043-5</v>
      </c>
      <c r="C501" s="61">
        <v>2024</v>
      </c>
      <c r="D501" s="61" t="s">
        <v>45</v>
      </c>
      <c r="E501" s="61">
        <v>5</v>
      </c>
      <c r="F501" s="62" t="s">
        <v>1784</v>
      </c>
      <c r="G501" s="61"/>
      <c r="H501" s="63"/>
      <c r="I501" s="64"/>
    </row>
    <row r="502" spans="2:9" s="2" customFormat="1" x14ac:dyDescent="0.2">
      <c r="B502" s="65" t="str">
        <f t="shared" si="6"/>
        <v>2024-044-0</v>
      </c>
      <c r="C502" s="66">
        <v>2024</v>
      </c>
      <c r="D502" s="66" t="s">
        <v>46</v>
      </c>
      <c r="E502" s="66">
        <v>0</v>
      </c>
      <c r="F502" s="67" t="s">
        <v>161</v>
      </c>
      <c r="G502" s="66"/>
      <c r="H502" s="68"/>
      <c r="I502" s="69"/>
    </row>
    <row r="503" spans="2:9" s="2" customFormat="1" x14ac:dyDescent="0.2">
      <c r="B503" s="54" t="str">
        <f t="shared" si="6"/>
        <v>2024-044-1</v>
      </c>
      <c r="C503" s="55">
        <v>2024</v>
      </c>
      <c r="D503" s="55" t="s">
        <v>46</v>
      </c>
      <c r="E503" s="55">
        <v>1</v>
      </c>
      <c r="F503" s="57" t="s">
        <v>527</v>
      </c>
      <c r="G503" s="55"/>
      <c r="H503" s="58"/>
      <c r="I503" s="59"/>
    </row>
    <row r="504" spans="2:9" s="2" customFormat="1" x14ac:dyDescent="0.2">
      <c r="B504" s="54" t="str">
        <f t="shared" si="6"/>
        <v>2024-044-2</v>
      </c>
      <c r="C504" s="55">
        <v>2024</v>
      </c>
      <c r="D504" s="55" t="s">
        <v>46</v>
      </c>
      <c r="E504" s="55">
        <v>2</v>
      </c>
      <c r="F504" s="57" t="s">
        <v>854</v>
      </c>
      <c r="G504" s="55" t="s">
        <v>2735</v>
      </c>
      <c r="H504" s="58"/>
      <c r="I504" s="59"/>
    </row>
    <row r="505" spans="2:9" s="2" customFormat="1" x14ac:dyDescent="0.2">
      <c r="B505" s="54" t="str">
        <f t="shared" si="6"/>
        <v>2024-044-3</v>
      </c>
      <c r="C505" s="55">
        <v>2024</v>
      </c>
      <c r="D505" s="55" t="s">
        <v>46</v>
      </c>
      <c r="E505" s="55">
        <v>3</v>
      </c>
      <c r="F505" s="57" t="s">
        <v>1176</v>
      </c>
      <c r="G505" s="55"/>
      <c r="H505" s="58"/>
      <c r="I505" s="59"/>
    </row>
    <row r="506" spans="2:9" s="2" customFormat="1" x14ac:dyDescent="0.2">
      <c r="B506" s="54" t="str">
        <f t="shared" si="6"/>
        <v>2024-044-4</v>
      </c>
      <c r="C506" s="55">
        <v>2024</v>
      </c>
      <c r="D506" s="55" t="s">
        <v>46</v>
      </c>
      <c r="E506" s="55">
        <v>4</v>
      </c>
      <c r="F506" s="57" t="s">
        <v>1481</v>
      </c>
      <c r="G506" s="55"/>
      <c r="H506" s="58"/>
      <c r="I506" s="59"/>
    </row>
    <row r="507" spans="2:9" s="2" customFormat="1" x14ac:dyDescent="0.2">
      <c r="B507" s="60" t="str">
        <f t="shared" si="6"/>
        <v>2024-044-5</v>
      </c>
      <c r="C507" s="61">
        <v>2024</v>
      </c>
      <c r="D507" s="61" t="s">
        <v>46</v>
      </c>
      <c r="E507" s="61">
        <v>5</v>
      </c>
      <c r="F507" s="62" t="s">
        <v>1785</v>
      </c>
      <c r="G507" s="61"/>
      <c r="H507" s="63"/>
      <c r="I507" s="64"/>
    </row>
    <row r="508" spans="2:9" s="2" customFormat="1" x14ac:dyDescent="0.2">
      <c r="B508" s="65" t="str">
        <f t="shared" si="6"/>
        <v>2024-045-0</v>
      </c>
      <c r="C508" s="66">
        <v>2024</v>
      </c>
      <c r="D508" s="66" t="s">
        <v>47</v>
      </c>
      <c r="E508" s="66">
        <v>0</v>
      </c>
      <c r="F508" s="67" t="s">
        <v>162</v>
      </c>
      <c r="G508" s="66"/>
      <c r="H508" s="68"/>
      <c r="I508" s="69"/>
    </row>
    <row r="509" spans="2:9" s="2" customFormat="1" ht="27" x14ac:dyDescent="0.2">
      <c r="B509" s="54" t="str">
        <f t="shared" si="6"/>
        <v>2024-045-1</v>
      </c>
      <c r="C509" s="55">
        <v>2024</v>
      </c>
      <c r="D509" s="55" t="s">
        <v>47</v>
      </c>
      <c r="E509" s="55">
        <v>1</v>
      </c>
      <c r="F509" s="57" t="s">
        <v>2459</v>
      </c>
      <c r="G509" s="55"/>
      <c r="H509" s="58"/>
      <c r="I509" s="59"/>
    </row>
    <row r="510" spans="2:9" s="2" customFormat="1" ht="27" x14ac:dyDescent="0.2">
      <c r="B510" s="54" t="str">
        <f t="shared" si="6"/>
        <v>2024-045-2</v>
      </c>
      <c r="C510" s="55">
        <v>2024</v>
      </c>
      <c r="D510" s="55" t="s">
        <v>47</v>
      </c>
      <c r="E510" s="55">
        <v>2</v>
      </c>
      <c r="F510" s="57" t="s">
        <v>2460</v>
      </c>
      <c r="G510" s="55"/>
      <c r="H510" s="58"/>
      <c r="I510" s="59"/>
    </row>
    <row r="511" spans="2:9" s="2" customFormat="1" ht="27" x14ac:dyDescent="0.2">
      <c r="B511" s="54" t="str">
        <f t="shared" si="6"/>
        <v>2024-045-3</v>
      </c>
      <c r="C511" s="55">
        <v>2024</v>
      </c>
      <c r="D511" s="55" t="s">
        <v>47</v>
      </c>
      <c r="E511" s="55">
        <v>3</v>
      </c>
      <c r="F511" s="57" t="s">
        <v>2461</v>
      </c>
      <c r="G511" s="55"/>
      <c r="H511" s="58"/>
      <c r="I511" s="59"/>
    </row>
    <row r="512" spans="2:9" s="2" customFormat="1" ht="27" x14ac:dyDescent="0.2">
      <c r="B512" s="54" t="str">
        <f t="shared" si="6"/>
        <v>2024-045-4</v>
      </c>
      <c r="C512" s="55">
        <v>2024</v>
      </c>
      <c r="D512" s="55" t="s">
        <v>47</v>
      </c>
      <c r="E512" s="55">
        <v>4</v>
      </c>
      <c r="F512" s="57" t="s">
        <v>2462</v>
      </c>
      <c r="G512" s="55" t="s">
        <v>2735</v>
      </c>
      <c r="H512" s="58"/>
      <c r="I512" s="59"/>
    </row>
    <row r="513" spans="2:9" s="2" customFormat="1" ht="27" x14ac:dyDescent="0.2">
      <c r="B513" s="60" t="str">
        <f t="shared" si="6"/>
        <v>2024-045-5</v>
      </c>
      <c r="C513" s="61">
        <v>2024</v>
      </c>
      <c r="D513" s="61" t="s">
        <v>47</v>
      </c>
      <c r="E513" s="61">
        <v>5</v>
      </c>
      <c r="F513" s="62" t="s">
        <v>2463</v>
      </c>
      <c r="G513" s="61"/>
      <c r="H513" s="63"/>
      <c r="I513" s="64"/>
    </row>
    <row r="514" spans="2:9" s="2" customFormat="1" ht="81" x14ac:dyDescent="0.2">
      <c r="B514" s="65" t="str">
        <f t="shared" si="6"/>
        <v>2024-046-0</v>
      </c>
      <c r="C514" s="66">
        <v>2024</v>
      </c>
      <c r="D514" s="66" t="s">
        <v>48</v>
      </c>
      <c r="E514" s="66">
        <v>0</v>
      </c>
      <c r="F514" s="67" t="s">
        <v>163</v>
      </c>
      <c r="G514" s="66"/>
      <c r="H514" s="68"/>
      <c r="I514" s="69"/>
    </row>
    <row r="515" spans="2:9" s="2" customFormat="1" x14ac:dyDescent="0.2">
      <c r="B515" s="54" t="str">
        <f t="shared" si="6"/>
        <v>2024-046-1</v>
      </c>
      <c r="C515" s="55">
        <v>2024</v>
      </c>
      <c r="D515" s="55" t="s">
        <v>48</v>
      </c>
      <c r="E515" s="55">
        <v>1</v>
      </c>
      <c r="F515" s="57" t="s">
        <v>528</v>
      </c>
      <c r="G515" s="55"/>
      <c r="H515" s="58"/>
      <c r="I515" s="59"/>
    </row>
    <row r="516" spans="2:9" s="2" customFormat="1" x14ac:dyDescent="0.2">
      <c r="B516" s="54" t="str">
        <f t="shared" si="6"/>
        <v>2024-046-2</v>
      </c>
      <c r="C516" s="55">
        <v>2024</v>
      </c>
      <c r="D516" s="55" t="s">
        <v>48</v>
      </c>
      <c r="E516" s="55">
        <v>2</v>
      </c>
      <c r="F516" s="57" t="s">
        <v>855</v>
      </c>
      <c r="G516" s="55"/>
      <c r="H516" s="58"/>
      <c r="I516" s="59"/>
    </row>
    <row r="517" spans="2:9" s="2" customFormat="1" x14ac:dyDescent="0.2">
      <c r="B517" s="54" t="str">
        <f t="shared" si="6"/>
        <v>2024-046-3</v>
      </c>
      <c r="C517" s="55">
        <v>2024</v>
      </c>
      <c r="D517" s="55" t="s">
        <v>48</v>
      </c>
      <c r="E517" s="55">
        <v>3</v>
      </c>
      <c r="F517" s="57" t="s">
        <v>1177</v>
      </c>
      <c r="G517" s="55"/>
      <c r="H517" s="58"/>
      <c r="I517" s="59"/>
    </row>
    <row r="518" spans="2:9" s="2" customFormat="1" x14ac:dyDescent="0.2">
      <c r="B518" s="54" t="str">
        <f t="shared" si="6"/>
        <v>2024-046-4</v>
      </c>
      <c r="C518" s="55">
        <v>2024</v>
      </c>
      <c r="D518" s="55" t="s">
        <v>48</v>
      </c>
      <c r="E518" s="55">
        <v>4</v>
      </c>
      <c r="F518" s="57" t="s">
        <v>1482</v>
      </c>
      <c r="G518" s="55" t="s">
        <v>2735</v>
      </c>
      <c r="H518" s="58"/>
      <c r="I518" s="59"/>
    </row>
    <row r="519" spans="2:9" s="2" customFormat="1" x14ac:dyDescent="0.2">
      <c r="B519" s="60" t="str">
        <f t="shared" si="6"/>
        <v>2024-046-5</v>
      </c>
      <c r="C519" s="61">
        <v>2024</v>
      </c>
      <c r="D519" s="61" t="s">
        <v>48</v>
      </c>
      <c r="E519" s="61">
        <v>5</v>
      </c>
      <c r="F519" s="62" t="s">
        <v>1786</v>
      </c>
      <c r="G519" s="61"/>
      <c r="H519" s="63"/>
      <c r="I519" s="64"/>
    </row>
    <row r="520" spans="2:9" s="2" customFormat="1" x14ac:dyDescent="0.2">
      <c r="B520" s="65" t="str">
        <f t="shared" si="6"/>
        <v>2024-047-0</v>
      </c>
      <c r="C520" s="66">
        <v>2024</v>
      </c>
      <c r="D520" s="66" t="s">
        <v>49</v>
      </c>
      <c r="E520" s="66">
        <v>0</v>
      </c>
      <c r="F520" s="67" t="s">
        <v>164</v>
      </c>
      <c r="G520" s="66"/>
      <c r="H520" s="68"/>
      <c r="I520" s="69"/>
    </row>
    <row r="521" spans="2:9" s="2" customFormat="1" ht="27" x14ac:dyDescent="0.2">
      <c r="B521" s="54" t="str">
        <f t="shared" si="6"/>
        <v>2024-047-1</v>
      </c>
      <c r="C521" s="55">
        <v>2024</v>
      </c>
      <c r="D521" s="55" t="s">
        <v>49</v>
      </c>
      <c r="E521" s="55">
        <v>1</v>
      </c>
      <c r="F521" s="57" t="s">
        <v>529</v>
      </c>
      <c r="G521" s="55"/>
      <c r="H521" s="58"/>
      <c r="I521" s="59"/>
    </row>
    <row r="522" spans="2:9" s="2" customFormat="1" x14ac:dyDescent="0.2">
      <c r="B522" s="54" t="str">
        <f t="shared" si="6"/>
        <v>2024-047-2</v>
      </c>
      <c r="C522" s="55">
        <v>2024</v>
      </c>
      <c r="D522" s="55" t="s">
        <v>49</v>
      </c>
      <c r="E522" s="55">
        <v>2</v>
      </c>
      <c r="F522" s="57" t="s">
        <v>856</v>
      </c>
      <c r="G522" s="55"/>
      <c r="H522" s="58"/>
      <c r="I522" s="59"/>
    </row>
    <row r="523" spans="2:9" s="2" customFormat="1" ht="27" x14ac:dyDescent="0.2">
      <c r="B523" s="54" t="str">
        <f t="shared" si="6"/>
        <v>2024-047-3</v>
      </c>
      <c r="C523" s="55">
        <v>2024</v>
      </c>
      <c r="D523" s="55" t="s">
        <v>49</v>
      </c>
      <c r="E523" s="55">
        <v>3</v>
      </c>
      <c r="F523" s="57" t="s">
        <v>1178</v>
      </c>
      <c r="G523" s="55"/>
      <c r="H523" s="58"/>
      <c r="I523" s="59"/>
    </row>
    <row r="524" spans="2:9" s="2" customFormat="1" ht="27" x14ac:dyDescent="0.2">
      <c r="B524" s="54" t="str">
        <f t="shared" si="6"/>
        <v>2024-047-4</v>
      </c>
      <c r="C524" s="55">
        <v>2024</v>
      </c>
      <c r="D524" s="55" t="s">
        <v>49</v>
      </c>
      <c r="E524" s="55">
        <v>4</v>
      </c>
      <c r="F524" s="57" t="s">
        <v>1483</v>
      </c>
      <c r="G524" s="55" t="s">
        <v>2735</v>
      </c>
      <c r="H524" s="58"/>
      <c r="I524" s="59"/>
    </row>
    <row r="525" spans="2:9" s="2" customFormat="1" x14ac:dyDescent="0.2">
      <c r="B525" s="60" t="str">
        <f t="shared" si="6"/>
        <v>2024-047-5</v>
      </c>
      <c r="C525" s="61">
        <v>2024</v>
      </c>
      <c r="D525" s="61" t="s">
        <v>49</v>
      </c>
      <c r="E525" s="61">
        <v>5</v>
      </c>
      <c r="F525" s="62" t="s">
        <v>1787</v>
      </c>
      <c r="G525" s="61"/>
      <c r="H525" s="63"/>
      <c r="I525" s="64"/>
    </row>
    <row r="526" spans="2:9" s="2" customFormat="1" x14ac:dyDescent="0.2">
      <c r="B526" s="65" t="str">
        <f t="shared" si="6"/>
        <v>2024-048-0</v>
      </c>
      <c r="C526" s="66">
        <v>2024</v>
      </c>
      <c r="D526" s="66" t="s">
        <v>50</v>
      </c>
      <c r="E526" s="66">
        <v>0</v>
      </c>
      <c r="F526" s="67" t="s">
        <v>165</v>
      </c>
      <c r="G526" s="66"/>
      <c r="H526" s="68"/>
      <c r="I526" s="69"/>
    </row>
    <row r="527" spans="2:9" s="2" customFormat="1" x14ac:dyDescent="0.2">
      <c r="B527" s="54" t="str">
        <f t="shared" si="6"/>
        <v>2024-048-1</v>
      </c>
      <c r="C527" s="55">
        <v>2024</v>
      </c>
      <c r="D527" s="55" t="s">
        <v>50</v>
      </c>
      <c r="E527" s="55">
        <v>1</v>
      </c>
      <c r="F527" s="57" t="s">
        <v>530</v>
      </c>
      <c r="G527" s="55"/>
      <c r="H527" s="58"/>
      <c r="I527" s="59"/>
    </row>
    <row r="528" spans="2:9" s="2" customFormat="1" ht="27" x14ac:dyDescent="0.2">
      <c r="B528" s="54" t="str">
        <f t="shared" si="6"/>
        <v>2024-048-2</v>
      </c>
      <c r="C528" s="55">
        <v>2024</v>
      </c>
      <c r="D528" s="55" t="s">
        <v>50</v>
      </c>
      <c r="E528" s="55">
        <v>2</v>
      </c>
      <c r="F528" s="57" t="s">
        <v>857</v>
      </c>
      <c r="G528" s="55"/>
      <c r="H528" s="58"/>
      <c r="I528" s="59"/>
    </row>
    <row r="529" spans="2:9" s="2" customFormat="1" x14ac:dyDescent="0.2">
      <c r="B529" s="54" t="str">
        <f t="shared" si="6"/>
        <v>2024-048-3</v>
      </c>
      <c r="C529" s="55">
        <v>2024</v>
      </c>
      <c r="D529" s="55" t="s">
        <v>50</v>
      </c>
      <c r="E529" s="55">
        <v>3</v>
      </c>
      <c r="F529" s="57" t="s">
        <v>1179</v>
      </c>
      <c r="G529" s="55"/>
      <c r="H529" s="58"/>
      <c r="I529" s="59"/>
    </row>
    <row r="530" spans="2:9" s="2" customFormat="1" x14ac:dyDescent="0.2">
      <c r="B530" s="54" t="str">
        <f t="shared" si="6"/>
        <v>2024-048-4</v>
      </c>
      <c r="C530" s="55">
        <v>2024</v>
      </c>
      <c r="D530" s="55" t="s">
        <v>50</v>
      </c>
      <c r="E530" s="55">
        <v>4</v>
      </c>
      <c r="F530" s="57" t="s">
        <v>1484</v>
      </c>
      <c r="G530" s="55" t="s">
        <v>2735</v>
      </c>
      <c r="H530" s="58"/>
      <c r="I530" s="59"/>
    </row>
    <row r="531" spans="2:9" s="2" customFormat="1" ht="27" x14ac:dyDescent="0.2">
      <c r="B531" s="60" t="str">
        <f t="shared" si="6"/>
        <v>2024-048-5</v>
      </c>
      <c r="C531" s="61">
        <v>2024</v>
      </c>
      <c r="D531" s="61" t="s">
        <v>50</v>
      </c>
      <c r="E531" s="61">
        <v>5</v>
      </c>
      <c r="F531" s="62" t="s">
        <v>1788</v>
      </c>
      <c r="G531" s="61"/>
      <c r="H531" s="63"/>
      <c r="I531" s="64"/>
    </row>
    <row r="532" spans="2:9" s="2" customFormat="1" ht="135" x14ac:dyDescent="0.2">
      <c r="B532" s="65" t="str">
        <f t="shared" si="6"/>
        <v>2024-049-0</v>
      </c>
      <c r="C532" s="66">
        <v>2024</v>
      </c>
      <c r="D532" s="66" t="s">
        <v>51</v>
      </c>
      <c r="E532" s="66">
        <v>0</v>
      </c>
      <c r="F532" s="67" t="s">
        <v>166</v>
      </c>
      <c r="G532" s="66"/>
      <c r="H532" s="68"/>
      <c r="I532" s="69"/>
    </row>
    <row r="533" spans="2:9" s="2" customFormat="1" x14ac:dyDescent="0.2">
      <c r="B533" s="54" t="str">
        <f t="shared" si="6"/>
        <v>2024-049-1</v>
      </c>
      <c r="C533" s="55">
        <v>2024</v>
      </c>
      <c r="D533" s="55" t="s">
        <v>51</v>
      </c>
      <c r="E533" s="55">
        <v>1</v>
      </c>
      <c r="F533" s="57" t="s">
        <v>15</v>
      </c>
      <c r="G533" s="55" t="s">
        <v>2735</v>
      </c>
      <c r="H533" s="58"/>
      <c r="I533" s="59"/>
    </row>
    <row r="534" spans="2:9" s="2" customFormat="1" x14ac:dyDescent="0.2">
      <c r="B534" s="54" t="str">
        <f t="shared" si="6"/>
        <v>2024-049-2</v>
      </c>
      <c r="C534" s="55">
        <v>2024</v>
      </c>
      <c r="D534" s="55" t="s">
        <v>51</v>
      </c>
      <c r="E534" s="55">
        <v>2</v>
      </c>
      <c r="F534" s="57" t="s">
        <v>640</v>
      </c>
      <c r="G534" s="55"/>
      <c r="H534" s="58"/>
      <c r="I534" s="59"/>
    </row>
    <row r="535" spans="2:9" s="2" customFormat="1" x14ac:dyDescent="0.2">
      <c r="B535" s="54" t="str">
        <f t="shared" si="6"/>
        <v>2024-049-3</v>
      </c>
      <c r="C535" s="55">
        <v>2024</v>
      </c>
      <c r="D535" s="55" t="s">
        <v>51</v>
      </c>
      <c r="E535" s="55">
        <v>3</v>
      </c>
      <c r="F535" s="57" t="s">
        <v>84</v>
      </c>
      <c r="G535" s="55"/>
      <c r="H535" s="58"/>
      <c r="I535" s="59"/>
    </row>
    <row r="536" spans="2:9" s="2" customFormat="1" x14ac:dyDescent="0.2">
      <c r="B536" s="54" t="str">
        <f t="shared" si="6"/>
        <v>2024-049-4</v>
      </c>
      <c r="C536" s="55">
        <v>2024</v>
      </c>
      <c r="D536" s="55" t="s">
        <v>51</v>
      </c>
      <c r="E536" s="55">
        <v>4</v>
      </c>
      <c r="F536" s="57" t="s">
        <v>1485</v>
      </c>
      <c r="G536" s="55"/>
      <c r="H536" s="58"/>
      <c r="I536" s="59"/>
    </row>
    <row r="537" spans="2:9" s="2" customFormat="1" x14ac:dyDescent="0.2">
      <c r="B537" s="60" t="str">
        <f t="shared" si="6"/>
        <v>2024-049-5</v>
      </c>
      <c r="C537" s="61">
        <v>2024</v>
      </c>
      <c r="D537" s="61" t="s">
        <v>51</v>
      </c>
      <c r="E537" s="61">
        <v>5</v>
      </c>
      <c r="F537" s="62" t="s">
        <v>42</v>
      </c>
      <c r="G537" s="61"/>
      <c r="H537" s="63"/>
      <c r="I537" s="64"/>
    </row>
    <row r="538" spans="2:9" s="2" customFormat="1" x14ac:dyDescent="0.2">
      <c r="B538" s="65" t="str">
        <f t="shared" si="6"/>
        <v>2024-050-0</v>
      </c>
      <c r="C538" s="66">
        <v>2024</v>
      </c>
      <c r="D538" s="66" t="s">
        <v>52</v>
      </c>
      <c r="E538" s="66">
        <v>0</v>
      </c>
      <c r="F538" s="67" t="s">
        <v>167</v>
      </c>
      <c r="G538" s="66"/>
      <c r="H538" s="68"/>
      <c r="I538" s="69"/>
    </row>
    <row r="539" spans="2:9" s="2" customFormat="1" x14ac:dyDescent="0.2">
      <c r="B539" s="54" t="str">
        <f t="shared" si="6"/>
        <v>2024-050-1</v>
      </c>
      <c r="C539" s="55">
        <v>2024</v>
      </c>
      <c r="D539" s="55" t="s">
        <v>52</v>
      </c>
      <c r="E539" s="55">
        <v>1</v>
      </c>
      <c r="F539" s="57" t="s">
        <v>531</v>
      </c>
      <c r="G539" s="55" t="s">
        <v>2735</v>
      </c>
      <c r="H539" s="58"/>
      <c r="I539" s="59"/>
    </row>
    <row r="540" spans="2:9" s="2" customFormat="1" ht="27" x14ac:dyDescent="0.2">
      <c r="B540" s="54" t="str">
        <f t="shared" si="6"/>
        <v>2024-050-2</v>
      </c>
      <c r="C540" s="55">
        <v>2024</v>
      </c>
      <c r="D540" s="55" t="s">
        <v>52</v>
      </c>
      <c r="E540" s="55">
        <v>2</v>
      </c>
      <c r="F540" s="57" t="s">
        <v>858</v>
      </c>
      <c r="G540" s="55"/>
      <c r="H540" s="58"/>
      <c r="I540" s="59"/>
    </row>
    <row r="541" spans="2:9" s="2" customFormat="1" x14ac:dyDescent="0.2">
      <c r="B541" s="54" t="str">
        <f t="shared" si="6"/>
        <v>2024-050-3</v>
      </c>
      <c r="C541" s="55">
        <v>2024</v>
      </c>
      <c r="D541" s="55" t="s">
        <v>52</v>
      </c>
      <c r="E541" s="55">
        <v>3</v>
      </c>
      <c r="F541" s="57" t="s">
        <v>1180</v>
      </c>
      <c r="G541" s="55"/>
      <c r="H541" s="58"/>
      <c r="I541" s="59"/>
    </row>
    <row r="542" spans="2:9" s="2" customFormat="1" x14ac:dyDescent="0.2">
      <c r="B542" s="54" t="str">
        <f t="shared" si="6"/>
        <v>2024-050-4</v>
      </c>
      <c r="C542" s="55">
        <v>2024</v>
      </c>
      <c r="D542" s="55" t="s">
        <v>52</v>
      </c>
      <c r="E542" s="55">
        <v>4</v>
      </c>
      <c r="F542" s="57" t="s">
        <v>1486</v>
      </c>
      <c r="G542" s="55"/>
      <c r="H542" s="58"/>
      <c r="I542" s="59"/>
    </row>
    <row r="543" spans="2:9" s="2" customFormat="1" x14ac:dyDescent="0.2">
      <c r="B543" s="60" t="str">
        <f t="shared" si="6"/>
        <v>2024-050-5</v>
      </c>
      <c r="C543" s="61">
        <v>2024</v>
      </c>
      <c r="D543" s="61" t="s">
        <v>52</v>
      </c>
      <c r="E543" s="61">
        <v>5</v>
      </c>
      <c r="F543" s="62" t="s">
        <v>1789</v>
      </c>
      <c r="G543" s="61"/>
      <c r="H543" s="63"/>
      <c r="I543" s="64"/>
    </row>
    <row r="544" spans="2:9" s="2" customFormat="1" ht="67.5" x14ac:dyDescent="0.2">
      <c r="B544" s="65" t="str">
        <f t="shared" si="6"/>
        <v>2024-051-0</v>
      </c>
      <c r="C544" s="66">
        <v>2024</v>
      </c>
      <c r="D544" s="66" t="s">
        <v>53</v>
      </c>
      <c r="E544" s="66">
        <v>0</v>
      </c>
      <c r="F544" s="67" t="s">
        <v>3064</v>
      </c>
      <c r="G544" s="66"/>
      <c r="H544" s="68"/>
      <c r="I544" s="69"/>
    </row>
    <row r="545" spans="2:9" s="2" customFormat="1" x14ac:dyDescent="0.2">
      <c r="B545" s="54" t="str">
        <f t="shared" si="6"/>
        <v>2024-051-1</v>
      </c>
      <c r="C545" s="55">
        <v>2024</v>
      </c>
      <c r="D545" s="55" t="s">
        <v>53</v>
      </c>
      <c r="E545" s="55">
        <v>1</v>
      </c>
      <c r="F545" s="57" t="s">
        <v>3062</v>
      </c>
      <c r="G545" s="55"/>
      <c r="H545" s="58"/>
      <c r="I545" s="59"/>
    </row>
    <row r="546" spans="2:9" s="2" customFormat="1" x14ac:dyDescent="0.2">
      <c r="B546" s="54" t="str">
        <f t="shared" si="6"/>
        <v>2024-051-2</v>
      </c>
      <c r="C546" s="55">
        <v>2024</v>
      </c>
      <c r="D546" s="55" t="s">
        <v>53</v>
      </c>
      <c r="E546" s="55">
        <v>2</v>
      </c>
      <c r="F546" s="57" t="s">
        <v>3063</v>
      </c>
      <c r="G546" s="55"/>
      <c r="H546" s="58"/>
      <c r="I546" s="59"/>
    </row>
    <row r="547" spans="2:9" s="2" customFormat="1" x14ac:dyDescent="0.2">
      <c r="B547" s="54" t="str">
        <f t="shared" si="6"/>
        <v>2024-051-3</v>
      </c>
      <c r="C547" s="55">
        <v>2024</v>
      </c>
      <c r="D547" s="55" t="s">
        <v>53</v>
      </c>
      <c r="E547" s="55">
        <v>3</v>
      </c>
      <c r="F547" s="57" t="s">
        <v>1181</v>
      </c>
      <c r="G547" s="55"/>
      <c r="H547" s="58"/>
      <c r="I547" s="59"/>
    </row>
    <row r="548" spans="2:9" s="2" customFormat="1" x14ac:dyDescent="0.2">
      <c r="B548" s="54" t="str">
        <f t="shared" si="6"/>
        <v>2024-051-4</v>
      </c>
      <c r="C548" s="55">
        <v>2024</v>
      </c>
      <c r="D548" s="55" t="s">
        <v>53</v>
      </c>
      <c r="E548" s="55">
        <v>4</v>
      </c>
      <c r="F548" s="57" t="s">
        <v>1487</v>
      </c>
      <c r="G548" s="55"/>
      <c r="H548" s="58"/>
      <c r="I548" s="59"/>
    </row>
    <row r="549" spans="2:9" s="2" customFormat="1" x14ac:dyDescent="0.2">
      <c r="B549" s="60" t="str">
        <f t="shared" ref="B549:B612" si="7">C549&amp;"-"&amp;D549&amp;"-"&amp;E549</f>
        <v>2024-051-5</v>
      </c>
      <c r="C549" s="61">
        <v>2024</v>
      </c>
      <c r="D549" s="61" t="s">
        <v>53</v>
      </c>
      <c r="E549" s="61">
        <v>5</v>
      </c>
      <c r="F549" s="62" t="s">
        <v>1790</v>
      </c>
      <c r="G549" s="61" t="s">
        <v>2735</v>
      </c>
      <c r="H549" s="63"/>
      <c r="I549" s="64"/>
    </row>
    <row r="550" spans="2:9" s="2" customFormat="1" ht="54" x14ac:dyDescent="0.2">
      <c r="B550" s="65" t="str">
        <f t="shared" si="7"/>
        <v>2024-052-0</v>
      </c>
      <c r="C550" s="66">
        <v>2024</v>
      </c>
      <c r="D550" s="66" t="s">
        <v>54</v>
      </c>
      <c r="E550" s="66">
        <v>0</v>
      </c>
      <c r="F550" s="67" t="s">
        <v>169</v>
      </c>
      <c r="G550" s="66"/>
      <c r="H550" s="68"/>
      <c r="I550" s="69"/>
    </row>
    <row r="551" spans="2:9" s="2" customFormat="1" x14ac:dyDescent="0.2">
      <c r="B551" s="54" t="str">
        <f t="shared" si="7"/>
        <v>2024-052-1</v>
      </c>
      <c r="C551" s="55">
        <v>2024</v>
      </c>
      <c r="D551" s="55" t="s">
        <v>54</v>
      </c>
      <c r="E551" s="55">
        <v>1</v>
      </c>
      <c r="F551" s="57" t="s">
        <v>533</v>
      </c>
      <c r="G551" s="55"/>
      <c r="H551" s="58"/>
      <c r="I551" s="59"/>
    </row>
    <row r="552" spans="2:9" s="2" customFormat="1" x14ac:dyDescent="0.2">
      <c r="B552" s="54" t="str">
        <f t="shared" si="7"/>
        <v>2024-052-2</v>
      </c>
      <c r="C552" s="55">
        <v>2024</v>
      </c>
      <c r="D552" s="55" t="s">
        <v>54</v>
      </c>
      <c r="E552" s="55">
        <v>2</v>
      </c>
      <c r="F552" s="57" t="s">
        <v>860</v>
      </c>
      <c r="G552" s="55"/>
      <c r="H552" s="58"/>
      <c r="I552" s="59"/>
    </row>
    <row r="553" spans="2:9" s="2" customFormat="1" x14ac:dyDescent="0.2">
      <c r="B553" s="54" t="str">
        <f t="shared" si="7"/>
        <v>2024-052-3</v>
      </c>
      <c r="C553" s="55">
        <v>2024</v>
      </c>
      <c r="D553" s="55" t="s">
        <v>54</v>
      </c>
      <c r="E553" s="55">
        <v>3</v>
      </c>
      <c r="F553" s="57" t="s">
        <v>1182</v>
      </c>
      <c r="G553" s="55" t="s">
        <v>2735</v>
      </c>
      <c r="H553" s="58"/>
      <c r="I553" s="59"/>
    </row>
    <row r="554" spans="2:9" s="2" customFormat="1" x14ac:dyDescent="0.2">
      <c r="B554" s="54" t="str">
        <f t="shared" si="7"/>
        <v>2024-052-4</v>
      </c>
      <c r="C554" s="55">
        <v>2024</v>
      </c>
      <c r="D554" s="55" t="s">
        <v>54</v>
      </c>
      <c r="E554" s="55">
        <v>4</v>
      </c>
      <c r="F554" s="57" t="s">
        <v>1488</v>
      </c>
      <c r="G554" s="55"/>
      <c r="H554" s="58"/>
      <c r="I554" s="59"/>
    </row>
    <row r="555" spans="2:9" s="2" customFormat="1" x14ac:dyDescent="0.2">
      <c r="B555" s="60" t="str">
        <f t="shared" si="7"/>
        <v>2024-052-5</v>
      </c>
      <c r="C555" s="61">
        <v>2024</v>
      </c>
      <c r="D555" s="61" t="s">
        <v>54</v>
      </c>
      <c r="E555" s="61">
        <v>5</v>
      </c>
      <c r="F555" s="62" t="s">
        <v>1791</v>
      </c>
      <c r="G555" s="61"/>
      <c r="H555" s="63"/>
      <c r="I555" s="64"/>
    </row>
    <row r="556" spans="2:9" s="2" customFormat="1" x14ac:dyDescent="0.2">
      <c r="B556" s="65" t="str">
        <f t="shared" si="7"/>
        <v>2024-053-0</v>
      </c>
      <c r="C556" s="66">
        <v>2024</v>
      </c>
      <c r="D556" s="66" t="s">
        <v>55</v>
      </c>
      <c r="E556" s="66">
        <v>0</v>
      </c>
      <c r="F556" s="67" t="s">
        <v>170</v>
      </c>
      <c r="G556" s="66"/>
      <c r="H556" s="68"/>
      <c r="I556" s="69"/>
    </row>
    <row r="557" spans="2:9" s="2" customFormat="1" x14ac:dyDescent="0.2">
      <c r="B557" s="54" t="str">
        <f t="shared" si="7"/>
        <v>2024-053-1</v>
      </c>
      <c r="C557" s="55">
        <v>2024</v>
      </c>
      <c r="D557" s="55" t="s">
        <v>55</v>
      </c>
      <c r="E557" s="55">
        <v>1</v>
      </c>
      <c r="F557" s="57" t="s">
        <v>534</v>
      </c>
      <c r="G557" s="55" t="s">
        <v>2735</v>
      </c>
      <c r="H557" s="58"/>
      <c r="I557" s="59"/>
    </row>
    <row r="558" spans="2:9" s="2" customFormat="1" x14ac:dyDescent="0.2">
      <c r="B558" s="54" t="str">
        <f t="shared" si="7"/>
        <v>2024-053-2</v>
      </c>
      <c r="C558" s="55">
        <v>2024</v>
      </c>
      <c r="D558" s="55" t="s">
        <v>55</v>
      </c>
      <c r="E558" s="55">
        <v>2</v>
      </c>
      <c r="F558" s="57" t="s">
        <v>861</v>
      </c>
      <c r="G558" s="55"/>
      <c r="H558" s="58"/>
      <c r="I558" s="59"/>
    </row>
    <row r="559" spans="2:9" s="2" customFormat="1" x14ac:dyDescent="0.2">
      <c r="B559" s="54" t="str">
        <f t="shared" si="7"/>
        <v>2024-053-3</v>
      </c>
      <c r="C559" s="55">
        <v>2024</v>
      </c>
      <c r="D559" s="55" t="s">
        <v>55</v>
      </c>
      <c r="E559" s="55">
        <v>3</v>
      </c>
      <c r="F559" s="57" t="s">
        <v>1183</v>
      </c>
      <c r="G559" s="55"/>
      <c r="H559" s="58"/>
      <c r="I559" s="59"/>
    </row>
    <row r="560" spans="2:9" s="2" customFormat="1" x14ac:dyDescent="0.2">
      <c r="B560" s="54" t="str">
        <f t="shared" si="7"/>
        <v>2024-053-4</v>
      </c>
      <c r="C560" s="55">
        <v>2024</v>
      </c>
      <c r="D560" s="55" t="s">
        <v>55</v>
      </c>
      <c r="E560" s="55">
        <v>4</v>
      </c>
      <c r="F560" s="57" t="s">
        <v>1489</v>
      </c>
      <c r="G560" s="55"/>
      <c r="H560" s="58"/>
      <c r="I560" s="59"/>
    </row>
    <row r="561" spans="2:9" s="2" customFormat="1" x14ac:dyDescent="0.2">
      <c r="B561" s="60" t="str">
        <f t="shared" si="7"/>
        <v>2024-053-5</v>
      </c>
      <c r="C561" s="61">
        <v>2024</v>
      </c>
      <c r="D561" s="61" t="s">
        <v>55</v>
      </c>
      <c r="E561" s="61">
        <v>5</v>
      </c>
      <c r="F561" s="62" t="s">
        <v>1792</v>
      </c>
      <c r="G561" s="61"/>
      <c r="H561" s="63"/>
      <c r="I561" s="64"/>
    </row>
    <row r="562" spans="2:9" s="2" customFormat="1" x14ac:dyDescent="0.2">
      <c r="B562" s="65" t="str">
        <f t="shared" si="7"/>
        <v>2024-054-0</v>
      </c>
      <c r="C562" s="66">
        <v>2024</v>
      </c>
      <c r="D562" s="66" t="s">
        <v>56</v>
      </c>
      <c r="E562" s="66">
        <v>0</v>
      </c>
      <c r="F562" s="67" t="s">
        <v>171</v>
      </c>
      <c r="G562" s="66"/>
      <c r="H562" s="68"/>
      <c r="I562" s="69"/>
    </row>
    <row r="563" spans="2:9" s="2" customFormat="1" ht="27" x14ac:dyDescent="0.2">
      <c r="B563" s="54" t="str">
        <f t="shared" si="7"/>
        <v>2024-054-1</v>
      </c>
      <c r="C563" s="55">
        <v>2024</v>
      </c>
      <c r="D563" s="55" t="s">
        <v>56</v>
      </c>
      <c r="E563" s="55">
        <v>1</v>
      </c>
      <c r="F563" s="57" t="s">
        <v>535</v>
      </c>
      <c r="G563" s="55"/>
      <c r="H563" s="58"/>
      <c r="I563" s="59"/>
    </row>
    <row r="564" spans="2:9" s="2" customFormat="1" x14ac:dyDescent="0.2">
      <c r="B564" s="54" t="str">
        <f t="shared" si="7"/>
        <v>2024-054-2</v>
      </c>
      <c r="C564" s="55">
        <v>2024</v>
      </c>
      <c r="D564" s="55" t="s">
        <v>56</v>
      </c>
      <c r="E564" s="55">
        <v>2</v>
      </c>
      <c r="F564" s="57" t="s">
        <v>862</v>
      </c>
      <c r="G564" s="55"/>
      <c r="H564" s="58"/>
      <c r="I564" s="59"/>
    </row>
    <row r="565" spans="2:9" s="2" customFormat="1" x14ac:dyDescent="0.2">
      <c r="B565" s="54" t="str">
        <f t="shared" si="7"/>
        <v>2024-054-3</v>
      </c>
      <c r="C565" s="55">
        <v>2024</v>
      </c>
      <c r="D565" s="55" t="s">
        <v>56</v>
      </c>
      <c r="E565" s="55">
        <v>3</v>
      </c>
      <c r="F565" s="57" t="s">
        <v>1184</v>
      </c>
      <c r="G565" s="55"/>
      <c r="H565" s="58"/>
      <c r="I565" s="59"/>
    </row>
    <row r="566" spans="2:9" s="2" customFormat="1" x14ac:dyDescent="0.2">
      <c r="B566" s="54" t="str">
        <f t="shared" si="7"/>
        <v>2024-054-4</v>
      </c>
      <c r="C566" s="55">
        <v>2024</v>
      </c>
      <c r="D566" s="55" t="s">
        <v>56</v>
      </c>
      <c r="E566" s="55">
        <v>4</v>
      </c>
      <c r="F566" s="57" t="s">
        <v>1490</v>
      </c>
      <c r="G566" s="55" t="s">
        <v>2735</v>
      </c>
      <c r="H566" s="58"/>
      <c r="I566" s="59"/>
    </row>
    <row r="567" spans="2:9" s="2" customFormat="1" x14ac:dyDescent="0.2">
      <c r="B567" s="60" t="str">
        <f t="shared" si="7"/>
        <v>2024-054-5</v>
      </c>
      <c r="C567" s="61">
        <v>2024</v>
      </c>
      <c r="D567" s="61" t="s">
        <v>56</v>
      </c>
      <c r="E567" s="61">
        <v>5</v>
      </c>
      <c r="F567" s="62" t="s">
        <v>1011</v>
      </c>
      <c r="G567" s="61"/>
      <c r="H567" s="63"/>
      <c r="I567" s="64"/>
    </row>
    <row r="568" spans="2:9" s="2" customFormat="1" x14ac:dyDescent="0.2">
      <c r="B568" s="65" t="str">
        <f t="shared" si="7"/>
        <v>2024-055-0</v>
      </c>
      <c r="C568" s="66">
        <v>2024</v>
      </c>
      <c r="D568" s="66" t="s">
        <v>57</v>
      </c>
      <c r="E568" s="66">
        <v>0</v>
      </c>
      <c r="F568" s="67" t="s">
        <v>172</v>
      </c>
      <c r="G568" s="66"/>
      <c r="H568" s="68"/>
      <c r="I568" s="69"/>
    </row>
    <row r="569" spans="2:9" s="2" customFormat="1" x14ac:dyDescent="0.2">
      <c r="B569" s="54" t="str">
        <f t="shared" si="7"/>
        <v>2024-055-1</v>
      </c>
      <c r="C569" s="55">
        <v>2024</v>
      </c>
      <c r="D569" s="55" t="s">
        <v>57</v>
      </c>
      <c r="E569" s="55">
        <v>1</v>
      </c>
      <c r="F569" s="57" t="s">
        <v>536</v>
      </c>
      <c r="G569" s="55"/>
      <c r="H569" s="58"/>
      <c r="I569" s="59"/>
    </row>
    <row r="570" spans="2:9" s="2" customFormat="1" x14ac:dyDescent="0.2">
      <c r="B570" s="54" t="str">
        <f t="shared" si="7"/>
        <v>2024-055-2</v>
      </c>
      <c r="C570" s="55">
        <v>2024</v>
      </c>
      <c r="D570" s="55" t="s">
        <v>57</v>
      </c>
      <c r="E570" s="55">
        <v>2</v>
      </c>
      <c r="F570" s="57" t="s">
        <v>863</v>
      </c>
      <c r="G570" s="55"/>
      <c r="H570" s="58"/>
      <c r="I570" s="59"/>
    </row>
    <row r="571" spans="2:9" s="2" customFormat="1" ht="27" x14ac:dyDescent="0.2">
      <c r="B571" s="54" t="str">
        <f t="shared" si="7"/>
        <v>2024-055-3</v>
      </c>
      <c r="C571" s="55">
        <v>2024</v>
      </c>
      <c r="D571" s="55" t="s">
        <v>57</v>
      </c>
      <c r="E571" s="55">
        <v>3</v>
      </c>
      <c r="F571" s="57" t="s">
        <v>1185</v>
      </c>
      <c r="G571" s="55" t="s">
        <v>2735</v>
      </c>
      <c r="H571" s="58"/>
      <c r="I571" s="59"/>
    </row>
    <row r="572" spans="2:9" s="2" customFormat="1" ht="27" x14ac:dyDescent="0.2">
      <c r="B572" s="54" t="str">
        <f t="shared" si="7"/>
        <v>2024-055-4</v>
      </c>
      <c r="C572" s="55">
        <v>2024</v>
      </c>
      <c r="D572" s="55" t="s">
        <v>57</v>
      </c>
      <c r="E572" s="55">
        <v>4</v>
      </c>
      <c r="F572" s="57" t="s">
        <v>1491</v>
      </c>
      <c r="G572" s="55"/>
      <c r="H572" s="58"/>
      <c r="I572" s="59"/>
    </row>
    <row r="573" spans="2:9" s="2" customFormat="1" ht="27" x14ac:dyDescent="0.2">
      <c r="B573" s="60" t="str">
        <f t="shared" si="7"/>
        <v>2024-055-5</v>
      </c>
      <c r="C573" s="61">
        <v>2024</v>
      </c>
      <c r="D573" s="61" t="s">
        <v>57</v>
      </c>
      <c r="E573" s="61">
        <v>5</v>
      </c>
      <c r="F573" s="62" t="s">
        <v>1793</v>
      </c>
      <c r="G573" s="61"/>
      <c r="H573" s="63"/>
      <c r="I573" s="64"/>
    </row>
    <row r="574" spans="2:9" s="2" customFormat="1" x14ac:dyDescent="0.2">
      <c r="B574" s="65" t="str">
        <f t="shared" si="7"/>
        <v>2024-056-0</v>
      </c>
      <c r="C574" s="66">
        <v>2024</v>
      </c>
      <c r="D574" s="66" t="s">
        <v>58</v>
      </c>
      <c r="E574" s="66">
        <v>0</v>
      </c>
      <c r="F574" s="67" t="s">
        <v>173</v>
      </c>
      <c r="G574" s="66"/>
      <c r="H574" s="68"/>
      <c r="I574" s="69"/>
    </row>
    <row r="575" spans="2:9" s="2" customFormat="1" x14ac:dyDescent="0.2">
      <c r="B575" s="54" t="str">
        <f t="shared" si="7"/>
        <v>2024-056-1</v>
      </c>
      <c r="C575" s="55">
        <v>2024</v>
      </c>
      <c r="D575" s="55" t="s">
        <v>58</v>
      </c>
      <c r="E575" s="55">
        <v>1</v>
      </c>
      <c r="F575" s="57" t="s">
        <v>537</v>
      </c>
      <c r="G575" s="55"/>
      <c r="H575" s="58"/>
      <c r="I575" s="59"/>
    </row>
    <row r="576" spans="2:9" s="2" customFormat="1" ht="40.5" x14ac:dyDescent="0.2">
      <c r="B576" s="54" t="str">
        <f t="shared" si="7"/>
        <v>2024-056-2</v>
      </c>
      <c r="C576" s="55">
        <v>2024</v>
      </c>
      <c r="D576" s="55" t="s">
        <v>58</v>
      </c>
      <c r="E576" s="55">
        <v>2</v>
      </c>
      <c r="F576" s="57" t="s">
        <v>864</v>
      </c>
      <c r="G576" s="55" t="s">
        <v>2735</v>
      </c>
      <c r="H576" s="58"/>
      <c r="I576" s="59"/>
    </row>
    <row r="577" spans="2:9" s="2" customFormat="1" ht="27" x14ac:dyDescent="0.2">
      <c r="B577" s="54" t="str">
        <f t="shared" si="7"/>
        <v>2024-056-3</v>
      </c>
      <c r="C577" s="55">
        <v>2024</v>
      </c>
      <c r="D577" s="55" t="s">
        <v>58</v>
      </c>
      <c r="E577" s="55">
        <v>3</v>
      </c>
      <c r="F577" s="57" t="s">
        <v>1186</v>
      </c>
      <c r="G577" s="55"/>
      <c r="H577" s="58"/>
      <c r="I577" s="59"/>
    </row>
    <row r="578" spans="2:9" s="2" customFormat="1" ht="27" x14ac:dyDescent="0.2">
      <c r="B578" s="54" t="str">
        <f t="shared" si="7"/>
        <v>2024-056-4</v>
      </c>
      <c r="C578" s="55">
        <v>2024</v>
      </c>
      <c r="D578" s="55" t="s">
        <v>58</v>
      </c>
      <c r="E578" s="55">
        <v>4</v>
      </c>
      <c r="F578" s="57" t="s">
        <v>1492</v>
      </c>
      <c r="G578" s="55"/>
      <c r="H578" s="58"/>
      <c r="I578" s="59"/>
    </row>
    <row r="579" spans="2:9" s="2" customFormat="1" x14ac:dyDescent="0.2">
      <c r="B579" s="60" t="str">
        <f t="shared" si="7"/>
        <v>2024-056-5</v>
      </c>
      <c r="C579" s="61">
        <v>2024</v>
      </c>
      <c r="D579" s="61" t="s">
        <v>58</v>
      </c>
      <c r="E579" s="61">
        <v>5</v>
      </c>
      <c r="F579" s="62" t="s">
        <v>1794</v>
      </c>
      <c r="G579" s="61"/>
      <c r="H579" s="63"/>
      <c r="I579" s="64"/>
    </row>
    <row r="580" spans="2:9" s="2" customFormat="1" ht="81" x14ac:dyDescent="0.2">
      <c r="B580" s="65" t="str">
        <f t="shared" si="7"/>
        <v>2024-057-0</v>
      </c>
      <c r="C580" s="66">
        <v>2024</v>
      </c>
      <c r="D580" s="66" t="s">
        <v>59</v>
      </c>
      <c r="E580" s="66">
        <v>0</v>
      </c>
      <c r="F580" s="67" t="s">
        <v>174</v>
      </c>
      <c r="G580" s="66"/>
      <c r="H580" s="68"/>
      <c r="I580" s="69"/>
    </row>
    <row r="581" spans="2:9" s="2" customFormat="1" x14ac:dyDescent="0.2">
      <c r="B581" s="54" t="str">
        <f t="shared" si="7"/>
        <v>2024-057-1</v>
      </c>
      <c r="C581" s="55">
        <v>2024</v>
      </c>
      <c r="D581" s="55" t="s">
        <v>59</v>
      </c>
      <c r="E581" s="55">
        <v>1</v>
      </c>
      <c r="F581" s="57" t="s">
        <v>7</v>
      </c>
      <c r="G581" s="55"/>
      <c r="H581" s="58"/>
      <c r="I581" s="59"/>
    </row>
    <row r="582" spans="2:9" s="2" customFormat="1" x14ac:dyDescent="0.2">
      <c r="B582" s="54" t="str">
        <f t="shared" si="7"/>
        <v>2024-057-2</v>
      </c>
      <c r="C582" s="55">
        <v>2024</v>
      </c>
      <c r="D582" s="55" t="s">
        <v>59</v>
      </c>
      <c r="E582" s="55">
        <v>2</v>
      </c>
      <c r="F582" s="57" t="s">
        <v>14</v>
      </c>
      <c r="G582" s="55"/>
      <c r="H582" s="58"/>
      <c r="I582" s="59"/>
    </row>
    <row r="583" spans="2:9" s="2" customFormat="1" x14ac:dyDescent="0.2">
      <c r="B583" s="54" t="str">
        <f t="shared" si="7"/>
        <v>2024-057-3</v>
      </c>
      <c r="C583" s="55">
        <v>2024</v>
      </c>
      <c r="D583" s="55" t="s">
        <v>59</v>
      </c>
      <c r="E583" s="55">
        <v>3</v>
      </c>
      <c r="F583" s="57" t="s">
        <v>18</v>
      </c>
      <c r="G583" s="55"/>
      <c r="H583" s="58"/>
      <c r="I583" s="59"/>
    </row>
    <row r="584" spans="2:9" s="2" customFormat="1" x14ac:dyDescent="0.2">
      <c r="B584" s="54" t="str">
        <f t="shared" si="7"/>
        <v>2024-057-4</v>
      </c>
      <c r="C584" s="55">
        <v>2024</v>
      </c>
      <c r="D584" s="55" t="s">
        <v>59</v>
      </c>
      <c r="E584" s="55">
        <v>4</v>
      </c>
      <c r="F584" s="57" t="s">
        <v>20</v>
      </c>
      <c r="G584" s="55"/>
      <c r="H584" s="58"/>
      <c r="I584" s="59"/>
    </row>
    <row r="585" spans="2:9" s="2" customFormat="1" x14ac:dyDescent="0.2">
      <c r="B585" s="60" t="str">
        <f t="shared" si="7"/>
        <v>2024-057-5</v>
      </c>
      <c r="C585" s="61">
        <v>2024</v>
      </c>
      <c r="D585" s="61" t="s">
        <v>59</v>
      </c>
      <c r="E585" s="61">
        <v>5</v>
      </c>
      <c r="F585" s="62" t="s">
        <v>22</v>
      </c>
      <c r="G585" s="61" t="s">
        <v>2735</v>
      </c>
      <c r="H585" s="63"/>
      <c r="I585" s="64"/>
    </row>
    <row r="586" spans="2:9" s="2" customFormat="1" x14ac:dyDescent="0.2">
      <c r="B586" s="65" t="str">
        <f t="shared" si="7"/>
        <v>2024-058-0</v>
      </c>
      <c r="C586" s="66">
        <v>2024</v>
      </c>
      <c r="D586" s="66" t="s">
        <v>60</v>
      </c>
      <c r="E586" s="66">
        <v>0</v>
      </c>
      <c r="F586" s="67" t="s">
        <v>175</v>
      </c>
      <c r="G586" s="66"/>
      <c r="H586" s="68"/>
      <c r="I586" s="69"/>
    </row>
    <row r="587" spans="2:9" s="2" customFormat="1" x14ac:dyDescent="0.2">
      <c r="B587" s="54" t="str">
        <f t="shared" si="7"/>
        <v>2024-058-1</v>
      </c>
      <c r="C587" s="55">
        <v>2024</v>
      </c>
      <c r="D587" s="55" t="s">
        <v>60</v>
      </c>
      <c r="E587" s="55">
        <v>1</v>
      </c>
      <c r="F587" s="57" t="s">
        <v>538</v>
      </c>
      <c r="G587" s="55" t="s">
        <v>2735</v>
      </c>
      <c r="H587" s="58"/>
      <c r="I587" s="59"/>
    </row>
    <row r="588" spans="2:9" s="2" customFormat="1" ht="27" x14ac:dyDescent="0.2">
      <c r="B588" s="54" t="str">
        <f t="shared" si="7"/>
        <v>2024-058-2</v>
      </c>
      <c r="C588" s="55">
        <v>2024</v>
      </c>
      <c r="D588" s="55" t="s">
        <v>60</v>
      </c>
      <c r="E588" s="55">
        <v>2</v>
      </c>
      <c r="F588" s="57" t="s">
        <v>865</v>
      </c>
      <c r="G588" s="55"/>
      <c r="H588" s="58"/>
      <c r="I588" s="59"/>
    </row>
    <row r="589" spans="2:9" s="2" customFormat="1" ht="27" x14ac:dyDescent="0.2">
      <c r="B589" s="54" t="str">
        <f t="shared" si="7"/>
        <v>2024-058-3</v>
      </c>
      <c r="C589" s="55">
        <v>2024</v>
      </c>
      <c r="D589" s="55" t="s">
        <v>60</v>
      </c>
      <c r="E589" s="55">
        <v>3</v>
      </c>
      <c r="F589" s="57" t="s">
        <v>1187</v>
      </c>
      <c r="G589" s="55"/>
      <c r="H589" s="58"/>
      <c r="I589" s="59"/>
    </row>
    <row r="590" spans="2:9" s="2" customFormat="1" x14ac:dyDescent="0.2">
      <c r="B590" s="54" t="str">
        <f t="shared" si="7"/>
        <v>2024-058-4</v>
      </c>
      <c r="C590" s="55">
        <v>2024</v>
      </c>
      <c r="D590" s="55" t="s">
        <v>60</v>
      </c>
      <c r="E590" s="55">
        <v>4</v>
      </c>
      <c r="F590" s="57" t="s">
        <v>1493</v>
      </c>
      <c r="G590" s="55"/>
      <c r="H590" s="58"/>
      <c r="I590" s="59"/>
    </row>
    <row r="591" spans="2:9" s="2" customFormat="1" ht="27" x14ac:dyDescent="0.2">
      <c r="B591" s="60" t="str">
        <f t="shared" si="7"/>
        <v>2024-058-5</v>
      </c>
      <c r="C591" s="61">
        <v>2024</v>
      </c>
      <c r="D591" s="61" t="s">
        <v>60</v>
      </c>
      <c r="E591" s="61">
        <v>5</v>
      </c>
      <c r="F591" s="62" t="s">
        <v>1795</v>
      </c>
      <c r="G591" s="61"/>
      <c r="H591" s="63"/>
      <c r="I591" s="64"/>
    </row>
    <row r="592" spans="2:9" s="2" customFormat="1" x14ac:dyDescent="0.2">
      <c r="B592" s="65" t="str">
        <f t="shared" si="7"/>
        <v>2024-059-0</v>
      </c>
      <c r="C592" s="66">
        <v>2024</v>
      </c>
      <c r="D592" s="66" t="s">
        <v>61</v>
      </c>
      <c r="E592" s="66">
        <v>0</v>
      </c>
      <c r="F592" s="67" t="s">
        <v>176</v>
      </c>
      <c r="G592" s="66"/>
      <c r="H592" s="68"/>
      <c r="I592" s="69"/>
    </row>
    <row r="593" spans="2:9" s="2" customFormat="1" x14ac:dyDescent="0.2">
      <c r="B593" s="54" t="str">
        <f t="shared" si="7"/>
        <v>2024-059-1</v>
      </c>
      <c r="C593" s="55">
        <v>2024</v>
      </c>
      <c r="D593" s="55" t="s">
        <v>61</v>
      </c>
      <c r="E593" s="55">
        <v>1</v>
      </c>
      <c r="F593" s="57" t="s">
        <v>539</v>
      </c>
      <c r="G593" s="55"/>
      <c r="H593" s="58"/>
      <c r="I593" s="59"/>
    </row>
    <row r="594" spans="2:9" s="2" customFormat="1" ht="27" x14ac:dyDescent="0.2">
      <c r="B594" s="54" t="str">
        <f t="shared" si="7"/>
        <v>2024-059-2</v>
      </c>
      <c r="C594" s="55">
        <v>2024</v>
      </c>
      <c r="D594" s="55" t="s">
        <v>61</v>
      </c>
      <c r="E594" s="55">
        <v>2</v>
      </c>
      <c r="F594" s="57" t="s">
        <v>866</v>
      </c>
      <c r="G594" s="55"/>
      <c r="H594" s="58"/>
      <c r="I594" s="59"/>
    </row>
    <row r="595" spans="2:9" s="2" customFormat="1" x14ac:dyDescent="0.2">
      <c r="B595" s="54" t="str">
        <f t="shared" si="7"/>
        <v>2024-059-3</v>
      </c>
      <c r="C595" s="55">
        <v>2024</v>
      </c>
      <c r="D595" s="55" t="s">
        <v>61</v>
      </c>
      <c r="E595" s="55">
        <v>3</v>
      </c>
      <c r="F595" s="57" t="s">
        <v>1188</v>
      </c>
      <c r="G595" s="55" t="s">
        <v>2735</v>
      </c>
      <c r="H595" s="58"/>
      <c r="I595" s="59"/>
    </row>
    <row r="596" spans="2:9" s="2" customFormat="1" ht="27" x14ac:dyDescent="0.2">
      <c r="B596" s="54" t="str">
        <f t="shared" si="7"/>
        <v>2024-059-4</v>
      </c>
      <c r="C596" s="55">
        <v>2024</v>
      </c>
      <c r="D596" s="55" t="s">
        <v>61</v>
      </c>
      <c r="E596" s="55">
        <v>4</v>
      </c>
      <c r="F596" s="57" t="s">
        <v>1494</v>
      </c>
      <c r="G596" s="55"/>
      <c r="H596" s="58"/>
      <c r="I596" s="59"/>
    </row>
    <row r="597" spans="2:9" s="2" customFormat="1" x14ac:dyDescent="0.2">
      <c r="B597" s="60" t="str">
        <f t="shared" si="7"/>
        <v>2024-059-5</v>
      </c>
      <c r="C597" s="61">
        <v>2024</v>
      </c>
      <c r="D597" s="61" t="s">
        <v>61</v>
      </c>
      <c r="E597" s="61">
        <v>5</v>
      </c>
      <c r="F597" s="62" t="s">
        <v>1796</v>
      </c>
      <c r="G597" s="61"/>
      <c r="H597" s="63"/>
      <c r="I597" s="64"/>
    </row>
    <row r="598" spans="2:9" s="2" customFormat="1" x14ac:dyDescent="0.2">
      <c r="B598" s="65" t="str">
        <f t="shared" si="7"/>
        <v>2024-060-0</v>
      </c>
      <c r="C598" s="66">
        <v>2024</v>
      </c>
      <c r="D598" s="66" t="s">
        <v>62</v>
      </c>
      <c r="E598" s="66">
        <v>0</v>
      </c>
      <c r="F598" s="67" t="s">
        <v>177</v>
      </c>
      <c r="G598" s="66"/>
      <c r="H598" s="68"/>
      <c r="I598" s="69"/>
    </row>
    <row r="599" spans="2:9" s="2" customFormat="1" ht="27" x14ac:dyDescent="0.2">
      <c r="B599" s="54" t="str">
        <f t="shared" si="7"/>
        <v>2024-060-1</v>
      </c>
      <c r="C599" s="55">
        <v>2024</v>
      </c>
      <c r="D599" s="55" t="s">
        <v>62</v>
      </c>
      <c r="E599" s="55">
        <v>1</v>
      </c>
      <c r="F599" s="57" t="s">
        <v>540</v>
      </c>
      <c r="G599" s="55"/>
      <c r="H599" s="58"/>
      <c r="I599" s="59"/>
    </row>
    <row r="600" spans="2:9" s="2" customFormat="1" ht="27" x14ac:dyDescent="0.2">
      <c r="B600" s="54" t="str">
        <f t="shared" si="7"/>
        <v>2024-060-2</v>
      </c>
      <c r="C600" s="55">
        <v>2024</v>
      </c>
      <c r="D600" s="55" t="s">
        <v>62</v>
      </c>
      <c r="E600" s="55">
        <v>2</v>
      </c>
      <c r="F600" s="57" t="s">
        <v>867</v>
      </c>
      <c r="G600" s="55" t="s">
        <v>2735</v>
      </c>
      <c r="H600" s="58"/>
      <c r="I600" s="59"/>
    </row>
    <row r="601" spans="2:9" s="2" customFormat="1" x14ac:dyDescent="0.2">
      <c r="B601" s="54" t="str">
        <f t="shared" si="7"/>
        <v>2024-060-3</v>
      </c>
      <c r="C601" s="55">
        <v>2024</v>
      </c>
      <c r="D601" s="55" t="s">
        <v>62</v>
      </c>
      <c r="E601" s="55">
        <v>3</v>
      </c>
      <c r="F601" s="57" t="s">
        <v>1189</v>
      </c>
      <c r="G601" s="55"/>
      <c r="H601" s="58"/>
      <c r="I601" s="59"/>
    </row>
    <row r="602" spans="2:9" s="2" customFormat="1" x14ac:dyDescent="0.2">
      <c r="B602" s="54" t="str">
        <f t="shared" si="7"/>
        <v>2024-060-4</v>
      </c>
      <c r="C602" s="55">
        <v>2024</v>
      </c>
      <c r="D602" s="55" t="s">
        <v>62</v>
      </c>
      <c r="E602" s="55">
        <v>4</v>
      </c>
      <c r="F602" s="57" t="s">
        <v>1495</v>
      </c>
      <c r="G602" s="55"/>
      <c r="H602" s="58"/>
      <c r="I602" s="59"/>
    </row>
    <row r="603" spans="2:9" s="2" customFormat="1" x14ac:dyDescent="0.2">
      <c r="B603" s="60" t="str">
        <f t="shared" si="7"/>
        <v>2024-060-5</v>
      </c>
      <c r="C603" s="61">
        <v>2024</v>
      </c>
      <c r="D603" s="61" t="s">
        <v>62</v>
      </c>
      <c r="E603" s="61">
        <v>5</v>
      </c>
      <c r="F603" s="62" t="s">
        <v>1797</v>
      </c>
      <c r="G603" s="61"/>
      <c r="H603" s="63"/>
      <c r="I603" s="64"/>
    </row>
    <row r="604" spans="2:9" s="2" customFormat="1" ht="54" x14ac:dyDescent="0.2">
      <c r="B604" s="65" t="str">
        <f t="shared" si="7"/>
        <v>2024-061-0</v>
      </c>
      <c r="C604" s="66">
        <v>2024</v>
      </c>
      <c r="D604" s="66" t="s">
        <v>63</v>
      </c>
      <c r="E604" s="66">
        <v>0</v>
      </c>
      <c r="F604" s="67" t="s">
        <v>178</v>
      </c>
      <c r="G604" s="66"/>
      <c r="H604" s="68"/>
      <c r="I604" s="69"/>
    </row>
    <row r="605" spans="2:9" s="2" customFormat="1" x14ac:dyDescent="0.2">
      <c r="B605" s="54" t="str">
        <f t="shared" si="7"/>
        <v>2024-061-1</v>
      </c>
      <c r="C605" s="55">
        <v>2024</v>
      </c>
      <c r="D605" s="55" t="s">
        <v>63</v>
      </c>
      <c r="E605" s="55">
        <v>1</v>
      </c>
      <c r="F605" s="57">
        <v>11</v>
      </c>
      <c r="G605" s="55"/>
      <c r="H605" s="58"/>
      <c r="I605" s="59"/>
    </row>
    <row r="606" spans="2:9" s="2" customFormat="1" x14ac:dyDescent="0.2">
      <c r="B606" s="54" t="str">
        <f t="shared" si="7"/>
        <v>2024-061-2</v>
      </c>
      <c r="C606" s="55">
        <v>2024</v>
      </c>
      <c r="D606" s="55" t="s">
        <v>63</v>
      </c>
      <c r="E606" s="55">
        <v>2</v>
      </c>
      <c r="F606" s="57">
        <v>12</v>
      </c>
      <c r="G606" s="55"/>
      <c r="H606" s="58"/>
      <c r="I606" s="59"/>
    </row>
    <row r="607" spans="2:9" s="2" customFormat="1" x14ac:dyDescent="0.2">
      <c r="B607" s="54" t="str">
        <f t="shared" si="7"/>
        <v>2024-061-3</v>
      </c>
      <c r="C607" s="55">
        <v>2024</v>
      </c>
      <c r="D607" s="55" t="s">
        <v>63</v>
      </c>
      <c r="E607" s="55">
        <v>3</v>
      </c>
      <c r="F607" s="57">
        <v>13</v>
      </c>
      <c r="G607" s="55" t="s">
        <v>2735</v>
      </c>
      <c r="H607" s="58"/>
      <c r="I607" s="59"/>
    </row>
    <row r="608" spans="2:9" s="2" customFormat="1" x14ac:dyDescent="0.2">
      <c r="B608" s="54" t="str">
        <f t="shared" si="7"/>
        <v>2024-061-4</v>
      </c>
      <c r="C608" s="55">
        <v>2024</v>
      </c>
      <c r="D608" s="55" t="s">
        <v>63</v>
      </c>
      <c r="E608" s="55">
        <v>4</v>
      </c>
      <c r="F608" s="57">
        <v>15</v>
      </c>
      <c r="G608" s="55"/>
      <c r="H608" s="58"/>
      <c r="I608" s="59"/>
    </row>
    <row r="609" spans="2:9" s="2" customFormat="1" x14ac:dyDescent="0.2">
      <c r="B609" s="60" t="str">
        <f t="shared" si="7"/>
        <v>2024-061-5</v>
      </c>
      <c r="C609" s="61">
        <v>2024</v>
      </c>
      <c r="D609" s="61" t="s">
        <v>63</v>
      </c>
      <c r="E609" s="61">
        <v>5</v>
      </c>
      <c r="F609" s="62">
        <v>18</v>
      </c>
      <c r="G609" s="61"/>
      <c r="H609" s="63"/>
      <c r="I609" s="64"/>
    </row>
    <row r="610" spans="2:9" s="2" customFormat="1" x14ac:dyDescent="0.2">
      <c r="B610" s="65" t="str">
        <f t="shared" si="7"/>
        <v>2024-062-0</v>
      </c>
      <c r="C610" s="66">
        <v>2024</v>
      </c>
      <c r="D610" s="66" t="s">
        <v>64</v>
      </c>
      <c r="E610" s="66">
        <v>0</v>
      </c>
      <c r="F610" s="67" t="s">
        <v>179</v>
      </c>
      <c r="G610" s="66"/>
      <c r="H610" s="68"/>
      <c r="I610" s="69"/>
    </row>
    <row r="611" spans="2:9" s="2" customFormat="1" x14ac:dyDescent="0.2">
      <c r="B611" s="54" t="str">
        <f t="shared" si="7"/>
        <v>2024-062-1</v>
      </c>
      <c r="C611" s="55">
        <v>2024</v>
      </c>
      <c r="D611" s="55" t="s">
        <v>64</v>
      </c>
      <c r="E611" s="55">
        <v>1</v>
      </c>
      <c r="F611" s="57" t="s">
        <v>541</v>
      </c>
      <c r="G611" s="55" t="s">
        <v>2735</v>
      </c>
      <c r="H611" s="58"/>
      <c r="I611" s="59"/>
    </row>
    <row r="612" spans="2:9" s="2" customFormat="1" ht="27" x14ac:dyDescent="0.2">
      <c r="B612" s="54" t="str">
        <f t="shared" si="7"/>
        <v>2024-062-2</v>
      </c>
      <c r="C612" s="55">
        <v>2024</v>
      </c>
      <c r="D612" s="55" t="s">
        <v>64</v>
      </c>
      <c r="E612" s="55">
        <v>2</v>
      </c>
      <c r="F612" s="57" t="s">
        <v>868</v>
      </c>
      <c r="G612" s="55"/>
      <c r="H612" s="58"/>
      <c r="I612" s="59"/>
    </row>
    <row r="613" spans="2:9" s="2" customFormat="1" x14ac:dyDescent="0.2">
      <c r="B613" s="54" t="str">
        <f t="shared" ref="B613:B676" si="8">C613&amp;"-"&amp;D613&amp;"-"&amp;E613</f>
        <v>2024-062-3</v>
      </c>
      <c r="C613" s="55">
        <v>2024</v>
      </c>
      <c r="D613" s="55" t="s">
        <v>64</v>
      </c>
      <c r="E613" s="55">
        <v>3</v>
      </c>
      <c r="F613" s="57" t="s">
        <v>1190</v>
      </c>
      <c r="G613" s="55"/>
      <c r="H613" s="58"/>
      <c r="I613" s="59"/>
    </row>
    <row r="614" spans="2:9" s="2" customFormat="1" ht="27" x14ac:dyDescent="0.2">
      <c r="B614" s="54" t="str">
        <f t="shared" si="8"/>
        <v>2024-062-4</v>
      </c>
      <c r="C614" s="55">
        <v>2024</v>
      </c>
      <c r="D614" s="55" t="s">
        <v>64</v>
      </c>
      <c r="E614" s="55">
        <v>4</v>
      </c>
      <c r="F614" s="57" t="s">
        <v>1496</v>
      </c>
      <c r="G614" s="55"/>
      <c r="H614" s="58"/>
      <c r="I614" s="59"/>
    </row>
    <row r="615" spans="2:9" s="2" customFormat="1" ht="27" x14ac:dyDescent="0.2">
      <c r="B615" s="60" t="str">
        <f t="shared" si="8"/>
        <v>2024-062-5</v>
      </c>
      <c r="C615" s="61">
        <v>2024</v>
      </c>
      <c r="D615" s="61" t="s">
        <v>64</v>
      </c>
      <c r="E615" s="61">
        <v>5</v>
      </c>
      <c r="F615" s="62" t="s">
        <v>1798</v>
      </c>
      <c r="G615" s="61"/>
      <c r="H615" s="63"/>
      <c r="I615" s="64"/>
    </row>
    <row r="616" spans="2:9" s="2" customFormat="1" ht="81" x14ac:dyDescent="0.2">
      <c r="B616" s="65" t="str">
        <f t="shared" si="8"/>
        <v>2024-063-0</v>
      </c>
      <c r="C616" s="66">
        <v>2024</v>
      </c>
      <c r="D616" s="66" t="s">
        <v>65</v>
      </c>
      <c r="E616" s="66">
        <v>0</v>
      </c>
      <c r="F616" s="67" t="s">
        <v>3065</v>
      </c>
      <c r="G616" s="66"/>
      <c r="H616" s="68"/>
      <c r="I616" s="69"/>
    </row>
    <row r="617" spans="2:9" s="2" customFormat="1" x14ac:dyDescent="0.2">
      <c r="B617" s="54" t="str">
        <f t="shared" si="8"/>
        <v>2024-063-1</v>
      </c>
      <c r="C617" s="55">
        <v>2024</v>
      </c>
      <c r="D617" s="55" t="s">
        <v>65</v>
      </c>
      <c r="E617" s="55">
        <v>1</v>
      </c>
      <c r="F617" s="57" t="s">
        <v>3066</v>
      </c>
      <c r="G617" s="55"/>
      <c r="H617" s="58"/>
      <c r="I617" s="59"/>
    </row>
    <row r="618" spans="2:9" s="2" customFormat="1" x14ac:dyDescent="0.2">
      <c r="B618" s="54" t="str">
        <f t="shared" si="8"/>
        <v>2024-063-2</v>
      </c>
      <c r="C618" s="55">
        <v>2024</v>
      </c>
      <c r="D618" s="55" t="s">
        <v>65</v>
      </c>
      <c r="E618" s="55">
        <v>2</v>
      </c>
      <c r="F618" s="57" t="s">
        <v>3067</v>
      </c>
      <c r="G618" s="55"/>
      <c r="H618" s="58"/>
      <c r="I618" s="59"/>
    </row>
    <row r="619" spans="2:9" s="2" customFormat="1" x14ac:dyDescent="0.2">
      <c r="B619" s="54" t="str">
        <f t="shared" si="8"/>
        <v>2024-063-3</v>
      </c>
      <c r="C619" s="55">
        <v>2024</v>
      </c>
      <c r="D619" s="55" t="s">
        <v>65</v>
      </c>
      <c r="E619" s="55">
        <v>3</v>
      </c>
      <c r="F619" s="57" t="s">
        <v>3068</v>
      </c>
      <c r="G619" s="55"/>
      <c r="H619" s="58"/>
      <c r="I619" s="59"/>
    </row>
    <row r="620" spans="2:9" s="2" customFormat="1" x14ac:dyDescent="0.2">
      <c r="B620" s="54" t="str">
        <f t="shared" si="8"/>
        <v>2024-063-4</v>
      </c>
      <c r="C620" s="55">
        <v>2024</v>
      </c>
      <c r="D620" s="55" t="s">
        <v>65</v>
      </c>
      <c r="E620" s="55">
        <v>4</v>
      </c>
      <c r="F620" s="57" t="s">
        <v>3069</v>
      </c>
      <c r="G620" s="55"/>
      <c r="H620" s="58"/>
      <c r="I620" s="59"/>
    </row>
    <row r="621" spans="2:9" s="2" customFormat="1" x14ac:dyDescent="0.2">
      <c r="B621" s="60" t="str">
        <f t="shared" si="8"/>
        <v>2024-063-5</v>
      </c>
      <c r="C621" s="61">
        <v>2024</v>
      </c>
      <c r="D621" s="61" t="s">
        <v>65</v>
      </c>
      <c r="E621" s="61">
        <v>5</v>
      </c>
      <c r="F621" s="62" t="s">
        <v>1799</v>
      </c>
      <c r="G621" s="61" t="s">
        <v>2735</v>
      </c>
      <c r="H621" s="63"/>
      <c r="I621" s="64"/>
    </row>
    <row r="622" spans="2:9" s="2" customFormat="1" x14ac:dyDescent="0.2">
      <c r="B622" s="65" t="str">
        <f t="shared" si="8"/>
        <v>2024-064-0</v>
      </c>
      <c r="C622" s="66">
        <v>2024</v>
      </c>
      <c r="D622" s="66" t="s">
        <v>66</v>
      </c>
      <c r="E622" s="66">
        <v>0</v>
      </c>
      <c r="F622" s="67" t="s">
        <v>181</v>
      </c>
      <c r="G622" s="66"/>
      <c r="H622" s="68"/>
      <c r="I622" s="69"/>
    </row>
    <row r="623" spans="2:9" s="2" customFormat="1" x14ac:dyDescent="0.2">
      <c r="B623" s="54" t="str">
        <f t="shared" si="8"/>
        <v>2024-064-1</v>
      </c>
      <c r="C623" s="55">
        <v>2024</v>
      </c>
      <c r="D623" s="55" t="s">
        <v>66</v>
      </c>
      <c r="E623" s="55">
        <v>1</v>
      </c>
      <c r="F623" s="57" t="s">
        <v>542</v>
      </c>
      <c r="G623" s="55"/>
      <c r="H623" s="58"/>
      <c r="I623" s="59"/>
    </row>
    <row r="624" spans="2:9" s="2" customFormat="1" ht="27" x14ac:dyDescent="0.2">
      <c r="B624" s="54" t="str">
        <f t="shared" si="8"/>
        <v>2024-064-2</v>
      </c>
      <c r="C624" s="55">
        <v>2024</v>
      </c>
      <c r="D624" s="55" t="s">
        <v>66</v>
      </c>
      <c r="E624" s="55">
        <v>2</v>
      </c>
      <c r="F624" s="57" t="s">
        <v>870</v>
      </c>
      <c r="G624" s="55" t="s">
        <v>2735</v>
      </c>
      <c r="H624" s="58"/>
      <c r="I624" s="59"/>
    </row>
    <row r="625" spans="2:9" x14ac:dyDescent="0.2">
      <c r="B625" s="54" t="str">
        <f t="shared" si="8"/>
        <v>2024-064-3</v>
      </c>
      <c r="C625" s="55">
        <v>2024</v>
      </c>
      <c r="D625" s="55" t="s">
        <v>66</v>
      </c>
      <c r="E625" s="55">
        <v>3</v>
      </c>
      <c r="F625" s="57" t="s">
        <v>1192</v>
      </c>
      <c r="G625" s="55"/>
      <c r="H625" s="58"/>
      <c r="I625" s="59"/>
    </row>
    <row r="626" spans="2:9" ht="27" x14ac:dyDescent="0.2">
      <c r="B626" s="54" t="str">
        <f t="shared" si="8"/>
        <v>2024-064-4</v>
      </c>
      <c r="C626" s="55">
        <v>2024</v>
      </c>
      <c r="D626" s="55" t="s">
        <v>66</v>
      </c>
      <c r="E626" s="55">
        <v>4</v>
      </c>
      <c r="F626" s="57" t="s">
        <v>1498</v>
      </c>
      <c r="G626" s="55"/>
      <c r="H626" s="58"/>
      <c r="I626" s="59"/>
    </row>
    <row r="627" spans="2:9" ht="27" x14ac:dyDescent="0.2">
      <c r="B627" s="60" t="str">
        <f t="shared" si="8"/>
        <v>2024-064-5</v>
      </c>
      <c r="C627" s="61">
        <v>2024</v>
      </c>
      <c r="D627" s="61" t="s">
        <v>66</v>
      </c>
      <c r="E627" s="61">
        <v>5</v>
      </c>
      <c r="F627" s="62" t="s">
        <v>1800</v>
      </c>
      <c r="G627" s="61"/>
      <c r="H627" s="63"/>
      <c r="I627" s="64"/>
    </row>
    <row r="628" spans="2:9" ht="54" x14ac:dyDescent="0.2">
      <c r="B628" s="65" t="str">
        <f t="shared" si="8"/>
        <v>2024-065-0</v>
      </c>
      <c r="C628" s="66">
        <v>2024</v>
      </c>
      <c r="D628" s="66" t="s">
        <v>67</v>
      </c>
      <c r="E628" s="66">
        <v>0</v>
      </c>
      <c r="F628" s="67" t="s">
        <v>182</v>
      </c>
      <c r="G628" s="66"/>
      <c r="H628" s="68"/>
      <c r="I628" s="69"/>
    </row>
    <row r="629" spans="2:9" x14ac:dyDescent="0.2">
      <c r="B629" s="54" t="str">
        <f t="shared" si="8"/>
        <v>2024-065-1</v>
      </c>
      <c r="C629" s="55">
        <v>2024</v>
      </c>
      <c r="D629" s="55" t="s">
        <v>67</v>
      </c>
      <c r="E629" s="55">
        <v>1</v>
      </c>
      <c r="F629" s="57">
        <v>4</v>
      </c>
      <c r="G629" s="55"/>
      <c r="H629" s="58"/>
      <c r="I629" s="59"/>
    </row>
    <row r="630" spans="2:9" x14ac:dyDescent="0.2">
      <c r="B630" s="54" t="str">
        <f t="shared" si="8"/>
        <v>2024-065-2</v>
      </c>
      <c r="C630" s="55">
        <v>2024</v>
      </c>
      <c r="D630" s="55" t="s">
        <v>67</v>
      </c>
      <c r="E630" s="55">
        <v>2</v>
      </c>
      <c r="F630" s="57">
        <v>6</v>
      </c>
      <c r="G630" s="55"/>
      <c r="H630" s="58"/>
      <c r="I630" s="59"/>
    </row>
    <row r="631" spans="2:9" x14ac:dyDescent="0.2">
      <c r="B631" s="54" t="str">
        <f t="shared" si="8"/>
        <v>2024-065-3</v>
      </c>
      <c r="C631" s="55">
        <v>2024</v>
      </c>
      <c r="D631" s="55" t="s">
        <v>67</v>
      </c>
      <c r="E631" s="55">
        <v>3</v>
      </c>
      <c r="F631" s="57">
        <v>8</v>
      </c>
      <c r="G631" s="55" t="s">
        <v>2735</v>
      </c>
      <c r="H631" s="58"/>
      <c r="I631" s="59"/>
    </row>
    <row r="632" spans="2:9" x14ac:dyDescent="0.2">
      <c r="B632" s="54" t="str">
        <f t="shared" si="8"/>
        <v>2024-065-4</v>
      </c>
      <c r="C632" s="55">
        <v>2024</v>
      </c>
      <c r="D632" s="55" t="s">
        <v>67</v>
      </c>
      <c r="E632" s="55">
        <v>4</v>
      </c>
      <c r="F632" s="57">
        <v>13</v>
      </c>
      <c r="G632" s="55"/>
      <c r="H632" s="58"/>
      <c r="I632" s="59"/>
    </row>
    <row r="633" spans="2:9" x14ac:dyDescent="0.2">
      <c r="B633" s="60" t="str">
        <f t="shared" si="8"/>
        <v>2024-065-5</v>
      </c>
      <c r="C633" s="61">
        <v>2024</v>
      </c>
      <c r="D633" s="61" t="s">
        <v>67</v>
      </c>
      <c r="E633" s="61">
        <v>5</v>
      </c>
      <c r="F633" s="62">
        <v>15</v>
      </c>
      <c r="G633" s="61"/>
      <c r="H633" s="63"/>
      <c r="I633" s="64"/>
    </row>
    <row r="634" spans="2:9" x14ac:dyDescent="0.2">
      <c r="B634" s="65" t="str">
        <f t="shared" si="8"/>
        <v>2024-066-0</v>
      </c>
      <c r="C634" s="66">
        <v>2024</v>
      </c>
      <c r="D634" s="66" t="s">
        <v>68</v>
      </c>
      <c r="E634" s="66">
        <v>0</v>
      </c>
      <c r="F634" s="67" t="s">
        <v>183</v>
      </c>
      <c r="G634" s="66"/>
      <c r="H634" s="68"/>
      <c r="I634" s="69"/>
    </row>
    <row r="635" spans="2:9" ht="27" x14ac:dyDescent="0.2">
      <c r="B635" s="54" t="str">
        <f t="shared" si="8"/>
        <v>2024-066-1</v>
      </c>
      <c r="C635" s="55">
        <v>2024</v>
      </c>
      <c r="D635" s="55" t="s">
        <v>68</v>
      </c>
      <c r="E635" s="55">
        <v>1</v>
      </c>
      <c r="F635" s="57" t="s">
        <v>543</v>
      </c>
      <c r="G635" s="55"/>
      <c r="H635" s="58"/>
      <c r="I635" s="59"/>
    </row>
    <row r="636" spans="2:9" ht="27" x14ac:dyDescent="0.2">
      <c r="B636" s="54" t="str">
        <f t="shared" si="8"/>
        <v>2024-066-2</v>
      </c>
      <c r="C636" s="55">
        <v>2024</v>
      </c>
      <c r="D636" s="55" t="s">
        <v>68</v>
      </c>
      <c r="E636" s="55">
        <v>2</v>
      </c>
      <c r="F636" s="57" t="s">
        <v>871</v>
      </c>
      <c r="G636" s="55" t="s">
        <v>2735</v>
      </c>
      <c r="H636" s="58"/>
      <c r="I636" s="59"/>
    </row>
    <row r="637" spans="2:9" x14ac:dyDescent="0.2">
      <c r="B637" s="54" t="str">
        <f t="shared" si="8"/>
        <v>2024-066-3</v>
      </c>
      <c r="C637" s="55">
        <v>2024</v>
      </c>
      <c r="D637" s="55" t="s">
        <v>68</v>
      </c>
      <c r="E637" s="55">
        <v>3</v>
      </c>
      <c r="F637" s="57" t="s">
        <v>1193</v>
      </c>
      <c r="G637" s="55"/>
      <c r="H637" s="58"/>
      <c r="I637" s="59"/>
    </row>
    <row r="638" spans="2:9" ht="27" x14ac:dyDescent="0.2">
      <c r="B638" s="54" t="str">
        <f t="shared" si="8"/>
        <v>2024-066-4</v>
      </c>
      <c r="C638" s="55">
        <v>2024</v>
      </c>
      <c r="D638" s="55" t="s">
        <v>68</v>
      </c>
      <c r="E638" s="55">
        <v>4</v>
      </c>
      <c r="F638" s="57" t="s">
        <v>1499</v>
      </c>
      <c r="G638" s="55"/>
      <c r="H638" s="58"/>
      <c r="I638" s="59"/>
    </row>
    <row r="639" spans="2:9" x14ac:dyDescent="0.2">
      <c r="B639" s="60" t="str">
        <f t="shared" si="8"/>
        <v>2024-066-5</v>
      </c>
      <c r="C639" s="61">
        <v>2024</v>
      </c>
      <c r="D639" s="61" t="s">
        <v>68</v>
      </c>
      <c r="E639" s="61">
        <v>5</v>
      </c>
      <c r="F639" s="62" t="s">
        <v>1801</v>
      </c>
      <c r="G639" s="61"/>
      <c r="H639" s="63"/>
      <c r="I639" s="64"/>
    </row>
    <row r="640" spans="2:9" ht="94.5" x14ac:dyDescent="0.2">
      <c r="B640" s="65" t="str">
        <f t="shared" si="8"/>
        <v>2024-067-0</v>
      </c>
      <c r="C640" s="66">
        <v>2024</v>
      </c>
      <c r="D640" s="66" t="s">
        <v>69</v>
      </c>
      <c r="E640" s="66">
        <v>0</v>
      </c>
      <c r="F640" s="67" t="s">
        <v>3070</v>
      </c>
      <c r="G640" s="66"/>
      <c r="H640" s="68"/>
      <c r="I640" s="69"/>
    </row>
    <row r="641" spans="2:9" x14ac:dyDescent="0.2">
      <c r="B641" s="54" t="str">
        <f t="shared" si="8"/>
        <v>2024-067-1</v>
      </c>
      <c r="C641" s="55">
        <v>2024</v>
      </c>
      <c r="D641" s="55" t="s">
        <v>69</v>
      </c>
      <c r="E641" s="55">
        <v>1</v>
      </c>
      <c r="F641" s="57" t="s">
        <v>3071</v>
      </c>
      <c r="G641" s="55"/>
      <c r="H641" s="58"/>
      <c r="I641" s="59"/>
    </row>
    <row r="642" spans="2:9" x14ac:dyDescent="0.2">
      <c r="B642" s="54" t="str">
        <f t="shared" si="8"/>
        <v>2024-067-2</v>
      </c>
      <c r="C642" s="55">
        <v>2024</v>
      </c>
      <c r="D642" s="55" t="s">
        <v>69</v>
      </c>
      <c r="E642" s="55">
        <v>2</v>
      </c>
      <c r="F642" s="57" t="s">
        <v>3072</v>
      </c>
      <c r="G642" s="55"/>
      <c r="H642" s="58"/>
      <c r="I642" s="59"/>
    </row>
    <row r="643" spans="2:9" x14ac:dyDescent="0.2">
      <c r="B643" s="54" t="str">
        <f t="shared" si="8"/>
        <v>2024-067-3</v>
      </c>
      <c r="C643" s="55">
        <v>2024</v>
      </c>
      <c r="D643" s="55" t="s">
        <v>69</v>
      </c>
      <c r="E643" s="55">
        <v>3</v>
      </c>
      <c r="F643" s="57" t="s">
        <v>3073</v>
      </c>
      <c r="G643" s="55" t="s">
        <v>2735</v>
      </c>
      <c r="H643" s="58"/>
      <c r="I643" s="59"/>
    </row>
    <row r="644" spans="2:9" x14ac:dyDescent="0.2">
      <c r="B644" s="54" t="str">
        <f t="shared" si="8"/>
        <v>2024-067-4</v>
      </c>
      <c r="C644" s="55">
        <v>2024</v>
      </c>
      <c r="D644" s="55" t="s">
        <v>69</v>
      </c>
      <c r="E644" s="55">
        <v>4</v>
      </c>
      <c r="F644" s="57" t="s">
        <v>1500</v>
      </c>
      <c r="G644" s="55"/>
      <c r="H644" s="58"/>
      <c r="I644" s="59"/>
    </row>
    <row r="645" spans="2:9" x14ac:dyDescent="0.2">
      <c r="B645" s="60" t="str">
        <f t="shared" si="8"/>
        <v>2024-067-5</v>
      </c>
      <c r="C645" s="61">
        <v>2024</v>
      </c>
      <c r="D645" s="61" t="s">
        <v>69</v>
      </c>
      <c r="E645" s="61">
        <v>5</v>
      </c>
      <c r="F645" s="62" t="s">
        <v>1802</v>
      </c>
      <c r="G645" s="61"/>
      <c r="H645" s="63"/>
      <c r="I645" s="64"/>
    </row>
    <row r="646" spans="2:9" x14ac:dyDescent="0.2">
      <c r="B646" s="65" t="str">
        <f t="shared" si="8"/>
        <v>2024-068-0</v>
      </c>
      <c r="C646" s="66">
        <v>2024</v>
      </c>
      <c r="D646" s="66" t="s">
        <v>70</v>
      </c>
      <c r="E646" s="66">
        <v>0</v>
      </c>
      <c r="F646" s="67" t="s">
        <v>185</v>
      </c>
      <c r="G646" s="66"/>
      <c r="H646" s="68"/>
      <c r="I646" s="69"/>
    </row>
    <row r="647" spans="2:9" ht="27" x14ac:dyDescent="0.2">
      <c r="B647" s="54" t="str">
        <f t="shared" si="8"/>
        <v>2024-068-1</v>
      </c>
      <c r="C647" s="55">
        <v>2024</v>
      </c>
      <c r="D647" s="55" t="s">
        <v>70</v>
      </c>
      <c r="E647" s="55">
        <v>1</v>
      </c>
      <c r="F647" s="57" t="s">
        <v>545</v>
      </c>
      <c r="G647" s="55"/>
      <c r="H647" s="58"/>
      <c r="I647" s="59"/>
    </row>
    <row r="648" spans="2:9" x14ac:dyDescent="0.2">
      <c r="B648" s="54" t="str">
        <f t="shared" si="8"/>
        <v>2024-068-2</v>
      </c>
      <c r="C648" s="55">
        <v>2024</v>
      </c>
      <c r="D648" s="55" t="s">
        <v>70</v>
      </c>
      <c r="E648" s="55">
        <v>2</v>
      </c>
      <c r="F648" s="57" t="s">
        <v>873</v>
      </c>
      <c r="G648" s="55"/>
      <c r="H648" s="58"/>
      <c r="I648" s="59"/>
    </row>
    <row r="649" spans="2:9" ht="27" x14ac:dyDescent="0.2">
      <c r="B649" s="54" t="str">
        <f t="shared" si="8"/>
        <v>2024-068-3</v>
      </c>
      <c r="C649" s="55">
        <v>2024</v>
      </c>
      <c r="D649" s="55" t="s">
        <v>70</v>
      </c>
      <c r="E649" s="55">
        <v>3</v>
      </c>
      <c r="F649" s="57" t="s">
        <v>1195</v>
      </c>
      <c r="G649" s="55"/>
      <c r="H649" s="58"/>
      <c r="I649" s="59"/>
    </row>
    <row r="650" spans="2:9" ht="27" x14ac:dyDescent="0.2">
      <c r="B650" s="54" t="str">
        <f t="shared" si="8"/>
        <v>2024-068-4</v>
      </c>
      <c r="C650" s="55">
        <v>2024</v>
      </c>
      <c r="D650" s="55" t="s">
        <v>70</v>
      </c>
      <c r="E650" s="55">
        <v>4</v>
      </c>
      <c r="F650" s="57" t="s">
        <v>1501</v>
      </c>
      <c r="G650" s="55"/>
      <c r="H650" s="58"/>
      <c r="I650" s="59"/>
    </row>
    <row r="651" spans="2:9" ht="27" x14ac:dyDescent="0.2">
      <c r="B651" s="60" t="str">
        <f t="shared" si="8"/>
        <v>2024-068-5</v>
      </c>
      <c r="C651" s="61">
        <v>2024</v>
      </c>
      <c r="D651" s="61" t="s">
        <v>70</v>
      </c>
      <c r="E651" s="61">
        <v>5</v>
      </c>
      <c r="F651" s="62" t="s">
        <v>1803</v>
      </c>
      <c r="G651" s="61" t="s">
        <v>2735</v>
      </c>
      <c r="H651" s="63"/>
      <c r="I651" s="64"/>
    </row>
    <row r="652" spans="2:9" ht="94.5" x14ac:dyDescent="0.2">
      <c r="B652" s="65" t="str">
        <f t="shared" si="8"/>
        <v>2024-069-0</v>
      </c>
      <c r="C652" s="66">
        <v>2024</v>
      </c>
      <c r="D652" s="66" t="s">
        <v>71</v>
      </c>
      <c r="E652" s="66">
        <v>0</v>
      </c>
      <c r="F652" s="67" t="s">
        <v>186</v>
      </c>
      <c r="G652" s="66"/>
      <c r="H652" s="68"/>
      <c r="I652" s="69"/>
    </row>
    <row r="653" spans="2:9" x14ac:dyDescent="0.2">
      <c r="B653" s="54" t="str">
        <f t="shared" si="8"/>
        <v>2024-069-1</v>
      </c>
      <c r="C653" s="55">
        <v>2024</v>
      </c>
      <c r="D653" s="55" t="s">
        <v>71</v>
      </c>
      <c r="E653" s="55">
        <v>1</v>
      </c>
      <c r="F653" s="57" t="s">
        <v>4</v>
      </c>
      <c r="G653" s="55"/>
      <c r="H653" s="58"/>
      <c r="I653" s="59"/>
    </row>
    <row r="654" spans="2:9" x14ac:dyDescent="0.2">
      <c r="B654" s="54" t="str">
        <f t="shared" si="8"/>
        <v>2024-069-2</v>
      </c>
      <c r="C654" s="55">
        <v>2024</v>
      </c>
      <c r="D654" s="55" t="s">
        <v>71</v>
      </c>
      <c r="E654" s="55">
        <v>2</v>
      </c>
      <c r="F654" s="57" t="s">
        <v>16</v>
      </c>
      <c r="G654" s="55"/>
      <c r="H654" s="58"/>
      <c r="I654" s="59"/>
    </row>
    <row r="655" spans="2:9" x14ac:dyDescent="0.2">
      <c r="B655" s="54" t="str">
        <f t="shared" si="8"/>
        <v>2024-069-3</v>
      </c>
      <c r="C655" s="55">
        <v>2024</v>
      </c>
      <c r="D655" s="55" t="s">
        <v>71</v>
      </c>
      <c r="E655" s="55">
        <v>3</v>
      </c>
      <c r="F655" s="57" t="s">
        <v>11</v>
      </c>
      <c r="G655" s="55"/>
      <c r="H655" s="58"/>
      <c r="I655" s="59"/>
    </row>
    <row r="656" spans="2:9" x14ac:dyDescent="0.2">
      <c r="B656" s="54" t="str">
        <f t="shared" si="8"/>
        <v>2024-069-4</v>
      </c>
      <c r="C656" s="55">
        <v>2024</v>
      </c>
      <c r="D656" s="55" t="s">
        <v>71</v>
      </c>
      <c r="E656" s="55">
        <v>4</v>
      </c>
      <c r="F656" s="57" t="s">
        <v>17</v>
      </c>
      <c r="G656" s="55"/>
      <c r="H656" s="58"/>
      <c r="I656" s="59"/>
    </row>
    <row r="657" spans="2:9" x14ac:dyDescent="0.2">
      <c r="B657" s="60" t="str">
        <f t="shared" si="8"/>
        <v>2024-069-5</v>
      </c>
      <c r="C657" s="61">
        <v>2024</v>
      </c>
      <c r="D657" s="61" t="s">
        <v>71</v>
      </c>
      <c r="E657" s="61">
        <v>5</v>
      </c>
      <c r="F657" s="62" t="s">
        <v>21</v>
      </c>
      <c r="G657" s="61" t="s">
        <v>2735</v>
      </c>
      <c r="H657" s="63"/>
      <c r="I657" s="64"/>
    </row>
    <row r="658" spans="2:9" ht="81" x14ac:dyDescent="0.2">
      <c r="B658" s="65" t="str">
        <f t="shared" si="8"/>
        <v>2024-070-0</v>
      </c>
      <c r="C658" s="66">
        <v>2024</v>
      </c>
      <c r="D658" s="66" t="s">
        <v>72</v>
      </c>
      <c r="E658" s="66">
        <v>0</v>
      </c>
      <c r="F658" s="67" t="s">
        <v>187</v>
      </c>
      <c r="G658" s="66"/>
      <c r="H658" s="68"/>
      <c r="I658" s="69"/>
    </row>
    <row r="659" spans="2:9" x14ac:dyDescent="0.2">
      <c r="B659" s="54" t="str">
        <f t="shared" si="8"/>
        <v>2024-070-1</v>
      </c>
      <c r="C659" s="55">
        <v>2024</v>
      </c>
      <c r="D659" s="55" t="s">
        <v>72</v>
      </c>
      <c r="E659" s="55">
        <v>1</v>
      </c>
      <c r="F659" s="57" t="s">
        <v>5</v>
      </c>
      <c r="G659" s="55"/>
      <c r="H659" s="58"/>
      <c r="I659" s="59"/>
    </row>
    <row r="660" spans="2:9" x14ac:dyDescent="0.2">
      <c r="B660" s="54" t="str">
        <f t="shared" si="8"/>
        <v>2024-070-2</v>
      </c>
      <c r="C660" s="55">
        <v>2024</v>
      </c>
      <c r="D660" s="55" t="s">
        <v>72</v>
      </c>
      <c r="E660" s="55">
        <v>2</v>
      </c>
      <c r="F660" s="57" t="s">
        <v>4</v>
      </c>
      <c r="G660" s="55"/>
      <c r="H660" s="58"/>
      <c r="I660" s="59"/>
    </row>
    <row r="661" spans="2:9" x14ac:dyDescent="0.2">
      <c r="B661" s="54" t="str">
        <f t="shared" si="8"/>
        <v>2024-070-3</v>
      </c>
      <c r="C661" s="55">
        <v>2024</v>
      </c>
      <c r="D661" s="55" t="s">
        <v>72</v>
      </c>
      <c r="E661" s="55">
        <v>3</v>
      </c>
      <c r="F661" s="57" t="s">
        <v>16</v>
      </c>
      <c r="G661" s="55"/>
      <c r="H661" s="58"/>
      <c r="I661" s="59"/>
    </row>
    <row r="662" spans="2:9" x14ac:dyDescent="0.2">
      <c r="B662" s="54" t="str">
        <f t="shared" si="8"/>
        <v>2024-070-4</v>
      </c>
      <c r="C662" s="55">
        <v>2024</v>
      </c>
      <c r="D662" s="55" t="s">
        <v>72</v>
      </c>
      <c r="E662" s="55">
        <v>4</v>
      </c>
      <c r="F662" s="57" t="s">
        <v>19</v>
      </c>
      <c r="G662" s="55" t="s">
        <v>2735</v>
      </c>
      <c r="H662" s="58"/>
      <c r="I662" s="59"/>
    </row>
    <row r="663" spans="2:9" x14ac:dyDescent="0.2">
      <c r="B663" s="60" t="str">
        <f t="shared" si="8"/>
        <v>2024-070-5</v>
      </c>
      <c r="C663" s="61">
        <v>2024</v>
      </c>
      <c r="D663" s="61" t="s">
        <v>72</v>
      </c>
      <c r="E663" s="61">
        <v>5</v>
      </c>
      <c r="F663" s="62" t="s">
        <v>21</v>
      </c>
      <c r="G663" s="61"/>
      <c r="H663" s="63"/>
      <c r="I663" s="64"/>
    </row>
    <row r="664" spans="2:9" x14ac:dyDescent="0.2">
      <c r="B664" s="65" t="str">
        <f t="shared" si="8"/>
        <v>2024-071-0</v>
      </c>
      <c r="C664" s="66">
        <v>2024</v>
      </c>
      <c r="D664" s="66" t="s">
        <v>73</v>
      </c>
      <c r="E664" s="66">
        <v>0</v>
      </c>
      <c r="F664" s="67" t="s">
        <v>188</v>
      </c>
      <c r="G664" s="66"/>
      <c r="H664" s="68"/>
      <c r="I664" s="69"/>
    </row>
    <row r="665" spans="2:9" x14ac:dyDescent="0.2">
      <c r="B665" s="54" t="str">
        <f t="shared" si="8"/>
        <v>2024-071-1</v>
      </c>
      <c r="C665" s="55">
        <v>2024</v>
      </c>
      <c r="D665" s="55" t="s">
        <v>73</v>
      </c>
      <c r="E665" s="55">
        <v>1</v>
      </c>
      <c r="F665" s="57" t="s">
        <v>546</v>
      </c>
      <c r="G665" s="55"/>
      <c r="H665" s="58"/>
      <c r="I665" s="59"/>
    </row>
    <row r="666" spans="2:9" x14ac:dyDescent="0.2">
      <c r="B666" s="54" t="str">
        <f t="shared" si="8"/>
        <v>2024-071-2</v>
      </c>
      <c r="C666" s="55">
        <v>2024</v>
      </c>
      <c r="D666" s="55" t="s">
        <v>73</v>
      </c>
      <c r="E666" s="55">
        <v>2</v>
      </c>
      <c r="F666" s="57" t="s">
        <v>874</v>
      </c>
      <c r="G666" s="55" t="s">
        <v>2735</v>
      </c>
      <c r="H666" s="58"/>
      <c r="I666" s="59"/>
    </row>
    <row r="667" spans="2:9" x14ac:dyDescent="0.2">
      <c r="B667" s="54" t="str">
        <f t="shared" si="8"/>
        <v>2024-071-3</v>
      </c>
      <c r="C667" s="55">
        <v>2024</v>
      </c>
      <c r="D667" s="55" t="s">
        <v>73</v>
      </c>
      <c r="E667" s="55">
        <v>3</v>
      </c>
      <c r="F667" s="57" t="s">
        <v>1196</v>
      </c>
      <c r="G667" s="55"/>
      <c r="H667" s="58"/>
      <c r="I667" s="59"/>
    </row>
    <row r="668" spans="2:9" x14ac:dyDescent="0.2">
      <c r="B668" s="54" t="str">
        <f t="shared" si="8"/>
        <v>2024-071-4</v>
      </c>
      <c r="C668" s="55">
        <v>2024</v>
      </c>
      <c r="D668" s="55" t="s">
        <v>73</v>
      </c>
      <c r="E668" s="55">
        <v>4</v>
      </c>
      <c r="F668" s="57" t="s">
        <v>1502</v>
      </c>
      <c r="G668" s="55"/>
      <c r="H668" s="58"/>
      <c r="I668" s="59"/>
    </row>
    <row r="669" spans="2:9" x14ac:dyDescent="0.2">
      <c r="B669" s="60" t="str">
        <f t="shared" si="8"/>
        <v>2024-071-5</v>
      </c>
      <c r="C669" s="61">
        <v>2024</v>
      </c>
      <c r="D669" s="61" t="s">
        <v>73</v>
      </c>
      <c r="E669" s="61">
        <v>5</v>
      </c>
      <c r="F669" s="62" t="s">
        <v>1804</v>
      </c>
      <c r="G669" s="61"/>
      <c r="H669" s="63"/>
      <c r="I669" s="64"/>
    </row>
    <row r="670" spans="2:9" x14ac:dyDescent="0.2">
      <c r="B670" s="65" t="str">
        <f t="shared" si="8"/>
        <v>2024-072-0</v>
      </c>
      <c r="C670" s="66">
        <v>2024</v>
      </c>
      <c r="D670" s="66" t="s">
        <v>74</v>
      </c>
      <c r="E670" s="66">
        <v>0</v>
      </c>
      <c r="F670" s="67" t="s">
        <v>189</v>
      </c>
      <c r="G670" s="66"/>
      <c r="H670" s="68"/>
      <c r="I670" s="69"/>
    </row>
    <row r="671" spans="2:9" x14ac:dyDescent="0.2">
      <c r="B671" s="54" t="str">
        <f t="shared" si="8"/>
        <v>2024-072-1</v>
      </c>
      <c r="C671" s="55">
        <v>2024</v>
      </c>
      <c r="D671" s="55" t="s">
        <v>74</v>
      </c>
      <c r="E671" s="55">
        <v>1</v>
      </c>
      <c r="F671" s="57" t="s">
        <v>547</v>
      </c>
      <c r="G671" s="55"/>
      <c r="H671" s="58"/>
      <c r="I671" s="59"/>
    </row>
    <row r="672" spans="2:9" ht="27" x14ac:dyDescent="0.2">
      <c r="B672" s="54" t="str">
        <f t="shared" si="8"/>
        <v>2024-072-2</v>
      </c>
      <c r="C672" s="55">
        <v>2024</v>
      </c>
      <c r="D672" s="55" t="s">
        <v>74</v>
      </c>
      <c r="E672" s="55">
        <v>2</v>
      </c>
      <c r="F672" s="57" t="s">
        <v>875</v>
      </c>
      <c r="G672" s="55"/>
      <c r="H672" s="58"/>
      <c r="I672" s="59"/>
    </row>
    <row r="673" spans="2:9" x14ac:dyDescent="0.2">
      <c r="B673" s="54" t="str">
        <f t="shared" si="8"/>
        <v>2024-072-3</v>
      </c>
      <c r="C673" s="55">
        <v>2024</v>
      </c>
      <c r="D673" s="55" t="s">
        <v>74</v>
      </c>
      <c r="E673" s="55">
        <v>3</v>
      </c>
      <c r="F673" s="57" t="s">
        <v>757</v>
      </c>
      <c r="G673" s="55"/>
      <c r="H673" s="58"/>
      <c r="I673" s="59"/>
    </row>
    <row r="674" spans="2:9" ht="27" x14ac:dyDescent="0.2">
      <c r="B674" s="54" t="str">
        <f t="shared" si="8"/>
        <v>2024-072-4</v>
      </c>
      <c r="C674" s="55">
        <v>2024</v>
      </c>
      <c r="D674" s="55" t="s">
        <v>74</v>
      </c>
      <c r="E674" s="55">
        <v>4</v>
      </c>
      <c r="F674" s="57" t="s">
        <v>1503</v>
      </c>
      <c r="G674" s="55" t="s">
        <v>2735</v>
      </c>
      <c r="H674" s="58"/>
      <c r="I674" s="59"/>
    </row>
    <row r="675" spans="2:9" x14ac:dyDescent="0.2">
      <c r="B675" s="60" t="str">
        <f t="shared" si="8"/>
        <v>2024-072-5</v>
      </c>
      <c r="C675" s="61">
        <v>2024</v>
      </c>
      <c r="D675" s="61" t="s">
        <v>74</v>
      </c>
      <c r="E675" s="61">
        <v>5</v>
      </c>
      <c r="F675" s="62" t="s">
        <v>1805</v>
      </c>
      <c r="G675" s="61"/>
      <c r="H675" s="63"/>
      <c r="I675" s="64"/>
    </row>
    <row r="676" spans="2:9" ht="67.5" x14ac:dyDescent="0.2">
      <c r="B676" s="65" t="str">
        <f t="shared" si="8"/>
        <v>2024-073-0</v>
      </c>
      <c r="C676" s="66">
        <v>2024</v>
      </c>
      <c r="D676" s="66" t="s">
        <v>75</v>
      </c>
      <c r="E676" s="66">
        <v>0</v>
      </c>
      <c r="F676" s="67" t="s">
        <v>190</v>
      </c>
      <c r="G676" s="66"/>
      <c r="H676" s="68"/>
      <c r="I676" s="69"/>
    </row>
    <row r="677" spans="2:9" x14ac:dyDescent="0.2">
      <c r="B677" s="54" t="str">
        <f t="shared" ref="B677:B740" si="9">C677&amp;"-"&amp;D677&amp;"-"&amp;E677</f>
        <v>2024-073-1</v>
      </c>
      <c r="C677" s="55">
        <v>2024</v>
      </c>
      <c r="D677" s="55" t="s">
        <v>75</v>
      </c>
      <c r="E677" s="55">
        <v>1</v>
      </c>
      <c r="F677" s="57" t="s">
        <v>5</v>
      </c>
      <c r="G677" s="55"/>
      <c r="H677" s="58"/>
      <c r="I677" s="59"/>
    </row>
    <row r="678" spans="2:9" x14ac:dyDescent="0.2">
      <c r="B678" s="54" t="str">
        <f t="shared" si="9"/>
        <v>2024-073-2</v>
      </c>
      <c r="C678" s="55">
        <v>2024</v>
      </c>
      <c r="D678" s="55" t="s">
        <v>75</v>
      </c>
      <c r="E678" s="55">
        <v>2</v>
      </c>
      <c r="F678" s="57" t="s">
        <v>85</v>
      </c>
      <c r="G678" s="55"/>
      <c r="H678" s="58"/>
      <c r="I678" s="59"/>
    </row>
    <row r="679" spans="2:9" x14ac:dyDescent="0.2">
      <c r="B679" s="54" t="str">
        <f t="shared" si="9"/>
        <v>2024-073-3</v>
      </c>
      <c r="C679" s="55">
        <v>2024</v>
      </c>
      <c r="D679" s="55" t="s">
        <v>75</v>
      </c>
      <c r="E679" s="55">
        <v>3</v>
      </c>
      <c r="F679" s="57" t="s">
        <v>4</v>
      </c>
      <c r="G679" s="55"/>
      <c r="H679" s="58"/>
      <c r="I679" s="59"/>
    </row>
    <row r="680" spans="2:9" x14ac:dyDescent="0.2">
      <c r="B680" s="54" t="str">
        <f t="shared" si="9"/>
        <v>2024-073-4</v>
      </c>
      <c r="C680" s="55">
        <v>2024</v>
      </c>
      <c r="D680" s="55" t="s">
        <v>75</v>
      </c>
      <c r="E680" s="55">
        <v>4</v>
      </c>
      <c r="F680" s="57" t="s">
        <v>16</v>
      </c>
      <c r="G680" s="55" t="s">
        <v>2735</v>
      </c>
      <c r="H680" s="58"/>
      <c r="I680" s="59"/>
    </row>
    <row r="681" spans="2:9" x14ac:dyDescent="0.2">
      <c r="B681" s="60" t="str">
        <f t="shared" si="9"/>
        <v>2024-073-5</v>
      </c>
      <c r="C681" s="61">
        <v>2024</v>
      </c>
      <c r="D681" s="61" t="s">
        <v>75</v>
      </c>
      <c r="E681" s="61">
        <v>5</v>
      </c>
      <c r="F681" s="62" t="s">
        <v>9</v>
      </c>
      <c r="G681" s="61"/>
      <c r="H681" s="63"/>
      <c r="I681" s="64"/>
    </row>
    <row r="682" spans="2:9" x14ac:dyDescent="0.2">
      <c r="B682" s="65" t="str">
        <f t="shared" si="9"/>
        <v>2024-074-0</v>
      </c>
      <c r="C682" s="66">
        <v>2024</v>
      </c>
      <c r="D682" s="66" t="s">
        <v>76</v>
      </c>
      <c r="E682" s="66">
        <v>0</v>
      </c>
      <c r="F682" s="67" t="s">
        <v>191</v>
      </c>
      <c r="G682" s="66"/>
      <c r="H682" s="68"/>
      <c r="I682" s="69"/>
    </row>
    <row r="683" spans="2:9" ht="27" x14ac:dyDescent="0.2">
      <c r="B683" s="54" t="str">
        <f t="shared" si="9"/>
        <v>2024-074-1</v>
      </c>
      <c r="C683" s="55">
        <v>2024</v>
      </c>
      <c r="D683" s="55" t="s">
        <v>76</v>
      </c>
      <c r="E683" s="55">
        <v>1</v>
      </c>
      <c r="F683" s="57" t="s">
        <v>548</v>
      </c>
      <c r="G683" s="55"/>
      <c r="H683" s="58"/>
      <c r="I683" s="59"/>
    </row>
    <row r="684" spans="2:9" x14ac:dyDescent="0.2">
      <c r="B684" s="54" t="str">
        <f t="shared" si="9"/>
        <v>2024-074-2</v>
      </c>
      <c r="C684" s="55">
        <v>2024</v>
      </c>
      <c r="D684" s="55" t="s">
        <v>76</v>
      </c>
      <c r="E684" s="55">
        <v>2</v>
      </c>
      <c r="F684" s="57" t="s">
        <v>588</v>
      </c>
      <c r="G684" s="55"/>
      <c r="H684" s="58"/>
      <c r="I684" s="59"/>
    </row>
    <row r="685" spans="2:9" ht="40.5" x14ac:dyDescent="0.2">
      <c r="B685" s="54" t="str">
        <f t="shared" si="9"/>
        <v>2024-074-3</v>
      </c>
      <c r="C685" s="55">
        <v>2024</v>
      </c>
      <c r="D685" s="55" t="s">
        <v>76</v>
      </c>
      <c r="E685" s="55">
        <v>3</v>
      </c>
      <c r="F685" s="57" t="s">
        <v>1197</v>
      </c>
      <c r="G685" s="55"/>
      <c r="H685" s="58"/>
      <c r="I685" s="59"/>
    </row>
    <row r="686" spans="2:9" ht="27" x14ac:dyDescent="0.2">
      <c r="B686" s="54" t="str">
        <f t="shared" si="9"/>
        <v>2024-074-4</v>
      </c>
      <c r="C686" s="55">
        <v>2024</v>
      </c>
      <c r="D686" s="55" t="s">
        <v>76</v>
      </c>
      <c r="E686" s="55">
        <v>4</v>
      </c>
      <c r="F686" s="57" t="s">
        <v>1504</v>
      </c>
      <c r="G686" s="55"/>
      <c r="H686" s="58"/>
      <c r="I686" s="59"/>
    </row>
    <row r="687" spans="2:9" ht="27" x14ac:dyDescent="0.2">
      <c r="B687" s="60" t="str">
        <f t="shared" si="9"/>
        <v>2024-074-5</v>
      </c>
      <c r="C687" s="61">
        <v>2024</v>
      </c>
      <c r="D687" s="61" t="s">
        <v>76</v>
      </c>
      <c r="E687" s="61">
        <v>5</v>
      </c>
      <c r="F687" s="62" t="s">
        <v>1806</v>
      </c>
      <c r="G687" s="61" t="s">
        <v>2735</v>
      </c>
      <c r="H687" s="63"/>
      <c r="I687" s="64"/>
    </row>
    <row r="688" spans="2:9" x14ac:dyDescent="0.2">
      <c r="B688" s="65" t="str">
        <f t="shared" si="9"/>
        <v>2024-075-0</v>
      </c>
      <c r="C688" s="66">
        <v>2024</v>
      </c>
      <c r="D688" s="66" t="s">
        <v>77</v>
      </c>
      <c r="E688" s="66">
        <v>0</v>
      </c>
      <c r="F688" s="67" t="s">
        <v>192</v>
      </c>
      <c r="G688" s="66"/>
      <c r="H688" s="68"/>
      <c r="I688" s="69"/>
    </row>
    <row r="689" spans="2:9" ht="27" x14ac:dyDescent="0.2">
      <c r="B689" s="54" t="str">
        <f t="shared" si="9"/>
        <v>2024-075-1</v>
      </c>
      <c r="C689" s="55">
        <v>2024</v>
      </c>
      <c r="D689" s="55" t="s">
        <v>77</v>
      </c>
      <c r="E689" s="55">
        <v>1</v>
      </c>
      <c r="F689" s="57" t="s">
        <v>549</v>
      </c>
      <c r="G689" s="55"/>
      <c r="H689" s="58"/>
      <c r="I689" s="59"/>
    </row>
    <row r="690" spans="2:9" x14ac:dyDescent="0.2">
      <c r="B690" s="54" t="str">
        <f t="shared" si="9"/>
        <v>2024-075-2</v>
      </c>
      <c r="C690" s="55">
        <v>2024</v>
      </c>
      <c r="D690" s="55" t="s">
        <v>77</v>
      </c>
      <c r="E690" s="55">
        <v>2</v>
      </c>
      <c r="F690" s="57" t="s">
        <v>876</v>
      </c>
      <c r="G690" s="55"/>
      <c r="H690" s="58"/>
      <c r="I690" s="59"/>
    </row>
    <row r="691" spans="2:9" x14ac:dyDescent="0.2">
      <c r="B691" s="54" t="str">
        <f t="shared" si="9"/>
        <v>2024-075-3</v>
      </c>
      <c r="C691" s="55">
        <v>2024</v>
      </c>
      <c r="D691" s="55" t="s">
        <v>77</v>
      </c>
      <c r="E691" s="55">
        <v>3</v>
      </c>
      <c r="F691" s="57" t="s">
        <v>1198</v>
      </c>
      <c r="G691" s="55"/>
      <c r="H691" s="58"/>
      <c r="I691" s="59"/>
    </row>
    <row r="692" spans="2:9" ht="27" x14ac:dyDescent="0.2">
      <c r="B692" s="54" t="str">
        <f t="shared" si="9"/>
        <v>2024-075-4</v>
      </c>
      <c r="C692" s="55">
        <v>2024</v>
      </c>
      <c r="D692" s="55" t="s">
        <v>77</v>
      </c>
      <c r="E692" s="55">
        <v>4</v>
      </c>
      <c r="F692" s="57" t="s">
        <v>1505</v>
      </c>
      <c r="G692" s="55"/>
      <c r="H692" s="58"/>
      <c r="I692" s="59"/>
    </row>
    <row r="693" spans="2:9" ht="27" x14ac:dyDescent="0.2">
      <c r="B693" s="60" t="str">
        <f t="shared" si="9"/>
        <v>2024-075-5</v>
      </c>
      <c r="C693" s="61">
        <v>2024</v>
      </c>
      <c r="D693" s="61" t="s">
        <v>77</v>
      </c>
      <c r="E693" s="61">
        <v>5</v>
      </c>
      <c r="F693" s="62" t="s">
        <v>1807</v>
      </c>
      <c r="G693" s="61" t="s">
        <v>2735</v>
      </c>
      <c r="H693" s="63"/>
      <c r="I693" s="64"/>
    </row>
    <row r="694" spans="2:9" ht="94.5" x14ac:dyDescent="0.2">
      <c r="B694" s="65" t="str">
        <f t="shared" si="9"/>
        <v>2024-076-0</v>
      </c>
      <c r="C694" s="66">
        <v>2024</v>
      </c>
      <c r="D694" s="66" t="s">
        <v>78</v>
      </c>
      <c r="E694" s="66">
        <v>0</v>
      </c>
      <c r="F694" s="67" t="s">
        <v>193</v>
      </c>
      <c r="G694" s="66"/>
      <c r="H694" s="68"/>
      <c r="I694" s="69"/>
    </row>
    <row r="695" spans="2:9" x14ac:dyDescent="0.2">
      <c r="B695" s="54" t="str">
        <f t="shared" si="9"/>
        <v>2024-076-1</v>
      </c>
      <c r="C695" s="55">
        <v>2024</v>
      </c>
      <c r="D695" s="55" t="s">
        <v>78</v>
      </c>
      <c r="E695" s="55">
        <v>1</v>
      </c>
      <c r="F695" s="57" t="s">
        <v>6</v>
      </c>
      <c r="G695" s="55"/>
      <c r="H695" s="58"/>
      <c r="I695" s="59"/>
    </row>
    <row r="696" spans="2:9" x14ac:dyDescent="0.2">
      <c r="B696" s="54" t="str">
        <f t="shared" si="9"/>
        <v>2024-076-2</v>
      </c>
      <c r="C696" s="55">
        <v>2024</v>
      </c>
      <c r="D696" s="55" t="s">
        <v>78</v>
      </c>
      <c r="E696" s="55">
        <v>2</v>
      </c>
      <c r="F696" s="57" t="s">
        <v>11</v>
      </c>
      <c r="G696" s="55"/>
      <c r="H696" s="58"/>
      <c r="I696" s="59"/>
    </row>
    <row r="697" spans="2:9" x14ac:dyDescent="0.2">
      <c r="B697" s="54" t="str">
        <f t="shared" si="9"/>
        <v>2024-076-3</v>
      </c>
      <c r="C697" s="55">
        <v>2024</v>
      </c>
      <c r="D697" s="55" t="s">
        <v>78</v>
      </c>
      <c r="E697" s="55">
        <v>3</v>
      </c>
      <c r="F697" s="57" t="s">
        <v>17</v>
      </c>
      <c r="G697" s="55"/>
      <c r="H697" s="58"/>
      <c r="I697" s="59"/>
    </row>
    <row r="698" spans="2:9" x14ac:dyDescent="0.2">
      <c r="B698" s="54" t="str">
        <f t="shared" si="9"/>
        <v>2024-076-4</v>
      </c>
      <c r="C698" s="55">
        <v>2024</v>
      </c>
      <c r="D698" s="55" t="s">
        <v>78</v>
      </c>
      <c r="E698" s="55">
        <v>4</v>
      </c>
      <c r="F698" s="57" t="s">
        <v>19</v>
      </c>
      <c r="G698" s="55"/>
      <c r="H698" s="58"/>
      <c r="I698" s="59"/>
    </row>
    <row r="699" spans="2:9" x14ac:dyDescent="0.2">
      <c r="B699" s="60" t="str">
        <f t="shared" si="9"/>
        <v>2024-076-5</v>
      </c>
      <c r="C699" s="61">
        <v>2024</v>
      </c>
      <c r="D699" s="61" t="s">
        <v>78</v>
      </c>
      <c r="E699" s="61">
        <v>5</v>
      </c>
      <c r="F699" s="62" t="s">
        <v>21</v>
      </c>
      <c r="G699" s="61" t="s">
        <v>2735</v>
      </c>
      <c r="H699" s="63"/>
      <c r="I699" s="64"/>
    </row>
    <row r="700" spans="2:9" ht="27" x14ac:dyDescent="0.2">
      <c r="B700" s="65" t="str">
        <f t="shared" si="9"/>
        <v>2024-077-0</v>
      </c>
      <c r="C700" s="66">
        <v>2024</v>
      </c>
      <c r="D700" s="66" t="s">
        <v>79</v>
      </c>
      <c r="E700" s="66">
        <v>0</v>
      </c>
      <c r="F700" s="67" t="s">
        <v>194</v>
      </c>
      <c r="G700" s="66"/>
      <c r="H700" s="68"/>
      <c r="I700" s="69"/>
    </row>
    <row r="701" spans="2:9" x14ac:dyDescent="0.2">
      <c r="B701" s="54" t="str">
        <f t="shared" si="9"/>
        <v>2024-077-1</v>
      </c>
      <c r="C701" s="55">
        <v>2024</v>
      </c>
      <c r="D701" s="55" t="s">
        <v>79</v>
      </c>
      <c r="E701" s="55">
        <v>1</v>
      </c>
      <c r="F701" s="57" t="s">
        <v>550</v>
      </c>
      <c r="G701" s="55" t="s">
        <v>2735</v>
      </c>
      <c r="H701" s="58"/>
      <c r="I701" s="59"/>
    </row>
    <row r="702" spans="2:9" x14ac:dyDescent="0.2">
      <c r="B702" s="54" t="str">
        <f t="shared" si="9"/>
        <v>2024-077-2</v>
      </c>
      <c r="C702" s="55">
        <v>2024</v>
      </c>
      <c r="D702" s="55" t="s">
        <v>79</v>
      </c>
      <c r="E702" s="55">
        <v>2</v>
      </c>
      <c r="F702" s="57" t="s">
        <v>877</v>
      </c>
      <c r="G702" s="55"/>
      <c r="H702" s="58"/>
      <c r="I702" s="59"/>
    </row>
    <row r="703" spans="2:9" x14ac:dyDescent="0.2">
      <c r="B703" s="54" t="str">
        <f t="shared" si="9"/>
        <v>2024-077-3</v>
      </c>
      <c r="C703" s="55">
        <v>2024</v>
      </c>
      <c r="D703" s="55" t="s">
        <v>79</v>
      </c>
      <c r="E703" s="55">
        <v>3</v>
      </c>
      <c r="F703" s="57" t="s">
        <v>1199</v>
      </c>
      <c r="G703" s="55"/>
      <c r="H703" s="58"/>
      <c r="I703" s="59"/>
    </row>
    <row r="704" spans="2:9" x14ac:dyDescent="0.2">
      <c r="B704" s="54" t="str">
        <f t="shared" si="9"/>
        <v>2024-077-4</v>
      </c>
      <c r="C704" s="55">
        <v>2024</v>
      </c>
      <c r="D704" s="55" t="s">
        <v>79</v>
      </c>
      <c r="E704" s="55">
        <v>4</v>
      </c>
      <c r="F704" s="57" t="s">
        <v>1506</v>
      </c>
      <c r="G704" s="55"/>
      <c r="H704" s="58"/>
      <c r="I704" s="59"/>
    </row>
    <row r="705" spans="2:9" x14ac:dyDescent="0.2">
      <c r="B705" s="60" t="str">
        <f t="shared" si="9"/>
        <v>2024-077-5</v>
      </c>
      <c r="C705" s="61">
        <v>2024</v>
      </c>
      <c r="D705" s="61" t="s">
        <v>79</v>
      </c>
      <c r="E705" s="61">
        <v>5</v>
      </c>
      <c r="F705" s="62" t="s">
        <v>1808</v>
      </c>
      <c r="G705" s="61"/>
      <c r="H705" s="63"/>
      <c r="I705" s="64"/>
    </row>
    <row r="706" spans="2:9" ht="27" x14ac:dyDescent="0.2">
      <c r="B706" s="65" t="str">
        <f t="shared" si="9"/>
        <v>2024-078-0</v>
      </c>
      <c r="C706" s="66">
        <v>2024</v>
      </c>
      <c r="D706" s="66" t="s">
        <v>80</v>
      </c>
      <c r="E706" s="66">
        <v>0</v>
      </c>
      <c r="F706" s="67" t="s">
        <v>195</v>
      </c>
      <c r="G706" s="66"/>
      <c r="H706" s="68"/>
      <c r="I706" s="69"/>
    </row>
    <row r="707" spans="2:9" ht="27" x14ac:dyDescent="0.2">
      <c r="B707" s="54" t="str">
        <f t="shared" si="9"/>
        <v>2024-078-1</v>
      </c>
      <c r="C707" s="55">
        <v>2024</v>
      </c>
      <c r="D707" s="55" t="s">
        <v>80</v>
      </c>
      <c r="E707" s="55">
        <v>1</v>
      </c>
      <c r="F707" s="57" t="s">
        <v>551</v>
      </c>
      <c r="G707" s="55"/>
      <c r="H707" s="58"/>
      <c r="I707" s="59"/>
    </row>
    <row r="708" spans="2:9" x14ac:dyDescent="0.2">
      <c r="B708" s="54" t="str">
        <f t="shared" si="9"/>
        <v>2024-078-2</v>
      </c>
      <c r="C708" s="55">
        <v>2024</v>
      </c>
      <c r="D708" s="55" t="s">
        <v>80</v>
      </c>
      <c r="E708" s="55">
        <v>2</v>
      </c>
      <c r="F708" s="57" t="s">
        <v>878</v>
      </c>
      <c r="G708" s="55"/>
      <c r="H708" s="58"/>
      <c r="I708" s="59"/>
    </row>
    <row r="709" spans="2:9" ht="40.5" x14ac:dyDescent="0.2">
      <c r="B709" s="54" t="str">
        <f t="shared" si="9"/>
        <v>2024-078-3</v>
      </c>
      <c r="C709" s="55">
        <v>2024</v>
      </c>
      <c r="D709" s="55" t="s">
        <v>80</v>
      </c>
      <c r="E709" s="55">
        <v>3</v>
      </c>
      <c r="F709" s="57" t="s">
        <v>1200</v>
      </c>
      <c r="G709" s="55"/>
      <c r="H709" s="58"/>
      <c r="I709" s="59"/>
    </row>
    <row r="710" spans="2:9" ht="27" x14ac:dyDescent="0.2">
      <c r="B710" s="54" t="str">
        <f t="shared" si="9"/>
        <v>2024-078-4</v>
      </c>
      <c r="C710" s="55">
        <v>2024</v>
      </c>
      <c r="D710" s="55" t="s">
        <v>80</v>
      </c>
      <c r="E710" s="55">
        <v>4</v>
      </c>
      <c r="F710" s="57" t="s">
        <v>1507</v>
      </c>
      <c r="G710" s="55" t="s">
        <v>2735</v>
      </c>
      <c r="H710" s="58"/>
      <c r="I710" s="59"/>
    </row>
    <row r="711" spans="2:9" x14ac:dyDescent="0.2">
      <c r="B711" s="60" t="str">
        <f t="shared" si="9"/>
        <v>2024-078-5</v>
      </c>
      <c r="C711" s="61">
        <v>2024</v>
      </c>
      <c r="D711" s="61" t="s">
        <v>80</v>
      </c>
      <c r="E711" s="61">
        <v>5</v>
      </c>
      <c r="F711" s="62" t="s">
        <v>1296</v>
      </c>
      <c r="G711" s="61"/>
      <c r="H711" s="63"/>
      <c r="I711" s="64"/>
    </row>
    <row r="712" spans="2:9" ht="27" x14ac:dyDescent="0.2">
      <c r="B712" s="65" t="str">
        <f t="shared" si="9"/>
        <v>2024-079-0</v>
      </c>
      <c r="C712" s="66">
        <v>2024</v>
      </c>
      <c r="D712" s="66" t="s">
        <v>81</v>
      </c>
      <c r="E712" s="66">
        <v>0</v>
      </c>
      <c r="F712" s="67" t="s">
        <v>196</v>
      </c>
      <c r="G712" s="66"/>
      <c r="H712" s="68"/>
      <c r="I712" s="69"/>
    </row>
    <row r="713" spans="2:9" x14ac:dyDescent="0.2">
      <c r="B713" s="54" t="str">
        <f t="shared" si="9"/>
        <v>2024-079-1</v>
      </c>
      <c r="C713" s="55">
        <v>2024</v>
      </c>
      <c r="D713" s="55" t="s">
        <v>81</v>
      </c>
      <c r="E713" s="55">
        <v>1</v>
      </c>
      <c r="F713" s="57" t="s">
        <v>552</v>
      </c>
      <c r="G713" s="55"/>
      <c r="H713" s="58"/>
      <c r="I713" s="59"/>
    </row>
    <row r="714" spans="2:9" x14ac:dyDescent="0.2">
      <c r="B714" s="54" t="str">
        <f t="shared" si="9"/>
        <v>2024-079-2</v>
      </c>
      <c r="C714" s="55">
        <v>2024</v>
      </c>
      <c r="D714" s="55" t="s">
        <v>81</v>
      </c>
      <c r="E714" s="55">
        <v>2</v>
      </c>
      <c r="F714" s="57" t="s">
        <v>879</v>
      </c>
      <c r="G714" s="55"/>
      <c r="H714" s="58"/>
      <c r="I714" s="59"/>
    </row>
    <row r="715" spans="2:9" x14ac:dyDescent="0.2">
      <c r="B715" s="54" t="str">
        <f t="shared" si="9"/>
        <v>2024-079-3</v>
      </c>
      <c r="C715" s="55">
        <v>2024</v>
      </c>
      <c r="D715" s="55" t="s">
        <v>81</v>
      </c>
      <c r="E715" s="55">
        <v>3</v>
      </c>
      <c r="F715" s="57" t="s">
        <v>1201</v>
      </c>
      <c r="G715" s="55" t="s">
        <v>2735</v>
      </c>
      <c r="H715" s="58"/>
      <c r="I715" s="59"/>
    </row>
    <row r="716" spans="2:9" x14ac:dyDescent="0.2">
      <c r="B716" s="54" t="str">
        <f t="shared" si="9"/>
        <v>2024-079-4</v>
      </c>
      <c r="C716" s="55">
        <v>2024</v>
      </c>
      <c r="D716" s="55" t="s">
        <v>81</v>
      </c>
      <c r="E716" s="55">
        <v>4</v>
      </c>
      <c r="F716" s="57" t="s">
        <v>1508</v>
      </c>
      <c r="G716" s="55"/>
      <c r="H716" s="58"/>
      <c r="I716" s="59"/>
    </row>
    <row r="717" spans="2:9" x14ac:dyDescent="0.2">
      <c r="B717" s="60" t="str">
        <f t="shared" si="9"/>
        <v>2024-079-5</v>
      </c>
      <c r="C717" s="61">
        <v>2024</v>
      </c>
      <c r="D717" s="61" t="s">
        <v>81</v>
      </c>
      <c r="E717" s="61">
        <v>5</v>
      </c>
      <c r="F717" s="62" t="s">
        <v>1440</v>
      </c>
      <c r="G717" s="61"/>
      <c r="H717" s="63"/>
      <c r="I717" s="64"/>
    </row>
    <row r="718" spans="2:9" ht="135" x14ac:dyDescent="0.2">
      <c r="B718" s="65" t="str">
        <f t="shared" si="9"/>
        <v>2024-080-0</v>
      </c>
      <c r="C718" s="66">
        <v>2024</v>
      </c>
      <c r="D718" s="66" t="s">
        <v>82</v>
      </c>
      <c r="E718" s="66">
        <v>0</v>
      </c>
      <c r="F718" s="67" t="s">
        <v>197</v>
      </c>
      <c r="G718" s="66"/>
      <c r="H718" s="68"/>
      <c r="I718" s="69"/>
    </row>
    <row r="719" spans="2:9" x14ac:dyDescent="0.2">
      <c r="B719" s="54" t="str">
        <f t="shared" si="9"/>
        <v>2024-080-1</v>
      </c>
      <c r="C719" s="55">
        <v>2024</v>
      </c>
      <c r="D719" s="55" t="s">
        <v>82</v>
      </c>
      <c r="E719" s="55">
        <v>1</v>
      </c>
      <c r="F719" s="57" t="s">
        <v>553</v>
      </c>
      <c r="G719" s="55"/>
      <c r="H719" s="58"/>
      <c r="I719" s="59"/>
    </row>
    <row r="720" spans="2:9" x14ac:dyDescent="0.2">
      <c r="B720" s="54" t="str">
        <f t="shared" si="9"/>
        <v>2024-080-2</v>
      </c>
      <c r="C720" s="55">
        <v>2024</v>
      </c>
      <c r="D720" s="55" t="s">
        <v>82</v>
      </c>
      <c r="E720" s="55">
        <v>2</v>
      </c>
      <c r="F720" s="57" t="s">
        <v>880</v>
      </c>
      <c r="G720" s="55" t="s">
        <v>2735</v>
      </c>
      <c r="H720" s="58"/>
      <c r="I720" s="59"/>
    </row>
    <row r="721" spans="2:9" x14ac:dyDescent="0.2">
      <c r="B721" s="54" t="str">
        <f t="shared" si="9"/>
        <v>2024-080-3</v>
      </c>
      <c r="C721" s="55">
        <v>2024</v>
      </c>
      <c r="D721" s="55" t="s">
        <v>82</v>
      </c>
      <c r="E721" s="55">
        <v>3</v>
      </c>
      <c r="F721" s="57" t="s">
        <v>1202</v>
      </c>
      <c r="G721" s="55"/>
      <c r="H721" s="58"/>
      <c r="I721" s="59"/>
    </row>
    <row r="722" spans="2:9" x14ac:dyDescent="0.2">
      <c r="B722" s="54" t="str">
        <f t="shared" si="9"/>
        <v>2024-080-4</v>
      </c>
      <c r="C722" s="55">
        <v>2024</v>
      </c>
      <c r="D722" s="55" t="s">
        <v>82</v>
      </c>
      <c r="E722" s="55">
        <v>4</v>
      </c>
      <c r="F722" s="57" t="s">
        <v>1509</v>
      </c>
      <c r="G722" s="55"/>
      <c r="H722" s="58"/>
      <c r="I722" s="59"/>
    </row>
    <row r="723" spans="2:9" ht="14.25" thickBot="1" x14ac:dyDescent="0.25">
      <c r="B723" s="70" t="str">
        <f t="shared" si="9"/>
        <v>2024-080-5</v>
      </c>
      <c r="C723" s="71">
        <v>2024</v>
      </c>
      <c r="D723" s="71" t="s">
        <v>82</v>
      </c>
      <c r="E723" s="71">
        <v>5</v>
      </c>
      <c r="F723" s="72" t="s">
        <v>1809</v>
      </c>
      <c r="G723" s="71"/>
      <c r="H723" s="73"/>
      <c r="I723" s="74"/>
    </row>
    <row r="724" spans="2:9" x14ac:dyDescent="0.2">
      <c r="B724" s="48" t="str">
        <f t="shared" si="9"/>
        <v>2023-076-0</v>
      </c>
      <c r="C724" s="49">
        <v>2023</v>
      </c>
      <c r="D724" s="49" t="s">
        <v>78</v>
      </c>
      <c r="E724" s="50">
        <v>0</v>
      </c>
      <c r="F724" s="51" t="s">
        <v>198</v>
      </c>
      <c r="G724" s="49"/>
      <c r="H724" s="52"/>
      <c r="I724" s="53"/>
    </row>
    <row r="725" spans="2:9" ht="27" x14ac:dyDescent="0.2">
      <c r="B725" s="54" t="str">
        <f t="shared" si="9"/>
        <v>2023-076-1</v>
      </c>
      <c r="C725" s="55">
        <v>2023</v>
      </c>
      <c r="D725" s="55" t="s">
        <v>78</v>
      </c>
      <c r="E725" s="55">
        <v>1</v>
      </c>
      <c r="F725" s="57" t="s">
        <v>554</v>
      </c>
      <c r="G725" s="55" t="s">
        <v>2735</v>
      </c>
      <c r="H725" s="58"/>
      <c r="I725" s="59"/>
    </row>
    <row r="726" spans="2:9" ht="27" x14ac:dyDescent="0.2">
      <c r="B726" s="54" t="str">
        <f t="shared" si="9"/>
        <v>2023-076-2</v>
      </c>
      <c r="C726" s="55">
        <v>2023</v>
      </c>
      <c r="D726" s="55" t="s">
        <v>78</v>
      </c>
      <c r="E726" s="55">
        <v>2</v>
      </c>
      <c r="F726" s="57" t="s">
        <v>881</v>
      </c>
      <c r="G726" s="55"/>
      <c r="H726" s="58"/>
      <c r="I726" s="59"/>
    </row>
    <row r="727" spans="2:9" x14ac:dyDescent="0.2">
      <c r="B727" s="54" t="str">
        <f t="shared" si="9"/>
        <v>2023-076-3</v>
      </c>
      <c r="C727" s="55">
        <v>2023</v>
      </c>
      <c r="D727" s="55" t="s">
        <v>78</v>
      </c>
      <c r="E727" s="55">
        <v>3</v>
      </c>
      <c r="F727" s="57" t="s">
        <v>1203</v>
      </c>
      <c r="G727" s="55"/>
      <c r="H727" s="58"/>
      <c r="I727" s="59"/>
    </row>
    <row r="728" spans="2:9" x14ac:dyDescent="0.2">
      <c r="B728" s="54" t="str">
        <f t="shared" si="9"/>
        <v>2023-076-4</v>
      </c>
      <c r="C728" s="55">
        <v>2023</v>
      </c>
      <c r="D728" s="55" t="s">
        <v>78</v>
      </c>
      <c r="E728" s="55">
        <v>4</v>
      </c>
      <c r="F728" s="57" t="s">
        <v>1510</v>
      </c>
      <c r="G728" s="55"/>
      <c r="H728" s="58"/>
      <c r="I728" s="59"/>
    </row>
    <row r="729" spans="2:9" ht="27" x14ac:dyDescent="0.2">
      <c r="B729" s="60" t="str">
        <f t="shared" si="9"/>
        <v>2023-076-5</v>
      </c>
      <c r="C729" s="61">
        <v>2023</v>
      </c>
      <c r="D729" s="61" t="s">
        <v>78</v>
      </c>
      <c r="E729" s="61">
        <v>5</v>
      </c>
      <c r="F729" s="62" t="s">
        <v>1810</v>
      </c>
      <c r="G729" s="61"/>
      <c r="H729" s="63"/>
      <c r="I729" s="64"/>
    </row>
    <row r="730" spans="2:9" ht="81" x14ac:dyDescent="0.2">
      <c r="B730" s="65" t="str">
        <f t="shared" si="9"/>
        <v>2023-077-0</v>
      </c>
      <c r="C730" s="66">
        <v>2023</v>
      </c>
      <c r="D730" s="66" t="s">
        <v>79</v>
      </c>
      <c r="E730" s="66">
        <v>0</v>
      </c>
      <c r="F730" s="67" t="s">
        <v>199</v>
      </c>
      <c r="G730" s="66"/>
      <c r="H730" s="68"/>
      <c r="I730" s="69"/>
    </row>
    <row r="731" spans="2:9" x14ac:dyDescent="0.2">
      <c r="B731" s="54" t="str">
        <f t="shared" si="9"/>
        <v>2023-077-1</v>
      </c>
      <c r="C731" s="55">
        <v>2023</v>
      </c>
      <c r="D731" s="55" t="s">
        <v>79</v>
      </c>
      <c r="E731" s="55">
        <v>1</v>
      </c>
      <c r="F731" s="57" t="s">
        <v>7</v>
      </c>
      <c r="G731" s="55"/>
      <c r="H731" s="58"/>
      <c r="I731" s="59"/>
    </row>
    <row r="732" spans="2:9" x14ac:dyDescent="0.2">
      <c r="B732" s="54" t="str">
        <f t="shared" si="9"/>
        <v>2023-077-2</v>
      </c>
      <c r="C732" s="55">
        <v>2023</v>
      </c>
      <c r="D732" s="55" t="s">
        <v>79</v>
      </c>
      <c r="E732" s="55">
        <v>2</v>
      </c>
      <c r="F732" s="57" t="s">
        <v>14</v>
      </c>
      <c r="G732" s="55"/>
      <c r="H732" s="58"/>
      <c r="I732" s="59"/>
    </row>
    <row r="733" spans="2:9" x14ac:dyDescent="0.2">
      <c r="B733" s="54" t="str">
        <f t="shared" si="9"/>
        <v>2023-077-3</v>
      </c>
      <c r="C733" s="55">
        <v>2023</v>
      </c>
      <c r="D733" s="55" t="s">
        <v>79</v>
      </c>
      <c r="E733" s="55">
        <v>3</v>
      </c>
      <c r="F733" s="57" t="s">
        <v>18</v>
      </c>
      <c r="G733" s="55"/>
      <c r="H733" s="58"/>
      <c r="I733" s="59"/>
    </row>
    <row r="734" spans="2:9" x14ac:dyDescent="0.2">
      <c r="B734" s="54" t="str">
        <f t="shared" si="9"/>
        <v>2023-077-4</v>
      </c>
      <c r="C734" s="55">
        <v>2023</v>
      </c>
      <c r="D734" s="55" t="s">
        <v>79</v>
      </c>
      <c r="E734" s="55">
        <v>4</v>
      </c>
      <c r="F734" s="57" t="s">
        <v>20</v>
      </c>
      <c r="G734" s="55"/>
      <c r="H734" s="58"/>
      <c r="I734" s="59"/>
    </row>
    <row r="735" spans="2:9" x14ac:dyDescent="0.2">
      <c r="B735" s="60" t="str">
        <f t="shared" si="9"/>
        <v>2023-077-5</v>
      </c>
      <c r="C735" s="61">
        <v>2023</v>
      </c>
      <c r="D735" s="61" t="s">
        <v>79</v>
      </c>
      <c r="E735" s="61">
        <v>5</v>
      </c>
      <c r="F735" s="62" t="s">
        <v>22</v>
      </c>
      <c r="G735" s="61" t="s">
        <v>2735</v>
      </c>
      <c r="H735" s="63"/>
      <c r="I735" s="64"/>
    </row>
    <row r="736" spans="2:9" x14ac:dyDescent="0.2">
      <c r="B736" s="65" t="str">
        <f t="shared" si="9"/>
        <v>2023-078-0</v>
      </c>
      <c r="C736" s="66">
        <v>2023</v>
      </c>
      <c r="D736" s="66" t="s">
        <v>80</v>
      </c>
      <c r="E736" s="66">
        <v>0</v>
      </c>
      <c r="F736" s="67" t="s">
        <v>200</v>
      </c>
      <c r="G736" s="66"/>
      <c r="H736" s="68"/>
      <c r="I736" s="69"/>
    </row>
    <row r="737" spans="2:9" x14ac:dyDescent="0.2">
      <c r="B737" s="54" t="str">
        <f t="shared" si="9"/>
        <v>2023-078-1</v>
      </c>
      <c r="C737" s="55">
        <v>2023</v>
      </c>
      <c r="D737" s="55" t="s">
        <v>80</v>
      </c>
      <c r="E737" s="55">
        <v>1</v>
      </c>
      <c r="F737" s="57" t="s">
        <v>555</v>
      </c>
      <c r="G737" s="55"/>
      <c r="H737" s="58"/>
      <c r="I737" s="59"/>
    </row>
    <row r="738" spans="2:9" x14ac:dyDescent="0.2">
      <c r="B738" s="54" t="str">
        <f t="shared" si="9"/>
        <v>2023-078-2</v>
      </c>
      <c r="C738" s="55">
        <v>2023</v>
      </c>
      <c r="D738" s="55" t="s">
        <v>80</v>
      </c>
      <c r="E738" s="55">
        <v>2</v>
      </c>
      <c r="F738" s="57" t="s">
        <v>882</v>
      </c>
      <c r="G738" s="55"/>
      <c r="H738" s="58"/>
      <c r="I738" s="59"/>
    </row>
    <row r="739" spans="2:9" x14ac:dyDescent="0.2">
      <c r="B739" s="54" t="str">
        <f t="shared" si="9"/>
        <v>2023-078-3</v>
      </c>
      <c r="C739" s="55">
        <v>2023</v>
      </c>
      <c r="D739" s="55" t="s">
        <v>80</v>
      </c>
      <c r="E739" s="55">
        <v>3</v>
      </c>
      <c r="F739" s="57" t="s">
        <v>1204</v>
      </c>
      <c r="G739" s="55"/>
      <c r="H739" s="58"/>
      <c r="I739" s="59"/>
    </row>
    <row r="740" spans="2:9" x14ac:dyDescent="0.2">
      <c r="B740" s="54" t="str">
        <f t="shared" si="9"/>
        <v>2023-078-4</v>
      </c>
      <c r="C740" s="55">
        <v>2023</v>
      </c>
      <c r="D740" s="55" t="s">
        <v>80</v>
      </c>
      <c r="E740" s="55">
        <v>4</v>
      </c>
      <c r="F740" s="57" t="s">
        <v>1511</v>
      </c>
      <c r="G740" s="55"/>
      <c r="H740" s="58"/>
      <c r="I740" s="59"/>
    </row>
    <row r="741" spans="2:9" ht="27" x14ac:dyDescent="0.2">
      <c r="B741" s="60" t="str">
        <f t="shared" ref="B741:B804" si="10">C741&amp;"-"&amp;D741&amp;"-"&amp;E741</f>
        <v>2023-078-5</v>
      </c>
      <c r="C741" s="61">
        <v>2023</v>
      </c>
      <c r="D741" s="61" t="s">
        <v>80</v>
      </c>
      <c r="E741" s="61">
        <v>5</v>
      </c>
      <c r="F741" s="62" t="s">
        <v>721</v>
      </c>
      <c r="G741" s="61" t="s">
        <v>2735</v>
      </c>
      <c r="H741" s="63"/>
      <c r="I741" s="64"/>
    </row>
    <row r="742" spans="2:9" x14ac:dyDescent="0.2">
      <c r="B742" s="65" t="str">
        <f t="shared" si="10"/>
        <v>2023-079-0</v>
      </c>
      <c r="C742" s="66">
        <v>2023</v>
      </c>
      <c r="D742" s="66" t="s">
        <v>81</v>
      </c>
      <c r="E742" s="66">
        <v>0</v>
      </c>
      <c r="F742" s="67" t="s">
        <v>201</v>
      </c>
      <c r="G742" s="66"/>
      <c r="H742" s="68"/>
      <c r="I742" s="69"/>
    </row>
    <row r="743" spans="2:9" ht="27" x14ac:dyDescent="0.2">
      <c r="B743" s="54" t="str">
        <f t="shared" si="10"/>
        <v>2023-079-1</v>
      </c>
      <c r="C743" s="55">
        <v>2023</v>
      </c>
      <c r="D743" s="55" t="s">
        <v>81</v>
      </c>
      <c r="E743" s="55">
        <v>1</v>
      </c>
      <c r="F743" s="57" t="s">
        <v>556</v>
      </c>
      <c r="G743" s="55"/>
      <c r="H743" s="58"/>
      <c r="I743" s="59"/>
    </row>
    <row r="744" spans="2:9" x14ac:dyDescent="0.2">
      <c r="B744" s="54" t="str">
        <f t="shared" si="10"/>
        <v>2023-079-2</v>
      </c>
      <c r="C744" s="55">
        <v>2023</v>
      </c>
      <c r="D744" s="55" t="s">
        <v>81</v>
      </c>
      <c r="E744" s="55">
        <v>2</v>
      </c>
      <c r="F744" s="57" t="s">
        <v>663</v>
      </c>
      <c r="G744" s="55"/>
      <c r="H744" s="58"/>
      <c r="I744" s="59"/>
    </row>
    <row r="745" spans="2:9" ht="27" x14ac:dyDescent="0.2">
      <c r="B745" s="54" t="str">
        <f t="shared" si="10"/>
        <v>2023-079-3</v>
      </c>
      <c r="C745" s="55">
        <v>2023</v>
      </c>
      <c r="D745" s="55" t="s">
        <v>81</v>
      </c>
      <c r="E745" s="55">
        <v>3</v>
      </c>
      <c r="F745" s="57" t="s">
        <v>1205</v>
      </c>
      <c r="G745" s="55"/>
      <c r="H745" s="58"/>
      <c r="I745" s="59"/>
    </row>
    <row r="746" spans="2:9" ht="27" x14ac:dyDescent="0.2">
      <c r="B746" s="54" t="str">
        <f t="shared" si="10"/>
        <v>2023-079-4</v>
      </c>
      <c r="C746" s="55">
        <v>2023</v>
      </c>
      <c r="D746" s="55" t="s">
        <v>81</v>
      </c>
      <c r="E746" s="55">
        <v>4</v>
      </c>
      <c r="F746" s="57" t="s">
        <v>1512</v>
      </c>
      <c r="G746" s="55" t="s">
        <v>2735</v>
      </c>
      <c r="H746" s="58"/>
      <c r="I746" s="59"/>
    </row>
    <row r="747" spans="2:9" ht="27" x14ac:dyDescent="0.2">
      <c r="B747" s="60" t="str">
        <f t="shared" si="10"/>
        <v>2023-079-5</v>
      </c>
      <c r="C747" s="61">
        <v>2023</v>
      </c>
      <c r="D747" s="61" t="s">
        <v>81</v>
      </c>
      <c r="E747" s="61">
        <v>5</v>
      </c>
      <c r="F747" s="62" t="s">
        <v>1811</v>
      </c>
      <c r="G747" s="61"/>
      <c r="H747" s="63"/>
      <c r="I747" s="64"/>
    </row>
    <row r="748" spans="2:9" ht="54" x14ac:dyDescent="0.2">
      <c r="B748" s="65" t="str">
        <f t="shared" si="10"/>
        <v>2023-080-0</v>
      </c>
      <c r="C748" s="66">
        <v>2023</v>
      </c>
      <c r="D748" s="66" t="s">
        <v>82</v>
      </c>
      <c r="E748" s="66">
        <v>0</v>
      </c>
      <c r="F748" s="67" t="s">
        <v>202</v>
      </c>
      <c r="G748" s="66"/>
      <c r="H748" s="68"/>
      <c r="I748" s="69"/>
    </row>
    <row r="749" spans="2:9" x14ac:dyDescent="0.2">
      <c r="B749" s="54" t="str">
        <f t="shared" si="10"/>
        <v>2023-080-1</v>
      </c>
      <c r="C749" s="55">
        <v>2023</v>
      </c>
      <c r="D749" s="55" t="s">
        <v>82</v>
      </c>
      <c r="E749" s="55">
        <v>1</v>
      </c>
      <c r="F749" s="57" t="s">
        <v>557</v>
      </c>
      <c r="G749" s="55"/>
      <c r="H749" s="58"/>
      <c r="I749" s="59"/>
    </row>
    <row r="750" spans="2:9" x14ac:dyDescent="0.2">
      <c r="B750" s="54" t="str">
        <f t="shared" si="10"/>
        <v>2023-080-2</v>
      </c>
      <c r="C750" s="55">
        <v>2023</v>
      </c>
      <c r="D750" s="55" t="s">
        <v>82</v>
      </c>
      <c r="E750" s="55">
        <v>2</v>
      </c>
      <c r="F750" s="57" t="s">
        <v>883</v>
      </c>
      <c r="G750" s="55" t="s">
        <v>2735</v>
      </c>
      <c r="H750" s="58"/>
      <c r="I750" s="59"/>
    </row>
    <row r="751" spans="2:9" x14ac:dyDescent="0.2">
      <c r="B751" s="54" t="str">
        <f t="shared" si="10"/>
        <v>2023-080-3</v>
      </c>
      <c r="C751" s="55">
        <v>2023</v>
      </c>
      <c r="D751" s="55" t="s">
        <v>82</v>
      </c>
      <c r="E751" s="55">
        <v>3</v>
      </c>
      <c r="F751" s="57" t="s">
        <v>1206</v>
      </c>
      <c r="G751" s="55"/>
      <c r="H751" s="58"/>
      <c r="I751" s="59"/>
    </row>
    <row r="752" spans="2:9" x14ac:dyDescent="0.2">
      <c r="B752" s="54" t="str">
        <f t="shared" si="10"/>
        <v>2023-080-4</v>
      </c>
      <c r="C752" s="55">
        <v>2023</v>
      </c>
      <c r="D752" s="55" t="s">
        <v>82</v>
      </c>
      <c r="E752" s="55">
        <v>4</v>
      </c>
      <c r="F752" s="57" t="s">
        <v>1513</v>
      </c>
      <c r="G752" s="55"/>
      <c r="H752" s="58"/>
      <c r="I752" s="59"/>
    </row>
    <row r="753" spans="2:9" x14ac:dyDescent="0.2">
      <c r="B753" s="60" t="str">
        <f t="shared" si="10"/>
        <v>2023-080-5</v>
      </c>
      <c r="C753" s="61">
        <v>2023</v>
      </c>
      <c r="D753" s="61" t="s">
        <v>82</v>
      </c>
      <c r="E753" s="61">
        <v>5</v>
      </c>
      <c r="F753" s="62" t="s">
        <v>1812</v>
      </c>
      <c r="G753" s="61"/>
      <c r="H753" s="63"/>
      <c r="I753" s="64"/>
    </row>
    <row r="754" spans="2:9" x14ac:dyDescent="0.2">
      <c r="B754" s="65" t="str">
        <f t="shared" si="10"/>
        <v>2023-081-0</v>
      </c>
      <c r="C754" s="66">
        <v>2023</v>
      </c>
      <c r="D754" s="66" t="s">
        <v>88</v>
      </c>
      <c r="E754" s="66">
        <v>0</v>
      </c>
      <c r="F754" s="67" t="s">
        <v>203</v>
      </c>
      <c r="G754" s="66"/>
      <c r="H754" s="68"/>
      <c r="I754" s="69"/>
    </row>
    <row r="755" spans="2:9" x14ac:dyDescent="0.2">
      <c r="B755" s="54" t="str">
        <f t="shared" si="10"/>
        <v>2023-081-1</v>
      </c>
      <c r="C755" s="55">
        <v>2023</v>
      </c>
      <c r="D755" s="55" t="s">
        <v>88</v>
      </c>
      <c r="E755" s="55">
        <v>1</v>
      </c>
      <c r="F755" s="57" t="s">
        <v>558</v>
      </c>
      <c r="G755" s="55"/>
      <c r="H755" s="58"/>
      <c r="I755" s="59"/>
    </row>
    <row r="756" spans="2:9" x14ac:dyDescent="0.2">
      <c r="B756" s="54" t="str">
        <f t="shared" si="10"/>
        <v>2023-081-2</v>
      </c>
      <c r="C756" s="55">
        <v>2023</v>
      </c>
      <c r="D756" s="55" t="s">
        <v>88</v>
      </c>
      <c r="E756" s="55">
        <v>2</v>
      </c>
      <c r="F756" s="57" t="s">
        <v>701</v>
      </c>
      <c r="G756" s="55" t="s">
        <v>2735</v>
      </c>
      <c r="H756" s="58"/>
      <c r="I756" s="59"/>
    </row>
    <row r="757" spans="2:9" x14ac:dyDescent="0.2">
      <c r="B757" s="54" t="str">
        <f t="shared" si="10"/>
        <v>2023-081-3</v>
      </c>
      <c r="C757" s="55">
        <v>2023</v>
      </c>
      <c r="D757" s="55" t="s">
        <v>88</v>
      </c>
      <c r="E757" s="55">
        <v>3</v>
      </c>
      <c r="F757" s="57" t="s">
        <v>1024</v>
      </c>
      <c r="G757" s="55"/>
      <c r="H757" s="58"/>
      <c r="I757" s="59"/>
    </row>
    <row r="758" spans="2:9" x14ac:dyDescent="0.2">
      <c r="B758" s="54" t="str">
        <f t="shared" si="10"/>
        <v>2023-081-4</v>
      </c>
      <c r="C758" s="55">
        <v>2023</v>
      </c>
      <c r="D758" s="55" t="s">
        <v>88</v>
      </c>
      <c r="E758" s="55">
        <v>4</v>
      </c>
      <c r="F758" s="57" t="s">
        <v>1514</v>
      </c>
      <c r="G758" s="55"/>
      <c r="H758" s="58"/>
      <c r="I758" s="59"/>
    </row>
    <row r="759" spans="2:9" x14ac:dyDescent="0.2">
      <c r="B759" s="60" t="str">
        <f t="shared" si="10"/>
        <v>2023-081-5</v>
      </c>
      <c r="C759" s="61">
        <v>2023</v>
      </c>
      <c r="D759" s="61" t="s">
        <v>88</v>
      </c>
      <c r="E759" s="61">
        <v>5</v>
      </c>
      <c r="F759" s="62" t="s">
        <v>1341</v>
      </c>
      <c r="G759" s="61"/>
      <c r="H759" s="63"/>
      <c r="I759" s="64"/>
    </row>
    <row r="760" spans="2:9" x14ac:dyDescent="0.2">
      <c r="B760" s="65" t="str">
        <f t="shared" si="10"/>
        <v>2023-082-0</v>
      </c>
      <c r="C760" s="66">
        <v>2023</v>
      </c>
      <c r="D760" s="66" t="s">
        <v>89</v>
      </c>
      <c r="E760" s="66">
        <v>0</v>
      </c>
      <c r="F760" s="67" t="s">
        <v>170</v>
      </c>
      <c r="G760" s="66"/>
      <c r="H760" s="68"/>
      <c r="I760" s="69"/>
    </row>
    <row r="761" spans="2:9" x14ac:dyDescent="0.2">
      <c r="B761" s="54" t="str">
        <f t="shared" si="10"/>
        <v>2023-082-1</v>
      </c>
      <c r="C761" s="55">
        <v>2023</v>
      </c>
      <c r="D761" s="55" t="s">
        <v>89</v>
      </c>
      <c r="E761" s="55">
        <v>1</v>
      </c>
      <c r="F761" s="57" t="s">
        <v>559</v>
      </c>
      <c r="G761" s="55" t="s">
        <v>2735</v>
      </c>
      <c r="H761" s="58"/>
      <c r="I761" s="59"/>
    </row>
    <row r="762" spans="2:9" x14ac:dyDescent="0.2">
      <c r="B762" s="54" t="str">
        <f t="shared" si="10"/>
        <v>2023-082-2</v>
      </c>
      <c r="C762" s="55">
        <v>2023</v>
      </c>
      <c r="D762" s="55" t="s">
        <v>89</v>
      </c>
      <c r="E762" s="55">
        <v>2</v>
      </c>
      <c r="F762" s="57" t="s">
        <v>884</v>
      </c>
      <c r="G762" s="55"/>
      <c r="H762" s="58"/>
      <c r="I762" s="59"/>
    </row>
    <row r="763" spans="2:9" x14ac:dyDescent="0.2">
      <c r="B763" s="54" t="str">
        <f t="shared" si="10"/>
        <v>2023-082-3</v>
      </c>
      <c r="C763" s="55">
        <v>2023</v>
      </c>
      <c r="D763" s="55" t="s">
        <v>89</v>
      </c>
      <c r="E763" s="55">
        <v>3</v>
      </c>
      <c r="F763" s="57" t="s">
        <v>1207</v>
      </c>
      <c r="G763" s="55"/>
      <c r="H763" s="58"/>
      <c r="I763" s="59"/>
    </row>
    <row r="764" spans="2:9" x14ac:dyDescent="0.2">
      <c r="B764" s="54" t="str">
        <f t="shared" si="10"/>
        <v>2023-082-4</v>
      </c>
      <c r="C764" s="55">
        <v>2023</v>
      </c>
      <c r="D764" s="55" t="s">
        <v>89</v>
      </c>
      <c r="E764" s="55">
        <v>4</v>
      </c>
      <c r="F764" s="57" t="s">
        <v>1515</v>
      </c>
      <c r="G764" s="55"/>
      <c r="H764" s="58"/>
      <c r="I764" s="59"/>
    </row>
    <row r="765" spans="2:9" x14ac:dyDescent="0.2">
      <c r="B765" s="60" t="str">
        <f t="shared" si="10"/>
        <v>2023-082-5</v>
      </c>
      <c r="C765" s="61">
        <v>2023</v>
      </c>
      <c r="D765" s="61" t="s">
        <v>89</v>
      </c>
      <c r="E765" s="61">
        <v>5</v>
      </c>
      <c r="F765" s="62" t="s">
        <v>1813</v>
      </c>
      <c r="G765" s="61"/>
      <c r="H765" s="63"/>
      <c r="I765" s="64"/>
    </row>
    <row r="766" spans="2:9" x14ac:dyDescent="0.2">
      <c r="B766" s="65" t="str">
        <f t="shared" si="10"/>
        <v>2023-083-0</v>
      </c>
      <c r="C766" s="66">
        <v>2023</v>
      </c>
      <c r="D766" s="66" t="s">
        <v>90</v>
      </c>
      <c r="E766" s="66">
        <v>0</v>
      </c>
      <c r="F766" s="67" t="s">
        <v>204</v>
      </c>
      <c r="G766" s="66"/>
      <c r="H766" s="68"/>
      <c r="I766" s="69"/>
    </row>
    <row r="767" spans="2:9" x14ac:dyDescent="0.2">
      <c r="B767" s="54" t="str">
        <f t="shared" si="10"/>
        <v>2023-083-1</v>
      </c>
      <c r="C767" s="55">
        <v>2023</v>
      </c>
      <c r="D767" s="55" t="s">
        <v>90</v>
      </c>
      <c r="E767" s="55">
        <v>1</v>
      </c>
      <c r="F767" s="57" t="s">
        <v>560</v>
      </c>
      <c r="G767" s="55"/>
      <c r="H767" s="58"/>
      <c r="I767" s="59"/>
    </row>
    <row r="768" spans="2:9" ht="27" x14ac:dyDescent="0.2">
      <c r="B768" s="54" t="str">
        <f t="shared" si="10"/>
        <v>2023-083-2</v>
      </c>
      <c r="C768" s="55">
        <v>2023</v>
      </c>
      <c r="D768" s="55" t="s">
        <v>90</v>
      </c>
      <c r="E768" s="55">
        <v>2</v>
      </c>
      <c r="F768" s="57" t="s">
        <v>885</v>
      </c>
      <c r="G768" s="55"/>
      <c r="H768" s="58"/>
      <c r="I768" s="59"/>
    </row>
    <row r="769" spans="2:9" ht="27" x14ac:dyDescent="0.2">
      <c r="B769" s="54" t="str">
        <f t="shared" si="10"/>
        <v>2023-083-3</v>
      </c>
      <c r="C769" s="55">
        <v>2023</v>
      </c>
      <c r="D769" s="55" t="s">
        <v>90</v>
      </c>
      <c r="E769" s="55">
        <v>3</v>
      </c>
      <c r="F769" s="57" t="s">
        <v>1208</v>
      </c>
      <c r="G769" s="55"/>
      <c r="H769" s="58"/>
      <c r="I769" s="59"/>
    </row>
    <row r="770" spans="2:9" ht="27" x14ac:dyDescent="0.2">
      <c r="B770" s="54" t="str">
        <f t="shared" si="10"/>
        <v>2023-083-4</v>
      </c>
      <c r="C770" s="55">
        <v>2023</v>
      </c>
      <c r="D770" s="55" t="s">
        <v>90</v>
      </c>
      <c r="E770" s="55">
        <v>4</v>
      </c>
      <c r="F770" s="57" t="s">
        <v>1516</v>
      </c>
      <c r="G770" s="55"/>
      <c r="H770" s="58"/>
      <c r="I770" s="59"/>
    </row>
    <row r="771" spans="2:9" ht="27" x14ac:dyDescent="0.2">
      <c r="B771" s="60" t="str">
        <f t="shared" si="10"/>
        <v>2023-083-5</v>
      </c>
      <c r="C771" s="61">
        <v>2023</v>
      </c>
      <c r="D771" s="61" t="s">
        <v>90</v>
      </c>
      <c r="E771" s="61">
        <v>5</v>
      </c>
      <c r="F771" s="62" t="s">
        <v>1814</v>
      </c>
      <c r="G771" s="61" t="s">
        <v>2735</v>
      </c>
      <c r="H771" s="63"/>
      <c r="I771" s="64"/>
    </row>
    <row r="772" spans="2:9" x14ac:dyDescent="0.2">
      <c r="B772" s="65" t="str">
        <f t="shared" si="10"/>
        <v>2023-084-0</v>
      </c>
      <c r="C772" s="66">
        <v>2023</v>
      </c>
      <c r="D772" s="66" t="s">
        <v>91</v>
      </c>
      <c r="E772" s="66">
        <v>0</v>
      </c>
      <c r="F772" s="67" t="s">
        <v>205</v>
      </c>
      <c r="G772" s="66"/>
      <c r="H772" s="68"/>
      <c r="I772" s="69"/>
    </row>
    <row r="773" spans="2:9" x14ac:dyDescent="0.2">
      <c r="B773" s="54" t="str">
        <f t="shared" si="10"/>
        <v>2023-084-1</v>
      </c>
      <c r="C773" s="55">
        <v>2023</v>
      </c>
      <c r="D773" s="55" t="s">
        <v>91</v>
      </c>
      <c r="E773" s="55">
        <v>1</v>
      </c>
      <c r="F773" s="57" t="s">
        <v>561</v>
      </c>
      <c r="G773" s="55" t="s">
        <v>2735</v>
      </c>
      <c r="H773" s="58"/>
      <c r="I773" s="59"/>
    </row>
    <row r="774" spans="2:9" ht="27" x14ac:dyDescent="0.2">
      <c r="B774" s="54" t="str">
        <f t="shared" si="10"/>
        <v>2023-084-2</v>
      </c>
      <c r="C774" s="55">
        <v>2023</v>
      </c>
      <c r="D774" s="55" t="s">
        <v>91</v>
      </c>
      <c r="E774" s="55">
        <v>2</v>
      </c>
      <c r="F774" s="57" t="s">
        <v>886</v>
      </c>
      <c r="G774" s="55"/>
      <c r="H774" s="58"/>
      <c r="I774" s="59"/>
    </row>
    <row r="775" spans="2:9" ht="27" x14ac:dyDescent="0.2">
      <c r="B775" s="54" t="str">
        <f t="shared" si="10"/>
        <v>2023-084-3</v>
      </c>
      <c r="C775" s="55">
        <v>2023</v>
      </c>
      <c r="D775" s="55" t="s">
        <v>91</v>
      </c>
      <c r="E775" s="55">
        <v>3</v>
      </c>
      <c r="F775" s="57" t="s">
        <v>1209</v>
      </c>
      <c r="G775" s="55"/>
      <c r="H775" s="58"/>
      <c r="I775" s="59"/>
    </row>
    <row r="776" spans="2:9" ht="27" x14ac:dyDescent="0.2">
      <c r="B776" s="54" t="str">
        <f t="shared" si="10"/>
        <v>2023-084-4</v>
      </c>
      <c r="C776" s="55">
        <v>2023</v>
      </c>
      <c r="D776" s="55" t="s">
        <v>91</v>
      </c>
      <c r="E776" s="55">
        <v>4</v>
      </c>
      <c r="F776" s="57" t="s">
        <v>1517</v>
      </c>
      <c r="G776" s="55"/>
      <c r="H776" s="58"/>
      <c r="I776" s="59"/>
    </row>
    <row r="777" spans="2:9" ht="27" x14ac:dyDescent="0.2">
      <c r="B777" s="60" t="str">
        <f t="shared" si="10"/>
        <v>2023-084-5</v>
      </c>
      <c r="C777" s="61">
        <v>2023</v>
      </c>
      <c r="D777" s="61" t="s">
        <v>91</v>
      </c>
      <c r="E777" s="61">
        <v>5</v>
      </c>
      <c r="F777" s="62" t="s">
        <v>1093</v>
      </c>
      <c r="G777" s="61"/>
      <c r="H777" s="63"/>
      <c r="I777" s="64"/>
    </row>
    <row r="778" spans="2:9" ht="27" x14ac:dyDescent="0.2">
      <c r="B778" s="65" t="str">
        <f t="shared" si="10"/>
        <v>2023-085-0</v>
      </c>
      <c r="C778" s="66">
        <v>2023</v>
      </c>
      <c r="D778" s="66" t="s">
        <v>92</v>
      </c>
      <c r="E778" s="66">
        <v>0</v>
      </c>
      <c r="F778" s="67" t="s">
        <v>206</v>
      </c>
      <c r="G778" s="66"/>
      <c r="H778" s="68"/>
      <c r="I778" s="69"/>
    </row>
    <row r="779" spans="2:9" x14ac:dyDescent="0.2">
      <c r="B779" s="54" t="str">
        <f t="shared" si="10"/>
        <v>2023-085-1</v>
      </c>
      <c r="C779" s="55">
        <v>2023</v>
      </c>
      <c r="D779" s="55" t="s">
        <v>92</v>
      </c>
      <c r="E779" s="55">
        <v>1</v>
      </c>
      <c r="F779" s="57" t="s">
        <v>562</v>
      </c>
      <c r="G779" s="55"/>
      <c r="H779" s="58"/>
      <c r="I779" s="59"/>
    </row>
    <row r="780" spans="2:9" ht="27" x14ac:dyDescent="0.2">
      <c r="B780" s="54" t="str">
        <f t="shared" si="10"/>
        <v>2023-085-2</v>
      </c>
      <c r="C780" s="55">
        <v>2023</v>
      </c>
      <c r="D780" s="55" t="s">
        <v>92</v>
      </c>
      <c r="E780" s="55">
        <v>2</v>
      </c>
      <c r="F780" s="57" t="s">
        <v>887</v>
      </c>
      <c r="G780" s="55"/>
      <c r="H780" s="58"/>
      <c r="I780" s="59"/>
    </row>
    <row r="781" spans="2:9" ht="27" x14ac:dyDescent="0.2">
      <c r="B781" s="54" t="str">
        <f t="shared" si="10"/>
        <v>2023-085-3</v>
      </c>
      <c r="C781" s="55">
        <v>2023</v>
      </c>
      <c r="D781" s="55" t="s">
        <v>92</v>
      </c>
      <c r="E781" s="55">
        <v>3</v>
      </c>
      <c r="F781" s="57" t="s">
        <v>1210</v>
      </c>
      <c r="G781" s="55"/>
      <c r="H781" s="58"/>
      <c r="I781" s="59"/>
    </row>
    <row r="782" spans="2:9" x14ac:dyDescent="0.2">
      <c r="B782" s="54" t="str">
        <f t="shared" si="10"/>
        <v>2023-085-4</v>
      </c>
      <c r="C782" s="55">
        <v>2023</v>
      </c>
      <c r="D782" s="55" t="s">
        <v>92</v>
      </c>
      <c r="E782" s="55">
        <v>4</v>
      </c>
      <c r="F782" s="57" t="s">
        <v>1518</v>
      </c>
      <c r="G782" s="55" t="s">
        <v>2735</v>
      </c>
      <c r="H782" s="58"/>
      <c r="I782" s="59"/>
    </row>
    <row r="783" spans="2:9" ht="27" x14ac:dyDescent="0.2">
      <c r="B783" s="60" t="str">
        <f t="shared" si="10"/>
        <v>2023-085-5</v>
      </c>
      <c r="C783" s="61">
        <v>2023</v>
      </c>
      <c r="D783" s="61" t="s">
        <v>92</v>
      </c>
      <c r="E783" s="61">
        <v>5</v>
      </c>
      <c r="F783" s="62" t="s">
        <v>1815</v>
      </c>
      <c r="G783" s="61"/>
      <c r="H783" s="63"/>
      <c r="I783" s="64"/>
    </row>
    <row r="784" spans="2:9" ht="81" x14ac:dyDescent="0.2">
      <c r="B784" s="65" t="str">
        <f t="shared" si="10"/>
        <v>2023-086-0</v>
      </c>
      <c r="C784" s="66">
        <v>2023</v>
      </c>
      <c r="D784" s="66" t="s">
        <v>93</v>
      </c>
      <c r="E784" s="66">
        <v>0</v>
      </c>
      <c r="F784" s="67" t="s">
        <v>207</v>
      </c>
      <c r="G784" s="66"/>
      <c r="H784" s="68"/>
      <c r="I784" s="69"/>
    </row>
    <row r="785" spans="2:9" x14ac:dyDescent="0.2">
      <c r="B785" s="54" t="str">
        <f t="shared" si="10"/>
        <v>2023-086-1</v>
      </c>
      <c r="C785" s="55">
        <v>2023</v>
      </c>
      <c r="D785" s="55" t="s">
        <v>93</v>
      </c>
      <c r="E785" s="55">
        <v>1</v>
      </c>
      <c r="F785" s="57" t="s">
        <v>15</v>
      </c>
      <c r="G785" s="55"/>
      <c r="H785" s="58"/>
      <c r="I785" s="59"/>
    </row>
    <row r="786" spans="2:9" x14ac:dyDescent="0.2">
      <c r="B786" s="54" t="str">
        <f t="shared" si="10"/>
        <v>2023-086-2</v>
      </c>
      <c r="C786" s="55">
        <v>2023</v>
      </c>
      <c r="D786" s="55" t="s">
        <v>93</v>
      </c>
      <c r="E786" s="55">
        <v>2</v>
      </c>
      <c r="F786" s="57" t="s">
        <v>640</v>
      </c>
      <c r="G786" s="55"/>
      <c r="H786" s="58"/>
      <c r="I786" s="59"/>
    </row>
    <row r="787" spans="2:9" x14ac:dyDescent="0.2">
      <c r="B787" s="54" t="str">
        <f t="shared" si="10"/>
        <v>2023-086-3</v>
      </c>
      <c r="C787" s="55">
        <v>2023</v>
      </c>
      <c r="D787" s="55" t="s">
        <v>93</v>
      </c>
      <c r="E787" s="55">
        <v>3</v>
      </c>
      <c r="F787" s="57" t="s">
        <v>17</v>
      </c>
      <c r="G787" s="55" t="s">
        <v>2735</v>
      </c>
      <c r="H787" s="58"/>
      <c r="I787" s="59"/>
    </row>
    <row r="788" spans="2:9" x14ac:dyDescent="0.2">
      <c r="B788" s="54" t="str">
        <f t="shared" si="10"/>
        <v>2023-086-4</v>
      </c>
      <c r="C788" s="55">
        <v>2023</v>
      </c>
      <c r="D788" s="55" t="s">
        <v>93</v>
      </c>
      <c r="E788" s="55">
        <v>4</v>
      </c>
      <c r="F788" s="57" t="s">
        <v>1485</v>
      </c>
      <c r="G788" s="55"/>
      <c r="H788" s="58"/>
      <c r="I788" s="59"/>
    </row>
    <row r="789" spans="2:9" x14ac:dyDescent="0.2">
      <c r="B789" s="60" t="str">
        <f t="shared" si="10"/>
        <v>2023-086-5</v>
      </c>
      <c r="C789" s="61">
        <v>2023</v>
      </c>
      <c r="D789" s="61" t="s">
        <v>93</v>
      </c>
      <c r="E789" s="61">
        <v>5</v>
      </c>
      <c r="F789" s="62" t="s">
        <v>42</v>
      </c>
      <c r="G789" s="61"/>
      <c r="H789" s="63"/>
      <c r="I789" s="64"/>
    </row>
    <row r="790" spans="2:9" x14ac:dyDescent="0.2">
      <c r="B790" s="65" t="str">
        <f t="shared" si="10"/>
        <v>2023-087-0</v>
      </c>
      <c r="C790" s="66">
        <v>2023</v>
      </c>
      <c r="D790" s="66" t="s">
        <v>94</v>
      </c>
      <c r="E790" s="66">
        <v>0</v>
      </c>
      <c r="F790" s="67" t="s">
        <v>208</v>
      </c>
      <c r="G790" s="66"/>
      <c r="H790" s="68"/>
      <c r="I790" s="69"/>
    </row>
    <row r="791" spans="2:9" x14ac:dyDescent="0.2">
      <c r="B791" s="54" t="str">
        <f t="shared" si="10"/>
        <v>2023-087-1</v>
      </c>
      <c r="C791" s="55">
        <v>2023</v>
      </c>
      <c r="D791" s="55" t="s">
        <v>94</v>
      </c>
      <c r="E791" s="55">
        <v>1</v>
      </c>
      <c r="F791" s="57" t="s">
        <v>563</v>
      </c>
      <c r="G791" s="55"/>
      <c r="H791" s="58"/>
      <c r="I791" s="59"/>
    </row>
    <row r="792" spans="2:9" ht="27" x14ac:dyDescent="0.2">
      <c r="B792" s="54" t="str">
        <f t="shared" si="10"/>
        <v>2023-087-2</v>
      </c>
      <c r="C792" s="55">
        <v>2023</v>
      </c>
      <c r="D792" s="55" t="s">
        <v>94</v>
      </c>
      <c r="E792" s="55">
        <v>2</v>
      </c>
      <c r="F792" s="57" t="s">
        <v>888</v>
      </c>
      <c r="G792" s="55"/>
      <c r="H792" s="58"/>
      <c r="I792" s="59"/>
    </row>
    <row r="793" spans="2:9" x14ac:dyDescent="0.2">
      <c r="B793" s="54" t="str">
        <f t="shared" si="10"/>
        <v>2023-087-3</v>
      </c>
      <c r="C793" s="55">
        <v>2023</v>
      </c>
      <c r="D793" s="55" t="s">
        <v>94</v>
      </c>
      <c r="E793" s="55">
        <v>3</v>
      </c>
      <c r="F793" s="57" t="s">
        <v>1211</v>
      </c>
      <c r="G793" s="55"/>
      <c r="H793" s="58"/>
      <c r="I793" s="59"/>
    </row>
    <row r="794" spans="2:9" x14ac:dyDescent="0.2">
      <c r="B794" s="54" t="str">
        <f t="shared" si="10"/>
        <v>2023-087-4</v>
      </c>
      <c r="C794" s="55">
        <v>2023</v>
      </c>
      <c r="D794" s="55" t="s">
        <v>94</v>
      </c>
      <c r="E794" s="55">
        <v>4</v>
      </c>
      <c r="F794" s="57" t="s">
        <v>1519</v>
      </c>
      <c r="G794" s="55" t="s">
        <v>2735</v>
      </c>
      <c r="H794" s="58"/>
      <c r="I794" s="59"/>
    </row>
    <row r="795" spans="2:9" x14ac:dyDescent="0.2">
      <c r="B795" s="60" t="str">
        <f t="shared" si="10"/>
        <v>2023-087-5</v>
      </c>
      <c r="C795" s="61">
        <v>2023</v>
      </c>
      <c r="D795" s="61" t="s">
        <v>94</v>
      </c>
      <c r="E795" s="61">
        <v>5</v>
      </c>
      <c r="F795" s="62" t="s">
        <v>1816</v>
      </c>
      <c r="G795" s="61"/>
      <c r="H795" s="63"/>
      <c r="I795" s="64"/>
    </row>
    <row r="796" spans="2:9" ht="67.5" x14ac:dyDescent="0.2">
      <c r="B796" s="65" t="str">
        <f t="shared" si="10"/>
        <v>2023-088-0</v>
      </c>
      <c r="C796" s="66">
        <v>2023</v>
      </c>
      <c r="D796" s="66" t="s">
        <v>95</v>
      </c>
      <c r="E796" s="66">
        <v>0</v>
      </c>
      <c r="F796" s="67" t="s">
        <v>209</v>
      </c>
      <c r="G796" s="66"/>
      <c r="H796" s="68"/>
      <c r="I796" s="69"/>
    </row>
    <row r="797" spans="2:9" x14ac:dyDescent="0.2">
      <c r="B797" s="54" t="str">
        <f t="shared" si="10"/>
        <v>2023-088-1</v>
      </c>
      <c r="C797" s="55">
        <v>2023</v>
      </c>
      <c r="D797" s="55" t="s">
        <v>95</v>
      </c>
      <c r="E797" s="55">
        <v>1</v>
      </c>
      <c r="F797" s="57" t="s">
        <v>5</v>
      </c>
      <c r="G797" s="55"/>
      <c r="H797" s="58"/>
      <c r="I797" s="59"/>
    </row>
    <row r="798" spans="2:9" x14ac:dyDescent="0.2">
      <c r="B798" s="54" t="str">
        <f t="shared" si="10"/>
        <v>2023-088-2</v>
      </c>
      <c r="C798" s="55">
        <v>2023</v>
      </c>
      <c r="D798" s="55" t="s">
        <v>95</v>
      </c>
      <c r="E798" s="55">
        <v>2</v>
      </c>
      <c r="F798" s="57" t="s">
        <v>10</v>
      </c>
      <c r="G798" s="55"/>
      <c r="H798" s="58"/>
      <c r="I798" s="59"/>
    </row>
    <row r="799" spans="2:9" x14ac:dyDescent="0.2">
      <c r="B799" s="54" t="str">
        <f t="shared" si="10"/>
        <v>2023-088-3</v>
      </c>
      <c r="C799" s="55">
        <v>2023</v>
      </c>
      <c r="D799" s="55" t="s">
        <v>95</v>
      </c>
      <c r="E799" s="55">
        <v>3</v>
      </c>
      <c r="F799" s="57" t="s">
        <v>8</v>
      </c>
      <c r="G799" s="55" t="s">
        <v>2735</v>
      </c>
      <c r="H799" s="58"/>
      <c r="I799" s="59"/>
    </row>
    <row r="800" spans="2:9" x14ac:dyDescent="0.2">
      <c r="B800" s="54" t="str">
        <f t="shared" si="10"/>
        <v>2023-088-4</v>
      </c>
      <c r="C800" s="55">
        <v>2023</v>
      </c>
      <c r="D800" s="55" t="s">
        <v>95</v>
      </c>
      <c r="E800" s="55">
        <v>4</v>
      </c>
      <c r="F800" s="57" t="s">
        <v>16</v>
      </c>
      <c r="G800" s="55"/>
      <c r="H800" s="58"/>
      <c r="I800" s="59"/>
    </row>
    <row r="801" spans="2:9" x14ac:dyDescent="0.2">
      <c r="B801" s="60" t="str">
        <f t="shared" si="10"/>
        <v>2023-088-5</v>
      </c>
      <c r="C801" s="61">
        <v>2023</v>
      </c>
      <c r="D801" s="61" t="s">
        <v>95</v>
      </c>
      <c r="E801" s="61">
        <v>5</v>
      </c>
      <c r="F801" s="62" t="s">
        <v>6</v>
      </c>
      <c r="G801" s="61"/>
      <c r="H801" s="63"/>
      <c r="I801" s="64"/>
    </row>
    <row r="802" spans="2:9" ht="81" x14ac:dyDescent="0.2">
      <c r="B802" s="65" t="str">
        <f t="shared" si="10"/>
        <v>2023-089-0</v>
      </c>
      <c r="C802" s="66">
        <v>2023</v>
      </c>
      <c r="D802" s="66" t="s">
        <v>96</v>
      </c>
      <c r="E802" s="66">
        <v>0</v>
      </c>
      <c r="F802" s="67" t="s">
        <v>210</v>
      </c>
      <c r="G802" s="66"/>
      <c r="H802" s="68"/>
      <c r="I802" s="69"/>
    </row>
    <row r="803" spans="2:9" x14ac:dyDescent="0.2">
      <c r="B803" s="54" t="str">
        <f t="shared" si="10"/>
        <v>2023-089-1</v>
      </c>
      <c r="C803" s="55">
        <v>2023</v>
      </c>
      <c r="D803" s="55" t="s">
        <v>96</v>
      </c>
      <c r="E803" s="55">
        <v>1</v>
      </c>
      <c r="F803" s="57" t="s">
        <v>4</v>
      </c>
      <c r="G803" s="55"/>
      <c r="H803" s="58"/>
      <c r="I803" s="59"/>
    </row>
    <row r="804" spans="2:9" x14ac:dyDescent="0.2">
      <c r="B804" s="54" t="str">
        <f t="shared" si="10"/>
        <v>2023-089-2</v>
      </c>
      <c r="C804" s="55">
        <v>2023</v>
      </c>
      <c r="D804" s="55" t="s">
        <v>96</v>
      </c>
      <c r="E804" s="55">
        <v>2</v>
      </c>
      <c r="F804" s="57" t="s">
        <v>8</v>
      </c>
      <c r="G804" s="55" t="s">
        <v>2735</v>
      </c>
      <c r="H804" s="58"/>
      <c r="I804" s="59"/>
    </row>
    <row r="805" spans="2:9" x14ac:dyDescent="0.2">
      <c r="B805" s="54" t="str">
        <f t="shared" ref="B805:B868" si="11">C805&amp;"-"&amp;D805&amp;"-"&amp;E805</f>
        <v>2023-089-3</v>
      </c>
      <c r="C805" s="55">
        <v>2023</v>
      </c>
      <c r="D805" s="55" t="s">
        <v>96</v>
      </c>
      <c r="E805" s="55">
        <v>3</v>
      </c>
      <c r="F805" s="57" t="s">
        <v>16</v>
      </c>
      <c r="G805" s="55"/>
      <c r="H805" s="58"/>
      <c r="I805" s="59"/>
    </row>
    <row r="806" spans="2:9" x14ac:dyDescent="0.2">
      <c r="B806" s="54" t="str">
        <f t="shared" si="11"/>
        <v>2023-089-4</v>
      </c>
      <c r="C806" s="55">
        <v>2023</v>
      </c>
      <c r="D806" s="55" t="s">
        <v>96</v>
      </c>
      <c r="E806" s="55">
        <v>4</v>
      </c>
      <c r="F806" s="57" t="s">
        <v>12</v>
      </c>
      <c r="G806" s="55"/>
      <c r="H806" s="58"/>
      <c r="I806" s="59"/>
    </row>
    <row r="807" spans="2:9" x14ac:dyDescent="0.2">
      <c r="B807" s="60" t="str">
        <f t="shared" si="11"/>
        <v>2023-089-5</v>
      </c>
      <c r="C807" s="61">
        <v>2023</v>
      </c>
      <c r="D807" s="61" t="s">
        <v>96</v>
      </c>
      <c r="E807" s="61">
        <v>5</v>
      </c>
      <c r="F807" s="62" t="s">
        <v>9</v>
      </c>
      <c r="G807" s="61"/>
      <c r="H807" s="63"/>
      <c r="I807" s="64"/>
    </row>
    <row r="808" spans="2:9" x14ac:dyDescent="0.2">
      <c r="B808" s="65" t="str">
        <f t="shared" si="11"/>
        <v>2023-090-0</v>
      </c>
      <c r="C808" s="66">
        <v>2023</v>
      </c>
      <c r="D808" s="66" t="s">
        <v>97</v>
      </c>
      <c r="E808" s="66">
        <v>0</v>
      </c>
      <c r="F808" s="67" t="s">
        <v>211</v>
      </c>
      <c r="G808" s="66"/>
      <c r="H808" s="68"/>
      <c r="I808" s="69"/>
    </row>
    <row r="809" spans="2:9" x14ac:dyDescent="0.2">
      <c r="B809" s="54" t="str">
        <f t="shared" si="11"/>
        <v>2023-090-1</v>
      </c>
      <c r="C809" s="55">
        <v>2023</v>
      </c>
      <c r="D809" s="55" t="s">
        <v>97</v>
      </c>
      <c r="E809" s="55">
        <v>1</v>
      </c>
      <c r="F809" s="57" t="s">
        <v>564</v>
      </c>
      <c r="G809" s="55"/>
      <c r="H809" s="58"/>
      <c r="I809" s="59"/>
    </row>
    <row r="810" spans="2:9" x14ac:dyDescent="0.2">
      <c r="B810" s="54" t="str">
        <f t="shared" si="11"/>
        <v>2023-090-2</v>
      </c>
      <c r="C810" s="55">
        <v>2023</v>
      </c>
      <c r="D810" s="55" t="s">
        <v>97</v>
      </c>
      <c r="E810" s="55">
        <v>2</v>
      </c>
      <c r="F810" s="57" t="s">
        <v>889</v>
      </c>
      <c r="G810" s="55"/>
      <c r="H810" s="58"/>
      <c r="I810" s="59"/>
    </row>
    <row r="811" spans="2:9" ht="27" x14ac:dyDescent="0.2">
      <c r="B811" s="54" t="str">
        <f t="shared" si="11"/>
        <v>2023-090-3</v>
      </c>
      <c r="C811" s="55">
        <v>2023</v>
      </c>
      <c r="D811" s="55" t="s">
        <v>97</v>
      </c>
      <c r="E811" s="55">
        <v>3</v>
      </c>
      <c r="F811" s="57" t="s">
        <v>1212</v>
      </c>
      <c r="G811" s="55"/>
      <c r="H811" s="58"/>
      <c r="I811" s="59"/>
    </row>
    <row r="812" spans="2:9" x14ac:dyDescent="0.2">
      <c r="B812" s="54" t="str">
        <f t="shared" si="11"/>
        <v>2023-090-4</v>
      </c>
      <c r="C812" s="55">
        <v>2023</v>
      </c>
      <c r="D812" s="55" t="s">
        <v>97</v>
      </c>
      <c r="E812" s="55">
        <v>4</v>
      </c>
      <c r="F812" s="57" t="s">
        <v>1520</v>
      </c>
      <c r="G812" s="55" t="s">
        <v>2735</v>
      </c>
      <c r="H812" s="58"/>
      <c r="I812" s="59"/>
    </row>
    <row r="813" spans="2:9" x14ac:dyDescent="0.2">
      <c r="B813" s="60" t="str">
        <f t="shared" si="11"/>
        <v>2023-090-5</v>
      </c>
      <c r="C813" s="61">
        <v>2023</v>
      </c>
      <c r="D813" s="61" t="s">
        <v>97</v>
      </c>
      <c r="E813" s="61">
        <v>5</v>
      </c>
      <c r="F813" s="62" t="s">
        <v>1817</v>
      </c>
      <c r="G813" s="61"/>
      <c r="H813" s="63"/>
      <c r="I813" s="64"/>
    </row>
    <row r="814" spans="2:9" x14ac:dyDescent="0.2">
      <c r="B814" s="65" t="str">
        <f t="shared" si="11"/>
        <v>2023-091-0</v>
      </c>
      <c r="C814" s="66">
        <v>2023</v>
      </c>
      <c r="D814" s="66" t="s">
        <v>98</v>
      </c>
      <c r="E814" s="66">
        <v>0</v>
      </c>
      <c r="F814" s="67" t="s">
        <v>212</v>
      </c>
      <c r="G814" s="66"/>
      <c r="H814" s="68"/>
      <c r="I814" s="69"/>
    </row>
    <row r="815" spans="2:9" x14ac:dyDescent="0.2">
      <c r="B815" s="54" t="str">
        <f t="shared" si="11"/>
        <v>2023-091-1</v>
      </c>
      <c r="C815" s="55">
        <v>2023</v>
      </c>
      <c r="D815" s="55" t="s">
        <v>98</v>
      </c>
      <c r="E815" s="55">
        <v>1</v>
      </c>
      <c r="F815" s="57" t="s">
        <v>565</v>
      </c>
      <c r="G815" s="55"/>
      <c r="H815" s="58"/>
      <c r="I815" s="59"/>
    </row>
    <row r="816" spans="2:9" x14ac:dyDescent="0.2">
      <c r="B816" s="54" t="str">
        <f t="shared" si="11"/>
        <v>2023-091-2</v>
      </c>
      <c r="C816" s="55">
        <v>2023</v>
      </c>
      <c r="D816" s="55" t="s">
        <v>98</v>
      </c>
      <c r="E816" s="55">
        <v>2</v>
      </c>
      <c r="F816" s="57" t="s">
        <v>890</v>
      </c>
      <c r="G816" s="55"/>
      <c r="H816" s="58"/>
      <c r="I816" s="59"/>
    </row>
    <row r="817" spans="2:9" x14ac:dyDescent="0.2">
      <c r="B817" s="54" t="str">
        <f t="shared" si="11"/>
        <v>2023-091-3</v>
      </c>
      <c r="C817" s="55">
        <v>2023</v>
      </c>
      <c r="D817" s="55" t="s">
        <v>98</v>
      </c>
      <c r="E817" s="55">
        <v>3</v>
      </c>
      <c r="F817" s="57" t="s">
        <v>1213</v>
      </c>
      <c r="G817" s="55" t="s">
        <v>2735</v>
      </c>
      <c r="H817" s="58"/>
      <c r="I817" s="59"/>
    </row>
    <row r="818" spans="2:9" x14ac:dyDescent="0.2">
      <c r="B818" s="54" t="str">
        <f t="shared" si="11"/>
        <v>2023-091-4</v>
      </c>
      <c r="C818" s="55">
        <v>2023</v>
      </c>
      <c r="D818" s="55" t="s">
        <v>98</v>
      </c>
      <c r="E818" s="55">
        <v>4</v>
      </c>
      <c r="F818" s="57" t="s">
        <v>1521</v>
      </c>
      <c r="G818" s="55"/>
      <c r="H818" s="58"/>
      <c r="I818" s="59"/>
    </row>
    <row r="819" spans="2:9" x14ac:dyDescent="0.2">
      <c r="B819" s="60" t="str">
        <f t="shared" si="11"/>
        <v>2023-091-5</v>
      </c>
      <c r="C819" s="61">
        <v>2023</v>
      </c>
      <c r="D819" s="61" t="s">
        <v>98</v>
      </c>
      <c r="E819" s="61">
        <v>5</v>
      </c>
      <c r="F819" s="62" t="s">
        <v>1818</v>
      </c>
      <c r="G819" s="61"/>
      <c r="H819" s="63"/>
      <c r="I819" s="64"/>
    </row>
    <row r="820" spans="2:9" ht="27" x14ac:dyDescent="0.2">
      <c r="B820" s="65" t="str">
        <f t="shared" si="11"/>
        <v>2023-092-0</v>
      </c>
      <c r="C820" s="66">
        <v>2023</v>
      </c>
      <c r="D820" s="66" t="s">
        <v>99</v>
      </c>
      <c r="E820" s="66">
        <v>0</v>
      </c>
      <c r="F820" s="67" t="s">
        <v>213</v>
      </c>
      <c r="G820" s="66"/>
      <c r="H820" s="68"/>
      <c r="I820" s="69"/>
    </row>
    <row r="821" spans="2:9" x14ac:dyDescent="0.2">
      <c r="B821" s="54" t="str">
        <f t="shared" si="11"/>
        <v>2023-092-1</v>
      </c>
      <c r="C821" s="55">
        <v>2023</v>
      </c>
      <c r="D821" s="55" t="s">
        <v>99</v>
      </c>
      <c r="E821" s="55">
        <v>1</v>
      </c>
      <c r="F821" s="57" t="s">
        <v>552</v>
      </c>
      <c r="G821" s="55"/>
      <c r="H821" s="58"/>
      <c r="I821" s="59"/>
    </row>
    <row r="822" spans="2:9" x14ac:dyDescent="0.2">
      <c r="B822" s="54" t="str">
        <f t="shared" si="11"/>
        <v>2023-092-2</v>
      </c>
      <c r="C822" s="55">
        <v>2023</v>
      </c>
      <c r="D822" s="55" t="s">
        <v>99</v>
      </c>
      <c r="E822" s="55">
        <v>2</v>
      </c>
      <c r="F822" s="57" t="s">
        <v>891</v>
      </c>
      <c r="G822" s="55" t="s">
        <v>2735</v>
      </c>
      <c r="H822" s="58"/>
      <c r="I822" s="59"/>
    </row>
    <row r="823" spans="2:9" x14ac:dyDescent="0.2">
      <c r="B823" s="54" t="str">
        <f t="shared" si="11"/>
        <v>2023-092-3</v>
      </c>
      <c r="C823" s="55">
        <v>2023</v>
      </c>
      <c r="D823" s="55" t="s">
        <v>99</v>
      </c>
      <c r="E823" s="55">
        <v>3</v>
      </c>
      <c r="F823" s="57" t="s">
        <v>1214</v>
      </c>
      <c r="G823" s="55"/>
      <c r="H823" s="58"/>
      <c r="I823" s="59"/>
    </row>
    <row r="824" spans="2:9" x14ac:dyDescent="0.2">
      <c r="B824" s="54" t="str">
        <f t="shared" si="11"/>
        <v>2023-092-4</v>
      </c>
      <c r="C824" s="55">
        <v>2023</v>
      </c>
      <c r="D824" s="55" t="s">
        <v>99</v>
      </c>
      <c r="E824" s="55">
        <v>4</v>
      </c>
      <c r="F824" s="57" t="s">
        <v>879</v>
      </c>
      <c r="G824" s="55"/>
      <c r="H824" s="58"/>
      <c r="I824" s="59"/>
    </row>
    <row r="825" spans="2:9" x14ac:dyDescent="0.2">
      <c r="B825" s="60" t="str">
        <f t="shared" si="11"/>
        <v>2023-092-5</v>
      </c>
      <c r="C825" s="61">
        <v>2023</v>
      </c>
      <c r="D825" s="61" t="s">
        <v>99</v>
      </c>
      <c r="E825" s="61">
        <v>5</v>
      </c>
      <c r="F825" s="62" t="s">
        <v>1819</v>
      </c>
      <c r="G825" s="61"/>
      <c r="H825" s="63"/>
      <c r="I825" s="64"/>
    </row>
    <row r="826" spans="2:9" ht="108" x14ac:dyDescent="0.2">
      <c r="B826" s="65" t="str">
        <f t="shared" si="11"/>
        <v>2023-093-0</v>
      </c>
      <c r="C826" s="66">
        <v>2023</v>
      </c>
      <c r="D826" s="66" t="s">
        <v>100</v>
      </c>
      <c r="E826" s="66">
        <v>0</v>
      </c>
      <c r="F826" s="67" t="s">
        <v>3074</v>
      </c>
      <c r="G826" s="66"/>
      <c r="H826" s="68"/>
      <c r="I826" s="69"/>
    </row>
    <row r="827" spans="2:9" x14ac:dyDescent="0.2">
      <c r="B827" s="54" t="str">
        <f t="shared" si="11"/>
        <v>2023-093-1</v>
      </c>
      <c r="C827" s="55">
        <v>2023</v>
      </c>
      <c r="D827" s="55" t="s">
        <v>100</v>
      </c>
      <c r="E827" s="55">
        <v>1</v>
      </c>
      <c r="F827" s="57">
        <v>6</v>
      </c>
      <c r="G827" s="55"/>
      <c r="H827" s="58"/>
      <c r="I827" s="59"/>
    </row>
    <row r="828" spans="2:9" x14ac:dyDescent="0.2">
      <c r="B828" s="54" t="str">
        <f t="shared" si="11"/>
        <v>2023-093-2</v>
      </c>
      <c r="C828" s="55">
        <v>2023</v>
      </c>
      <c r="D828" s="55" t="s">
        <v>100</v>
      </c>
      <c r="E828" s="55">
        <v>2</v>
      </c>
      <c r="F828" s="57">
        <v>8</v>
      </c>
      <c r="G828" s="55"/>
      <c r="H828" s="58"/>
      <c r="I828" s="59"/>
    </row>
    <row r="829" spans="2:9" x14ac:dyDescent="0.2">
      <c r="B829" s="54" t="str">
        <f t="shared" si="11"/>
        <v>2023-093-3</v>
      </c>
      <c r="C829" s="55">
        <v>2023</v>
      </c>
      <c r="D829" s="55" t="s">
        <v>100</v>
      </c>
      <c r="E829" s="55">
        <v>3</v>
      </c>
      <c r="F829" s="57">
        <v>10</v>
      </c>
      <c r="G829" s="55" t="s">
        <v>2735</v>
      </c>
      <c r="H829" s="58"/>
      <c r="I829" s="59"/>
    </row>
    <row r="830" spans="2:9" x14ac:dyDescent="0.2">
      <c r="B830" s="54" t="str">
        <f t="shared" si="11"/>
        <v>2023-093-4</v>
      </c>
      <c r="C830" s="55">
        <v>2023</v>
      </c>
      <c r="D830" s="55" t="s">
        <v>100</v>
      </c>
      <c r="E830" s="55">
        <v>4</v>
      </c>
      <c r="F830" s="57">
        <v>13</v>
      </c>
      <c r="G830" s="55"/>
      <c r="H830" s="58"/>
      <c r="I830" s="59"/>
    </row>
    <row r="831" spans="2:9" x14ac:dyDescent="0.2">
      <c r="B831" s="60" t="str">
        <f t="shared" si="11"/>
        <v>2023-093-5</v>
      </c>
      <c r="C831" s="61">
        <v>2023</v>
      </c>
      <c r="D831" s="61" t="s">
        <v>100</v>
      </c>
      <c r="E831" s="61">
        <v>5</v>
      </c>
      <c r="F831" s="62">
        <v>15</v>
      </c>
      <c r="G831" s="61"/>
      <c r="H831" s="63"/>
      <c r="I831" s="64"/>
    </row>
    <row r="832" spans="2:9" ht="27" x14ac:dyDescent="0.2">
      <c r="B832" s="65" t="str">
        <f t="shared" si="11"/>
        <v>2023-094-0</v>
      </c>
      <c r="C832" s="66">
        <v>2023</v>
      </c>
      <c r="D832" s="66" t="s">
        <v>101</v>
      </c>
      <c r="E832" s="66">
        <v>0</v>
      </c>
      <c r="F832" s="67" t="s">
        <v>214</v>
      </c>
      <c r="G832" s="66"/>
      <c r="H832" s="68"/>
      <c r="I832" s="69"/>
    </row>
    <row r="833" spans="2:9" x14ac:dyDescent="0.2">
      <c r="B833" s="54" t="str">
        <f t="shared" si="11"/>
        <v>2023-094-1</v>
      </c>
      <c r="C833" s="55">
        <v>2023</v>
      </c>
      <c r="D833" s="55" t="s">
        <v>101</v>
      </c>
      <c r="E833" s="55">
        <v>1</v>
      </c>
      <c r="F833" s="57" t="s">
        <v>566</v>
      </c>
      <c r="G833" s="55" t="s">
        <v>2735</v>
      </c>
      <c r="H833" s="58"/>
      <c r="I833" s="59"/>
    </row>
    <row r="834" spans="2:9" x14ac:dyDescent="0.2">
      <c r="B834" s="54" t="str">
        <f t="shared" si="11"/>
        <v>2023-094-2</v>
      </c>
      <c r="C834" s="55">
        <v>2023</v>
      </c>
      <c r="D834" s="55" t="s">
        <v>101</v>
      </c>
      <c r="E834" s="55">
        <v>2</v>
      </c>
      <c r="F834" s="57" t="s">
        <v>892</v>
      </c>
      <c r="G834" s="55"/>
      <c r="H834" s="58"/>
      <c r="I834" s="59"/>
    </row>
    <row r="835" spans="2:9" x14ac:dyDescent="0.2">
      <c r="B835" s="54" t="str">
        <f t="shared" si="11"/>
        <v>2023-094-3</v>
      </c>
      <c r="C835" s="55">
        <v>2023</v>
      </c>
      <c r="D835" s="55" t="s">
        <v>101</v>
      </c>
      <c r="E835" s="55">
        <v>3</v>
      </c>
      <c r="F835" s="57" t="s">
        <v>1215</v>
      </c>
      <c r="G835" s="55"/>
      <c r="H835" s="58"/>
      <c r="I835" s="59"/>
    </row>
    <row r="836" spans="2:9" x14ac:dyDescent="0.2">
      <c r="B836" s="54" t="str">
        <f t="shared" si="11"/>
        <v>2023-094-4</v>
      </c>
      <c r="C836" s="55">
        <v>2023</v>
      </c>
      <c r="D836" s="55" t="s">
        <v>101</v>
      </c>
      <c r="E836" s="55">
        <v>4</v>
      </c>
      <c r="F836" s="57" t="s">
        <v>1522</v>
      </c>
      <c r="G836" s="55"/>
      <c r="H836" s="58"/>
      <c r="I836" s="59"/>
    </row>
    <row r="837" spans="2:9" x14ac:dyDescent="0.2">
      <c r="B837" s="60" t="str">
        <f t="shared" si="11"/>
        <v>2023-094-5</v>
      </c>
      <c r="C837" s="61">
        <v>2023</v>
      </c>
      <c r="D837" s="61" t="s">
        <v>101</v>
      </c>
      <c r="E837" s="61">
        <v>5</v>
      </c>
      <c r="F837" s="62" t="s">
        <v>1820</v>
      </c>
      <c r="G837" s="61"/>
      <c r="H837" s="63"/>
      <c r="I837" s="64"/>
    </row>
    <row r="838" spans="2:9" x14ac:dyDescent="0.2">
      <c r="B838" s="65" t="str">
        <f t="shared" si="11"/>
        <v>2023-095-0</v>
      </c>
      <c r="C838" s="66">
        <v>2023</v>
      </c>
      <c r="D838" s="66" t="s">
        <v>102</v>
      </c>
      <c r="E838" s="66">
        <v>0</v>
      </c>
      <c r="F838" s="67" t="s">
        <v>215</v>
      </c>
      <c r="G838" s="66"/>
      <c r="H838" s="68"/>
      <c r="I838" s="69"/>
    </row>
    <row r="839" spans="2:9" ht="27" x14ac:dyDescent="0.2">
      <c r="B839" s="54" t="str">
        <f t="shared" si="11"/>
        <v>2023-095-1</v>
      </c>
      <c r="C839" s="55">
        <v>2023</v>
      </c>
      <c r="D839" s="55" t="s">
        <v>102</v>
      </c>
      <c r="E839" s="55">
        <v>1</v>
      </c>
      <c r="F839" s="57" t="s">
        <v>567</v>
      </c>
      <c r="G839" s="55"/>
      <c r="H839" s="58"/>
      <c r="I839" s="59"/>
    </row>
    <row r="840" spans="2:9" ht="27" x14ac:dyDescent="0.2">
      <c r="B840" s="54" t="str">
        <f t="shared" si="11"/>
        <v>2023-095-2</v>
      </c>
      <c r="C840" s="55">
        <v>2023</v>
      </c>
      <c r="D840" s="55" t="s">
        <v>102</v>
      </c>
      <c r="E840" s="55">
        <v>2</v>
      </c>
      <c r="F840" s="57" t="s">
        <v>893</v>
      </c>
      <c r="G840" s="55"/>
      <c r="H840" s="58"/>
      <c r="I840" s="59"/>
    </row>
    <row r="841" spans="2:9" ht="27" x14ac:dyDescent="0.2">
      <c r="B841" s="54" t="str">
        <f t="shared" si="11"/>
        <v>2023-095-3</v>
      </c>
      <c r="C841" s="55">
        <v>2023</v>
      </c>
      <c r="D841" s="55" t="s">
        <v>102</v>
      </c>
      <c r="E841" s="55">
        <v>3</v>
      </c>
      <c r="F841" s="57" t="s">
        <v>1216</v>
      </c>
      <c r="G841" s="55" t="s">
        <v>2735</v>
      </c>
      <c r="H841" s="58"/>
      <c r="I841" s="59"/>
    </row>
    <row r="842" spans="2:9" x14ac:dyDescent="0.2">
      <c r="B842" s="54" t="str">
        <f t="shared" si="11"/>
        <v>2023-095-4</v>
      </c>
      <c r="C842" s="55">
        <v>2023</v>
      </c>
      <c r="D842" s="55" t="s">
        <v>102</v>
      </c>
      <c r="E842" s="55">
        <v>4</v>
      </c>
      <c r="F842" s="57" t="s">
        <v>1523</v>
      </c>
      <c r="G842" s="55"/>
      <c r="H842" s="58"/>
      <c r="I842" s="59"/>
    </row>
    <row r="843" spans="2:9" ht="27" x14ac:dyDescent="0.2">
      <c r="B843" s="60" t="str">
        <f t="shared" si="11"/>
        <v>2023-095-5</v>
      </c>
      <c r="C843" s="61">
        <v>2023</v>
      </c>
      <c r="D843" s="61" t="s">
        <v>102</v>
      </c>
      <c r="E843" s="61">
        <v>5</v>
      </c>
      <c r="F843" s="62" t="s">
        <v>1821</v>
      </c>
      <c r="G843" s="61"/>
      <c r="H843" s="63"/>
      <c r="I843" s="64"/>
    </row>
    <row r="844" spans="2:9" x14ac:dyDescent="0.2">
      <c r="B844" s="65" t="str">
        <f t="shared" si="11"/>
        <v>2023-096-0</v>
      </c>
      <c r="C844" s="66">
        <v>2023</v>
      </c>
      <c r="D844" s="66" t="s">
        <v>103</v>
      </c>
      <c r="E844" s="66">
        <v>0</v>
      </c>
      <c r="F844" s="67" t="s">
        <v>216</v>
      </c>
      <c r="G844" s="66"/>
      <c r="H844" s="68"/>
      <c r="I844" s="69"/>
    </row>
    <row r="845" spans="2:9" x14ac:dyDescent="0.2">
      <c r="B845" s="54" t="str">
        <f t="shared" si="11"/>
        <v>2023-096-1</v>
      </c>
      <c r="C845" s="55">
        <v>2023</v>
      </c>
      <c r="D845" s="55" t="s">
        <v>103</v>
      </c>
      <c r="E845" s="55">
        <v>1</v>
      </c>
      <c r="F845" s="57" t="s">
        <v>568</v>
      </c>
      <c r="G845" s="55"/>
      <c r="H845" s="58"/>
      <c r="I845" s="59"/>
    </row>
    <row r="846" spans="2:9" x14ac:dyDescent="0.2">
      <c r="B846" s="54" t="str">
        <f t="shared" si="11"/>
        <v>2023-096-2</v>
      </c>
      <c r="C846" s="55">
        <v>2023</v>
      </c>
      <c r="D846" s="55" t="s">
        <v>103</v>
      </c>
      <c r="E846" s="55">
        <v>2</v>
      </c>
      <c r="F846" s="57" t="s">
        <v>894</v>
      </c>
      <c r="G846" s="55"/>
      <c r="H846" s="58"/>
      <c r="I846" s="59"/>
    </row>
    <row r="847" spans="2:9" x14ac:dyDescent="0.2">
      <c r="B847" s="54" t="str">
        <f t="shared" si="11"/>
        <v>2023-096-3</v>
      </c>
      <c r="C847" s="55">
        <v>2023</v>
      </c>
      <c r="D847" s="55" t="s">
        <v>103</v>
      </c>
      <c r="E847" s="55">
        <v>3</v>
      </c>
      <c r="F847" s="57" t="s">
        <v>1217</v>
      </c>
      <c r="G847" s="55"/>
      <c r="H847" s="58"/>
      <c r="I847" s="59"/>
    </row>
    <row r="848" spans="2:9" x14ac:dyDescent="0.2">
      <c r="B848" s="54" t="str">
        <f t="shared" si="11"/>
        <v>2023-096-4</v>
      </c>
      <c r="C848" s="55">
        <v>2023</v>
      </c>
      <c r="D848" s="55" t="s">
        <v>103</v>
      </c>
      <c r="E848" s="55">
        <v>4</v>
      </c>
      <c r="F848" s="57" t="s">
        <v>1524</v>
      </c>
      <c r="G848" s="55" t="s">
        <v>2735</v>
      </c>
      <c r="H848" s="58"/>
      <c r="I848" s="59"/>
    </row>
    <row r="849" spans="2:9" x14ac:dyDescent="0.2">
      <c r="B849" s="60" t="str">
        <f t="shared" si="11"/>
        <v>2023-096-5</v>
      </c>
      <c r="C849" s="61">
        <v>2023</v>
      </c>
      <c r="D849" s="61" t="s">
        <v>103</v>
      </c>
      <c r="E849" s="61">
        <v>5</v>
      </c>
      <c r="F849" s="62" t="s">
        <v>1822</v>
      </c>
      <c r="G849" s="61"/>
      <c r="H849" s="63"/>
      <c r="I849" s="64"/>
    </row>
    <row r="850" spans="2:9" x14ac:dyDescent="0.2">
      <c r="B850" s="65" t="str">
        <f t="shared" si="11"/>
        <v>2023-097-0</v>
      </c>
      <c r="C850" s="66">
        <v>2023</v>
      </c>
      <c r="D850" s="66" t="s">
        <v>104</v>
      </c>
      <c r="E850" s="66">
        <v>0</v>
      </c>
      <c r="F850" s="67" t="s">
        <v>217</v>
      </c>
      <c r="G850" s="66"/>
      <c r="H850" s="68"/>
      <c r="I850" s="69"/>
    </row>
    <row r="851" spans="2:9" x14ac:dyDescent="0.2">
      <c r="B851" s="54" t="str">
        <f t="shared" si="11"/>
        <v>2023-097-1</v>
      </c>
      <c r="C851" s="55">
        <v>2023</v>
      </c>
      <c r="D851" s="55" t="s">
        <v>104</v>
      </c>
      <c r="E851" s="55">
        <v>1</v>
      </c>
      <c r="F851" s="57" t="s">
        <v>569</v>
      </c>
      <c r="G851" s="55"/>
      <c r="H851" s="58"/>
      <c r="I851" s="59"/>
    </row>
    <row r="852" spans="2:9" x14ac:dyDescent="0.2">
      <c r="B852" s="54" t="str">
        <f t="shared" si="11"/>
        <v>2023-097-2</v>
      </c>
      <c r="C852" s="55">
        <v>2023</v>
      </c>
      <c r="D852" s="55" t="s">
        <v>104</v>
      </c>
      <c r="E852" s="55">
        <v>2</v>
      </c>
      <c r="F852" s="57" t="s">
        <v>895</v>
      </c>
      <c r="G852" s="55"/>
      <c r="H852" s="58"/>
      <c r="I852" s="59"/>
    </row>
    <row r="853" spans="2:9" x14ac:dyDescent="0.2">
      <c r="B853" s="54" t="str">
        <f t="shared" si="11"/>
        <v>2023-097-3</v>
      </c>
      <c r="C853" s="55">
        <v>2023</v>
      </c>
      <c r="D853" s="55" t="s">
        <v>104</v>
      </c>
      <c r="E853" s="55">
        <v>3</v>
      </c>
      <c r="F853" s="57" t="s">
        <v>1218</v>
      </c>
      <c r="G853" s="55" t="s">
        <v>2735</v>
      </c>
      <c r="H853" s="58"/>
      <c r="I853" s="59"/>
    </row>
    <row r="854" spans="2:9" x14ac:dyDescent="0.2">
      <c r="B854" s="54" t="str">
        <f t="shared" si="11"/>
        <v>2023-097-4</v>
      </c>
      <c r="C854" s="55">
        <v>2023</v>
      </c>
      <c r="D854" s="55" t="s">
        <v>104</v>
      </c>
      <c r="E854" s="55">
        <v>4</v>
      </c>
      <c r="F854" s="57" t="s">
        <v>1525</v>
      </c>
      <c r="G854" s="55"/>
      <c r="H854" s="58"/>
      <c r="I854" s="59"/>
    </row>
    <row r="855" spans="2:9" x14ac:dyDescent="0.2">
      <c r="B855" s="60" t="str">
        <f t="shared" si="11"/>
        <v>2023-097-5</v>
      </c>
      <c r="C855" s="61">
        <v>2023</v>
      </c>
      <c r="D855" s="61" t="s">
        <v>104</v>
      </c>
      <c r="E855" s="61">
        <v>5</v>
      </c>
      <c r="F855" s="62" t="s">
        <v>1823</v>
      </c>
      <c r="G855" s="61"/>
      <c r="H855" s="63"/>
      <c r="I855" s="64"/>
    </row>
    <row r="856" spans="2:9" ht="27" x14ac:dyDescent="0.2">
      <c r="B856" s="65" t="str">
        <f t="shared" si="11"/>
        <v>2023-098-0</v>
      </c>
      <c r="C856" s="66">
        <v>2023</v>
      </c>
      <c r="D856" s="66" t="s">
        <v>105</v>
      </c>
      <c r="E856" s="66">
        <v>0</v>
      </c>
      <c r="F856" s="67" t="s">
        <v>218</v>
      </c>
      <c r="G856" s="66"/>
      <c r="H856" s="68"/>
      <c r="I856" s="69"/>
    </row>
    <row r="857" spans="2:9" ht="27" x14ac:dyDescent="0.2">
      <c r="B857" s="54" t="str">
        <f t="shared" si="11"/>
        <v>2023-098-1</v>
      </c>
      <c r="C857" s="55">
        <v>2023</v>
      </c>
      <c r="D857" s="55" t="s">
        <v>105</v>
      </c>
      <c r="E857" s="55">
        <v>1</v>
      </c>
      <c r="F857" s="57" t="s">
        <v>570</v>
      </c>
      <c r="G857" s="55"/>
      <c r="H857" s="58"/>
      <c r="I857" s="59"/>
    </row>
    <row r="858" spans="2:9" x14ac:dyDescent="0.2">
      <c r="B858" s="54" t="str">
        <f t="shared" si="11"/>
        <v>2023-098-2</v>
      </c>
      <c r="C858" s="55">
        <v>2023</v>
      </c>
      <c r="D858" s="55" t="s">
        <v>105</v>
      </c>
      <c r="E858" s="55">
        <v>2</v>
      </c>
      <c r="F858" s="57" t="s">
        <v>896</v>
      </c>
      <c r="G858" s="55"/>
      <c r="H858" s="58"/>
      <c r="I858" s="59"/>
    </row>
    <row r="859" spans="2:9" x14ac:dyDescent="0.2">
      <c r="B859" s="54" t="str">
        <f t="shared" si="11"/>
        <v>2023-098-3</v>
      </c>
      <c r="C859" s="55">
        <v>2023</v>
      </c>
      <c r="D859" s="55" t="s">
        <v>105</v>
      </c>
      <c r="E859" s="55">
        <v>3</v>
      </c>
      <c r="F859" s="57" t="s">
        <v>1219</v>
      </c>
      <c r="G859" s="55"/>
      <c r="H859" s="58"/>
      <c r="I859" s="59"/>
    </row>
    <row r="860" spans="2:9" ht="27" x14ac:dyDescent="0.2">
      <c r="B860" s="54" t="str">
        <f t="shared" si="11"/>
        <v>2023-098-4</v>
      </c>
      <c r="C860" s="55">
        <v>2023</v>
      </c>
      <c r="D860" s="55" t="s">
        <v>105</v>
      </c>
      <c r="E860" s="55">
        <v>4</v>
      </c>
      <c r="F860" s="57" t="s">
        <v>1526</v>
      </c>
      <c r="G860" s="55"/>
      <c r="H860" s="58"/>
      <c r="I860" s="59"/>
    </row>
    <row r="861" spans="2:9" ht="27" x14ac:dyDescent="0.2">
      <c r="B861" s="60" t="str">
        <f t="shared" si="11"/>
        <v>2023-098-5</v>
      </c>
      <c r="C861" s="61">
        <v>2023</v>
      </c>
      <c r="D861" s="61" t="s">
        <v>105</v>
      </c>
      <c r="E861" s="61">
        <v>5</v>
      </c>
      <c r="F861" s="62" t="s">
        <v>1824</v>
      </c>
      <c r="G861" s="61" t="s">
        <v>2735</v>
      </c>
      <c r="H861" s="63"/>
      <c r="I861" s="64"/>
    </row>
    <row r="862" spans="2:9" ht="27" x14ac:dyDescent="0.2">
      <c r="B862" s="65" t="str">
        <f t="shared" si="11"/>
        <v>2023-099-0</v>
      </c>
      <c r="C862" s="66">
        <v>2023</v>
      </c>
      <c r="D862" s="66" t="s">
        <v>106</v>
      </c>
      <c r="E862" s="66">
        <v>0</v>
      </c>
      <c r="F862" s="67" t="s">
        <v>219</v>
      </c>
      <c r="G862" s="66"/>
      <c r="H862" s="68"/>
      <c r="I862" s="69"/>
    </row>
    <row r="863" spans="2:9" x14ac:dyDescent="0.2">
      <c r="B863" s="54" t="str">
        <f t="shared" si="11"/>
        <v>2023-099-1</v>
      </c>
      <c r="C863" s="55">
        <v>2023</v>
      </c>
      <c r="D863" s="55" t="s">
        <v>106</v>
      </c>
      <c r="E863" s="55">
        <v>1</v>
      </c>
      <c r="F863" s="57" t="s">
        <v>571</v>
      </c>
      <c r="G863" s="55"/>
      <c r="H863" s="58"/>
      <c r="I863" s="59"/>
    </row>
    <row r="864" spans="2:9" x14ac:dyDescent="0.2">
      <c r="B864" s="54" t="str">
        <f t="shared" si="11"/>
        <v>2023-099-2</v>
      </c>
      <c r="C864" s="55">
        <v>2023</v>
      </c>
      <c r="D864" s="55" t="s">
        <v>106</v>
      </c>
      <c r="E864" s="55">
        <v>2</v>
      </c>
      <c r="F864" s="57" t="s">
        <v>897</v>
      </c>
      <c r="G864" s="55" t="s">
        <v>2735</v>
      </c>
      <c r="H864" s="58"/>
      <c r="I864" s="59"/>
    </row>
    <row r="865" spans="2:9" x14ac:dyDescent="0.2">
      <c r="B865" s="54" t="str">
        <f t="shared" si="11"/>
        <v>2023-099-3</v>
      </c>
      <c r="C865" s="55">
        <v>2023</v>
      </c>
      <c r="D865" s="55" t="s">
        <v>106</v>
      </c>
      <c r="E865" s="55">
        <v>3</v>
      </c>
      <c r="F865" s="57" t="s">
        <v>1220</v>
      </c>
      <c r="G865" s="55"/>
      <c r="H865" s="58"/>
      <c r="I865" s="59"/>
    </row>
    <row r="866" spans="2:9" x14ac:dyDescent="0.2">
      <c r="B866" s="54" t="str">
        <f t="shared" si="11"/>
        <v>2023-099-4</v>
      </c>
      <c r="C866" s="55">
        <v>2023</v>
      </c>
      <c r="D866" s="55" t="s">
        <v>106</v>
      </c>
      <c r="E866" s="55">
        <v>4</v>
      </c>
      <c r="F866" s="57" t="s">
        <v>1527</v>
      </c>
      <c r="G866" s="55"/>
      <c r="H866" s="58"/>
      <c r="I866" s="59"/>
    </row>
    <row r="867" spans="2:9" x14ac:dyDescent="0.2">
      <c r="B867" s="60" t="str">
        <f t="shared" si="11"/>
        <v>2023-099-5</v>
      </c>
      <c r="C867" s="61">
        <v>2023</v>
      </c>
      <c r="D867" s="61" t="s">
        <v>106</v>
      </c>
      <c r="E867" s="61">
        <v>5</v>
      </c>
      <c r="F867" s="62" t="s">
        <v>1825</v>
      </c>
      <c r="G867" s="61"/>
      <c r="H867" s="63"/>
      <c r="I867" s="64"/>
    </row>
    <row r="868" spans="2:9" ht="108" x14ac:dyDescent="0.2">
      <c r="B868" s="65" t="str">
        <f t="shared" si="11"/>
        <v>2023-100-0</v>
      </c>
      <c r="C868" s="66">
        <v>2023</v>
      </c>
      <c r="D868" s="66" t="s">
        <v>107</v>
      </c>
      <c r="E868" s="66">
        <v>0</v>
      </c>
      <c r="F868" s="67" t="s">
        <v>220</v>
      </c>
      <c r="G868" s="66"/>
      <c r="H868" s="68"/>
      <c r="I868" s="69"/>
    </row>
    <row r="869" spans="2:9" x14ac:dyDescent="0.2">
      <c r="B869" s="54" t="str">
        <f t="shared" ref="B869:B873" si="12">C869&amp;"-"&amp;D869&amp;"-"&amp;E869</f>
        <v>2023-100-1</v>
      </c>
      <c r="C869" s="55">
        <v>2023</v>
      </c>
      <c r="D869" s="55" t="s">
        <v>107</v>
      </c>
      <c r="E869" s="55">
        <v>1</v>
      </c>
      <c r="F869" s="57" t="s">
        <v>572</v>
      </c>
      <c r="G869" s="55"/>
      <c r="H869" s="58"/>
      <c r="I869" s="59"/>
    </row>
    <row r="870" spans="2:9" x14ac:dyDescent="0.2">
      <c r="B870" s="54" t="str">
        <f t="shared" si="12"/>
        <v>2023-100-2</v>
      </c>
      <c r="C870" s="55">
        <v>2023</v>
      </c>
      <c r="D870" s="55" t="s">
        <v>107</v>
      </c>
      <c r="E870" s="55">
        <v>2</v>
      </c>
      <c r="F870" s="57" t="s">
        <v>898</v>
      </c>
      <c r="G870" s="55"/>
      <c r="H870" s="58"/>
      <c r="I870" s="59"/>
    </row>
    <row r="871" spans="2:9" x14ac:dyDescent="0.2">
      <c r="B871" s="54" t="str">
        <f t="shared" si="12"/>
        <v>2023-100-3</v>
      </c>
      <c r="C871" s="55">
        <v>2023</v>
      </c>
      <c r="D871" s="55" t="s">
        <v>107</v>
      </c>
      <c r="E871" s="55">
        <v>3</v>
      </c>
      <c r="F871" s="57" t="s">
        <v>1221</v>
      </c>
      <c r="G871" s="55" t="s">
        <v>2735</v>
      </c>
      <c r="H871" s="58"/>
      <c r="I871" s="59"/>
    </row>
    <row r="872" spans="2:9" x14ac:dyDescent="0.2">
      <c r="B872" s="54" t="str">
        <f t="shared" si="12"/>
        <v>2023-100-4</v>
      </c>
      <c r="C872" s="55">
        <v>2023</v>
      </c>
      <c r="D872" s="55" t="s">
        <v>107</v>
      </c>
      <c r="E872" s="55">
        <v>4</v>
      </c>
      <c r="F872" s="57" t="s">
        <v>1528</v>
      </c>
      <c r="G872" s="55"/>
      <c r="H872" s="58"/>
      <c r="I872" s="59"/>
    </row>
    <row r="873" spans="2:9" ht="14.25" thickBot="1" x14ac:dyDescent="0.25">
      <c r="B873" s="70" t="str">
        <f t="shared" si="12"/>
        <v>2023-100-5</v>
      </c>
      <c r="C873" s="71">
        <v>2023</v>
      </c>
      <c r="D873" s="71" t="s">
        <v>107</v>
      </c>
      <c r="E873" s="71">
        <v>5</v>
      </c>
      <c r="F873" s="72" t="s">
        <v>1826</v>
      </c>
      <c r="G873" s="71"/>
      <c r="H873" s="73"/>
      <c r="I873" s="74"/>
    </row>
    <row r="874" spans="2:9" x14ac:dyDescent="0.2">
      <c r="B874" s="48" t="str">
        <f t="shared" ref="B874:B906" si="13">C874&amp;"-"&amp;D874&amp;"-"&amp;E874</f>
        <v>2022-076-0</v>
      </c>
      <c r="C874" s="49">
        <v>2022</v>
      </c>
      <c r="D874" s="49" t="s">
        <v>78</v>
      </c>
      <c r="E874" s="49">
        <v>0</v>
      </c>
      <c r="F874" s="51" t="s">
        <v>221</v>
      </c>
      <c r="G874" s="49"/>
      <c r="H874" s="52"/>
      <c r="I874" s="53"/>
    </row>
    <row r="875" spans="2:9" x14ac:dyDescent="0.2">
      <c r="B875" s="54" t="str">
        <f t="shared" si="13"/>
        <v>2022-076-1</v>
      </c>
      <c r="C875" s="55">
        <v>2022</v>
      </c>
      <c r="D875" s="55" t="s">
        <v>78</v>
      </c>
      <c r="E875" s="55">
        <v>1</v>
      </c>
      <c r="F875" s="57" t="s">
        <v>573</v>
      </c>
      <c r="G875" s="55"/>
      <c r="H875" s="58"/>
      <c r="I875" s="59"/>
    </row>
    <row r="876" spans="2:9" x14ac:dyDescent="0.2">
      <c r="B876" s="54" t="str">
        <f t="shared" si="13"/>
        <v>2022-076-2</v>
      </c>
      <c r="C876" s="55">
        <v>2022</v>
      </c>
      <c r="D876" s="55" t="s">
        <v>78</v>
      </c>
      <c r="E876" s="55">
        <v>2</v>
      </c>
      <c r="F876" s="57" t="s">
        <v>899</v>
      </c>
      <c r="G876" s="55"/>
      <c r="H876" s="58"/>
      <c r="I876" s="59"/>
    </row>
    <row r="877" spans="2:9" x14ac:dyDescent="0.2">
      <c r="B877" s="54" t="str">
        <f t="shared" si="13"/>
        <v>2022-076-3</v>
      </c>
      <c r="C877" s="55">
        <v>2022</v>
      </c>
      <c r="D877" s="55" t="s">
        <v>78</v>
      </c>
      <c r="E877" s="55">
        <v>3</v>
      </c>
      <c r="F877" s="57" t="s">
        <v>1222</v>
      </c>
      <c r="G877" s="55"/>
      <c r="H877" s="58"/>
      <c r="I877" s="59"/>
    </row>
    <row r="878" spans="2:9" x14ac:dyDescent="0.2">
      <c r="B878" s="54" t="str">
        <f t="shared" si="13"/>
        <v>2022-076-4</v>
      </c>
      <c r="C878" s="55">
        <v>2022</v>
      </c>
      <c r="D878" s="55" t="s">
        <v>78</v>
      </c>
      <c r="E878" s="55">
        <v>4</v>
      </c>
      <c r="F878" s="57" t="s">
        <v>1529</v>
      </c>
      <c r="G878" s="55" t="s">
        <v>2735</v>
      </c>
      <c r="H878" s="58"/>
      <c r="I878" s="59"/>
    </row>
    <row r="879" spans="2:9" x14ac:dyDescent="0.2">
      <c r="B879" s="60" t="str">
        <f t="shared" si="13"/>
        <v>2022-076-5</v>
      </c>
      <c r="C879" s="61">
        <v>2022</v>
      </c>
      <c r="D879" s="61" t="s">
        <v>78</v>
      </c>
      <c r="E879" s="61">
        <v>5</v>
      </c>
      <c r="F879" s="62" t="s">
        <v>741</v>
      </c>
      <c r="G879" s="61"/>
      <c r="H879" s="63"/>
      <c r="I879" s="64"/>
    </row>
    <row r="880" spans="2:9" x14ac:dyDescent="0.2">
      <c r="B880" s="65" t="str">
        <f t="shared" si="13"/>
        <v>2022-077-0</v>
      </c>
      <c r="C880" s="66">
        <v>2022</v>
      </c>
      <c r="D880" s="66" t="s">
        <v>79</v>
      </c>
      <c r="E880" s="66">
        <v>0</v>
      </c>
      <c r="F880" s="67" t="s">
        <v>222</v>
      </c>
      <c r="G880" s="66"/>
      <c r="H880" s="68"/>
      <c r="I880" s="69"/>
    </row>
    <row r="881" spans="2:9" x14ac:dyDescent="0.2">
      <c r="B881" s="54" t="str">
        <f t="shared" si="13"/>
        <v>2022-077-1</v>
      </c>
      <c r="C881" s="55">
        <v>2022</v>
      </c>
      <c r="D881" s="55" t="s">
        <v>79</v>
      </c>
      <c r="E881" s="55">
        <v>1</v>
      </c>
      <c r="F881" s="57" t="s">
        <v>574</v>
      </c>
      <c r="G881" s="55"/>
      <c r="H881" s="58"/>
      <c r="I881" s="59"/>
    </row>
    <row r="882" spans="2:9" x14ac:dyDescent="0.2">
      <c r="B882" s="54" t="str">
        <f t="shared" si="13"/>
        <v>2022-077-2</v>
      </c>
      <c r="C882" s="55">
        <v>2022</v>
      </c>
      <c r="D882" s="55" t="s">
        <v>79</v>
      </c>
      <c r="E882" s="55">
        <v>2</v>
      </c>
      <c r="F882" s="57" t="s">
        <v>900</v>
      </c>
      <c r="G882" s="55"/>
      <c r="H882" s="58"/>
      <c r="I882" s="59"/>
    </row>
    <row r="883" spans="2:9" ht="27" x14ac:dyDescent="0.2">
      <c r="B883" s="54" t="str">
        <f t="shared" si="13"/>
        <v>2022-077-3</v>
      </c>
      <c r="C883" s="55">
        <v>2022</v>
      </c>
      <c r="D883" s="55" t="s">
        <v>79</v>
      </c>
      <c r="E883" s="55">
        <v>3</v>
      </c>
      <c r="F883" s="57" t="s">
        <v>1223</v>
      </c>
      <c r="G883" s="55" t="s">
        <v>2735</v>
      </c>
      <c r="H883" s="58"/>
      <c r="I883" s="59"/>
    </row>
    <row r="884" spans="2:9" x14ac:dyDescent="0.2">
      <c r="B884" s="54" t="str">
        <f t="shared" si="13"/>
        <v>2022-077-4</v>
      </c>
      <c r="C884" s="55">
        <v>2022</v>
      </c>
      <c r="D884" s="55" t="s">
        <v>79</v>
      </c>
      <c r="E884" s="55">
        <v>4</v>
      </c>
      <c r="F884" s="57" t="s">
        <v>1530</v>
      </c>
      <c r="G884" s="55"/>
      <c r="H884" s="58"/>
      <c r="I884" s="59"/>
    </row>
    <row r="885" spans="2:9" x14ac:dyDescent="0.2">
      <c r="B885" s="60" t="str">
        <f t="shared" si="13"/>
        <v>2022-077-5</v>
      </c>
      <c r="C885" s="61">
        <v>2022</v>
      </c>
      <c r="D885" s="61" t="s">
        <v>79</v>
      </c>
      <c r="E885" s="61">
        <v>5</v>
      </c>
      <c r="F885" s="62" t="s">
        <v>958</v>
      </c>
      <c r="G885" s="61"/>
      <c r="H885" s="63"/>
      <c r="I885" s="64"/>
    </row>
    <row r="886" spans="2:9" ht="54" x14ac:dyDescent="0.2">
      <c r="B886" s="65" t="str">
        <f t="shared" si="13"/>
        <v>2022-078-0</v>
      </c>
      <c r="C886" s="66">
        <v>2022</v>
      </c>
      <c r="D886" s="66" t="s">
        <v>80</v>
      </c>
      <c r="E886" s="66">
        <v>0</v>
      </c>
      <c r="F886" s="67" t="s">
        <v>223</v>
      </c>
      <c r="G886" s="66"/>
      <c r="H886" s="68"/>
      <c r="I886" s="69"/>
    </row>
    <row r="887" spans="2:9" x14ac:dyDescent="0.2">
      <c r="B887" s="54" t="str">
        <f t="shared" si="13"/>
        <v>2022-078-1</v>
      </c>
      <c r="C887" s="55">
        <v>2022</v>
      </c>
      <c r="D887" s="55" t="s">
        <v>80</v>
      </c>
      <c r="E887" s="55">
        <v>1</v>
      </c>
      <c r="F887" s="57" t="s">
        <v>575</v>
      </c>
      <c r="G887" s="55" t="s">
        <v>2735</v>
      </c>
      <c r="H887" s="58"/>
      <c r="I887" s="59"/>
    </row>
    <row r="888" spans="2:9" x14ac:dyDescent="0.2">
      <c r="B888" s="54" t="str">
        <f t="shared" si="13"/>
        <v>2022-078-2</v>
      </c>
      <c r="C888" s="55">
        <v>2022</v>
      </c>
      <c r="D888" s="55" t="s">
        <v>80</v>
      </c>
      <c r="E888" s="55">
        <v>2</v>
      </c>
      <c r="F888" s="57" t="s">
        <v>901</v>
      </c>
      <c r="G888" s="55"/>
      <c r="H888" s="58"/>
      <c r="I888" s="59"/>
    </row>
    <row r="889" spans="2:9" x14ac:dyDescent="0.2">
      <c r="B889" s="54" t="str">
        <f t="shared" si="13"/>
        <v>2022-078-3</v>
      </c>
      <c r="C889" s="55">
        <v>2022</v>
      </c>
      <c r="D889" s="55" t="s">
        <v>80</v>
      </c>
      <c r="E889" s="55">
        <v>3</v>
      </c>
      <c r="F889" s="57" t="s">
        <v>1224</v>
      </c>
      <c r="G889" s="55"/>
      <c r="H889" s="58"/>
      <c r="I889" s="59"/>
    </row>
    <row r="890" spans="2:9" x14ac:dyDescent="0.2">
      <c r="B890" s="54" t="str">
        <f t="shared" si="13"/>
        <v>2022-078-4</v>
      </c>
      <c r="C890" s="55">
        <v>2022</v>
      </c>
      <c r="D890" s="55" t="s">
        <v>80</v>
      </c>
      <c r="E890" s="55">
        <v>4</v>
      </c>
      <c r="F890" s="57" t="s">
        <v>1531</v>
      </c>
      <c r="G890" s="55"/>
      <c r="H890" s="58"/>
      <c r="I890" s="59"/>
    </row>
    <row r="891" spans="2:9" x14ac:dyDescent="0.2">
      <c r="B891" s="60" t="str">
        <f t="shared" si="13"/>
        <v>2022-078-5</v>
      </c>
      <c r="C891" s="61">
        <v>2022</v>
      </c>
      <c r="D891" s="61" t="s">
        <v>80</v>
      </c>
      <c r="E891" s="61">
        <v>5</v>
      </c>
      <c r="F891" s="62" t="s">
        <v>1827</v>
      </c>
      <c r="G891" s="61"/>
      <c r="H891" s="63"/>
      <c r="I891" s="64"/>
    </row>
    <row r="892" spans="2:9" x14ac:dyDescent="0.2">
      <c r="B892" s="65" t="str">
        <f t="shared" si="13"/>
        <v>2022-079-0</v>
      </c>
      <c r="C892" s="66">
        <v>2022</v>
      </c>
      <c r="D892" s="66" t="s">
        <v>81</v>
      </c>
      <c r="E892" s="66">
        <v>0</v>
      </c>
      <c r="F892" s="67" t="s">
        <v>221</v>
      </c>
      <c r="G892" s="66"/>
      <c r="H892" s="68"/>
      <c r="I892" s="69"/>
    </row>
    <row r="893" spans="2:9" x14ac:dyDescent="0.2">
      <c r="B893" s="54" t="str">
        <f t="shared" si="13"/>
        <v>2022-079-1</v>
      </c>
      <c r="C893" s="55">
        <v>2022</v>
      </c>
      <c r="D893" s="55" t="s">
        <v>81</v>
      </c>
      <c r="E893" s="55">
        <v>1</v>
      </c>
      <c r="F893" s="57" t="s">
        <v>576</v>
      </c>
      <c r="G893" s="55"/>
      <c r="H893" s="58"/>
      <c r="I893" s="59"/>
    </row>
    <row r="894" spans="2:9" x14ac:dyDescent="0.2">
      <c r="B894" s="54" t="str">
        <f t="shared" si="13"/>
        <v>2022-079-2</v>
      </c>
      <c r="C894" s="55">
        <v>2022</v>
      </c>
      <c r="D894" s="55" t="s">
        <v>81</v>
      </c>
      <c r="E894" s="55">
        <v>2</v>
      </c>
      <c r="F894" s="57" t="s">
        <v>902</v>
      </c>
      <c r="G894" s="55"/>
      <c r="H894" s="58"/>
      <c r="I894" s="59"/>
    </row>
    <row r="895" spans="2:9" x14ac:dyDescent="0.2">
      <c r="B895" s="54" t="str">
        <f t="shared" si="13"/>
        <v>2022-079-3</v>
      </c>
      <c r="C895" s="55">
        <v>2022</v>
      </c>
      <c r="D895" s="55" t="s">
        <v>81</v>
      </c>
      <c r="E895" s="55">
        <v>3</v>
      </c>
      <c r="F895" s="57" t="s">
        <v>1225</v>
      </c>
      <c r="G895" s="55"/>
      <c r="H895" s="58"/>
      <c r="I895" s="59"/>
    </row>
    <row r="896" spans="2:9" x14ac:dyDescent="0.2">
      <c r="B896" s="54" t="str">
        <f t="shared" si="13"/>
        <v>2022-079-4</v>
      </c>
      <c r="C896" s="55">
        <v>2022</v>
      </c>
      <c r="D896" s="55" t="s">
        <v>81</v>
      </c>
      <c r="E896" s="55">
        <v>4</v>
      </c>
      <c r="F896" s="57" t="s">
        <v>1532</v>
      </c>
      <c r="G896" s="55" t="s">
        <v>2735</v>
      </c>
      <c r="H896" s="58"/>
      <c r="I896" s="59"/>
    </row>
    <row r="897" spans="2:9" x14ac:dyDescent="0.2">
      <c r="B897" s="60" t="str">
        <f t="shared" si="13"/>
        <v>2022-079-5</v>
      </c>
      <c r="C897" s="61">
        <v>2022</v>
      </c>
      <c r="D897" s="61" t="s">
        <v>81</v>
      </c>
      <c r="E897" s="61">
        <v>5</v>
      </c>
      <c r="F897" s="62" t="s">
        <v>1828</v>
      </c>
      <c r="G897" s="61"/>
      <c r="H897" s="63"/>
      <c r="I897" s="64"/>
    </row>
    <row r="898" spans="2:9" x14ac:dyDescent="0.2">
      <c r="B898" s="65" t="str">
        <f t="shared" si="13"/>
        <v>2022-080-0</v>
      </c>
      <c r="C898" s="66">
        <v>2022</v>
      </c>
      <c r="D898" s="66" t="s">
        <v>82</v>
      </c>
      <c r="E898" s="66">
        <v>0</v>
      </c>
      <c r="F898" s="67" t="s">
        <v>224</v>
      </c>
      <c r="G898" s="66"/>
      <c r="H898" s="68"/>
      <c r="I898" s="69"/>
    </row>
    <row r="899" spans="2:9" ht="27" x14ac:dyDescent="0.2">
      <c r="B899" s="54" t="str">
        <f t="shared" si="13"/>
        <v>2022-080-1</v>
      </c>
      <c r="C899" s="55">
        <v>2022</v>
      </c>
      <c r="D899" s="55" t="s">
        <v>82</v>
      </c>
      <c r="E899" s="55">
        <v>1</v>
      </c>
      <c r="F899" s="57" t="s">
        <v>577</v>
      </c>
      <c r="G899" s="55" t="s">
        <v>2735</v>
      </c>
      <c r="H899" s="58"/>
      <c r="I899" s="59"/>
    </row>
    <row r="900" spans="2:9" x14ac:dyDescent="0.2">
      <c r="B900" s="54" t="str">
        <f t="shared" si="13"/>
        <v>2022-080-2</v>
      </c>
      <c r="C900" s="55">
        <v>2022</v>
      </c>
      <c r="D900" s="55" t="s">
        <v>82</v>
      </c>
      <c r="E900" s="55">
        <v>2</v>
      </c>
      <c r="F900" s="57" t="s">
        <v>903</v>
      </c>
      <c r="G900" s="55"/>
      <c r="H900" s="58"/>
      <c r="I900" s="59"/>
    </row>
    <row r="901" spans="2:9" x14ac:dyDescent="0.2">
      <c r="B901" s="54" t="str">
        <f t="shared" si="13"/>
        <v>2022-080-3</v>
      </c>
      <c r="C901" s="55">
        <v>2022</v>
      </c>
      <c r="D901" s="55" t="s">
        <v>82</v>
      </c>
      <c r="E901" s="55">
        <v>3</v>
      </c>
      <c r="F901" s="57" t="s">
        <v>1226</v>
      </c>
      <c r="G901" s="55"/>
      <c r="H901" s="58"/>
      <c r="I901" s="59"/>
    </row>
    <row r="902" spans="2:9" x14ac:dyDescent="0.2">
      <c r="B902" s="54" t="str">
        <f t="shared" si="13"/>
        <v>2022-080-4</v>
      </c>
      <c r="C902" s="55">
        <v>2022</v>
      </c>
      <c r="D902" s="55" t="s">
        <v>82</v>
      </c>
      <c r="E902" s="55">
        <v>4</v>
      </c>
      <c r="F902" s="57" t="s">
        <v>1533</v>
      </c>
      <c r="G902" s="55"/>
      <c r="H902" s="58"/>
      <c r="I902" s="59"/>
    </row>
    <row r="903" spans="2:9" x14ac:dyDescent="0.2">
      <c r="B903" s="60" t="str">
        <f t="shared" si="13"/>
        <v>2022-080-5</v>
      </c>
      <c r="C903" s="61">
        <v>2022</v>
      </c>
      <c r="D903" s="61" t="s">
        <v>82</v>
      </c>
      <c r="E903" s="61">
        <v>5</v>
      </c>
      <c r="F903" s="62" t="s">
        <v>1829</v>
      </c>
      <c r="G903" s="61"/>
      <c r="H903" s="63"/>
      <c r="I903" s="64"/>
    </row>
    <row r="904" spans="2:9" ht="54" x14ac:dyDescent="0.2">
      <c r="B904" s="65" t="str">
        <f t="shared" si="13"/>
        <v>2022-081-0</v>
      </c>
      <c r="C904" s="66">
        <v>2022</v>
      </c>
      <c r="D904" s="66" t="s">
        <v>88</v>
      </c>
      <c r="E904" s="66">
        <v>0</v>
      </c>
      <c r="F904" s="67" t="s">
        <v>225</v>
      </c>
      <c r="G904" s="66"/>
      <c r="H904" s="68"/>
      <c r="I904" s="69"/>
    </row>
    <row r="905" spans="2:9" x14ac:dyDescent="0.2">
      <c r="B905" s="54" t="str">
        <f t="shared" si="13"/>
        <v>2022-081-1</v>
      </c>
      <c r="C905" s="55">
        <v>2022</v>
      </c>
      <c r="D905" s="55" t="s">
        <v>88</v>
      </c>
      <c r="E905" s="55">
        <v>1</v>
      </c>
      <c r="F905" s="57" t="s">
        <v>5</v>
      </c>
      <c r="G905" s="55"/>
      <c r="H905" s="58"/>
      <c r="I905" s="59"/>
    </row>
    <row r="906" spans="2:9" x14ac:dyDescent="0.2">
      <c r="B906" s="54" t="str">
        <f t="shared" si="13"/>
        <v>2022-081-2</v>
      </c>
      <c r="C906" s="55">
        <v>2022</v>
      </c>
      <c r="D906" s="55" t="s">
        <v>88</v>
      </c>
      <c r="E906" s="55">
        <v>2</v>
      </c>
      <c r="F906" s="57" t="s">
        <v>4</v>
      </c>
      <c r="G906" s="55"/>
      <c r="H906" s="58"/>
      <c r="I906" s="59"/>
    </row>
    <row r="907" spans="2:9" x14ac:dyDescent="0.2">
      <c r="B907" s="54" t="str">
        <f t="shared" ref="B907:B970" si="14">C907&amp;"-"&amp;D907&amp;"-"&amp;E907</f>
        <v>2022-081-3</v>
      </c>
      <c r="C907" s="55">
        <v>2022</v>
      </c>
      <c r="D907" s="55" t="s">
        <v>88</v>
      </c>
      <c r="E907" s="55">
        <v>3</v>
      </c>
      <c r="F907" s="57" t="s">
        <v>8</v>
      </c>
      <c r="G907" s="55"/>
      <c r="H907" s="58"/>
      <c r="I907" s="59"/>
    </row>
    <row r="908" spans="2:9" x14ac:dyDescent="0.2">
      <c r="B908" s="54" t="str">
        <f t="shared" si="14"/>
        <v>2022-081-4</v>
      </c>
      <c r="C908" s="55">
        <v>2022</v>
      </c>
      <c r="D908" s="55" t="s">
        <v>88</v>
      </c>
      <c r="E908" s="55">
        <v>4</v>
      </c>
      <c r="F908" s="57" t="s">
        <v>16</v>
      </c>
      <c r="G908" s="55"/>
      <c r="H908" s="58"/>
      <c r="I908" s="59"/>
    </row>
    <row r="909" spans="2:9" x14ac:dyDescent="0.2">
      <c r="B909" s="60" t="str">
        <f t="shared" si="14"/>
        <v>2022-081-5</v>
      </c>
      <c r="C909" s="61">
        <v>2022</v>
      </c>
      <c r="D909" s="61" t="s">
        <v>88</v>
      </c>
      <c r="E909" s="61">
        <v>5</v>
      </c>
      <c r="F909" s="62" t="s">
        <v>6</v>
      </c>
      <c r="G909" s="61" t="s">
        <v>2735</v>
      </c>
      <c r="H909" s="63"/>
      <c r="I909" s="64"/>
    </row>
    <row r="910" spans="2:9" x14ac:dyDescent="0.2">
      <c r="B910" s="65" t="str">
        <f t="shared" si="14"/>
        <v>2022-082-0</v>
      </c>
      <c r="C910" s="66">
        <v>2022</v>
      </c>
      <c r="D910" s="66" t="s">
        <v>89</v>
      </c>
      <c r="E910" s="66">
        <v>0</v>
      </c>
      <c r="F910" s="67" t="s">
        <v>226</v>
      </c>
      <c r="G910" s="66"/>
      <c r="H910" s="68"/>
      <c r="I910" s="69"/>
    </row>
    <row r="911" spans="2:9" x14ac:dyDescent="0.2">
      <c r="B911" s="54" t="str">
        <f t="shared" si="14"/>
        <v>2022-082-1</v>
      </c>
      <c r="C911" s="55">
        <v>2022</v>
      </c>
      <c r="D911" s="55" t="s">
        <v>89</v>
      </c>
      <c r="E911" s="55">
        <v>1</v>
      </c>
      <c r="F911" s="57" t="s">
        <v>578</v>
      </c>
      <c r="G911" s="55"/>
      <c r="H911" s="58"/>
      <c r="I911" s="59"/>
    </row>
    <row r="912" spans="2:9" x14ac:dyDescent="0.2">
      <c r="B912" s="54" t="str">
        <f t="shared" si="14"/>
        <v>2022-082-2</v>
      </c>
      <c r="C912" s="55">
        <v>2022</v>
      </c>
      <c r="D912" s="55" t="s">
        <v>89</v>
      </c>
      <c r="E912" s="55">
        <v>2</v>
      </c>
      <c r="F912" s="57" t="s">
        <v>904</v>
      </c>
      <c r="G912" s="55"/>
      <c r="H912" s="58"/>
      <c r="I912" s="59"/>
    </row>
    <row r="913" spans="2:9" x14ac:dyDescent="0.2">
      <c r="B913" s="54" t="str">
        <f t="shared" si="14"/>
        <v>2022-082-3</v>
      </c>
      <c r="C913" s="55">
        <v>2022</v>
      </c>
      <c r="D913" s="55" t="s">
        <v>89</v>
      </c>
      <c r="E913" s="55">
        <v>3</v>
      </c>
      <c r="F913" s="57" t="s">
        <v>1227</v>
      </c>
      <c r="G913" s="55"/>
      <c r="H913" s="58"/>
      <c r="I913" s="59"/>
    </row>
    <row r="914" spans="2:9" x14ac:dyDescent="0.2">
      <c r="B914" s="54" t="str">
        <f t="shared" si="14"/>
        <v>2022-082-4</v>
      </c>
      <c r="C914" s="55">
        <v>2022</v>
      </c>
      <c r="D914" s="55" t="s">
        <v>89</v>
      </c>
      <c r="E914" s="55">
        <v>4</v>
      </c>
      <c r="F914" s="57" t="s">
        <v>1534</v>
      </c>
      <c r="G914" s="55" t="s">
        <v>2735</v>
      </c>
      <c r="H914" s="58"/>
      <c r="I914" s="59"/>
    </row>
    <row r="915" spans="2:9" x14ac:dyDescent="0.2">
      <c r="B915" s="60" t="str">
        <f t="shared" si="14"/>
        <v>2022-082-5</v>
      </c>
      <c r="C915" s="61">
        <v>2022</v>
      </c>
      <c r="D915" s="61" t="s">
        <v>89</v>
      </c>
      <c r="E915" s="61">
        <v>5</v>
      </c>
      <c r="F915" s="62" t="s">
        <v>1830</v>
      </c>
      <c r="G915" s="61"/>
      <c r="H915" s="63"/>
      <c r="I915" s="64"/>
    </row>
    <row r="916" spans="2:9" x14ac:dyDescent="0.2">
      <c r="B916" s="65" t="str">
        <f t="shared" si="14"/>
        <v>2022-083-0</v>
      </c>
      <c r="C916" s="66">
        <v>2022</v>
      </c>
      <c r="D916" s="66" t="s">
        <v>90</v>
      </c>
      <c r="E916" s="66">
        <v>0</v>
      </c>
      <c r="F916" s="67" t="s">
        <v>227</v>
      </c>
      <c r="G916" s="66"/>
      <c r="H916" s="68"/>
      <c r="I916" s="69"/>
    </row>
    <row r="917" spans="2:9" x14ac:dyDescent="0.2">
      <c r="B917" s="54" t="str">
        <f t="shared" si="14"/>
        <v>2022-083-1</v>
      </c>
      <c r="C917" s="55">
        <v>2022</v>
      </c>
      <c r="D917" s="55" t="s">
        <v>90</v>
      </c>
      <c r="E917" s="55">
        <v>1</v>
      </c>
      <c r="F917" s="57" t="s">
        <v>579</v>
      </c>
      <c r="G917" s="55"/>
      <c r="H917" s="58"/>
      <c r="I917" s="59"/>
    </row>
    <row r="918" spans="2:9" x14ac:dyDescent="0.2">
      <c r="B918" s="54" t="str">
        <f t="shared" si="14"/>
        <v>2022-083-2</v>
      </c>
      <c r="C918" s="55">
        <v>2022</v>
      </c>
      <c r="D918" s="55" t="s">
        <v>90</v>
      </c>
      <c r="E918" s="55">
        <v>2</v>
      </c>
      <c r="F918" s="57" t="s">
        <v>905</v>
      </c>
      <c r="G918" s="55"/>
      <c r="H918" s="58"/>
      <c r="I918" s="59"/>
    </row>
    <row r="919" spans="2:9" x14ac:dyDescent="0.2">
      <c r="B919" s="54" t="str">
        <f t="shared" si="14"/>
        <v>2022-083-3</v>
      </c>
      <c r="C919" s="55">
        <v>2022</v>
      </c>
      <c r="D919" s="55" t="s">
        <v>90</v>
      </c>
      <c r="E919" s="55">
        <v>3</v>
      </c>
      <c r="F919" s="57" t="s">
        <v>1228</v>
      </c>
      <c r="G919" s="55"/>
      <c r="H919" s="58"/>
      <c r="I919" s="59"/>
    </row>
    <row r="920" spans="2:9" x14ac:dyDescent="0.2">
      <c r="B920" s="54" t="str">
        <f t="shared" si="14"/>
        <v>2022-083-4</v>
      </c>
      <c r="C920" s="55">
        <v>2022</v>
      </c>
      <c r="D920" s="55" t="s">
        <v>90</v>
      </c>
      <c r="E920" s="55">
        <v>4</v>
      </c>
      <c r="F920" s="57" t="s">
        <v>1535</v>
      </c>
      <c r="G920" s="55" t="s">
        <v>2735</v>
      </c>
      <c r="H920" s="58"/>
      <c r="I920" s="59"/>
    </row>
    <row r="921" spans="2:9" x14ac:dyDescent="0.2">
      <c r="B921" s="60" t="str">
        <f t="shared" si="14"/>
        <v>2022-083-5</v>
      </c>
      <c r="C921" s="61">
        <v>2022</v>
      </c>
      <c r="D921" s="61" t="s">
        <v>90</v>
      </c>
      <c r="E921" s="61">
        <v>5</v>
      </c>
      <c r="F921" s="62" t="s">
        <v>1831</v>
      </c>
      <c r="G921" s="61"/>
      <c r="H921" s="63"/>
      <c r="I921" s="64"/>
    </row>
    <row r="922" spans="2:9" x14ac:dyDescent="0.2">
      <c r="B922" s="65" t="str">
        <f t="shared" si="14"/>
        <v>2022-084-0</v>
      </c>
      <c r="C922" s="66">
        <v>2022</v>
      </c>
      <c r="D922" s="66" t="s">
        <v>91</v>
      </c>
      <c r="E922" s="66">
        <v>0</v>
      </c>
      <c r="F922" s="67" t="s">
        <v>228</v>
      </c>
      <c r="G922" s="66"/>
      <c r="H922" s="68"/>
      <c r="I922" s="69"/>
    </row>
    <row r="923" spans="2:9" x14ac:dyDescent="0.2">
      <c r="B923" s="54" t="str">
        <f t="shared" si="14"/>
        <v>2022-084-1</v>
      </c>
      <c r="C923" s="55">
        <v>2022</v>
      </c>
      <c r="D923" s="55" t="s">
        <v>91</v>
      </c>
      <c r="E923" s="55">
        <v>1</v>
      </c>
      <c r="F923" s="57" t="s">
        <v>580</v>
      </c>
      <c r="G923" s="55"/>
      <c r="H923" s="58"/>
      <c r="I923" s="59"/>
    </row>
    <row r="924" spans="2:9" x14ac:dyDescent="0.2">
      <c r="B924" s="54" t="str">
        <f t="shared" si="14"/>
        <v>2022-084-2</v>
      </c>
      <c r="C924" s="55">
        <v>2022</v>
      </c>
      <c r="D924" s="55" t="s">
        <v>91</v>
      </c>
      <c r="E924" s="55">
        <v>2</v>
      </c>
      <c r="F924" s="57" t="s">
        <v>906</v>
      </c>
      <c r="G924" s="55" t="s">
        <v>2735</v>
      </c>
      <c r="H924" s="58"/>
      <c r="I924" s="59"/>
    </row>
    <row r="925" spans="2:9" x14ac:dyDescent="0.2">
      <c r="B925" s="54" t="str">
        <f t="shared" si="14"/>
        <v>2022-084-3</v>
      </c>
      <c r="C925" s="55">
        <v>2022</v>
      </c>
      <c r="D925" s="55" t="s">
        <v>91</v>
      </c>
      <c r="E925" s="55">
        <v>3</v>
      </c>
      <c r="F925" s="57" t="s">
        <v>1229</v>
      </c>
      <c r="G925" s="55"/>
      <c r="H925" s="58"/>
      <c r="I925" s="59"/>
    </row>
    <row r="926" spans="2:9" ht="27" x14ac:dyDescent="0.2">
      <c r="B926" s="54" t="str">
        <f t="shared" si="14"/>
        <v>2022-084-4</v>
      </c>
      <c r="C926" s="55">
        <v>2022</v>
      </c>
      <c r="D926" s="55" t="s">
        <v>91</v>
      </c>
      <c r="E926" s="55">
        <v>4</v>
      </c>
      <c r="F926" s="57" t="s">
        <v>1536</v>
      </c>
      <c r="G926" s="55"/>
      <c r="H926" s="58"/>
      <c r="I926" s="59"/>
    </row>
    <row r="927" spans="2:9" x14ac:dyDescent="0.2">
      <c r="B927" s="60" t="str">
        <f t="shared" si="14"/>
        <v>2022-084-5</v>
      </c>
      <c r="C927" s="61">
        <v>2022</v>
      </c>
      <c r="D927" s="61" t="s">
        <v>91</v>
      </c>
      <c r="E927" s="61">
        <v>5</v>
      </c>
      <c r="F927" s="62" t="s">
        <v>1832</v>
      </c>
      <c r="G927" s="61"/>
      <c r="H927" s="63"/>
      <c r="I927" s="64"/>
    </row>
    <row r="928" spans="2:9" x14ac:dyDescent="0.2">
      <c r="B928" s="65" t="str">
        <f t="shared" si="14"/>
        <v>2022-085-0</v>
      </c>
      <c r="C928" s="66">
        <v>2022</v>
      </c>
      <c r="D928" s="66" t="s">
        <v>92</v>
      </c>
      <c r="E928" s="66">
        <v>0</v>
      </c>
      <c r="F928" s="67" t="s">
        <v>229</v>
      </c>
      <c r="G928" s="66"/>
      <c r="H928" s="68"/>
      <c r="I928" s="69"/>
    </row>
    <row r="929" spans="2:9" x14ac:dyDescent="0.2">
      <c r="B929" s="54" t="str">
        <f t="shared" si="14"/>
        <v>2022-085-1</v>
      </c>
      <c r="C929" s="55">
        <v>2022</v>
      </c>
      <c r="D929" s="55" t="s">
        <v>92</v>
      </c>
      <c r="E929" s="55">
        <v>1</v>
      </c>
      <c r="F929" s="57" t="s">
        <v>581</v>
      </c>
      <c r="G929" s="55"/>
      <c r="H929" s="58"/>
      <c r="I929" s="59"/>
    </row>
    <row r="930" spans="2:9" x14ac:dyDescent="0.2">
      <c r="B930" s="54" t="str">
        <f t="shared" si="14"/>
        <v>2022-085-2</v>
      </c>
      <c r="C930" s="55">
        <v>2022</v>
      </c>
      <c r="D930" s="55" t="s">
        <v>92</v>
      </c>
      <c r="E930" s="55">
        <v>2</v>
      </c>
      <c r="F930" s="57" t="s">
        <v>907</v>
      </c>
      <c r="G930" s="55"/>
      <c r="H930" s="58"/>
      <c r="I930" s="59"/>
    </row>
    <row r="931" spans="2:9" ht="27" x14ac:dyDescent="0.2">
      <c r="B931" s="54" t="str">
        <f t="shared" si="14"/>
        <v>2022-085-3</v>
      </c>
      <c r="C931" s="55">
        <v>2022</v>
      </c>
      <c r="D931" s="55" t="s">
        <v>92</v>
      </c>
      <c r="E931" s="55">
        <v>3</v>
      </c>
      <c r="F931" s="57" t="s">
        <v>1230</v>
      </c>
      <c r="G931" s="55" t="s">
        <v>2735</v>
      </c>
      <c r="H931" s="58"/>
      <c r="I931" s="59"/>
    </row>
    <row r="932" spans="2:9" ht="27" x14ac:dyDescent="0.2">
      <c r="B932" s="54" t="str">
        <f t="shared" si="14"/>
        <v>2022-085-4</v>
      </c>
      <c r="C932" s="55">
        <v>2022</v>
      </c>
      <c r="D932" s="55" t="s">
        <v>92</v>
      </c>
      <c r="E932" s="55">
        <v>4</v>
      </c>
      <c r="F932" s="57" t="s">
        <v>1537</v>
      </c>
      <c r="G932" s="55"/>
      <c r="H932" s="58"/>
      <c r="I932" s="59"/>
    </row>
    <row r="933" spans="2:9" x14ac:dyDescent="0.2">
      <c r="B933" s="60" t="str">
        <f t="shared" si="14"/>
        <v>2022-085-5</v>
      </c>
      <c r="C933" s="61">
        <v>2022</v>
      </c>
      <c r="D933" s="61" t="s">
        <v>92</v>
      </c>
      <c r="E933" s="61">
        <v>5</v>
      </c>
      <c r="F933" s="62" t="s">
        <v>1833</v>
      </c>
      <c r="G933" s="61"/>
      <c r="H933" s="63"/>
      <c r="I933" s="64"/>
    </row>
    <row r="934" spans="2:9" x14ac:dyDescent="0.2">
      <c r="B934" s="65" t="str">
        <f t="shared" si="14"/>
        <v>2022-086-0</v>
      </c>
      <c r="C934" s="66">
        <v>2022</v>
      </c>
      <c r="D934" s="66" t="s">
        <v>93</v>
      </c>
      <c r="E934" s="66">
        <v>0</v>
      </c>
      <c r="F934" s="67" t="s">
        <v>230</v>
      </c>
      <c r="G934" s="66"/>
      <c r="H934" s="68"/>
      <c r="I934" s="69"/>
    </row>
    <row r="935" spans="2:9" x14ac:dyDescent="0.2">
      <c r="B935" s="54" t="str">
        <f t="shared" si="14"/>
        <v>2022-086-1</v>
      </c>
      <c r="C935" s="55">
        <v>2022</v>
      </c>
      <c r="D935" s="55" t="s">
        <v>93</v>
      </c>
      <c r="E935" s="55">
        <v>1</v>
      </c>
      <c r="F935" s="57" t="s">
        <v>582</v>
      </c>
      <c r="G935" s="55"/>
      <c r="H935" s="58"/>
      <c r="I935" s="59"/>
    </row>
    <row r="936" spans="2:9" x14ac:dyDescent="0.2">
      <c r="B936" s="54" t="str">
        <f t="shared" si="14"/>
        <v>2022-086-2</v>
      </c>
      <c r="C936" s="55">
        <v>2022</v>
      </c>
      <c r="D936" s="55" t="s">
        <v>93</v>
      </c>
      <c r="E936" s="55">
        <v>2</v>
      </c>
      <c r="F936" s="57" t="s">
        <v>908</v>
      </c>
      <c r="G936" s="55"/>
      <c r="H936" s="58"/>
      <c r="I936" s="59"/>
    </row>
    <row r="937" spans="2:9" x14ac:dyDescent="0.2">
      <c r="B937" s="54" t="str">
        <f t="shared" si="14"/>
        <v>2022-086-3</v>
      </c>
      <c r="C937" s="55">
        <v>2022</v>
      </c>
      <c r="D937" s="55" t="s">
        <v>93</v>
      </c>
      <c r="E937" s="55">
        <v>3</v>
      </c>
      <c r="F937" s="57" t="s">
        <v>1231</v>
      </c>
      <c r="G937" s="55" t="s">
        <v>2735</v>
      </c>
      <c r="H937" s="58"/>
      <c r="I937" s="59"/>
    </row>
    <row r="938" spans="2:9" x14ac:dyDescent="0.2">
      <c r="B938" s="54" t="str">
        <f t="shared" si="14"/>
        <v>2022-086-4</v>
      </c>
      <c r="C938" s="55">
        <v>2022</v>
      </c>
      <c r="D938" s="55" t="s">
        <v>93</v>
      </c>
      <c r="E938" s="55">
        <v>4</v>
      </c>
      <c r="F938" s="57" t="s">
        <v>1538</v>
      </c>
      <c r="G938" s="55"/>
      <c r="H938" s="58"/>
      <c r="I938" s="59"/>
    </row>
    <row r="939" spans="2:9" x14ac:dyDescent="0.2">
      <c r="B939" s="60" t="str">
        <f t="shared" si="14"/>
        <v>2022-086-5</v>
      </c>
      <c r="C939" s="61">
        <v>2022</v>
      </c>
      <c r="D939" s="61" t="s">
        <v>93</v>
      </c>
      <c r="E939" s="61">
        <v>5</v>
      </c>
      <c r="F939" s="62" t="s">
        <v>1834</v>
      </c>
      <c r="G939" s="61"/>
      <c r="H939" s="63"/>
      <c r="I939" s="64"/>
    </row>
    <row r="940" spans="2:9" x14ac:dyDescent="0.2">
      <c r="B940" s="65" t="str">
        <f t="shared" si="14"/>
        <v>2022-087-0</v>
      </c>
      <c r="C940" s="66">
        <v>2022</v>
      </c>
      <c r="D940" s="66" t="s">
        <v>94</v>
      </c>
      <c r="E940" s="66">
        <v>0</v>
      </c>
      <c r="F940" s="67" t="s">
        <v>231</v>
      </c>
      <c r="G940" s="66"/>
      <c r="H940" s="68"/>
      <c r="I940" s="69"/>
    </row>
    <row r="941" spans="2:9" x14ac:dyDescent="0.2">
      <c r="B941" s="54" t="str">
        <f t="shared" si="14"/>
        <v>2022-087-1</v>
      </c>
      <c r="C941" s="55">
        <v>2022</v>
      </c>
      <c r="D941" s="55" t="s">
        <v>94</v>
      </c>
      <c r="E941" s="55">
        <v>1</v>
      </c>
      <c r="F941" s="57" t="s">
        <v>583</v>
      </c>
      <c r="G941" s="55"/>
      <c r="H941" s="58"/>
      <c r="I941" s="59"/>
    </row>
    <row r="942" spans="2:9" x14ac:dyDescent="0.2">
      <c r="B942" s="54" t="str">
        <f t="shared" si="14"/>
        <v>2022-087-2</v>
      </c>
      <c r="C942" s="55">
        <v>2022</v>
      </c>
      <c r="D942" s="55" t="s">
        <v>94</v>
      </c>
      <c r="E942" s="55">
        <v>2</v>
      </c>
      <c r="F942" s="57" t="s">
        <v>909</v>
      </c>
      <c r="G942" s="55"/>
      <c r="H942" s="58"/>
      <c r="I942" s="59"/>
    </row>
    <row r="943" spans="2:9" x14ac:dyDescent="0.2">
      <c r="B943" s="54" t="str">
        <f t="shared" si="14"/>
        <v>2022-087-3</v>
      </c>
      <c r="C943" s="55">
        <v>2022</v>
      </c>
      <c r="D943" s="55" t="s">
        <v>94</v>
      </c>
      <c r="E943" s="55">
        <v>3</v>
      </c>
      <c r="F943" s="57" t="s">
        <v>1232</v>
      </c>
      <c r="G943" s="55" t="s">
        <v>2735</v>
      </c>
      <c r="H943" s="58"/>
      <c r="I943" s="59"/>
    </row>
    <row r="944" spans="2:9" x14ac:dyDescent="0.2">
      <c r="B944" s="54" t="str">
        <f t="shared" si="14"/>
        <v>2022-087-4</v>
      </c>
      <c r="C944" s="55">
        <v>2022</v>
      </c>
      <c r="D944" s="55" t="s">
        <v>94</v>
      </c>
      <c r="E944" s="55">
        <v>4</v>
      </c>
      <c r="F944" s="57" t="s">
        <v>1539</v>
      </c>
      <c r="G944" s="55"/>
      <c r="H944" s="58"/>
      <c r="I944" s="59"/>
    </row>
    <row r="945" spans="2:9" x14ac:dyDescent="0.2">
      <c r="B945" s="60" t="str">
        <f t="shared" si="14"/>
        <v>2022-087-5</v>
      </c>
      <c r="C945" s="61">
        <v>2022</v>
      </c>
      <c r="D945" s="61" t="s">
        <v>94</v>
      </c>
      <c r="E945" s="61">
        <v>5</v>
      </c>
      <c r="F945" s="62" t="s">
        <v>1835</v>
      </c>
      <c r="G945" s="61"/>
      <c r="H945" s="63"/>
      <c r="I945" s="64"/>
    </row>
    <row r="946" spans="2:9" ht="54" x14ac:dyDescent="0.2">
      <c r="B946" s="65" t="str">
        <f t="shared" si="14"/>
        <v>2022-088-0</v>
      </c>
      <c r="C946" s="66">
        <v>2022</v>
      </c>
      <c r="D946" s="66" t="s">
        <v>95</v>
      </c>
      <c r="E946" s="66">
        <v>0</v>
      </c>
      <c r="F946" s="67" t="s">
        <v>232</v>
      </c>
      <c r="G946" s="66"/>
      <c r="H946" s="68"/>
      <c r="I946" s="69"/>
    </row>
    <row r="947" spans="2:9" x14ac:dyDescent="0.2">
      <c r="B947" s="54" t="str">
        <f t="shared" si="14"/>
        <v>2022-088-1</v>
      </c>
      <c r="C947" s="55">
        <v>2022</v>
      </c>
      <c r="D947" s="55" t="s">
        <v>95</v>
      </c>
      <c r="E947" s="55">
        <v>1</v>
      </c>
      <c r="F947" s="57" t="s">
        <v>5</v>
      </c>
      <c r="G947" s="55" t="s">
        <v>2735</v>
      </c>
      <c r="H947" s="58"/>
      <c r="I947" s="59"/>
    </row>
    <row r="948" spans="2:9" x14ac:dyDescent="0.2">
      <c r="B948" s="54" t="str">
        <f t="shared" si="14"/>
        <v>2022-088-2</v>
      </c>
      <c r="C948" s="55">
        <v>2022</v>
      </c>
      <c r="D948" s="55" t="s">
        <v>95</v>
      </c>
      <c r="E948" s="55">
        <v>2</v>
      </c>
      <c r="F948" s="57" t="s">
        <v>13</v>
      </c>
      <c r="G948" s="55"/>
      <c r="H948" s="58"/>
      <c r="I948" s="59"/>
    </row>
    <row r="949" spans="2:9" x14ac:dyDescent="0.2">
      <c r="B949" s="54" t="str">
        <f t="shared" si="14"/>
        <v>2022-088-3</v>
      </c>
      <c r="C949" s="55">
        <v>2022</v>
      </c>
      <c r="D949" s="55" t="s">
        <v>95</v>
      </c>
      <c r="E949" s="55">
        <v>3</v>
      </c>
      <c r="F949" s="57" t="s">
        <v>4</v>
      </c>
      <c r="G949" s="55"/>
      <c r="H949" s="58"/>
      <c r="I949" s="59"/>
    </row>
    <row r="950" spans="2:9" x14ac:dyDescent="0.2">
      <c r="B950" s="54" t="str">
        <f t="shared" si="14"/>
        <v>2022-088-4</v>
      </c>
      <c r="C950" s="55">
        <v>2022</v>
      </c>
      <c r="D950" s="55" t="s">
        <v>95</v>
      </c>
      <c r="E950" s="55">
        <v>4</v>
      </c>
      <c r="F950" s="57" t="s">
        <v>16</v>
      </c>
      <c r="G950" s="55"/>
      <c r="H950" s="58"/>
      <c r="I950" s="59"/>
    </row>
    <row r="951" spans="2:9" x14ac:dyDescent="0.2">
      <c r="B951" s="60" t="str">
        <f t="shared" si="14"/>
        <v>2022-088-5</v>
      </c>
      <c r="C951" s="61">
        <v>2022</v>
      </c>
      <c r="D951" s="61" t="s">
        <v>95</v>
      </c>
      <c r="E951" s="61">
        <v>5</v>
      </c>
      <c r="F951" s="62" t="s">
        <v>6</v>
      </c>
      <c r="G951" s="61"/>
      <c r="H951" s="63"/>
      <c r="I951" s="64"/>
    </row>
    <row r="952" spans="2:9" ht="54" x14ac:dyDescent="0.2">
      <c r="B952" s="65" t="str">
        <f t="shared" si="14"/>
        <v>2022-089-0</v>
      </c>
      <c r="C952" s="66">
        <v>2022</v>
      </c>
      <c r="D952" s="66" t="s">
        <v>96</v>
      </c>
      <c r="E952" s="66">
        <v>0</v>
      </c>
      <c r="F952" s="67" t="s">
        <v>233</v>
      </c>
      <c r="G952" s="66"/>
      <c r="H952" s="68"/>
      <c r="I952" s="69"/>
    </row>
    <row r="953" spans="2:9" x14ac:dyDescent="0.2">
      <c r="B953" s="54" t="str">
        <f t="shared" si="14"/>
        <v>2022-089-1</v>
      </c>
      <c r="C953" s="55">
        <v>2022</v>
      </c>
      <c r="D953" s="55" t="s">
        <v>96</v>
      </c>
      <c r="E953" s="55">
        <v>1</v>
      </c>
      <c r="F953" s="57" t="s">
        <v>5</v>
      </c>
      <c r="G953" s="55"/>
      <c r="H953" s="58"/>
      <c r="I953" s="59"/>
    </row>
    <row r="954" spans="2:9" x14ac:dyDescent="0.2">
      <c r="B954" s="54" t="str">
        <f t="shared" si="14"/>
        <v>2022-089-2</v>
      </c>
      <c r="C954" s="55">
        <v>2022</v>
      </c>
      <c r="D954" s="55" t="s">
        <v>96</v>
      </c>
      <c r="E954" s="55">
        <v>2</v>
      </c>
      <c r="F954" s="57" t="s">
        <v>10</v>
      </c>
      <c r="G954" s="55"/>
      <c r="H954" s="58"/>
      <c r="I954" s="59"/>
    </row>
    <row r="955" spans="2:9" x14ac:dyDescent="0.2">
      <c r="B955" s="54" t="str">
        <f t="shared" si="14"/>
        <v>2022-089-3</v>
      </c>
      <c r="C955" s="55">
        <v>2022</v>
      </c>
      <c r="D955" s="55" t="s">
        <v>96</v>
      </c>
      <c r="E955" s="55">
        <v>3</v>
      </c>
      <c r="F955" s="57" t="s">
        <v>4</v>
      </c>
      <c r="G955" s="55"/>
      <c r="H955" s="58"/>
      <c r="I955" s="59"/>
    </row>
    <row r="956" spans="2:9" x14ac:dyDescent="0.2">
      <c r="B956" s="54" t="str">
        <f t="shared" si="14"/>
        <v>2022-089-4</v>
      </c>
      <c r="C956" s="55">
        <v>2022</v>
      </c>
      <c r="D956" s="55" t="s">
        <v>96</v>
      </c>
      <c r="E956" s="55">
        <v>4</v>
      </c>
      <c r="F956" s="57" t="s">
        <v>16</v>
      </c>
      <c r="G956" s="55"/>
      <c r="H956" s="58"/>
      <c r="I956" s="59"/>
    </row>
    <row r="957" spans="2:9" x14ac:dyDescent="0.2">
      <c r="B957" s="60" t="str">
        <f t="shared" si="14"/>
        <v>2022-089-5</v>
      </c>
      <c r="C957" s="61">
        <v>2022</v>
      </c>
      <c r="D957" s="61" t="s">
        <v>96</v>
      </c>
      <c r="E957" s="61">
        <v>5</v>
      </c>
      <c r="F957" s="62" t="s">
        <v>6</v>
      </c>
      <c r="G957" s="61" t="s">
        <v>2735</v>
      </c>
      <c r="H957" s="63"/>
      <c r="I957" s="64"/>
    </row>
    <row r="958" spans="2:9" x14ac:dyDescent="0.2">
      <c r="B958" s="65" t="str">
        <f t="shared" si="14"/>
        <v>2022-090-0</v>
      </c>
      <c r="C958" s="66">
        <v>2022</v>
      </c>
      <c r="D958" s="66" t="s">
        <v>97</v>
      </c>
      <c r="E958" s="66">
        <v>0</v>
      </c>
      <c r="F958" s="67" t="s">
        <v>234</v>
      </c>
      <c r="G958" s="66"/>
      <c r="H958" s="68"/>
      <c r="I958" s="69"/>
    </row>
    <row r="959" spans="2:9" x14ac:dyDescent="0.2">
      <c r="B959" s="54" t="str">
        <f t="shared" si="14"/>
        <v>2022-090-1</v>
      </c>
      <c r="C959" s="55">
        <v>2022</v>
      </c>
      <c r="D959" s="55" t="s">
        <v>97</v>
      </c>
      <c r="E959" s="55">
        <v>1</v>
      </c>
      <c r="F959" s="57" t="s">
        <v>584</v>
      </c>
      <c r="G959" s="55"/>
      <c r="H959" s="58"/>
      <c r="I959" s="59"/>
    </row>
    <row r="960" spans="2:9" x14ac:dyDescent="0.2">
      <c r="B960" s="54" t="str">
        <f t="shared" si="14"/>
        <v>2022-090-2</v>
      </c>
      <c r="C960" s="55">
        <v>2022</v>
      </c>
      <c r="D960" s="55" t="s">
        <v>97</v>
      </c>
      <c r="E960" s="55">
        <v>2</v>
      </c>
      <c r="F960" s="57" t="s">
        <v>910</v>
      </c>
      <c r="G960" s="55" t="s">
        <v>2735</v>
      </c>
      <c r="H960" s="58"/>
      <c r="I960" s="59"/>
    </row>
    <row r="961" spans="2:9" x14ac:dyDescent="0.2">
      <c r="B961" s="54" t="str">
        <f t="shared" si="14"/>
        <v>2022-090-3</v>
      </c>
      <c r="C961" s="55">
        <v>2022</v>
      </c>
      <c r="D961" s="55" t="s">
        <v>97</v>
      </c>
      <c r="E961" s="55">
        <v>3</v>
      </c>
      <c r="F961" s="57" t="s">
        <v>1233</v>
      </c>
      <c r="G961" s="55"/>
      <c r="H961" s="58"/>
      <c r="I961" s="59"/>
    </row>
    <row r="962" spans="2:9" x14ac:dyDescent="0.2">
      <c r="B962" s="54" t="str">
        <f t="shared" si="14"/>
        <v>2022-090-4</v>
      </c>
      <c r="C962" s="55">
        <v>2022</v>
      </c>
      <c r="D962" s="55" t="s">
        <v>97</v>
      </c>
      <c r="E962" s="55">
        <v>4</v>
      </c>
      <c r="F962" s="57" t="s">
        <v>1540</v>
      </c>
      <c r="G962" s="55"/>
      <c r="H962" s="58"/>
      <c r="I962" s="59"/>
    </row>
    <row r="963" spans="2:9" x14ac:dyDescent="0.2">
      <c r="B963" s="60" t="str">
        <f t="shared" si="14"/>
        <v>2022-090-5</v>
      </c>
      <c r="C963" s="61">
        <v>2022</v>
      </c>
      <c r="D963" s="61" t="s">
        <v>97</v>
      </c>
      <c r="E963" s="61">
        <v>5</v>
      </c>
      <c r="F963" s="62" t="s">
        <v>1817</v>
      </c>
      <c r="G963" s="61"/>
      <c r="H963" s="63"/>
      <c r="I963" s="64"/>
    </row>
    <row r="964" spans="2:9" ht="67.5" x14ac:dyDescent="0.2">
      <c r="B964" s="65" t="str">
        <f t="shared" si="14"/>
        <v>2022-091-0</v>
      </c>
      <c r="C964" s="66">
        <v>2022</v>
      </c>
      <c r="D964" s="66" t="s">
        <v>98</v>
      </c>
      <c r="E964" s="66">
        <v>0</v>
      </c>
      <c r="F964" s="67" t="s">
        <v>235</v>
      </c>
      <c r="G964" s="66"/>
      <c r="H964" s="68"/>
      <c r="I964" s="69"/>
    </row>
    <row r="965" spans="2:9" x14ac:dyDescent="0.2">
      <c r="B965" s="54" t="str">
        <f t="shared" si="14"/>
        <v>2022-091-1</v>
      </c>
      <c r="C965" s="55">
        <v>2022</v>
      </c>
      <c r="D965" s="55" t="s">
        <v>98</v>
      </c>
      <c r="E965" s="55">
        <v>1</v>
      </c>
      <c r="F965" s="57" t="s">
        <v>585</v>
      </c>
      <c r="G965" s="55"/>
      <c r="H965" s="58"/>
      <c r="I965" s="59"/>
    </row>
    <row r="966" spans="2:9" x14ac:dyDescent="0.2">
      <c r="B966" s="54" t="str">
        <f t="shared" si="14"/>
        <v>2022-091-2</v>
      </c>
      <c r="C966" s="55">
        <v>2022</v>
      </c>
      <c r="D966" s="55" t="s">
        <v>98</v>
      </c>
      <c r="E966" s="55">
        <v>2</v>
      </c>
      <c r="F966" s="57" t="s">
        <v>911</v>
      </c>
      <c r="G966" s="55"/>
      <c r="H966" s="58"/>
      <c r="I966" s="59"/>
    </row>
    <row r="967" spans="2:9" x14ac:dyDescent="0.2">
      <c r="B967" s="54" t="str">
        <f t="shared" si="14"/>
        <v>2022-091-3</v>
      </c>
      <c r="C967" s="55">
        <v>2022</v>
      </c>
      <c r="D967" s="55" t="s">
        <v>98</v>
      </c>
      <c r="E967" s="55">
        <v>3</v>
      </c>
      <c r="F967" s="57" t="s">
        <v>1234</v>
      </c>
      <c r="G967" s="55"/>
      <c r="H967" s="58"/>
      <c r="I967" s="59"/>
    </row>
    <row r="968" spans="2:9" x14ac:dyDescent="0.2">
      <c r="B968" s="54" t="str">
        <f t="shared" si="14"/>
        <v>2022-091-4</v>
      </c>
      <c r="C968" s="55">
        <v>2022</v>
      </c>
      <c r="D968" s="55" t="s">
        <v>98</v>
      </c>
      <c r="E968" s="55">
        <v>4</v>
      </c>
      <c r="F968" s="57" t="s">
        <v>1541</v>
      </c>
      <c r="G968" s="55" t="s">
        <v>2735</v>
      </c>
      <c r="H968" s="58"/>
      <c r="I968" s="59"/>
    </row>
    <row r="969" spans="2:9" x14ac:dyDescent="0.2">
      <c r="B969" s="60" t="str">
        <f t="shared" si="14"/>
        <v>2022-091-5</v>
      </c>
      <c r="C969" s="61">
        <v>2022</v>
      </c>
      <c r="D969" s="61" t="s">
        <v>98</v>
      </c>
      <c r="E969" s="61">
        <v>5</v>
      </c>
      <c r="F969" s="62" t="s">
        <v>1836</v>
      </c>
      <c r="G969" s="61"/>
      <c r="H969" s="63"/>
      <c r="I969" s="64"/>
    </row>
    <row r="970" spans="2:9" x14ac:dyDescent="0.2">
      <c r="B970" s="65" t="str">
        <f t="shared" si="14"/>
        <v>2022-092-0</v>
      </c>
      <c r="C970" s="66">
        <v>2022</v>
      </c>
      <c r="D970" s="66" t="s">
        <v>99</v>
      </c>
      <c r="E970" s="66">
        <v>0</v>
      </c>
      <c r="F970" s="67" t="s">
        <v>236</v>
      </c>
      <c r="G970" s="66"/>
      <c r="H970" s="68"/>
      <c r="I970" s="69"/>
    </row>
    <row r="971" spans="2:9" x14ac:dyDescent="0.2">
      <c r="B971" s="54" t="str">
        <f t="shared" ref="B971:B1023" si="15">C971&amp;"-"&amp;D971&amp;"-"&amp;E971</f>
        <v>2022-092-1</v>
      </c>
      <c r="C971" s="55">
        <v>2022</v>
      </c>
      <c r="D971" s="55" t="s">
        <v>99</v>
      </c>
      <c r="E971" s="55">
        <v>1</v>
      </c>
      <c r="F971" s="57" t="s">
        <v>586</v>
      </c>
      <c r="G971" s="55"/>
      <c r="H971" s="58"/>
      <c r="I971" s="59"/>
    </row>
    <row r="972" spans="2:9" x14ac:dyDescent="0.2">
      <c r="B972" s="54" t="str">
        <f t="shared" si="15"/>
        <v>2022-092-2</v>
      </c>
      <c r="C972" s="55">
        <v>2022</v>
      </c>
      <c r="D972" s="55" t="s">
        <v>99</v>
      </c>
      <c r="E972" s="55">
        <v>2</v>
      </c>
      <c r="F972" s="57" t="s">
        <v>912</v>
      </c>
      <c r="G972" s="55"/>
      <c r="H972" s="58"/>
      <c r="I972" s="59"/>
    </row>
    <row r="973" spans="2:9" ht="27" x14ac:dyDescent="0.2">
      <c r="B973" s="54" t="str">
        <f t="shared" si="15"/>
        <v>2022-092-3</v>
      </c>
      <c r="C973" s="55">
        <v>2022</v>
      </c>
      <c r="D973" s="55" t="s">
        <v>99</v>
      </c>
      <c r="E973" s="55">
        <v>3</v>
      </c>
      <c r="F973" s="57" t="s">
        <v>1235</v>
      </c>
      <c r="G973" s="55"/>
      <c r="H973" s="58"/>
      <c r="I973" s="59"/>
    </row>
    <row r="974" spans="2:9" x14ac:dyDescent="0.2">
      <c r="B974" s="54" t="str">
        <f t="shared" si="15"/>
        <v>2022-092-4</v>
      </c>
      <c r="C974" s="55">
        <v>2022</v>
      </c>
      <c r="D974" s="55" t="s">
        <v>99</v>
      </c>
      <c r="E974" s="55">
        <v>4</v>
      </c>
      <c r="F974" s="57" t="s">
        <v>1542</v>
      </c>
      <c r="G974" s="55"/>
      <c r="H974" s="58"/>
      <c r="I974" s="59"/>
    </row>
    <row r="975" spans="2:9" x14ac:dyDescent="0.2">
      <c r="B975" s="60" t="str">
        <f t="shared" si="15"/>
        <v>2022-092-5</v>
      </c>
      <c r="C975" s="61">
        <v>2022</v>
      </c>
      <c r="D975" s="61" t="s">
        <v>99</v>
      </c>
      <c r="E975" s="61">
        <v>5</v>
      </c>
      <c r="F975" s="62" t="s">
        <v>1837</v>
      </c>
      <c r="G975" s="61" t="s">
        <v>2735</v>
      </c>
      <c r="H975" s="63"/>
      <c r="I975" s="64"/>
    </row>
    <row r="976" spans="2:9" x14ac:dyDescent="0.2">
      <c r="B976" s="65" t="str">
        <f t="shared" si="15"/>
        <v>2022-093-0</v>
      </c>
      <c r="C976" s="66">
        <v>2022</v>
      </c>
      <c r="D976" s="66" t="s">
        <v>100</v>
      </c>
      <c r="E976" s="66">
        <v>0</v>
      </c>
      <c r="F976" s="67" t="s">
        <v>237</v>
      </c>
      <c r="G976" s="66"/>
      <c r="H976" s="68"/>
      <c r="I976" s="69"/>
    </row>
    <row r="977" spans="2:9" x14ac:dyDescent="0.2">
      <c r="B977" s="54" t="str">
        <f t="shared" si="15"/>
        <v>2022-093-1</v>
      </c>
      <c r="C977" s="55">
        <v>2022</v>
      </c>
      <c r="D977" s="55" t="s">
        <v>100</v>
      </c>
      <c r="E977" s="55">
        <v>1</v>
      </c>
      <c r="F977" s="57" t="s">
        <v>587</v>
      </c>
      <c r="G977" s="55"/>
      <c r="H977" s="58"/>
      <c r="I977" s="59"/>
    </row>
    <row r="978" spans="2:9" x14ac:dyDescent="0.2">
      <c r="B978" s="54" t="str">
        <f t="shared" si="15"/>
        <v>2022-093-2</v>
      </c>
      <c r="C978" s="55">
        <v>2022</v>
      </c>
      <c r="D978" s="55" t="s">
        <v>100</v>
      </c>
      <c r="E978" s="55">
        <v>2</v>
      </c>
      <c r="F978" s="57" t="s">
        <v>913</v>
      </c>
      <c r="G978" s="55"/>
      <c r="H978" s="58"/>
      <c r="I978" s="59"/>
    </row>
    <row r="979" spans="2:9" x14ac:dyDescent="0.2">
      <c r="B979" s="54" t="str">
        <f t="shared" si="15"/>
        <v>2022-093-3</v>
      </c>
      <c r="C979" s="55">
        <v>2022</v>
      </c>
      <c r="D979" s="55" t="s">
        <v>100</v>
      </c>
      <c r="E979" s="55">
        <v>3</v>
      </c>
      <c r="F979" s="57" t="s">
        <v>1123</v>
      </c>
      <c r="G979" s="55"/>
      <c r="H979" s="58"/>
      <c r="I979" s="59"/>
    </row>
    <row r="980" spans="2:9" x14ac:dyDescent="0.2">
      <c r="B980" s="54" t="str">
        <f t="shared" si="15"/>
        <v>2022-093-4</v>
      </c>
      <c r="C980" s="55">
        <v>2022</v>
      </c>
      <c r="D980" s="55" t="s">
        <v>100</v>
      </c>
      <c r="E980" s="55">
        <v>4</v>
      </c>
      <c r="F980" s="57" t="s">
        <v>1543</v>
      </c>
      <c r="G980" s="55"/>
      <c r="H980" s="58"/>
      <c r="I980" s="59"/>
    </row>
    <row r="981" spans="2:9" x14ac:dyDescent="0.2">
      <c r="B981" s="60" t="str">
        <f t="shared" si="15"/>
        <v>2022-093-5</v>
      </c>
      <c r="C981" s="61">
        <v>2022</v>
      </c>
      <c r="D981" s="61" t="s">
        <v>100</v>
      </c>
      <c r="E981" s="61">
        <v>5</v>
      </c>
      <c r="F981" s="62" t="s">
        <v>1838</v>
      </c>
      <c r="G981" s="61" t="s">
        <v>2735</v>
      </c>
      <c r="H981" s="63"/>
      <c r="I981" s="64"/>
    </row>
    <row r="982" spans="2:9" x14ac:dyDescent="0.2">
      <c r="B982" s="65" t="str">
        <f t="shared" si="15"/>
        <v>2022-094-0</v>
      </c>
      <c r="C982" s="66">
        <v>2022</v>
      </c>
      <c r="D982" s="66" t="s">
        <v>101</v>
      </c>
      <c r="E982" s="66">
        <v>0</v>
      </c>
      <c r="F982" s="67" t="s">
        <v>191</v>
      </c>
      <c r="G982" s="66"/>
      <c r="H982" s="68"/>
      <c r="I982" s="69"/>
    </row>
    <row r="983" spans="2:9" x14ac:dyDescent="0.2">
      <c r="B983" s="54" t="str">
        <f t="shared" si="15"/>
        <v>2022-094-1</v>
      </c>
      <c r="C983" s="55">
        <v>2022</v>
      </c>
      <c r="D983" s="55" t="s">
        <v>101</v>
      </c>
      <c r="E983" s="55">
        <v>1</v>
      </c>
      <c r="F983" s="57" t="s">
        <v>588</v>
      </c>
      <c r="G983" s="55"/>
      <c r="H983" s="58"/>
      <c r="I983" s="59"/>
    </row>
    <row r="984" spans="2:9" ht="27" x14ac:dyDescent="0.2">
      <c r="B984" s="54" t="str">
        <f t="shared" si="15"/>
        <v>2022-094-2</v>
      </c>
      <c r="C984" s="55">
        <v>2022</v>
      </c>
      <c r="D984" s="55" t="s">
        <v>101</v>
      </c>
      <c r="E984" s="55">
        <v>2</v>
      </c>
      <c r="F984" s="57" t="s">
        <v>914</v>
      </c>
      <c r="G984" s="55"/>
      <c r="H984" s="58"/>
      <c r="I984" s="59"/>
    </row>
    <row r="985" spans="2:9" x14ac:dyDescent="0.2">
      <c r="B985" s="54" t="str">
        <f t="shared" si="15"/>
        <v>2022-094-3</v>
      </c>
      <c r="C985" s="55">
        <v>2022</v>
      </c>
      <c r="D985" s="55" t="s">
        <v>101</v>
      </c>
      <c r="E985" s="55">
        <v>3</v>
      </c>
      <c r="F985" s="57" t="s">
        <v>1236</v>
      </c>
      <c r="G985" s="55"/>
      <c r="H985" s="58"/>
      <c r="I985" s="59"/>
    </row>
    <row r="986" spans="2:9" ht="27" x14ac:dyDescent="0.2">
      <c r="B986" s="54" t="str">
        <f t="shared" si="15"/>
        <v>2022-094-4</v>
      </c>
      <c r="C986" s="55">
        <v>2022</v>
      </c>
      <c r="D986" s="55" t="s">
        <v>101</v>
      </c>
      <c r="E986" s="55">
        <v>4</v>
      </c>
      <c r="F986" s="57" t="s">
        <v>548</v>
      </c>
      <c r="G986" s="55"/>
      <c r="H986" s="58"/>
      <c r="I986" s="59"/>
    </row>
    <row r="987" spans="2:9" x14ac:dyDescent="0.2">
      <c r="B987" s="60" t="str">
        <f t="shared" si="15"/>
        <v>2022-094-5</v>
      </c>
      <c r="C987" s="61">
        <v>2022</v>
      </c>
      <c r="D987" s="61" t="s">
        <v>101</v>
      </c>
      <c r="E987" s="61">
        <v>5</v>
      </c>
      <c r="F987" s="62" t="s">
        <v>1839</v>
      </c>
      <c r="G987" s="61" t="s">
        <v>2735</v>
      </c>
      <c r="H987" s="63"/>
      <c r="I987" s="64"/>
    </row>
    <row r="988" spans="2:9" ht="67.5" x14ac:dyDescent="0.2">
      <c r="B988" s="65" t="str">
        <f t="shared" si="15"/>
        <v>2022-095-0</v>
      </c>
      <c r="C988" s="66">
        <v>2022</v>
      </c>
      <c r="D988" s="66" t="s">
        <v>102</v>
      </c>
      <c r="E988" s="66">
        <v>0</v>
      </c>
      <c r="F988" s="67" t="s">
        <v>238</v>
      </c>
      <c r="G988" s="66"/>
      <c r="H988" s="68"/>
      <c r="I988" s="69"/>
    </row>
    <row r="989" spans="2:9" x14ac:dyDescent="0.2">
      <c r="B989" s="54" t="str">
        <f t="shared" si="15"/>
        <v>2022-095-1</v>
      </c>
      <c r="C989" s="55">
        <v>2022</v>
      </c>
      <c r="D989" s="55" t="s">
        <v>102</v>
      </c>
      <c r="E989" s="55">
        <v>1</v>
      </c>
      <c r="F989" s="57" t="s">
        <v>4</v>
      </c>
      <c r="G989" s="55"/>
      <c r="H989" s="58"/>
      <c r="I989" s="59"/>
    </row>
    <row r="990" spans="2:9" x14ac:dyDescent="0.2">
      <c r="B990" s="54" t="str">
        <f t="shared" si="15"/>
        <v>2022-095-2</v>
      </c>
      <c r="C990" s="55">
        <v>2022</v>
      </c>
      <c r="D990" s="55" t="s">
        <v>102</v>
      </c>
      <c r="E990" s="55">
        <v>2</v>
      </c>
      <c r="F990" s="57" t="s">
        <v>16</v>
      </c>
      <c r="G990" s="55"/>
      <c r="H990" s="58"/>
      <c r="I990" s="59"/>
    </row>
    <row r="991" spans="2:9" x14ac:dyDescent="0.2">
      <c r="B991" s="54" t="str">
        <f t="shared" si="15"/>
        <v>2022-095-3</v>
      </c>
      <c r="C991" s="55">
        <v>2022</v>
      </c>
      <c r="D991" s="55" t="s">
        <v>102</v>
      </c>
      <c r="E991" s="55">
        <v>3</v>
      </c>
      <c r="F991" s="57" t="s">
        <v>11</v>
      </c>
      <c r="G991" s="55"/>
      <c r="H991" s="58"/>
      <c r="I991" s="59"/>
    </row>
    <row r="992" spans="2:9" x14ac:dyDescent="0.2">
      <c r="B992" s="54" t="str">
        <f t="shared" si="15"/>
        <v>2022-095-4</v>
      </c>
      <c r="C992" s="55">
        <v>2022</v>
      </c>
      <c r="D992" s="55" t="s">
        <v>102</v>
      </c>
      <c r="E992" s="55">
        <v>4</v>
      </c>
      <c r="F992" s="57" t="s">
        <v>17</v>
      </c>
      <c r="G992" s="55"/>
      <c r="H992" s="58"/>
      <c r="I992" s="59"/>
    </row>
    <row r="993" spans="2:9" x14ac:dyDescent="0.2">
      <c r="B993" s="60" t="str">
        <f t="shared" si="15"/>
        <v>2022-095-5</v>
      </c>
      <c r="C993" s="61">
        <v>2022</v>
      </c>
      <c r="D993" s="61" t="s">
        <v>102</v>
      </c>
      <c r="E993" s="61">
        <v>5</v>
      </c>
      <c r="F993" s="62" t="s">
        <v>21</v>
      </c>
      <c r="G993" s="61" t="s">
        <v>2735</v>
      </c>
      <c r="H993" s="63"/>
      <c r="I993" s="64"/>
    </row>
    <row r="994" spans="2:9" ht="54" x14ac:dyDescent="0.2">
      <c r="B994" s="65" t="str">
        <f t="shared" si="15"/>
        <v>2022-096-0</v>
      </c>
      <c r="C994" s="66">
        <v>2022</v>
      </c>
      <c r="D994" s="66" t="s">
        <v>103</v>
      </c>
      <c r="E994" s="66">
        <v>0</v>
      </c>
      <c r="F994" s="67" t="s">
        <v>239</v>
      </c>
      <c r="G994" s="66"/>
      <c r="H994" s="68"/>
      <c r="I994" s="69"/>
    </row>
    <row r="995" spans="2:9" x14ac:dyDescent="0.2">
      <c r="B995" s="54" t="str">
        <f t="shared" si="15"/>
        <v>2022-096-1</v>
      </c>
      <c r="C995" s="55">
        <v>2022</v>
      </c>
      <c r="D995" s="55" t="s">
        <v>103</v>
      </c>
      <c r="E995" s="55">
        <v>1</v>
      </c>
      <c r="F995" s="57" t="s">
        <v>589</v>
      </c>
      <c r="G995" s="55" t="s">
        <v>2735</v>
      </c>
      <c r="H995" s="58"/>
      <c r="I995" s="59"/>
    </row>
    <row r="996" spans="2:9" x14ac:dyDescent="0.2">
      <c r="B996" s="54" t="str">
        <f t="shared" si="15"/>
        <v>2022-096-2</v>
      </c>
      <c r="C996" s="55">
        <v>2022</v>
      </c>
      <c r="D996" s="55" t="s">
        <v>103</v>
      </c>
      <c r="E996" s="55">
        <v>2</v>
      </c>
      <c r="F996" s="57" t="s">
        <v>915</v>
      </c>
      <c r="G996" s="55"/>
      <c r="H996" s="58"/>
      <c r="I996" s="59"/>
    </row>
    <row r="997" spans="2:9" x14ac:dyDescent="0.2">
      <c r="B997" s="54" t="str">
        <f t="shared" si="15"/>
        <v>2022-096-3</v>
      </c>
      <c r="C997" s="55">
        <v>2022</v>
      </c>
      <c r="D997" s="55" t="s">
        <v>103</v>
      </c>
      <c r="E997" s="55">
        <v>3</v>
      </c>
      <c r="F997" s="57" t="s">
        <v>1237</v>
      </c>
      <c r="G997" s="55"/>
      <c r="H997" s="58"/>
      <c r="I997" s="59"/>
    </row>
    <row r="998" spans="2:9" x14ac:dyDescent="0.2">
      <c r="B998" s="54" t="str">
        <f t="shared" si="15"/>
        <v>2022-096-4</v>
      </c>
      <c r="C998" s="55">
        <v>2022</v>
      </c>
      <c r="D998" s="55" t="s">
        <v>103</v>
      </c>
      <c r="E998" s="55">
        <v>4</v>
      </c>
      <c r="F998" s="57" t="s">
        <v>1544</v>
      </c>
      <c r="G998" s="55"/>
      <c r="H998" s="58"/>
      <c r="I998" s="59"/>
    </row>
    <row r="999" spans="2:9" x14ac:dyDescent="0.2">
      <c r="B999" s="60" t="str">
        <f t="shared" si="15"/>
        <v>2022-096-5</v>
      </c>
      <c r="C999" s="61">
        <v>2022</v>
      </c>
      <c r="D999" s="61" t="s">
        <v>103</v>
      </c>
      <c r="E999" s="61">
        <v>5</v>
      </c>
      <c r="F999" s="62" t="s">
        <v>1840</v>
      </c>
      <c r="G999" s="61"/>
      <c r="H999" s="63"/>
      <c r="I999" s="64"/>
    </row>
    <row r="1000" spans="2:9" x14ac:dyDescent="0.2">
      <c r="B1000" s="65" t="str">
        <f t="shared" si="15"/>
        <v>2022-097-0</v>
      </c>
      <c r="C1000" s="66">
        <v>2022</v>
      </c>
      <c r="D1000" s="66" t="s">
        <v>104</v>
      </c>
      <c r="E1000" s="66">
        <v>0</v>
      </c>
      <c r="F1000" s="67" t="s">
        <v>240</v>
      </c>
      <c r="G1000" s="66"/>
      <c r="H1000" s="68"/>
      <c r="I1000" s="69"/>
    </row>
    <row r="1001" spans="2:9" x14ac:dyDescent="0.2">
      <c r="B1001" s="54" t="str">
        <f t="shared" si="15"/>
        <v>2022-097-1</v>
      </c>
      <c r="C1001" s="55">
        <v>2022</v>
      </c>
      <c r="D1001" s="55" t="s">
        <v>104</v>
      </c>
      <c r="E1001" s="55">
        <v>1</v>
      </c>
      <c r="F1001" s="57" t="s">
        <v>590</v>
      </c>
      <c r="G1001" s="55"/>
      <c r="H1001" s="58"/>
      <c r="I1001" s="59"/>
    </row>
    <row r="1002" spans="2:9" ht="27" x14ac:dyDescent="0.2">
      <c r="B1002" s="54" t="str">
        <f t="shared" si="15"/>
        <v>2022-097-2</v>
      </c>
      <c r="C1002" s="55">
        <v>2022</v>
      </c>
      <c r="D1002" s="55" t="s">
        <v>104</v>
      </c>
      <c r="E1002" s="55">
        <v>2</v>
      </c>
      <c r="F1002" s="57" t="s">
        <v>916</v>
      </c>
      <c r="G1002" s="55" t="s">
        <v>2735</v>
      </c>
      <c r="H1002" s="58"/>
      <c r="I1002" s="59"/>
    </row>
    <row r="1003" spans="2:9" ht="27" x14ac:dyDescent="0.2">
      <c r="B1003" s="54" t="str">
        <f t="shared" si="15"/>
        <v>2022-097-3</v>
      </c>
      <c r="C1003" s="55">
        <v>2022</v>
      </c>
      <c r="D1003" s="55" t="s">
        <v>104</v>
      </c>
      <c r="E1003" s="55">
        <v>3</v>
      </c>
      <c r="F1003" s="57" t="s">
        <v>1238</v>
      </c>
      <c r="G1003" s="55"/>
      <c r="H1003" s="58"/>
      <c r="I1003" s="59"/>
    </row>
    <row r="1004" spans="2:9" ht="27" x14ac:dyDescent="0.2">
      <c r="B1004" s="54" t="str">
        <f t="shared" si="15"/>
        <v>2022-097-4</v>
      </c>
      <c r="C1004" s="55">
        <v>2022</v>
      </c>
      <c r="D1004" s="55" t="s">
        <v>104</v>
      </c>
      <c r="E1004" s="55">
        <v>4</v>
      </c>
      <c r="F1004" s="57" t="s">
        <v>1545</v>
      </c>
      <c r="G1004" s="55"/>
      <c r="H1004" s="58"/>
      <c r="I1004" s="59"/>
    </row>
    <row r="1005" spans="2:9" ht="27" x14ac:dyDescent="0.2">
      <c r="B1005" s="60" t="str">
        <f t="shared" si="15"/>
        <v>2022-097-5</v>
      </c>
      <c r="C1005" s="61">
        <v>2022</v>
      </c>
      <c r="D1005" s="61" t="s">
        <v>104</v>
      </c>
      <c r="E1005" s="61">
        <v>5</v>
      </c>
      <c r="F1005" s="62" t="s">
        <v>1841</v>
      </c>
      <c r="G1005" s="61"/>
      <c r="H1005" s="63"/>
      <c r="I1005" s="64"/>
    </row>
    <row r="1006" spans="2:9" ht="27" x14ac:dyDescent="0.2">
      <c r="B1006" s="65" t="str">
        <f t="shared" si="15"/>
        <v>2022-098-0</v>
      </c>
      <c r="C1006" s="66">
        <v>2022</v>
      </c>
      <c r="D1006" s="66" t="s">
        <v>105</v>
      </c>
      <c r="E1006" s="66">
        <v>0</v>
      </c>
      <c r="F1006" s="67" t="s">
        <v>3075</v>
      </c>
      <c r="G1006" s="66"/>
      <c r="H1006" s="68"/>
      <c r="I1006" s="69"/>
    </row>
    <row r="1007" spans="2:9" x14ac:dyDescent="0.2">
      <c r="B1007" s="54" t="str">
        <f t="shared" si="15"/>
        <v>2022-098-1</v>
      </c>
      <c r="C1007" s="55">
        <v>2022</v>
      </c>
      <c r="D1007" s="55" t="s">
        <v>105</v>
      </c>
      <c r="E1007" s="55">
        <v>1</v>
      </c>
      <c r="F1007" s="57" t="s">
        <v>591</v>
      </c>
      <c r="G1007" s="55"/>
      <c r="H1007" s="58"/>
      <c r="I1007" s="59"/>
    </row>
    <row r="1008" spans="2:9" x14ac:dyDescent="0.2">
      <c r="B1008" s="54" t="str">
        <f t="shared" si="15"/>
        <v>2022-098-2</v>
      </c>
      <c r="C1008" s="55">
        <v>2022</v>
      </c>
      <c r="D1008" s="55" t="s">
        <v>105</v>
      </c>
      <c r="E1008" s="55">
        <v>2</v>
      </c>
      <c r="F1008" s="57" t="s">
        <v>611</v>
      </c>
      <c r="G1008" s="55" t="s">
        <v>2735</v>
      </c>
      <c r="H1008" s="58"/>
      <c r="I1008" s="59"/>
    </row>
    <row r="1009" spans="2:9" x14ac:dyDescent="0.2">
      <c r="B1009" s="54" t="str">
        <f t="shared" si="15"/>
        <v>2022-098-3</v>
      </c>
      <c r="C1009" s="55">
        <v>2022</v>
      </c>
      <c r="D1009" s="55" t="s">
        <v>105</v>
      </c>
      <c r="E1009" s="55">
        <v>3</v>
      </c>
      <c r="F1009" s="57" t="s">
        <v>1239</v>
      </c>
      <c r="G1009" s="55"/>
      <c r="H1009" s="58"/>
      <c r="I1009" s="59"/>
    </row>
    <row r="1010" spans="2:9" x14ac:dyDescent="0.2">
      <c r="B1010" s="54" t="str">
        <f t="shared" si="15"/>
        <v>2022-098-4</v>
      </c>
      <c r="C1010" s="55">
        <v>2022</v>
      </c>
      <c r="D1010" s="55" t="s">
        <v>105</v>
      </c>
      <c r="E1010" s="55">
        <v>4</v>
      </c>
      <c r="F1010" s="57" t="s">
        <v>936</v>
      </c>
      <c r="G1010" s="55"/>
      <c r="H1010" s="58"/>
      <c r="I1010" s="59"/>
    </row>
    <row r="1011" spans="2:9" x14ac:dyDescent="0.2">
      <c r="B1011" s="60" t="str">
        <f t="shared" si="15"/>
        <v>2022-098-5</v>
      </c>
      <c r="C1011" s="61">
        <v>2022</v>
      </c>
      <c r="D1011" s="61" t="s">
        <v>105</v>
      </c>
      <c r="E1011" s="61">
        <v>5</v>
      </c>
      <c r="F1011" s="62" t="s">
        <v>1842</v>
      </c>
      <c r="G1011" s="61"/>
      <c r="H1011" s="63"/>
      <c r="I1011" s="64"/>
    </row>
    <row r="1012" spans="2:9" x14ac:dyDescent="0.2">
      <c r="B1012" s="65" t="str">
        <f t="shared" si="15"/>
        <v>2022-099-0</v>
      </c>
      <c r="C1012" s="66">
        <v>2022</v>
      </c>
      <c r="D1012" s="66" t="s">
        <v>106</v>
      </c>
      <c r="E1012" s="66">
        <v>0</v>
      </c>
      <c r="F1012" s="67" t="s">
        <v>241</v>
      </c>
      <c r="G1012" s="66"/>
      <c r="H1012" s="68"/>
      <c r="I1012" s="69"/>
    </row>
    <row r="1013" spans="2:9" x14ac:dyDescent="0.2">
      <c r="B1013" s="54" t="str">
        <f t="shared" si="15"/>
        <v>2022-099-1</v>
      </c>
      <c r="C1013" s="55">
        <v>2022</v>
      </c>
      <c r="D1013" s="55" t="s">
        <v>106</v>
      </c>
      <c r="E1013" s="55">
        <v>1</v>
      </c>
      <c r="F1013" s="57" t="s">
        <v>592</v>
      </c>
      <c r="G1013" s="55" t="s">
        <v>2735</v>
      </c>
      <c r="H1013" s="58"/>
      <c r="I1013" s="59"/>
    </row>
    <row r="1014" spans="2:9" ht="27" x14ac:dyDescent="0.2">
      <c r="B1014" s="54" t="str">
        <f t="shared" si="15"/>
        <v>2022-099-2</v>
      </c>
      <c r="C1014" s="55">
        <v>2022</v>
      </c>
      <c r="D1014" s="55" t="s">
        <v>106</v>
      </c>
      <c r="E1014" s="55">
        <v>2</v>
      </c>
      <c r="F1014" s="57" t="s">
        <v>917</v>
      </c>
      <c r="G1014" s="55"/>
      <c r="H1014" s="58"/>
      <c r="I1014" s="59"/>
    </row>
    <row r="1015" spans="2:9" x14ac:dyDescent="0.2">
      <c r="B1015" s="54" t="str">
        <f t="shared" si="15"/>
        <v>2022-099-3</v>
      </c>
      <c r="C1015" s="55">
        <v>2022</v>
      </c>
      <c r="D1015" s="55" t="s">
        <v>106</v>
      </c>
      <c r="E1015" s="55">
        <v>3</v>
      </c>
      <c r="F1015" s="57" t="s">
        <v>1240</v>
      </c>
      <c r="G1015" s="55"/>
      <c r="H1015" s="58"/>
      <c r="I1015" s="59"/>
    </row>
    <row r="1016" spans="2:9" x14ac:dyDescent="0.2">
      <c r="B1016" s="54" t="str">
        <f t="shared" si="15"/>
        <v>2022-099-4</v>
      </c>
      <c r="C1016" s="55">
        <v>2022</v>
      </c>
      <c r="D1016" s="55" t="s">
        <v>106</v>
      </c>
      <c r="E1016" s="55">
        <v>4</v>
      </c>
      <c r="F1016" s="57" t="s">
        <v>1546</v>
      </c>
      <c r="G1016" s="55"/>
      <c r="H1016" s="58"/>
      <c r="I1016" s="59"/>
    </row>
    <row r="1017" spans="2:9" x14ac:dyDescent="0.2">
      <c r="B1017" s="60" t="str">
        <f t="shared" si="15"/>
        <v>2022-099-5</v>
      </c>
      <c r="C1017" s="61">
        <v>2022</v>
      </c>
      <c r="D1017" s="61" t="s">
        <v>106</v>
      </c>
      <c r="E1017" s="61">
        <v>5</v>
      </c>
      <c r="F1017" s="62" t="s">
        <v>1843</v>
      </c>
      <c r="G1017" s="61"/>
      <c r="H1017" s="63"/>
      <c r="I1017" s="64"/>
    </row>
    <row r="1018" spans="2:9" ht="54" x14ac:dyDescent="0.2">
      <c r="B1018" s="65" t="str">
        <f t="shared" si="15"/>
        <v>2022-100-0</v>
      </c>
      <c r="C1018" s="66">
        <v>2022</v>
      </c>
      <c r="D1018" s="66" t="s">
        <v>107</v>
      </c>
      <c r="E1018" s="66">
        <v>0</v>
      </c>
      <c r="F1018" s="67" t="s">
        <v>242</v>
      </c>
      <c r="G1018" s="66"/>
      <c r="H1018" s="68"/>
      <c r="I1018" s="69"/>
    </row>
    <row r="1019" spans="2:9" x14ac:dyDescent="0.2">
      <c r="B1019" s="54" t="str">
        <f t="shared" si="15"/>
        <v>2022-100-1</v>
      </c>
      <c r="C1019" s="55">
        <v>2022</v>
      </c>
      <c r="D1019" s="55" t="s">
        <v>107</v>
      </c>
      <c r="E1019" s="55">
        <v>1</v>
      </c>
      <c r="F1019" s="57">
        <v>7</v>
      </c>
      <c r="G1019" s="55"/>
      <c r="H1019" s="58"/>
      <c r="I1019" s="59"/>
    </row>
    <row r="1020" spans="2:9" x14ac:dyDescent="0.2">
      <c r="B1020" s="54" t="str">
        <f t="shared" si="15"/>
        <v>2022-100-2</v>
      </c>
      <c r="C1020" s="55">
        <v>2022</v>
      </c>
      <c r="D1020" s="55" t="s">
        <v>107</v>
      </c>
      <c r="E1020" s="55">
        <v>2</v>
      </c>
      <c r="F1020" s="57">
        <v>14</v>
      </c>
      <c r="G1020" s="55" t="s">
        <v>2735</v>
      </c>
      <c r="H1020" s="58"/>
      <c r="I1020" s="59"/>
    </row>
    <row r="1021" spans="2:9" x14ac:dyDescent="0.2">
      <c r="B1021" s="54" t="str">
        <f t="shared" si="15"/>
        <v>2022-100-3</v>
      </c>
      <c r="C1021" s="55">
        <v>2022</v>
      </c>
      <c r="D1021" s="55" t="s">
        <v>107</v>
      </c>
      <c r="E1021" s="55">
        <v>3</v>
      </c>
      <c r="F1021" s="57">
        <v>15</v>
      </c>
      <c r="G1021" s="55"/>
      <c r="H1021" s="58"/>
      <c r="I1021" s="59"/>
    </row>
    <row r="1022" spans="2:9" x14ac:dyDescent="0.2">
      <c r="B1022" s="54" t="str">
        <f t="shared" si="15"/>
        <v>2022-100-4</v>
      </c>
      <c r="C1022" s="55">
        <v>2022</v>
      </c>
      <c r="D1022" s="55" t="s">
        <v>107</v>
      </c>
      <c r="E1022" s="55">
        <v>4</v>
      </c>
      <c r="F1022" s="57">
        <v>20</v>
      </c>
      <c r="G1022" s="55"/>
      <c r="H1022" s="58"/>
      <c r="I1022" s="59"/>
    </row>
    <row r="1023" spans="2:9" ht="14.25" thickBot="1" x14ac:dyDescent="0.25">
      <c r="B1023" s="70" t="str">
        <f t="shared" si="15"/>
        <v>2022-100-5</v>
      </c>
      <c r="C1023" s="71">
        <v>2022</v>
      </c>
      <c r="D1023" s="71" t="s">
        <v>107</v>
      </c>
      <c r="E1023" s="71">
        <v>5</v>
      </c>
      <c r="F1023" s="72">
        <v>30</v>
      </c>
      <c r="G1023" s="71"/>
      <c r="H1023" s="73"/>
      <c r="I1023" s="74"/>
    </row>
    <row r="1024" spans="2:9" x14ac:dyDescent="0.2">
      <c r="B1024" s="48" t="str">
        <f t="shared" ref="B1024:B1072" si="16">C1024&amp;"-"&amp;D1024&amp;"-"&amp;E1024</f>
        <v>2021-076-0</v>
      </c>
      <c r="C1024" s="49">
        <v>2021</v>
      </c>
      <c r="D1024" s="49" t="s">
        <v>78</v>
      </c>
      <c r="E1024" s="49">
        <v>0</v>
      </c>
      <c r="F1024" s="51" t="s">
        <v>243</v>
      </c>
      <c r="G1024" s="49"/>
      <c r="H1024" s="52"/>
      <c r="I1024" s="53"/>
    </row>
    <row r="1025" spans="2:9" ht="27" x14ac:dyDescent="0.2">
      <c r="B1025" s="54" t="str">
        <f t="shared" si="16"/>
        <v>2021-076-1</v>
      </c>
      <c r="C1025" s="55">
        <v>2021</v>
      </c>
      <c r="D1025" s="55" t="s">
        <v>78</v>
      </c>
      <c r="E1025" s="55">
        <v>1</v>
      </c>
      <c r="F1025" s="57" t="s">
        <v>593</v>
      </c>
      <c r="G1025" s="55"/>
      <c r="H1025" s="58"/>
      <c r="I1025" s="59"/>
    </row>
    <row r="1026" spans="2:9" x14ac:dyDescent="0.2">
      <c r="B1026" s="54" t="str">
        <f t="shared" si="16"/>
        <v>2021-076-2</v>
      </c>
      <c r="C1026" s="55">
        <v>2021</v>
      </c>
      <c r="D1026" s="55" t="s">
        <v>78</v>
      </c>
      <c r="E1026" s="55">
        <v>2</v>
      </c>
      <c r="F1026" s="57" t="s">
        <v>918</v>
      </c>
      <c r="G1026" s="55" t="s">
        <v>2735</v>
      </c>
      <c r="H1026" s="58"/>
      <c r="I1026" s="59"/>
    </row>
    <row r="1027" spans="2:9" x14ac:dyDescent="0.2">
      <c r="B1027" s="54" t="str">
        <f t="shared" si="16"/>
        <v>2021-076-3</v>
      </c>
      <c r="C1027" s="55">
        <v>2021</v>
      </c>
      <c r="D1027" s="55" t="s">
        <v>78</v>
      </c>
      <c r="E1027" s="55">
        <v>3</v>
      </c>
      <c r="F1027" s="57" t="s">
        <v>902</v>
      </c>
      <c r="G1027" s="55"/>
      <c r="H1027" s="58"/>
      <c r="I1027" s="59"/>
    </row>
    <row r="1028" spans="2:9" x14ac:dyDescent="0.2">
      <c r="B1028" s="54" t="str">
        <f t="shared" si="16"/>
        <v>2021-076-4</v>
      </c>
      <c r="C1028" s="55">
        <v>2021</v>
      </c>
      <c r="D1028" s="55" t="s">
        <v>78</v>
      </c>
      <c r="E1028" s="55">
        <v>4</v>
      </c>
      <c r="F1028" s="57" t="s">
        <v>526</v>
      </c>
      <c r="G1028" s="55"/>
      <c r="H1028" s="58"/>
      <c r="I1028" s="59"/>
    </row>
    <row r="1029" spans="2:9" x14ac:dyDescent="0.2">
      <c r="B1029" s="60" t="str">
        <f t="shared" si="16"/>
        <v>2021-076-5</v>
      </c>
      <c r="C1029" s="61">
        <v>2021</v>
      </c>
      <c r="D1029" s="61" t="s">
        <v>78</v>
      </c>
      <c r="E1029" s="61">
        <v>5</v>
      </c>
      <c r="F1029" s="62" t="s">
        <v>700</v>
      </c>
      <c r="G1029" s="61"/>
      <c r="H1029" s="63"/>
      <c r="I1029" s="64"/>
    </row>
    <row r="1030" spans="2:9" x14ac:dyDescent="0.2">
      <c r="B1030" s="65" t="str">
        <f t="shared" si="16"/>
        <v>2021-077-0</v>
      </c>
      <c r="C1030" s="66">
        <v>2021</v>
      </c>
      <c r="D1030" s="66" t="s">
        <v>79</v>
      </c>
      <c r="E1030" s="66">
        <v>0</v>
      </c>
      <c r="F1030" s="67" t="s">
        <v>244</v>
      </c>
      <c r="G1030" s="66"/>
      <c r="H1030" s="68"/>
      <c r="I1030" s="69"/>
    </row>
    <row r="1031" spans="2:9" x14ac:dyDescent="0.2">
      <c r="B1031" s="54" t="str">
        <f t="shared" si="16"/>
        <v>2021-077-1</v>
      </c>
      <c r="C1031" s="55">
        <v>2021</v>
      </c>
      <c r="D1031" s="55" t="s">
        <v>79</v>
      </c>
      <c r="E1031" s="55">
        <v>1</v>
      </c>
      <c r="F1031" s="57" t="s">
        <v>594</v>
      </c>
      <c r="G1031" s="55"/>
      <c r="H1031" s="58"/>
      <c r="I1031" s="59"/>
    </row>
    <row r="1032" spans="2:9" x14ac:dyDescent="0.2">
      <c r="B1032" s="54" t="str">
        <f t="shared" si="16"/>
        <v>2021-077-2</v>
      </c>
      <c r="C1032" s="55">
        <v>2021</v>
      </c>
      <c r="D1032" s="55" t="s">
        <v>79</v>
      </c>
      <c r="E1032" s="55">
        <v>2</v>
      </c>
      <c r="F1032" s="57" t="s">
        <v>919</v>
      </c>
      <c r="G1032" s="55"/>
      <c r="H1032" s="58"/>
      <c r="I1032" s="59"/>
    </row>
    <row r="1033" spans="2:9" x14ac:dyDescent="0.2">
      <c r="B1033" s="54" t="str">
        <f t="shared" si="16"/>
        <v>2021-077-3</v>
      </c>
      <c r="C1033" s="55">
        <v>2021</v>
      </c>
      <c r="D1033" s="55" t="s">
        <v>79</v>
      </c>
      <c r="E1033" s="55">
        <v>3</v>
      </c>
      <c r="F1033" s="57" t="s">
        <v>1241</v>
      </c>
      <c r="G1033" s="55" t="s">
        <v>2735</v>
      </c>
      <c r="H1033" s="58"/>
      <c r="I1033" s="59"/>
    </row>
    <row r="1034" spans="2:9" x14ac:dyDescent="0.2">
      <c r="B1034" s="54" t="str">
        <f t="shared" si="16"/>
        <v>2021-077-4</v>
      </c>
      <c r="C1034" s="55">
        <v>2021</v>
      </c>
      <c r="D1034" s="55" t="s">
        <v>79</v>
      </c>
      <c r="E1034" s="55">
        <v>4</v>
      </c>
      <c r="F1034" s="57" t="s">
        <v>1547</v>
      </c>
      <c r="G1034" s="55"/>
      <c r="H1034" s="58"/>
      <c r="I1034" s="59"/>
    </row>
    <row r="1035" spans="2:9" x14ac:dyDescent="0.2">
      <c r="B1035" s="60" t="str">
        <f t="shared" si="16"/>
        <v>2021-077-5</v>
      </c>
      <c r="C1035" s="61">
        <v>2021</v>
      </c>
      <c r="D1035" s="61" t="s">
        <v>79</v>
      </c>
      <c r="E1035" s="61">
        <v>5</v>
      </c>
      <c r="F1035" s="62" t="s">
        <v>1844</v>
      </c>
      <c r="G1035" s="61"/>
      <c r="H1035" s="63"/>
      <c r="I1035" s="64"/>
    </row>
    <row r="1036" spans="2:9" x14ac:dyDescent="0.2">
      <c r="B1036" s="65" t="str">
        <f t="shared" si="16"/>
        <v>2021-078-0</v>
      </c>
      <c r="C1036" s="66">
        <v>2021</v>
      </c>
      <c r="D1036" s="66" t="s">
        <v>80</v>
      </c>
      <c r="E1036" s="66">
        <v>0</v>
      </c>
      <c r="F1036" s="67" t="s">
        <v>245</v>
      </c>
      <c r="G1036" s="66"/>
      <c r="H1036" s="68"/>
      <c r="I1036" s="69"/>
    </row>
    <row r="1037" spans="2:9" x14ac:dyDescent="0.2">
      <c r="B1037" s="54" t="str">
        <f t="shared" si="16"/>
        <v>2021-078-1</v>
      </c>
      <c r="C1037" s="55">
        <v>2021</v>
      </c>
      <c r="D1037" s="55" t="s">
        <v>80</v>
      </c>
      <c r="E1037" s="55">
        <v>1</v>
      </c>
      <c r="F1037" s="57" t="s">
        <v>595</v>
      </c>
      <c r="G1037" s="55"/>
      <c r="H1037" s="58"/>
      <c r="I1037" s="59"/>
    </row>
    <row r="1038" spans="2:9" x14ac:dyDescent="0.2">
      <c r="B1038" s="54" t="str">
        <f t="shared" si="16"/>
        <v>2021-078-2</v>
      </c>
      <c r="C1038" s="55">
        <v>2021</v>
      </c>
      <c r="D1038" s="55" t="s">
        <v>80</v>
      </c>
      <c r="E1038" s="55">
        <v>2</v>
      </c>
      <c r="F1038" s="57" t="s">
        <v>920</v>
      </c>
      <c r="G1038" s="55" t="s">
        <v>2735</v>
      </c>
      <c r="H1038" s="58"/>
      <c r="I1038" s="59"/>
    </row>
    <row r="1039" spans="2:9" x14ac:dyDescent="0.2">
      <c r="B1039" s="54" t="str">
        <f t="shared" si="16"/>
        <v>2021-078-3</v>
      </c>
      <c r="C1039" s="55">
        <v>2021</v>
      </c>
      <c r="D1039" s="55" t="s">
        <v>80</v>
      </c>
      <c r="E1039" s="55">
        <v>3</v>
      </c>
      <c r="F1039" s="57" t="s">
        <v>1242</v>
      </c>
      <c r="G1039" s="55"/>
      <c r="H1039" s="58"/>
      <c r="I1039" s="59"/>
    </row>
    <row r="1040" spans="2:9" x14ac:dyDescent="0.2">
      <c r="B1040" s="54" t="str">
        <f t="shared" si="16"/>
        <v>2021-078-4</v>
      </c>
      <c r="C1040" s="55">
        <v>2021</v>
      </c>
      <c r="D1040" s="55" t="s">
        <v>80</v>
      </c>
      <c r="E1040" s="55">
        <v>4</v>
      </c>
      <c r="F1040" s="57" t="s">
        <v>1548</v>
      </c>
      <c r="G1040" s="55"/>
      <c r="H1040" s="58"/>
      <c r="I1040" s="59"/>
    </row>
    <row r="1041" spans="2:9" x14ac:dyDescent="0.2">
      <c r="B1041" s="60" t="str">
        <f t="shared" si="16"/>
        <v>2021-078-5</v>
      </c>
      <c r="C1041" s="61">
        <v>2021</v>
      </c>
      <c r="D1041" s="61" t="s">
        <v>80</v>
      </c>
      <c r="E1041" s="61">
        <v>5</v>
      </c>
      <c r="F1041" s="62" t="s">
        <v>1845</v>
      </c>
      <c r="G1041" s="61"/>
      <c r="H1041" s="63"/>
      <c r="I1041" s="64"/>
    </row>
    <row r="1042" spans="2:9" ht="54" x14ac:dyDescent="0.2">
      <c r="B1042" s="65" t="str">
        <f t="shared" si="16"/>
        <v>2021-079-0</v>
      </c>
      <c r="C1042" s="66">
        <v>2021</v>
      </c>
      <c r="D1042" s="66" t="s">
        <v>81</v>
      </c>
      <c r="E1042" s="66">
        <v>0</v>
      </c>
      <c r="F1042" s="67" t="s">
        <v>246</v>
      </c>
      <c r="G1042" s="66"/>
      <c r="H1042" s="68"/>
      <c r="I1042" s="69"/>
    </row>
    <row r="1043" spans="2:9" x14ac:dyDescent="0.2">
      <c r="B1043" s="54" t="str">
        <f t="shared" si="16"/>
        <v>2021-079-1</v>
      </c>
      <c r="C1043" s="55">
        <v>2021</v>
      </c>
      <c r="D1043" s="55" t="s">
        <v>81</v>
      </c>
      <c r="E1043" s="55">
        <v>1</v>
      </c>
      <c r="F1043" s="57" t="s">
        <v>596</v>
      </c>
      <c r="G1043" s="55"/>
      <c r="H1043" s="58"/>
      <c r="I1043" s="59"/>
    </row>
    <row r="1044" spans="2:9" x14ac:dyDescent="0.2">
      <c r="B1044" s="54" t="str">
        <f t="shared" si="16"/>
        <v>2021-079-2</v>
      </c>
      <c r="C1044" s="55">
        <v>2021</v>
      </c>
      <c r="D1044" s="55" t="s">
        <v>81</v>
      </c>
      <c r="E1044" s="55">
        <v>2</v>
      </c>
      <c r="F1044" s="57" t="s">
        <v>921</v>
      </c>
      <c r="G1044" s="55"/>
      <c r="H1044" s="58"/>
      <c r="I1044" s="59"/>
    </row>
    <row r="1045" spans="2:9" x14ac:dyDescent="0.2">
      <c r="B1045" s="54" t="str">
        <f t="shared" si="16"/>
        <v>2021-079-3</v>
      </c>
      <c r="C1045" s="55">
        <v>2021</v>
      </c>
      <c r="D1045" s="55" t="s">
        <v>81</v>
      </c>
      <c r="E1045" s="55">
        <v>3</v>
      </c>
      <c r="F1045" s="57" t="s">
        <v>1243</v>
      </c>
      <c r="G1045" s="55"/>
      <c r="H1045" s="58"/>
      <c r="I1045" s="59"/>
    </row>
    <row r="1046" spans="2:9" x14ac:dyDescent="0.2">
      <c r="B1046" s="54" t="str">
        <f t="shared" si="16"/>
        <v>2021-079-4</v>
      </c>
      <c r="C1046" s="55">
        <v>2021</v>
      </c>
      <c r="D1046" s="55" t="s">
        <v>81</v>
      </c>
      <c r="E1046" s="55">
        <v>4</v>
      </c>
      <c r="F1046" s="57" t="s">
        <v>1549</v>
      </c>
      <c r="G1046" s="55" t="s">
        <v>2735</v>
      </c>
      <c r="H1046" s="58"/>
      <c r="I1046" s="59"/>
    </row>
    <row r="1047" spans="2:9" x14ac:dyDescent="0.2">
      <c r="B1047" s="60" t="str">
        <f t="shared" si="16"/>
        <v>2021-079-5</v>
      </c>
      <c r="C1047" s="61">
        <v>2021</v>
      </c>
      <c r="D1047" s="61" t="s">
        <v>81</v>
      </c>
      <c r="E1047" s="61">
        <v>5</v>
      </c>
      <c r="F1047" s="62" t="s">
        <v>1846</v>
      </c>
      <c r="G1047" s="61"/>
      <c r="H1047" s="63"/>
      <c r="I1047" s="64"/>
    </row>
    <row r="1048" spans="2:9" ht="27" x14ac:dyDescent="0.2">
      <c r="B1048" s="65" t="str">
        <f t="shared" si="16"/>
        <v>2021-080-0</v>
      </c>
      <c r="C1048" s="66">
        <v>2021</v>
      </c>
      <c r="D1048" s="66" t="s">
        <v>82</v>
      </c>
      <c r="E1048" s="66">
        <v>0</v>
      </c>
      <c r="F1048" s="67" t="s">
        <v>247</v>
      </c>
      <c r="G1048" s="66"/>
      <c r="H1048" s="68"/>
      <c r="I1048" s="69"/>
    </row>
    <row r="1049" spans="2:9" x14ac:dyDescent="0.2">
      <c r="B1049" s="54" t="str">
        <f t="shared" si="16"/>
        <v>2021-080-1</v>
      </c>
      <c r="C1049" s="55">
        <v>2021</v>
      </c>
      <c r="D1049" s="55" t="s">
        <v>82</v>
      </c>
      <c r="E1049" s="55">
        <v>1</v>
      </c>
      <c r="F1049" s="57" t="s">
        <v>527</v>
      </c>
      <c r="G1049" s="55"/>
      <c r="H1049" s="58"/>
      <c r="I1049" s="59"/>
    </row>
    <row r="1050" spans="2:9" x14ac:dyDescent="0.2">
      <c r="B1050" s="54" t="str">
        <f t="shared" si="16"/>
        <v>2021-080-2</v>
      </c>
      <c r="C1050" s="55">
        <v>2021</v>
      </c>
      <c r="D1050" s="55" t="s">
        <v>82</v>
      </c>
      <c r="E1050" s="55">
        <v>2</v>
      </c>
      <c r="F1050" s="57" t="s">
        <v>854</v>
      </c>
      <c r="G1050" s="55"/>
      <c r="H1050" s="58"/>
      <c r="I1050" s="59"/>
    </row>
    <row r="1051" spans="2:9" x14ac:dyDescent="0.2">
      <c r="B1051" s="54" t="str">
        <f t="shared" si="16"/>
        <v>2021-080-3</v>
      </c>
      <c r="C1051" s="55">
        <v>2021</v>
      </c>
      <c r="D1051" s="55" t="s">
        <v>82</v>
      </c>
      <c r="E1051" s="55">
        <v>3</v>
      </c>
      <c r="F1051" s="57" t="s">
        <v>1176</v>
      </c>
      <c r="G1051" s="55"/>
      <c r="H1051" s="58"/>
      <c r="I1051" s="59"/>
    </row>
    <row r="1052" spans="2:9" x14ac:dyDescent="0.2">
      <c r="B1052" s="54" t="str">
        <f t="shared" si="16"/>
        <v>2021-080-4</v>
      </c>
      <c r="C1052" s="55">
        <v>2021</v>
      </c>
      <c r="D1052" s="55" t="s">
        <v>82</v>
      </c>
      <c r="E1052" s="55">
        <v>4</v>
      </c>
      <c r="F1052" s="57" t="s">
        <v>1481</v>
      </c>
      <c r="G1052" s="55"/>
      <c r="H1052" s="58"/>
      <c r="I1052" s="59"/>
    </row>
    <row r="1053" spans="2:9" x14ac:dyDescent="0.2">
      <c r="B1053" s="60" t="str">
        <f t="shared" si="16"/>
        <v>2021-080-5</v>
      </c>
      <c r="C1053" s="61">
        <v>2021</v>
      </c>
      <c r="D1053" s="61" t="s">
        <v>82</v>
      </c>
      <c r="E1053" s="61">
        <v>5</v>
      </c>
      <c r="F1053" s="62" t="s">
        <v>1785</v>
      </c>
      <c r="G1053" s="61" t="s">
        <v>2735</v>
      </c>
      <c r="H1053" s="63"/>
      <c r="I1053" s="64"/>
    </row>
    <row r="1054" spans="2:9" x14ac:dyDescent="0.2">
      <c r="B1054" s="65" t="str">
        <f t="shared" si="16"/>
        <v>2021-081-0</v>
      </c>
      <c r="C1054" s="66">
        <v>2021</v>
      </c>
      <c r="D1054" s="66" t="s">
        <v>88</v>
      </c>
      <c r="E1054" s="66">
        <v>0</v>
      </c>
      <c r="F1054" s="67" t="s">
        <v>248</v>
      </c>
      <c r="G1054" s="66"/>
      <c r="H1054" s="68"/>
      <c r="I1054" s="69"/>
    </row>
    <row r="1055" spans="2:9" x14ac:dyDescent="0.2">
      <c r="B1055" s="54" t="str">
        <f t="shared" si="16"/>
        <v>2021-081-1</v>
      </c>
      <c r="C1055" s="55">
        <v>2021</v>
      </c>
      <c r="D1055" s="55" t="s">
        <v>88</v>
      </c>
      <c r="E1055" s="55">
        <v>1</v>
      </c>
      <c r="F1055" s="57" t="s">
        <v>597</v>
      </c>
      <c r="G1055" s="55"/>
      <c r="H1055" s="58"/>
      <c r="I1055" s="59"/>
    </row>
    <row r="1056" spans="2:9" x14ac:dyDescent="0.2">
      <c r="B1056" s="54" t="str">
        <f t="shared" si="16"/>
        <v>2021-081-2</v>
      </c>
      <c r="C1056" s="55">
        <v>2021</v>
      </c>
      <c r="D1056" s="55" t="s">
        <v>88</v>
      </c>
      <c r="E1056" s="55">
        <v>2</v>
      </c>
      <c r="F1056" s="57" t="s">
        <v>922</v>
      </c>
      <c r="G1056" s="55"/>
      <c r="H1056" s="58"/>
      <c r="I1056" s="59"/>
    </row>
    <row r="1057" spans="2:9" x14ac:dyDescent="0.2">
      <c r="B1057" s="54" t="str">
        <f t="shared" si="16"/>
        <v>2021-081-3</v>
      </c>
      <c r="C1057" s="55">
        <v>2021</v>
      </c>
      <c r="D1057" s="55" t="s">
        <v>88</v>
      </c>
      <c r="E1057" s="55">
        <v>3</v>
      </c>
      <c r="F1057" s="57" t="s">
        <v>1244</v>
      </c>
      <c r="G1057" s="55" t="s">
        <v>2735</v>
      </c>
      <c r="H1057" s="58"/>
      <c r="I1057" s="59"/>
    </row>
    <row r="1058" spans="2:9" x14ac:dyDescent="0.2">
      <c r="B1058" s="54" t="str">
        <f t="shared" si="16"/>
        <v>2021-081-4</v>
      </c>
      <c r="C1058" s="55">
        <v>2021</v>
      </c>
      <c r="D1058" s="55" t="s">
        <v>88</v>
      </c>
      <c r="E1058" s="55">
        <v>4</v>
      </c>
      <c r="F1058" s="57" t="s">
        <v>1550</v>
      </c>
      <c r="G1058" s="55"/>
      <c r="H1058" s="58"/>
      <c r="I1058" s="59"/>
    </row>
    <row r="1059" spans="2:9" x14ac:dyDescent="0.2">
      <c r="B1059" s="60" t="str">
        <f t="shared" si="16"/>
        <v>2021-081-5</v>
      </c>
      <c r="C1059" s="61">
        <v>2021</v>
      </c>
      <c r="D1059" s="61" t="s">
        <v>88</v>
      </c>
      <c r="E1059" s="61">
        <v>5</v>
      </c>
      <c r="F1059" s="62" t="s">
        <v>1847</v>
      </c>
      <c r="G1059" s="61"/>
      <c r="H1059" s="63"/>
      <c r="I1059" s="64"/>
    </row>
    <row r="1060" spans="2:9" ht="40.5" x14ac:dyDescent="0.2">
      <c r="B1060" s="65" t="str">
        <f t="shared" si="16"/>
        <v>2021-082-0</v>
      </c>
      <c r="C1060" s="66">
        <v>2021</v>
      </c>
      <c r="D1060" s="66" t="s">
        <v>89</v>
      </c>
      <c r="E1060" s="66">
        <v>0</v>
      </c>
      <c r="F1060" s="67" t="s">
        <v>249</v>
      </c>
      <c r="G1060" s="66"/>
      <c r="H1060" s="68"/>
      <c r="I1060" s="69"/>
    </row>
    <row r="1061" spans="2:9" x14ac:dyDescent="0.2">
      <c r="B1061" s="54" t="str">
        <f t="shared" si="16"/>
        <v>2021-082-1</v>
      </c>
      <c r="C1061" s="55">
        <v>2021</v>
      </c>
      <c r="D1061" s="55" t="s">
        <v>89</v>
      </c>
      <c r="E1061" s="55">
        <v>1</v>
      </c>
      <c r="F1061" s="57" t="s">
        <v>598</v>
      </c>
      <c r="G1061" s="55"/>
      <c r="H1061" s="58"/>
      <c r="I1061" s="59"/>
    </row>
    <row r="1062" spans="2:9" x14ac:dyDescent="0.2">
      <c r="B1062" s="54" t="str">
        <f t="shared" si="16"/>
        <v>2021-082-2</v>
      </c>
      <c r="C1062" s="55">
        <v>2021</v>
      </c>
      <c r="D1062" s="55" t="s">
        <v>89</v>
      </c>
      <c r="E1062" s="55">
        <v>2</v>
      </c>
      <c r="F1062" s="57" t="s">
        <v>923</v>
      </c>
      <c r="G1062" s="55"/>
      <c r="H1062" s="58"/>
      <c r="I1062" s="59"/>
    </row>
    <row r="1063" spans="2:9" x14ac:dyDescent="0.2">
      <c r="B1063" s="54" t="str">
        <f t="shared" si="16"/>
        <v>2021-082-3</v>
      </c>
      <c r="C1063" s="55">
        <v>2021</v>
      </c>
      <c r="D1063" s="55" t="s">
        <v>89</v>
      </c>
      <c r="E1063" s="55">
        <v>3</v>
      </c>
      <c r="F1063" s="57" t="s">
        <v>1245</v>
      </c>
      <c r="G1063" s="55"/>
      <c r="H1063" s="58"/>
      <c r="I1063" s="59"/>
    </row>
    <row r="1064" spans="2:9" x14ac:dyDescent="0.2">
      <c r="B1064" s="54" t="str">
        <f t="shared" si="16"/>
        <v>2021-082-4</v>
      </c>
      <c r="C1064" s="55">
        <v>2021</v>
      </c>
      <c r="D1064" s="55" t="s">
        <v>89</v>
      </c>
      <c r="E1064" s="55">
        <v>4</v>
      </c>
      <c r="F1064" s="57" t="s">
        <v>1551</v>
      </c>
      <c r="G1064" s="55"/>
      <c r="H1064" s="58"/>
      <c r="I1064" s="59"/>
    </row>
    <row r="1065" spans="2:9" x14ac:dyDescent="0.2">
      <c r="B1065" s="60" t="str">
        <f t="shared" si="16"/>
        <v>2021-082-5</v>
      </c>
      <c r="C1065" s="61">
        <v>2021</v>
      </c>
      <c r="D1065" s="61" t="s">
        <v>89</v>
      </c>
      <c r="E1065" s="61">
        <v>5</v>
      </c>
      <c r="F1065" s="62" t="s">
        <v>1848</v>
      </c>
      <c r="G1065" s="61" t="s">
        <v>2735</v>
      </c>
      <c r="H1065" s="63"/>
      <c r="I1065" s="64"/>
    </row>
    <row r="1066" spans="2:9" x14ac:dyDescent="0.2">
      <c r="B1066" s="65" t="str">
        <f t="shared" si="16"/>
        <v>2021-083-0</v>
      </c>
      <c r="C1066" s="66">
        <v>2021</v>
      </c>
      <c r="D1066" s="66" t="s">
        <v>90</v>
      </c>
      <c r="E1066" s="66">
        <v>0</v>
      </c>
      <c r="F1066" s="67" t="s">
        <v>250</v>
      </c>
      <c r="G1066" s="66"/>
      <c r="H1066" s="68"/>
      <c r="I1066" s="69"/>
    </row>
    <row r="1067" spans="2:9" ht="27" x14ac:dyDescent="0.2">
      <c r="B1067" s="54" t="str">
        <f t="shared" si="16"/>
        <v>2021-083-1</v>
      </c>
      <c r="C1067" s="55">
        <v>2021</v>
      </c>
      <c r="D1067" s="55" t="s">
        <v>90</v>
      </c>
      <c r="E1067" s="55">
        <v>1</v>
      </c>
      <c r="F1067" s="57" t="s">
        <v>599</v>
      </c>
      <c r="G1067" s="55" t="s">
        <v>2735</v>
      </c>
      <c r="H1067" s="58"/>
      <c r="I1067" s="59"/>
    </row>
    <row r="1068" spans="2:9" ht="27" x14ac:dyDescent="0.2">
      <c r="B1068" s="54" t="str">
        <f t="shared" si="16"/>
        <v>2021-083-2</v>
      </c>
      <c r="C1068" s="55">
        <v>2021</v>
      </c>
      <c r="D1068" s="55" t="s">
        <v>90</v>
      </c>
      <c r="E1068" s="55">
        <v>2</v>
      </c>
      <c r="F1068" s="57" t="s">
        <v>924</v>
      </c>
      <c r="G1068" s="55"/>
      <c r="H1068" s="58"/>
      <c r="I1068" s="59"/>
    </row>
    <row r="1069" spans="2:9" x14ac:dyDescent="0.2">
      <c r="B1069" s="54" t="str">
        <f t="shared" si="16"/>
        <v>2021-083-3</v>
      </c>
      <c r="C1069" s="55">
        <v>2021</v>
      </c>
      <c r="D1069" s="55" t="s">
        <v>90</v>
      </c>
      <c r="E1069" s="55">
        <v>3</v>
      </c>
      <c r="F1069" s="57" t="s">
        <v>1246</v>
      </c>
      <c r="G1069" s="55"/>
      <c r="H1069" s="58"/>
      <c r="I1069" s="59"/>
    </row>
    <row r="1070" spans="2:9" ht="27" x14ac:dyDescent="0.2">
      <c r="B1070" s="54" t="str">
        <f t="shared" si="16"/>
        <v>2021-083-4</v>
      </c>
      <c r="C1070" s="55">
        <v>2021</v>
      </c>
      <c r="D1070" s="55" t="s">
        <v>90</v>
      </c>
      <c r="E1070" s="55">
        <v>4</v>
      </c>
      <c r="F1070" s="57" t="s">
        <v>1552</v>
      </c>
      <c r="G1070" s="55"/>
      <c r="H1070" s="58"/>
      <c r="I1070" s="59"/>
    </row>
    <row r="1071" spans="2:9" x14ac:dyDescent="0.2">
      <c r="B1071" s="60" t="str">
        <f t="shared" si="16"/>
        <v>2021-083-5</v>
      </c>
      <c r="C1071" s="61">
        <v>2021</v>
      </c>
      <c r="D1071" s="61" t="s">
        <v>90</v>
      </c>
      <c r="E1071" s="61">
        <v>5</v>
      </c>
      <c r="F1071" s="62" t="s">
        <v>1849</v>
      </c>
      <c r="G1071" s="61"/>
      <c r="H1071" s="63"/>
      <c r="I1071" s="64"/>
    </row>
    <row r="1072" spans="2:9" x14ac:dyDescent="0.2">
      <c r="B1072" s="65" t="str">
        <f t="shared" si="16"/>
        <v>2021-084-0</v>
      </c>
      <c r="C1072" s="66">
        <v>2021</v>
      </c>
      <c r="D1072" s="66" t="s">
        <v>91</v>
      </c>
      <c r="E1072" s="66">
        <v>0</v>
      </c>
      <c r="F1072" s="67" t="s">
        <v>251</v>
      </c>
      <c r="G1072" s="66"/>
      <c r="H1072" s="68"/>
      <c r="I1072" s="69"/>
    </row>
    <row r="1073" spans="2:9" x14ac:dyDescent="0.2">
      <c r="B1073" s="54" t="str">
        <f t="shared" ref="B1073:B1136" si="17">C1073&amp;"-"&amp;D1073&amp;"-"&amp;E1073</f>
        <v>2021-084-1</v>
      </c>
      <c r="C1073" s="55">
        <v>2021</v>
      </c>
      <c r="D1073" s="55" t="s">
        <v>91</v>
      </c>
      <c r="E1073" s="55">
        <v>1</v>
      </c>
      <c r="F1073" s="57" t="s">
        <v>600</v>
      </c>
      <c r="G1073" s="55"/>
      <c r="H1073" s="58"/>
      <c r="I1073" s="59"/>
    </row>
    <row r="1074" spans="2:9" x14ac:dyDescent="0.2">
      <c r="B1074" s="54" t="str">
        <f t="shared" si="17"/>
        <v>2021-084-2</v>
      </c>
      <c r="C1074" s="55">
        <v>2021</v>
      </c>
      <c r="D1074" s="55" t="s">
        <v>91</v>
      </c>
      <c r="E1074" s="55">
        <v>2</v>
      </c>
      <c r="F1074" s="57" t="s">
        <v>925</v>
      </c>
      <c r="G1074" s="55"/>
      <c r="H1074" s="58"/>
      <c r="I1074" s="59"/>
    </row>
    <row r="1075" spans="2:9" ht="27" x14ac:dyDescent="0.2">
      <c r="B1075" s="54" t="str">
        <f t="shared" si="17"/>
        <v>2021-084-3</v>
      </c>
      <c r="C1075" s="55">
        <v>2021</v>
      </c>
      <c r="D1075" s="55" t="s">
        <v>91</v>
      </c>
      <c r="E1075" s="55">
        <v>3</v>
      </c>
      <c r="F1075" s="57" t="s">
        <v>1093</v>
      </c>
      <c r="G1075" s="55" t="s">
        <v>2735</v>
      </c>
      <c r="H1075" s="58"/>
      <c r="I1075" s="59"/>
    </row>
    <row r="1076" spans="2:9" x14ac:dyDescent="0.2">
      <c r="B1076" s="54" t="str">
        <f t="shared" si="17"/>
        <v>2021-084-4</v>
      </c>
      <c r="C1076" s="55">
        <v>2021</v>
      </c>
      <c r="D1076" s="55" t="s">
        <v>91</v>
      </c>
      <c r="E1076" s="55">
        <v>4</v>
      </c>
      <c r="F1076" s="57" t="s">
        <v>1553</v>
      </c>
      <c r="G1076" s="55"/>
      <c r="H1076" s="58"/>
      <c r="I1076" s="59"/>
    </row>
    <row r="1077" spans="2:9" x14ac:dyDescent="0.2">
      <c r="B1077" s="60" t="str">
        <f t="shared" si="17"/>
        <v>2021-084-5</v>
      </c>
      <c r="C1077" s="61">
        <v>2021</v>
      </c>
      <c r="D1077" s="61" t="s">
        <v>91</v>
      </c>
      <c r="E1077" s="61">
        <v>5</v>
      </c>
      <c r="F1077" s="62" t="s">
        <v>1850</v>
      </c>
      <c r="G1077" s="61"/>
      <c r="H1077" s="63"/>
      <c r="I1077" s="64"/>
    </row>
    <row r="1078" spans="2:9" x14ac:dyDescent="0.2">
      <c r="B1078" s="65" t="str">
        <f t="shared" si="17"/>
        <v>2021-085-0</v>
      </c>
      <c r="C1078" s="66">
        <v>2021</v>
      </c>
      <c r="D1078" s="66" t="s">
        <v>92</v>
      </c>
      <c r="E1078" s="66">
        <v>0</v>
      </c>
      <c r="F1078" s="67" t="s">
        <v>252</v>
      </c>
      <c r="G1078" s="66"/>
      <c r="H1078" s="68"/>
      <c r="I1078" s="69"/>
    </row>
    <row r="1079" spans="2:9" ht="27" x14ac:dyDescent="0.2">
      <c r="B1079" s="54" t="str">
        <f t="shared" si="17"/>
        <v>2021-085-1</v>
      </c>
      <c r="C1079" s="55">
        <v>2021</v>
      </c>
      <c r="D1079" s="55" t="s">
        <v>92</v>
      </c>
      <c r="E1079" s="55">
        <v>1</v>
      </c>
      <c r="F1079" s="57" t="s">
        <v>601</v>
      </c>
      <c r="G1079" s="55"/>
      <c r="H1079" s="58"/>
      <c r="I1079" s="59"/>
    </row>
    <row r="1080" spans="2:9" x14ac:dyDescent="0.2">
      <c r="B1080" s="54" t="str">
        <f t="shared" si="17"/>
        <v>2021-085-2</v>
      </c>
      <c r="C1080" s="55">
        <v>2021</v>
      </c>
      <c r="D1080" s="55" t="s">
        <v>92</v>
      </c>
      <c r="E1080" s="55">
        <v>2</v>
      </c>
      <c r="F1080" s="57" t="s">
        <v>926</v>
      </c>
      <c r="G1080" s="55"/>
      <c r="H1080" s="58"/>
      <c r="I1080" s="59"/>
    </row>
    <row r="1081" spans="2:9" x14ac:dyDescent="0.2">
      <c r="B1081" s="54" t="str">
        <f t="shared" si="17"/>
        <v>2021-085-3</v>
      </c>
      <c r="C1081" s="55">
        <v>2021</v>
      </c>
      <c r="D1081" s="55" t="s">
        <v>92</v>
      </c>
      <c r="E1081" s="55">
        <v>3</v>
      </c>
      <c r="F1081" s="57" t="s">
        <v>579</v>
      </c>
      <c r="G1081" s="55"/>
      <c r="H1081" s="58"/>
      <c r="I1081" s="59"/>
    </row>
    <row r="1082" spans="2:9" ht="27" x14ac:dyDescent="0.2">
      <c r="B1082" s="54" t="str">
        <f t="shared" si="17"/>
        <v>2021-085-4</v>
      </c>
      <c r="C1082" s="55">
        <v>2021</v>
      </c>
      <c r="D1082" s="55" t="s">
        <v>92</v>
      </c>
      <c r="E1082" s="55">
        <v>4</v>
      </c>
      <c r="F1082" s="57" t="s">
        <v>1554</v>
      </c>
      <c r="G1082" s="55"/>
      <c r="H1082" s="58"/>
      <c r="I1082" s="59"/>
    </row>
    <row r="1083" spans="2:9" x14ac:dyDescent="0.2">
      <c r="B1083" s="60" t="str">
        <f t="shared" si="17"/>
        <v>2021-085-5</v>
      </c>
      <c r="C1083" s="61">
        <v>2021</v>
      </c>
      <c r="D1083" s="61" t="s">
        <v>92</v>
      </c>
      <c r="E1083" s="61">
        <v>5</v>
      </c>
      <c r="F1083" s="62" t="s">
        <v>1851</v>
      </c>
      <c r="G1083" s="61" t="s">
        <v>2735</v>
      </c>
      <c r="H1083" s="63"/>
      <c r="I1083" s="64"/>
    </row>
    <row r="1084" spans="2:9" x14ac:dyDescent="0.2">
      <c r="B1084" s="65" t="str">
        <f t="shared" si="17"/>
        <v>2021-086-0</v>
      </c>
      <c r="C1084" s="66">
        <v>2021</v>
      </c>
      <c r="D1084" s="66" t="s">
        <v>93</v>
      </c>
      <c r="E1084" s="66">
        <v>0</v>
      </c>
      <c r="F1084" s="67" t="s">
        <v>253</v>
      </c>
      <c r="G1084" s="66"/>
      <c r="H1084" s="68"/>
      <c r="I1084" s="69"/>
    </row>
    <row r="1085" spans="2:9" x14ac:dyDescent="0.2">
      <c r="B1085" s="54" t="str">
        <f t="shared" si="17"/>
        <v>2021-086-1</v>
      </c>
      <c r="C1085" s="55">
        <v>2021</v>
      </c>
      <c r="D1085" s="55" t="s">
        <v>93</v>
      </c>
      <c r="E1085" s="55">
        <v>1</v>
      </c>
      <c r="F1085" s="57" t="s">
        <v>602</v>
      </c>
      <c r="G1085" s="55"/>
      <c r="H1085" s="58"/>
      <c r="I1085" s="59"/>
    </row>
    <row r="1086" spans="2:9" x14ac:dyDescent="0.2">
      <c r="B1086" s="54" t="str">
        <f t="shared" si="17"/>
        <v>2021-086-2</v>
      </c>
      <c r="C1086" s="55">
        <v>2021</v>
      </c>
      <c r="D1086" s="55" t="s">
        <v>93</v>
      </c>
      <c r="E1086" s="55">
        <v>2</v>
      </c>
      <c r="F1086" s="57" t="s">
        <v>927</v>
      </c>
      <c r="G1086" s="55"/>
      <c r="H1086" s="58"/>
      <c r="I1086" s="59"/>
    </row>
    <row r="1087" spans="2:9" x14ac:dyDescent="0.2">
      <c r="B1087" s="54" t="str">
        <f t="shared" si="17"/>
        <v>2021-086-3</v>
      </c>
      <c r="C1087" s="55">
        <v>2021</v>
      </c>
      <c r="D1087" s="55" t="s">
        <v>93</v>
      </c>
      <c r="E1087" s="55">
        <v>3</v>
      </c>
      <c r="F1087" s="57" t="s">
        <v>1247</v>
      </c>
      <c r="G1087" s="55"/>
      <c r="H1087" s="58"/>
      <c r="I1087" s="59"/>
    </row>
    <row r="1088" spans="2:9" ht="27" x14ac:dyDescent="0.2">
      <c r="B1088" s="54" t="str">
        <f t="shared" si="17"/>
        <v>2021-086-4</v>
      </c>
      <c r="C1088" s="55">
        <v>2021</v>
      </c>
      <c r="D1088" s="55" t="s">
        <v>93</v>
      </c>
      <c r="E1088" s="55">
        <v>4</v>
      </c>
      <c r="F1088" s="57" t="s">
        <v>1555</v>
      </c>
      <c r="G1088" s="55" t="s">
        <v>2735</v>
      </c>
      <c r="H1088" s="58"/>
      <c r="I1088" s="59"/>
    </row>
    <row r="1089" spans="2:9" x14ac:dyDescent="0.2">
      <c r="B1089" s="60" t="str">
        <f t="shared" si="17"/>
        <v>2021-086-5</v>
      </c>
      <c r="C1089" s="61">
        <v>2021</v>
      </c>
      <c r="D1089" s="61" t="s">
        <v>93</v>
      </c>
      <c r="E1089" s="61">
        <v>5</v>
      </c>
      <c r="F1089" s="62" t="s">
        <v>1852</v>
      </c>
      <c r="G1089" s="61"/>
      <c r="H1089" s="63"/>
      <c r="I1089" s="64"/>
    </row>
    <row r="1090" spans="2:9" x14ac:dyDescent="0.2">
      <c r="B1090" s="65" t="str">
        <f t="shared" si="17"/>
        <v>2021-087-0</v>
      </c>
      <c r="C1090" s="66">
        <v>2021</v>
      </c>
      <c r="D1090" s="66" t="s">
        <v>94</v>
      </c>
      <c r="E1090" s="66">
        <v>0</v>
      </c>
      <c r="F1090" s="67" t="s">
        <v>254</v>
      </c>
      <c r="G1090" s="66"/>
      <c r="H1090" s="68"/>
      <c r="I1090" s="69"/>
    </row>
    <row r="1091" spans="2:9" x14ac:dyDescent="0.2">
      <c r="B1091" s="54" t="str">
        <f t="shared" si="17"/>
        <v>2021-087-1</v>
      </c>
      <c r="C1091" s="55">
        <v>2021</v>
      </c>
      <c r="D1091" s="55" t="s">
        <v>94</v>
      </c>
      <c r="E1091" s="55">
        <v>1</v>
      </c>
      <c r="F1091" s="57" t="s">
        <v>603</v>
      </c>
      <c r="G1091" s="55"/>
      <c r="H1091" s="58"/>
      <c r="I1091" s="59"/>
    </row>
    <row r="1092" spans="2:9" x14ac:dyDescent="0.2">
      <c r="B1092" s="54" t="str">
        <f t="shared" si="17"/>
        <v>2021-087-2</v>
      </c>
      <c r="C1092" s="55">
        <v>2021</v>
      </c>
      <c r="D1092" s="55" t="s">
        <v>94</v>
      </c>
      <c r="E1092" s="55">
        <v>2</v>
      </c>
      <c r="F1092" s="57" t="s">
        <v>928</v>
      </c>
      <c r="G1092" s="55"/>
      <c r="H1092" s="58"/>
      <c r="I1092" s="59"/>
    </row>
    <row r="1093" spans="2:9" x14ac:dyDescent="0.2">
      <c r="B1093" s="54" t="str">
        <f t="shared" si="17"/>
        <v>2021-087-3</v>
      </c>
      <c r="C1093" s="55">
        <v>2021</v>
      </c>
      <c r="D1093" s="55" t="s">
        <v>94</v>
      </c>
      <c r="E1093" s="55">
        <v>3</v>
      </c>
      <c r="F1093" s="57" t="s">
        <v>1248</v>
      </c>
      <c r="G1093" s="55"/>
      <c r="H1093" s="58"/>
      <c r="I1093" s="59"/>
    </row>
    <row r="1094" spans="2:9" ht="27" x14ac:dyDescent="0.2">
      <c r="B1094" s="54" t="str">
        <f t="shared" si="17"/>
        <v>2021-087-4</v>
      </c>
      <c r="C1094" s="55">
        <v>2021</v>
      </c>
      <c r="D1094" s="55" t="s">
        <v>94</v>
      </c>
      <c r="E1094" s="55">
        <v>4</v>
      </c>
      <c r="F1094" s="57" t="s">
        <v>1556</v>
      </c>
      <c r="G1094" s="55" t="s">
        <v>2735</v>
      </c>
      <c r="H1094" s="58"/>
      <c r="I1094" s="59"/>
    </row>
    <row r="1095" spans="2:9" ht="27" x14ac:dyDescent="0.2">
      <c r="B1095" s="60" t="str">
        <f t="shared" si="17"/>
        <v>2021-087-5</v>
      </c>
      <c r="C1095" s="61">
        <v>2021</v>
      </c>
      <c r="D1095" s="61" t="s">
        <v>94</v>
      </c>
      <c r="E1095" s="61">
        <v>5</v>
      </c>
      <c r="F1095" s="62" t="s">
        <v>1853</v>
      </c>
      <c r="G1095" s="61"/>
      <c r="H1095" s="63"/>
      <c r="I1095" s="64"/>
    </row>
    <row r="1096" spans="2:9" ht="81" x14ac:dyDescent="0.2">
      <c r="B1096" s="65" t="str">
        <f t="shared" si="17"/>
        <v>2021-088-0</v>
      </c>
      <c r="C1096" s="66">
        <v>2021</v>
      </c>
      <c r="D1096" s="66" t="s">
        <v>95</v>
      </c>
      <c r="E1096" s="66">
        <v>0</v>
      </c>
      <c r="F1096" s="67" t="s">
        <v>255</v>
      </c>
      <c r="G1096" s="66"/>
      <c r="H1096" s="68"/>
      <c r="I1096" s="69"/>
    </row>
    <row r="1097" spans="2:9" x14ac:dyDescent="0.2">
      <c r="B1097" s="54" t="str">
        <f t="shared" si="17"/>
        <v>2021-088-1</v>
      </c>
      <c r="C1097" s="55">
        <v>2021</v>
      </c>
      <c r="D1097" s="55" t="s">
        <v>95</v>
      </c>
      <c r="E1097" s="55">
        <v>1</v>
      </c>
      <c r="F1097" s="57" t="s">
        <v>15</v>
      </c>
      <c r="G1097" s="55" t="s">
        <v>2735</v>
      </c>
      <c r="H1097" s="58"/>
      <c r="I1097" s="59"/>
    </row>
    <row r="1098" spans="2:9" x14ac:dyDescent="0.2">
      <c r="B1098" s="54" t="str">
        <f t="shared" si="17"/>
        <v>2021-088-2</v>
      </c>
      <c r="C1098" s="55">
        <v>2021</v>
      </c>
      <c r="D1098" s="55" t="s">
        <v>95</v>
      </c>
      <c r="E1098" s="55">
        <v>2</v>
      </c>
      <c r="F1098" s="57" t="s">
        <v>640</v>
      </c>
      <c r="G1098" s="55"/>
      <c r="H1098" s="58"/>
      <c r="I1098" s="59"/>
    </row>
    <row r="1099" spans="2:9" x14ac:dyDescent="0.2">
      <c r="B1099" s="54" t="str">
        <f t="shared" si="17"/>
        <v>2021-088-3</v>
      </c>
      <c r="C1099" s="55">
        <v>2021</v>
      </c>
      <c r="D1099" s="55" t="s">
        <v>95</v>
      </c>
      <c r="E1099" s="55">
        <v>3</v>
      </c>
      <c r="F1099" s="57" t="s">
        <v>84</v>
      </c>
      <c r="G1099" s="55"/>
      <c r="H1099" s="58"/>
      <c r="I1099" s="59"/>
    </row>
    <row r="1100" spans="2:9" x14ac:dyDescent="0.2">
      <c r="B1100" s="54" t="str">
        <f t="shared" si="17"/>
        <v>2021-088-4</v>
      </c>
      <c r="C1100" s="55">
        <v>2021</v>
      </c>
      <c r="D1100" s="55" t="s">
        <v>95</v>
      </c>
      <c r="E1100" s="55">
        <v>4</v>
      </c>
      <c r="F1100" s="57" t="s">
        <v>1485</v>
      </c>
      <c r="G1100" s="55"/>
      <c r="H1100" s="58"/>
      <c r="I1100" s="59"/>
    </row>
    <row r="1101" spans="2:9" x14ac:dyDescent="0.2">
      <c r="B1101" s="60" t="str">
        <f t="shared" si="17"/>
        <v>2021-088-5</v>
      </c>
      <c r="C1101" s="61">
        <v>2021</v>
      </c>
      <c r="D1101" s="61" t="s">
        <v>95</v>
      </c>
      <c r="E1101" s="61">
        <v>5</v>
      </c>
      <c r="F1101" s="62" t="s">
        <v>42</v>
      </c>
      <c r="G1101" s="61"/>
      <c r="H1101" s="63"/>
      <c r="I1101" s="64"/>
    </row>
    <row r="1102" spans="2:9" x14ac:dyDescent="0.2">
      <c r="B1102" s="65" t="str">
        <f t="shared" si="17"/>
        <v>2021-089-0</v>
      </c>
      <c r="C1102" s="66">
        <v>2021</v>
      </c>
      <c r="D1102" s="66" t="s">
        <v>96</v>
      </c>
      <c r="E1102" s="66">
        <v>0</v>
      </c>
      <c r="F1102" s="67" t="s">
        <v>256</v>
      </c>
      <c r="G1102" s="66"/>
      <c r="H1102" s="68"/>
      <c r="I1102" s="69"/>
    </row>
    <row r="1103" spans="2:9" x14ac:dyDescent="0.2">
      <c r="B1103" s="54" t="str">
        <f t="shared" si="17"/>
        <v>2021-089-1</v>
      </c>
      <c r="C1103" s="55">
        <v>2021</v>
      </c>
      <c r="D1103" s="55" t="s">
        <v>96</v>
      </c>
      <c r="E1103" s="55">
        <v>1</v>
      </c>
      <c r="F1103" s="57" t="s">
        <v>604</v>
      </c>
      <c r="G1103" s="55"/>
      <c r="H1103" s="58"/>
      <c r="I1103" s="59"/>
    </row>
    <row r="1104" spans="2:9" x14ac:dyDescent="0.2">
      <c r="B1104" s="54" t="str">
        <f t="shared" si="17"/>
        <v>2021-089-2</v>
      </c>
      <c r="C1104" s="55">
        <v>2021</v>
      </c>
      <c r="D1104" s="55" t="s">
        <v>96</v>
      </c>
      <c r="E1104" s="55">
        <v>2</v>
      </c>
      <c r="F1104" s="57" t="s">
        <v>929</v>
      </c>
      <c r="G1104" s="55"/>
      <c r="H1104" s="58"/>
      <c r="I1104" s="59"/>
    </row>
    <row r="1105" spans="2:9" x14ac:dyDescent="0.2">
      <c r="B1105" s="54" t="str">
        <f t="shared" si="17"/>
        <v>2021-089-3</v>
      </c>
      <c r="C1105" s="55">
        <v>2021</v>
      </c>
      <c r="D1105" s="55" t="s">
        <v>96</v>
      </c>
      <c r="E1105" s="55">
        <v>3</v>
      </c>
      <c r="F1105" s="57" t="s">
        <v>1249</v>
      </c>
      <c r="G1105" s="55"/>
      <c r="H1105" s="58"/>
      <c r="I1105" s="59"/>
    </row>
    <row r="1106" spans="2:9" x14ac:dyDescent="0.2">
      <c r="B1106" s="54" t="str">
        <f t="shared" si="17"/>
        <v>2021-089-4</v>
      </c>
      <c r="C1106" s="55">
        <v>2021</v>
      </c>
      <c r="D1106" s="55" t="s">
        <v>96</v>
      </c>
      <c r="E1106" s="55">
        <v>4</v>
      </c>
      <c r="F1106" s="57" t="s">
        <v>1557</v>
      </c>
      <c r="G1106" s="55" t="s">
        <v>2735</v>
      </c>
      <c r="H1106" s="58"/>
      <c r="I1106" s="59"/>
    </row>
    <row r="1107" spans="2:9" x14ac:dyDescent="0.2">
      <c r="B1107" s="60" t="str">
        <f t="shared" si="17"/>
        <v>2021-089-5</v>
      </c>
      <c r="C1107" s="61">
        <v>2021</v>
      </c>
      <c r="D1107" s="61" t="s">
        <v>96</v>
      </c>
      <c r="E1107" s="61">
        <v>5</v>
      </c>
      <c r="F1107" s="62" t="s">
        <v>1854</v>
      </c>
      <c r="G1107" s="61"/>
      <c r="H1107" s="63"/>
      <c r="I1107" s="64"/>
    </row>
    <row r="1108" spans="2:9" x14ac:dyDescent="0.2">
      <c r="B1108" s="65" t="str">
        <f t="shared" si="17"/>
        <v>2021-090-0</v>
      </c>
      <c r="C1108" s="66">
        <v>2021</v>
      </c>
      <c r="D1108" s="66" t="s">
        <v>97</v>
      </c>
      <c r="E1108" s="66">
        <v>0</v>
      </c>
      <c r="F1108" s="67" t="s">
        <v>257</v>
      </c>
      <c r="G1108" s="66"/>
      <c r="H1108" s="68"/>
      <c r="I1108" s="69"/>
    </row>
    <row r="1109" spans="2:9" x14ac:dyDescent="0.2">
      <c r="B1109" s="54" t="str">
        <f t="shared" si="17"/>
        <v>2021-090-1</v>
      </c>
      <c r="C1109" s="55">
        <v>2021</v>
      </c>
      <c r="D1109" s="55" t="s">
        <v>97</v>
      </c>
      <c r="E1109" s="55">
        <v>1</v>
      </c>
      <c r="F1109" s="57" t="s">
        <v>605</v>
      </c>
      <c r="G1109" s="55"/>
      <c r="H1109" s="58"/>
      <c r="I1109" s="59"/>
    </row>
    <row r="1110" spans="2:9" ht="27" x14ac:dyDescent="0.2">
      <c r="B1110" s="54" t="str">
        <f t="shared" si="17"/>
        <v>2021-090-2</v>
      </c>
      <c r="C1110" s="55">
        <v>2021</v>
      </c>
      <c r="D1110" s="55" t="s">
        <v>97</v>
      </c>
      <c r="E1110" s="55">
        <v>2</v>
      </c>
      <c r="F1110" s="57" t="s">
        <v>930</v>
      </c>
      <c r="G1110" s="55"/>
      <c r="H1110" s="58"/>
      <c r="I1110" s="59"/>
    </row>
    <row r="1111" spans="2:9" x14ac:dyDescent="0.2">
      <c r="B1111" s="54" t="str">
        <f t="shared" si="17"/>
        <v>2021-090-3</v>
      </c>
      <c r="C1111" s="55">
        <v>2021</v>
      </c>
      <c r="D1111" s="55" t="s">
        <v>97</v>
      </c>
      <c r="E1111" s="55">
        <v>3</v>
      </c>
      <c r="F1111" s="57" t="s">
        <v>1250</v>
      </c>
      <c r="G1111" s="55"/>
      <c r="H1111" s="58"/>
      <c r="I1111" s="59"/>
    </row>
    <row r="1112" spans="2:9" ht="27" x14ac:dyDescent="0.2">
      <c r="B1112" s="54" t="str">
        <f t="shared" si="17"/>
        <v>2021-090-4</v>
      </c>
      <c r="C1112" s="55">
        <v>2021</v>
      </c>
      <c r="D1112" s="55" t="s">
        <v>97</v>
      </c>
      <c r="E1112" s="55">
        <v>4</v>
      </c>
      <c r="F1112" s="57" t="s">
        <v>1558</v>
      </c>
      <c r="G1112" s="55" t="s">
        <v>2735</v>
      </c>
      <c r="H1112" s="58"/>
      <c r="I1112" s="59"/>
    </row>
    <row r="1113" spans="2:9" ht="27" x14ac:dyDescent="0.2">
      <c r="B1113" s="60" t="str">
        <f t="shared" si="17"/>
        <v>2021-090-5</v>
      </c>
      <c r="C1113" s="61">
        <v>2021</v>
      </c>
      <c r="D1113" s="61" t="s">
        <v>97</v>
      </c>
      <c r="E1113" s="61">
        <v>5</v>
      </c>
      <c r="F1113" s="62" t="s">
        <v>1855</v>
      </c>
      <c r="G1113" s="61"/>
      <c r="H1113" s="63"/>
      <c r="I1113" s="64"/>
    </row>
    <row r="1114" spans="2:9" ht="40.5" x14ac:dyDescent="0.2">
      <c r="B1114" s="65" t="str">
        <f t="shared" si="17"/>
        <v>2021-091-0</v>
      </c>
      <c r="C1114" s="66">
        <v>2021</v>
      </c>
      <c r="D1114" s="66" t="s">
        <v>98</v>
      </c>
      <c r="E1114" s="66">
        <v>0</v>
      </c>
      <c r="F1114" s="67" t="s">
        <v>258</v>
      </c>
      <c r="G1114" s="66"/>
      <c r="H1114" s="68"/>
      <c r="I1114" s="69"/>
    </row>
    <row r="1115" spans="2:9" x14ac:dyDescent="0.2">
      <c r="B1115" s="54" t="str">
        <f t="shared" si="17"/>
        <v>2021-091-1</v>
      </c>
      <c r="C1115" s="55">
        <v>2021</v>
      </c>
      <c r="D1115" s="55" t="s">
        <v>98</v>
      </c>
      <c r="E1115" s="55">
        <v>1</v>
      </c>
      <c r="F1115" s="57">
        <v>55</v>
      </c>
      <c r="G1115" s="55"/>
      <c r="H1115" s="58"/>
      <c r="I1115" s="59"/>
    </row>
    <row r="1116" spans="2:9" x14ac:dyDescent="0.2">
      <c r="B1116" s="54" t="str">
        <f t="shared" si="17"/>
        <v>2021-091-2</v>
      </c>
      <c r="C1116" s="55">
        <v>2021</v>
      </c>
      <c r="D1116" s="55" t="s">
        <v>98</v>
      </c>
      <c r="E1116" s="55">
        <v>2</v>
      </c>
      <c r="F1116" s="57">
        <v>60</v>
      </c>
      <c r="G1116" s="55"/>
      <c r="H1116" s="58"/>
      <c r="I1116" s="59"/>
    </row>
    <row r="1117" spans="2:9" x14ac:dyDescent="0.2">
      <c r="B1117" s="54" t="str">
        <f t="shared" si="17"/>
        <v>2021-091-3</v>
      </c>
      <c r="C1117" s="55">
        <v>2021</v>
      </c>
      <c r="D1117" s="55" t="s">
        <v>98</v>
      </c>
      <c r="E1117" s="55">
        <v>3</v>
      </c>
      <c r="F1117" s="57">
        <v>65</v>
      </c>
      <c r="G1117" s="55" t="s">
        <v>2735</v>
      </c>
      <c r="H1117" s="58"/>
      <c r="I1117" s="59"/>
    </row>
    <row r="1118" spans="2:9" x14ac:dyDescent="0.2">
      <c r="B1118" s="54" t="str">
        <f t="shared" si="17"/>
        <v>2021-091-4</v>
      </c>
      <c r="C1118" s="55">
        <v>2021</v>
      </c>
      <c r="D1118" s="55" t="s">
        <v>98</v>
      </c>
      <c r="E1118" s="55">
        <v>4</v>
      </c>
      <c r="F1118" s="57">
        <v>70</v>
      </c>
      <c r="G1118" s="55"/>
      <c r="H1118" s="58"/>
      <c r="I1118" s="59"/>
    </row>
    <row r="1119" spans="2:9" x14ac:dyDescent="0.2">
      <c r="B1119" s="60" t="str">
        <f t="shared" si="17"/>
        <v>2021-091-5</v>
      </c>
      <c r="C1119" s="61">
        <v>2021</v>
      </c>
      <c r="D1119" s="61" t="s">
        <v>98</v>
      </c>
      <c r="E1119" s="61">
        <v>5</v>
      </c>
      <c r="F1119" s="62">
        <v>75</v>
      </c>
      <c r="G1119" s="61"/>
      <c r="H1119" s="63"/>
      <c r="I1119" s="64"/>
    </row>
    <row r="1120" spans="2:9" x14ac:dyDescent="0.2">
      <c r="B1120" s="65" t="str">
        <f t="shared" si="17"/>
        <v>2021-092-0</v>
      </c>
      <c r="C1120" s="66">
        <v>2021</v>
      </c>
      <c r="D1120" s="66" t="s">
        <v>99</v>
      </c>
      <c r="E1120" s="66">
        <v>0</v>
      </c>
      <c r="F1120" s="67" t="s">
        <v>259</v>
      </c>
      <c r="G1120" s="66"/>
      <c r="H1120" s="68"/>
      <c r="I1120" s="69"/>
    </row>
    <row r="1121" spans="2:9" x14ac:dyDescent="0.2">
      <c r="B1121" s="54" t="str">
        <f t="shared" si="17"/>
        <v>2021-092-1</v>
      </c>
      <c r="C1121" s="55">
        <v>2021</v>
      </c>
      <c r="D1121" s="55" t="s">
        <v>99</v>
      </c>
      <c r="E1121" s="55">
        <v>1</v>
      </c>
      <c r="F1121" s="57" t="s">
        <v>606</v>
      </c>
      <c r="G1121" s="55"/>
      <c r="H1121" s="58"/>
      <c r="I1121" s="59"/>
    </row>
    <row r="1122" spans="2:9" x14ac:dyDescent="0.2">
      <c r="B1122" s="54" t="str">
        <f t="shared" si="17"/>
        <v>2021-092-2</v>
      </c>
      <c r="C1122" s="55">
        <v>2021</v>
      </c>
      <c r="D1122" s="55" t="s">
        <v>99</v>
      </c>
      <c r="E1122" s="55">
        <v>2</v>
      </c>
      <c r="F1122" s="57" t="s">
        <v>931</v>
      </c>
      <c r="G1122" s="55" t="s">
        <v>2735</v>
      </c>
      <c r="H1122" s="58"/>
      <c r="I1122" s="59"/>
    </row>
    <row r="1123" spans="2:9" x14ac:dyDescent="0.2">
      <c r="B1123" s="54" t="str">
        <f t="shared" si="17"/>
        <v>2021-092-3</v>
      </c>
      <c r="C1123" s="55">
        <v>2021</v>
      </c>
      <c r="D1123" s="55" t="s">
        <v>99</v>
      </c>
      <c r="E1123" s="55">
        <v>3</v>
      </c>
      <c r="F1123" s="57" t="s">
        <v>1251</v>
      </c>
      <c r="G1123" s="55"/>
      <c r="H1123" s="58"/>
      <c r="I1123" s="59"/>
    </row>
    <row r="1124" spans="2:9" x14ac:dyDescent="0.2">
      <c r="B1124" s="54" t="str">
        <f t="shared" si="17"/>
        <v>2021-092-4</v>
      </c>
      <c r="C1124" s="55">
        <v>2021</v>
      </c>
      <c r="D1124" s="55" t="s">
        <v>99</v>
      </c>
      <c r="E1124" s="55">
        <v>4</v>
      </c>
      <c r="F1124" s="57" t="s">
        <v>1559</v>
      </c>
      <c r="G1124" s="55"/>
      <c r="H1124" s="58"/>
      <c r="I1124" s="59"/>
    </row>
    <row r="1125" spans="2:9" x14ac:dyDescent="0.2">
      <c r="B1125" s="60" t="str">
        <f t="shared" si="17"/>
        <v>2021-092-5</v>
      </c>
      <c r="C1125" s="61">
        <v>2021</v>
      </c>
      <c r="D1125" s="61" t="s">
        <v>99</v>
      </c>
      <c r="E1125" s="61">
        <v>5</v>
      </c>
      <c r="F1125" s="62" t="s">
        <v>822</v>
      </c>
      <c r="G1125" s="61"/>
      <c r="H1125" s="63"/>
      <c r="I1125" s="64"/>
    </row>
    <row r="1126" spans="2:9" x14ac:dyDescent="0.2">
      <c r="B1126" s="65" t="str">
        <f t="shared" si="17"/>
        <v>2021-093-0</v>
      </c>
      <c r="C1126" s="66">
        <v>2021</v>
      </c>
      <c r="D1126" s="66" t="s">
        <v>100</v>
      </c>
      <c r="E1126" s="66">
        <v>0</v>
      </c>
      <c r="F1126" s="67" t="s">
        <v>260</v>
      </c>
      <c r="G1126" s="66"/>
      <c r="H1126" s="68"/>
      <c r="I1126" s="69"/>
    </row>
    <row r="1127" spans="2:9" x14ac:dyDescent="0.2">
      <c r="B1127" s="54" t="str">
        <f t="shared" si="17"/>
        <v>2021-093-1</v>
      </c>
      <c r="C1127" s="55">
        <v>2021</v>
      </c>
      <c r="D1127" s="55" t="s">
        <v>100</v>
      </c>
      <c r="E1127" s="55">
        <v>1</v>
      </c>
      <c r="F1127" s="57" t="s">
        <v>607</v>
      </c>
      <c r="G1127" s="55"/>
      <c r="H1127" s="58"/>
      <c r="I1127" s="59"/>
    </row>
    <row r="1128" spans="2:9" x14ac:dyDescent="0.2">
      <c r="B1128" s="54" t="str">
        <f t="shared" si="17"/>
        <v>2021-093-2</v>
      </c>
      <c r="C1128" s="55">
        <v>2021</v>
      </c>
      <c r="D1128" s="55" t="s">
        <v>100</v>
      </c>
      <c r="E1128" s="55">
        <v>2</v>
      </c>
      <c r="F1128" s="57" t="s">
        <v>932</v>
      </c>
      <c r="G1128" s="55" t="s">
        <v>2735</v>
      </c>
      <c r="H1128" s="58"/>
      <c r="I1128" s="59"/>
    </row>
    <row r="1129" spans="2:9" x14ac:dyDescent="0.2">
      <c r="B1129" s="54" t="str">
        <f t="shared" si="17"/>
        <v>2021-093-3</v>
      </c>
      <c r="C1129" s="55">
        <v>2021</v>
      </c>
      <c r="D1129" s="55" t="s">
        <v>100</v>
      </c>
      <c r="E1129" s="55">
        <v>3</v>
      </c>
      <c r="F1129" s="57" t="s">
        <v>1252</v>
      </c>
      <c r="G1129" s="55"/>
      <c r="H1129" s="58"/>
      <c r="I1129" s="59"/>
    </row>
    <row r="1130" spans="2:9" x14ac:dyDescent="0.2">
      <c r="B1130" s="54" t="str">
        <f t="shared" si="17"/>
        <v>2021-093-4</v>
      </c>
      <c r="C1130" s="55">
        <v>2021</v>
      </c>
      <c r="D1130" s="55" t="s">
        <v>100</v>
      </c>
      <c r="E1130" s="55">
        <v>4</v>
      </c>
      <c r="F1130" s="57" t="s">
        <v>1560</v>
      </c>
      <c r="G1130" s="55"/>
      <c r="H1130" s="58"/>
      <c r="I1130" s="59"/>
    </row>
    <row r="1131" spans="2:9" x14ac:dyDescent="0.2">
      <c r="B1131" s="60" t="str">
        <f t="shared" si="17"/>
        <v>2021-093-5</v>
      </c>
      <c r="C1131" s="61">
        <v>2021</v>
      </c>
      <c r="D1131" s="61" t="s">
        <v>100</v>
      </c>
      <c r="E1131" s="61">
        <v>5</v>
      </c>
      <c r="F1131" s="62" t="s">
        <v>1856</v>
      </c>
      <c r="G1131" s="61"/>
      <c r="H1131" s="63"/>
      <c r="I1131" s="64"/>
    </row>
    <row r="1132" spans="2:9" ht="67.5" x14ac:dyDescent="0.2">
      <c r="B1132" s="65" t="str">
        <f t="shared" si="17"/>
        <v>2021-094-0</v>
      </c>
      <c r="C1132" s="66">
        <v>2021</v>
      </c>
      <c r="D1132" s="66" t="s">
        <v>101</v>
      </c>
      <c r="E1132" s="66">
        <v>0</v>
      </c>
      <c r="F1132" s="67" t="s">
        <v>261</v>
      </c>
      <c r="G1132" s="66"/>
      <c r="H1132" s="68"/>
      <c r="I1132" s="69"/>
    </row>
    <row r="1133" spans="2:9" x14ac:dyDescent="0.2">
      <c r="B1133" s="54" t="str">
        <f t="shared" si="17"/>
        <v>2021-094-1</v>
      </c>
      <c r="C1133" s="55">
        <v>2021</v>
      </c>
      <c r="D1133" s="55" t="s">
        <v>101</v>
      </c>
      <c r="E1133" s="55">
        <v>1</v>
      </c>
      <c r="F1133" s="57" t="s">
        <v>85</v>
      </c>
      <c r="G1133" s="55" t="s">
        <v>2735</v>
      </c>
      <c r="H1133" s="58"/>
      <c r="I1133" s="59"/>
    </row>
    <row r="1134" spans="2:9" x14ac:dyDescent="0.2">
      <c r="B1134" s="54" t="str">
        <f t="shared" si="17"/>
        <v>2021-094-2</v>
      </c>
      <c r="C1134" s="55">
        <v>2021</v>
      </c>
      <c r="D1134" s="55" t="s">
        <v>101</v>
      </c>
      <c r="E1134" s="55">
        <v>2</v>
      </c>
      <c r="F1134" s="57" t="s">
        <v>8</v>
      </c>
      <c r="G1134" s="55"/>
      <c r="H1134" s="58"/>
      <c r="I1134" s="59"/>
    </row>
    <row r="1135" spans="2:9" x14ac:dyDescent="0.2">
      <c r="B1135" s="54" t="str">
        <f t="shared" si="17"/>
        <v>2021-094-3</v>
      </c>
      <c r="C1135" s="55">
        <v>2021</v>
      </c>
      <c r="D1135" s="55" t="s">
        <v>101</v>
      </c>
      <c r="E1135" s="55">
        <v>3</v>
      </c>
      <c r="F1135" s="57" t="s">
        <v>6</v>
      </c>
      <c r="G1135" s="55"/>
      <c r="H1135" s="58"/>
      <c r="I1135" s="59"/>
    </row>
    <row r="1136" spans="2:9" x14ac:dyDescent="0.2">
      <c r="B1136" s="54" t="str">
        <f t="shared" si="17"/>
        <v>2021-094-4</v>
      </c>
      <c r="C1136" s="55">
        <v>2021</v>
      </c>
      <c r="D1136" s="55" t="s">
        <v>101</v>
      </c>
      <c r="E1136" s="55">
        <v>4</v>
      </c>
      <c r="F1136" s="57" t="s">
        <v>19</v>
      </c>
      <c r="G1136" s="55"/>
      <c r="H1136" s="58"/>
      <c r="I1136" s="59"/>
    </row>
    <row r="1137" spans="2:9" x14ac:dyDescent="0.2">
      <c r="B1137" s="60" t="str">
        <f t="shared" ref="B1137:B1173" si="18">C1137&amp;"-"&amp;D1137&amp;"-"&amp;E1137</f>
        <v>2021-094-5</v>
      </c>
      <c r="C1137" s="61">
        <v>2021</v>
      </c>
      <c r="D1137" s="61" t="s">
        <v>101</v>
      </c>
      <c r="E1137" s="61">
        <v>5</v>
      </c>
      <c r="F1137" s="62" t="s">
        <v>21</v>
      </c>
      <c r="G1137" s="61"/>
      <c r="H1137" s="63"/>
      <c r="I1137" s="64"/>
    </row>
    <row r="1138" spans="2:9" x14ac:dyDescent="0.2">
      <c r="B1138" s="65" t="str">
        <f t="shared" si="18"/>
        <v>2021-095-0</v>
      </c>
      <c r="C1138" s="66">
        <v>2021</v>
      </c>
      <c r="D1138" s="66" t="s">
        <v>102</v>
      </c>
      <c r="E1138" s="66">
        <v>0</v>
      </c>
      <c r="F1138" s="67" t="s">
        <v>262</v>
      </c>
      <c r="G1138" s="66"/>
      <c r="H1138" s="68"/>
      <c r="I1138" s="69"/>
    </row>
    <row r="1139" spans="2:9" x14ac:dyDescent="0.2">
      <c r="B1139" s="54" t="str">
        <f t="shared" si="18"/>
        <v>2021-095-1</v>
      </c>
      <c r="C1139" s="55">
        <v>2021</v>
      </c>
      <c r="D1139" s="55" t="s">
        <v>102</v>
      </c>
      <c r="E1139" s="55">
        <v>1</v>
      </c>
      <c r="F1139" s="57" t="s">
        <v>608</v>
      </c>
      <c r="G1139" s="55"/>
      <c r="H1139" s="58"/>
      <c r="I1139" s="59"/>
    </row>
    <row r="1140" spans="2:9" x14ac:dyDescent="0.2">
      <c r="B1140" s="54" t="str">
        <f t="shared" si="18"/>
        <v>2021-095-2</v>
      </c>
      <c r="C1140" s="55">
        <v>2021</v>
      </c>
      <c r="D1140" s="55" t="s">
        <v>102</v>
      </c>
      <c r="E1140" s="55">
        <v>2</v>
      </c>
      <c r="F1140" s="57" t="s">
        <v>933</v>
      </c>
      <c r="G1140" s="55"/>
      <c r="H1140" s="58"/>
      <c r="I1140" s="59"/>
    </row>
    <row r="1141" spans="2:9" x14ac:dyDescent="0.2">
      <c r="B1141" s="54" t="str">
        <f t="shared" si="18"/>
        <v>2021-095-3</v>
      </c>
      <c r="C1141" s="55">
        <v>2021</v>
      </c>
      <c r="D1141" s="55" t="s">
        <v>102</v>
      </c>
      <c r="E1141" s="55">
        <v>3</v>
      </c>
      <c r="F1141" s="57" t="s">
        <v>1253</v>
      </c>
      <c r="G1141" s="55"/>
      <c r="H1141" s="58"/>
      <c r="I1141" s="59"/>
    </row>
    <row r="1142" spans="2:9" ht="27" x14ac:dyDescent="0.2">
      <c r="B1142" s="54" t="str">
        <f t="shared" si="18"/>
        <v>2021-095-4</v>
      </c>
      <c r="C1142" s="55">
        <v>2021</v>
      </c>
      <c r="D1142" s="55" t="s">
        <v>102</v>
      </c>
      <c r="E1142" s="55">
        <v>4</v>
      </c>
      <c r="F1142" s="57" t="s">
        <v>1561</v>
      </c>
      <c r="G1142" s="55"/>
      <c r="H1142" s="58"/>
      <c r="I1142" s="59"/>
    </row>
    <row r="1143" spans="2:9" x14ac:dyDescent="0.2">
      <c r="B1143" s="60" t="str">
        <f t="shared" si="18"/>
        <v>2021-095-5</v>
      </c>
      <c r="C1143" s="61">
        <v>2021</v>
      </c>
      <c r="D1143" s="61" t="s">
        <v>102</v>
      </c>
      <c r="E1143" s="61">
        <v>5</v>
      </c>
      <c r="F1143" s="62" t="s">
        <v>1857</v>
      </c>
      <c r="G1143" s="61" t="s">
        <v>2735</v>
      </c>
      <c r="H1143" s="63"/>
      <c r="I1143" s="64"/>
    </row>
    <row r="1144" spans="2:9" x14ac:dyDescent="0.2">
      <c r="B1144" s="65" t="str">
        <f t="shared" si="18"/>
        <v>2021-096-0</v>
      </c>
      <c r="C1144" s="66">
        <v>2021</v>
      </c>
      <c r="D1144" s="66" t="s">
        <v>103</v>
      </c>
      <c r="E1144" s="66">
        <v>0</v>
      </c>
      <c r="F1144" s="67" t="s">
        <v>263</v>
      </c>
      <c r="G1144" s="66"/>
      <c r="H1144" s="68"/>
      <c r="I1144" s="69"/>
    </row>
    <row r="1145" spans="2:9" x14ac:dyDescent="0.2">
      <c r="B1145" s="54" t="str">
        <f t="shared" si="18"/>
        <v>2021-096-1</v>
      </c>
      <c r="C1145" s="55">
        <v>2021</v>
      </c>
      <c r="D1145" s="55" t="s">
        <v>103</v>
      </c>
      <c r="E1145" s="55">
        <v>1</v>
      </c>
      <c r="F1145" s="57" t="s">
        <v>609</v>
      </c>
      <c r="G1145" s="55"/>
      <c r="H1145" s="58"/>
      <c r="I1145" s="59"/>
    </row>
    <row r="1146" spans="2:9" ht="27" x14ac:dyDescent="0.2">
      <c r="B1146" s="54" t="str">
        <f t="shared" si="18"/>
        <v>2021-096-2</v>
      </c>
      <c r="C1146" s="55">
        <v>2021</v>
      </c>
      <c r="D1146" s="55" t="s">
        <v>103</v>
      </c>
      <c r="E1146" s="55">
        <v>2</v>
      </c>
      <c r="F1146" s="57" t="s">
        <v>934</v>
      </c>
      <c r="G1146" s="55" t="s">
        <v>2735</v>
      </c>
      <c r="H1146" s="58"/>
      <c r="I1146" s="59"/>
    </row>
    <row r="1147" spans="2:9" ht="27" x14ac:dyDescent="0.2">
      <c r="B1147" s="54" t="str">
        <f t="shared" si="18"/>
        <v>2021-096-3</v>
      </c>
      <c r="C1147" s="55">
        <v>2021</v>
      </c>
      <c r="D1147" s="55" t="s">
        <v>103</v>
      </c>
      <c r="E1147" s="55">
        <v>3</v>
      </c>
      <c r="F1147" s="57" t="s">
        <v>1254</v>
      </c>
      <c r="G1147" s="55"/>
      <c r="H1147" s="58"/>
      <c r="I1147" s="59"/>
    </row>
    <row r="1148" spans="2:9" x14ac:dyDescent="0.2">
      <c r="B1148" s="54" t="str">
        <f t="shared" si="18"/>
        <v>2021-096-4</v>
      </c>
      <c r="C1148" s="55">
        <v>2021</v>
      </c>
      <c r="D1148" s="55" t="s">
        <v>103</v>
      </c>
      <c r="E1148" s="55">
        <v>4</v>
      </c>
      <c r="F1148" s="57" t="s">
        <v>1562</v>
      </c>
      <c r="G1148" s="55"/>
      <c r="H1148" s="58"/>
      <c r="I1148" s="59"/>
    </row>
    <row r="1149" spans="2:9" ht="27" x14ac:dyDescent="0.2">
      <c r="B1149" s="60" t="str">
        <f t="shared" si="18"/>
        <v>2021-096-5</v>
      </c>
      <c r="C1149" s="61">
        <v>2021</v>
      </c>
      <c r="D1149" s="61" t="s">
        <v>103</v>
      </c>
      <c r="E1149" s="61">
        <v>5</v>
      </c>
      <c r="F1149" s="62" t="s">
        <v>1858</v>
      </c>
      <c r="G1149" s="61"/>
      <c r="H1149" s="63"/>
      <c r="I1149" s="64"/>
    </row>
    <row r="1150" spans="2:9" ht="27" x14ac:dyDescent="0.2">
      <c r="B1150" s="65" t="str">
        <f t="shared" si="18"/>
        <v>2021-097-0</v>
      </c>
      <c r="C1150" s="66">
        <v>2021</v>
      </c>
      <c r="D1150" s="66" t="s">
        <v>104</v>
      </c>
      <c r="E1150" s="66">
        <v>0</v>
      </c>
      <c r="F1150" s="67" t="s">
        <v>264</v>
      </c>
      <c r="G1150" s="66"/>
      <c r="H1150" s="68"/>
      <c r="I1150" s="69"/>
    </row>
    <row r="1151" spans="2:9" x14ac:dyDescent="0.2">
      <c r="B1151" s="54" t="str">
        <f t="shared" si="18"/>
        <v>2021-097-1</v>
      </c>
      <c r="C1151" s="55">
        <v>2021</v>
      </c>
      <c r="D1151" s="55" t="s">
        <v>104</v>
      </c>
      <c r="E1151" s="55">
        <v>1</v>
      </c>
      <c r="F1151" s="57" t="s">
        <v>610</v>
      </c>
      <c r="G1151" s="55"/>
      <c r="H1151" s="58"/>
      <c r="I1151" s="59"/>
    </row>
    <row r="1152" spans="2:9" x14ac:dyDescent="0.2">
      <c r="B1152" s="54" t="str">
        <f t="shared" si="18"/>
        <v>2021-097-2</v>
      </c>
      <c r="C1152" s="55">
        <v>2021</v>
      </c>
      <c r="D1152" s="55" t="s">
        <v>104</v>
      </c>
      <c r="E1152" s="55">
        <v>2</v>
      </c>
      <c r="F1152" s="57" t="s">
        <v>935</v>
      </c>
      <c r="G1152" s="55"/>
      <c r="H1152" s="58"/>
      <c r="I1152" s="59"/>
    </row>
    <row r="1153" spans="2:9" ht="27" x14ac:dyDescent="0.2">
      <c r="B1153" s="54" t="str">
        <f t="shared" si="18"/>
        <v>2021-097-3</v>
      </c>
      <c r="C1153" s="55">
        <v>2021</v>
      </c>
      <c r="D1153" s="55" t="s">
        <v>104</v>
      </c>
      <c r="E1153" s="55">
        <v>3</v>
      </c>
      <c r="F1153" s="57" t="s">
        <v>1255</v>
      </c>
      <c r="G1153" s="55"/>
      <c r="H1153" s="58"/>
      <c r="I1153" s="59"/>
    </row>
    <row r="1154" spans="2:9" ht="27" x14ac:dyDescent="0.2">
      <c r="B1154" s="54" t="str">
        <f t="shared" si="18"/>
        <v>2021-097-4</v>
      </c>
      <c r="C1154" s="55">
        <v>2021</v>
      </c>
      <c r="D1154" s="55" t="s">
        <v>104</v>
      </c>
      <c r="E1154" s="55">
        <v>4</v>
      </c>
      <c r="F1154" s="57" t="s">
        <v>1563</v>
      </c>
      <c r="G1154" s="55"/>
      <c r="H1154" s="58"/>
      <c r="I1154" s="59"/>
    </row>
    <row r="1155" spans="2:9" x14ac:dyDescent="0.2">
      <c r="B1155" s="60" t="str">
        <f t="shared" si="18"/>
        <v>2021-097-5</v>
      </c>
      <c r="C1155" s="61">
        <v>2021</v>
      </c>
      <c r="D1155" s="61" t="s">
        <v>104</v>
      </c>
      <c r="E1155" s="61">
        <v>5</v>
      </c>
      <c r="F1155" s="62" t="s">
        <v>1859</v>
      </c>
      <c r="G1155" s="61" t="s">
        <v>2735</v>
      </c>
      <c r="H1155" s="63"/>
      <c r="I1155" s="64"/>
    </row>
    <row r="1156" spans="2:9" ht="81" x14ac:dyDescent="0.2">
      <c r="B1156" s="65" t="str">
        <f t="shared" si="18"/>
        <v>2021-098-0</v>
      </c>
      <c r="C1156" s="66">
        <v>2021</v>
      </c>
      <c r="D1156" s="66" t="s">
        <v>105</v>
      </c>
      <c r="E1156" s="66">
        <v>0</v>
      </c>
      <c r="F1156" s="67" t="s">
        <v>265</v>
      </c>
      <c r="G1156" s="66"/>
      <c r="H1156" s="68"/>
      <c r="I1156" s="69"/>
    </row>
    <row r="1157" spans="2:9" x14ac:dyDescent="0.2">
      <c r="B1157" s="54" t="str">
        <f t="shared" si="18"/>
        <v>2021-098-1</v>
      </c>
      <c r="C1157" s="55">
        <v>2021</v>
      </c>
      <c r="D1157" s="55" t="s">
        <v>105</v>
      </c>
      <c r="E1157" s="55">
        <v>1</v>
      </c>
      <c r="F1157" s="57" t="s">
        <v>4</v>
      </c>
      <c r="G1157" s="55"/>
      <c r="H1157" s="58"/>
      <c r="I1157" s="59"/>
    </row>
    <row r="1158" spans="2:9" x14ac:dyDescent="0.2">
      <c r="B1158" s="54" t="str">
        <f t="shared" si="18"/>
        <v>2021-098-2</v>
      </c>
      <c r="C1158" s="55">
        <v>2021</v>
      </c>
      <c r="D1158" s="55" t="s">
        <v>105</v>
      </c>
      <c r="E1158" s="55">
        <v>2</v>
      </c>
      <c r="F1158" s="57" t="s">
        <v>16</v>
      </c>
      <c r="G1158" s="55"/>
      <c r="H1158" s="58"/>
      <c r="I1158" s="59"/>
    </row>
    <row r="1159" spans="2:9" x14ac:dyDescent="0.2">
      <c r="B1159" s="54" t="str">
        <f t="shared" si="18"/>
        <v>2021-098-3</v>
      </c>
      <c r="C1159" s="55">
        <v>2021</v>
      </c>
      <c r="D1159" s="55" t="s">
        <v>105</v>
      </c>
      <c r="E1159" s="55">
        <v>3</v>
      </c>
      <c r="F1159" s="57" t="s">
        <v>11</v>
      </c>
      <c r="G1159" s="55"/>
      <c r="H1159" s="58"/>
      <c r="I1159" s="59"/>
    </row>
    <row r="1160" spans="2:9" x14ac:dyDescent="0.2">
      <c r="B1160" s="54" t="str">
        <f t="shared" si="18"/>
        <v>2021-098-4</v>
      </c>
      <c r="C1160" s="55">
        <v>2021</v>
      </c>
      <c r="D1160" s="55" t="s">
        <v>105</v>
      </c>
      <c r="E1160" s="55">
        <v>4</v>
      </c>
      <c r="F1160" s="57" t="s">
        <v>17</v>
      </c>
      <c r="G1160" s="55"/>
      <c r="H1160" s="58"/>
      <c r="I1160" s="59"/>
    </row>
    <row r="1161" spans="2:9" x14ac:dyDescent="0.2">
      <c r="B1161" s="60" t="str">
        <f t="shared" si="18"/>
        <v>2021-098-5</v>
      </c>
      <c r="C1161" s="61">
        <v>2021</v>
      </c>
      <c r="D1161" s="61" t="s">
        <v>105</v>
      </c>
      <c r="E1161" s="61">
        <v>5</v>
      </c>
      <c r="F1161" s="62" t="s">
        <v>21</v>
      </c>
      <c r="G1161" s="61" t="s">
        <v>2735</v>
      </c>
      <c r="H1161" s="63"/>
      <c r="I1161" s="64"/>
    </row>
    <row r="1162" spans="2:9" ht="27" x14ac:dyDescent="0.2">
      <c r="B1162" s="65" t="str">
        <f t="shared" si="18"/>
        <v>2021-099-0</v>
      </c>
      <c r="C1162" s="66">
        <v>2021</v>
      </c>
      <c r="D1162" s="66" t="s">
        <v>106</v>
      </c>
      <c r="E1162" s="66">
        <v>0</v>
      </c>
      <c r="F1162" s="67" t="s">
        <v>266</v>
      </c>
      <c r="G1162" s="66"/>
      <c r="H1162" s="68"/>
      <c r="I1162" s="69"/>
    </row>
    <row r="1163" spans="2:9" x14ac:dyDescent="0.2">
      <c r="B1163" s="54" t="str">
        <f t="shared" si="18"/>
        <v>2021-099-1</v>
      </c>
      <c r="C1163" s="55">
        <v>2021</v>
      </c>
      <c r="D1163" s="55" t="s">
        <v>106</v>
      </c>
      <c r="E1163" s="55">
        <v>1</v>
      </c>
      <c r="F1163" s="57" t="s">
        <v>611</v>
      </c>
      <c r="G1163" s="55"/>
      <c r="H1163" s="58"/>
      <c r="I1163" s="59"/>
    </row>
    <row r="1164" spans="2:9" x14ac:dyDescent="0.2">
      <c r="B1164" s="54" t="str">
        <f t="shared" si="18"/>
        <v>2021-099-2</v>
      </c>
      <c r="C1164" s="55">
        <v>2021</v>
      </c>
      <c r="D1164" s="55" t="s">
        <v>106</v>
      </c>
      <c r="E1164" s="55">
        <v>2</v>
      </c>
      <c r="F1164" s="57" t="s">
        <v>936</v>
      </c>
      <c r="G1164" s="55"/>
      <c r="H1164" s="58"/>
      <c r="I1164" s="59"/>
    </row>
    <row r="1165" spans="2:9" x14ac:dyDescent="0.2">
      <c r="B1165" s="54" t="str">
        <f t="shared" si="18"/>
        <v>2021-099-3</v>
      </c>
      <c r="C1165" s="55">
        <v>2021</v>
      </c>
      <c r="D1165" s="55" t="s">
        <v>106</v>
      </c>
      <c r="E1165" s="55">
        <v>3</v>
      </c>
      <c r="F1165" s="57" t="s">
        <v>1256</v>
      </c>
      <c r="G1165" s="55"/>
      <c r="H1165" s="58"/>
      <c r="I1165" s="59"/>
    </row>
    <row r="1166" spans="2:9" x14ac:dyDescent="0.2">
      <c r="B1166" s="54" t="str">
        <f t="shared" si="18"/>
        <v>2021-099-4</v>
      </c>
      <c r="C1166" s="55">
        <v>2021</v>
      </c>
      <c r="D1166" s="55" t="s">
        <v>106</v>
      </c>
      <c r="E1166" s="55">
        <v>4</v>
      </c>
      <c r="F1166" s="57" t="s">
        <v>1564</v>
      </c>
      <c r="G1166" s="55" t="s">
        <v>2735</v>
      </c>
      <c r="H1166" s="58"/>
      <c r="I1166" s="59"/>
    </row>
    <row r="1167" spans="2:9" x14ac:dyDescent="0.2">
      <c r="B1167" s="60" t="str">
        <f t="shared" si="18"/>
        <v>2021-099-5</v>
      </c>
      <c r="C1167" s="61">
        <v>2021</v>
      </c>
      <c r="D1167" s="61" t="s">
        <v>106</v>
      </c>
      <c r="E1167" s="61">
        <v>5</v>
      </c>
      <c r="F1167" s="62" t="s">
        <v>897</v>
      </c>
      <c r="G1167" s="61"/>
      <c r="H1167" s="63"/>
      <c r="I1167" s="64"/>
    </row>
    <row r="1168" spans="2:9" x14ac:dyDescent="0.2">
      <c r="B1168" s="65" t="str">
        <f t="shared" si="18"/>
        <v>2021-100-0</v>
      </c>
      <c r="C1168" s="66">
        <v>2021</v>
      </c>
      <c r="D1168" s="66" t="s">
        <v>107</v>
      </c>
      <c r="E1168" s="66">
        <v>0</v>
      </c>
      <c r="F1168" s="67" t="s">
        <v>267</v>
      </c>
      <c r="G1168" s="66"/>
      <c r="H1168" s="68"/>
      <c r="I1168" s="69"/>
    </row>
    <row r="1169" spans="2:9" x14ac:dyDescent="0.2">
      <c r="B1169" s="54" t="str">
        <f t="shared" si="18"/>
        <v>2021-100-1</v>
      </c>
      <c r="C1169" s="55">
        <v>2021</v>
      </c>
      <c r="D1169" s="55" t="s">
        <v>107</v>
      </c>
      <c r="E1169" s="55">
        <v>1</v>
      </c>
      <c r="F1169" s="57" t="s">
        <v>612</v>
      </c>
      <c r="G1169" s="55" t="s">
        <v>2735</v>
      </c>
      <c r="H1169" s="58"/>
      <c r="I1169" s="59"/>
    </row>
    <row r="1170" spans="2:9" x14ac:dyDescent="0.2">
      <c r="B1170" s="54" t="str">
        <f t="shared" si="18"/>
        <v>2021-100-2</v>
      </c>
      <c r="C1170" s="55">
        <v>2021</v>
      </c>
      <c r="D1170" s="55" t="s">
        <v>107</v>
      </c>
      <c r="E1170" s="55">
        <v>2</v>
      </c>
      <c r="F1170" s="57" t="s">
        <v>937</v>
      </c>
      <c r="G1170" s="55"/>
      <c r="H1170" s="58"/>
      <c r="I1170" s="59"/>
    </row>
    <row r="1171" spans="2:9" x14ac:dyDescent="0.2">
      <c r="B1171" s="54" t="str">
        <f t="shared" si="18"/>
        <v>2021-100-3</v>
      </c>
      <c r="C1171" s="55">
        <v>2021</v>
      </c>
      <c r="D1171" s="55" t="s">
        <v>107</v>
      </c>
      <c r="E1171" s="55">
        <v>3</v>
      </c>
      <c r="F1171" s="57" t="s">
        <v>1257</v>
      </c>
      <c r="G1171" s="55"/>
      <c r="H1171" s="58"/>
      <c r="I1171" s="59"/>
    </row>
    <row r="1172" spans="2:9" x14ac:dyDescent="0.2">
      <c r="B1172" s="54" t="str">
        <f t="shared" si="18"/>
        <v>2021-100-4</v>
      </c>
      <c r="C1172" s="55">
        <v>2021</v>
      </c>
      <c r="D1172" s="55" t="s">
        <v>107</v>
      </c>
      <c r="E1172" s="55">
        <v>4</v>
      </c>
      <c r="F1172" s="57" t="s">
        <v>1565</v>
      </c>
      <c r="G1172" s="55"/>
      <c r="H1172" s="58"/>
      <c r="I1172" s="59"/>
    </row>
    <row r="1173" spans="2:9" ht="14.25" thickBot="1" x14ac:dyDescent="0.25">
      <c r="B1173" s="70" t="str">
        <f t="shared" si="18"/>
        <v>2021-100-5</v>
      </c>
      <c r="C1173" s="71">
        <v>2021</v>
      </c>
      <c r="D1173" s="71" t="s">
        <v>107</v>
      </c>
      <c r="E1173" s="71">
        <v>5</v>
      </c>
      <c r="F1173" s="72" t="s">
        <v>1860</v>
      </c>
      <c r="G1173" s="71"/>
      <c r="H1173" s="73"/>
      <c r="I1173" s="74"/>
    </row>
    <row r="1174" spans="2:9" x14ac:dyDescent="0.2">
      <c r="B1174" s="48" t="str">
        <f t="shared" ref="B1174" si="19">C1174&amp;"-"&amp;D1174&amp;"-"&amp;E1174</f>
        <v>2020-076-0</v>
      </c>
      <c r="C1174" s="49">
        <v>2020</v>
      </c>
      <c r="D1174" s="49" t="s">
        <v>78</v>
      </c>
      <c r="E1174" s="49">
        <v>0</v>
      </c>
      <c r="F1174" s="51" t="s">
        <v>200</v>
      </c>
      <c r="G1174" s="49"/>
      <c r="H1174" s="52"/>
      <c r="I1174" s="53"/>
    </row>
    <row r="1175" spans="2:9" x14ac:dyDescent="0.2">
      <c r="B1175" s="54" t="str">
        <f t="shared" ref="B1175:B1238" si="20">C1175&amp;"-"&amp;D1175&amp;"-"&amp;E1175</f>
        <v>2020-076-1</v>
      </c>
      <c r="C1175" s="55">
        <v>2020</v>
      </c>
      <c r="D1175" s="55" t="s">
        <v>78</v>
      </c>
      <c r="E1175" s="55">
        <v>1</v>
      </c>
      <c r="F1175" s="57" t="s">
        <v>613</v>
      </c>
      <c r="G1175" s="55"/>
      <c r="H1175" s="58"/>
      <c r="I1175" s="59"/>
    </row>
    <row r="1176" spans="2:9" x14ac:dyDescent="0.2">
      <c r="B1176" s="54" t="str">
        <f t="shared" si="20"/>
        <v>2020-076-2</v>
      </c>
      <c r="C1176" s="55">
        <v>2020</v>
      </c>
      <c r="D1176" s="55" t="s">
        <v>78</v>
      </c>
      <c r="E1176" s="55">
        <v>2</v>
      </c>
      <c r="F1176" s="57" t="s">
        <v>938</v>
      </c>
      <c r="G1176" s="55" t="s">
        <v>2735</v>
      </c>
      <c r="H1176" s="58"/>
      <c r="I1176" s="59"/>
    </row>
    <row r="1177" spans="2:9" x14ac:dyDescent="0.2">
      <c r="B1177" s="54" t="str">
        <f t="shared" si="20"/>
        <v>2020-076-3</v>
      </c>
      <c r="C1177" s="55">
        <v>2020</v>
      </c>
      <c r="D1177" s="55" t="s">
        <v>78</v>
      </c>
      <c r="E1177" s="55">
        <v>3</v>
      </c>
      <c r="F1177" s="57" t="s">
        <v>1258</v>
      </c>
      <c r="G1177" s="55"/>
      <c r="H1177" s="58"/>
      <c r="I1177" s="59"/>
    </row>
    <row r="1178" spans="2:9" x14ac:dyDescent="0.2">
      <c r="B1178" s="54" t="str">
        <f t="shared" si="20"/>
        <v>2020-076-4</v>
      </c>
      <c r="C1178" s="55">
        <v>2020</v>
      </c>
      <c r="D1178" s="55" t="s">
        <v>78</v>
      </c>
      <c r="E1178" s="55">
        <v>4</v>
      </c>
      <c r="F1178" s="57" t="s">
        <v>1566</v>
      </c>
      <c r="G1178" s="55"/>
      <c r="H1178" s="58"/>
      <c r="I1178" s="59"/>
    </row>
    <row r="1179" spans="2:9" x14ac:dyDescent="0.2">
      <c r="B1179" s="60" t="str">
        <f t="shared" si="20"/>
        <v>2020-076-5</v>
      </c>
      <c r="C1179" s="61">
        <v>2020</v>
      </c>
      <c r="D1179" s="61" t="s">
        <v>78</v>
      </c>
      <c r="E1179" s="61">
        <v>5</v>
      </c>
      <c r="F1179" s="62" t="s">
        <v>1861</v>
      </c>
      <c r="G1179" s="61"/>
      <c r="H1179" s="63"/>
      <c r="I1179" s="64"/>
    </row>
    <row r="1180" spans="2:9" x14ac:dyDescent="0.2">
      <c r="B1180" s="65" t="str">
        <f t="shared" si="20"/>
        <v>2020-077-0</v>
      </c>
      <c r="C1180" s="66">
        <v>2020</v>
      </c>
      <c r="D1180" s="66" t="s">
        <v>79</v>
      </c>
      <c r="E1180" s="66">
        <v>0</v>
      </c>
      <c r="F1180" s="67" t="s">
        <v>268</v>
      </c>
      <c r="G1180" s="66"/>
      <c r="H1180" s="68"/>
      <c r="I1180" s="69"/>
    </row>
    <row r="1181" spans="2:9" x14ac:dyDescent="0.2">
      <c r="B1181" s="54" t="str">
        <f t="shared" si="20"/>
        <v>2020-077-1</v>
      </c>
      <c r="C1181" s="55">
        <v>2020</v>
      </c>
      <c r="D1181" s="55" t="s">
        <v>79</v>
      </c>
      <c r="E1181" s="55">
        <v>1</v>
      </c>
      <c r="F1181" s="57" t="s">
        <v>614</v>
      </c>
      <c r="G1181" s="55"/>
      <c r="H1181" s="58"/>
      <c r="I1181" s="59"/>
    </row>
    <row r="1182" spans="2:9" x14ac:dyDescent="0.2">
      <c r="B1182" s="54" t="str">
        <f t="shared" si="20"/>
        <v>2020-077-2</v>
      </c>
      <c r="C1182" s="55">
        <v>2020</v>
      </c>
      <c r="D1182" s="55" t="s">
        <v>79</v>
      </c>
      <c r="E1182" s="55">
        <v>2</v>
      </c>
      <c r="F1182" s="57" t="s">
        <v>939</v>
      </c>
      <c r="G1182" s="55" t="s">
        <v>2735</v>
      </c>
      <c r="H1182" s="58"/>
      <c r="I1182" s="59"/>
    </row>
    <row r="1183" spans="2:9" ht="27" x14ac:dyDescent="0.2">
      <c r="B1183" s="54" t="str">
        <f t="shared" si="20"/>
        <v>2020-077-3</v>
      </c>
      <c r="C1183" s="55">
        <v>2020</v>
      </c>
      <c r="D1183" s="55" t="s">
        <v>79</v>
      </c>
      <c r="E1183" s="55">
        <v>3</v>
      </c>
      <c r="F1183" s="57" t="s">
        <v>1259</v>
      </c>
      <c r="G1183" s="55"/>
      <c r="H1183" s="58"/>
      <c r="I1183" s="59"/>
    </row>
    <row r="1184" spans="2:9" x14ac:dyDescent="0.2">
      <c r="B1184" s="54" t="str">
        <f t="shared" si="20"/>
        <v>2020-077-4</v>
      </c>
      <c r="C1184" s="55">
        <v>2020</v>
      </c>
      <c r="D1184" s="55" t="s">
        <v>79</v>
      </c>
      <c r="E1184" s="55">
        <v>4</v>
      </c>
      <c r="F1184" s="57" t="s">
        <v>1567</v>
      </c>
      <c r="G1184" s="55"/>
      <c r="H1184" s="58"/>
      <c r="I1184" s="59"/>
    </row>
    <row r="1185" spans="2:9" ht="27" x14ac:dyDescent="0.2">
      <c r="B1185" s="60" t="str">
        <f t="shared" si="20"/>
        <v>2020-077-5</v>
      </c>
      <c r="C1185" s="61">
        <v>2020</v>
      </c>
      <c r="D1185" s="61" t="s">
        <v>79</v>
      </c>
      <c r="E1185" s="61">
        <v>5</v>
      </c>
      <c r="F1185" s="62" t="s">
        <v>1862</v>
      </c>
      <c r="G1185" s="61"/>
      <c r="H1185" s="63"/>
      <c r="I1185" s="64"/>
    </row>
    <row r="1186" spans="2:9" x14ac:dyDescent="0.2">
      <c r="B1186" s="65" t="str">
        <f t="shared" si="20"/>
        <v>2020-078-0</v>
      </c>
      <c r="C1186" s="66">
        <v>2020</v>
      </c>
      <c r="D1186" s="66" t="s">
        <v>80</v>
      </c>
      <c r="E1186" s="66">
        <v>0</v>
      </c>
      <c r="F1186" s="67" t="s">
        <v>269</v>
      </c>
      <c r="G1186" s="66"/>
      <c r="H1186" s="68"/>
      <c r="I1186" s="69"/>
    </row>
    <row r="1187" spans="2:9" x14ac:dyDescent="0.2">
      <c r="B1187" s="54" t="str">
        <f t="shared" si="20"/>
        <v>2020-078-1</v>
      </c>
      <c r="C1187" s="55">
        <v>2020</v>
      </c>
      <c r="D1187" s="55" t="s">
        <v>80</v>
      </c>
      <c r="E1187" s="55">
        <v>1</v>
      </c>
      <c r="F1187" s="57" t="s">
        <v>615</v>
      </c>
      <c r="G1187" s="55"/>
      <c r="H1187" s="58"/>
      <c r="I1187" s="59"/>
    </row>
    <row r="1188" spans="2:9" x14ac:dyDescent="0.2">
      <c r="B1188" s="54" t="str">
        <f t="shared" si="20"/>
        <v>2020-078-2</v>
      </c>
      <c r="C1188" s="55">
        <v>2020</v>
      </c>
      <c r="D1188" s="55" t="s">
        <v>80</v>
      </c>
      <c r="E1188" s="55">
        <v>2</v>
      </c>
      <c r="F1188" s="57" t="s">
        <v>940</v>
      </c>
      <c r="G1188" s="55"/>
      <c r="H1188" s="58"/>
      <c r="I1188" s="59"/>
    </row>
    <row r="1189" spans="2:9" x14ac:dyDescent="0.2">
      <c r="B1189" s="54" t="str">
        <f t="shared" si="20"/>
        <v>2020-078-3</v>
      </c>
      <c r="C1189" s="55">
        <v>2020</v>
      </c>
      <c r="D1189" s="55" t="s">
        <v>80</v>
      </c>
      <c r="E1189" s="55">
        <v>3</v>
      </c>
      <c r="F1189" s="57" t="s">
        <v>86</v>
      </c>
      <c r="G1189" s="55"/>
      <c r="H1189" s="58"/>
      <c r="I1189" s="59"/>
    </row>
    <row r="1190" spans="2:9" x14ac:dyDescent="0.2">
      <c r="B1190" s="54" t="str">
        <f t="shared" si="20"/>
        <v>2020-078-4</v>
      </c>
      <c r="C1190" s="55">
        <v>2020</v>
      </c>
      <c r="D1190" s="55" t="s">
        <v>80</v>
      </c>
      <c r="E1190" s="55">
        <v>4</v>
      </c>
      <c r="F1190" s="57" t="s">
        <v>1568</v>
      </c>
      <c r="G1190" s="55"/>
      <c r="H1190" s="58"/>
      <c r="I1190" s="59"/>
    </row>
    <row r="1191" spans="2:9" x14ac:dyDescent="0.2">
      <c r="B1191" s="60" t="str">
        <f t="shared" si="20"/>
        <v>2020-078-5</v>
      </c>
      <c r="C1191" s="61">
        <v>2020</v>
      </c>
      <c r="D1191" s="61" t="s">
        <v>80</v>
      </c>
      <c r="E1191" s="61">
        <v>5</v>
      </c>
      <c r="F1191" s="62" t="s">
        <v>1863</v>
      </c>
      <c r="G1191" s="61" t="s">
        <v>2735</v>
      </c>
      <c r="H1191" s="63"/>
      <c r="I1191" s="64"/>
    </row>
    <row r="1192" spans="2:9" x14ac:dyDescent="0.2">
      <c r="B1192" s="65" t="str">
        <f t="shared" si="20"/>
        <v>2020-079-0</v>
      </c>
      <c r="C1192" s="66">
        <v>2020</v>
      </c>
      <c r="D1192" s="66" t="s">
        <v>81</v>
      </c>
      <c r="E1192" s="66">
        <v>0</v>
      </c>
      <c r="F1192" s="67" t="s">
        <v>270</v>
      </c>
      <c r="G1192" s="66"/>
      <c r="H1192" s="68"/>
      <c r="I1192" s="69"/>
    </row>
    <row r="1193" spans="2:9" ht="27" x14ac:dyDescent="0.2">
      <c r="B1193" s="54" t="str">
        <f t="shared" si="20"/>
        <v>2020-079-1</v>
      </c>
      <c r="C1193" s="55">
        <v>2020</v>
      </c>
      <c r="D1193" s="55" t="s">
        <v>81</v>
      </c>
      <c r="E1193" s="55">
        <v>1</v>
      </c>
      <c r="F1193" s="57" t="s">
        <v>616</v>
      </c>
      <c r="G1193" s="55" t="s">
        <v>2735</v>
      </c>
      <c r="H1193" s="58"/>
      <c r="I1193" s="59"/>
    </row>
    <row r="1194" spans="2:9" ht="27" x14ac:dyDescent="0.2">
      <c r="B1194" s="54" t="str">
        <f t="shared" si="20"/>
        <v>2020-079-2</v>
      </c>
      <c r="C1194" s="55">
        <v>2020</v>
      </c>
      <c r="D1194" s="55" t="s">
        <v>81</v>
      </c>
      <c r="E1194" s="55">
        <v>2</v>
      </c>
      <c r="F1194" s="57" t="s">
        <v>941</v>
      </c>
      <c r="G1194" s="55"/>
      <c r="H1194" s="58"/>
      <c r="I1194" s="59"/>
    </row>
    <row r="1195" spans="2:9" x14ac:dyDescent="0.2">
      <c r="B1195" s="54" t="str">
        <f t="shared" si="20"/>
        <v>2020-079-3</v>
      </c>
      <c r="C1195" s="55">
        <v>2020</v>
      </c>
      <c r="D1195" s="55" t="s">
        <v>81</v>
      </c>
      <c r="E1195" s="55">
        <v>3</v>
      </c>
      <c r="F1195" s="57" t="s">
        <v>1260</v>
      </c>
      <c r="G1195" s="55"/>
      <c r="H1195" s="58"/>
      <c r="I1195" s="59"/>
    </row>
    <row r="1196" spans="2:9" x14ac:dyDescent="0.2">
      <c r="B1196" s="54" t="str">
        <f t="shared" si="20"/>
        <v>2020-079-4</v>
      </c>
      <c r="C1196" s="55">
        <v>2020</v>
      </c>
      <c r="D1196" s="55" t="s">
        <v>81</v>
      </c>
      <c r="E1196" s="55">
        <v>4</v>
      </c>
      <c r="F1196" s="57" t="s">
        <v>1569</v>
      </c>
      <c r="G1196" s="55"/>
      <c r="H1196" s="58"/>
      <c r="I1196" s="59"/>
    </row>
    <row r="1197" spans="2:9" ht="27" x14ac:dyDescent="0.2">
      <c r="B1197" s="60" t="str">
        <f t="shared" si="20"/>
        <v>2020-079-5</v>
      </c>
      <c r="C1197" s="61">
        <v>2020</v>
      </c>
      <c r="D1197" s="61" t="s">
        <v>81</v>
      </c>
      <c r="E1197" s="61">
        <v>5</v>
      </c>
      <c r="F1197" s="62" t="s">
        <v>1864</v>
      </c>
      <c r="G1197" s="61"/>
      <c r="H1197" s="63"/>
      <c r="I1197" s="64"/>
    </row>
    <row r="1198" spans="2:9" ht="67.5" x14ac:dyDescent="0.2">
      <c r="B1198" s="65" t="str">
        <f t="shared" si="20"/>
        <v>2020-080-0</v>
      </c>
      <c r="C1198" s="66">
        <v>2020</v>
      </c>
      <c r="D1198" s="66" t="s">
        <v>82</v>
      </c>
      <c r="E1198" s="66">
        <v>0</v>
      </c>
      <c r="F1198" s="67" t="s">
        <v>271</v>
      </c>
      <c r="G1198" s="66"/>
      <c r="H1198" s="68"/>
      <c r="I1198" s="69"/>
    </row>
    <row r="1199" spans="2:9" x14ac:dyDescent="0.2">
      <c r="B1199" s="54" t="str">
        <f t="shared" si="20"/>
        <v>2020-080-1</v>
      </c>
      <c r="C1199" s="55">
        <v>2020</v>
      </c>
      <c r="D1199" s="55" t="s">
        <v>82</v>
      </c>
      <c r="E1199" s="55">
        <v>1</v>
      </c>
      <c r="F1199" s="57">
        <v>30</v>
      </c>
      <c r="G1199" s="55"/>
      <c r="H1199" s="58"/>
      <c r="I1199" s="59"/>
    </row>
    <row r="1200" spans="2:9" x14ac:dyDescent="0.2">
      <c r="B1200" s="54" t="str">
        <f t="shared" si="20"/>
        <v>2020-080-2</v>
      </c>
      <c r="C1200" s="55">
        <v>2020</v>
      </c>
      <c r="D1200" s="55" t="s">
        <v>82</v>
      </c>
      <c r="E1200" s="55">
        <v>2</v>
      </c>
      <c r="F1200" s="57">
        <v>40</v>
      </c>
      <c r="G1200" s="55"/>
      <c r="H1200" s="58"/>
      <c r="I1200" s="59"/>
    </row>
    <row r="1201" spans="2:9" x14ac:dyDescent="0.2">
      <c r="B1201" s="54" t="str">
        <f t="shared" si="20"/>
        <v>2020-080-3</v>
      </c>
      <c r="C1201" s="55">
        <v>2020</v>
      </c>
      <c r="D1201" s="55" t="s">
        <v>82</v>
      </c>
      <c r="E1201" s="55">
        <v>3</v>
      </c>
      <c r="F1201" s="57">
        <v>50</v>
      </c>
      <c r="G1201" s="55" t="s">
        <v>2735</v>
      </c>
      <c r="H1201" s="58"/>
      <c r="I1201" s="59"/>
    </row>
    <row r="1202" spans="2:9" x14ac:dyDescent="0.2">
      <c r="B1202" s="54" t="str">
        <f t="shared" si="20"/>
        <v>2020-080-4</v>
      </c>
      <c r="C1202" s="55">
        <v>2020</v>
      </c>
      <c r="D1202" s="55" t="s">
        <v>82</v>
      </c>
      <c r="E1202" s="55">
        <v>4</v>
      </c>
      <c r="F1202" s="57">
        <v>60</v>
      </c>
      <c r="G1202" s="55"/>
      <c r="H1202" s="58"/>
      <c r="I1202" s="59"/>
    </row>
    <row r="1203" spans="2:9" x14ac:dyDescent="0.2">
      <c r="B1203" s="60" t="str">
        <f t="shared" si="20"/>
        <v>2020-080-5</v>
      </c>
      <c r="C1203" s="61">
        <v>2020</v>
      </c>
      <c r="D1203" s="61" t="s">
        <v>82</v>
      </c>
      <c r="E1203" s="61">
        <v>5</v>
      </c>
      <c r="F1203" s="62">
        <v>70</v>
      </c>
      <c r="G1203" s="61"/>
      <c r="H1203" s="63"/>
      <c r="I1203" s="64"/>
    </row>
    <row r="1204" spans="2:9" x14ac:dyDescent="0.2">
      <c r="B1204" s="65" t="str">
        <f t="shared" si="20"/>
        <v>2020-081-0</v>
      </c>
      <c r="C1204" s="66">
        <v>2020</v>
      </c>
      <c r="D1204" s="66" t="s">
        <v>88</v>
      </c>
      <c r="E1204" s="66">
        <v>0</v>
      </c>
      <c r="F1204" s="67" t="s">
        <v>272</v>
      </c>
      <c r="G1204" s="66"/>
      <c r="H1204" s="68"/>
      <c r="I1204" s="69"/>
    </row>
    <row r="1205" spans="2:9" x14ac:dyDescent="0.2">
      <c r="B1205" s="54" t="str">
        <f t="shared" si="20"/>
        <v>2020-081-1</v>
      </c>
      <c r="C1205" s="55">
        <v>2020</v>
      </c>
      <c r="D1205" s="55" t="s">
        <v>88</v>
      </c>
      <c r="E1205" s="55">
        <v>1</v>
      </c>
      <c r="F1205" s="57" t="s">
        <v>617</v>
      </c>
      <c r="G1205" s="55"/>
      <c r="H1205" s="58"/>
      <c r="I1205" s="59"/>
    </row>
    <row r="1206" spans="2:9" x14ac:dyDescent="0.2">
      <c r="B1206" s="54" t="str">
        <f t="shared" si="20"/>
        <v>2020-081-2</v>
      </c>
      <c r="C1206" s="55">
        <v>2020</v>
      </c>
      <c r="D1206" s="55" t="s">
        <v>88</v>
      </c>
      <c r="E1206" s="55">
        <v>2</v>
      </c>
      <c r="F1206" s="57" t="s">
        <v>942</v>
      </c>
      <c r="G1206" s="55"/>
      <c r="H1206" s="58"/>
      <c r="I1206" s="59"/>
    </row>
    <row r="1207" spans="2:9" x14ac:dyDescent="0.2">
      <c r="B1207" s="54" t="str">
        <f t="shared" si="20"/>
        <v>2020-081-3</v>
      </c>
      <c r="C1207" s="55">
        <v>2020</v>
      </c>
      <c r="D1207" s="55" t="s">
        <v>88</v>
      </c>
      <c r="E1207" s="55">
        <v>3</v>
      </c>
      <c r="F1207" s="57" t="s">
        <v>1261</v>
      </c>
      <c r="G1207" s="55"/>
      <c r="H1207" s="58"/>
      <c r="I1207" s="59"/>
    </row>
    <row r="1208" spans="2:9" x14ac:dyDescent="0.2">
      <c r="B1208" s="54" t="str">
        <f t="shared" si="20"/>
        <v>2020-081-4</v>
      </c>
      <c r="C1208" s="55">
        <v>2020</v>
      </c>
      <c r="D1208" s="55" t="s">
        <v>88</v>
      </c>
      <c r="E1208" s="55">
        <v>4</v>
      </c>
      <c r="F1208" s="57" t="s">
        <v>1570</v>
      </c>
      <c r="G1208" s="55"/>
      <c r="H1208" s="58"/>
      <c r="I1208" s="59"/>
    </row>
    <row r="1209" spans="2:9" x14ac:dyDescent="0.2">
      <c r="B1209" s="60" t="str">
        <f t="shared" si="20"/>
        <v>2020-081-5</v>
      </c>
      <c r="C1209" s="61">
        <v>2020</v>
      </c>
      <c r="D1209" s="61" t="s">
        <v>88</v>
      </c>
      <c r="E1209" s="61">
        <v>5</v>
      </c>
      <c r="F1209" s="62" t="s">
        <v>1865</v>
      </c>
      <c r="G1209" s="61" t="s">
        <v>2735</v>
      </c>
      <c r="H1209" s="63"/>
      <c r="I1209" s="64"/>
    </row>
    <row r="1210" spans="2:9" x14ac:dyDescent="0.2">
      <c r="B1210" s="65" t="str">
        <f t="shared" si="20"/>
        <v>2020-082-0</v>
      </c>
      <c r="C1210" s="66">
        <v>2020</v>
      </c>
      <c r="D1210" s="66" t="s">
        <v>89</v>
      </c>
      <c r="E1210" s="66">
        <v>0</v>
      </c>
      <c r="F1210" s="67" t="s">
        <v>273</v>
      </c>
      <c r="G1210" s="66"/>
      <c r="H1210" s="68"/>
      <c r="I1210" s="69"/>
    </row>
    <row r="1211" spans="2:9" x14ac:dyDescent="0.2">
      <c r="B1211" s="54" t="str">
        <f t="shared" si="20"/>
        <v>2020-082-1</v>
      </c>
      <c r="C1211" s="55">
        <v>2020</v>
      </c>
      <c r="D1211" s="55" t="s">
        <v>89</v>
      </c>
      <c r="E1211" s="55">
        <v>1</v>
      </c>
      <c r="F1211" s="57" t="s">
        <v>618</v>
      </c>
      <c r="G1211" s="55"/>
      <c r="H1211" s="58"/>
      <c r="I1211" s="59"/>
    </row>
    <row r="1212" spans="2:9" x14ac:dyDescent="0.2">
      <c r="B1212" s="54" t="str">
        <f t="shared" si="20"/>
        <v>2020-082-2</v>
      </c>
      <c r="C1212" s="55">
        <v>2020</v>
      </c>
      <c r="D1212" s="55" t="s">
        <v>89</v>
      </c>
      <c r="E1212" s="55">
        <v>2</v>
      </c>
      <c r="F1212" s="57" t="s">
        <v>943</v>
      </c>
      <c r="G1212" s="55"/>
      <c r="H1212" s="58"/>
      <c r="I1212" s="59"/>
    </row>
    <row r="1213" spans="2:9" x14ac:dyDescent="0.2">
      <c r="B1213" s="54" t="str">
        <f t="shared" si="20"/>
        <v>2020-082-3</v>
      </c>
      <c r="C1213" s="55">
        <v>2020</v>
      </c>
      <c r="D1213" s="55" t="s">
        <v>89</v>
      </c>
      <c r="E1213" s="55">
        <v>3</v>
      </c>
      <c r="F1213" s="57" t="s">
        <v>793</v>
      </c>
      <c r="G1213" s="55" t="s">
        <v>2735</v>
      </c>
      <c r="H1213" s="58"/>
      <c r="I1213" s="59"/>
    </row>
    <row r="1214" spans="2:9" x14ac:dyDescent="0.2">
      <c r="B1214" s="54" t="str">
        <f t="shared" si="20"/>
        <v>2020-082-4</v>
      </c>
      <c r="C1214" s="55">
        <v>2020</v>
      </c>
      <c r="D1214" s="55" t="s">
        <v>89</v>
      </c>
      <c r="E1214" s="55">
        <v>4</v>
      </c>
      <c r="F1214" s="57" t="s">
        <v>1571</v>
      </c>
      <c r="G1214" s="55"/>
      <c r="H1214" s="58"/>
      <c r="I1214" s="59"/>
    </row>
    <row r="1215" spans="2:9" x14ac:dyDescent="0.2">
      <c r="B1215" s="60" t="str">
        <f t="shared" si="20"/>
        <v>2020-082-5</v>
      </c>
      <c r="C1215" s="61">
        <v>2020</v>
      </c>
      <c r="D1215" s="61" t="s">
        <v>89</v>
      </c>
      <c r="E1215" s="61">
        <v>5</v>
      </c>
      <c r="F1215" s="62" t="s">
        <v>1866</v>
      </c>
      <c r="G1215" s="61"/>
      <c r="H1215" s="63"/>
      <c r="I1215" s="64"/>
    </row>
    <row r="1216" spans="2:9" x14ac:dyDescent="0.2">
      <c r="B1216" s="65" t="str">
        <f t="shared" si="20"/>
        <v>2020-083-0</v>
      </c>
      <c r="C1216" s="66">
        <v>2020</v>
      </c>
      <c r="D1216" s="66" t="s">
        <v>90</v>
      </c>
      <c r="E1216" s="66">
        <v>0</v>
      </c>
      <c r="F1216" s="67" t="s">
        <v>274</v>
      </c>
      <c r="G1216" s="66"/>
      <c r="H1216" s="68"/>
      <c r="I1216" s="69"/>
    </row>
    <row r="1217" spans="2:9" x14ac:dyDescent="0.2">
      <c r="B1217" s="54" t="str">
        <f t="shared" si="20"/>
        <v>2020-083-1</v>
      </c>
      <c r="C1217" s="55">
        <v>2020</v>
      </c>
      <c r="D1217" s="55" t="s">
        <v>90</v>
      </c>
      <c r="E1217" s="55">
        <v>1</v>
      </c>
      <c r="F1217" s="57" t="s">
        <v>619</v>
      </c>
      <c r="G1217" s="55"/>
      <c r="H1217" s="58"/>
      <c r="I1217" s="59"/>
    </row>
    <row r="1218" spans="2:9" x14ac:dyDescent="0.2">
      <c r="B1218" s="54" t="str">
        <f t="shared" si="20"/>
        <v>2020-083-2</v>
      </c>
      <c r="C1218" s="55">
        <v>2020</v>
      </c>
      <c r="D1218" s="55" t="s">
        <v>90</v>
      </c>
      <c r="E1218" s="55">
        <v>2</v>
      </c>
      <c r="F1218" s="57" t="s">
        <v>944</v>
      </c>
      <c r="G1218" s="55"/>
      <c r="H1218" s="58"/>
      <c r="I1218" s="59"/>
    </row>
    <row r="1219" spans="2:9" x14ac:dyDescent="0.2">
      <c r="B1219" s="54" t="str">
        <f t="shared" si="20"/>
        <v>2020-083-3</v>
      </c>
      <c r="C1219" s="55">
        <v>2020</v>
      </c>
      <c r="D1219" s="55" t="s">
        <v>90</v>
      </c>
      <c r="E1219" s="55">
        <v>3</v>
      </c>
      <c r="F1219" s="57" t="s">
        <v>1262</v>
      </c>
      <c r="G1219" s="55"/>
      <c r="H1219" s="58"/>
      <c r="I1219" s="59"/>
    </row>
    <row r="1220" spans="2:9" x14ac:dyDescent="0.2">
      <c r="B1220" s="54" t="str">
        <f t="shared" si="20"/>
        <v>2020-083-4</v>
      </c>
      <c r="C1220" s="55">
        <v>2020</v>
      </c>
      <c r="D1220" s="55" t="s">
        <v>90</v>
      </c>
      <c r="E1220" s="55">
        <v>4</v>
      </c>
      <c r="F1220" s="57" t="s">
        <v>1572</v>
      </c>
      <c r="G1220" s="55"/>
      <c r="H1220" s="58"/>
      <c r="I1220" s="59"/>
    </row>
    <row r="1221" spans="2:9" x14ac:dyDescent="0.2">
      <c r="B1221" s="60" t="str">
        <f t="shared" si="20"/>
        <v>2020-083-5</v>
      </c>
      <c r="C1221" s="61">
        <v>2020</v>
      </c>
      <c r="D1221" s="61" t="s">
        <v>90</v>
      </c>
      <c r="E1221" s="61">
        <v>5</v>
      </c>
      <c r="F1221" s="62" t="s">
        <v>1867</v>
      </c>
      <c r="G1221" s="61" t="s">
        <v>2735</v>
      </c>
      <c r="H1221" s="63"/>
      <c r="I1221" s="64"/>
    </row>
    <row r="1222" spans="2:9" ht="54" x14ac:dyDescent="0.2">
      <c r="B1222" s="65" t="str">
        <f t="shared" si="20"/>
        <v>2020-084-0</v>
      </c>
      <c r="C1222" s="66">
        <v>2020</v>
      </c>
      <c r="D1222" s="66" t="s">
        <v>91</v>
      </c>
      <c r="E1222" s="66">
        <v>0</v>
      </c>
      <c r="F1222" s="67" t="s">
        <v>275</v>
      </c>
      <c r="G1222" s="66"/>
      <c r="H1222" s="68"/>
      <c r="I1222" s="69"/>
    </row>
    <row r="1223" spans="2:9" x14ac:dyDescent="0.2">
      <c r="B1223" s="54" t="str">
        <f t="shared" si="20"/>
        <v>2020-084-1</v>
      </c>
      <c r="C1223" s="55">
        <v>2020</v>
      </c>
      <c r="D1223" s="55" t="s">
        <v>91</v>
      </c>
      <c r="E1223" s="55">
        <v>1</v>
      </c>
      <c r="F1223" s="57" t="s">
        <v>5</v>
      </c>
      <c r="G1223" s="55"/>
      <c r="H1223" s="58"/>
      <c r="I1223" s="59"/>
    </row>
    <row r="1224" spans="2:9" x14ac:dyDescent="0.2">
      <c r="B1224" s="54" t="str">
        <f t="shared" si="20"/>
        <v>2020-084-2</v>
      </c>
      <c r="C1224" s="55">
        <v>2020</v>
      </c>
      <c r="D1224" s="55" t="s">
        <v>91</v>
      </c>
      <c r="E1224" s="55">
        <v>2</v>
      </c>
      <c r="F1224" s="57" t="s">
        <v>4</v>
      </c>
      <c r="G1224" s="55"/>
      <c r="H1224" s="58"/>
      <c r="I1224" s="59"/>
    </row>
    <row r="1225" spans="2:9" x14ac:dyDescent="0.2">
      <c r="B1225" s="54" t="str">
        <f t="shared" si="20"/>
        <v>2020-084-3</v>
      </c>
      <c r="C1225" s="55">
        <v>2020</v>
      </c>
      <c r="D1225" s="55" t="s">
        <v>91</v>
      </c>
      <c r="E1225" s="55">
        <v>3</v>
      </c>
      <c r="F1225" s="57" t="s">
        <v>8</v>
      </c>
      <c r="G1225" s="55"/>
      <c r="H1225" s="58"/>
      <c r="I1225" s="59"/>
    </row>
    <row r="1226" spans="2:9" x14ac:dyDescent="0.2">
      <c r="B1226" s="54" t="str">
        <f t="shared" si="20"/>
        <v>2020-084-4</v>
      </c>
      <c r="C1226" s="55">
        <v>2020</v>
      </c>
      <c r="D1226" s="55" t="s">
        <v>91</v>
      </c>
      <c r="E1226" s="55">
        <v>4</v>
      </c>
      <c r="F1226" s="57" t="s">
        <v>16</v>
      </c>
      <c r="G1226" s="55" t="s">
        <v>2735</v>
      </c>
      <c r="H1226" s="58"/>
      <c r="I1226" s="59"/>
    </row>
    <row r="1227" spans="2:9" x14ac:dyDescent="0.2">
      <c r="B1227" s="60" t="str">
        <f t="shared" si="20"/>
        <v>2020-084-5</v>
      </c>
      <c r="C1227" s="61">
        <v>2020</v>
      </c>
      <c r="D1227" s="61" t="s">
        <v>91</v>
      </c>
      <c r="E1227" s="61">
        <v>5</v>
      </c>
      <c r="F1227" s="62" t="s">
        <v>6</v>
      </c>
      <c r="G1227" s="61"/>
      <c r="H1227" s="63"/>
      <c r="I1227" s="64"/>
    </row>
    <row r="1228" spans="2:9" ht="40.5" x14ac:dyDescent="0.2">
      <c r="B1228" s="65" t="str">
        <f t="shared" si="20"/>
        <v>2020-085-0</v>
      </c>
      <c r="C1228" s="66">
        <v>2020</v>
      </c>
      <c r="D1228" s="66" t="s">
        <v>92</v>
      </c>
      <c r="E1228" s="66">
        <v>0</v>
      </c>
      <c r="F1228" s="67" t="s">
        <v>276</v>
      </c>
      <c r="G1228" s="66"/>
      <c r="H1228" s="68"/>
      <c r="I1228" s="69"/>
    </row>
    <row r="1229" spans="2:9" x14ac:dyDescent="0.2">
      <c r="B1229" s="54" t="str">
        <f t="shared" si="20"/>
        <v>2020-085-1</v>
      </c>
      <c r="C1229" s="55">
        <v>2020</v>
      </c>
      <c r="D1229" s="55" t="s">
        <v>92</v>
      </c>
      <c r="E1229" s="55">
        <v>1</v>
      </c>
      <c r="F1229" s="57" t="s">
        <v>620</v>
      </c>
      <c r="G1229" s="55"/>
      <c r="H1229" s="58"/>
      <c r="I1229" s="59"/>
    </row>
    <row r="1230" spans="2:9" x14ac:dyDescent="0.2">
      <c r="B1230" s="54" t="str">
        <f t="shared" si="20"/>
        <v>2020-085-2</v>
      </c>
      <c r="C1230" s="55">
        <v>2020</v>
      </c>
      <c r="D1230" s="55" t="s">
        <v>92</v>
      </c>
      <c r="E1230" s="55">
        <v>2</v>
      </c>
      <c r="F1230" s="57" t="s">
        <v>945</v>
      </c>
      <c r="G1230" s="55"/>
      <c r="H1230" s="58"/>
      <c r="I1230" s="59"/>
    </row>
    <row r="1231" spans="2:9" x14ac:dyDescent="0.2">
      <c r="B1231" s="54" t="str">
        <f t="shared" si="20"/>
        <v>2020-085-3</v>
      </c>
      <c r="C1231" s="55">
        <v>2020</v>
      </c>
      <c r="D1231" s="55" t="s">
        <v>92</v>
      </c>
      <c r="E1231" s="55">
        <v>3</v>
      </c>
      <c r="F1231" s="57" t="s">
        <v>1263</v>
      </c>
      <c r="G1231" s="55" t="s">
        <v>2735</v>
      </c>
      <c r="H1231" s="58"/>
      <c r="I1231" s="59"/>
    </row>
    <row r="1232" spans="2:9" x14ac:dyDescent="0.2">
      <c r="B1232" s="54" t="str">
        <f t="shared" si="20"/>
        <v>2020-085-4</v>
      </c>
      <c r="C1232" s="55">
        <v>2020</v>
      </c>
      <c r="D1232" s="55" t="s">
        <v>92</v>
      </c>
      <c r="E1232" s="55">
        <v>4</v>
      </c>
      <c r="F1232" s="57" t="s">
        <v>1573</v>
      </c>
      <c r="G1232" s="55"/>
      <c r="H1232" s="58"/>
      <c r="I1232" s="59"/>
    </row>
    <row r="1233" spans="2:9" x14ac:dyDescent="0.2">
      <c r="B1233" s="60" t="str">
        <f t="shared" si="20"/>
        <v>2020-085-5</v>
      </c>
      <c r="C1233" s="61">
        <v>2020</v>
      </c>
      <c r="D1233" s="61" t="s">
        <v>92</v>
      </c>
      <c r="E1233" s="61">
        <v>5</v>
      </c>
      <c r="F1233" s="62" t="s">
        <v>1868</v>
      </c>
      <c r="G1233" s="61"/>
      <c r="H1233" s="63"/>
      <c r="I1233" s="64"/>
    </row>
    <row r="1234" spans="2:9" x14ac:dyDescent="0.2">
      <c r="B1234" s="65" t="str">
        <f t="shared" si="20"/>
        <v>2020-086-0</v>
      </c>
      <c r="C1234" s="66">
        <v>2020</v>
      </c>
      <c r="D1234" s="66" t="s">
        <v>93</v>
      </c>
      <c r="E1234" s="66">
        <v>0</v>
      </c>
      <c r="F1234" s="67" t="s">
        <v>277</v>
      </c>
      <c r="G1234" s="66"/>
      <c r="H1234" s="68"/>
      <c r="I1234" s="69"/>
    </row>
    <row r="1235" spans="2:9" x14ac:dyDescent="0.2">
      <c r="B1235" s="54" t="str">
        <f t="shared" si="20"/>
        <v>2020-086-1</v>
      </c>
      <c r="C1235" s="55">
        <v>2020</v>
      </c>
      <c r="D1235" s="55" t="s">
        <v>93</v>
      </c>
      <c r="E1235" s="55">
        <v>1</v>
      </c>
      <c r="F1235" s="57" t="s">
        <v>621</v>
      </c>
      <c r="G1235" s="55"/>
      <c r="H1235" s="58"/>
      <c r="I1235" s="59"/>
    </row>
    <row r="1236" spans="2:9" x14ac:dyDescent="0.2">
      <c r="B1236" s="54" t="str">
        <f t="shared" si="20"/>
        <v>2020-086-2</v>
      </c>
      <c r="C1236" s="55">
        <v>2020</v>
      </c>
      <c r="D1236" s="55" t="s">
        <v>93</v>
      </c>
      <c r="E1236" s="55">
        <v>2</v>
      </c>
      <c r="F1236" s="57" t="s">
        <v>946</v>
      </c>
      <c r="G1236" s="55"/>
      <c r="H1236" s="58"/>
      <c r="I1236" s="59"/>
    </row>
    <row r="1237" spans="2:9" x14ac:dyDescent="0.2">
      <c r="B1237" s="54" t="str">
        <f t="shared" si="20"/>
        <v>2020-086-3</v>
      </c>
      <c r="C1237" s="55">
        <v>2020</v>
      </c>
      <c r="D1237" s="55" t="s">
        <v>93</v>
      </c>
      <c r="E1237" s="55">
        <v>3</v>
      </c>
      <c r="F1237" s="57" t="s">
        <v>1264</v>
      </c>
      <c r="G1237" s="55"/>
      <c r="H1237" s="58"/>
      <c r="I1237" s="59"/>
    </row>
    <row r="1238" spans="2:9" x14ac:dyDescent="0.2">
      <c r="B1238" s="54" t="str">
        <f t="shared" si="20"/>
        <v>2020-086-4</v>
      </c>
      <c r="C1238" s="55">
        <v>2020</v>
      </c>
      <c r="D1238" s="55" t="s">
        <v>93</v>
      </c>
      <c r="E1238" s="55">
        <v>4</v>
      </c>
      <c r="F1238" s="57" t="s">
        <v>1519</v>
      </c>
      <c r="G1238" s="55"/>
      <c r="H1238" s="58"/>
      <c r="I1238" s="59"/>
    </row>
    <row r="1239" spans="2:9" x14ac:dyDescent="0.2">
      <c r="B1239" s="60" t="str">
        <f t="shared" ref="B1239:B1302" si="21">C1239&amp;"-"&amp;D1239&amp;"-"&amp;E1239</f>
        <v>2020-086-5</v>
      </c>
      <c r="C1239" s="61">
        <v>2020</v>
      </c>
      <c r="D1239" s="61" t="s">
        <v>93</v>
      </c>
      <c r="E1239" s="61">
        <v>5</v>
      </c>
      <c r="F1239" s="62" t="s">
        <v>1816</v>
      </c>
      <c r="G1239" s="61" t="s">
        <v>2735</v>
      </c>
      <c r="H1239" s="63"/>
      <c r="I1239" s="64"/>
    </row>
    <row r="1240" spans="2:9" x14ac:dyDescent="0.2">
      <c r="B1240" s="65" t="str">
        <f t="shared" si="21"/>
        <v>2020-087-0</v>
      </c>
      <c r="C1240" s="66">
        <v>2020</v>
      </c>
      <c r="D1240" s="66" t="s">
        <v>94</v>
      </c>
      <c r="E1240" s="66">
        <v>0</v>
      </c>
      <c r="F1240" s="67" t="s">
        <v>278</v>
      </c>
      <c r="G1240" s="66"/>
      <c r="H1240" s="68"/>
      <c r="I1240" s="69"/>
    </row>
    <row r="1241" spans="2:9" x14ac:dyDescent="0.2">
      <c r="B1241" s="54" t="str">
        <f t="shared" si="21"/>
        <v>2020-087-1</v>
      </c>
      <c r="C1241" s="55">
        <v>2020</v>
      </c>
      <c r="D1241" s="55" t="s">
        <v>94</v>
      </c>
      <c r="E1241" s="55">
        <v>1</v>
      </c>
      <c r="F1241" s="57" t="s">
        <v>622</v>
      </c>
      <c r="G1241" s="55" t="s">
        <v>2735</v>
      </c>
      <c r="H1241" s="58"/>
      <c r="I1241" s="59"/>
    </row>
    <row r="1242" spans="2:9" x14ac:dyDescent="0.2">
      <c r="B1242" s="54" t="str">
        <f t="shared" si="21"/>
        <v>2020-087-2</v>
      </c>
      <c r="C1242" s="55">
        <v>2020</v>
      </c>
      <c r="D1242" s="55" t="s">
        <v>94</v>
      </c>
      <c r="E1242" s="55">
        <v>2</v>
      </c>
      <c r="F1242" s="57" t="s">
        <v>947</v>
      </c>
      <c r="G1242" s="55"/>
      <c r="H1242" s="58"/>
      <c r="I1242" s="59"/>
    </row>
    <row r="1243" spans="2:9" ht="27" x14ac:dyDescent="0.2">
      <c r="B1243" s="54" t="str">
        <f t="shared" si="21"/>
        <v>2020-087-3</v>
      </c>
      <c r="C1243" s="55">
        <v>2020</v>
      </c>
      <c r="D1243" s="55" t="s">
        <v>94</v>
      </c>
      <c r="E1243" s="55">
        <v>3</v>
      </c>
      <c r="F1243" s="57" t="s">
        <v>1265</v>
      </c>
      <c r="G1243" s="55"/>
      <c r="H1243" s="58"/>
      <c r="I1243" s="59"/>
    </row>
    <row r="1244" spans="2:9" ht="27" x14ac:dyDescent="0.2">
      <c r="B1244" s="54" t="str">
        <f t="shared" si="21"/>
        <v>2020-087-4</v>
      </c>
      <c r="C1244" s="55">
        <v>2020</v>
      </c>
      <c r="D1244" s="55" t="s">
        <v>94</v>
      </c>
      <c r="E1244" s="55">
        <v>4</v>
      </c>
      <c r="F1244" s="57" t="s">
        <v>1574</v>
      </c>
      <c r="G1244" s="55"/>
      <c r="H1244" s="58"/>
      <c r="I1244" s="59"/>
    </row>
    <row r="1245" spans="2:9" x14ac:dyDescent="0.2">
      <c r="B1245" s="60" t="str">
        <f t="shared" si="21"/>
        <v>2020-087-5</v>
      </c>
      <c r="C1245" s="61">
        <v>2020</v>
      </c>
      <c r="D1245" s="61" t="s">
        <v>94</v>
      </c>
      <c r="E1245" s="61">
        <v>5</v>
      </c>
      <c r="F1245" s="62" t="s">
        <v>1869</v>
      </c>
      <c r="G1245" s="61"/>
      <c r="H1245" s="63"/>
      <c r="I1245" s="64"/>
    </row>
    <row r="1246" spans="2:9" x14ac:dyDescent="0.2">
      <c r="B1246" s="65" t="str">
        <f t="shared" si="21"/>
        <v>2020-088-0</v>
      </c>
      <c r="C1246" s="66">
        <v>2020</v>
      </c>
      <c r="D1246" s="66" t="s">
        <v>95</v>
      </c>
      <c r="E1246" s="66">
        <v>0</v>
      </c>
      <c r="F1246" s="67" t="s">
        <v>279</v>
      </c>
      <c r="G1246" s="66"/>
      <c r="H1246" s="68"/>
      <c r="I1246" s="69"/>
    </row>
    <row r="1247" spans="2:9" x14ac:dyDescent="0.2">
      <c r="B1247" s="54" t="str">
        <f t="shared" si="21"/>
        <v>2020-088-1</v>
      </c>
      <c r="C1247" s="55">
        <v>2020</v>
      </c>
      <c r="D1247" s="55" t="s">
        <v>95</v>
      </c>
      <c r="E1247" s="55">
        <v>1</v>
      </c>
      <c r="F1247" s="57" t="s">
        <v>623</v>
      </c>
      <c r="G1247" s="55"/>
      <c r="H1247" s="58"/>
      <c r="I1247" s="59"/>
    </row>
    <row r="1248" spans="2:9" ht="27" x14ac:dyDescent="0.2">
      <c r="B1248" s="54" t="str">
        <f t="shared" si="21"/>
        <v>2020-088-2</v>
      </c>
      <c r="C1248" s="55">
        <v>2020</v>
      </c>
      <c r="D1248" s="55" t="s">
        <v>95</v>
      </c>
      <c r="E1248" s="55">
        <v>2</v>
      </c>
      <c r="F1248" s="57" t="s">
        <v>948</v>
      </c>
      <c r="G1248" s="55"/>
      <c r="H1248" s="58"/>
      <c r="I1248" s="59"/>
    </row>
    <row r="1249" spans="2:9" x14ac:dyDescent="0.2">
      <c r="B1249" s="54" t="str">
        <f t="shared" si="21"/>
        <v>2020-088-3</v>
      </c>
      <c r="C1249" s="55">
        <v>2020</v>
      </c>
      <c r="D1249" s="55" t="s">
        <v>95</v>
      </c>
      <c r="E1249" s="55">
        <v>3</v>
      </c>
      <c r="F1249" s="57" t="s">
        <v>1266</v>
      </c>
      <c r="G1249" s="55"/>
      <c r="H1249" s="58"/>
      <c r="I1249" s="59"/>
    </row>
    <row r="1250" spans="2:9" ht="27" x14ac:dyDescent="0.2">
      <c r="B1250" s="54" t="str">
        <f t="shared" si="21"/>
        <v>2020-088-4</v>
      </c>
      <c r="C1250" s="55">
        <v>2020</v>
      </c>
      <c r="D1250" s="55" t="s">
        <v>95</v>
      </c>
      <c r="E1250" s="55">
        <v>4</v>
      </c>
      <c r="F1250" s="57" t="s">
        <v>1575</v>
      </c>
      <c r="G1250" s="55"/>
      <c r="H1250" s="58"/>
      <c r="I1250" s="59"/>
    </row>
    <row r="1251" spans="2:9" ht="27" x14ac:dyDescent="0.2">
      <c r="B1251" s="60" t="str">
        <f t="shared" si="21"/>
        <v>2020-088-5</v>
      </c>
      <c r="C1251" s="61">
        <v>2020</v>
      </c>
      <c r="D1251" s="61" t="s">
        <v>95</v>
      </c>
      <c r="E1251" s="61">
        <v>5</v>
      </c>
      <c r="F1251" s="62" t="s">
        <v>1870</v>
      </c>
      <c r="G1251" s="61" t="s">
        <v>2735</v>
      </c>
      <c r="H1251" s="63"/>
      <c r="I1251" s="64"/>
    </row>
    <row r="1252" spans="2:9" ht="67.5" x14ac:dyDescent="0.2">
      <c r="B1252" s="65" t="str">
        <f t="shared" si="21"/>
        <v>2020-089-0</v>
      </c>
      <c r="C1252" s="66">
        <v>2020</v>
      </c>
      <c r="D1252" s="66" t="s">
        <v>96</v>
      </c>
      <c r="E1252" s="66">
        <v>0</v>
      </c>
      <c r="F1252" s="67" t="s">
        <v>280</v>
      </c>
      <c r="G1252" s="66"/>
      <c r="H1252" s="68"/>
      <c r="I1252" s="69"/>
    </row>
    <row r="1253" spans="2:9" x14ac:dyDescent="0.2">
      <c r="B1253" s="54" t="str">
        <f t="shared" si="21"/>
        <v>2020-089-1</v>
      </c>
      <c r="C1253" s="55">
        <v>2020</v>
      </c>
      <c r="D1253" s="55" t="s">
        <v>96</v>
      </c>
      <c r="E1253" s="55">
        <v>1</v>
      </c>
      <c r="F1253" s="57" t="s">
        <v>4</v>
      </c>
      <c r="G1253" s="55"/>
      <c r="H1253" s="58"/>
      <c r="I1253" s="59"/>
    </row>
    <row r="1254" spans="2:9" x14ac:dyDescent="0.2">
      <c r="B1254" s="54" t="str">
        <f t="shared" si="21"/>
        <v>2020-089-2</v>
      </c>
      <c r="C1254" s="55">
        <v>2020</v>
      </c>
      <c r="D1254" s="55" t="s">
        <v>96</v>
      </c>
      <c r="E1254" s="55">
        <v>2</v>
      </c>
      <c r="F1254" s="57" t="s">
        <v>16</v>
      </c>
      <c r="G1254" s="55"/>
      <c r="H1254" s="58"/>
      <c r="I1254" s="59"/>
    </row>
    <row r="1255" spans="2:9" x14ac:dyDescent="0.2">
      <c r="B1255" s="54" t="str">
        <f t="shared" si="21"/>
        <v>2020-089-3</v>
      </c>
      <c r="C1255" s="55">
        <v>2020</v>
      </c>
      <c r="D1255" s="55" t="s">
        <v>96</v>
      </c>
      <c r="E1255" s="55">
        <v>3</v>
      </c>
      <c r="F1255" s="57" t="s">
        <v>11</v>
      </c>
      <c r="G1255" s="55" t="s">
        <v>2735</v>
      </c>
      <c r="H1255" s="58"/>
      <c r="I1255" s="59"/>
    </row>
    <row r="1256" spans="2:9" x14ac:dyDescent="0.2">
      <c r="B1256" s="54" t="str">
        <f t="shared" si="21"/>
        <v>2020-089-4</v>
      </c>
      <c r="C1256" s="55">
        <v>2020</v>
      </c>
      <c r="D1256" s="55" t="s">
        <v>96</v>
      </c>
      <c r="E1256" s="55">
        <v>4</v>
      </c>
      <c r="F1256" s="57" t="s">
        <v>17</v>
      </c>
      <c r="G1256" s="55"/>
      <c r="H1256" s="58"/>
      <c r="I1256" s="59"/>
    </row>
    <row r="1257" spans="2:9" x14ac:dyDescent="0.2">
      <c r="B1257" s="60" t="str">
        <f t="shared" si="21"/>
        <v>2020-089-5</v>
      </c>
      <c r="C1257" s="61">
        <v>2020</v>
      </c>
      <c r="D1257" s="61" t="s">
        <v>96</v>
      </c>
      <c r="E1257" s="61">
        <v>5</v>
      </c>
      <c r="F1257" s="62" t="s">
        <v>19</v>
      </c>
      <c r="G1257" s="61"/>
      <c r="H1257" s="63"/>
      <c r="I1257" s="64"/>
    </row>
    <row r="1258" spans="2:9" x14ac:dyDescent="0.2">
      <c r="B1258" s="65" t="str">
        <f t="shared" si="21"/>
        <v>2020-090-0</v>
      </c>
      <c r="C1258" s="66">
        <v>2020</v>
      </c>
      <c r="D1258" s="66" t="s">
        <v>97</v>
      </c>
      <c r="E1258" s="66">
        <v>0</v>
      </c>
      <c r="F1258" s="67" t="s">
        <v>281</v>
      </c>
      <c r="G1258" s="66"/>
      <c r="H1258" s="68"/>
      <c r="I1258" s="69"/>
    </row>
    <row r="1259" spans="2:9" x14ac:dyDescent="0.2">
      <c r="B1259" s="54" t="str">
        <f t="shared" si="21"/>
        <v>2020-090-1</v>
      </c>
      <c r="C1259" s="55">
        <v>2020</v>
      </c>
      <c r="D1259" s="55" t="s">
        <v>97</v>
      </c>
      <c r="E1259" s="55">
        <v>1</v>
      </c>
      <c r="F1259" s="57" t="s">
        <v>624</v>
      </c>
      <c r="G1259" s="55"/>
      <c r="H1259" s="58"/>
      <c r="I1259" s="59"/>
    </row>
    <row r="1260" spans="2:9" ht="27" x14ac:dyDescent="0.2">
      <c r="B1260" s="54" t="str">
        <f t="shared" si="21"/>
        <v>2020-090-2</v>
      </c>
      <c r="C1260" s="55">
        <v>2020</v>
      </c>
      <c r="D1260" s="55" t="s">
        <v>97</v>
      </c>
      <c r="E1260" s="55">
        <v>2</v>
      </c>
      <c r="F1260" s="57" t="s">
        <v>949</v>
      </c>
      <c r="G1260" s="55" t="s">
        <v>2735</v>
      </c>
      <c r="H1260" s="58"/>
      <c r="I1260" s="59"/>
    </row>
    <row r="1261" spans="2:9" x14ac:dyDescent="0.2">
      <c r="B1261" s="54" t="str">
        <f t="shared" si="21"/>
        <v>2020-090-3</v>
      </c>
      <c r="C1261" s="55">
        <v>2020</v>
      </c>
      <c r="D1261" s="55" t="s">
        <v>97</v>
      </c>
      <c r="E1261" s="55">
        <v>3</v>
      </c>
      <c r="F1261" s="57" t="s">
        <v>1267</v>
      </c>
      <c r="G1261" s="55"/>
      <c r="H1261" s="58"/>
      <c r="I1261" s="59"/>
    </row>
    <row r="1262" spans="2:9" x14ac:dyDescent="0.2">
      <c r="B1262" s="54" t="str">
        <f t="shared" si="21"/>
        <v>2020-090-4</v>
      </c>
      <c r="C1262" s="55">
        <v>2020</v>
      </c>
      <c r="D1262" s="55" t="s">
        <v>97</v>
      </c>
      <c r="E1262" s="55">
        <v>4</v>
      </c>
      <c r="F1262" s="57" t="s">
        <v>1576</v>
      </c>
      <c r="G1262" s="55"/>
      <c r="H1262" s="58"/>
      <c r="I1262" s="59"/>
    </row>
    <row r="1263" spans="2:9" x14ac:dyDescent="0.2">
      <c r="B1263" s="60" t="str">
        <f t="shared" si="21"/>
        <v>2020-090-5</v>
      </c>
      <c r="C1263" s="61">
        <v>2020</v>
      </c>
      <c r="D1263" s="61" t="s">
        <v>97</v>
      </c>
      <c r="E1263" s="61">
        <v>5</v>
      </c>
      <c r="F1263" s="62" t="s">
        <v>1871</v>
      </c>
      <c r="G1263" s="61"/>
      <c r="H1263" s="63"/>
      <c r="I1263" s="64"/>
    </row>
    <row r="1264" spans="2:9" x14ac:dyDescent="0.2">
      <c r="B1264" s="65" t="str">
        <f t="shared" si="21"/>
        <v>2020-091-0</v>
      </c>
      <c r="C1264" s="66">
        <v>2020</v>
      </c>
      <c r="D1264" s="66" t="s">
        <v>98</v>
      </c>
      <c r="E1264" s="66">
        <v>0</v>
      </c>
      <c r="F1264" s="67" t="s">
        <v>282</v>
      </c>
      <c r="G1264" s="66"/>
      <c r="H1264" s="68"/>
      <c r="I1264" s="69"/>
    </row>
    <row r="1265" spans="2:9" x14ac:dyDescent="0.2">
      <c r="B1265" s="54" t="str">
        <f t="shared" si="21"/>
        <v>2020-091-1</v>
      </c>
      <c r="C1265" s="55">
        <v>2020</v>
      </c>
      <c r="D1265" s="55" t="s">
        <v>98</v>
      </c>
      <c r="E1265" s="55">
        <v>1</v>
      </c>
      <c r="F1265" s="57" t="s">
        <v>625</v>
      </c>
      <c r="G1265" s="55"/>
      <c r="H1265" s="58"/>
      <c r="I1265" s="59"/>
    </row>
    <row r="1266" spans="2:9" x14ac:dyDescent="0.2">
      <c r="B1266" s="54" t="str">
        <f t="shared" si="21"/>
        <v>2020-091-2</v>
      </c>
      <c r="C1266" s="55">
        <v>2020</v>
      </c>
      <c r="D1266" s="55" t="s">
        <v>98</v>
      </c>
      <c r="E1266" s="55">
        <v>2</v>
      </c>
      <c r="F1266" s="57" t="s">
        <v>950</v>
      </c>
      <c r="G1266" s="55"/>
      <c r="H1266" s="58"/>
      <c r="I1266" s="59"/>
    </row>
    <row r="1267" spans="2:9" x14ac:dyDescent="0.2">
      <c r="B1267" s="54" t="str">
        <f t="shared" si="21"/>
        <v>2020-091-3</v>
      </c>
      <c r="C1267" s="55">
        <v>2020</v>
      </c>
      <c r="D1267" s="55" t="s">
        <v>98</v>
      </c>
      <c r="E1267" s="55">
        <v>3</v>
      </c>
      <c r="F1267" s="57" t="s">
        <v>1268</v>
      </c>
      <c r="G1267" s="55" t="s">
        <v>2735</v>
      </c>
      <c r="H1267" s="58"/>
      <c r="I1267" s="59"/>
    </row>
    <row r="1268" spans="2:9" x14ac:dyDescent="0.2">
      <c r="B1268" s="54" t="str">
        <f t="shared" si="21"/>
        <v>2020-091-4</v>
      </c>
      <c r="C1268" s="55">
        <v>2020</v>
      </c>
      <c r="D1268" s="55" t="s">
        <v>98</v>
      </c>
      <c r="E1268" s="55">
        <v>4</v>
      </c>
      <c r="F1268" s="57" t="s">
        <v>1577</v>
      </c>
      <c r="G1268" s="55"/>
      <c r="H1268" s="58"/>
      <c r="I1268" s="59"/>
    </row>
    <row r="1269" spans="2:9" x14ac:dyDescent="0.2">
      <c r="B1269" s="60" t="str">
        <f t="shared" si="21"/>
        <v>2020-091-5</v>
      </c>
      <c r="C1269" s="61">
        <v>2020</v>
      </c>
      <c r="D1269" s="61" t="s">
        <v>98</v>
      </c>
      <c r="E1269" s="61">
        <v>5</v>
      </c>
      <c r="F1269" s="62" t="s">
        <v>1872</v>
      </c>
      <c r="G1269" s="61"/>
      <c r="H1269" s="63"/>
      <c r="I1269" s="64"/>
    </row>
    <row r="1270" spans="2:9" x14ac:dyDescent="0.2">
      <c r="B1270" s="65" t="str">
        <f t="shared" si="21"/>
        <v>2020-092-0</v>
      </c>
      <c r="C1270" s="66">
        <v>2020</v>
      </c>
      <c r="D1270" s="66" t="s">
        <v>99</v>
      </c>
      <c r="E1270" s="66">
        <v>0</v>
      </c>
      <c r="F1270" s="67" t="s">
        <v>283</v>
      </c>
      <c r="G1270" s="66"/>
      <c r="H1270" s="68"/>
      <c r="I1270" s="69"/>
    </row>
    <row r="1271" spans="2:9" x14ac:dyDescent="0.2">
      <c r="B1271" s="54" t="str">
        <f t="shared" si="21"/>
        <v>2020-092-1</v>
      </c>
      <c r="C1271" s="55">
        <v>2020</v>
      </c>
      <c r="D1271" s="55" t="s">
        <v>99</v>
      </c>
      <c r="E1271" s="55">
        <v>1</v>
      </c>
      <c r="F1271" s="57" t="s">
        <v>626</v>
      </c>
      <c r="G1271" s="55" t="s">
        <v>2735</v>
      </c>
      <c r="H1271" s="58"/>
      <c r="I1271" s="59"/>
    </row>
    <row r="1272" spans="2:9" x14ac:dyDescent="0.2">
      <c r="B1272" s="54" t="str">
        <f t="shared" si="21"/>
        <v>2020-092-2</v>
      </c>
      <c r="C1272" s="55">
        <v>2020</v>
      </c>
      <c r="D1272" s="55" t="s">
        <v>99</v>
      </c>
      <c r="E1272" s="55">
        <v>2</v>
      </c>
      <c r="F1272" s="57" t="s">
        <v>951</v>
      </c>
      <c r="G1272" s="55"/>
      <c r="H1272" s="58"/>
      <c r="I1272" s="59"/>
    </row>
    <row r="1273" spans="2:9" x14ac:dyDescent="0.2">
      <c r="B1273" s="54" t="str">
        <f t="shared" si="21"/>
        <v>2020-092-3</v>
      </c>
      <c r="C1273" s="55">
        <v>2020</v>
      </c>
      <c r="D1273" s="55" t="s">
        <v>99</v>
      </c>
      <c r="E1273" s="55">
        <v>3</v>
      </c>
      <c r="F1273" s="57" t="s">
        <v>1269</v>
      </c>
      <c r="G1273" s="55"/>
      <c r="H1273" s="58"/>
      <c r="I1273" s="59"/>
    </row>
    <row r="1274" spans="2:9" x14ac:dyDescent="0.2">
      <c r="B1274" s="54" t="str">
        <f t="shared" si="21"/>
        <v>2020-092-4</v>
      </c>
      <c r="C1274" s="55">
        <v>2020</v>
      </c>
      <c r="D1274" s="55" t="s">
        <v>99</v>
      </c>
      <c r="E1274" s="55">
        <v>4</v>
      </c>
      <c r="F1274" s="57" t="s">
        <v>1578</v>
      </c>
      <c r="G1274" s="55"/>
      <c r="H1274" s="58"/>
      <c r="I1274" s="59"/>
    </row>
    <row r="1275" spans="2:9" x14ac:dyDescent="0.2">
      <c r="B1275" s="60" t="str">
        <f t="shared" si="21"/>
        <v>2020-092-5</v>
      </c>
      <c r="C1275" s="61">
        <v>2020</v>
      </c>
      <c r="D1275" s="61" t="s">
        <v>99</v>
      </c>
      <c r="E1275" s="61">
        <v>5</v>
      </c>
      <c r="F1275" s="62" t="s">
        <v>1873</v>
      </c>
      <c r="G1275" s="61"/>
      <c r="H1275" s="63"/>
      <c r="I1275" s="64"/>
    </row>
    <row r="1276" spans="2:9" x14ac:dyDescent="0.2">
      <c r="B1276" s="65" t="str">
        <f t="shared" si="21"/>
        <v>2020-093-0</v>
      </c>
      <c r="C1276" s="66">
        <v>2020</v>
      </c>
      <c r="D1276" s="66" t="s">
        <v>100</v>
      </c>
      <c r="E1276" s="66">
        <v>0</v>
      </c>
      <c r="F1276" s="67" t="s">
        <v>284</v>
      </c>
      <c r="G1276" s="66"/>
      <c r="H1276" s="68"/>
      <c r="I1276" s="69"/>
    </row>
    <row r="1277" spans="2:9" x14ac:dyDescent="0.2">
      <c r="B1277" s="54" t="str">
        <f t="shared" si="21"/>
        <v>2020-093-1</v>
      </c>
      <c r="C1277" s="55">
        <v>2020</v>
      </c>
      <c r="D1277" s="55" t="s">
        <v>100</v>
      </c>
      <c r="E1277" s="55">
        <v>1</v>
      </c>
      <c r="F1277" s="57" t="s">
        <v>627</v>
      </c>
      <c r="G1277" s="55"/>
      <c r="H1277" s="58"/>
      <c r="I1277" s="59"/>
    </row>
    <row r="1278" spans="2:9" x14ac:dyDescent="0.2">
      <c r="B1278" s="54" t="str">
        <f t="shared" si="21"/>
        <v>2020-093-2</v>
      </c>
      <c r="C1278" s="55">
        <v>2020</v>
      </c>
      <c r="D1278" s="55" t="s">
        <v>100</v>
      </c>
      <c r="E1278" s="55">
        <v>2</v>
      </c>
      <c r="F1278" s="57" t="s">
        <v>952</v>
      </c>
      <c r="G1278" s="55"/>
      <c r="H1278" s="58"/>
      <c r="I1278" s="59"/>
    </row>
    <row r="1279" spans="2:9" x14ac:dyDescent="0.2">
      <c r="B1279" s="54" t="str">
        <f t="shared" si="21"/>
        <v>2020-093-3</v>
      </c>
      <c r="C1279" s="55">
        <v>2020</v>
      </c>
      <c r="D1279" s="55" t="s">
        <v>100</v>
      </c>
      <c r="E1279" s="55">
        <v>3</v>
      </c>
      <c r="F1279" s="57" t="s">
        <v>1270</v>
      </c>
      <c r="G1279" s="55"/>
      <c r="H1279" s="58"/>
      <c r="I1279" s="59"/>
    </row>
    <row r="1280" spans="2:9" x14ac:dyDescent="0.2">
      <c r="B1280" s="54" t="str">
        <f t="shared" si="21"/>
        <v>2020-093-4</v>
      </c>
      <c r="C1280" s="55">
        <v>2020</v>
      </c>
      <c r="D1280" s="55" t="s">
        <v>100</v>
      </c>
      <c r="E1280" s="55">
        <v>4</v>
      </c>
      <c r="F1280" s="57" t="s">
        <v>1579</v>
      </c>
      <c r="G1280" s="55" t="s">
        <v>2735</v>
      </c>
      <c r="H1280" s="58"/>
      <c r="I1280" s="59"/>
    </row>
    <row r="1281" spans="2:9" x14ac:dyDescent="0.2">
      <c r="B1281" s="60" t="str">
        <f t="shared" si="21"/>
        <v>2020-093-5</v>
      </c>
      <c r="C1281" s="61">
        <v>2020</v>
      </c>
      <c r="D1281" s="61" t="s">
        <v>100</v>
      </c>
      <c r="E1281" s="61">
        <v>5</v>
      </c>
      <c r="F1281" s="62" t="s">
        <v>542</v>
      </c>
      <c r="G1281" s="61"/>
      <c r="H1281" s="63"/>
      <c r="I1281" s="64"/>
    </row>
    <row r="1282" spans="2:9" ht="54" x14ac:dyDescent="0.2">
      <c r="B1282" s="65" t="str">
        <f t="shared" si="21"/>
        <v>2020-094-0</v>
      </c>
      <c r="C1282" s="66">
        <v>2020</v>
      </c>
      <c r="D1282" s="66" t="s">
        <v>101</v>
      </c>
      <c r="E1282" s="66">
        <v>0</v>
      </c>
      <c r="F1282" s="67" t="s">
        <v>285</v>
      </c>
      <c r="G1282" s="66"/>
      <c r="H1282" s="68"/>
      <c r="I1282" s="69"/>
    </row>
    <row r="1283" spans="2:9" x14ac:dyDescent="0.2">
      <c r="B1283" s="54" t="str">
        <f t="shared" si="21"/>
        <v>2020-094-1</v>
      </c>
      <c r="C1283" s="55">
        <v>2020</v>
      </c>
      <c r="D1283" s="55" t="s">
        <v>101</v>
      </c>
      <c r="E1283" s="55">
        <v>1</v>
      </c>
      <c r="F1283" s="57" t="s">
        <v>10</v>
      </c>
      <c r="G1283" s="55"/>
      <c r="H1283" s="58"/>
      <c r="I1283" s="59"/>
    </row>
    <row r="1284" spans="2:9" x14ac:dyDescent="0.2">
      <c r="B1284" s="54" t="str">
        <f t="shared" si="21"/>
        <v>2020-094-2</v>
      </c>
      <c r="C1284" s="55">
        <v>2020</v>
      </c>
      <c r="D1284" s="55" t="s">
        <v>101</v>
      </c>
      <c r="E1284" s="55">
        <v>2</v>
      </c>
      <c r="F1284" s="57" t="s">
        <v>4</v>
      </c>
      <c r="G1284" s="55"/>
      <c r="H1284" s="58"/>
      <c r="I1284" s="59"/>
    </row>
    <row r="1285" spans="2:9" x14ac:dyDescent="0.2">
      <c r="B1285" s="54" t="str">
        <f t="shared" si="21"/>
        <v>2020-094-3</v>
      </c>
      <c r="C1285" s="55">
        <v>2020</v>
      </c>
      <c r="D1285" s="55" t="s">
        <v>101</v>
      </c>
      <c r="E1285" s="55">
        <v>3</v>
      </c>
      <c r="F1285" s="57" t="s">
        <v>8</v>
      </c>
      <c r="G1285" s="55" t="s">
        <v>2735</v>
      </c>
      <c r="H1285" s="58"/>
      <c r="I1285" s="59"/>
    </row>
    <row r="1286" spans="2:9" x14ac:dyDescent="0.2">
      <c r="B1286" s="54" t="str">
        <f t="shared" si="21"/>
        <v>2020-094-4</v>
      </c>
      <c r="C1286" s="55">
        <v>2020</v>
      </c>
      <c r="D1286" s="55" t="s">
        <v>101</v>
      </c>
      <c r="E1286" s="55">
        <v>4</v>
      </c>
      <c r="F1286" s="57" t="s">
        <v>16</v>
      </c>
      <c r="G1286" s="55"/>
      <c r="H1286" s="58"/>
      <c r="I1286" s="59"/>
    </row>
    <row r="1287" spans="2:9" x14ac:dyDescent="0.2">
      <c r="B1287" s="60" t="str">
        <f t="shared" si="21"/>
        <v>2020-094-5</v>
      </c>
      <c r="C1287" s="61">
        <v>2020</v>
      </c>
      <c r="D1287" s="61" t="s">
        <v>101</v>
      </c>
      <c r="E1287" s="61">
        <v>5</v>
      </c>
      <c r="F1287" s="62" t="s">
        <v>6</v>
      </c>
      <c r="G1287" s="61"/>
      <c r="H1287" s="63"/>
      <c r="I1287" s="64"/>
    </row>
    <row r="1288" spans="2:9" x14ac:dyDescent="0.2">
      <c r="B1288" s="65" t="str">
        <f t="shared" si="21"/>
        <v>2020-095-0</v>
      </c>
      <c r="C1288" s="66">
        <v>2020</v>
      </c>
      <c r="D1288" s="66" t="s">
        <v>102</v>
      </c>
      <c r="E1288" s="66">
        <v>0</v>
      </c>
      <c r="F1288" s="67" t="s">
        <v>286</v>
      </c>
      <c r="G1288" s="66"/>
      <c r="H1288" s="68"/>
      <c r="I1288" s="69"/>
    </row>
    <row r="1289" spans="2:9" x14ac:dyDescent="0.2">
      <c r="B1289" s="54" t="str">
        <f t="shared" si="21"/>
        <v>2020-095-1</v>
      </c>
      <c r="C1289" s="55">
        <v>2020</v>
      </c>
      <c r="D1289" s="55" t="s">
        <v>102</v>
      </c>
      <c r="E1289" s="55">
        <v>1</v>
      </c>
      <c r="F1289" s="57" t="s">
        <v>628</v>
      </c>
      <c r="G1289" s="55"/>
      <c r="H1289" s="58"/>
      <c r="I1289" s="59"/>
    </row>
    <row r="1290" spans="2:9" x14ac:dyDescent="0.2">
      <c r="B1290" s="54" t="str">
        <f t="shared" si="21"/>
        <v>2020-095-2</v>
      </c>
      <c r="C1290" s="55">
        <v>2020</v>
      </c>
      <c r="D1290" s="55" t="s">
        <v>102</v>
      </c>
      <c r="E1290" s="55">
        <v>2</v>
      </c>
      <c r="F1290" s="57" t="s">
        <v>953</v>
      </c>
      <c r="G1290" s="55"/>
      <c r="H1290" s="58"/>
      <c r="I1290" s="59"/>
    </row>
    <row r="1291" spans="2:9" x14ac:dyDescent="0.2">
      <c r="B1291" s="54" t="str">
        <f t="shared" si="21"/>
        <v>2020-095-3</v>
      </c>
      <c r="C1291" s="55">
        <v>2020</v>
      </c>
      <c r="D1291" s="55" t="s">
        <v>102</v>
      </c>
      <c r="E1291" s="55">
        <v>3</v>
      </c>
      <c r="F1291" s="57" t="s">
        <v>1271</v>
      </c>
      <c r="G1291" s="55" t="s">
        <v>2735</v>
      </c>
      <c r="H1291" s="58"/>
      <c r="I1291" s="59"/>
    </row>
    <row r="1292" spans="2:9" x14ac:dyDescent="0.2">
      <c r="B1292" s="54" t="str">
        <f t="shared" si="21"/>
        <v>2020-095-4</v>
      </c>
      <c r="C1292" s="55">
        <v>2020</v>
      </c>
      <c r="D1292" s="55" t="s">
        <v>102</v>
      </c>
      <c r="E1292" s="55">
        <v>4</v>
      </c>
      <c r="F1292" s="57" t="s">
        <v>1580</v>
      </c>
      <c r="G1292" s="55"/>
      <c r="H1292" s="58"/>
      <c r="I1292" s="59"/>
    </row>
    <row r="1293" spans="2:9" x14ac:dyDescent="0.2">
      <c r="B1293" s="60" t="str">
        <f t="shared" si="21"/>
        <v>2020-095-5</v>
      </c>
      <c r="C1293" s="61">
        <v>2020</v>
      </c>
      <c r="D1293" s="61" t="s">
        <v>102</v>
      </c>
      <c r="E1293" s="61">
        <v>5</v>
      </c>
      <c r="F1293" s="62" t="s">
        <v>1874</v>
      </c>
      <c r="G1293" s="61"/>
      <c r="H1293" s="63"/>
      <c r="I1293" s="64"/>
    </row>
    <row r="1294" spans="2:9" ht="67.5" x14ac:dyDescent="0.2">
      <c r="B1294" s="65" t="str">
        <f t="shared" si="21"/>
        <v>2020-096-0</v>
      </c>
      <c r="C1294" s="66">
        <v>2020</v>
      </c>
      <c r="D1294" s="66" t="s">
        <v>103</v>
      </c>
      <c r="E1294" s="66">
        <v>0</v>
      </c>
      <c r="F1294" s="67" t="s">
        <v>287</v>
      </c>
      <c r="G1294" s="66"/>
      <c r="H1294" s="68"/>
      <c r="I1294" s="69"/>
    </row>
    <row r="1295" spans="2:9" x14ac:dyDescent="0.2">
      <c r="B1295" s="54" t="str">
        <f t="shared" si="21"/>
        <v>2020-096-1</v>
      </c>
      <c r="C1295" s="55">
        <v>2020</v>
      </c>
      <c r="D1295" s="55" t="s">
        <v>103</v>
      </c>
      <c r="E1295" s="55">
        <v>1</v>
      </c>
      <c r="F1295" s="57" t="s">
        <v>629</v>
      </c>
      <c r="G1295" s="55"/>
      <c r="H1295" s="58"/>
      <c r="I1295" s="59"/>
    </row>
    <row r="1296" spans="2:9" x14ac:dyDescent="0.2">
      <c r="B1296" s="54" t="str">
        <f t="shared" si="21"/>
        <v>2020-096-2</v>
      </c>
      <c r="C1296" s="55">
        <v>2020</v>
      </c>
      <c r="D1296" s="55" t="s">
        <v>103</v>
      </c>
      <c r="E1296" s="55">
        <v>2</v>
      </c>
      <c r="F1296" s="57" t="s">
        <v>954</v>
      </c>
      <c r="G1296" s="55"/>
      <c r="H1296" s="58"/>
      <c r="I1296" s="59"/>
    </row>
    <row r="1297" spans="2:9" x14ac:dyDescent="0.2">
      <c r="B1297" s="54" t="str">
        <f t="shared" si="21"/>
        <v>2020-096-3</v>
      </c>
      <c r="C1297" s="55">
        <v>2020</v>
      </c>
      <c r="D1297" s="55" t="s">
        <v>103</v>
      </c>
      <c r="E1297" s="55">
        <v>3</v>
      </c>
      <c r="F1297" s="57" t="s">
        <v>1272</v>
      </c>
      <c r="G1297" s="55"/>
      <c r="H1297" s="58"/>
      <c r="I1297" s="59"/>
    </row>
    <row r="1298" spans="2:9" x14ac:dyDescent="0.2">
      <c r="B1298" s="54" t="str">
        <f t="shared" si="21"/>
        <v>2020-096-4</v>
      </c>
      <c r="C1298" s="55">
        <v>2020</v>
      </c>
      <c r="D1298" s="55" t="s">
        <v>103</v>
      </c>
      <c r="E1298" s="55">
        <v>4</v>
      </c>
      <c r="F1298" s="57" t="s">
        <v>1034</v>
      </c>
      <c r="G1298" s="55" t="s">
        <v>2735</v>
      </c>
      <c r="H1298" s="58"/>
      <c r="I1298" s="59"/>
    </row>
    <row r="1299" spans="2:9" x14ac:dyDescent="0.2">
      <c r="B1299" s="60" t="str">
        <f t="shared" si="21"/>
        <v>2020-096-5</v>
      </c>
      <c r="C1299" s="61">
        <v>2020</v>
      </c>
      <c r="D1299" s="61" t="s">
        <v>103</v>
      </c>
      <c r="E1299" s="61">
        <v>5</v>
      </c>
      <c r="F1299" s="62" t="s">
        <v>1875</v>
      </c>
      <c r="G1299" s="61"/>
      <c r="H1299" s="63"/>
      <c r="I1299" s="64"/>
    </row>
    <row r="1300" spans="2:9" ht="94.5" x14ac:dyDescent="0.2">
      <c r="B1300" s="65" t="str">
        <f t="shared" si="21"/>
        <v>2020-097-0</v>
      </c>
      <c r="C1300" s="66">
        <v>2020</v>
      </c>
      <c r="D1300" s="66" t="s">
        <v>104</v>
      </c>
      <c r="E1300" s="66">
        <v>0</v>
      </c>
      <c r="F1300" s="67" t="s">
        <v>288</v>
      </c>
      <c r="G1300" s="66"/>
      <c r="H1300" s="68"/>
      <c r="I1300" s="69"/>
    </row>
    <row r="1301" spans="2:9" x14ac:dyDescent="0.2">
      <c r="B1301" s="54" t="str">
        <f t="shared" si="21"/>
        <v>2020-097-1</v>
      </c>
      <c r="C1301" s="55">
        <v>2020</v>
      </c>
      <c r="D1301" s="55" t="s">
        <v>104</v>
      </c>
      <c r="E1301" s="55">
        <v>1</v>
      </c>
      <c r="F1301" s="57" t="s">
        <v>630</v>
      </c>
      <c r="G1301" s="55"/>
      <c r="H1301" s="58"/>
      <c r="I1301" s="59"/>
    </row>
    <row r="1302" spans="2:9" x14ac:dyDescent="0.2">
      <c r="B1302" s="54" t="str">
        <f t="shared" si="21"/>
        <v>2020-097-2</v>
      </c>
      <c r="C1302" s="55">
        <v>2020</v>
      </c>
      <c r="D1302" s="55" t="s">
        <v>104</v>
      </c>
      <c r="E1302" s="55">
        <v>2</v>
      </c>
      <c r="F1302" s="57" t="s">
        <v>955</v>
      </c>
      <c r="G1302" s="55"/>
      <c r="H1302" s="58"/>
      <c r="I1302" s="59"/>
    </row>
    <row r="1303" spans="2:9" x14ac:dyDescent="0.2">
      <c r="B1303" s="54" t="str">
        <f t="shared" ref="B1303:B1323" si="22">C1303&amp;"-"&amp;D1303&amp;"-"&amp;E1303</f>
        <v>2020-097-3</v>
      </c>
      <c r="C1303" s="55">
        <v>2020</v>
      </c>
      <c r="D1303" s="55" t="s">
        <v>104</v>
      </c>
      <c r="E1303" s="55">
        <v>3</v>
      </c>
      <c r="F1303" s="57" t="s">
        <v>1273</v>
      </c>
      <c r="G1303" s="55"/>
      <c r="H1303" s="58"/>
      <c r="I1303" s="59"/>
    </row>
    <row r="1304" spans="2:9" x14ac:dyDescent="0.2">
      <c r="B1304" s="54" t="str">
        <f t="shared" si="22"/>
        <v>2020-097-4</v>
      </c>
      <c r="C1304" s="55">
        <v>2020</v>
      </c>
      <c r="D1304" s="55" t="s">
        <v>104</v>
      </c>
      <c r="E1304" s="55">
        <v>4</v>
      </c>
      <c r="F1304" s="57" t="s">
        <v>1581</v>
      </c>
      <c r="G1304" s="55" t="s">
        <v>2735</v>
      </c>
      <c r="H1304" s="58"/>
      <c r="I1304" s="59"/>
    </row>
    <row r="1305" spans="2:9" x14ac:dyDescent="0.2">
      <c r="B1305" s="60" t="str">
        <f t="shared" si="22"/>
        <v>2020-097-5</v>
      </c>
      <c r="C1305" s="61">
        <v>2020</v>
      </c>
      <c r="D1305" s="61" t="s">
        <v>104</v>
      </c>
      <c r="E1305" s="61">
        <v>5</v>
      </c>
      <c r="F1305" s="62" t="s">
        <v>1876</v>
      </c>
      <c r="G1305" s="61"/>
      <c r="H1305" s="63"/>
      <c r="I1305" s="64"/>
    </row>
    <row r="1306" spans="2:9" ht="94.5" x14ac:dyDescent="0.2">
      <c r="B1306" s="65" t="str">
        <f t="shared" si="22"/>
        <v>2020-098-0</v>
      </c>
      <c r="C1306" s="66">
        <v>2020</v>
      </c>
      <c r="D1306" s="66" t="s">
        <v>105</v>
      </c>
      <c r="E1306" s="66">
        <v>0</v>
      </c>
      <c r="F1306" s="67" t="s">
        <v>289</v>
      </c>
      <c r="G1306" s="66"/>
      <c r="H1306" s="68"/>
      <c r="I1306" s="69"/>
    </row>
    <row r="1307" spans="2:9" x14ac:dyDescent="0.2">
      <c r="B1307" s="54" t="str">
        <f t="shared" si="22"/>
        <v>2020-098-1</v>
      </c>
      <c r="C1307" s="55">
        <v>2020</v>
      </c>
      <c r="D1307" s="55" t="s">
        <v>105</v>
      </c>
      <c r="E1307" s="55">
        <v>1</v>
      </c>
      <c r="F1307" s="57" t="s">
        <v>5</v>
      </c>
      <c r="G1307" s="55"/>
      <c r="H1307" s="58"/>
      <c r="I1307" s="59"/>
    </row>
    <row r="1308" spans="2:9" x14ac:dyDescent="0.2">
      <c r="B1308" s="54" t="str">
        <f t="shared" si="22"/>
        <v>2020-098-2</v>
      </c>
      <c r="C1308" s="55">
        <v>2020</v>
      </c>
      <c r="D1308" s="55" t="s">
        <v>105</v>
      </c>
      <c r="E1308" s="55">
        <v>2</v>
      </c>
      <c r="F1308" s="57" t="s">
        <v>4</v>
      </c>
      <c r="G1308" s="55" t="s">
        <v>2735</v>
      </c>
      <c r="H1308" s="58"/>
      <c r="I1308" s="59"/>
    </row>
    <row r="1309" spans="2:9" x14ac:dyDescent="0.2">
      <c r="B1309" s="54" t="str">
        <f t="shared" si="22"/>
        <v>2020-098-3</v>
      </c>
      <c r="C1309" s="55">
        <v>2020</v>
      </c>
      <c r="D1309" s="55" t="s">
        <v>105</v>
      </c>
      <c r="E1309" s="55">
        <v>3</v>
      </c>
      <c r="F1309" s="57" t="s">
        <v>8</v>
      </c>
      <c r="G1309" s="55"/>
      <c r="H1309" s="58"/>
      <c r="I1309" s="59"/>
    </row>
    <row r="1310" spans="2:9" x14ac:dyDescent="0.2">
      <c r="B1310" s="54" t="str">
        <f t="shared" si="22"/>
        <v>2020-098-4</v>
      </c>
      <c r="C1310" s="55">
        <v>2020</v>
      </c>
      <c r="D1310" s="55" t="s">
        <v>105</v>
      </c>
      <c r="E1310" s="55">
        <v>4</v>
      </c>
      <c r="F1310" s="57" t="s">
        <v>16</v>
      </c>
      <c r="G1310" s="55"/>
      <c r="H1310" s="58"/>
      <c r="I1310" s="59"/>
    </row>
    <row r="1311" spans="2:9" x14ac:dyDescent="0.2">
      <c r="B1311" s="60" t="str">
        <f t="shared" si="22"/>
        <v>2020-098-5</v>
      </c>
      <c r="C1311" s="61">
        <v>2020</v>
      </c>
      <c r="D1311" s="61" t="s">
        <v>105</v>
      </c>
      <c r="E1311" s="61">
        <v>5</v>
      </c>
      <c r="F1311" s="62" t="s">
        <v>6</v>
      </c>
      <c r="G1311" s="61"/>
      <c r="H1311" s="63"/>
      <c r="I1311" s="64"/>
    </row>
    <row r="1312" spans="2:9" ht="54" x14ac:dyDescent="0.2">
      <c r="B1312" s="65" t="str">
        <f t="shared" si="22"/>
        <v>2020-099-0</v>
      </c>
      <c r="C1312" s="66">
        <v>2020</v>
      </c>
      <c r="D1312" s="66" t="s">
        <v>106</v>
      </c>
      <c r="E1312" s="66">
        <v>0</v>
      </c>
      <c r="F1312" s="67" t="s">
        <v>290</v>
      </c>
      <c r="G1312" s="66"/>
      <c r="H1312" s="68"/>
      <c r="I1312" s="69"/>
    </row>
    <row r="1313" spans="2:9" x14ac:dyDescent="0.2">
      <c r="B1313" s="54" t="str">
        <f t="shared" si="22"/>
        <v>2020-099-1</v>
      </c>
      <c r="C1313" s="55">
        <v>2020</v>
      </c>
      <c r="D1313" s="55" t="s">
        <v>106</v>
      </c>
      <c r="E1313" s="55">
        <v>1</v>
      </c>
      <c r="F1313" s="57" t="s">
        <v>631</v>
      </c>
      <c r="G1313" s="55"/>
      <c r="H1313" s="58"/>
      <c r="I1313" s="59"/>
    </row>
    <row r="1314" spans="2:9" x14ac:dyDescent="0.2">
      <c r="B1314" s="54" t="str">
        <f t="shared" si="22"/>
        <v>2020-099-2</v>
      </c>
      <c r="C1314" s="55">
        <v>2020</v>
      </c>
      <c r="D1314" s="55" t="s">
        <v>106</v>
      </c>
      <c r="E1314" s="55">
        <v>2</v>
      </c>
      <c r="F1314" s="57" t="s">
        <v>956</v>
      </c>
      <c r="G1314" s="55" t="s">
        <v>2735</v>
      </c>
      <c r="H1314" s="58"/>
      <c r="I1314" s="59"/>
    </row>
    <row r="1315" spans="2:9" x14ac:dyDescent="0.2">
      <c r="B1315" s="54" t="str">
        <f t="shared" si="22"/>
        <v>2020-099-3</v>
      </c>
      <c r="C1315" s="55">
        <v>2020</v>
      </c>
      <c r="D1315" s="55" t="s">
        <v>106</v>
      </c>
      <c r="E1315" s="55">
        <v>3</v>
      </c>
      <c r="F1315" s="57" t="s">
        <v>1274</v>
      </c>
      <c r="G1315" s="55"/>
      <c r="H1315" s="58"/>
      <c r="I1315" s="59"/>
    </row>
    <row r="1316" spans="2:9" x14ac:dyDescent="0.2">
      <c r="B1316" s="54" t="str">
        <f t="shared" si="22"/>
        <v>2020-099-4</v>
      </c>
      <c r="C1316" s="55">
        <v>2020</v>
      </c>
      <c r="D1316" s="55" t="s">
        <v>106</v>
      </c>
      <c r="E1316" s="55">
        <v>4</v>
      </c>
      <c r="F1316" s="57" t="s">
        <v>1582</v>
      </c>
      <c r="G1316" s="55"/>
      <c r="H1316" s="58"/>
      <c r="I1316" s="59"/>
    </row>
    <row r="1317" spans="2:9" x14ac:dyDescent="0.2">
      <c r="B1317" s="60" t="str">
        <f t="shared" si="22"/>
        <v>2020-099-5</v>
      </c>
      <c r="C1317" s="61">
        <v>2020</v>
      </c>
      <c r="D1317" s="61" t="s">
        <v>106</v>
      </c>
      <c r="E1317" s="61">
        <v>5</v>
      </c>
      <c r="F1317" s="62" t="s">
        <v>1877</v>
      </c>
      <c r="G1317" s="61"/>
      <c r="H1317" s="63"/>
      <c r="I1317" s="64"/>
    </row>
    <row r="1318" spans="2:9" x14ac:dyDescent="0.2">
      <c r="B1318" s="65" t="str">
        <f t="shared" si="22"/>
        <v>2020-100-0</v>
      </c>
      <c r="C1318" s="66">
        <v>2020</v>
      </c>
      <c r="D1318" s="66" t="s">
        <v>107</v>
      </c>
      <c r="E1318" s="66">
        <v>0</v>
      </c>
      <c r="F1318" s="67" t="s">
        <v>291</v>
      </c>
      <c r="G1318" s="66"/>
      <c r="H1318" s="68"/>
      <c r="I1318" s="69"/>
    </row>
    <row r="1319" spans="2:9" x14ac:dyDescent="0.2">
      <c r="B1319" s="54" t="str">
        <f t="shared" si="22"/>
        <v>2020-100-1</v>
      </c>
      <c r="C1319" s="55">
        <v>2020</v>
      </c>
      <c r="D1319" s="55" t="s">
        <v>107</v>
      </c>
      <c r="E1319" s="55">
        <v>1</v>
      </c>
      <c r="F1319" s="57" t="s">
        <v>632</v>
      </c>
      <c r="G1319" s="55" t="s">
        <v>2735</v>
      </c>
      <c r="H1319" s="58"/>
      <c r="I1319" s="59"/>
    </row>
    <row r="1320" spans="2:9" ht="27" x14ac:dyDescent="0.2">
      <c r="B1320" s="54" t="str">
        <f t="shared" si="22"/>
        <v>2020-100-2</v>
      </c>
      <c r="C1320" s="55">
        <v>2020</v>
      </c>
      <c r="D1320" s="55" t="s">
        <v>107</v>
      </c>
      <c r="E1320" s="55">
        <v>2</v>
      </c>
      <c r="F1320" s="57" t="s">
        <v>957</v>
      </c>
      <c r="G1320" s="55"/>
      <c r="H1320" s="58"/>
      <c r="I1320" s="59"/>
    </row>
    <row r="1321" spans="2:9" ht="27" x14ac:dyDescent="0.2">
      <c r="B1321" s="54" t="str">
        <f t="shared" si="22"/>
        <v>2020-100-3</v>
      </c>
      <c r="C1321" s="55">
        <v>2020</v>
      </c>
      <c r="D1321" s="55" t="s">
        <v>107</v>
      </c>
      <c r="E1321" s="55">
        <v>3</v>
      </c>
      <c r="F1321" s="57" t="s">
        <v>1275</v>
      </c>
      <c r="G1321" s="55"/>
      <c r="H1321" s="58"/>
      <c r="I1321" s="59"/>
    </row>
    <row r="1322" spans="2:9" x14ac:dyDescent="0.2">
      <c r="B1322" s="54" t="str">
        <f t="shared" si="22"/>
        <v>2020-100-4</v>
      </c>
      <c r="C1322" s="55">
        <v>2020</v>
      </c>
      <c r="D1322" s="55" t="s">
        <v>107</v>
      </c>
      <c r="E1322" s="55">
        <v>4</v>
      </c>
      <c r="F1322" s="57" t="s">
        <v>1583</v>
      </c>
      <c r="G1322" s="55"/>
      <c r="H1322" s="58"/>
      <c r="I1322" s="59"/>
    </row>
    <row r="1323" spans="2:9" ht="27.75" thickBot="1" x14ac:dyDescent="0.25">
      <c r="B1323" s="70" t="str">
        <f t="shared" si="22"/>
        <v>2020-100-5</v>
      </c>
      <c r="C1323" s="71">
        <v>2020</v>
      </c>
      <c r="D1323" s="71" t="s">
        <v>107</v>
      </c>
      <c r="E1323" s="71">
        <v>5</v>
      </c>
      <c r="F1323" s="72" t="s">
        <v>1878</v>
      </c>
      <c r="G1323" s="71"/>
      <c r="H1323" s="73"/>
      <c r="I1323" s="74"/>
    </row>
    <row r="1324" spans="2:9" x14ac:dyDescent="0.2">
      <c r="B1324" s="48" t="str">
        <f t="shared" ref="B1324:B1340" si="23">C1324&amp;"-"&amp;D1324&amp;"-"&amp;E1324</f>
        <v>2019-076-0</v>
      </c>
      <c r="C1324" s="49">
        <v>2019</v>
      </c>
      <c r="D1324" s="49" t="s">
        <v>78</v>
      </c>
      <c r="E1324" s="49">
        <v>0</v>
      </c>
      <c r="F1324" s="51" t="s">
        <v>292</v>
      </c>
      <c r="G1324" s="49"/>
      <c r="H1324" s="52"/>
      <c r="I1324" s="53"/>
    </row>
    <row r="1325" spans="2:9" ht="27" x14ac:dyDescent="0.2">
      <c r="B1325" s="54" t="str">
        <f t="shared" si="23"/>
        <v>2019-076-1</v>
      </c>
      <c r="C1325" s="55">
        <v>2019</v>
      </c>
      <c r="D1325" s="55" t="s">
        <v>78</v>
      </c>
      <c r="E1325" s="55">
        <v>1</v>
      </c>
      <c r="F1325" s="57" t="s">
        <v>633</v>
      </c>
      <c r="G1325" s="55" t="s">
        <v>2735</v>
      </c>
      <c r="H1325" s="58"/>
      <c r="I1325" s="59"/>
    </row>
    <row r="1326" spans="2:9" x14ac:dyDescent="0.2">
      <c r="B1326" s="54" t="str">
        <f t="shared" si="23"/>
        <v>2019-076-2</v>
      </c>
      <c r="C1326" s="55">
        <v>2019</v>
      </c>
      <c r="D1326" s="55" t="s">
        <v>78</v>
      </c>
      <c r="E1326" s="55">
        <v>2</v>
      </c>
      <c r="F1326" s="57" t="s">
        <v>958</v>
      </c>
      <c r="G1326" s="55"/>
      <c r="H1326" s="58"/>
      <c r="I1326" s="59"/>
    </row>
    <row r="1327" spans="2:9" ht="27" x14ac:dyDescent="0.2">
      <c r="B1327" s="54" t="str">
        <f t="shared" si="23"/>
        <v>2019-076-3</v>
      </c>
      <c r="C1327" s="55">
        <v>2019</v>
      </c>
      <c r="D1327" s="55" t="s">
        <v>78</v>
      </c>
      <c r="E1327" s="55">
        <v>3</v>
      </c>
      <c r="F1327" s="57" t="s">
        <v>1276</v>
      </c>
      <c r="G1327" s="55"/>
      <c r="H1327" s="58"/>
      <c r="I1327" s="59"/>
    </row>
    <row r="1328" spans="2:9" x14ac:dyDescent="0.2">
      <c r="B1328" s="54" t="str">
        <f t="shared" si="23"/>
        <v>2019-076-4</v>
      </c>
      <c r="C1328" s="55">
        <v>2019</v>
      </c>
      <c r="D1328" s="55" t="s">
        <v>78</v>
      </c>
      <c r="E1328" s="55">
        <v>4</v>
      </c>
      <c r="F1328" s="57" t="s">
        <v>1584</v>
      </c>
      <c r="G1328" s="55"/>
      <c r="H1328" s="58"/>
      <c r="I1328" s="59"/>
    </row>
    <row r="1329" spans="2:9" ht="27" x14ac:dyDescent="0.2">
      <c r="B1329" s="60" t="str">
        <f t="shared" si="23"/>
        <v>2019-076-5</v>
      </c>
      <c r="C1329" s="61">
        <v>2019</v>
      </c>
      <c r="D1329" s="61" t="s">
        <v>78</v>
      </c>
      <c r="E1329" s="61">
        <v>5</v>
      </c>
      <c r="F1329" s="62" t="s">
        <v>1879</v>
      </c>
      <c r="G1329" s="61"/>
      <c r="H1329" s="63"/>
      <c r="I1329" s="64"/>
    </row>
    <row r="1330" spans="2:9" x14ac:dyDescent="0.2">
      <c r="B1330" s="65" t="str">
        <f t="shared" si="23"/>
        <v>2019-077-0</v>
      </c>
      <c r="C1330" s="66">
        <v>2019</v>
      </c>
      <c r="D1330" s="66" t="s">
        <v>79</v>
      </c>
      <c r="E1330" s="66">
        <v>0</v>
      </c>
      <c r="F1330" s="67" t="s">
        <v>293</v>
      </c>
      <c r="G1330" s="66"/>
      <c r="H1330" s="68"/>
      <c r="I1330" s="69"/>
    </row>
    <row r="1331" spans="2:9" x14ac:dyDescent="0.2">
      <c r="B1331" s="54" t="str">
        <f t="shared" si="23"/>
        <v>2019-077-1</v>
      </c>
      <c r="C1331" s="55">
        <v>2019</v>
      </c>
      <c r="D1331" s="55" t="s">
        <v>79</v>
      </c>
      <c r="E1331" s="55">
        <v>1</v>
      </c>
      <c r="F1331" s="57" t="s">
        <v>634</v>
      </c>
      <c r="G1331" s="55"/>
      <c r="H1331" s="58"/>
      <c r="I1331" s="59"/>
    </row>
    <row r="1332" spans="2:9" x14ac:dyDescent="0.2">
      <c r="B1332" s="54" t="str">
        <f t="shared" si="23"/>
        <v>2019-077-2</v>
      </c>
      <c r="C1332" s="55">
        <v>2019</v>
      </c>
      <c r="D1332" s="55" t="s">
        <v>79</v>
      </c>
      <c r="E1332" s="55">
        <v>2</v>
      </c>
      <c r="F1332" s="57" t="s">
        <v>959</v>
      </c>
      <c r="G1332" s="55"/>
      <c r="H1332" s="58"/>
      <c r="I1332" s="59"/>
    </row>
    <row r="1333" spans="2:9" x14ac:dyDescent="0.2">
      <c r="B1333" s="54" t="str">
        <f t="shared" si="23"/>
        <v>2019-077-3</v>
      </c>
      <c r="C1333" s="55">
        <v>2019</v>
      </c>
      <c r="D1333" s="55" t="s">
        <v>79</v>
      </c>
      <c r="E1333" s="55">
        <v>3</v>
      </c>
      <c r="F1333" s="57" t="s">
        <v>1277</v>
      </c>
      <c r="G1333" s="55"/>
      <c r="H1333" s="58"/>
      <c r="I1333" s="59"/>
    </row>
    <row r="1334" spans="2:9" x14ac:dyDescent="0.2">
      <c r="B1334" s="54" t="str">
        <f t="shared" si="23"/>
        <v>2019-077-4</v>
      </c>
      <c r="C1334" s="55">
        <v>2019</v>
      </c>
      <c r="D1334" s="55" t="s">
        <v>79</v>
      </c>
      <c r="E1334" s="55">
        <v>4</v>
      </c>
      <c r="F1334" s="57" t="s">
        <v>1585</v>
      </c>
      <c r="G1334" s="55" t="s">
        <v>2735</v>
      </c>
      <c r="H1334" s="58"/>
      <c r="I1334" s="59"/>
    </row>
    <row r="1335" spans="2:9" ht="27" x14ac:dyDescent="0.2">
      <c r="B1335" s="60" t="str">
        <f t="shared" si="23"/>
        <v>2019-077-5</v>
      </c>
      <c r="C1335" s="61">
        <v>2019</v>
      </c>
      <c r="D1335" s="61" t="s">
        <v>79</v>
      </c>
      <c r="E1335" s="61">
        <v>5</v>
      </c>
      <c r="F1335" s="62" t="s">
        <v>1880</v>
      </c>
      <c r="G1335" s="61"/>
      <c r="H1335" s="63"/>
      <c r="I1335" s="64"/>
    </row>
    <row r="1336" spans="2:9" x14ac:dyDescent="0.2">
      <c r="B1336" s="65" t="str">
        <f t="shared" si="23"/>
        <v>2019-078-0</v>
      </c>
      <c r="C1336" s="66">
        <v>2019</v>
      </c>
      <c r="D1336" s="66" t="s">
        <v>80</v>
      </c>
      <c r="E1336" s="66">
        <v>0</v>
      </c>
      <c r="F1336" s="67" t="s">
        <v>294</v>
      </c>
      <c r="G1336" s="66"/>
      <c r="H1336" s="68"/>
      <c r="I1336" s="69"/>
    </row>
    <row r="1337" spans="2:9" x14ac:dyDescent="0.2">
      <c r="B1337" s="54" t="str">
        <f t="shared" si="23"/>
        <v>2019-078-1</v>
      </c>
      <c r="C1337" s="55">
        <v>2019</v>
      </c>
      <c r="D1337" s="55" t="s">
        <v>80</v>
      </c>
      <c r="E1337" s="55">
        <v>1</v>
      </c>
      <c r="F1337" s="57" t="s">
        <v>635</v>
      </c>
      <c r="G1337" s="55"/>
      <c r="H1337" s="58"/>
      <c r="I1337" s="59"/>
    </row>
    <row r="1338" spans="2:9" x14ac:dyDescent="0.2">
      <c r="B1338" s="54" t="str">
        <f t="shared" si="23"/>
        <v>2019-078-2</v>
      </c>
      <c r="C1338" s="55">
        <v>2019</v>
      </c>
      <c r="D1338" s="55" t="s">
        <v>80</v>
      </c>
      <c r="E1338" s="55">
        <v>2</v>
      </c>
      <c r="F1338" s="57" t="s">
        <v>960</v>
      </c>
      <c r="G1338" s="55" t="s">
        <v>2735</v>
      </c>
      <c r="H1338" s="58"/>
      <c r="I1338" s="59"/>
    </row>
    <row r="1339" spans="2:9" ht="27" x14ac:dyDescent="0.2">
      <c r="B1339" s="54" t="str">
        <f t="shared" si="23"/>
        <v>2019-078-3</v>
      </c>
      <c r="C1339" s="55">
        <v>2019</v>
      </c>
      <c r="D1339" s="55" t="s">
        <v>80</v>
      </c>
      <c r="E1339" s="55">
        <v>3</v>
      </c>
      <c r="F1339" s="57" t="s">
        <v>1278</v>
      </c>
      <c r="G1339" s="55"/>
      <c r="H1339" s="58"/>
      <c r="I1339" s="59"/>
    </row>
    <row r="1340" spans="2:9" x14ac:dyDescent="0.2">
      <c r="B1340" s="54" t="str">
        <f t="shared" si="23"/>
        <v>2019-078-4</v>
      </c>
      <c r="C1340" s="55">
        <v>2019</v>
      </c>
      <c r="D1340" s="55" t="s">
        <v>80</v>
      </c>
      <c r="E1340" s="55">
        <v>4</v>
      </c>
      <c r="F1340" s="57" t="s">
        <v>1586</v>
      </c>
      <c r="G1340" s="55"/>
      <c r="H1340" s="58"/>
      <c r="I1340" s="59"/>
    </row>
    <row r="1341" spans="2:9" x14ac:dyDescent="0.2">
      <c r="B1341" s="60" t="str">
        <f t="shared" ref="B1341:B1404" si="24">C1341&amp;"-"&amp;D1341&amp;"-"&amp;E1341</f>
        <v>2019-078-5</v>
      </c>
      <c r="C1341" s="61">
        <v>2019</v>
      </c>
      <c r="D1341" s="61" t="s">
        <v>80</v>
      </c>
      <c r="E1341" s="61">
        <v>5</v>
      </c>
      <c r="F1341" s="62" t="s">
        <v>1881</v>
      </c>
      <c r="G1341" s="61"/>
      <c r="H1341" s="63"/>
      <c r="I1341" s="64"/>
    </row>
    <row r="1342" spans="2:9" x14ac:dyDescent="0.2">
      <c r="B1342" s="65" t="str">
        <f t="shared" si="24"/>
        <v>2019-079-0</v>
      </c>
      <c r="C1342" s="66">
        <v>2019</v>
      </c>
      <c r="D1342" s="66" t="s">
        <v>81</v>
      </c>
      <c r="E1342" s="66">
        <v>0</v>
      </c>
      <c r="F1342" s="67" t="s">
        <v>295</v>
      </c>
      <c r="G1342" s="66"/>
      <c r="H1342" s="68"/>
      <c r="I1342" s="69"/>
    </row>
    <row r="1343" spans="2:9" x14ac:dyDescent="0.2">
      <c r="B1343" s="54" t="str">
        <f t="shared" si="24"/>
        <v>2019-079-1</v>
      </c>
      <c r="C1343" s="55">
        <v>2019</v>
      </c>
      <c r="D1343" s="55" t="s">
        <v>81</v>
      </c>
      <c r="E1343" s="55">
        <v>1</v>
      </c>
      <c r="F1343" s="57" t="s">
        <v>636</v>
      </c>
      <c r="G1343" s="55"/>
      <c r="H1343" s="58"/>
      <c r="I1343" s="59"/>
    </row>
    <row r="1344" spans="2:9" x14ac:dyDescent="0.2">
      <c r="B1344" s="54" t="str">
        <f t="shared" si="24"/>
        <v>2019-079-2</v>
      </c>
      <c r="C1344" s="55">
        <v>2019</v>
      </c>
      <c r="D1344" s="55" t="s">
        <v>81</v>
      </c>
      <c r="E1344" s="55">
        <v>2</v>
      </c>
      <c r="F1344" s="57" t="s">
        <v>961</v>
      </c>
      <c r="G1344" s="55"/>
      <c r="H1344" s="58"/>
      <c r="I1344" s="59"/>
    </row>
    <row r="1345" spans="2:9" x14ac:dyDescent="0.2">
      <c r="B1345" s="54" t="str">
        <f t="shared" si="24"/>
        <v>2019-079-3</v>
      </c>
      <c r="C1345" s="55">
        <v>2019</v>
      </c>
      <c r="D1345" s="55" t="s">
        <v>81</v>
      </c>
      <c r="E1345" s="55">
        <v>3</v>
      </c>
      <c r="F1345" s="57" t="s">
        <v>595</v>
      </c>
      <c r="G1345" s="55"/>
      <c r="H1345" s="58"/>
      <c r="I1345" s="59"/>
    </row>
    <row r="1346" spans="2:9" x14ac:dyDescent="0.2">
      <c r="B1346" s="54" t="str">
        <f t="shared" si="24"/>
        <v>2019-079-4</v>
      </c>
      <c r="C1346" s="55">
        <v>2019</v>
      </c>
      <c r="D1346" s="55" t="s">
        <v>81</v>
      </c>
      <c r="E1346" s="55">
        <v>4</v>
      </c>
      <c r="F1346" s="57" t="s">
        <v>1587</v>
      </c>
      <c r="G1346" s="55" t="s">
        <v>2735</v>
      </c>
      <c r="H1346" s="58"/>
      <c r="I1346" s="59"/>
    </row>
    <row r="1347" spans="2:9" ht="27" x14ac:dyDescent="0.2">
      <c r="B1347" s="60" t="str">
        <f t="shared" si="24"/>
        <v>2019-079-5</v>
      </c>
      <c r="C1347" s="61">
        <v>2019</v>
      </c>
      <c r="D1347" s="61" t="s">
        <v>81</v>
      </c>
      <c r="E1347" s="61">
        <v>5</v>
      </c>
      <c r="F1347" s="62" t="s">
        <v>1882</v>
      </c>
      <c r="G1347" s="61"/>
      <c r="H1347" s="63"/>
      <c r="I1347" s="64"/>
    </row>
    <row r="1348" spans="2:9" x14ac:dyDescent="0.2">
      <c r="B1348" s="65" t="str">
        <f t="shared" si="24"/>
        <v>2019-080-0</v>
      </c>
      <c r="C1348" s="66">
        <v>2019</v>
      </c>
      <c r="D1348" s="66" t="s">
        <v>82</v>
      </c>
      <c r="E1348" s="66">
        <v>0</v>
      </c>
      <c r="F1348" s="67" t="s">
        <v>296</v>
      </c>
      <c r="G1348" s="66"/>
      <c r="H1348" s="68"/>
      <c r="I1348" s="69"/>
    </row>
    <row r="1349" spans="2:9" x14ac:dyDescent="0.2">
      <c r="B1349" s="54" t="str">
        <f t="shared" si="24"/>
        <v>2019-080-1</v>
      </c>
      <c r="C1349" s="55">
        <v>2019</v>
      </c>
      <c r="D1349" s="55" t="s">
        <v>82</v>
      </c>
      <c r="E1349" s="55">
        <v>1</v>
      </c>
      <c r="F1349" s="57" t="s">
        <v>637</v>
      </c>
      <c r="G1349" s="55"/>
      <c r="H1349" s="58"/>
      <c r="I1349" s="59"/>
    </row>
    <row r="1350" spans="2:9" x14ac:dyDescent="0.2">
      <c r="B1350" s="54" t="str">
        <f t="shared" si="24"/>
        <v>2019-080-2</v>
      </c>
      <c r="C1350" s="55">
        <v>2019</v>
      </c>
      <c r="D1350" s="55" t="s">
        <v>82</v>
      </c>
      <c r="E1350" s="55">
        <v>2</v>
      </c>
      <c r="F1350" s="57" t="s">
        <v>962</v>
      </c>
      <c r="G1350" s="55"/>
      <c r="H1350" s="58"/>
      <c r="I1350" s="59"/>
    </row>
    <row r="1351" spans="2:9" x14ac:dyDescent="0.2">
      <c r="B1351" s="54" t="str">
        <f t="shared" si="24"/>
        <v>2019-080-3</v>
      </c>
      <c r="C1351" s="55">
        <v>2019</v>
      </c>
      <c r="D1351" s="55" t="s">
        <v>82</v>
      </c>
      <c r="E1351" s="55">
        <v>3</v>
      </c>
      <c r="F1351" s="57" t="s">
        <v>1279</v>
      </c>
      <c r="G1351" s="55" t="s">
        <v>2735</v>
      </c>
      <c r="H1351" s="58"/>
      <c r="I1351" s="59"/>
    </row>
    <row r="1352" spans="2:9" ht="27" x14ac:dyDescent="0.2">
      <c r="B1352" s="54" t="str">
        <f t="shared" si="24"/>
        <v>2019-080-4</v>
      </c>
      <c r="C1352" s="55">
        <v>2019</v>
      </c>
      <c r="D1352" s="55" t="s">
        <v>82</v>
      </c>
      <c r="E1352" s="55">
        <v>4</v>
      </c>
      <c r="F1352" s="57" t="s">
        <v>1588</v>
      </c>
      <c r="G1352" s="55"/>
      <c r="H1352" s="58"/>
      <c r="I1352" s="59"/>
    </row>
    <row r="1353" spans="2:9" x14ac:dyDescent="0.2">
      <c r="B1353" s="60" t="str">
        <f t="shared" si="24"/>
        <v>2019-080-5</v>
      </c>
      <c r="C1353" s="61">
        <v>2019</v>
      </c>
      <c r="D1353" s="61" t="s">
        <v>82</v>
      </c>
      <c r="E1353" s="61">
        <v>5</v>
      </c>
      <c r="F1353" s="62" t="s">
        <v>663</v>
      </c>
      <c r="G1353" s="61"/>
      <c r="H1353" s="63"/>
      <c r="I1353" s="64"/>
    </row>
    <row r="1354" spans="2:9" x14ac:dyDescent="0.2">
      <c r="B1354" s="65" t="str">
        <f t="shared" si="24"/>
        <v>2019-081-0</v>
      </c>
      <c r="C1354" s="66">
        <v>2019</v>
      </c>
      <c r="D1354" s="66" t="s">
        <v>88</v>
      </c>
      <c r="E1354" s="66">
        <v>0</v>
      </c>
      <c r="F1354" s="67" t="s">
        <v>297</v>
      </c>
      <c r="G1354" s="66"/>
      <c r="H1354" s="68"/>
      <c r="I1354" s="69"/>
    </row>
    <row r="1355" spans="2:9" x14ac:dyDescent="0.2">
      <c r="B1355" s="54" t="str">
        <f t="shared" si="24"/>
        <v>2019-081-1</v>
      </c>
      <c r="C1355" s="55">
        <v>2019</v>
      </c>
      <c r="D1355" s="55" t="s">
        <v>88</v>
      </c>
      <c r="E1355" s="55">
        <v>1</v>
      </c>
      <c r="F1355" s="57" t="s">
        <v>638</v>
      </c>
      <c r="G1355" s="55"/>
      <c r="H1355" s="58"/>
      <c r="I1355" s="59"/>
    </row>
    <row r="1356" spans="2:9" x14ac:dyDescent="0.2">
      <c r="B1356" s="54" t="str">
        <f t="shared" si="24"/>
        <v>2019-081-2</v>
      </c>
      <c r="C1356" s="55">
        <v>2019</v>
      </c>
      <c r="D1356" s="55" t="s">
        <v>88</v>
      </c>
      <c r="E1356" s="55">
        <v>2</v>
      </c>
      <c r="F1356" s="57" t="s">
        <v>963</v>
      </c>
      <c r="G1356" s="55" t="s">
        <v>2735</v>
      </c>
      <c r="H1356" s="58"/>
      <c r="I1356" s="59"/>
    </row>
    <row r="1357" spans="2:9" x14ac:dyDescent="0.2">
      <c r="B1357" s="54" t="str">
        <f t="shared" si="24"/>
        <v>2019-081-3</v>
      </c>
      <c r="C1357" s="55">
        <v>2019</v>
      </c>
      <c r="D1357" s="55" t="s">
        <v>88</v>
      </c>
      <c r="E1357" s="55">
        <v>3</v>
      </c>
      <c r="F1357" s="57" t="s">
        <v>1280</v>
      </c>
      <c r="G1357" s="55"/>
      <c r="H1357" s="58"/>
      <c r="I1357" s="59"/>
    </row>
    <row r="1358" spans="2:9" x14ac:dyDescent="0.2">
      <c r="B1358" s="54" t="str">
        <f t="shared" si="24"/>
        <v>2019-081-4</v>
      </c>
      <c r="C1358" s="55">
        <v>2019</v>
      </c>
      <c r="D1358" s="55" t="s">
        <v>88</v>
      </c>
      <c r="E1358" s="55">
        <v>4</v>
      </c>
      <c r="F1358" s="57" t="s">
        <v>1066</v>
      </c>
      <c r="G1358" s="55"/>
      <c r="H1358" s="58"/>
      <c r="I1358" s="59"/>
    </row>
    <row r="1359" spans="2:9" x14ac:dyDescent="0.2">
      <c r="B1359" s="60" t="str">
        <f t="shared" si="24"/>
        <v>2019-081-5</v>
      </c>
      <c r="C1359" s="61">
        <v>2019</v>
      </c>
      <c r="D1359" s="61" t="s">
        <v>88</v>
      </c>
      <c r="E1359" s="61">
        <v>5</v>
      </c>
      <c r="F1359" s="62" t="s">
        <v>1883</v>
      </c>
      <c r="G1359" s="61"/>
      <c r="H1359" s="63"/>
      <c r="I1359" s="64"/>
    </row>
    <row r="1360" spans="2:9" x14ac:dyDescent="0.2">
      <c r="B1360" s="65" t="str">
        <f t="shared" si="24"/>
        <v>2019-082-0</v>
      </c>
      <c r="C1360" s="66">
        <v>2019</v>
      </c>
      <c r="D1360" s="66" t="s">
        <v>89</v>
      </c>
      <c r="E1360" s="66">
        <v>0</v>
      </c>
      <c r="F1360" s="67" t="s">
        <v>298</v>
      </c>
      <c r="G1360" s="66"/>
      <c r="H1360" s="68"/>
      <c r="I1360" s="69"/>
    </row>
    <row r="1361" spans="2:9" x14ac:dyDescent="0.2">
      <c r="B1361" s="54" t="str">
        <f t="shared" si="24"/>
        <v>2019-082-1</v>
      </c>
      <c r="C1361" s="55">
        <v>2019</v>
      </c>
      <c r="D1361" s="55" t="s">
        <v>89</v>
      </c>
      <c r="E1361" s="55">
        <v>1</v>
      </c>
      <c r="F1361" s="57" t="s">
        <v>639</v>
      </c>
      <c r="G1361" s="55"/>
      <c r="H1361" s="58"/>
      <c r="I1361" s="59"/>
    </row>
    <row r="1362" spans="2:9" ht="27" x14ac:dyDescent="0.2">
      <c r="B1362" s="54" t="str">
        <f t="shared" si="24"/>
        <v>2019-082-2</v>
      </c>
      <c r="C1362" s="55">
        <v>2019</v>
      </c>
      <c r="D1362" s="55" t="s">
        <v>89</v>
      </c>
      <c r="E1362" s="55">
        <v>2</v>
      </c>
      <c r="F1362" s="57" t="s">
        <v>964</v>
      </c>
      <c r="G1362" s="55"/>
      <c r="H1362" s="58"/>
      <c r="I1362" s="59"/>
    </row>
    <row r="1363" spans="2:9" x14ac:dyDescent="0.2">
      <c r="B1363" s="54" t="str">
        <f t="shared" si="24"/>
        <v>2019-082-3</v>
      </c>
      <c r="C1363" s="55">
        <v>2019</v>
      </c>
      <c r="D1363" s="55" t="s">
        <v>89</v>
      </c>
      <c r="E1363" s="55">
        <v>3</v>
      </c>
      <c r="F1363" s="57" t="s">
        <v>1281</v>
      </c>
      <c r="G1363" s="55" t="s">
        <v>2735</v>
      </c>
      <c r="H1363" s="58"/>
      <c r="I1363" s="59"/>
    </row>
    <row r="1364" spans="2:9" x14ac:dyDescent="0.2">
      <c r="B1364" s="54" t="str">
        <f t="shared" si="24"/>
        <v>2019-082-4</v>
      </c>
      <c r="C1364" s="55">
        <v>2019</v>
      </c>
      <c r="D1364" s="55" t="s">
        <v>89</v>
      </c>
      <c r="E1364" s="55">
        <v>4</v>
      </c>
      <c r="F1364" s="57" t="s">
        <v>1589</v>
      </c>
      <c r="G1364" s="55"/>
      <c r="H1364" s="58"/>
      <c r="I1364" s="59"/>
    </row>
    <row r="1365" spans="2:9" x14ac:dyDescent="0.2">
      <c r="B1365" s="60" t="str">
        <f t="shared" si="24"/>
        <v>2019-082-5</v>
      </c>
      <c r="C1365" s="61">
        <v>2019</v>
      </c>
      <c r="D1365" s="61" t="s">
        <v>89</v>
      </c>
      <c r="E1365" s="61">
        <v>5</v>
      </c>
      <c r="F1365" s="62" t="s">
        <v>1884</v>
      </c>
      <c r="G1365" s="61"/>
      <c r="H1365" s="63"/>
      <c r="I1365" s="64"/>
    </row>
    <row r="1366" spans="2:9" ht="81" x14ac:dyDescent="0.2">
      <c r="B1366" s="65" t="str">
        <f t="shared" si="24"/>
        <v>2019-083-0</v>
      </c>
      <c r="C1366" s="66">
        <v>2019</v>
      </c>
      <c r="D1366" s="66" t="s">
        <v>90</v>
      </c>
      <c r="E1366" s="66">
        <v>0</v>
      </c>
      <c r="F1366" s="67" t="s">
        <v>299</v>
      </c>
      <c r="G1366" s="66"/>
      <c r="H1366" s="68"/>
      <c r="I1366" s="69"/>
    </row>
    <row r="1367" spans="2:9" x14ac:dyDescent="0.2">
      <c r="B1367" s="54" t="str">
        <f t="shared" si="24"/>
        <v>2019-083-1</v>
      </c>
      <c r="C1367" s="55">
        <v>2019</v>
      </c>
      <c r="D1367" s="55" t="s">
        <v>90</v>
      </c>
      <c r="E1367" s="55">
        <v>1</v>
      </c>
      <c r="F1367" s="57" t="s">
        <v>640</v>
      </c>
      <c r="G1367" s="55"/>
      <c r="H1367" s="58"/>
      <c r="I1367" s="59"/>
    </row>
    <row r="1368" spans="2:9" x14ac:dyDescent="0.2">
      <c r="B1368" s="54" t="str">
        <f t="shared" si="24"/>
        <v>2019-083-2</v>
      </c>
      <c r="C1368" s="55">
        <v>2019</v>
      </c>
      <c r="D1368" s="55" t="s">
        <v>90</v>
      </c>
      <c r="E1368" s="55">
        <v>2</v>
      </c>
      <c r="F1368" s="57" t="s">
        <v>19</v>
      </c>
      <c r="G1368" s="55"/>
      <c r="H1368" s="58"/>
      <c r="I1368" s="59"/>
    </row>
    <row r="1369" spans="2:9" x14ac:dyDescent="0.2">
      <c r="B1369" s="54" t="str">
        <f t="shared" si="24"/>
        <v>2019-083-3</v>
      </c>
      <c r="C1369" s="55">
        <v>2019</v>
      </c>
      <c r="D1369" s="55" t="s">
        <v>90</v>
      </c>
      <c r="E1369" s="55">
        <v>3</v>
      </c>
      <c r="F1369" s="57" t="s">
        <v>23</v>
      </c>
      <c r="G1369" s="55"/>
      <c r="H1369" s="58"/>
      <c r="I1369" s="59"/>
    </row>
    <row r="1370" spans="2:9" x14ac:dyDescent="0.2">
      <c r="B1370" s="54" t="str">
        <f t="shared" si="24"/>
        <v>2019-083-4</v>
      </c>
      <c r="C1370" s="55">
        <v>2019</v>
      </c>
      <c r="D1370" s="55" t="s">
        <v>90</v>
      </c>
      <c r="E1370" s="55">
        <v>4</v>
      </c>
      <c r="F1370" s="57" t="s">
        <v>21</v>
      </c>
      <c r="G1370" s="55" t="s">
        <v>2735</v>
      </c>
      <c r="H1370" s="58"/>
      <c r="I1370" s="59"/>
    </row>
    <row r="1371" spans="2:9" x14ac:dyDescent="0.2">
      <c r="B1371" s="60" t="str">
        <f t="shared" si="24"/>
        <v>2019-083-5</v>
      </c>
      <c r="C1371" s="61">
        <v>2019</v>
      </c>
      <c r="D1371" s="61" t="s">
        <v>90</v>
      </c>
      <c r="E1371" s="61">
        <v>5</v>
      </c>
      <c r="F1371" s="62" t="s">
        <v>1885</v>
      </c>
      <c r="G1371" s="61"/>
      <c r="H1371" s="63"/>
      <c r="I1371" s="64"/>
    </row>
    <row r="1372" spans="2:9" ht="40.5" x14ac:dyDescent="0.2">
      <c r="B1372" s="65" t="str">
        <f t="shared" si="24"/>
        <v>2019-084-0</v>
      </c>
      <c r="C1372" s="66">
        <v>2019</v>
      </c>
      <c r="D1372" s="66" t="s">
        <v>91</v>
      </c>
      <c r="E1372" s="66">
        <v>0</v>
      </c>
      <c r="F1372" s="67" t="s">
        <v>300</v>
      </c>
      <c r="G1372" s="66"/>
      <c r="H1372" s="68"/>
      <c r="I1372" s="69"/>
    </row>
    <row r="1373" spans="2:9" x14ac:dyDescent="0.2">
      <c r="B1373" s="54" t="str">
        <f t="shared" si="24"/>
        <v>2019-084-1</v>
      </c>
      <c r="C1373" s="55">
        <v>2019</v>
      </c>
      <c r="D1373" s="55" t="s">
        <v>91</v>
      </c>
      <c r="E1373" s="55">
        <v>1</v>
      </c>
      <c r="F1373" s="57" t="s">
        <v>641</v>
      </c>
      <c r="G1373" s="55"/>
      <c r="H1373" s="58"/>
      <c r="I1373" s="59"/>
    </row>
    <row r="1374" spans="2:9" x14ac:dyDescent="0.2">
      <c r="B1374" s="54" t="str">
        <f t="shared" si="24"/>
        <v>2019-084-2</v>
      </c>
      <c r="C1374" s="55">
        <v>2019</v>
      </c>
      <c r="D1374" s="55" t="s">
        <v>91</v>
      </c>
      <c r="E1374" s="55">
        <v>2</v>
      </c>
      <c r="F1374" s="57" t="s">
        <v>965</v>
      </c>
      <c r="G1374" s="55"/>
      <c r="H1374" s="58"/>
      <c r="I1374" s="59"/>
    </row>
    <row r="1375" spans="2:9" x14ac:dyDescent="0.2">
      <c r="B1375" s="54" t="str">
        <f t="shared" si="24"/>
        <v>2019-084-3</v>
      </c>
      <c r="C1375" s="55">
        <v>2019</v>
      </c>
      <c r="D1375" s="55" t="s">
        <v>91</v>
      </c>
      <c r="E1375" s="55">
        <v>3</v>
      </c>
      <c r="F1375" s="57" t="s">
        <v>1282</v>
      </c>
      <c r="G1375" s="55"/>
      <c r="H1375" s="58"/>
      <c r="I1375" s="59"/>
    </row>
    <row r="1376" spans="2:9" x14ac:dyDescent="0.2">
      <c r="B1376" s="54" t="str">
        <f t="shared" si="24"/>
        <v>2019-084-4</v>
      </c>
      <c r="C1376" s="55">
        <v>2019</v>
      </c>
      <c r="D1376" s="55" t="s">
        <v>91</v>
      </c>
      <c r="E1376" s="55">
        <v>4</v>
      </c>
      <c r="F1376" s="57" t="s">
        <v>1590</v>
      </c>
      <c r="G1376" s="55"/>
      <c r="H1376" s="58"/>
      <c r="I1376" s="59"/>
    </row>
    <row r="1377" spans="2:9" x14ac:dyDescent="0.2">
      <c r="B1377" s="60" t="str">
        <f t="shared" si="24"/>
        <v>2019-084-5</v>
      </c>
      <c r="C1377" s="61">
        <v>2019</v>
      </c>
      <c r="D1377" s="61" t="s">
        <v>91</v>
      </c>
      <c r="E1377" s="61">
        <v>5</v>
      </c>
      <c r="F1377" s="62" t="s">
        <v>1343</v>
      </c>
      <c r="G1377" s="61" t="s">
        <v>2735</v>
      </c>
      <c r="H1377" s="63"/>
      <c r="I1377" s="64"/>
    </row>
    <row r="1378" spans="2:9" x14ac:dyDescent="0.2">
      <c r="B1378" s="65" t="str">
        <f t="shared" si="24"/>
        <v>2019-085-0</v>
      </c>
      <c r="C1378" s="66">
        <v>2019</v>
      </c>
      <c r="D1378" s="66" t="s">
        <v>92</v>
      </c>
      <c r="E1378" s="66">
        <v>0</v>
      </c>
      <c r="F1378" s="67" t="s">
        <v>301</v>
      </c>
      <c r="G1378" s="66"/>
      <c r="H1378" s="68"/>
      <c r="I1378" s="69"/>
    </row>
    <row r="1379" spans="2:9" x14ac:dyDescent="0.2">
      <c r="B1379" s="54" t="str">
        <f t="shared" si="24"/>
        <v>2019-085-1</v>
      </c>
      <c r="C1379" s="55">
        <v>2019</v>
      </c>
      <c r="D1379" s="55" t="s">
        <v>92</v>
      </c>
      <c r="E1379" s="55">
        <v>1</v>
      </c>
      <c r="F1379" s="57" t="s">
        <v>642</v>
      </c>
      <c r="G1379" s="55"/>
      <c r="H1379" s="58"/>
      <c r="I1379" s="59"/>
    </row>
    <row r="1380" spans="2:9" x14ac:dyDescent="0.2">
      <c r="B1380" s="54" t="str">
        <f t="shared" si="24"/>
        <v>2019-085-2</v>
      </c>
      <c r="C1380" s="55">
        <v>2019</v>
      </c>
      <c r="D1380" s="55" t="s">
        <v>92</v>
      </c>
      <c r="E1380" s="55">
        <v>2</v>
      </c>
      <c r="F1380" s="57" t="s">
        <v>966</v>
      </c>
      <c r="G1380" s="55"/>
      <c r="H1380" s="58"/>
      <c r="I1380" s="59"/>
    </row>
    <row r="1381" spans="2:9" x14ac:dyDescent="0.2">
      <c r="B1381" s="54" t="str">
        <f t="shared" si="24"/>
        <v>2019-085-3</v>
      </c>
      <c r="C1381" s="55">
        <v>2019</v>
      </c>
      <c r="D1381" s="55" t="s">
        <v>92</v>
      </c>
      <c r="E1381" s="55">
        <v>3</v>
      </c>
      <c r="F1381" s="57" t="s">
        <v>1283</v>
      </c>
      <c r="G1381" s="55"/>
      <c r="H1381" s="58"/>
      <c r="I1381" s="59"/>
    </row>
    <row r="1382" spans="2:9" x14ac:dyDescent="0.2">
      <c r="B1382" s="54" t="str">
        <f t="shared" si="24"/>
        <v>2019-085-4</v>
      </c>
      <c r="C1382" s="55">
        <v>2019</v>
      </c>
      <c r="D1382" s="55" t="s">
        <v>92</v>
      </c>
      <c r="E1382" s="55">
        <v>4</v>
      </c>
      <c r="F1382" s="57" t="s">
        <v>1591</v>
      </c>
      <c r="G1382" s="55" t="s">
        <v>2735</v>
      </c>
      <c r="H1382" s="58"/>
      <c r="I1382" s="59"/>
    </row>
    <row r="1383" spans="2:9" x14ac:dyDescent="0.2">
      <c r="B1383" s="60" t="str">
        <f t="shared" si="24"/>
        <v>2019-085-5</v>
      </c>
      <c r="C1383" s="61">
        <v>2019</v>
      </c>
      <c r="D1383" s="61" t="s">
        <v>92</v>
      </c>
      <c r="E1383" s="61">
        <v>5</v>
      </c>
      <c r="F1383" s="62" t="s">
        <v>1886</v>
      </c>
      <c r="G1383" s="61"/>
      <c r="H1383" s="63"/>
      <c r="I1383" s="64"/>
    </row>
    <row r="1384" spans="2:9" ht="67.5" x14ac:dyDescent="0.2">
      <c r="B1384" s="65" t="str">
        <f t="shared" si="24"/>
        <v>2019-086-0</v>
      </c>
      <c r="C1384" s="66">
        <v>2019</v>
      </c>
      <c r="D1384" s="66" t="s">
        <v>93</v>
      </c>
      <c r="E1384" s="66">
        <v>0</v>
      </c>
      <c r="F1384" s="67" t="s">
        <v>302</v>
      </c>
      <c r="G1384" s="66"/>
      <c r="H1384" s="68"/>
      <c r="I1384" s="69"/>
    </row>
    <row r="1385" spans="2:9" x14ac:dyDescent="0.2">
      <c r="B1385" s="54" t="str">
        <f t="shared" si="24"/>
        <v>2019-086-1</v>
      </c>
      <c r="C1385" s="55">
        <v>2019</v>
      </c>
      <c r="D1385" s="55" t="s">
        <v>93</v>
      </c>
      <c r="E1385" s="55">
        <v>1</v>
      </c>
      <c r="F1385" s="57" t="s">
        <v>4</v>
      </c>
      <c r="G1385" s="55"/>
      <c r="H1385" s="58"/>
      <c r="I1385" s="59"/>
    </row>
    <row r="1386" spans="2:9" x14ac:dyDescent="0.2">
      <c r="B1386" s="54" t="str">
        <f t="shared" si="24"/>
        <v>2019-086-2</v>
      </c>
      <c r="C1386" s="55">
        <v>2019</v>
      </c>
      <c r="D1386" s="55" t="s">
        <v>93</v>
      </c>
      <c r="E1386" s="55">
        <v>2</v>
      </c>
      <c r="F1386" s="57" t="s">
        <v>15</v>
      </c>
      <c r="G1386" s="55"/>
      <c r="H1386" s="58"/>
      <c r="I1386" s="59"/>
    </row>
    <row r="1387" spans="2:9" x14ac:dyDescent="0.2">
      <c r="B1387" s="54" t="str">
        <f t="shared" si="24"/>
        <v>2019-086-3</v>
      </c>
      <c r="C1387" s="55">
        <v>2019</v>
      </c>
      <c r="D1387" s="55" t="s">
        <v>93</v>
      </c>
      <c r="E1387" s="55">
        <v>3</v>
      </c>
      <c r="F1387" s="57" t="s">
        <v>16</v>
      </c>
      <c r="G1387" s="55"/>
      <c r="H1387" s="58"/>
      <c r="I1387" s="59"/>
    </row>
    <row r="1388" spans="2:9" x14ac:dyDescent="0.2">
      <c r="B1388" s="54" t="str">
        <f t="shared" si="24"/>
        <v>2019-086-4</v>
      </c>
      <c r="C1388" s="55">
        <v>2019</v>
      </c>
      <c r="D1388" s="55" t="s">
        <v>93</v>
      </c>
      <c r="E1388" s="55">
        <v>4</v>
      </c>
      <c r="F1388" s="57" t="s">
        <v>17</v>
      </c>
      <c r="G1388" s="55"/>
      <c r="H1388" s="58"/>
      <c r="I1388" s="59"/>
    </row>
    <row r="1389" spans="2:9" x14ac:dyDescent="0.2">
      <c r="B1389" s="60" t="str">
        <f t="shared" si="24"/>
        <v>2019-086-5</v>
      </c>
      <c r="C1389" s="61">
        <v>2019</v>
      </c>
      <c r="D1389" s="61" t="s">
        <v>93</v>
      </c>
      <c r="E1389" s="61">
        <v>5</v>
      </c>
      <c r="F1389" s="62" t="s">
        <v>21</v>
      </c>
      <c r="G1389" s="61" t="s">
        <v>2735</v>
      </c>
      <c r="H1389" s="63"/>
      <c r="I1389" s="64"/>
    </row>
    <row r="1390" spans="2:9" x14ac:dyDescent="0.2">
      <c r="B1390" s="65" t="str">
        <f t="shared" si="24"/>
        <v>2019-087-0</v>
      </c>
      <c r="C1390" s="66">
        <v>2019</v>
      </c>
      <c r="D1390" s="66" t="s">
        <v>94</v>
      </c>
      <c r="E1390" s="66">
        <v>0</v>
      </c>
      <c r="F1390" s="67" t="s">
        <v>303</v>
      </c>
      <c r="G1390" s="66"/>
      <c r="H1390" s="68"/>
      <c r="I1390" s="69"/>
    </row>
    <row r="1391" spans="2:9" x14ac:dyDescent="0.2">
      <c r="B1391" s="54" t="str">
        <f t="shared" si="24"/>
        <v>2019-087-1</v>
      </c>
      <c r="C1391" s="55">
        <v>2019</v>
      </c>
      <c r="D1391" s="55" t="s">
        <v>94</v>
      </c>
      <c r="E1391" s="55">
        <v>1</v>
      </c>
      <c r="F1391" s="57" t="s">
        <v>643</v>
      </c>
      <c r="G1391" s="55"/>
      <c r="H1391" s="58"/>
      <c r="I1391" s="59"/>
    </row>
    <row r="1392" spans="2:9" x14ac:dyDescent="0.2">
      <c r="B1392" s="54" t="str">
        <f t="shared" si="24"/>
        <v>2019-087-2</v>
      </c>
      <c r="C1392" s="55">
        <v>2019</v>
      </c>
      <c r="D1392" s="55" t="s">
        <v>94</v>
      </c>
      <c r="E1392" s="55">
        <v>2</v>
      </c>
      <c r="F1392" s="57" t="s">
        <v>967</v>
      </c>
      <c r="G1392" s="55" t="s">
        <v>2735</v>
      </c>
      <c r="H1392" s="58"/>
      <c r="I1392" s="59"/>
    </row>
    <row r="1393" spans="2:9" x14ac:dyDescent="0.2">
      <c r="B1393" s="54" t="str">
        <f t="shared" si="24"/>
        <v>2019-087-3</v>
      </c>
      <c r="C1393" s="55">
        <v>2019</v>
      </c>
      <c r="D1393" s="55" t="s">
        <v>94</v>
      </c>
      <c r="E1393" s="55">
        <v>3</v>
      </c>
      <c r="F1393" s="57" t="s">
        <v>1284</v>
      </c>
      <c r="G1393" s="55"/>
      <c r="H1393" s="58"/>
      <c r="I1393" s="59"/>
    </row>
    <row r="1394" spans="2:9" x14ac:dyDescent="0.2">
      <c r="B1394" s="54" t="str">
        <f t="shared" si="24"/>
        <v>2019-087-4</v>
      </c>
      <c r="C1394" s="55">
        <v>2019</v>
      </c>
      <c r="D1394" s="55" t="s">
        <v>94</v>
      </c>
      <c r="E1394" s="55">
        <v>4</v>
      </c>
      <c r="F1394" s="57" t="s">
        <v>1592</v>
      </c>
      <c r="G1394" s="55"/>
      <c r="H1394" s="58"/>
      <c r="I1394" s="59"/>
    </row>
    <row r="1395" spans="2:9" x14ac:dyDescent="0.2">
      <c r="B1395" s="60" t="str">
        <f t="shared" si="24"/>
        <v>2019-087-5</v>
      </c>
      <c r="C1395" s="61">
        <v>2019</v>
      </c>
      <c r="D1395" s="61" t="s">
        <v>94</v>
      </c>
      <c r="E1395" s="61">
        <v>5</v>
      </c>
      <c r="F1395" s="62" t="s">
        <v>668</v>
      </c>
      <c r="G1395" s="61"/>
      <c r="H1395" s="63"/>
      <c r="I1395" s="64"/>
    </row>
    <row r="1396" spans="2:9" x14ac:dyDescent="0.2">
      <c r="B1396" s="65" t="str">
        <f t="shared" si="24"/>
        <v>2019-088-0</v>
      </c>
      <c r="C1396" s="66">
        <v>2019</v>
      </c>
      <c r="D1396" s="66" t="s">
        <v>95</v>
      </c>
      <c r="E1396" s="66">
        <v>0</v>
      </c>
      <c r="F1396" s="67" t="s">
        <v>304</v>
      </c>
      <c r="G1396" s="66"/>
      <c r="H1396" s="68"/>
      <c r="I1396" s="69"/>
    </row>
    <row r="1397" spans="2:9" x14ac:dyDescent="0.2">
      <c r="B1397" s="54" t="str">
        <f t="shared" si="24"/>
        <v>2019-088-1</v>
      </c>
      <c r="C1397" s="55">
        <v>2019</v>
      </c>
      <c r="D1397" s="55" t="s">
        <v>95</v>
      </c>
      <c r="E1397" s="55">
        <v>1</v>
      </c>
      <c r="F1397" s="57" t="s">
        <v>644</v>
      </c>
      <c r="G1397" s="55"/>
      <c r="H1397" s="58"/>
      <c r="I1397" s="59"/>
    </row>
    <row r="1398" spans="2:9" x14ac:dyDescent="0.2">
      <c r="B1398" s="54" t="str">
        <f t="shared" si="24"/>
        <v>2019-088-2</v>
      </c>
      <c r="C1398" s="55">
        <v>2019</v>
      </c>
      <c r="D1398" s="55" t="s">
        <v>95</v>
      </c>
      <c r="E1398" s="55">
        <v>2</v>
      </c>
      <c r="F1398" s="57" t="s">
        <v>968</v>
      </c>
      <c r="G1398" s="55"/>
      <c r="H1398" s="58"/>
      <c r="I1398" s="59"/>
    </row>
    <row r="1399" spans="2:9" x14ac:dyDescent="0.2">
      <c r="B1399" s="54" t="str">
        <f t="shared" si="24"/>
        <v>2019-088-3</v>
      </c>
      <c r="C1399" s="55">
        <v>2019</v>
      </c>
      <c r="D1399" s="55" t="s">
        <v>95</v>
      </c>
      <c r="E1399" s="55">
        <v>3</v>
      </c>
      <c r="F1399" s="57" t="s">
        <v>1285</v>
      </c>
      <c r="G1399" s="55" t="s">
        <v>2735</v>
      </c>
      <c r="H1399" s="58"/>
      <c r="I1399" s="59"/>
    </row>
    <row r="1400" spans="2:9" x14ac:dyDescent="0.2">
      <c r="B1400" s="54" t="str">
        <f t="shared" si="24"/>
        <v>2019-088-4</v>
      </c>
      <c r="C1400" s="55">
        <v>2019</v>
      </c>
      <c r="D1400" s="55" t="s">
        <v>95</v>
      </c>
      <c r="E1400" s="55">
        <v>4</v>
      </c>
      <c r="F1400" s="57" t="s">
        <v>1593</v>
      </c>
      <c r="G1400" s="55"/>
      <c r="H1400" s="58"/>
      <c r="I1400" s="59"/>
    </row>
    <row r="1401" spans="2:9" x14ac:dyDescent="0.2">
      <c r="B1401" s="60" t="str">
        <f t="shared" si="24"/>
        <v>2019-088-5</v>
      </c>
      <c r="C1401" s="61">
        <v>2019</v>
      </c>
      <c r="D1401" s="61" t="s">
        <v>95</v>
      </c>
      <c r="E1401" s="61">
        <v>5</v>
      </c>
      <c r="F1401" s="62" t="s">
        <v>1887</v>
      </c>
      <c r="G1401" s="61"/>
      <c r="H1401" s="63"/>
      <c r="I1401" s="64"/>
    </row>
    <row r="1402" spans="2:9" x14ac:dyDescent="0.2">
      <c r="B1402" s="65" t="str">
        <f t="shared" si="24"/>
        <v>2019-089-0</v>
      </c>
      <c r="C1402" s="66">
        <v>2019</v>
      </c>
      <c r="D1402" s="66" t="s">
        <v>96</v>
      </c>
      <c r="E1402" s="66">
        <v>0</v>
      </c>
      <c r="F1402" s="67" t="s">
        <v>305</v>
      </c>
      <c r="G1402" s="66"/>
      <c r="H1402" s="68"/>
      <c r="I1402" s="69"/>
    </row>
    <row r="1403" spans="2:9" x14ac:dyDescent="0.2">
      <c r="B1403" s="54" t="str">
        <f t="shared" si="24"/>
        <v>2019-089-1</v>
      </c>
      <c r="C1403" s="55">
        <v>2019</v>
      </c>
      <c r="D1403" s="55" t="s">
        <v>96</v>
      </c>
      <c r="E1403" s="55">
        <v>1</v>
      </c>
      <c r="F1403" s="57" t="s">
        <v>645</v>
      </c>
      <c r="G1403" s="55"/>
      <c r="H1403" s="58"/>
      <c r="I1403" s="59"/>
    </row>
    <row r="1404" spans="2:9" x14ac:dyDescent="0.2">
      <c r="B1404" s="54" t="str">
        <f t="shared" si="24"/>
        <v>2019-089-2</v>
      </c>
      <c r="C1404" s="55">
        <v>2019</v>
      </c>
      <c r="D1404" s="55" t="s">
        <v>96</v>
      </c>
      <c r="E1404" s="55">
        <v>2</v>
      </c>
      <c r="F1404" s="57" t="s">
        <v>969</v>
      </c>
      <c r="G1404" s="55" t="s">
        <v>2735</v>
      </c>
      <c r="H1404" s="58"/>
      <c r="I1404" s="59"/>
    </row>
    <row r="1405" spans="2:9" x14ac:dyDescent="0.2">
      <c r="B1405" s="54" t="str">
        <f t="shared" ref="B1405:B1468" si="25">C1405&amp;"-"&amp;D1405&amp;"-"&amp;E1405</f>
        <v>2019-089-3</v>
      </c>
      <c r="C1405" s="55">
        <v>2019</v>
      </c>
      <c r="D1405" s="55" t="s">
        <v>96</v>
      </c>
      <c r="E1405" s="55">
        <v>3</v>
      </c>
      <c r="F1405" s="57" t="s">
        <v>1286</v>
      </c>
      <c r="G1405" s="55"/>
      <c r="H1405" s="58"/>
      <c r="I1405" s="59"/>
    </row>
    <row r="1406" spans="2:9" x14ac:dyDescent="0.2">
      <c r="B1406" s="54" t="str">
        <f t="shared" si="25"/>
        <v>2019-089-4</v>
      </c>
      <c r="C1406" s="55">
        <v>2019</v>
      </c>
      <c r="D1406" s="55" t="s">
        <v>96</v>
      </c>
      <c r="E1406" s="55">
        <v>4</v>
      </c>
      <c r="F1406" s="57" t="s">
        <v>1594</v>
      </c>
      <c r="G1406" s="55"/>
      <c r="H1406" s="58"/>
      <c r="I1406" s="59"/>
    </row>
    <row r="1407" spans="2:9" x14ac:dyDescent="0.2">
      <c r="B1407" s="60" t="str">
        <f t="shared" si="25"/>
        <v>2019-089-5</v>
      </c>
      <c r="C1407" s="61">
        <v>2019</v>
      </c>
      <c r="D1407" s="61" t="s">
        <v>96</v>
      </c>
      <c r="E1407" s="61">
        <v>5</v>
      </c>
      <c r="F1407" s="62" t="s">
        <v>1888</v>
      </c>
      <c r="G1407" s="61"/>
      <c r="H1407" s="63"/>
      <c r="I1407" s="64"/>
    </row>
    <row r="1408" spans="2:9" ht="94.5" x14ac:dyDescent="0.2">
      <c r="B1408" s="65" t="str">
        <f t="shared" si="25"/>
        <v>2019-090-0</v>
      </c>
      <c r="C1408" s="66">
        <v>2019</v>
      </c>
      <c r="D1408" s="66" t="s">
        <v>97</v>
      </c>
      <c r="E1408" s="66">
        <v>0</v>
      </c>
      <c r="F1408" s="67" t="s">
        <v>306</v>
      </c>
      <c r="G1408" s="66"/>
      <c r="H1408" s="68"/>
      <c r="I1408" s="69"/>
    </row>
    <row r="1409" spans="2:9" x14ac:dyDescent="0.2">
      <c r="B1409" s="54" t="str">
        <f t="shared" si="25"/>
        <v>2019-090-1</v>
      </c>
      <c r="C1409" s="55">
        <v>2019</v>
      </c>
      <c r="D1409" s="55" t="s">
        <v>97</v>
      </c>
      <c r="E1409" s="55">
        <v>1</v>
      </c>
      <c r="F1409" s="57" t="s">
        <v>7</v>
      </c>
      <c r="G1409" s="55"/>
      <c r="H1409" s="58"/>
      <c r="I1409" s="59"/>
    </row>
    <row r="1410" spans="2:9" x14ac:dyDescent="0.2">
      <c r="B1410" s="54" t="str">
        <f t="shared" si="25"/>
        <v>2019-090-2</v>
      </c>
      <c r="C1410" s="55">
        <v>2019</v>
      </c>
      <c r="D1410" s="55" t="s">
        <v>97</v>
      </c>
      <c r="E1410" s="55">
        <v>2</v>
      </c>
      <c r="F1410" s="57" t="s">
        <v>14</v>
      </c>
      <c r="G1410" s="55"/>
      <c r="H1410" s="58"/>
      <c r="I1410" s="59"/>
    </row>
    <row r="1411" spans="2:9" x14ac:dyDescent="0.2">
      <c r="B1411" s="54" t="str">
        <f t="shared" si="25"/>
        <v>2019-090-3</v>
      </c>
      <c r="C1411" s="55">
        <v>2019</v>
      </c>
      <c r="D1411" s="55" t="s">
        <v>97</v>
      </c>
      <c r="E1411" s="55">
        <v>3</v>
      </c>
      <c r="F1411" s="57" t="s">
        <v>18</v>
      </c>
      <c r="G1411" s="55"/>
      <c r="H1411" s="58"/>
      <c r="I1411" s="59"/>
    </row>
    <row r="1412" spans="2:9" x14ac:dyDescent="0.2">
      <c r="B1412" s="54" t="str">
        <f t="shared" si="25"/>
        <v>2019-090-4</v>
      </c>
      <c r="C1412" s="55">
        <v>2019</v>
      </c>
      <c r="D1412" s="55" t="s">
        <v>97</v>
      </c>
      <c r="E1412" s="55">
        <v>4</v>
      </c>
      <c r="F1412" s="57" t="s">
        <v>20</v>
      </c>
      <c r="G1412" s="55"/>
      <c r="H1412" s="58"/>
      <c r="I1412" s="59"/>
    </row>
    <row r="1413" spans="2:9" x14ac:dyDescent="0.2">
      <c r="B1413" s="60" t="str">
        <f t="shared" si="25"/>
        <v>2019-090-5</v>
      </c>
      <c r="C1413" s="61">
        <v>2019</v>
      </c>
      <c r="D1413" s="61" t="s">
        <v>97</v>
      </c>
      <c r="E1413" s="61">
        <v>5</v>
      </c>
      <c r="F1413" s="62" t="s">
        <v>22</v>
      </c>
      <c r="G1413" s="61" t="s">
        <v>2735</v>
      </c>
      <c r="H1413" s="63"/>
      <c r="I1413" s="64"/>
    </row>
    <row r="1414" spans="2:9" ht="67.5" x14ac:dyDescent="0.2">
      <c r="B1414" s="65" t="str">
        <f t="shared" si="25"/>
        <v>2019-091-0</v>
      </c>
      <c r="C1414" s="66">
        <v>2019</v>
      </c>
      <c r="D1414" s="66" t="s">
        <v>98</v>
      </c>
      <c r="E1414" s="66">
        <v>0</v>
      </c>
      <c r="F1414" s="67" t="s">
        <v>307</v>
      </c>
      <c r="G1414" s="66"/>
      <c r="H1414" s="68"/>
      <c r="I1414" s="69"/>
    </row>
    <row r="1415" spans="2:9" x14ac:dyDescent="0.2">
      <c r="B1415" s="54" t="str">
        <f t="shared" si="25"/>
        <v>2019-091-1</v>
      </c>
      <c r="C1415" s="55">
        <v>2019</v>
      </c>
      <c r="D1415" s="55" t="s">
        <v>98</v>
      </c>
      <c r="E1415" s="55">
        <v>1</v>
      </c>
      <c r="F1415" s="57" t="s">
        <v>646</v>
      </c>
      <c r="G1415" s="55"/>
      <c r="H1415" s="58"/>
      <c r="I1415" s="59"/>
    </row>
    <row r="1416" spans="2:9" x14ac:dyDescent="0.2">
      <c r="B1416" s="54" t="str">
        <f t="shared" si="25"/>
        <v>2019-091-2</v>
      </c>
      <c r="C1416" s="55">
        <v>2019</v>
      </c>
      <c r="D1416" s="55" t="s">
        <v>98</v>
      </c>
      <c r="E1416" s="55">
        <v>2</v>
      </c>
      <c r="F1416" s="57" t="s">
        <v>970</v>
      </c>
      <c r="G1416" s="55" t="s">
        <v>2735</v>
      </c>
      <c r="H1416" s="58"/>
      <c r="I1416" s="59"/>
    </row>
    <row r="1417" spans="2:9" x14ac:dyDescent="0.2">
      <c r="B1417" s="54" t="str">
        <f t="shared" si="25"/>
        <v>2019-091-3</v>
      </c>
      <c r="C1417" s="55">
        <v>2019</v>
      </c>
      <c r="D1417" s="55" t="s">
        <v>98</v>
      </c>
      <c r="E1417" s="55">
        <v>3</v>
      </c>
      <c r="F1417" s="57" t="s">
        <v>1287</v>
      </c>
      <c r="G1417" s="55"/>
      <c r="H1417" s="58"/>
      <c r="I1417" s="59"/>
    </row>
    <row r="1418" spans="2:9" x14ac:dyDescent="0.2">
      <c r="B1418" s="54" t="str">
        <f t="shared" si="25"/>
        <v>2019-091-4</v>
      </c>
      <c r="C1418" s="55">
        <v>2019</v>
      </c>
      <c r="D1418" s="55" t="s">
        <v>98</v>
      </c>
      <c r="E1418" s="55">
        <v>4</v>
      </c>
      <c r="F1418" s="57" t="s">
        <v>1595</v>
      </c>
      <c r="G1418" s="55"/>
      <c r="H1418" s="58"/>
      <c r="I1418" s="59"/>
    </row>
    <row r="1419" spans="2:9" x14ac:dyDescent="0.2">
      <c r="B1419" s="60" t="str">
        <f t="shared" si="25"/>
        <v>2019-091-5</v>
      </c>
      <c r="C1419" s="61">
        <v>2019</v>
      </c>
      <c r="D1419" s="61" t="s">
        <v>98</v>
      </c>
      <c r="E1419" s="61">
        <v>5</v>
      </c>
      <c r="F1419" s="62" t="s">
        <v>1889</v>
      </c>
      <c r="G1419" s="61"/>
      <c r="H1419" s="63"/>
      <c r="I1419" s="64"/>
    </row>
    <row r="1420" spans="2:9" x14ac:dyDescent="0.2">
      <c r="B1420" s="65" t="str">
        <f t="shared" si="25"/>
        <v>2019-092-0</v>
      </c>
      <c r="C1420" s="66">
        <v>2019</v>
      </c>
      <c r="D1420" s="66" t="s">
        <v>99</v>
      </c>
      <c r="E1420" s="66">
        <v>0</v>
      </c>
      <c r="F1420" s="67" t="s">
        <v>308</v>
      </c>
      <c r="G1420" s="66"/>
      <c r="H1420" s="68"/>
      <c r="I1420" s="69"/>
    </row>
    <row r="1421" spans="2:9" x14ac:dyDescent="0.2">
      <c r="B1421" s="54" t="str">
        <f t="shared" si="25"/>
        <v>2019-092-1</v>
      </c>
      <c r="C1421" s="55">
        <v>2019</v>
      </c>
      <c r="D1421" s="55" t="s">
        <v>99</v>
      </c>
      <c r="E1421" s="55">
        <v>1</v>
      </c>
      <c r="F1421" s="57" t="s">
        <v>647</v>
      </c>
      <c r="G1421" s="55"/>
      <c r="H1421" s="58"/>
      <c r="I1421" s="59"/>
    </row>
    <row r="1422" spans="2:9" x14ac:dyDescent="0.2">
      <c r="B1422" s="54" t="str">
        <f t="shared" si="25"/>
        <v>2019-092-2</v>
      </c>
      <c r="C1422" s="55">
        <v>2019</v>
      </c>
      <c r="D1422" s="55" t="s">
        <v>99</v>
      </c>
      <c r="E1422" s="55">
        <v>2</v>
      </c>
      <c r="F1422" s="57" t="s">
        <v>971</v>
      </c>
      <c r="G1422" s="55"/>
      <c r="H1422" s="58"/>
      <c r="I1422" s="59"/>
    </row>
    <row r="1423" spans="2:9" x14ac:dyDescent="0.2">
      <c r="B1423" s="54" t="str">
        <f t="shared" si="25"/>
        <v>2019-092-3</v>
      </c>
      <c r="C1423" s="55">
        <v>2019</v>
      </c>
      <c r="D1423" s="55" t="s">
        <v>99</v>
      </c>
      <c r="E1423" s="55">
        <v>3</v>
      </c>
      <c r="F1423" s="57" t="s">
        <v>1288</v>
      </c>
      <c r="G1423" s="55"/>
      <c r="H1423" s="58"/>
      <c r="I1423" s="59"/>
    </row>
    <row r="1424" spans="2:9" x14ac:dyDescent="0.2">
      <c r="B1424" s="54" t="str">
        <f t="shared" si="25"/>
        <v>2019-092-4</v>
      </c>
      <c r="C1424" s="55">
        <v>2019</v>
      </c>
      <c r="D1424" s="55" t="s">
        <v>99</v>
      </c>
      <c r="E1424" s="55">
        <v>4</v>
      </c>
      <c r="F1424" s="57" t="s">
        <v>1596</v>
      </c>
      <c r="G1424" s="55"/>
      <c r="H1424" s="58"/>
      <c r="I1424" s="59"/>
    </row>
    <row r="1425" spans="2:9" ht="27" x14ac:dyDescent="0.2">
      <c r="B1425" s="60" t="str">
        <f t="shared" si="25"/>
        <v>2019-092-5</v>
      </c>
      <c r="C1425" s="61">
        <v>2019</v>
      </c>
      <c r="D1425" s="61" t="s">
        <v>99</v>
      </c>
      <c r="E1425" s="61">
        <v>5</v>
      </c>
      <c r="F1425" s="62" t="s">
        <v>1890</v>
      </c>
      <c r="G1425" s="61" t="s">
        <v>2735</v>
      </c>
      <c r="H1425" s="63"/>
      <c r="I1425" s="64"/>
    </row>
    <row r="1426" spans="2:9" x14ac:dyDescent="0.2">
      <c r="B1426" s="65" t="str">
        <f t="shared" si="25"/>
        <v>2019-093-0</v>
      </c>
      <c r="C1426" s="66">
        <v>2019</v>
      </c>
      <c r="D1426" s="66" t="s">
        <v>100</v>
      </c>
      <c r="E1426" s="66">
        <v>0</v>
      </c>
      <c r="F1426" s="67" t="s">
        <v>309</v>
      </c>
      <c r="G1426" s="66"/>
      <c r="H1426" s="68"/>
      <c r="I1426" s="69"/>
    </row>
    <row r="1427" spans="2:9" ht="27" x14ac:dyDescent="0.2">
      <c r="B1427" s="54" t="str">
        <f t="shared" si="25"/>
        <v>2019-093-1</v>
      </c>
      <c r="C1427" s="55">
        <v>2019</v>
      </c>
      <c r="D1427" s="55" t="s">
        <v>100</v>
      </c>
      <c r="E1427" s="55">
        <v>1</v>
      </c>
      <c r="F1427" s="57" t="s">
        <v>648</v>
      </c>
      <c r="G1427" s="55"/>
      <c r="H1427" s="58"/>
      <c r="I1427" s="59"/>
    </row>
    <row r="1428" spans="2:9" ht="27" x14ac:dyDescent="0.2">
      <c r="B1428" s="54" t="str">
        <f t="shared" si="25"/>
        <v>2019-093-2</v>
      </c>
      <c r="C1428" s="55">
        <v>2019</v>
      </c>
      <c r="D1428" s="55" t="s">
        <v>100</v>
      </c>
      <c r="E1428" s="55">
        <v>2</v>
      </c>
      <c r="F1428" s="57" t="s">
        <v>972</v>
      </c>
      <c r="G1428" s="55"/>
      <c r="H1428" s="58"/>
      <c r="I1428" s="59"/>
    </row>
    <row r="1429" spans="2:9" x14ac:dyDescent="0.2">
      <c r="B1429" s="54" t="str">
        <f t="shared" si="25"/>
        <v>2019-093-3</v>
      </c>
      <c r="C1429" s="55">
        <v>2019</v>
      </c>
      <c r="D1429" s="55" t="s">
        <v>100</v>
      </c>
      <c r="E1429" s="55">
        <v>3</v>
      </c>
      <c r="F1429" s="57" t="s">
        <v>1289</v>
      </c>
      <c r="G1429" s="55"/>
      <c r="H1429" s="58"/>
      <c r="I1429" s="59"/>
    </row>
    <row r="1430" spans="2:9" ht="27" x14ac:dyDescent="0.2">
      <c r="B1430" s="54" t="str">
        <f t="shared" si="25"/>
        <v>2019-093-4</v>
      </c>
      <c r="C1430" s="55">
        <v>2019</v>
      </c>
      <c r="D1430" s="55" t="s">
        <v>100</v>
      </c>
      <c r="E1430" s="55">
        <v>4</v>
      </c>
      <c r="F1430" s="57" t="s">
        <v>1597</v>
      </c>
      <c r="G1430" s="55" t="s">
        <v>2735</v>
      </c>
      <c r="H1430" s="58"/>
      <c r="I1430" s="59"/>
    </row>
    <row r="1431" spans="2:9" x14ac:dyDescent="0.2">
      <c r="B1431" s="60" t="str">
        <f t="shared" si="25"/>
        <v>2019-093-5</v>
      </c>
      <c r="C1431" s="61">
        <v>2019</v>
      </c>
      <c r="D1431" s="61" t="s">
        <v>100</v>
      </c>
      <c r="E1431" s="61">
        <v>5</v>
      </c>
      <c r="F1431" s="62" t="s">
        <v>1891</v>
      </c>
      <c r="G1431" s="61"/>
      <c r="H1431" s="63"/>
      <c r="I1431" s="64"/>
    </row>
    <row r="1432" spans="2:9" x14ac:dyDescent="0.2">
      <c r="B1432" s="65" t="str">
        <f t="shared" si="25"/>
        <v>2019-094-0</v>
      </c>
      <c r="C1432" s="66">
        <v>2019</v>
      </c>
      <c r="D1432" s="66" t="s">
        <v>101</v>
      </c>
      <c r="E1432" s="66">
        <v>0</v>
      </c>
      <c r="F1432" s="67" t="s">
        <v>310</v>
      </c>
      <c r="G1432" s="66"/>
      <c r="H1432" s="68"/>
      <c r="I1432" s="69"/>
    </row>
    <row r="1433" spans="2:9" x14ac:dyDescent="0.2">
      <c r="B1433" s="54" t="str">
        <f t="shared" si="25"/>
        <v>2019-094-1</v>
      </c>
      <c r="C1433" s="55">
        <v>2019</v>
      </c>
      <c r="D1433" s="55" t="s">
        <v>101</v>
      </c>
      <c r="E1433" s="55">
        <v>1</v>
      </c>
      <c r="F1433" s="57" t="s">
        <v>649</v>
      </c>
      <c r="G1433" s="55"/>
      <c r="H1433" s="58"/>
      <c r="I1433" s="59"/>
    </row>
    <row r="1434" spans="2:9" x14ac:dyDescent="0.2">
      <c r="B1434" s="54" t="str">
        <f t="shared" si="25"/>
        <v>2019-094-2</v>
      </c>
      <c r="C1434" s="55">
        <v>2019</v>
      </c>
      <c r="D1434" s="55" t="s">
        <v>101</v>
      </c>
      <c r="E1434" s="55">
        <v>2</v>
      </c>
      <c r="F1434" s="57" t="s">
        <v>973</v>
      </c>
      <c r="G1434" s="55"/>
      <c r="H1434" s="58"/>
      <c r="I1434" s="59"/>
    </row>
    <row r="1435" spans="2:9" x14ac:dyDescent="0.2">
      <c r="B1435" s="54" t="str">
        <f t="shared" si="25"/>
        <v>2019-094-3</v>
      </c>
      <c r="C1435" s="55">
        <v>2019</v>
      </c>
      <c r="D1435" s="55" t="s">
        <v>101</v>
      </c>
      <c r="E1435" s="55">
        <v>3</v>
      </c>
      <c r="F1435" s="57" t="s">
        <v>1290</v>
      </c>
      <c r="G1435" s="55"/>
      <c r="H1435" s="58"/>
      <c r="I1435" s="59"/>
    </row>
    <row r="1436" spans="2:9" ht="27" x14ac:dyDescent="0.2">
      <c r="B1436" s="54" t="str">
        <f t="shared" si="25"/>
        <v>2019-094-4</v>
      </c>
      <c r="C1436" s="55">
        <v>2019</v>
      </c>
      <c r="D1436" s="55" t="s">
        <v>101</v>
      </c>
      <c r="E1436" s="55">
        <v>4</v>
      </c>
      <c r="F1436" s="57" t="s">
        <v>1598</v>
      </c>
      <c r="G1436" s="55" t="s">
        <v>2735</v>
      </c>
      <c r="H1436" s="58"/>
      <c r="I1436" s="59"/>
    </row>
    <row r="1437" spans="2:9" ht="27" x14ac:dyDescent="0.2">
      <c r="B1437" s="60" t="str">
        <f t="shared" si="25"/>
        <v>2019-094-5</v>
      </c>
      <c r="C1437" s="61">
        <v>2019</v>
      </c>
      <c r="D1437" s="61" t="s">
        <v>101</v>
      </c>
      <c r="E1437" s="61">
        <v>5</v>
      </c>
      <c r="F1437" s="62" t="s">
        <v>1892</v>
      </c>
      <c r="G1437" s="61"/>
      <c r="H1437" s="63"/>
      <c r="I1437" s="64"/>
    </row>
    <row r="1438" spans="2:9" x14ac:dyDescent="0.2">
      <c r="B1438" s="65" t="str">
        <f t="shared" si="25"/>
        <v>2019-095-0</v>
      </c>
      <c r="C1438" s="66">
        <v>2019</v>
      </c>
      <c r="D1438" s="66" t="s">
        <v>102</v>
      </c>
      <c r="E1438" s="66">
        <v>0</v>
      </c>
      <c r="F1438" s="67" t="s">
        <v>311</v>
      </c>
      <c r="G1438" s="66"/>
      <c r="H1438" s="68"/>
      <c r="I1438" s="69"/>
    </row>
    <row r="1439" spans="2:9" x14ac:dyDescent="0.2">
      <c r="B1439" s="54" t="str">
        <f t="shared" si="25"/>
        <v>2019-095-1</v>
      </c>
      <c r="C1439" s="55">
        <v>2019</v>
      </c>
      <c r="D1439" s="55" t="s">
        <v>102</v>
      </c>
      <c r="E1439" s="55">
        <v>1</v>
      </c>
      <c r="F1439" s="57" t="s">
        <v>650</v>
      </c>
      <c r="G1439" s="55"/>
      <c r="H1439" s="58"/>
      <c r="I1439" s="59"/>
    </row>
    <row r="1440" spans="2:9" x14ac:dyDescent="0.2">
      <c r="B1440" s="54" t="str">
        <f t="shared" si="25"/>
        <v>2019-095-2</v>
      </c>
      <c r="C1440" s="55">
        <v>2019</v>
      </c>
      <c r="D1440" s="55" t="s">
        <v>102</v>
      </c>
      <c r="E1440" s="55">
        <v>2</v>
      </c>
      <c r="F1440" s="57" t="s">
        <v>974</v>
      </c>
      <c r="G1440" s="55"/>
      <c r="H1440" s="58"/>
      <c r="I1440" s="59"/>
    </row>
    <row r="1441" spans="2:9" x14ac:dyDescent="0.2">
      <c r="B1441" s="54" t="str">
        <f t="shared" si="25"/>
        <v>2019-095-3</v>
      </c>
      <c r="C1441" s="55">
        <v>2019</v>
      </c>
      <c r="D1441" s="55" t="s">
        <v>102</v>
      </c>
      <c r="E1441" s="55">
        <v>3</v>
      </c>
      <c r="F1441" s="57" t="s">
        <v>1291</v>
      </c>
      <c r="G1441" s="55" t="s">
        <v>2735</v>
      </c>
      <c r="H1441" s="58"/>
      <c r="I1441" s="59"/>
    </row>
    <row r="1442" spans="2:9" x14ac:dyDescent="0.2">
      <c r="B1442" s="54" t="str">
        <f t="shared" si="25"/>
        <v>2019-095-4</v>
      </c>
      <c r="C1442" s="55">
        <v>2019</v>
      </c>
      <c r="D1442" s="55" t="s">
        <v>102</v>
      </c>
      <c r="E1442" s="55">
        <v>4</v>
      </c>
      <c r="F1442" s="57" t="s">
        <v>1599</v>
      </c>
      <c r="G1442" s="55"/>
      <c r="H1442" s="58"/>
      <c r="I1442" s="59"/>
    </row>
    <row r="1443" spans="2:9" x14ac:dyDescent="0.2">
      <c r="B1443" s="60" t="str">
        <f t="shared" si="25"/>
        <v>2019-095-5</v>
      </c>
      <c r="C1443" s="61">
        <v>2019</v>
      </c>
      <c r="D1443" s="61" t="s">
        <v>102</v>
      </c>
      <c r="E1443" s="61">
        <v>5</v>
      </c>
      <c r="F1443" s="62" t="s">
        <v>1893</v>
      </c>
      <c r="G1443" s="61"/>
      <c r="H1443" s="63"/>
      <c r="I1443" s="64"/>
    </row>
    <row r="1444" spans="2:9" x14ac:dyDescent="0.2">
      <c r="B1444" s="65" t="str">
        <f t="shared" si="25"/>
        <v>2019-096-0</v>
      </c>
      <c r="C1444" s="66">
        <v>2019</v>
      </c>
      <c r="D1444" s="66" t="s">
        <v>103</v>
      </c>
      <c r="E1444" s="66">
        <v>0</v>
      </c>
      <c r="F1444" s="67" t="s">
        <v>312</v>
      </c>
      <c r="G1444" s="66"/>
      <c r="H1444" s="68"/>
      <c r="I1444" s="69"/>
    </row>
    <row r="1445" spans="2:9" x14ac:dyDescent="0.2">
      <c r="B1445" s="54" t="str">
        <f t="shared" si="25"/>
        <v>2019-096-1</v>
      </c>
      <c r="C1445" s="55">
        <v>2019</v>
      </c>
      <c r="D1445" s="55" t="s">
        <v>103</v>
      </c>
      <c r="E1445" s="55">
        <v>1</v>
      </c>
      <c r="F1445" s="57" t="s">
        <v>651</v>
      </c>
      <c r="G1445" s="55" t="s">
        <v>2735</v>
      </c>
      <c r="H1445" s="58"/>
      <c r="I1445" s="59"/>
    </row>
    <row r="1446" spans="2:9" x14ac:dyDescent="0.2">
      <c r="B1446" s="54" t="str">
        <f t="shared" si="25"/>
        <v>2019-096-2</v>
      </c>
      <c r="C1446" s="55">
        <v>2019</v>
      </c>
      <c r="D1446" s="55" t="s">
        <v>103</v>
      </c>
      <c r="E1446" s="55">
        <v>2</v>
      </c>
      <c r="F1446" s="57" t="s">
        <v>975</v>
      </c>
      <c r="G1446" s="55"/>
      <c r="H1446" s="58"/>
      <c r="I1446" s="59"/>
    </row>
    <row r="1447" spans="2:9" x14ac:dyDescent="0.2">
      <c r="B1447" s="54" t="str">
        <f t="shared" si="25"/>
        <v>2019-096-3</v>
      </c>
      <c r="C1447" s="55">
        <v>2019</v>
      </c>
      <c r="D1447" s="55" t="s">
        <v>103</v>
      </c>
      <c r="E1447" s="55">
        <v>3</v>
      </c>
      <c r="F1447" s="57" t="s">
        <v>1292</v>
      </c>
      <c r="G1447" s="55"/>
      <c r="H1447" s="58"/>
      <c r="I1447" s="59"/>
    </row>
    <row r="1448" spans="2:9" ht="27" x14ac:dyDescent="0.2">
      <c r="B1448" s="54" t="str">
        <f t="shared" si="25"/>
        <v>2019-096-4</v>
      </c>
      <c r="C1448" s="55">
        <v>2019</v>
      </c>
      <c r="D1448" s="55" t="s">
        <v>103</v>
      </c>
      <c r="E1448" s="55">
        <v>4</v>
      </c>
      <c r="F1448" s="57" t="s">
        <v>1600</v>
      </c>
      <c r="G1448" s="55"/>
      <c r="H1448" s="58"/>
      <c r="I1448" s="59"/>
    </row>
    <row r="1449" spans="2:9" x14ac:dyDescent="0.2">
      <c r="B1449" s="60" t="str">
        <f t="shared" si="25"/>
        <v>2019-096-5</v>
      </c>
      <c r="C1449" s="61">
        <v>2019</v>
      </c>
      <c r="D1449" s="61" t="s">
        <v>103</v>
      </c>
      <c r="E1449" s="61">
        <v>5</v>
      </c>
      <c r="F1449" s="62" t="s">
        <v>1894</v>
      </c>
      <c r="G1449" s="61"/>
      <c r="H1449" s="63"/>
      <c r="I1449" s="64"/>
    </row>
    <row r="1450" spans="2:9" ht="27" x14ac:dyDescent="0.2">
      <c r="B1450" s="65" t="str">
        <f t="shared" si="25"/>
        <v>2019-097-0</v>
      </c>
      <c r="C1450" s="66">
        <v>2019</v>
      </c>
      <c r="D1450" s="66" t="s">
        <v>104</v>
      </c>
      <c r="E1450" s="66">
        <v>0</v>
      </c>
      <c r="F1450" s="67" t="s">
        <v>313</v>
      </c>
      <c r="G1450" s="66"/>
      <c r="H1450" s="68"/>
      <c r="I1450" s="69"/>
    </row>
    <row r="1451" spans="2:9" x14ac:dyDescent="0.2">
      <c r="B1451" s="54" t="str">
        <f t="shared" si="25"/>
        <v>2019-097-1</v>
      </c>
      <c r="C1451" s="55">
        <v>2019</v>
      </c>
      <c r="D1451" s="55" t="s">
        <v>104</v>
      </c>
      <c r="E1451" s="55">
        <v>1</v>
      </c>
      <c r="F1451" s="57" t="s">
        <v>652</v>
      </c>
      <c r="G1451" s="55" t="s">
        <v>2735</v>
      </c>
      <c r="H1451" s="58"/>
      <c r="I1451" s="59"/>
    </row>
    <row r="1452" spans="2:9" x14ac:dyDescent="0.2">
      <c r="B1452" s="54" t="str">
        <f t="shared" si="25"/>
        <v>2019-097-2</v>
      </c>
      <c r="C1452" s="55">
        <v>2019</v>
      </c>
      <c r="D1452" s="55" t="s">
        <v>104</v>
      </c>
      <c r="E1452" s="55">
        <v>2</v>
      </c>
      <c r="F1452" s="57" t="s">
        <v>976</v>
      </c>
      <c r="G1452" s="55"/>
      <c r="H1452" s="58"/>
      <c r="I1452" s="59"/>
    </row>
    <row r="1453" spans="2:9" x14ac:dyDescent="0.2">
      <c r="B1453" s="54" t="str">
        <f t="shared" si="25"/>
        <v>2019-097-3</v>
      </c>
      <c r="C1453" s="55">
        <v>2019</v>
      </c>
      <c r="D1453" s="55" t="s">
        <v>104</v>
      </c>
      <c r="E1453" s="55">
        <v>3</v>
      </c>
      <c r="F1453" s="57" t="s">
        <v>1293</v>
      </c>
      <c r="G1453" s="55"/>
      <c r="H1453" s="58"/>
      <c r="I1453" s="59"/>
    </row>
    <row r="1454" spans="2:9" x14ac:dyDescent="0.2">
      <c r="B1454" s="54" t="str">
        <f t="shared" si="25"/>
        <v>2019-097-4</v>
      </c>
      <c r="C1454" s="55">
        <v>2019</v>
      </c>
      <c r="D1454" s="55" t="s">
        <v>104</v>
      </c>
      <c r="E1454" s="55">
        <v>4</v>
      </c>
      <c r="F1454" s="57" t="s">
        <v>1601</v>
      </c>
      <c r="G1454" s="55"/>
      <c r="H1454" s="58"/>
      <c r="I1454" s="59"/>
    </row>
    <row r="1455" spans="2:9" x14ac:dyDescent="0.2">
      <c r="B1455" s="60" t="str">
        <f t="shared" si="25"/>
        <v>2019-097-5</v>
      </c>
      <c r="C1455" s="61">
        <v>2019</v>
      </c>
      <c r="D1455" s="61" t="s">
        <v>104</v>
      </c>
      <c r="E1455" s="61">
        <v>5</v>
      </c>
      <c r="F1455" s="62" t="s">
        <v>1895</v>
      </c>
      <c r="G1455" s="61"/>
      <c r="H1455" s="63"/>
      <c r="I1455" s="64"/>
    </row>
    <row r="1456" spans="2:9" x14ac:dyDescent="0.2">
      <c r="B1456" s="65" t="str">
        <f t="shared" si="25"/>
        <v>2019-098-0</v>
      </c>
      <c r="C1456" s="66">
        <v>2019</v>
      </c>
      <c r="D1456" s="66" t="s">
        <v>105</v>
      </c>
      <c r="E1456" s="66">
        <v>0</v>
      </c>
      <c r="F1456" s="67" t="s">
        <v>314</v>
      </c>
      <c r="G1456" s="66"/>
      <c r="H1456" s="68"/>
      <c r="I1456" s="69"/>
    </row>
    <row r="1457" spans="2:9" ht="27" x14ac:dyDescent="0.2">
      <c r="B1457" s="54" t="str">
        <f t="shared" si="25"/>
        <v>2019-098-1</v>
      </c>
      <c r="C1457" s="55">
        <v>2019</v>
      </c>
      <c r="D1457" s="55" t="s">
        <v>105</v>
      </c>
      <c r="E1457" s="55">
        <v>1</v>
      </c>
      <c r="F1457" s="57" t="s">
        <v>653</v>
      </c>
      <c r="G1457" s="55"/>
      <c r="H1457" s="58"/>
      <c r="I1457" s="59"/>
    </row>
    <row r="1458" spans="2:9" ht="27" x14ac:dyDescent="0.2">
      <c r="B1458" s="54" t="str">
        <f t="shared" si="25"/>
        <v>2019-098-2</v>
      </c>
      <c r="C1458" s="55">
        <v>2019</v>
      </c>
      <c r="D1458" s="55" t="s">
        <v>105</v>
      </c>
      <c r="E1458" s="55">
        <v>2</v>
      </c>
      <c r="F1458" s="57" t="s">
        <v>977</v>
      </c>
      <c r="G1458" s="55"/>
      <c r="H1458" s="58"/>
      <c r="I1458" s="59"/>
    </row>
    <row r="1459" spans="2:9" ht="27" x14ac:dyDescent="0.2">
      <c r="B1459" s="54" t="str">
        <f t="shared" si="25"/>
        <v>2019-098-3</v>
      </c>
      <c r="C1459" s="55">
        <v>2019</v>
      </c>
      <c r="D1459" s="55" t="s">
        <v>105</v>
      </c>
      <c r="E1459" s="55">
        <v>3</v>
      </c>
      <c r="F1459" s="57" t="s">
        <v>1294</v>
      </c>
      <c r="G1459" s="55" t="s">
        <v>2735</v>
      </c>
      <c r="H1459" s="58"/>
      <c r="I1459" s="59"/>
    </row>
    <row r="1460" spans="2:9" ht="27" x14ac:dyDescent="0.2">
      <c r="B1460" s="54" t="str">
        <f t="shared" si="25"/>
        <v>2019-098-4</v>
      </c>
      <c r="C1460" s="55">
        <v>2019</v>
      </c>
      <c r="D1460" s="55" t="s">
        <v>105</v>
      </c>
      <c r="E1460" s="55">
        <v>4</v>
      </c>
      <c r="F1460" s="57" t="s">
        <v>1602</v>
      </c>
      <c r="G1460" s="55"/>
      <c r="H1460" s="58"/>
      <c r="I1460" s="59"/>
    </row>
    <row r="1461" spans="2:9" x14ac:dyDescent="0.2">
      <c r="B1461" s="60" t="str">
        <f t="shared" si="25"/>
        <v>2019-098-5</v>
      </c>
      <c r="C1461" s="61">
        <v>2019</v>
      </c>
      <c r="D1461" s="61" t="s">
        <v>105</v>
      </c>
      <c r="E1461" s="61">
        <v>5</v>
      </c>
      <c r="F1461" s="62" t="s">
        <v>1562</v>
      </c>
      <c r="G1461" s="61"/>
      <c r="H1461" s="63"/>
      <c r="I1461" s="64"/>
    </row>
    <row r="1462" spans="2:9" ht="67.5" x14ac:dyDescent="0.2">
      <c r="B1462" s="65" t="str">
        <f t="shared" si="25"/>
        <v>2019-099-0</v>
      </c>
      <c r="C1462" s="66">
        <v>2019</v>
      </c>
      <c r="D1462" s="66" t="s">
        <v>106</v>
      </c>
      <c r="E1462" s="66">
        <v>0</v>
      </c>
      <c r="F1462" s="67" t="s">
        <v>315</v>
      </c>
      <c r="G1462" s="66"/>
      <c r="H1462" s="68"/>
      <c r="I1462" s="69"/>
    </row>
    <row r="1463" spans="2:9" x14ac:dyDescent="0.2">
      <c r="B1463" s="54" t="str">
        <f t="shared" si="25"/>
        <v>2019-099-1</v>
      </c>
      <c r="C1463" s="55">
        <v>2019</v>
      </c>
      <c r="D1463" s="55" t="s">
        <v>106</v>
      </c>
      <c r="E1463" s="55">
        <v>1</v>
      </c>
      <c r="F1463" s="57" t="s">
        <v>654</v>
      </c>
      <c r="G1463" s="55"/>
      <c r="H1463" s="58"/>
      <c r="I1463" s="59"/>
    </row>
    <row r="1464" spans="2:9" x14ac:dyDescent="0.2">
      <c r="B1464" s="54" t="str">
        <f t="shared" si="25"/>
        <v>2019-099-2</v>
      </c>
      <c r="C1464" s="55">
        <v>2019</v>
      </c>
      <c r="D1464" s="55" t="s">
        <v>106</v>
      </c>
      <c r="E1464" s="55">
        <v>2</v>
      </c>
      <c r="F1464" s="57" t="s">
        <v>978</v>
      </c>
      <c r="G1464" s="55"/>
      <c r="H1464" s="58"/>
      <c r="I1464" s="59"/>
    </row>
    <row r="1465" spans="2:9" x14ac:dyDescent="0.2">
      <c r="B1465" s="54" t="str">
        <f t="shared" si="25"/>
        <v>2019-099-3</v>
      </c>
      <c r="C1465" s="55">
        <v>2019</v>
      </c>
      <c r="D1465" s="55" t="s">
        <v>106</v>
      </c>
      <c r="E1465" s="55">
        <v>3</v>
      </c>
      <c r="F1465" s="57" t="s">
        <v>1295</v>
      </c>
      <c r="G1465" s="55"/>
      <c r="H1465" s="58"/>
      <c r="I1465" s="59"/>
    </row>
    <row r="1466" spans="2:9" x14ac:dyDescent="0.2">
      <c r="B1466" s="54" t="str">
        <f t="shared" si="25"/>
        <v>2019-099-4</v>
      </c>
      <c r="C1466" s="55">
        <v>2019</v>
      </c>
      <c r="D1466" s="55" t="s">
        <v>106</v>
      </c>
      <c r="E1466" s="55">
        <v>4</v>
      </c>
      <c r="F1466" s="57" t="s">
        <v>1603</v>
      </c>
      <c r="G1466" s="55" t="s">
        <v>2735</v>
      </c>
      <c r="H1466" s="58"/>
      <c r="I1466" s="59"/>
    </row>
    <row r="1467" spans="2:9" x14ac:dyDescent="0.2">
      <c r="B1467" s="60" t="str">
        <f t="shared" si="25"/>
        <v>2019-099-5</v>
      </c>
      <c r="C1467" s="61">
        <v>2019</v>
      </c>
      <c r="D1467" s="61" t="s">
        <v>106</v>
      </c>
      <c r="E1467" s="61">
        <v>5</v>
      </c>
      <c r="F1467" s="62" t="s">
        <v>1896</v>
      </c>
      <c r="G1467" s="61"/>
      <c r="H1467" s="63"/>
      <c r="I1467" s="64"/>
    </row>
    <row r="1468" spans="2:9" x14ac:dyDescent="0.2">
      <c r="B1468" s="65" t="str">
        <f t="shared" si="25"/>
        <v>2019-100-0</v>
      </c>
      <c r="C1468" s="66">
        <v>2019</v>
      </c>
      <c r="D1468" s="66" t="s">
        <v>107</v>
      </c>
      <c r="E1468" s="66">
        <v>0</v>
      </c>
      <c r="F1468" s="67" t="s">
        <v>316</v>
      </c>
      <c r="G1468" s="66"/>
      <c r="H1468" s="68"/>
      <c r="I1468" s="69"/>
    </row>
    <row r="1469" spans="2:9" x14ac:dyDescent="0.2">
      <c r="B1469" s="54" t="str">
        <f t="shared" ref="B1469:B1473" si="26">C1469&amp;"-"&amp;D1469&amp;"-"&amp;E1469</f>
        <v>2019-100-1</v>
      </c>
      <c r="C1469" s="55">
        <v>2019</v>
      </c>
      <c r="D1469" s="55" t="s">
        <v>107</v>
      </c>
      <c r="E1469" s="55">
        <v>1</v>
      </c>
      <c r="F1469" s="57" t="s">
        <v>655</v>
      </c>
      <c r="G1469" s="55"/>
      <c r="H1469" s="58"/>
      <c r="I1469" s="59"/>
    </row>
    <row r="1470" spans="2:9" x14ac:dyDescent="0.2">
      <c r="B1470" s="54" t="str">
        <f t="shared" si="26"/>
        <v>2019-100-2</v>
      </c>
      <c r="C1470" s="55">
        <v>2019</v>
      </c>
      <c r="D1470" s="55" t="s">
        <v>107</v>
      </c>
      <c r="E1470" s="55">
        <v>2</v>
      </c>
      <c r="F1470" s="57" t="s">
        <v>979</v>
      </c>
      <c r="G1470" s="55" t="s">
        <v>2735</v>
      </c>
      <c r="H1470" s="58"/>
      <c r="I1470" s="59"/>
    </row>
    <row r="1471" spans="2:9" x14ac:dyDescent="0.2">
      <c r="B1471" s="54" t="str">
        <f t="shared" si="26"/>
        <v>2019-100-3</v>
      </c>
      <c r="C1471" s="55">
        <v>2019</v>
      </c>
      <c r="D1471" s="55" t="s">
        <v>107</v>
      </c>
      <c r="E1471" s="55">
        <v>3</v>
      </c>
      <c r="F1471" s="57" t="s">
        <v>1296</v>
      </c>
      <c r="G1471" s="55"/>
      <c r="H1471" s="58"/>
      <c r="I1471" s="59"/>
    </row>
    <row r="1472" spans="2:9" x14ac:dyDescent="0.2">
      <c r="B1472" s="54" t="str">
        <f t="shared" si="26"/>
        <v>2019-100-4</v>
      </c>
      <c r="C1472" s="55">
        <v>2019</v>
      </c>
      <c r="D1472" s="55" t="s">
        <v>107</v>
      </c>
      <c r="E1472" s="55">
        <v>4</v>
      </c>
      <c r="F1472" s="57" t="s">
        <v>878</v>
      </c>
      <c r="G1472" s="55"/>
      <c r="H1472" s="58"/>
      <c r="I1472" s="59"/>
    </row>
    <row r="1473" spans="2:9" ht="27.75" thickBot="1" x14ac:dyDescent="0.25">
      <c r="B1473" s="70" t="str">
        <f t="shared" si="26"/>
        <v>2019-100-5</v>
      </c>
      <c r="C1473" s="71">
        <v>2019</v>
      </c>
      <c r="D1473" s="71" t="s">
        <v>107</v>
      </c>
      <c r="E1473" s="71">
        <v>5</v>
      </c>
      <c r="F1473" s="72" t="s">
        <v>1897</v>
      </c>
      <c r="G1473" s="71"/>
      <c r="H1473" s="73"/>
      <c r="I1473" s="74"/>
    </row>
    <row r="1474" spans="2:9" x14ac:dyDescent="0.2">
      <c r="B1474" s="48" t="str">
        <f t="shared" ref="B1474:B1506" si="27">C1474&amp;"-"&amp;D1474&amp;"-"&amp;E1474</f>
        <v>2018-076-0</v>
      </c>
      <c r="C1474" s="49">
        <v>2018</v>
      </c>
      <c r="D1474" s="49" t="s">
        <v>78</v>
      </c>
      <c r="E1474" s="49">
        <v>0</v>
      </c>
      <c r="F1474" s="51" t="s">
        <v>317</v>
      </c>
      <c r="G1474" s="49"/>
      <c r="H1474" s="52"/>
      <c r="I1474" s="53"/>
    </row>
    <row r="1475" spans="2:9" x14ac:dyDescent="0.2">
      <c r="B1475" s="54" t="str">
        <f t="shared" si="27"/>
        <v>2018-076-1</v>
      </c>
      <c r="C1475" s="55">
        <v>2018</v>
      </c>
      <c r="D1475" s="55" t="s">
        <v>78</v>
      </c>
      <c r="E1475" s="55">
        <v>1</v>
      </c>
      <c r="F1475" s="57" t="s">
        <v>656</v>
      </c>
      <c r="G1475" s="55"/>
      <c r="H1475" s="58"/>
      <c r="I1475" s="59"/>
    </row>
    <row r="1476" spans="2:9" x14ac:dyDescent="0.2">
      <c r="B1476" s="54" t="str">
        <f t="shared" si="27"/>
        <v>2018-076-2</v>
      </c>
      <c r="C1476" s="55">
        <v>2018</v>
      </c>
      <c r="D1476" s="55" t="s">
        <v>78</v>
      </c>
      <c r="E1476" s="55">
        <v>2</v>
      </c>
      <c r="F1476" s="57" t="s">
        <v>980</v>
      </c>
      <c r="G1476" s="55"/>
      <c r="H1476" s="58"/>
      <c r="I1476" s="59"/>
    </row>
    <row r="1477" spans="2:9" x14ac:dyDescent="0.2">
      <c r="B1477" s="54" t="str">
        <f t="shared" si="27"/>
        <v>2018-076-3</v>
      </c>
      <c r="C1477" s="55">
        <v>2018</v>
      </c>
      <c r="D1477" s="55" t="s">
        <v>78</v>
      </c>
      <c r="E1477" s="55">
        <v>3</v>
      </c>
      <c r="F1477" s="57" t="s">
        <v>1297</v>
      </c>
      <c r="G1477" s="55"/>
      <c r="H1477" s="58"/>
      <c r="I1477" s="59"/>
    </row>
    <row r="1478" spans="2:9" x14ac:dyDescent="0.2">
      <c r="B1478" s="54" t="str">
        <f t="shared" si="27"/>
        <v>2018-076-4</v>
      </c>
      <c r="C1478" s="55">
        <v>2018</v>
      </c>
      <c r="D1478" s="55" t="s">
        <v>78</v>
      </c>
      <c r="E1478" s="55">
        <v>4</v>
      </c>
      <c r="F1478" s="57" t="s">
        <v>1604</v>
      </c>
      <c r="G1478" s="55"/>
      <c r="H1478" s="58"/>
      <c r="I1478" s="59"/>
    </row>
    <row r="1479" spans="2:9" x14ac:dyDescent="0.2">
      <c r="B1479" s="60" t="str">
        <f t="shared" si="27"/>
        <v>2018-076-5</v>
      </c>
      <c r="C1479" s="61">
        <v>2018</v>
      </c>
      <c r="D1479" s="61" t="s">
        <v>78</v>
      </c>
      <c r="E1479" s="61">
        <v>5</v>
      </c>
      <c r="F1479" s="62" t="s">
        <v>1898</v>
      </c>
      <c r="G1479" s="61" t="s">
        <v>2735</v>
      </c>
      <c r="H1479" s="63"/>
      <c r="I1479" s="64"/>
    </row>
    <row r="1480" spans="2:9" x14ac:dyDescent="0.2">
      <c r="B1480" s="65" t="str">
        <f t="shared" si="27"/>
        <v>2018-077-0</v>
      </c>
      <c r="C1480" s="66">
        <v>2018</v>
      </c>
      <c r="D1480" s="66" t="s">
        <v>79</v>
      </c>
      <c r="E1480" s="66">
        <v>0</v>
      </c>
      <c r="F1480" s="67" t="s">
        <v>318</v>
      </c>
      <c r="G1480" s="66"/>
      <c r="H1480" s="68"/>
      <c r="I1480" s="69"/>
    </row>
    <row r="1481" spans="2:9" x14ac:dyDescent="0.2">
      <c r="B1481" s="54" t="str">
        <f t="shared" si="27"/>
        <v>2018-077-1</v>
      </c>
      <c r="C1481" s="55">
        <v>2018</v>
      </c>
      <c r="D1481" s="55" t="s">
        <v>79</v>
      </c>
      <c r="E1481" s="55">
        <v>1</v>
      </c>
      <c r="F1481" s="57" t="s">
        <v>657</v>
      </c>
      <c r="G1481" s="55"/>
      <c r="H1481" s="58"/>
      <c r="I1481" s="59"/>
    </row>
    <row r="1482" spans="2:9" ht="27" x14ac:dyDescent="0.2">
      <c r="B1482" s="54" t="str">
        <f t="shared" si="27"/>
        <v>2018-077-2</v>
      </c>
      <c r="C1482" s="55">
        <v>2018</v>
      </c>
      <c r="D1482" s="55" t="s">
        <v>79</v>
      </c>
      <c r="E1482" s="55">
        <v>2</v>
      </c>
      <c r="F1482" s="57" t="s">
        <v>981</v>
      </c>
      <c r="G1482" s="55"/>
      <c r="H1482" s="58"/>
      <c r="I1482" s="59"/>
    </row>
    <row r="1483" spans="2:9" ht="27" x14ac:dyDescent="0.2">
      <c r="B1483" s="54" t="str">
        <f t="shared" si="27"/>
        <v>2018-077-3</v>
      </c>
      <c r="C1483" s="55">
        <v>2018</v>
      </c>
      <c r="D1483" s="55" t="s">
        <v>79</v>
      </c>
      <c r="E1483" s="55">
        <v>3</v>
      </c>
      <c r="F1483" s="57" t="s">
        <v>1298</v>
      </c>
      <c r="G1483" s="55"/>
      <c r="H1483" s="58"/>
      <c r="I1483" s="59"/>
    </row>
    <row r="1484" spans="2:9" x14ac:dyDescent="0.2">
      <c r="B1484" s="54" t="str">
        <f t="shared" si="27"/>
        <v>2018-077-4</v>
      </c>
      <c r="C1484" s="55">
        <v>2018</v>
      </c>
      <c r="D1484" s="55" t="s">
        <v>79</v>
      </c>
      <c r="E1484" s="55">
        <v>4</v>
      </c>
      <c r="F1484" s="57" t="s">
        <v>677</v>
      </c>
      <c r="G1484" s="55" t="s">
        <v>2735</v>
      </c>
      <c r="H1484" s="58"/>
      <c r="I1484" s="59"/>
    </row>
    <row r="1485" spans="2:9" x14ac:dyDescent="0.2">
      <c r="B1485" s="60" t="str">
        <f t="shared" si="27"/>
        <v>2018-077-5</v>
      </c>
      <c r="C1485" s="61">
        <v>2018</v>
      </c>
      <c r="D1485" s="61" t="s">
        <v>79</v>
      </c>
      <c r="E1485" s="61">
        <v>5</v>
      </c>
      <c r="F1485" s="62" t="s">
        <v>1899</v>
      </c>
      <c r="G1485" s="61"/>
      <c r="H1485" s="63"/>
      <c r="I1485" s="64"/>
    </row>
    <row r="1486" spans="2:9" x14ac:dyDescent="0.2">
      <c r="B1486" s="65" t="str">
        <f t="shared" si="27"/>
        <v>2018-078-0</v>
      </c>
      <c r="C1486" s="66">
        <v>2018</v>
      </c>
      <c r="D1486" s="66" t="s">
        <v>80</v>
      </c>
      <c r="E1486" s="66">
        <v>0</v>
      </c>
      <c r="F1486" s="67" t="s">
        <v>319</v>
      </c>
      <c r="G1486" s="66"/>
      <c r="H1486" s="68"/>
      <c r="I1486" s="69"/>
    </row>
    <row r="1487" spans="2:9" x14ac:dyDescent="0.2">
      <c r="B1487" s="54" t="str">
        <f t="shared" si="27"/>
        <v>2018-078-1</v>
      </c>
      <c r="C1487" s="55">
        <v>2018</v>
      </c>
      <c r="D1487" s="55" t="s">
        <v>80</v>
      </c>
      <c r="E1487" s="55">
        <v>1</v>
      </c>
      <c r="F1487" s="57" t="s">
        <v>658</v>
      </c>
      <c r="G1487" s="55"/>
      <c r="H1487" s="58"/>
      <c r="I1487" s="59"/>
    </row>
    <row r="1488" spans="2:9" ht="27" x14ac:dyDescent="0.2">
      <c r="B1488" s="54" t="str">
        <f t="shared" si="27"/>
        <v>2018-078-2</v>
      </c>
      <c r="C1488" s="55">
        <v>2018</v>
      </c>
      <c r="D1488" s="55" t="s">
        <v>80</v>
      </c>
      <c r="E1488" s="55">
        <v>2</v>
      </c>
      <c r="F1488" s="57" t="s">
        <v>982</v>
      </c>
      <c r="G1488" s="55"/>
      <c r="H1488" s="58"/>
      <c r="I1488" s="59"/>
    </row>
    <row r="1489" spans="2:9" ht="27" x14ac:dyDescent="0.2">
      <c r="B1489" s="54" t="str">
        <f t="shared" si="27"/>
        <v>2018-078-3</v>
      </c>
      <c r="C1489" s="55">
        <v>2018</v>
      </c>
      <c r="D1489" s="55" t="s">
        <v>80</v>
      </c>
      <c r="E1489" s="55">
        <v>3</v>
      </c>
      <c r="F1489" s="57" t="s">
        <v>1299</v>
      </c>
      <c r="G1489" s="55"/>
      <c r="H1489" s="58"/>
      <c r="I1489" s="59"/>
    </row>
    <row r="1490" spans="2:9" ht="27" x14ac:dyDescent="0.2">
      <c r="B1490" s="54" t="str">
        <f t="shared" si="27"/>
        <v>2018-078-4</v>
      </c>
      <c r="C1490" s="55">
        <v>2018</v>
      </c>
      <c r="D1490" s="55" t="s">
        <v>80</v>
      </c>
      <c r="E1490" s="55">
        <v>4</v>
      </c>
      <c r="F1490" s="57" t="s">
        <v>1605</v>
      </c>
      <c r="G1490" s="55"/>
      <c r="H1490" s="58"/>
      <c r="I1490" s="59"/>
    </row>
    <row r="1491" spans="2:9" ht="27" x14ac:dyDescent="0.2">
      <c r="B1491" s="60" t="str">
        <f t="shared" si="27"/>
        <v>2018-078-5</v>
      </c>
      <c r="C1491" s="61">
        <v>2018</v>
      </c>
      <c r="D1491" s="61" t="s">
        <v>80</v>
      </c>
      <c r="E1491" s="61">
        <v>5</v>
      </c>
      <c r="F1491" s="62" t="s">
        <v>1900</v>
      </c>
      <c r="G1491" s="61" t="s">
        <v>2735</v>
      </c>
      <c r="H1491" s="63"/>
      <c r="I1491" s="64"/>
    </row>
    <row r="1492" spans="2:9" x14ac:dyDescent="0.2">
      <c r="B1492" s="65" t="str">
        <f t="shared" si="27"/>
        <v>2018-079-0</v>
      </c>
      <c r="C1492" s="66">
        <v>2018</v>
      </c>
      <c r="D1492" s="66" t="s">
        <v>81</v>
      </c>
      <c r="E1492" s="66">
        <v>0</v>
      </c>
      <c r="F1492" s="67" t="s">
        <v>320</v>
      </c>
      <c r="G1492" s="66"/>
      <c r="H1492" s="68"/>
      <c r="I1492" s="69"/>
    </row>
    <row r="1493" spans="2:9" x14ac:dyDescent="0.2">
      <c r="B1493" s="54" t="str">
        <f t="shared" si="27"/>
        <v>2018-079-1</v>
      </c>
      <c r="C1493" s="55">
        <v>2018</v>
      </c>
      <c r="D1493" s="55" t="s">
        <v>81</v>
      </c>
      <c r="E1493" s="55">
        <v>1</v>
      </c>
      <c r="F1493" s="57" t="s">
        <v>659</v>
      </c>
      <c r="G1493" s="55"/>
      <c r="H1493" s="58"/>
      <c r="I1493" s="59"/>
    </row>
    <row r="1494" spans="2:9" x14ac:dyDescent="0.2">
      <c r="B1494" s="54" t="str">
        <f t="shared" si="27"/>
        <v>2018-079-2</v>
      </c>
      <c r="C1494" s="55">
        <v>2018</v>
      </c>
      <c r="D1494" s="55" t="s">
        <v>81</v>
      </c>
      <c r="E1494" s="55">
        <v>2</v>
      </c>
      <c r="F1494" s="57" t="s">
        <v>527</v>
      </c>
      <c r="G1494" s="55"/>
      <c r="H1494" s="58"/>
      <c r="I1494" s="59"/>
    </row>
    <row r="1495" spans="2:9" x14ac:dyDescent="0.2">
      <c r="B1495" s="54" t="str">
        <f t="shared" si="27"/>
        <v>2018-079-3</v>
      </c>
      <c r="C1495" s="55">
        <v>2018</v>
      </c>
      <c r="D1495" s="55" t="s">
        <v>81</v>
      </c>
      <c r="E1495" s="55">
        <v>3</v>
      </c>
      <c r="F1495" s="57" t="s">
        <v>1067</v>
      </c>
      <c r="G1495" s="55" t="s">
        <v>2735</v>
      </c>
      <c r="H1495" s="58"/>
      <c r="I1495" s="59"/>
    </row>
    <row r="1496" spans="2:9" x14ac:dyDescent="0.2">
      <c r="B1496" s="54" t="str">
        <f t="shared" si="27"/>
        <v>2018-079-4</v>
      </c>
      <c r="C1496" s="55">
        <v>2018</v>
      </c>
      <c r="D1496" s="55" t="s">
        <v>81</v>
      </c>
      <c r="E1496" s="55">
        <v>4</v>
      </c>
      <c r="F1496" s="57" t="s">
        <v>854</v>
      </c>
      <c r="G1496" s="55"/>
      <c r="H1496" s="58"/>
      <c r="I1496" s="59"/>
    </row>
    <row r="1497" spans="2:9" x14ac:dyDescent="0.2">
      <c r="B1497" s="60" t="str">
        <f t="shared" si="27"/>
        <v>2018-079-5</v>
      </c>
      <c r="C1497" s="61">
        <v>2018</v>
      </c>
      <c r="D1497" s="61" t="s">
        <v>81</v>
      </c>
      <c r="E1497" s="61">
        <v>5</v>
      </c>
      <c r="F1497" s="62" t="s">
        <v>1176</v>
      </c>
      <c r="G1497" s="61"/>
      <c r="H1497" s="63"/>
      <c r="I1497" s="64"/>
    </row>
    <row r="1498" spans="2:9" x14ac:dyDescent="0.2">
      <c r="B1498" s="65" t="str">
        <f t="shared" si="27"/>
        <v>2018-080-0</v>
      </c>
      <c r="C1498" s="66">
        <v>2018</v>
      </c>
      <c r="D1498" s="66" t="s">
        <v>82</v>
      </c>
      <c r="E1498" s="66">
        <v>0</v>
      </c>
      <c r="F1498" s="67" t="s">
        <v>321</v>
      </c>
      <c r="G1498" s="66"/>
      <c r="H1498" s="68"/>
      <c r="I1498" s="69"/>
    </row>
    <row r="1499" spans="2:9" x14ac:dyDescent="0.2">
      <c r="B1499" s="54" t="str">
        <f t="shared" si="27"/>
        <v>2018-080-1</v>
      </c>
      <c r="C1499" s="55">
        <v>2018</v>
      </c>
      <c r="D1499" s="55" t="s">
        <v>82</v>
      </c>
      <c r="E1499" s="55">
        <v>1</v>
      </c>
      <c r="F1499" s="57" t="s">
        <v>660</v>
      </c>
      <c r="G1499" s="55"/>
      <c r="H1499" s="58"/>
      <c r="I1499" s="59"/>
    </row>
    <row r="1500" spans="2:9" x14ac:dyDescent="0.2">
      <c r="B1500" s="54" t="str">
        <f t="shared" si="27"/>
        <v>2018-080-2</v>
      </c>
      <c r="C1500" s="55">
        <v>2018</v>
      </c>
      <c r="D1500" s="55" t="s">
        <v>82</v>
      </c>
      <c r="E1500" s="55">
        <v>2</v>
      </c>
      <c r="F1500" s="57" t="s">
        <v>983</v>
      </c>
      <c r="G1500" s="55"/>
      <c r="H1500" s="58"/>
      <c r="I1500" s="59"/>
    </row>
    <row r="1501" spans="2:9" x14ac:dyDescent="0.2">
      <c r="B1501" s="54" t="str">
        <f t="shared" si="27"/>
        <v>2018-080-3</v>
      </c>
      <c r="C1501" s="55">
        <v>2018</v>
      </c>
      <c r="D1501" s="55" t="s">
        <v>82</v>
      </c>
      <c r="E1501" s="55">
        <v>3</v>
      </c>
      <c r="F1501" s="57" t="s">
        <v>1300</v>
      </c>
      <c r="G1501" s="55" t="s">
        <v>2735</v>
      </c>
      <c r="H1501" s="58"/>
      <c r="I1501" s="59"/>
    </row>
    <row r="1502" spans="2:9" x14ac:dyDescent="0.2">
      <c r="B1502" s="54" t="str">
        <f t="shared" si="27"/>
        <v>2018-080-4</v>
      </c>
      <c r="C1502" s="55">
        <v>2018</v>
      </c>
      <c r="D1502" s="55" t="s">
        <v>82</v>
      </c>
      <c r="E1502" s="55">
        <v>4</v>
      </c>
      <c r="F1502" s="57" t="s">
        <v>1606</v>
      </c>
      <c r="G1502" s="55"/>
      <c r="H1502" s="58"/>
      <c r="I1502" s="59"/>
    </row>
    <row r="1503" spans="2:9" x14ac:dyDescent="0.2">
      <c r="B1503" s="60" t="str">
        <f t="shared" si="27"/>
        <v>2018-080-5</v>
      </c>
      <c r="C1503" s="61">
        <v>2018</v>
      </c>
      <c r="D1503" s="61" t="s">
        <v>82</v>
      </c>
      <c r="E1503" s="61">
        <v>5</v>
      </c>
      <c r="F1503" s="62" t="s">
        <v>1901</v>
      </c>
      <c r="G1503" s="61"/>
      <c r="H1503" s="63"/>
      <c r="I1503" s="64"/>
    </row>
    <row r="1504" spans="2:9" ht="40.5" x14ac:dyDescent="0.2">
      <c r="B1504" s="65" t="str">
        <f t="shared" si="27"/>
        <v>2018-081-0</v>
      </c>
      <c r="C1504" s="66">
        <v>2018</v>
      </c>
      <c r="D1504" s="66" t="s">
        <v>88</v>
      </c>
      <c r="E1504" s="66">
        <v>0</v>
      </c>
      <c r="F1504" s="67" t="s">
        <v>322</v>
      </c>
      <c r="G1504" s="66"/>
      <c r="H1504" s="68"/>
      <c r="I1504" s="69"/>
    </row>
    <row r="1505" spans="2:9" x14ac:dyDescent="0.2">
      <c r="B1505" s="54" t="str">
        <f t="shared" si="27"/>
        <v>2018-081-1</v>
      </c>
      <c r="C1505" s="55">
        <v>2018</v>
      </c>
      <c r="D1505" s="55" t="s">
        <v>88</v>
      </c>
      <c r="E1505" s="55">
        <v>1</v>
      </c>
      <c r="F1505" s="57" t="s">
        <v>661</v>
      </c>
      <c r="G1505" s="55"/>
      <c r="H1505" s="58"/>
      <c r="I1505" s="59"/>
    </row>
    <row r="1506" spans="2:9" x14ac:dyDescent="0.2">
      <c r="B1506" s="54" t="str">
        <f t="shared" si="27"/>
        <v>2018-081-2</v>
      </c>
      <c r="C1506" s="55">
        <v>2018</v>
      </c>
      <c r="D1506" s="55" t="s">
        <v>88</v>
      </c>
      <c r="E1506" s="55">
        <v>2</v>
      </c>
      <c r="F1506" s="57" t="s">
        <v>984</v>
      </c>
      <c r="G1506" s="55"/>
      <c r="H1506" s="58"/>
      <c r="I1506" s="59"/>
    </row>
    <row r="1507" spans="2:9" x14ac:dyDescent="0.2">
      <c r="B1507" s="54" t="str">
        <f t="shared" ref="B1507:B1570" si="28">C1507&amp;"-"&amp;D1507&amp;"-"&amp;E1507</f>
        <v>2018-081-3</v>
      </c>
      <c r="C1507" s="55">
        <v>2018</v>
      </c>
      <c r="D1507" s="55" t="s">
        <v>88</v>
      </c>
      <c r="E1507" s="55">
        <v>3</v>
      </c>
      <c r="F1507" s="57" t="s">
        <v>1301</v>
      </c>
      <c r="G1507" s="55"/>
      <c r="H1507" s="58"/>
      <c r="I1507" s="59"/>
    </row>
    <row r="1508" spans="2:9" x14ac:dyDescent="0.2">
      <c r="B1508" s="54" t="str">
        <f t="shared" si="28"/>
        <v>2018-081-4</v>
      </c>
      <c r="C1508" s="55">
        <v>2018</v>
      </c>
      <c r="D1508" s="55" t="s">
        <v>88</v>
      </c>
      <c r="E1508" s="55">
        <v>4</v>
      </c>
      <c r="F1508" s="57" t="s">
        <v>1607</v>
      </c>
      <c r="G1508" s="55" t="s">
        <v>2735</v>
      </c>
      <c r="H1508" s="58"/>
      <c r="I1508" s="59"/>
    </row>
    <row r="1509" spans="2:9" x14ac:dyDescent="0.2">
      <c r="B1509" s="60" t="str">
        <f t="shared" si="28"/>
        <v>2018-081-5</v>
      </c>
      <c r="C1509" s="61">
        <v>2018</v>
      </c>
      <c r="D1509" s="61" t="s">
        <v>88</v>
      </c>
      <c r="E1509" s="61">
        <v>5</v>
      </c>
      <c r="F1509" s="62" t="s">
        <v>1902</v>
      </c>
      <c r="G1509" s="61"/>
      <c r="H1509" s="63"/>
      <c r="I1509" s="64"/>
    </row>
    <row r="1510" spans="2:9" x14ac:dyDescent="0.2">
      <c r="B1510" s="65" t="str">
        <f t="shared" si="28"/>
        <v>2018-082-0</v>
      </c>
      <c r="C1510" s="66">
        <v>2018</v>
      </c>
      <c r="D1510" s="66" t="s">
        <v>89</v>
      </c>
      <c r="E1510" s="66">
        <v>0</v>
      </c>
      <c r="F1510" s="67" t="s">
        <v>323</v>
      </c>
      <c r="G1510" s="66"/>
      <c r="H1510" s="68"/>
      <c r="I1510" s="69"/>
    </row>
    <row r="1511" spans="2:9" x14ac:dyDescent="0.2">
      <c r="B1511" s="54" t="str">
        <f t="shared" si="28"/>
        <v>2018-082-1</v>
      </c>
      <c r="C1511" s="55">
        <v>2018</v>
      </c>
      <c r="D1511" s="55" t="s">
        <v>89</v>
      </c>
      <c r="E1511" s="55">
        <v>1</v>
      </c>
      <c r="F1511" s="57" t="s">
        <v>662</v>
      </c>
      <c r="G1511" s="55"/>
      <c r="H1511" s="58"/>
      <c r="I1511" s="59"/>
    </row>
    <row r="1512" spans="2:9" x14ac:dyDescent="0.2">
      <c r="B1512" s="54" t="str">
        <f t="shared" si="28"/>
        <v>2018-082-2</v>
      </c>
      <c r="C1512" s="55">
        <v>2018</v>
      </c>
      <c r="D1512" s="55" t="s">
        <v>89</v>
      </c>
      <c r="E1512" s="55">
        <v>2</v>
      </c>
      <c r="F1512" s="57" t="s">
        <v>985</v>
      </c>
      <c r="G1512" s="55"/>
      <c r="H1512" s="58"/>
      <c r="I1512" s="59"/>
    </row>
    <row r="1513" spans="2:9" x14ac:dyDescent="0.2">
      <c r="B1513" s="54" t="str">
        <f t="shared" si="28"/>
        <v>2018-082-3</v>
      </c>
      <c r="C1513" s="55">
        <v>2018</v>
      </c>
      <c r="D1513" s="55" t="s">
        <v>89</v>
      </c>
      <c r="E1513" s="55">
        <v>3</v>
      </c>
      <c r="F1513" s="57" t="s">
        <v>1302</v>
      </c>
      <c r="G1513" s="55" t="s">
        <v>2735</v>
      </c>
      <c r="H1513" s="58"/>
      <c r="I1513" s="59"/>
    </row>
    <row r="1514" spans="2:9" x14ac:dyDescent="0.2">
      <c r="B1514" s="54" t="str">
        <f t="shared" si="28"/>
        <v>2018-082-4</v>
      </c>
      <c r="C1514" s="55">
        <v>2018</v>
      </c>
      <c r="D1514" s="55" t="s">
        <v>89</v>
      </c>
      <c r="E1514" s="55">
        <v>4</v>
      </c>
      <c r="F1514" s="57" t="s">
        <v>1608</v>
      </c>
      <c r="G1514" s="55"/>
      <c r="H1514" s="58"/>
      <c r="I1514" s="59"/>
    </row>
    <row r="1515" spans="2:9" x14ac:dyDescent="0.2">
      <c r="B1515" s="60" t="str">
        <f t="shared" si="28"/>
        <v>2018-082-5</v>
      </c>
      <c r="C1515" s="61">
        <v>2018</v>
      </c>
      <c r="D1515" s="61" t="s">
        <v>89</v>
      </c>
      <c r="E1515" s="61">
        <v>5</v>
      </c>
      <c r="F1515" s="62" t="s">
        <v>1279</v>
      </c>
      <c r="G1515" s="61"/>
      <c r="H1515" s="63"/>
      <c r="I1515" s="64"/>
    </row>
    <row r="1516" spans="2:9" x14ac:dyDescent="0.2">
      <c r="B1516" s="65" t="str">
        <f t="shared" si="28"/>
        <v>2018-083-0</v>
      </c>
      <c r="C1516" s="66">
        <v>2018</v>
      </c>
      <c r="D1516" s="66" t="s">
        <v>90</v>
      </c>
      <c r="E1516" s="66">
        <v>0</v>
      </c>
      <c r="F1516" s="67" t="s">
        <v>324</v>
      </c>
      <c r="G1516" s="66"/>
      <c r="H1516" s="68"/>
      <c r="I1516" s="69"/>
    </row>
    <row r="1517" spans="2:9" x14ac:dyDescent="0.2">
      <c r="B1517" s="54" t="str">
        <f t="shared" si="28"/>
        <v>2018-083-1</v>
      </c>
      <c r="C1517" s="55">
        <v>2018</v>
      </c>
      <c r="D1517" s="55" t="s">
        <v>90</v>
      </c>
      <c r="E1517" s="55">
        <v>1</v>
      </c>
      <c r="F1517" s="57" t="s">
        <v>663</v>
      </c>
      <c r="G1517" s="55"/>
      <c r="H1517" s="58"/>
      <c r="I1517" s="59"/>
    </row>
    <row r="1518" spans="2:9" x14ac:dyDescent="0.2">
      <c r="B1518" s="54" t="str">
        <f t="shared" si="28"/>
        <v>2018-083-2</v>
      </c>
      <c r="C1518" s="55">
        <v>2018</v>
      </c>
      <c r="D1518" s="55" t="s">
        <v>90</v>
      </c>
      <c r="E1518" s="55">
        <v>2</v>
      </c>
      <c r="F1518" s="57" t="s">
        <v>986</v>
      </c>
      <c r="G1518" s="55" t="s">
        <v>2735</v>
      </c>
      <c r="H1518" s="58"/>
      <c r="I1518" s="59"/>
    </row>
    <row r="1519" spans="2:9" x14ac:dyDescent="0.2">
      <c r="B1519" s="54" t="str">
        <f t="shared" si="28"/>
        <v>2018-083-3</v>
      </c>
      <c r="C1519" s="55">
        <v>2018</v>
      </c>
      <c r="D1519" s="55" t="s">
        <v>90</v>
      </c>
      <c r="E1519" s="55">
        <v>3</v>
      </c>
      <c r="F1519" s="57" t="s">
        <v>1303</v>
      </c>
      <c r="G1519" s="55"/>
      <c r="H1519" s="58"/>
      <c r="I1519" s="59"/>
    </row>
    <row r="1520" spans="2:9" ht="27" x14ac:dyDescent="0.2">
      <c r="B1520" s="54" t="str">
        <f t="shared" si="28"/>
        <v>2018-083-4</v>
      </c>
      <c r="C1520" s="55">
        <v>2018</v>
      </c>
      <c r="D1520" s="55" t="s">
        <v>90</v>
      </c>
      <c r="E1520" s="55">
        <v>4</v>
      </c>
      <c r="F1520" s="57" t="s">
        <v>1609</v>
      </c>
      <c r="G1520" s="55"/>
      <c r="H1520" s="58"/>
      <c r="I1520" s="59"/>
    </row>
    <row r="1521" spans="2:9" x14ac:dyDescent="0.2">
      <c r="B1521" s="60" t="str">
        <f t="shared" si="28"/>
        <v>2018-083-5</v>
      </c>
      <c r="C1521" s="61">
        <v>2018</v>
      </c>
      <c r="D1521" s="61" t="s">
        <v>90</v>
      </c>
      <c r="E1521" s="61">
        <v>5</v>
      </c>
      <c r="F1521" s="62" t="s">
        <v>1903</v>
      </c>
      <c r="G1521" s="61"/>
      <c r="H1521" s="63"/>
      <c r="I1521" s="64"/>
    </row>
    <row r="1522" spans="2:9" x14ac:dyDescent="0.2">
      <c r="B1522" s="65" t="str">
        <f t="shared" si="28"/>
        <v>2018-084-0</v>
      </c>
      <c r="C1522" s="66">
        <v>2018</v>
      </c>
      <c r="D1522" s="66" t="s">
        <v>91</v>
      </c>
      <c r="E1522" s="66">
        <v>0</v>
      </c>
      <c r="F1522" s="67" t="s">
        <v>325</v>
      </c>
      <c r="G1522" s="66"/>
      <c r="H1522" s="68"/>
      <c r="I1522" s="69"/>
    </row>
    <row r="1523" spans="2:9" ht="27" x14ac:dyDescent="0.2">
      <c r="B1523" s="54" t="str">
        <f t="shared" si="28"/>
        <v>2018-084-1</v>
      </c>
      <c r="C1523" s="55">
        <v>2018</v>
      </c>
      <c r="D1523" s="55" t="s">
        <v>91</v>
      </c>
      <c r="E1523" s="55">
        <v>1</v>
      </c>
      <c r="F1523" s="57" t="s">
        <v>664</v>
      </c>
      <c r="G1523" s="55"/>
      <c r="H1523" s="58"/>
      <c r="I1523" s="59"/>
    </row>
    <row r="1524" spans="2:9" ht="27" x14ac:dyDescent="0.2">
      <c r="B1524" s="54" t="str">
        <f t="shared" si="28"/>
        <v>2018-084-2</v>
      </c>
      <c r="C1524" s="55">
        <v>2018</v>
      </c>
      <c r="D1524" s="55" t="s">
        <v>91</v>
      </c>
      <c r="E1524" s="55">
        <v>2</v>
      </c>
      <c r="F1524" s="57" t="s">
        <v>987</v>
      </c>
      <c r="G1524" s="55" t="s">
        <v>2735</v>
      </c>
      <c r="H1524" s="58"/>
      <c r="I1524" s="59"/>
    </row>
    <row r="1525" spans="2:9" ht="27" x14ac:dyDescent="0.2">
      <c r="B1525" s="54" t="str">
        <f t="shared" si="28"/>
        <v>2018-084-3</v>
      </c>
      <c r="C1525" s="55">
        <v>2018</v>
      </c>
      <c r="D1525" s="55" t="s">
        <v>91</v>
      </c>
      <c r="E1525" s="55">
        <v>3</v>
      </c>
      <c r="F1525" s="57" t="s">
        <v>1304</v>
      </c>
      <c r="G1525" s="55"/>
      <c r="H1525" s="58"/>
      <c r="I1525" s="59"/>
    </row>
    <row r="1526" spans="2:9" ht="27" x14ac:dyDescent="0.2">
      <c r="B1526" s="54" t="str">
        <f t="shared" si="28"/>
        <v>2018-084-4</v>
      </c>
      <c r="C1526" s="55">
        <v>2018</v>
      </c>
      <c r="D1526" s="55" t="s">
        <v>91</v>
      </c>
      <c r="E1526" s="55">
        <v>4</v>
      </c>
      <c r="F1526" s="57" t="s">
        <v>1610</v>
      </c>
      <c r="G1526" s="55"/>
      <c r="H1526" s="58"/>
      <c r="I1526" s="59"/>
    </row>
    <row r="1527" spans="2:9" x14ac:dyDescent="0.2">
      <c r="B1527" s="60" t="str">
        <f t="shared" si="28"/>
        <v>2018-084-5</v>
      </c>
      <c r="C1527" s="61">
        <v>2018</v>
      </c>
      <c r="D1527" s="61" t="s">
        <v>91</v>
      </c>
      <c r="E1527" s="61">
        <v>5</v>
      </c>
      <c r="F1527" s="62" t="s">
        <v>1904</v>
      </c>
      <c r="G1527" s="61"/>
      <c r="H1527" s="63"/>
      <c r="I1527" s="64"/>
    </row>
    <row r="1528" spans="2:9" x14ac:dyDescent="0.2">
      <c r="B1528" s="65" t="str">
        <f t="shared" si="28"/>
        <v>2018-085-0</v>
      </c>
      <c r="C1528" s="66">
        <v>2018</v>
      </c>
      <c r="D1528" s="66" t="s">
        <v>92</v>
      </c>
      <c r="E1528" s="66">
        <v>0</v>
      </c>
      <c r="F1528" s="67" t="s">
        <v>251</v>
      </c>
      <c r="G1528" s="66"/>
      <c r="H1528" s="68"/>
      <c r="I1528" s="69"/>
    </row>
    <row r="1529" spans="2:9" x14ac:dyDescent="0.2">
      <c r="B1529" s="54" t="str">
        <f t="shared" si="28"/>
        <v>2018-085-1</v>
      </c>
      <c r="C1529" s="55">
        <v>2018</v>
      </c>
      <c r="D1529" s="55" t="s">
        <v>92</v>
      </c>
      <c r="E1529" s="55">
        <v>1</v>
      </c>
      <c r="F1529" s="57" t="s">
        <v>665</v>
      </c>
      <c r="G1529" s="55"/>
      <c r="H1529" s="58"/>
      <c r="I1529" s="59"/>
    </row>
    <row r="1530" spans="2:9" x14ac:dyDescent="0.2">
      <c r="B1530" s="54" t="str">
        <f t="shared" si="28"/>
        <v>2018-085-2</v>
      </c>
      <c r="C1530" s="55">
        <v>2018</v>
      </c>
      <c r="D1530" s="55" t="s">
        <v>92</v>
      </c>
      <c r="E1530" s="55">
        <v>2</v>
      </c>
      <c r="F1530" s="57" t="s">
        <v>988</v>
      </c>
      <c r="G1530" s="55"/>
      <c r="H1530" s="58"/>
      <c r="I1530" s="59"/>
    </row>
    <row r="1531" spans="2:9" ht="27" x14ac:dyDescent="0.2">
      <c r="B1531" s="54" t="str">
        <f t="shared" si="28"/>
        <v>2018-085-3</v>
      </c>
      <c r="C1531" s="55">
        <v>2018</v>
      </c>
      <c r="D1531" s="55" t="s">
        <v>92</v>
      </c>
      <c r="E1531" s="55">
        <v>3</v>
      </c>
      <c r="F1531" s="57" t="s">
        <v>1093</v>
      </c>
      <c r="G1531" s="55" t="s">
        <v>2735</v>
      </c>
      <c r="H1531" s="58"/>
      <c r="I1531" s="59"/>
    </row>
    <row r="1532" spans="2:9" x14ac:dyDescent="0.2">
      <c r="B1532" s="54" t="str">
        <f t="shared" si="28"/>
        <v>2018-085-4</v>
      </c>
      <c r="C1532" s="55">
        <v>2018</v>
      </c>
      <c r="D1532" s="55" t="s">
        <v>92</v>
      </c>
      <c r="E1532" s="55">
        <v>4</v>
      </c>
      <c r="F1532" s="57" t="s">
        <v>1611</v>
      </c>
      <c r="G1532" s="55"/>
      <c r="H1532" s="58"/>
      <c r="I1532" s="59"/>
    </row>
    <row r="1533" spans="2:9" x14ac:dyDescent="0.2">
      <c r="B1533" s="60" t="str">
        <f t="shared" si="28"/>
        <v>2018-085-5</v>
      </c>
      <c r="C1533" s="61">
        <v>2018</v>
      </c>
      <c r="D1533" s="61" t="s">
        <v>92</v>
      </c>
      <c r="E1533" s="61">
        <v>5</v>
      </c>
      <c r="F1533" s="62" t="s">
        <v>1905</v>
      </c>
      <c r="G1533" s="61"/>
      <c r="H1533" s="63"/>
      <c r="I1533" s="64"/>
    </row>
    <row r="1534" spans="2:9" ht="54" x14ac:dyDescent="0.2">
      <c r="B1534" s="65" t="str">
        <f t="shared" si="28"/>
        <v>2018-086-0</v>
      </c>
      <c r="C1534" s="66">
        <v>2018</v>
      </c>
      <c r="D1534" s="66" t="s">
        <v>93</v>
      </c>
      <c r="E1534" s="66">
        <v>0</v>
      </c>
      <c r="F1534" s="67" t="s">
        <v>326</v>
      </c>
      <c r="G1534" s="66"/>
      <c r="H1534" s="68"/>
      <c r="I1534" s="69"/>
    </row>
    <row r="1535" spans="2:9" x14ac:dyDescent="0.2">
      <c r="B1535" s="54" t="str">
        <f t="shared" si="28"/>
        <v>2018-086-1</v>
      </c>
      <c r="C1535" s="55">
        <v>2018</v>
      </c>
      <c r="D1535" s="55" t="s">
        <v>93</v>
      </c>
      <c r="E1535" s="55">
        <v>1</v>
      </c>
      <c r="F1535" s="57" t="s">
        <v>5</v>
      </c>
      <c r="G1535" s="55"/>
      <c r="H1535" s="58"/>
      <c r="I1535" s="59"/>
    </row>
    <row r="1536" spans="2:9" x14ac:dyDescent="0.2">
      <c r="B1536" s="54" t="str">
        <f t="shared" si="28"/>
        <v>2018-086-2</v>
      </c>
      <c r="C1536" s="55">
        <v>2018</v>
      </c>
      <c r="D1536" s="55" t="s">
        <v>93</v>
      </c>
      <c r="E1536" s="55">
        <v>2</v>
      </c>
      <c r="F1536" s="57" t="s">
        <v>10</v>
      </c>
      <c r="G1536" s="55"/>
      <c r="H1536" s="58"/>
      <c r="I1536" s="59"/>
    </row>
    <row r="1537" spans="2:9" x14ac:dyDescent="0.2">
      <c r="B1537" s="54" t="str">
        <f t="shared" si="28"/>
        <v>2018-086-3</v>
      </c>
      <c r="C1537" s="55">
        <v>2018</v>
      </c>
      <c r="D1537" s="55" t="s">
        <v>93</v>
      </c>
      <c r="E1537" s="55">
        <v>3</v>
      </c>
      <c r="F1537" s="57" t="s">
        <v>4</v>
      </c>
      <c r="G1537" s="55" t="s">
        <v>2735</v>
      </c>
      <c r="H1537" s="58"/>
      <c r="I1537" s="59"/>
    </row>
    <row r="1538" spans="2:9" x14ac:dyDescent="0.2">
      <c r="B1538" s="54" t="str">
        <f t="shared" si="28"/>
        <v>2018-086-4</v>
      </c>
      <c r="C1538" s="55">
        <v>2018</v>
      </c>
      <c r="D1538" s="55" t="s">
        <v>93</v>
      </c>
      <c r="E1538" s="55">
        <v>4</v>
      </c>
      <c r="F1538" s="57" t="s">
        <v>16</v>
      </c>
      <c r="G1538" s="55"/>
      <c r="H1538" s="58"/>
      <c r="I1538" s="59"/>
    </row>
    <row r="1539" spans="2:9" x14ac:dyDescent="0.2">
      <c r="B1539" s="60" t="str">
        <f t="shared" si="28"/>
        <v>2018-086-5</v>
      </c>
      <c r="C1539" s="61">
        <v>2018</v>
      </c>
      <c r="D1539" s="61" t="s">
        <v>93</v>
      </c>
      <c r="E1539" s="61">
        <v>5</v>
      </c>
      <c r="F1539" s="62" t="s">
        <v>6</v>
      </c>
      <c r="G1539" s="61"/>
      <c r="H1539" s="63"/>
      <c r="I1539" s="64"/>
    </row>
    <row r="1540" spans="2:9" ht="67.5" x14ac:dyDescent="0.2">
      <c r="B1540" s="65" t="str">
        <f t="shared" si="28"/>
        <v>2018-087-0</v>
      </c>
      <c r="C1540" s="66">
        <v>2018</v>
      </c>
      <c r="D1540" s="66" t="s">
        <v>94</v>
      </c>
      <c r="E1540" s="66">
        <v>0</v>
      </c>
      <c r="F1540" s="67" t="s">
        <v>327</v>
      </c>
      <c r="G1540" s="66"/>
      <c r="H1540" s="68"/>
      <c r="I1540" s="69"/>
    </row>
    <row r="1541" spans="2:9" x14ac:dyDescent="0.2">
      <c r="B1541" s="54" t="str">
        <f t="shared" si="28"/>
        <v>2018-087-1</v>
      </c>
      <c r="C1541" s="55">
        <v>2018</v>
      </c>
      <c r="D1541" s="55" t="s">
        <v>94</v>
      </c>
      <c r="E1541" s="55">
        <v>1</v>
      </c>
      <c r="F1541" s="57" t="s">
        <v>8</v>
      </c>
      <c r="G1541" s="55"/>
      <c r="H1541" s="58"/>
      <c r="I1541" s="59"/>
    </row>
    <row r="1542" spans="2:9" x14ac:dyDescent="0.2">
      <c r="B1542" s="54" t="str">
        <f t="shared" si="28"/>
        <v>2018-087-2</v>
      </c>
      <c r="C1542" s="55">
        <v>2018</v>
      </c>
      <c r="D1542" s="55" t="s">
        <v>94</v>
      </c>
      <c r="E1542" s="55">
        <v>2</v>
      </c>
      <c r="F1542" s="57" t="s">
        <v>12</v>
      </c>
      <c r="G1542" s="55"/>
      <c r="H1542" s="58"/>
      <c r="I1542" s="59"/>
    </row>
    <row r="1543" spans="2:9" x14ac:dyDescent="0.2">
      <c r="B1543" s="54" t="str">
        <f t="shared" si="28"/>
        <v>2018-087-3</v>
      </c>
      <c r="C1543" s="55">
        <v>2018</v>
      </c>
      <c r="D1543" s="55" t="s">
        <v>94</v>
      </c>
      <c r="E1543" s="55">
        <v>3</v>
      </c>
      <c r="F1543" s="57" t="s">
        <v>11</v>
      </c>
      <c r="G1543" s="55"/>
      <c r="H1543" s="58"/>
      <c r="I1543" s="59"/>
    </row>
    <row r="1544" spans="2:9" x14ac:dyDescent="0.2">
      <c r="B1544" s="54" t="str">
        <f t="shared" si="28"/>
        <v>2018-087-4</v>
      </c>
      <c r="C1544" s="55">
        <v>2018</v>
      </c>
      <c r="D1544" s="55" t="s">
        <v>94</v>
      </c>
      <c r="E1544" s="55">
        <v>4</v>
      </c>
      <c r="F1544" s="57" t="s">
        <v>19</v>
      </c>
      <c r="G1544" s="55"/>
      <c r="H1544" s="58"/>
      <c r="I1544" s="59"/>
    </row>
    <row r="1545" spans="2:9" x14ac:dyDescent="0.2">
      <c r="B1545" s="60" t="str">
        <f t="shared" si="28"/>
        <v>2018-087-5</v>
      </c>
      <c r="C1545" s="61">
        <v>2018</v>
      </c>
      <c r="D1545" s="61" t="s">
        <v>94</v>
      </c>
      <c r="E1545" s="61">
        <v>5</v>
      </c>
      <c r="F1545" s="62" t="s">
        <v>21</v>
      </c>
      <c r="G1545" s="61" t="s">
        <v>2735</v>
      </c>
      <c r="H1545" s="63"/>
      <c r="I1545" s="64"/>
    </row>
    <row r="1546" spans="2:9" x14ac:dyDescent="0.2">
      <c r="B1546" s="65" t="str">
        <f t="shared" si="28"/>
        <v>2018-088-0</v>
      </c>
      <c r="C1546" s="66">
        <v>2018</v>
      </c>
      <c r="D1546" s="66" t="s">
        <v>95</v>
      </c>
      <c r="E1546" s="66">
        <v>0</v>
      </c>
      <c r="F1546" s="67" t="s">
        <v>328</v>
      </c>
      <c r="G1546" s="66"/>
      <c r="H1546" s="68"/>
      <c r="I1546" s="69"/>
    </row>
    <row r="1547" spans="2:9" x14ac:dyDescent="0.2">
      <c r="B1547" s="54" t="str">
        <f t="shared" si="28"/>
        <v>2018-088-1</v>
      </c>
      <c r="C1547" s="55">
        <v>2018</v>
      </c>
      <c r="D1547" s="55" t="s">
        <v>95</v>
      </c>
      <c r="E1547" s="55">
        <v>1</v>
      </c>
      <c r="F1547" s="57" t="s">
        <v>666</v>
      </c>
      <c r="G1547" s="55"/>
      <c r="H1547" s="58"/>
      <c r="I1547" s="59"/>
    </row>
    <row r="1548" spans="2:9" x14ac:dyDescent="0.2">
      <c r="B1548" s="54" t="str">
        <f t="shared" si="28"/>
        <v>2018-088-2</v>
      </c>
      <c r="C1548" s="55">
        <v>2018</v>
      </c>
      <c r="D1548" s="55" t="s">
        <v>95</v>
      </c>
      <c r="E1548" s="55">
        <v>2</v>
      </c>
      <c r="F1548" s="57" t="s">
        <v>989</v>
      </c>
      <c r="G1548" s="55" t="s">
        <v>2735</v>
      </c>
      <c r="H1548" s="58"/>
      <c r="I1548" s="59"/>
    </row>
    <row r="1549" spans="2:9" ht="27" x14ac:dyDescent="0.2">
      <c r="B1549" s="54" t="str">
        <f t="shared" si="28"/>
        <v>2018-088-3</v>
      </c>
      <c r="C1549" s="55">
        <v>2018</v>
      </c>
      <c r="D1549" s="55" t="s">
        <v>95</v>
      </c>
      <c r="E1549" s="55">
        <v>3</v>
      </c>
      <c r="F1549" s="57" t="s">
        <v>1305</v>
      </c>
      <c r="G1549" s="55"/>
      <c r="H1549" s="58"/>
      <c r="I1549" s="59"/>
    </row>
    <row r="1550" spans="2:9" ht="27" x14ac:dyDescent="0.2">
      <c r="B1550" s="54" t="str">
        <f t="shared" si="28"/>
        <v>2018-088-4</v>
      </c>
      <c r="C1550" s="55">
        <v>2018</v>
      </c>
      <c r="D1550" s="55" t="s">
        <v>95</v>
      </c>
      <c r="E1550" s="55">
        <v>4</v>
      </c>
      <c r="F1550" s="57" t="s">
        <v>1612</v>
      </c>
      <c r="G1550" s="55"/>
      <c r="H1550" s="58"/>
      <c r="I1550" s="59"/>
    </row>
    <row r="1551" spans="2:9" ht="27" x14ac:dyDescent="0.2">
      <c r="B1551" s="60" t="str">
        <f t="shared" si="28"/>
        <v>2018-088-5</v>
      </c>
      <c r="C1551" s="61">
        <v>2018</v>
      </c>
      <c r="D1551" s="61" t="s">
        <v>95</v>
      </c>
      <c r="E1551" s="61">
        <v>5</v>
      </c>
      <c r="F1551" s="62" t="s">
        <v>1906</v>
      </c>
      <c r="G1551" s="61"/>
      <c r="H1551" s="63"/>
      <c r="I1551" s="64"/>
    </row>
    <row r="1552" spans="2:9" x14ac:dyDescent="0.2">
      <c r="B1552" s="65" t="str">
        <f t="shared" si="28"/>
        <v>2018-089-0</v>
      </c>
      <c r="C1552" s="66">
        <v>2018</v>
      </c>
      <c r="D1552" s="66" t="s">
        <v>96</v>
      </c>
      <c r="E1552" s="66">
        <v>0</v>
      </c>
      <c r="F1552" s="67" t="s">
        <v>329</v>
      </c>
      <c r="G1552" s="66"/>
      <c r="H1552" s="68"/>
      <c r="I1552" s="69"/>
    </row>
    <row r="1553" spans="2:9" x14ac:dyDescent="0.2">
      <c r="B1553" s="54" t="str">
        <f t="shared" si="28"/>
        <v>2018-089-1</v>
      </c>
      <c r="C1553" s="55">
        <v>2018</v>
      </c>
      <c r="D1553" s="55" t="s">
        <v>96</v>
      </c>
      <c r="E1553" s="55">
        <v>1</v>
      </c>
      <c r="F1553" s="57" t="s">
        <v>667</v>
      </c>
      <c r="G1553" s="55"/>
      <c r="H1553" s="58"/>
      <c r="I1553" s="59"/>
    </row>
    <row r="1554" spans="2:9" x14ac:dyDescent="0.2">
      <c r="B1554" s="54" t="str">
        <f t="shared" si="28"/>
        <v>2018-089-2</v>
      </c>
      <c r="C1554" s="55">
        <v>2018</v>
      </c>
      <c r="D1554" s="55" t="s">
        <v>96</v>
      </c>
      <c r="E1554" s="55">
        <v>2</v>
      </c>
      <c r="F1554" s="57" t="s">
        <v>990</v>
      </c>
      <c r="G1554" s="55"/>
      <c r="H1554" s="58"/>
      <c r="I1554" s="59"/>
    </row>
    <row r="1555" spans="2:9" x14ac:dyDescent="0.2">
      <c r="B1555" s="54" t="str">
        <f t="shared" si="28"/>
        <v>2018-089-3</v>
      </c>
      <c r="C1555" s="55">
        <v>2018</v>
      </c>
      <c r="D1555" s="55" t="s">
        <v>96</v>
      </c>
      <c r="E1555" s="55">
        <v>3</v>
      </c>
      <c r="F1555" s="57" t="s">
        <v>1306</v>
      </c>
      <c r="G1555" s="55"/>
      <c r="H1555" s="58"/>
      <c r="I1555" s="59"/>
    </row>
    <row r="1556" spans="2:9" ht="27" x14ac:dyDescent="0.2">
      <c r="B1556" s="54" t="str">
        <f t="shared" si="28"/>
        <v>2018-089-4</v>
      </c>
      <c r="C1556" s="55">
        <v>2018</v>
      </c>
      <c r="D1556" s="55" t="s">
        <v>96</v>
      </c>
      <c r="E1556" s="55">
        <v>4</v>
      </c>
      <c r="F1556" s="57" t="s">
        <v>1613</v>
      </c>
      <c r="G1556" s="55"/>
      <c r="H1556" s="58"/>
      <c r="I1556" s="59"/>
    </row>
    <row r="1557" spans="2:9" x14ac:dyDescent="0.2">
      <c r="B1557" s="60" t="str">
        <f t="shared" si="28"/>
        <v>2018-089-5</v>
      </c>
      <c r="C1557" s="61">
        <v>2018</v>
      </c>
      <c r="D1557" s="61" t="s">
        <v>96</v>
      </c>
      <c r="E1557" s="61">
        <v>5</v>
      </c>
      <c r="F1557" s="62" t="s">
        <v>1907</v>
      </c>
      <c r="G1557" s="61" t="s">
        <v>2735</v>
      </c>
      <c r="H1557" s="63"/>
      <c r="I1557" s="64"/>
    </row>
    <row r="1558" spans="2:9" x14ac:dyDescent="0.2">
      <c r="B1558" s="65" t="str">
        <f t="shared" si="28"/>
        <v>2018-090-0</v>
      </c>
      <c r="C1558" s="66">
        <v>2018</v>
      </c>
      <c r="D1558" s="66" t="s">
        <v>97</v>
      </c>
      <c r="E1558" s="66">
        <v>0</v>
      </c>
      <c r="F1558" s="67" t="s">
        <v>330</v>
      </c>
      <c r="G1558" s="66"/>
      <c r="H1558" s="68"/>
      <c r="I1558" s="69"/>
    </row>
    <row r="1559" spans="2:9" x14ac:dyDescent="0.2">
      <c r="B1559" s="54" t="str">
        <f t="shared" si="28"/>
        <v>2018-090-1</v>
      </c>
      <c r="C1559" s="55">
        <v>2018</v>
      </c>
      <c r="D1559" s="55" t="s">
        <v>97</v>
      </c>
      <c r="E1559" s="55">
        <v>1</v>
      </c>
      <c r="F1559" s="57" t="s">
        <v>668</v>
      </c>
      <c r="G1559" s="55" t="s">
        <v>2735</v>
      </c>
      <c r="H1559" s="58"/>
      <c r="I1559" s="59"/>
    </row>
    <row r="1560" spans="2:9" x14ac:dyDescent="0.2">
      <c r="B1560" s="54" t="str">
        <f t="shared" si="28"/>
        <v>2018-090-2</v>
      </c>
      <c r="C1560" s="55">
        <v>2018</v>
      </c>
      <c r="D1560" s="55" t="s">
        <v>97</v>
      </c>
      <c r="E1560" s="55">
        <v>2</v>
      </c>
      <c r="F1560" s="57" t="s">
        <v>991</v>
      </c>
      <c r="G1560" s="55"/>
      <c r="H1560" s="58"/>
      <c r="I1560" s="59"/>
    </row>
    <row r="1561" spans="2:9" x14ac:dyDescent="0.2">
      <c r="B1561" s="54" t="str">
        <f t="shared" si="28"/>
        <v>2018-090-3</v>
      </c>
      <c r="C1561" s="55">
        <v>2018</v>
      </c>
      <c r="D1561" s="55" t="s">
        <v>97</v>
      </c>
      <c r="E1561" s="55">
        <v>3</v>
      </c>
      <c r="F1561" s="57" t="s">
        <v>1307</v>
      </c>
      <c r="G1561" s="55"/>
      <c r="H1561" s="58"/>
      <c r="I1561" s="59"/>
    </row>
    <row r="1562" spans="2:9" x14ac:dyDescent="0.2">
      <c r="B1562" s="54" t="str">
        <f t="shared" si="28"/>
        <v>2018-090-4</v>
      </c>
      <c r="C1562" s="55">
        <v>2018</v>
      </c>
      <c r="D1562" s="55" t="s">
        <v>97</v>
      </c>
      <c r="E1562" s="55">
        <v>4</v>
      </c>
      <c r="F1562" s="57" t="s">
        <v>1614</v>
      </c>
      <c r="G1562" s="55"/>
      <c r="H1562" s="58"/>
      <c r="I1562" s="59"/>
    </row>
    <row r="1563" spans="2:9" x14ac:dyDescent="0.2">
      <c r="B1563" s="60" t="str">
        <f t="shared" si="28"/>
        <v>2018-090-5</v>
      </c>
      <c r="C1563" s="61">
        <v>2018</v>
      </c>
      <c r="D1563" s="61" t="s">
        <v>97</v>
      </c>
      <c r="E1563" s="61">
        <v>5</v>
      </c>
      <c r="F1563" s="62" t="s">
        <v>1908</v>
      </c>
      <c r="G1563" s="61"/>
      <c r="H1563" s="63"/>
      <c r="I1563" s="64"/>
    </row>
    <row r="1564" spans="2:9" x14ac:dyDescent="0.2">
      <c r="B1564" s="65" t="str">
        <f t="shared" si="28"/>
        <v>2018-091-0</v>
      </c>
      <c r="C1564" s="66">
        <v>2018</v>
      </c>
      <c r="D1564" s="66" t="s">
        <v>98</v>
      </c>
      <c r="E1564" s="66">
        <v>0</v>
      </c>
      <c r="F1564" s="67" t="s">
        <v>331</v>
      </c>
      <c r="G1564" s="66"/>
      <c r="H1564" s="68"/>
      <c r="I1564" s="69"/>
    </row>
    <row r="1565" spans="2:9" x14ac:dyDescent="0.2">
      <c r="B1565" s="54" t="str">
        <f t="shared" si="28"/>
        <v>2018-091-1</v>
      </c>
      <c r="C1565" s="55">
        <v>2018</v>
      </c>
      <c r="D1565" s="55" t="s">
        <v>98</v>
      </c>
      <c r="E1565" s="55">
        <v>1</v>
      </c>
      <c r="F1565" s="57" t="s">
        <v>669</v>
      </c>
      <c r="G1565" s="55" t="s">
        <v>2735</v>
      </c>
      <c r="H1565" s="58"/>
      <c r="I1565" s="59"/>
    </row>
    <row r="1566" spans="2:9" x14ac:dyDescent="0.2">
      <c r="B1566" s="54" t="str">
        <f t="shared" si="28"/>
        <v>2018-091-2</v>
      </c>
      <c r="C1566" s="55">
        <v>2018</v>
      </c>
      <c r="D1566" s="55" t="s">
        <v>98</v>
      </c>
      <c r="E1566" s="55">
        <v>2</v>
      </c>
      <c r="F1566" s="57" t="s">
        <v>992</v>
      </c>
      <c r="G1566" s="55"/>
      <c r="H1566" s="58"/>
      <c r="I1566" s="59"/>
    </row>
    <row r="1567" spans="2:9" x14ac:dyDescent="0.2">
      <c r="B1567" s="54" t="str">
        <f t="shared" si="28"/>
        <v>2018-091-3</v>
      </c>
      <c r="C1567" s="55">
        <v>2018</v>
      </c>
      <c r="D1567" s="55" t="s">
        <v>98</v>
      </c>
      <c r="E1567" s="55">
        <v>3</v>
      </c>
      <c r="F1567" s="57" t="s">
        <v>1308</v>
      </c>
      <c r="G1567" s="55"/>
      <c r="H1567" s="58"/>
      <c r="I1567" s="59"/>
    </row>
    <row r="1568" spans="2:9" x14ac:dyDescent="0.2">
      <c r="B1568" s="54" t="str">
        <f t="shared" si="28"/>
        <v>2018-091-4</v>
      </c>
      <c r="C1568" s="55">
        <v>2018</v>
      </c>
      <c r="D1568" s="55" t="s">
        <v>98</v>
      </c>
      <c r="E1568" s="55">
        <v>4</v>
      </c>
      <c r="F1568" s="57" t="s">
        <v>1615</v>
      </c>
      <c r="G1568" s="55"/>
      <c r="H1568" s="58"/>
      <c r="I1568" s="59"/>
    </row>
    <row r="1569" spans="2:9" x14ac:dyDescent="0.2">
      <c r="B1569" s="60" t="str">
        <f t="shared" si="28"/>
        <v>2018-091-5</v>
      </c>
      <c r="C1569" s="61">
        <v>2018</v>
      </c>
      <c r="D1569" s="61" t="s">
        <v>98</v>
      </c>
      <c r="E1569" s="61">
        <v>5</v>
      </c>
      <c r="F1569" s="62" t="s">
        <v>1909</v>
      </c>
      <c r="G1569" s="61"/>
      <c r="H1569" s="63"/>
      <c r="I1569" s="64"/>
    </row>
    <row r="1570" spans="2:9" ht="67.5" x14ac:dyDescent="0.2">
      <c r="B1570" s="65" t="str">
        <f t="shared" si="28"/>
        <v>2018-092-0</v>
      </c>
      <c r="C1570" s="66">
        <v>2018</v>
      </c>
      <c r="D1570" s="66" t="s">
        <v>99</v>
      </c>
      <c r="E1570" s="66">
        <v>0</v>
      </c>
      <c r="F1570" s="67" t="s">
        <v>332</v>
      </c>
      <c r="G1570" s="66"/>
      <c r="H1570" s="68"/>
      <c r="I1570" s="69"/>
    </row>
    <row r="1571" spans="2:9" x14ac:dyDescent="0.2">
      <c r="B1571" s="54" t="str">
        <f t="shared" ref="B1571:B1623" si="29">C1571&amp;"-"&amp;D1571&amp;"-"&amp;E1571</f>
        <v>2018-092-1</v>
      </c>
      <c r="C1571" s="55">
        <v>2018</v>
      </c>
      <c r="D1571" s="55" t="s">
        <v>99</v>
      </c>
      <c r="E1571" s="55">
        <v>1</v>
      </c>
      <c r="F1571" s="57" t="s">
        <v>4</v>
      </c>
      <c r="G1571" s="55"/>
      <c r="H1571" s="58"/>
      <c r="I1571" s="59"/>
    </row>
    <row r="1572" spans="2:9" x14ac:dyDescent="0.2">
      <c r="B1572" s="54" t="str">
        <f t="shared" si="29"/>
        <v>2018-092-2</v>
      </c>
      <c r="C1572" s="55">
        <v>2018</v>
      </c>
      <c r="D1572" s="55" t="s">
        <v>99</v>
      </c>
      <c r="E1572" s="55">
        <v>2</v>
      </c>
      <c r="F1572" s="57" t="s">
        <v>6</v>
      </c>
      <c r="G1572" s="55"/>
      <c r="H1572" s="58"/>
      <c r="I1572" s="59"/>
    </row>
    <row r="1573" spans="2:9" x14ac:dyDescent="0.2">
      <c r="B1573" s="54" t="str">
        <f t="shared" si="29"/>
        <v>2018-092-3</v>
      </c>
      <c r="C1573" s="55">
        <v>2018</v>
      </c>
      <c r="D1573" s="55" t="s">
        <v>99</v>
      </c>
      <c r="E1573" s="55">
        <v>3</v>
      </c>
      <c r="F1573" s="57" t="s">
        <v>17</v>
      </c>
      <c r="G1573" s="55"/>
      <c r="H1573" s="58"/>
      <c r="I1573" s="59"/>
    </row>
    <row r="1574" spans="2:9" x14ac:dyDescent="0.2">
      <c r="B1574" s="54" t="str">
        <f t="shared" si="29"/>
        <v>2018-092-4</v>
      </c>
      <c r="C1574" s="55">
        <v>2018</v>
      </c>
      <c r="D1574" s="55" t="s">
        <v>99</v>
      </c>
      <c r="E1574" s="55">
        <v>4</v>
      </c>
      <c r="F1574" s="57" t="s">
        <v>19</v>
      </c>
      <c r="G1574" s="55"/>
      <c r="H1574" s="58"/>
      <c r="I1574" s="59"/>
    </row>
    <row r="1575" spans="2:9" x14ac:dyDescent="0.2">
      <c r="B1575" s="60" t="str">
        <f t="shared" si="29"/>
        <v>2018-092-5</v>
      </c>
      <c r="C1575" s="61">
        <v>2018</v>
      </c>
      <c r="D1575" s="61" t="s">
        <v>99</v>
      </c>
      <c r="E1575" s="61">
        <v>5</v>
      </c>
      <c r="F1575" s="62" t="s">
        <v>21</v>
      </c>
      <c r="G1575" s="61" t="s">
        <v>2735</v>
      </c>
      <c r="H1575" s="63"/>
      <c r="I1575" s="64"/>
    </row>
    <row r="1576" spans="2:9" ht="54" x14ac:dyDescent="0.2">
      <c r="B1576" s="65" t="str">
        <f t="shared" si="29"/>
        <v>2018-093-0</v>
      </c>
      <c r="C1576" s="66">
        <v>2018</v>
      </c>
      <c r="D1576" s="66" t="s">
        <v>100</v>
      </c>
      <c r="E1576" s="66">
        <v>0</v>
      </c>
      <c r="F1576" s="67" t="s">
        <v>333</v>
      </c>
      <c r="G1576" s="66"/>
      <c r="H1576" s="68"/>
      <c r="I1576" s="69"/>
    </row>
    <row r="1577" spans="2:9" x14ac:dyDescent="0.2">
      <c r="B1577" s="54" t="str">
        <f t="shared" si="29"/>
        <v>2018-093-1</v>
      </c>
      <c r="C1577" s="55">
        <v>2018</v>
      </c>
      <c r="D1577" s="55" t="s">
        <v>100</v>
      </c>
      <c r="E1577" s="55">
        <v>1</v>
      </c>
      <c r="F1577" s="57" t="s">
        <v>670</v>
      </c>
      <c r="G1577" s="55"/>
      <c r="H1577" s="58"/>
      <c r="I1577" s="59"/>
    </row>
    <row r="1578" spans="2:9" x14ac:dyDescent="0.2">
      <c r="B1578" s="54" t="str">
        <f t="shared" si="29"/>
        <v>2018-093-2</v>
      </c>
      <c r="C1578" s="55">
        <v>2018</v>
      </c>
      <c r="D1578" s="55" t="s">
        <v>100</v>
      </c>
      <c r="E1578" s="55">
        <v>2</v>
      </c>
      <c r="F1578" s="57" t="s">
        <v>993</v>
      </c>
      <c r="G1578" s="55"/>
      <c r="H1578" s="58"/>
      <c r="I1578" s="59"/>
    </row>
    <row r="1579" spans="2:9" x14ac:dyDescent="0.2">
      <c r="B1579" s="54" t="str">
        <f t="shared" si="29"/>
        <v>2018-093-3</v>
      </c>
      <c r="C1579" s="55">
        <v>2018</v>
      </c>
      <c r="D1579" s="55" t="s">
        <v>100</v>
      </c>
      <c r="E1579" s="55">
        <v>3</v>
      </c>
      <c r="F1579" s="57" t="s">
        <v>1309</v>
      </c>
      <c r="G1579" s="55"/>
      <c r="H1579" s="58"/>
      <c r="I1579" s="59"/>
    </row>
    <row r="1580" spans="2:9" x14ac:dyDescent="0.2">
      <c r="B1580" s="54" t="str">
        <f t="shared" si="29"/>
        <v>2018-093-4</v>
      </c>
      <c r="C1580" s="55">
        <v>2018</v>
      </c>
      <c r="D1580" s="55" t="s">
        <v>100</v>
      </c>
      <c r="E1580" s="55">
        <v>4</v>
      </c>
      <c r="F1580" s="57" t="s">
        <v>1616</v>
      </c>
      <c r="G1580" s="55"/>
      <c r="H1580" s="58"/>
      <c r="I1580" s="59"/>
    </row>
    <row r="1581" spans="2:9" x14ac:dyDescent="0.2">
      <c r="B1581" s="60" t="str">
        <f t="shared" si="29"/>
        <v>2018-093-5</v>
      </c>
      <c r="C1581" s="61">
        <v>2018</v>
      </c>
      <c r="D1581" s="61" t="s">
        <v>100</v>
      </c>
      <c r="E1581" s="61">
        <v>5</v>
      </c>
      <c r="F1581" s="62" t="s">
        <v>1910</v>
      </c>
      <c r="G1581" s="61" t="s">
        <v>2735</v>
      </c>
      <c r="H1581" s="63"/>
      <c r="I1581" s="64"/>
    </row>
    <row r="1582" spans="2:9" x14ac:dyDescent="0.2">
      <c r="B1582" s="65" t="str">
        <f t="shared" si="29"/>
        <v>2018-094-0</v>
      </c>
      <c r="C1582" s="66">
        <v>2018</v>
      </c>
      <c r="D1582" s="66" t="s">
        <v>101</v>
      </c>
      <c r="E1582" s="66">
        <v>0</v>
      </c>
      <c r="F1582" s="67" t="s">
        <v>334</v>
      </c>
      <c r="G1582" s="66"/>
      <c r="H1582" s="68"/>
      <c r="I1582" s="69"/>
    </row>
    <row r="1583" spans="2:9" x14ac:dyDescent="0.2">
      <c r="B1583" s="54" t="str">
        <f t="shared" si="29"/>
        <v>2018-094-1</v>
      </c>
      <c r="C1583" s="55">
        <v>2018</v>
      </c>
      <c r="D1583" s="55" t="s">
        <v>101</v>
      </c>
      <c r="E1583" s="55">
        <v>1</v>
      </c>
      <c r="F1583" s="57" t="s">
        <v>671</v>
      </c>
      <c r="G1583" s="55" t="s">
        <v>2735</v>
      </c>
      <c r="H1583" s="58"/>
      <c r="I1583" s="59"/>
    </row>
    <row r="1584" spans="2:9" ht="27" x14ac:dyDescent="0.2">
      <c r="B1584" s="54" t="str">
        <f t="shared" si="29"/>
        <v>2018-094-2</v>
      </c>
      <c r="C1584" s="55">
        <v>2018</v>
      </c>
      <c r="D1584" s="55" t="s">
        <v>101</v>
      </c>
      <c r="E1584" s="55">
        <v>2</v>
      </c>
      <c r="F1584" s="57" t="s">
        <v>994</v>
      </c>
      <c r="G1584" s="55"/>
      <c r="H1584" s="58"/>
      <c r="I1584" s="59"/>
    </row>
    <row r="1585" spans="2:9" ht="27" x14ac:dyDescent="0.2">
      <c r="B1585" s="54" t="str">
        <f t="shared" si="29"/>
        <v>2018-094-3</v>
      </c>
      <c r="C1585" s="55">
        <v>2018</v>
      </c>
      <c r="D1585" s="55" t="s">
        <v>101</v>
      </c>
      <c r="E1585" s="55">
        <v>3</v>
      </c>
      <c r="F1585" s="57" t="s">
        <v>1310</v>
      </c>
      <c r="G1585" s="55"/>
      <c r="H1585" s="58"/>
      <c r="I1585" s="59"/>
    </row>
    <row r="1586" spans="2:9" ht="27" x14ac:dyDescent="0.2">
      <c r="B1586" s="54" t="str">
        <f t="shared" si="29"/>
        <v>2018-094-4</v>
      </c>
      <c r="C1586" s="55">
        <v>2018</v>
      </c>
      <c r="D1586" s="55" t="s">
        <v>101</v>
      </c>
      <c r="E1586" s="55">
        <v>4</v>
      </c>
      <c r="F1586" s="57" t="s">
        <v>1617</v>
      </c>
      <c r="G1586" s="55"/>
      <c r="H1586" s="58"/>
      <c r="I1586" s="59"/>
    </row>
    <row r="1587" spans="2:9" x14ac:dyDescent="0.2">
      <c r="B1587" s="60" t="str">
        <f t="shared" si="29"/>
        <v>2018-094-5</v>
      </c>
      <c r="C1587" s="61">
        <v>2018</v>
      </c>
      <c r="D1587" s="61" t="s">
        <v>101</v>
      </c>
      <c r="E1587" s="61">
        <v>5</v>
      </c>
      <c r="F1587" s="62" t="s">
        <v>1911</v>
      </c>
      <c r="G1587" s="61"/>
      <c r="H1587" s="63"/>
      <c r="I1587" s="64"/>
    </row>
    <row r="1588" spans="2:9" x14ac:dyDescent="0.2">
      <c r="B1588" s="65" t="str">
        <f t="shared" si="29"/>
        <v>2018-095-0</v>
      </c>
      <c r="C1588" s="66">
        <v>2018</v>
      </c>
      <c r="D1588" s="66" t="s">
        <v>102</v>
      </c>
      <c r="E1588" s="66">
        <v>0</v>
      </c>
      <c r="F1588" s="67" t="s">
        <v>335</v>
      </c>
      <c r="G1588" s="66"/>
      <c r="H1588" s="68"/>
      <c r="I1588" s="69"/>
    </row>
    <row r="1589" spans="2:9" ht="27" x14ac:dyDescent="0.2">
      <c r="B1589" s="54" t="str">
        <f t="shared" si="29"/>
        <v>2018-095-1</v>
      </c>
      <c r="C1589" s="55">
        <v>2018</v>
      </c>
      <c r="D1589" s="55" t="s">
        <v>102</v>
      </c>
      <c r="E1589" s="55">
        <v>1</v>
      </c>
      <c r="F1589" s="57" t="s">
        <v>672</v>
      </c>
      <c r="G1589" s="55" t="s">
        <v>2735</v>
      </c>
      <c r="H1589" s="58"/>
      <c r="I1589" s="59"/>
    </row>
    <row r="1590" spans="2:9" ht="27" x14ac:dyDescent="0.2">
      <c r="B1590" s="54" t="str">
        <f t="shared" si="29"/>
        <v>2018-095-2</v>
      </c>
      <c r="C1590" s="55">
        <v>2018</v>
      </c>
      <c r="D1590" s="55" t="s">
        <v>102</v>
      </c>
      <c r="E1590" s="55">
        <v>2</v>
      </c>
      <c r="F1590" s="57" t="s">
        <v>995</v>
      </c>
      <c r="G1590" s="55"/>
      <c r="H1590" s="58"/>
      <c r="I1590" s="59"/>
    </row>
    <row r="1591" spans="2:9" ht="27" x14ac:dyDescent="0.2">
      <c r="B1591" s="54" t="str">
        <f t="shared" si="29"/>
        <v>2018-095-3</v>
      </c>
      <c r="C1591" s="55">
        <v>2018</v>
      </c>
      <c r="D1591" s="55" t="s">
        <v>102</v>
      </c>
      <c r="E1591" s="55">
        <v>3</v>
      </c>
      <c r="F1591" s="57" t="s">
        <v>1311</v>
      </c>
      <c r="G1591" s="55"/>
      <c r="H1591" s="58"/>
      <c r="I1591" s="59"/>
    </row>
    <row r="1592" spans="2:9" x14ac:dyDescent="0.2">
      <c r="B1592" s="54" t="str">
        <f t="shared" si="29"/>
        <v>2018-095-4</v>
      </c>
      <c r="C1592" s="55">
        <v>2018</v>
      </c>
      <c r="D1592" s="55" t="s">
        <v>102</v>
      </c>
      <c r="E1592" s="55">
        <v>4</v>
      </c>
      <c r="F1592" s="57" t="s">
        <v>973</v>
      </c>
      <c r="G1592" s="55"/>
      <c r="H1592" s="58"/>
      <c r="I1592" s="59"/>
    </row>
    <row r="1593" spans="2:9" x14ac:dyDescent="0.2">
      <c r="B1593" s="60" t="str">
        <f t="shared" si="29"/>
        <v>2018-095-5</v>
      </c>
      <c r="C1593" s="61">
        <v>2018</v>
      </c>
      <c r="D1593" s="61" t="s">
        <v>102</v>
      </c>
      <c r="E1593" s="61">
        <v>5</v>
      </c>
      <c r="F1593" s="62" t="s">
        <v>1290</v>
      </c>
      <c r="G1593" s="61"/>
      <c r="H1593" s="63"/>
      <c r="I1593" s="64"/>
    </row>
    <row r="1594" spans="2:9" x14ac:dyDescent="0.2">
      <c r="B1594" s="65" t="str">
        <f t="shared" si="29"/>
        <v>2018-096-0</v>
      </c>
      <c r="C1594" s="66">
        <v>2018</v>
      </c>
      <c r="D1594" s="66" t="s">
        <v>103</v>
      </c>
      <c r="E1594" s="66">
        <v>0</v>
      </c>
      <c r="F1594" s="67" t="s">
        <v>336</v>
      </c>
      <c r="G1594" s="66"/>
      <c r="H1594" s="68"/>
      <c r="I1594" s="69"/>
    </row>
    <row r="1595" spans="2:9" x14ac:dyDescent="0.2">
      <c r="B1595" s="54" t="str">
        <f t="shared" si="29"/>
        <v>2018-096-1</v>
      </c>
      <c r="C1595" s="55">
        <v>2018</v>
      </c>
      <c r="D1595" s="55" t="s">
        <v>103</v>
      </c>
      <c r="E1595" s="55">
        <v>1</v>
      </c>
      <c r="F1595" s="57" t="s">
        <v>673</v>
      </c>
      <c r="G1595" s="55"/>
      <c r="H1595" s="58"/>
      <c r="I1595" s="59"/>
    </row>
    <row r="1596" spans="2:9" x14ac:dyDescent="0.2">
      <c r="B1596" s="54" t="str">
        <f t="shared" si="29"/>
        <v>2018-096-2</v>
      </c>
      <c r="C1596" s="55">
        <v>2018</v>
      </c>
      <c r="D1596" s="55" t="s">
        <v>103</v>
      </c>
      <c r="E1596" s="55">
        <v>2</v>
      </c>
      <c r="F1596" s="57" t="s">
        <v>996</v>
      </c>
      <c r="G1596" s="55"/>
      <c r="H1596" s="58"/>
      <c r="I1596" s="59"/>
    </row>
    <row r="1597" spans="2:9" x14ac:dyDescent="0.2">
      <c r="B1597" s="54" t="str">
        <f t="shared" si="29"/>
        <v>2018-096-3</v>
      </c>
      <c r="C1597" s="55">
        <v>2018</v>
      </c>
      <c r="D1597" s="55" t="s">
        <v>103</v>
      </c>
      <c r="E1597" s="55">
        <v>3</v>
      </c>
      <c r="F1597" s="57" t="s">
        <v>1312</v>
      </c>
      <c r="G1597" s="55"/>
      <c r="H1597" s="58"/>
      <c r="I1597" s="59"/>
    </row>
    <row r="1598" spans="2:9" x14ac:dyDescent="0.2">
      <c r="B1598" s="54" t="str">
        <f t="shared" si="29"/>
        <v>2018-096-4</v>
      </c>
      <c r="C1598" s="55">
        <v>2018</v>
      </c>
      <c r="D1598" s="55" t="s">
        <v>103</v>
      </c>
      <c r="E1598" s="55">
        <v>4</v>
      </c>
      <c r="F1598" s="57" t="s">
        <v>1618</v>
      </c>
      <c r="G1598" s="55" t="s">
        <v>2735</v>
      </c>
      <c r="H1598" s="58"/>
      <c r="I1598" s="59"/>
    </row>
    <row r="1599" spans="2:9" ht="27" x14ac:dyDescent="0.2">
      <c r="B1599" s="60" t="str">
        <f t="shared" si="29"/>
        <v>2018-096-5</v>
      </c>
      <c r="C1599" s="61">
        <v>2018</v>
      </c>
      <c r="D1599" s="61" t="s">
        <v>103</v>
      </c>
      <c r="E1599" s="61">
        <v>5</v>
      </c>
      <c r="F1599" s="62" t="s">
        <v>1912</v>
      </c>
      <c r="G1599" s="61"/>
      <c r="H1599" s="63"/>
      <c r="I1599" s="64"/>
    </row>
    <row r="1600" spans="2:9" x14ac:dyDescent="0.2">
      <c r="B1600" s="65" t="str">
        <f t="shared" si="29"/>
        <v>2018-097-0</v>
      </c>
      <c r="C1600" s="66">
        <v>2018</v>
      </c>
      <c r="D1600" s="66" t="s">
        <v>104</v>
      </c>
      <c r="E1600" s="66">
        <v>0</v>
      </c>
      <c r="F1600" s="67" t="s">
        <v>337</v>
      </c>
      <c r="G1600" s="66"/>
      <c r="H1600" s="68"/>
      <c r="I1600" s="69"/>
    </row>
    <row r="1601" spans="2:9" x14ac:dyDescent="0.2">
      <c r="B1601" s="54" t="str">
        <f t="shared" si="29"/>
        <v>2018-097-1</v>
      </c>
      <c r="C1601" s="55">
        <v>2018</v>
      </c>
      <c r="D1601" s="55" t="s">
        <v>104</v>
      </c>
      <c r="E1601" s="55">
        <v>1</v>
      </c>
      <c r="F1601" s="57" t="s">
        <v>674</v>
      </c>
      <c r="G1601" s="55"/>
      <c r="H1601" s="58"/>
      <c r="I1601" s="59"/>
    </row>
    <row r="1602" spans="2:9" ht="27" x14ac:dyDescent="0.2">
      <c r="B1602" s="54" t="str">
        <f t="shared" si="29"/>
        <v>2018-097-2</v>
      </c>
      <c r="C1602" s="55">
        <v>2018</v>
      </c>
      <c r="D1602" s="55" t="s">
        <v>104</v>
      </c>
      <c r="E1602" s="55">
        <v>2</v>
      </c>
      <c r="F1602" s="57" t="s">
        <v>997</v>
      </c>
      <c r="G1602" s="55" t="s">
        <v>2735</v>
      </c>
      <c r="H1602" s="58"/>
      <c r="I1602" s="59"/>
    </row>
    <row r="1603" spans="2:9" x14ac:dyDescent="0.2">
      <c r="B1603" s="54" t="str">
        <f t="shared" si="29"/>
        <v>2018-097-3</v>
      </c>
      <c r="C1603" s="55">
        <v>2018</v>
      </c>
      <c r="D1603" s="55" t="s">
        <v>104</v>
      </c>
      <c r="E1603" s="55">
        <v>3</v>
      </c>
      <c r="F1603" s="57" t="s">
        <v>1313</v>
      </c>
      <c r="G1603" s="55"/>
      <c r="H1603" s="58"/>
      <c r="I1603" s="59"/>
    </row>
    <row r="1604" spans="2:9" ht="27" x14ac:dyDescent="0.2">
      <c r="B1604" s="54" t="str">
        <f t="shared" si="29"/>
        <v>2018-097-4</v>
      </c>
      <c r="C1604" s="55">
        <v>2018</v>
      </c>
      <c r="D1604" s="55" t="s">
        <v>104</v>
      </c>
      <c r="E1604" s="55">
        <v>4</v>
      </c>
      <c r="F1604" s="57" t="s">
        <v>1619</v>
      </c>
      <c r="G1604" s="55"/>
      <c r="H1604" s="58"/>
      <c r="I1604" s="59"/>
    </row>
    <row r="1605" spans="2:9" x14ac:dyDescent="0.2">
      <c r="B1605" s="60" t="str">
        <f t="shared" si="29"/>
        <v>2018-097-5</v>
      </c>
      <c r="C1605" s="61">
        <v>2018</v>
      </c>
      <c r="D1605" s="61" t="s">
        <v>104</v>
      </c>
      <c r="E1605" s="61">
        <v>5</v>
      </c>
      <c r="F1605" s="62" t="s">
        <v>1913</v>
      </c>
      <c r="G1605" s="61"/>
      <c r="H1605" s="63"/>
      <c r="I1605" s="64"/>
    </row>
    <row r="1606" spans="2:9" x14ac:dyDescent="0.2">
      <c r="B1606" s="65" t="str">
        <f t="shared" si="29"/>
        <v>2018-098-0</v>
      </c>
      <c r="C1606" s="66">
        <v>2018</v>
      </c>
      <c r="D1606" s="66" t="s">
        <v>105</v>
      </c>
      <c r="E1606" s="66">
        <v>0</v>
      </c>
      <c r="F1606" s="67" t="s">
        <v>338</v>
      </c>
      <c r="G1606" s="66"/>
      <c r="H1606" s="68"/>
      <c r="I1606" s="69"/>
    </row>
    <row r="1607" spans="2:9" x14ac:dyDescent="0.2">
      <c r="B1607" s="54" t="str">
        <f t="shared" si="29"/>
        <v>2018-098-1</v>
      </c>
      <c r="C1607" s="55">
        <v>2018</v>
      </c>
      <c r="D1607" s="55" t="s">
        <v>105</v>
      </c>
      <c r="E1607" s="55">
        <v>1</v>
      </c>
      <c r="F1607" s="57" t="s">
        <v>675</v>
      </c>
      <c r="G1607" s="55"/>
      <c r="H1607" s="58"/>
      <c r="I1607" s="59"/>
    </row>
    <row r="1608" spans="2:9" ht="27" x14ac:dyDescent="0.2">
      <c r="B1608" s="54" t="str">
        <f t="shared" si="29"/>
        <v>2018-098-2</v>
      </c>
      <c r="C1608" s="55">
        <v>2018</v>
      </c>
      <c r="D1608" s="55" t="s">
        <v>105</v>
      </c>
      <c r="E1608" s="55">
        <v>2</v>
      </c>
      <c r="F1608" s="57" t="s">
        <v>998</v>
      </c>
      <c r="G1608" s="55"/>
      <c r="H1608" s="58"/>
      <c r="I1608" s="59"/>
    </row>
    <row r="1609" spans="2:9" ht="27" x14ac:dyDescent="0.2">
      <c r="B1609" s="54" t="str">
        <f t="shared" si="29"/>
        <v>2018-098-3</v>
      </c>
      <c r="C1609" s="55">
        <v>2018</v>
      </c>
      <c r="D1609" s="55" t="s">
        <v>105</v>
      </c>
      <c r="E1609" s="55">
        <v>3</v>
      </c>
      <c r="F1609" s="57" t="s">
        <v>1314</v>
      </c>
      <c r="G1609" s="55" t="s">
        <v>2735</v>
      </c>
      <c r="H1609" s="58"/>
      <c r="I1609" s="59"/>
    </row>
    <row r="1610" spans="2:9" x14ac:dyDescent="0.2">
      <c r="B1610" s="54" t="str">
        <f t="shared" si="29"/>
        <v>2018-098-4</v>
      </c>
      <c r="C1610" s="55">
        <v>2018</v>
      </c>
      <c r="D1610" s="55" t="s">
        <v>105</v>
      </c>
      <c r="E1610" s="55">
        <v>4</v>
      </c>
      <c r="F1610" s="57" t="s">
        <v>1620</v>
      </c>
      <c r="G1610" s="55"/>
      <c r="H1610" s="58"/>
      <c r="I1610" s="59"/>
    </row>
    <row r="1611" spans="2:9" ht="27" x14ac:dyDescent="0.2">
      <c r="B1611" s="60" t="str">
        <f t="shared" si="29"/>
        <v>2018-098-5</v>
      </c>
      <c r="C1611" s="61">
        <v>2018</v>
      </c>
      <c r="D1611" s="61" t="s">
        <v>105</v>
      </c>
      <c r="E1611" s="61">
        <v>5</v>
      </c>
      <c r="F1611" s="62" t="s">
        <v>1914</v>
      </c>
      <c r="G1611" s="61"/>
      <c r="H1611" s="63"/>
      <c r="I1611" s="64"/>
    </row>
    <row r="1612" spans="2:9" ht="67.5" x14ac:dyDescent="0.2">
      <c r="B1612" s="65" t="str">
        <f t="shared" si="29"/>
        <v>2018-099-0</v>
      </c>
      <c r="C1612" s="66">
        <v>2018</v>
      </c>
      <c r="D1612" s="66" t="s">
        <v>106</v>
      </c>
      <c r="E1612" s="66">
        <v>0</v>
      </c>
      <c r="F1612" s="67" t="s">
        <v>339</v>
      </c>
      <c r="G1612" s="66"/>
      <c r="H1612" s="68"/>
      <c r="I1612" s="69"/>
    </row>
    <row r="1613" spans="2:9" x14ac:dyDescent="0.2">
      <c r="B1613" s="54" t="str">
        <f t="shared" si="29"/>
        <v>2018-099-1</v>
      </c>
      <c r="C1613" s="55">
        <v>2018</v>
      </c>
      <c r="D1613" s="55" t="s">
        <v>106</v>
      </c>
      <c r="E1613" s="55">
        <v>1</v>
      </c>
      <c r="F1613" s="57" t="s">
        <v>13</v>
      </c>
      <c r="G1613" s="55"/>
      <c r="H1613" s="58"/>
      <c r="I1613" s="59"/>
    </row>
    <row r="1614" spans="2:9" x14ac:dyDescent="0.2">
      <c r="B1614" s="54" t="str">
        <f t="shared" si="29"/>
        <v>2018-099-2</v>
      </c>
      <c r="C1614" s="55">
        <v>2018</v>
      </c>
      <c r="D1614" s="55" t="s">
        <v>106</v>
      </c>
      <c r="E1614" s="55">
        <v>2</v>
      </c>
      <c r="F1614" s="57" t="s">
        <v>16</v>
      </c>
      <c r="G1614" s="55"/>
      <c r="H1614" s="58"/>
      <c r="I1614" s="59"/>
    </row>
    <row r="1615" spans="2:9" x14ac:dyDescent="0.2">
      <c r="B1615" s="54" t="str">
        <f t="shared" si="29"/>
        <v>2018-099-3</v>
      </c>
      <c r="C1615" s="55">
        <v>2018</v>
      </c>
      <c r="D1615" s="55" t="s">
        <v>106</v>
      </c>
      <c r="E1615" s="55">
        <v>3</v>
      </c>
      <c r="F1615" s="57" t="s">
        <v>12</v>
      </c>
      <c r="G1615" s="55"/>
      <c r="H1615" s="58"/>
      <c r="I1615" s="59"/>
    </row>
    <row r="1616" spans="2:9" x14ac:dyDescent="0.2">
      <c r="B1616" s="54" t="str">
        <f t="shared" si="29"/>
        <v>2018-099-4</v>
      </c>
      <c r="C1616" s="55">
        <v>2018</v>
      </c>
      <c r="D1616" s="55" t="s">
        <v>106</v>
      </c>
      <c r="E1616" s="55">
        <v>4</v>
      </c>
      <c r="F1616" s="57" t="s">
        <v>19</v>
      </c>
      <c r="G1616" s="55" t="s">
        <v>2735</v>
      </c>
      <c r="H1616" s="58"/>
      <c r="I1616" s="59"/>
    </row>
    <row r="1617" spans="2:9" x14ac:dyDescent="0.2">
      <c r="B1617" s="60" t="str">
        <f t="shared" si="29"/>
        <v>2018-099-5</v>
      </c>
      <c r="C1617" s="61">
        <v>2018</v>
      </c>
      <c r="D1617" s="61" t="s">
        <v>106</v>
      </c>
      <c r="E1617" s="61">
        <v>5</v>
      </c>
      <c r="F1617" s="62" t="s">
        <v>21</v>
      </c>
      <c r="G1617" s="61"/>
      <c r="H1617" s="63"/>
      <c r="I1617" s="64"/>
    </row>
    <row r="1618" spans="2:9" ht="67.5" x14ac:dyDescent="0.2">
      <c r="B1618" s="65" t="str">
        <f t="shared" si="29"/>
        <v>2018-100-0</v>
      </c>
      <c r="C1618" s="66">
        <v>2018</v>
      </c>
      <c r="D1618" s="66" t="s">
        <v>107</v>
      </c>
      <c r="E1618" s="66">
        <v>0</v>
      </c>
      <c r="F1618" s="67" t="s">
        <v>340</v>
      </c>
      <c r="G1618" s="66"/>
      <c r="H1618" s="68"/>
      <c r="I1618" s="69"/>
    </row>
    <row r="1619" spans="2:9" x14ac:dyDescent="0.2">
      <c r="B1619" s="54" t="str">
        <f t="shared" si="29"/>
        <v>2018-100-1</v>
      </c>
      <c r="C1619" s="55">
        <v>2018</v>
      </c>
      <c r="D1619" s="55" t="s">
        <v>107</v>
      </c>
      <c r="E1619" s="55">
        <v>1</v>
      </c>
      <c r="F1619" s="57" t="s">
        <v>676</v>
      </c>
      <c r="G1619" s="55"/>
      <c r="H1619" s="58"/>
      <c r="I1619" s="59"/>
    </row>
    <row r="1620" spans="2:9" x14ac:dyDescent="0.2">
      <c r="B1620" s="54" t="str">
        <f t="shared" si="29"/>
        <v>2018-100-2</v>
      </c>
      <c r="C1620" s="55">
        <v>2018</v>
      </c>
      <c r="D1620" s="55" t="s">
        <v>107</v>
      </c>
      <c r="E1620" s="55">
        <v>2</v>
      </c>
      <c r="F1620" s="57" t="s">
        <v>999</v>
      </c>
      <c r="G1620" s="55"/>
      <c r="H1620" s="58"/>
      <c r="I1620" s="59"/>
    </row>
    <row r="1621" spans="2:9" x14ac:dyDescent="0.2">
      <c r="B1621" s="54" t="str">
        <f t="shared" si="29"/>
        <v>2018-100-3</v>
      </c>
      <c r="C1621" s="55">
        <v>2018</v>
      </c>
      <c r="D1621" s="55" t="s">
        <v>107</v>
      </c>
      <c r="E1621" s="55">
        <v>3</v>
      </c>
      <c r="F1621" s="57" t="s">
        <v>1315</v>
      </c>
      <c r="G1621" s="55"/>
      <c r="H1621" s="58"/>
      <c r="I1621" s="59"/>
    </row>
    <row r="1622" spans="2:9" x14ac:dyDescent="0.2">
      <c r="B1622" s="54" t="str">
        <f t="shared" si="29"/>
        <v>2018-100-4</v>
      </c>
      <c r="C1622" s="55">
        <v>2018</v>
      </c>
      <c r="D1622" s="55" t="s">
        <v>107</v>
      </c>
      <c r="E1622" s="55">
        <v>4</v>
      </c>
      <c r="F1622" s="57" t="s">
        <v>1621</v>
      </c>
      <c r="G1622" s="55" t="s">
        <v>2735</v>
      </c>
      <c r="H1622" s="58"/>
      <c r="I1622" s="59"/>
    </row>
    <row r="1623" spans="2:9" ht="14.25" thickBot="1" x14ac:dyDescent="0.25">
      <c r="B1623" s="70" t="str">
        <f t="shared" si="29"/>
        <v>2018-100-5</v>
      </c>
      <c r="C1623" s="71">
        <v>2018</v>
      </c>
      <c r="D1623" s="71" t="s">
        <v>107</v>
      </c>
      <c r="E1623" s="71">
        <v>5</v>
      </c>
      <c r="F1623" s="72" t="s">
        <v>1915</v>
      </c>
      <c r="G1623" s="71"/>
      <c r="H1623" s="73"/>
      <c r="I1623" s="74"/>
    </row>
    <row r="1624" spans="2:9" x14ac:dyDescent="0.2">
      <c r="B1624" s="48" t="str">
        <f t="shared" ref="B1624:B1672" si="30">C1624&amp;"-"&amp;D1624&amp;"-"&amp;E1624</f>
        <v>2017-076-0</v>
      </c>
      <c r="C1624" s="49">
        <v>2017</v>
      </c>
      <c r="D1624" s="49" t="s">
        <v>78</v>
      </c>
      <c r="E1624" s="49">
        <v>0</v>
      </c>
      <c r="F1624" s="51" t="s">
        <v>317</v>
      </c>
      <c r="G1624" s="49"/>
      <c r="H1624" s="52"/>
      <c r="I1624" s="53"/>
    </row>
    <row r="1625" spans="2:9" x14ac:dyDescent="0.2">
      <c r="B1625" s="54" t="str">
        <f t="shared" si="30"/>
        <v>2017-076-1</v>
      </c>
      <c r="C1625" s="55">
        <v>2017</v>
      </c>
      <c r="D1625" s="55" t="s">
        <v>78</v>
      </c>
      <c r="E1625" s="55">
        <v>1</v>
      </c>
      <c r="F1625" s="57" t="s">
        <v>677</v>
      </c>
      <c r="G1625" s="55"/>
      <c r="H1625" s="58"/>
      <c r="I1625" s="59"/>
    </row>
    <row r="1626" spans="2:9" x14ac:dyDescent="0.2">
      <c r="B1626" s="54" t="str">
        <f t="shared" si="30"/>
        <v>2017-076-2</v>
      </c>
      <c r="C1626" s="55">
        <v>2017</v>
      </c>
      <c r="D1626" s="55" t="s">
        <v>78</v>
      </c>
      <c r="E1626" s="55">
        <v>2</v>
      </c>
      <c r="F1626" s="57" t="s">
        <v>1000</v>
      </c>
      <c r="G1626" s="55"/>
      <c r="H1626" s="58"/>
      <c r="I1626" s="59"/>
    </row>
    <row r="1627" spans="2:9" ht="27" x14ac:dyDescent="0.2">
      <c r="B1627" s="54" t="str">
        <f t="shared" si="30"/>
        <v>2017-076-3</v>
      </c>
      <c r="C1627" s="55">
        <v>2017</v>
      </c>
      <c r="D1627" s="55" t="s">
        <v>78</v>
      </c>
      <c r="E1627" s="55">
        <v>3</v>
      </c>
      <c r="F1627" s="57" t="s">
        <v>1316</v>
      </c>
      <c r="G1627" s="55" t="s">
        <v>2735</v>
      </c>
      <c r="H1627" s="58"/>
      <c r="I1627" s="59"/>
    </row>
    <row r="1628" spans="2:9" ht="27" x14ac:dyDescent="0.2">
      <c r="B1628" s="54" t="str">
        <f t="shared" si="30"/>
        <v>2017-076-4</v>
      </c>
      <c r="C1628" s="55">
        <v>2017</v>
      </c>
      <c r="D1628" s="55" t="s">
        <v>78</v>
      </c>
      <c r="E1628" s="55">
        <v>4</v>
      </c>
      <c r="F1628" s="57" t="s">
        <v>1622</v>
      </c>
      <c r="G1628" s="55"/>
      <c r="H1628" s="58"/>
      <c r="I1628" s="59"/>
    </row>
    <row r="1629" spans="2:9" x14ac:dyDescent="0.2">
      <c r="B1629" s="60" t="str">
        <f t="shared" si="30"/>
        <v>2017-076-5</v>
      </c>
      <c r="C1629" s="61">
        <v>2017</v>
      </c>
      <c r="D1629" s="61" t="s">
        <v>78</v>
      </c>
      <c r="E1629" s="61">
        <v>5</v>
      </c>
      <c r="F1629" s="62" t="s">
        <v>1916</v>
      </c>
      <c r="G1629" s="61"/>
      <c r="H1629" s="63"/>
      <c r="I1629" s="64"/>
    </row>
    <row r="1630" spans="2:9" x14ac:dyDescent="0.2">
      <c r="B1630" s="65" t="str">
        <f t="shared" si="30"/>
        <v>2017-077-0</v>
      </c>
      <c r="C1630" s="66">
        <v>2017</v>
      </c>
      <c r="D1630" s="66" t="s">
        <v>79</v>
      </c>
      <c r="E1630" s="66">
        <v>0</v>
      </c>
      <c r="F1630" s="67" t="s">
        <v>341</v>
      </c>
      <c r="G1630" s="66"/>
      <c r="H1630" s="68"/>
      <c r="I1630" s="69"/>
    </row>
    <row r="1631" spans="2:9" x14ac:dyDescent="0.2">
      <c r="B1631" s="54" t="str">
        <f t="shared" si="30"/>
        <v>2017-077-1</v>
      </c>
      <c r="C1631" s="55">
        <v>2017</v>
      </c>
      <c r="D1631" s="55" t="s">
        <v>79</v>
      </c>
      <c r="E1631" s="55">
        <v>1</v>
      </c>
      <c r="F1631" s="57" t="s">
        <v>636</v>
      </c>
      <c r="G1631" s="55"/>
      <c r="H1631" s="58"/>
      <c r="I1631" s="59"/>
    </row>
    <row r="1632" spans="2:9" x14ac:dyDescent="0.2">
      <c r="B1632" s="54" t="str">
        <f t="shared" si="30"/>
        <v>2017-077-2</v>
      </c>
      <c r="C1632" s="55">
        <v>2017</v>
      </c>
      <c r="D1632" s="55" t="s">
        <v>79</v>
      </c>
      <c r="E1632" s="55">
        <v>2</v>
      </c>
      <c r="F1632" s="57" t="s">
        <v>1001</v>
      </c>
      <c r="G1632" s="55"/>
      <c r="H1632" s="58"/>
      <c r="I1632" s="59"/>
    </row>
    <row r="1633" spans="2:9" x14ac:dyDescent="0.2">
      <c r="B1633" s="54" t="str">
        <f t="shared" si="30"/>
        <v>2017-077-3</v>
      </c>
      <c r="C1633" s="55">
        <v>2017</v>
      </c>
      <c r="D1633" s="55" t="s">
        <v>79</v>
      </c>
      <c r="E1633" s="55">
        <v>3</v>
      </c>
      <c r="F1633" s="57" t="s">
        <v>1317</v>
      </c>
      <c r="G1633" s="55"/>
      <c r="H1633" s="58"/>
      <c r="I1633" s="59"/>
    </row>
    <row r="1634" spans="2:9" x14ac:dyDescent="0.2">
      <c r="B1634" s="54" t="str">
        <f t="shared" si="30"/>
        <v>2017-077-4</v>
      </c>
      <c r="C1634" s="55">
        <v>2017</v>
      </c>
      <c r="D1634" s="55" t="s">
        <v>79</v>
      </c>
      <c r="E1634" s="55">
        <v>4</v>
      </c>
      <c r="F1634" s="57" t="s">
        <v>1063</v>
      </c>
      <c r="G1634" s="55"/>
      <c r="H1634" s="58"/>
      <c r="I1634" s="59"/>
    </row>
    <row r="1635" spans="2:9" x14ac:dyDescent="0.2">
      <c r="B1635" s="60" t="str">
        <f t="shared" si="30"/>
        <v>2017-077-5</v>
      </c>
      <c r="C1635" s="61">
        <v>2017</v>
      </c>
      <c r="D1635" s="61" t="s">
        <v>79</v>
      </c>
      <c r="E1635" s="61">
        <v>5</v>
      </c>
      <c r="F1635" s="62" t="s">
        <v>980</v>
      </c>
      <c r="G1635" s="61" t="s">
        <v>2735</v>
      </c>
      <c r="H1635" s="63"/>
      <c r="I1635" s="64"/>
    </row>
    <row r="1636" spans="2:9" ht="54" x14ac:dyDescent="0.2">
      <c r="B1636" s="65" t="str">
        <f t="shared" si="30"/>
        <v>2017-078-0</v>
      </c>
      <c r="C1636" s="66">
        <v>2017</v>
      </c>
      <c r="D1636" s="66" t="s">
        <v>80</v>
      </c>
      <c r="E1636" s="66">
        <v>0</v>
      </c>
      <c r="F1636" s="67" t="s">
        <v>342</v>
      </c>
      <c r="G1636" s="66"/>
      <c r="H1636" s="68"/>
      <c r="I1636" s="69"/>
    </row>
    <row r="1637" spans="2:9" x14ac:dyDescent="0.2">
      <c r="B1637" s="54" t="str">
        <f t="shared" si="30"/>
        <v>2017-078-1</v>
      </c>
      <c r="C1637" s="55">
        <v>2017</v>
      </c>
      <c r="D1637" s="55" t="s">
        <v>80</v>
      </c>
      <c r="E1637" s="55">
        <v>1</v>
      </c>
      <c r="F1637" s="57" t="s">
        <v>678</v>
      </c>
      <c r="G1637" s="55"/>
      <c r="H1637" s="58"/>
      <c r="I1637" s="59"/>
    </row>
    <row r="1638" spans="2:9" x14ac:dyDescent="0.2">
      <c r="B1638" s="54" t="str">
        <f t="shared" si="30"/>
        <v>2017-078-2</v>
      </c>
      <c r="C1638" s="55">
        <v>2017</v>
      </c>
      <c r="D1638" s="55" t="s">
        <v>80</v>
      </c>
      <c r="E1638" s="55">
        <v>2</v>
      </c>
      <c r="F1638" s="57" t="s">
        <v>1002</v>
      </c>
      <c r="G1638" s="55"/>
      <c r="H1638" s="58"/>
      <c r="I1638" s="59"/>
    </row>
    <row r="1639" spans="2:9" x14ac:dyDescent="0.2">
      <c r="B1639" s="54" t="str">
        <f t="shared" si="30"/>
        <v>2017-078-3</v>
      </c>
      <c r="C1639" s="55">
        <v>2017</v>
      </c>
      <c r="D1639" s="55" t="s">
        <v>80</v>
      </c>
      <c r="E1639" s="55">
        <v>3</v>
      </c>
      <c r="F1639" s="57" t="s">
        <v>1318</v>
      </c>
      <c r="G1639" s="55"/>
      <c r="H1639" s="58"/>
      <c r="I1639" s="59"/>
    </row>
    <row r="1640" spans="2:9" x14ac:dyDescent="0.2">
      <c r="B1640" s="54" t="str">
        <f t="shared" si="30"/>
        <v>2017-078-4</v>
      </c>
      <c r="C1640" s="55">
        <v>2017</v>
      </c>
      <c r="D1640" s="55" t="s">
        <v>80</v>
      </c>
      <c r="E1640" s="55">
        <v>4</v>
      </c>
      <c r="F1640" s="57" t="s">
        <v>1623</v>
      </c>
      <c r="G1640" s="55" t="s">
        <v>2735</v>
      </c>
      <c r="H1640" s="58"/>
      <c r="I1640" s="59"/>
    </row>
    <row r="1641" spans="2:9" x14ac:dyDescent="0.2">
      <c r="B1641" s="60" t="str">
        <f t="shared" si="30"/>
        <v>2017-078-5</v>
      </c>
      <c r="C1641" s="61">
        <v>2017</v>
      </c>
      <c r="D1641" s="61" t="s">
        <v>80</v>
      </c>
      <c r="E1641" s="61">
        <v>5</v>
      </c>
      <c r="F1641" s="62" t="s">
        <v>1917</v>
      </c>
      <c r="G1641" s="61"/>
      <c r="H1641" s="63"/>
      <c r="I1641" s="64"/>
    </row>
    <row r="1642" spans="2:9" ht="40.5" x14ac:dyDescent="0.2">
      <c r="B1642" s="65" t="str">
        <f t="shared" si="30"/>
        <v>2017-079-0</v>
      </c>
      <c r="C1642" s="66">
        <v>2017</v>
      </c>
      <c r="D1642" s="66" t="s">
        <v>81</v>
      </c>
      <c r="E1642" s="66">
        <v>0</v>
      </c>
      <c r="F1642" s="67" t="s">
        <v>343</v>
      </c>
      <c r="G1642" s="66"/>
      <c r="H1642" s="68"/>
      <c r="I1642" s="69"/>
    </row>
    <row r="1643" spans="2:9" x14ac:dyDescent="0.2">
      <c r="B1643" s="54" t="str">
        <f t="shared" si="30"/>
        <v>2017-079-1</v>
      </c>
      <c r="C1643" s="55">
        <v>2017</v>
      </c>
      <c r="D1643" s="55" t="s">
        <v>81</v>
      </c>
      <c r="E1643" s="55">
        <v>1</v>
      </c>
      <c r="F1643" s="57" t="s">
        <v>679</v>
      </c>
      <c r="G1643" s="55"/>
      <c r="H1643" s="58"/>
      <c r="I1643" s="59"/>
    </row>
    <row r="1644" spans="2:9" x14ac:dyDescent="0.2">
      <c r="B1644" s="54" t="str">
        <f t="shared" si="30"/>
        <v>2017-079-2</v>
      </c>
      <c r="C1644" s="55">
        <v>2017</v>
      </c>
      <c r="D1644" s="55" t="s">
        <v>81</v>
      </c>
      <c r="E1644" s="55">
        <v>2</v>
      </c>
      <c r="F1644" s="57" t="s">
        <v>1003</v>
      </c>
      <c r="G1644" s="55"/>
      <c r="H1644" s="58"/>
      <c r="I1644" s="59"/>
    </row>
    <row r="1645" spans="2:9" x14ac:dyDescent="0.2">
      <c r="B1645" s="54" t="str">
        <f t="shared" si="30"/>
        <v>2017-079-3</v>
      </c>
      <c r="C1645" s="55">
        <v>2017</v>
      </c>
      <c r="D1645" s="55" t="s">
        <v>81</v>
      </c>
      <c r="E1645" s="55">
        <v>3</v>
      </c>
      <c r="F1645" s="57" t="s">
        <v>1319</v>
      </c>
      <c r="G1645" s="55"/>
      <c r="H1645" s="58"/>
      <c r="I1645" s="59"/>
    </row>
    <row r="1646" spans="2:9" x14ac:dyDescent="0.2">
      <c r="B1646" s="54" t="str">
        <f t="shared" si="30"/>
        <v>2017-079-4</v>
      </c>
      <c r="C1646" s="55">
        <v>2017</v>
      </c>
      <c r="D1646" s="55" t="s">
        <v>81</v>
      </c>
      <c r="E1646" s="55">
        <v>4</v>
      </c>
      <c r="F1646" s="57" t="s">
        <v>703</v>
      </c>
      <c r="G1646" s="55" t="s">
        <v>2735</v>
      </c>
      <c r="H1646" s="58"/>
      <c r="I1646" s="59"/>
    </row>
    <row r="1647" spans="2:9" x14ac:dyDescent="0.2">
      <c r="B1647" s="60" t="str">
        <f t="shared" si="30"/>
        <v>2017-079-5</v>
      </c>
      <c r="C1647" s="61">
        <v>2017</v>
      </c>
      <c r="D1647" s="61" t="s">
        <v>81</v>
      </c>
      <c r="E1647" s="61">
        <v>5</v>
      </c>
      <c r="F1647" s="62" t="s">
        <v>1918</v>
      </c>
      <c r="G1647" s="61"/>
      <c r="H1647" s="63"/>
      <c r="I1647" s="64"/>
    </row>
    <row r="1648" spans="2:9" x14ac:dyDescent="0.2">
      <c r="B1648" s="65" t="str">
        <f t="shared" si="30"/>
        <v>2017-080-0</v>
      </c>
      <c r="C1648" s="66">
        <v>2017</v>
      </c>
      <c r="D1648" s="66" t="s">
        <v>82</v>
      </c>
      <c r="E1648" s="66">
        <v>0</v>
      </c>
      <c r="F1648" s="67" t="s">
        <v>344</v>
      </c>
      <c r="G1648" s="66"/>
      <c r="H1648" s="68"/>
      <c r="I1648" s="69"/>
    </row>
    <row r="1649" spans="2:9" x14ac:dyDescent="0.2">
      <c r="B1649" s="54" t="str">
        <f t="shared" si="30"/>
        <v>2017-080-1</v>
      </c>
      <c r="C1649" s="55">
        <v>2017</v>
      </c>
      <c r="D1649" s="55" t="s">
        <v>82</v>
      </c>
      <c r="E1649" s="55">
        <v>1</v>
      </c>
      <c r="F1649" s="57" t="s">
        <v>680</v>
      </c>
      <c r="G1649" s="55"/>
      <c r="H1649" s="58"/>
      <c r="I1649" s="59"/>
    </row>
    <row r="1650" spans="2:9" x14ac:dyDescent="0.2">
      <c r="B1650" s="54" t="str">
        <f t="shared" si="30"/>
        <v>2017-080-2</v>
      </c>
      <c r="C1650" s="55">
        <v>2017</v>
      </c>
      <c r="D1650" s="55" t="s">
        <v>82</v>
      </c>
      <c r="E1650" s="55">
        <v>2</v>
      </c>
      <c r="F1650" s="57" t="s">
        <v>1004</v>
      </c>
      <c r="G1650" s="55"/>
      <c r="H1650" s="58"/>
      <c r="I1650" s="59"/>
    </row>
    <row r="1651" spans="2:9" x14ac:dyDescent="0.2">
      <c r="B1651" s="54" t="str">
        <f t="shared" si="30"/>
        <v>2017-080-3</v>
      </c>
      <c r="C1651" s="55">
        <v>2017</v>
      </c>
      <c r="D1651" s="55" t="s">
        <v>82</v>
      </c>
      <c r="E1651" s="55">
        <v>3</v>
      </c>
      <c r="F1651" s="57" t="s">
        <v>1320</v>
      </c>
      <c r="G1651" s="55"/>
      <c r="H1651" s="58"/>
      <c r="I1651" s="59"/>
    </row>
    <row r="1652" spans="2:9" x14ac:dyDescent="0.2">
      <c r="B1652" s="54" t="str">
        <f t="shared" si="30"/>
        <v>2017-080-4</v>
      </c>
      <c r="C1652" s="55">
        <v>2017</v>
      </c>
      <c r="D1652" s="55" t="s">
        <v>82</v>
      </c>
      <c r="E1652" s="55">
        <v>4</v>
      </c>
      <c r="F1652" s="57" t="s">
        <v>1624</v>
      </c>
      <c r="G1652" s="55"/>
      <c r="H1652" s="58"/>
      <c r="I1652" s="59"/>
    </row>
    <row r="1653" spans="2:9" ht="27" x14ac:dyDescent="0.2">
      <c r="B1653" s="60" t="str">
        <f t="shared" si="30"/>
        <v>2017-080-5</v>
      </c>
      <c r="C1653" s="61">
        <v>2017</v>
      </c>
      <c r="D1653" s="61" t="s">
        <v>82</v>
      </c>
      <c r="E1653" s="61">
        <v>5</v>
      </c>
      <c r="F1653" s="62" t="s">
        <v>1919</v>
      </c>
      <c r="G1653" s="61" t="s">
        <v>2735</v>
      </c>
      <c r="H1653" s="63"/>
      <c r="I1653" s="64"/>
    </row>
    <row r="1654" spans="2:9" ht="54" x14ac:dyDescent="0.2">
      <c r="B1654" s="65" t="str">
        <f t="shared" si="30"/>
        <v>2017-081-0</v>
      </c>
      <c r="C1654" s="66">
        <v>2017</v>
      </c>
      <c r="D1654" s="66" t="s">
        <v>88</v>
      </c>
      <c r="E1654" s="66">
        <v>0</v>
      </c>
      <c r="F1654" s="67" t="s">
        <v>345</v>
      </c>
      <c r="G1654" s="66"/>
      <c r="H1654" s="68"/>
      <c r="I1654" s="69"/>
    </row>
    <row r="1655" spans="2:9" x14ac:dyDescent="0.2">
      <c r="B1655" s="54" t="str">
        <f t="shared" si="30"/>
        <v>2017-081-1</v>
      </c>
      <c r="C1655" s="55">
        <v>2017</v>
      </c>
      <c r="D1655" s="55" t="s">
        <v>88</v>
      </c>
      <c r="E1655" s="55">
        <v>1</v>
      </c>
      <c r="F1655" s="57" t="s">
        <v>5</v>
      </c>
      <c r="G1655" s="55" t="s">
        <v>2735</v>
      </c>
      <c r="H1655" s="58"/>
      <c r="I1655" s="59"/>
    </row>
    <row r="1656" spans="2:9" x14ac:dyDescent="0.2">
      <c r="B1656" s="54" t="str">
        <f t="shared" si="30"/>
        <v>2017-081-2</v>
      </c>
      <c r="C1656" s="55">
        <v>2017</v>
      </c>
      <c r="D1656" s="55" t="s">
        <v>88</v>
      </c>
      <c r="E1656" s="55">
        <v>2</v>
      </c>
      <c r="F1656" s="57" t="s">
        <v>4</v>
      </c>
      <c r="G1656" s="55"/>
      <c r="H1656" s="58"/>
      <c r="I1656" s="59"/>
    </row>
    <row r="1657" spans="2:9" x14ac:dyDescent="0.2">
      <c r="B1657" s="54" t="str">
        <f t="shared" si="30"/>
        <v>2017-081-3</v>
      </c>
      <c r="C1657" s="55">
        <v>2017</v>
      </c>
      <c r="D1657" s="55" t="s">
        <v>88</v>
      </c>
      <c r="E1657" s="55">
        <v>3</v>
      </c>
      <c r="F1657" s="57" t="s">
        <v>8</v>
      </c>
      <c r="G1657" s="55"/>
      <c r="H1657" s="58"/>
      <c r="I1657" s="59"/>
    </row>
    <row r="1658" spans="2:9" x14ac:dyDescent="0.2">
      <c r="B1658" s="54" t="str">
        <f t="shared" si="30"/>
        <v>2017-081-4</v>
      </c>
      <c r="C1658" s="55">
        <v>2017</v>
      </c>
      <c r="D1658" s="55" t="s">
        <v>88</v>
      </c>
      <c r="E1658" s="55">
        <v>4</v>
      </c>
      <c r="F1658" s="57" t="s">
        <v>16</v>
      </c>
      <c r="G1658" s="55"/>
      <c r="H1658" s="58"/>
      <c r="I1658" s="59"/>
    </row>
    <row r="1659" spans="2:9" x14ac:dyDescent="0.2">
      <c r="B1659" s="60" t="str">
        <f t="shared" si="30"/>
        <v>2017-081-5</v>
      </c>
      <c r="C1659" s="61">
        <v>2017</v>
      </c>
      <c r="D1659" s="61" t="s">
        <v>88</v>
      </c>
      <c r="E1659" s="61">
        <v>5</v>
      </c>
      <c r="F1659" s="62" t="s">
        <v>6</v>
      </c>
      <c r="G1659" s="61"/>
      <c r="H1659" s="63"/>
      <c r="I1659" s="64"/>
    </row>
    <row r="1660" spans="2:9" x14ac:dyDescent="0.2">
      <c r="B1660" s="65" t="str">
        <f t="shared" si="30"/>
        <v>2017-082-0</v>
      </c>
      <c r="C1660" s="66">
        <v>2017</v>
      </c>
      <c r="D1660" s="66" t="s">
        <v>89</v>
      </c>
      <c r="E1660" s="66">
        <v>0</v>
      </c>
      <c r="F1660" s="67" t="s">
        <v>346</v>
      </c>
      <c r="G1660" s="66"/>
      <c r="H1660" s="68"/>
      <c r="I1660" s="69"/>
    </row>
    <row r="1661" spans="2:9" x14ac:dyDescent="0.2">
      <c r="B1661" s="54" t="str">
        <f t="shared" si="30"/>
        <v>2017-082-1</v>
      </c>
      <c r="C1661" s="55">
        <v>2017</v>
      </c>
      <c r="D1661" s="55" t="s">
        <v>89</v>
      </c>
      <c r="E1661" s="55">
        <v>1</v>
      </c>
      <c r="F1661" s="57" t="s">
        <v>681</v>
      </c>
      <c r="G1661" s="55"/>
      <c r="H1661" s="58"/>
      <c r="I1661" s="59"/>
    </row>
    <row r="1662" spans="2:9" x14ac:dyDescent="0.2">
      <c r="B1662" s="54" t="str">
        <f t="shared" si="30"/>
        <v>2017-082-2</v>
      </c>
      <c r="C1662" s="55">
        <v>2017</v>
      </c>
      <c r="D1662" s="55" t="s">
        <v>89</v>
      </c>
      <c r="E1662" s="55">
        <v>2</v>
      </c>
      <c r="F1662" s="57" t="s">
        <v>1005</v>
      </c>
      <c r="G1662" s="55"/>
      <c r="H1662" s="58"/>
      <c r="I1662" s="59"/>
    </row>
    <row r="1663" spans="2:9" x14ac:dyDescent="0.2">
      <c r="B1663" s="54" t="str">
        <f t="shared" si="30"/>
        <v>2017-082-3</v>
      </c>
      <c r="C1663" s="55">
        <v>2017</v>
      </c>
      <c r="D1663" s="55" t="s">
        <v>89</v>
      </c>
      <c r="E1663" s="55">
        <v>3</v>
      </c>
      <c r="F1663" s="57" t="s">
        <v>1321</v>
      </c>
      <c r="G1663" s="55"/>
      <c r="H1663" s="58"/>
      <c r="I1663" s="59"/>
    </row>
    <row r="1664" spans="2:9" x14ac:dyDescent="0.2">
      <c r="B1664" s="54" t="str">
        <f t="shared" si="30"/>
        <v>2017-082-4</v>
      </c>
      <c r="C1664" s="55">
        <v>2017</v>
      </c>
      <c r="D1664" s="55" t="s">
        <v>89</v>
      </c>
      <c r="E1664" s="55">
        <v>4</v>
      </c>
      <c r="F1664" s="57" t="s">
        <v>1625</v>
      </c>
      <c r="G1664" s="55"/>
      <c r="H1664" s="58"/>
      <c r="I1664" s="59"/>
    </row>
    <row r="1665" spans="2:9" x14ac:dyDescent="0.2">
      <c r="B1665" s="60" t="str">
        <f t="shared" si="30"/>
        <v>2017-082-5</v>
      </c>
      <c r="C1665" s="61">
        <v>2017</v>
      </c>
      <c r="D1665" s="61" t="s">
        <v>89</v>
      </c>
      <c r="E1665" s="61">
        <v>5</v>
      </c>
      <c r="F1665" s="62" t="s">
        <v>1920</v>
      </c>
      <c r="G1665" s="61" t="s">
        <v>2735</v>
      </c>
      <c r="H1665" s="63"/>
      <c r="I1665" s="64"/>
    </row>
    <row r="1666" spans="2:9" ht="54" x14ac:dyDescent="0.2">
      <c r="B1666" s="65" t="str">
        <f t="shared" si="30"/>
        <v>2017-083-0</v>
      </c>
      <c r="C1666" s="66">
        <v>2017</v>
      </c>
      <c r="D1666" s="66" t="s">
        <v>90</v>
      </c>
      <c r="E1666" s="66">
        <v>0</v>
      </c>
      <c r="F1666" s="67" t="s">
        <v>347</v>
      </c>
      <c r="G1666" s="66"/>
      <c r="H1666" s="68"/>
      <c r="I1666" s="69"/>
    </row>
    <row r="1667" spans="2:9" x14ac:dyDescent="0.2">
      <c r="B1667" s="54" t="str">
        <f t="shared" si="30"/>
        <v>2017-083-1</v>
      </c>
      <c r="C1667" s="55">
        <v>2017</v>
      </c>
      <c r="D1667" s="55" t="s">
        <v>90</v>
      </c>
      <c r="E1667" s="55">
        <v>1</v>
      </c>
      <c r="F1667" s="57" t="s">
        <v>5</v>
      </c>
      <c r="G1667" s="55" t="s">
        <v>2735</v>
      </c>
      <c r="H1667" s="58"/>
      <c r="I1667" s="59"/>
    </row>
    <row r="1668" spans="2:9" x14ac:dyDescent="0.2">
      <c r="B1668" s="54" t="str">
        <f t="shared" si="30"/>
        <v>2017-083-2</v>
      </c>
      <c r="C1668" s="55">
        <v>2017</v>
      </c>
      <c r="D1668" s="55" t="s">
        <v>90</v>
      </c>
      <c r="E1668" s="55">
        <v>2</v>
      </c>
      <c r="F1668" s="57" t="s">
        <v>4</v>
      </c>
      <c r="G1668" s="55"/>
      <c r="H1668" s="58"/>
      <c r="I1668" s="59"/>
    </row>
    <row r="1669" spans="2:9" x14ac:dyDescent="0.2">
      <c r="B1669" s="54" t="str">
        <f t="shared" si="30"/>
        <v>2017-083-3</v>
      </c>
      <c r="C1669" s="55">
        <v>2017</v>
      </c>
      <c r="D1669" s="55" t="s">
        <v>90</v>
      </c>
      <c r="E1669" s="55">
        <v>3</v>
      </c>
      <c r="F1669" s="57" t="s">
        <v>8</v>
      </c>
      <c r="G1669" s="55"/>
      <c r="H1669" s="58"/>
      <c r="I1669" s="59"/>
    </row>
    <row r="1670" spans="2:9" x14ac:dyDescent="0.2">
      <c r="B1670" s="54" t="str">
        <f t="shared" si="30"/>
        <v>2017-083-4</v>
      </c>
      <c r="C1670" s="55">
        <v>2017</v>
      </c>
      <c r="D1670" s="55" t="s">
        <v>90</v>
      </c>
      <c r="E1670" s="55">
        <v>4</v>
      </c>
      <c r="F1670" s="57" t="s">
        <v>16</v>
      </c>
      <c r="G1670" s="55"/>
      <c r="H1670" s="58"/>
      <c r="I1670" s="59"/>
    </row>
    <row r="1671" spans="2:9" x14ac:dyDescent="0.2">
      <c r="B1671" s="60" t="str">
        <f t="shared" si="30"/>
        <v>2017-083-5</v>
      </c>
      <c r="C1671" s="61">
        <v>2017</v>
      </c>
      <c r="D1671" s="61" t="s">
        <v>90</v>
      </c>
      <c r="E1671" s="61">
        <v>5</v>
      </c>
      <c r="F1671" s="62" t="s">
        <v>6</v>
      </c>
      <c r="G1671" s="61"/>
      <c r="H1671" s="63"/>
      <c r="I1671" s="64"/>
    </row>
    <row r="1672" spans="2:9" x14ac:dyDescent="0.2">
      <c r="B1672" s="65" t="str">
        <f t="shared" si="30"/>
        <v>2017-084-0</v>
      </c>
      <c r="C1672" s="66">
        <v>2017</v>
      </c>
      <c r="D1672" s="66" t="s">
        <v>91</v>
      </c>
      <c r="E1672" s="66">
        <v>0</v>
      </c>
      <c r="F1672" s="67" t="s">
        <v>348</v>
      </c>
      <c r="G1672" s="66"/>
      <c r="H1672" s="68"/>
      <c r="I1672" s="69"/>
    </row>
    <row r="1673" spans="2:9" ht="27" x14ac:dyDescent="0.2">
      <c r="B1673" s="54" t="str">
        <f t="shared" ref="B1673:B1736" si="31">C1673&amp;"-"&amp;D1673&amp;"-"&amp;E1673</f>
        <v>2017-084-1</v>
      </c>
      <c r="C1673" s="55">
        <v>2017</v>
      </c>
      <c r="D1673" s="55" t="s">
        <v>91</v>
      </c>
      <c r="E1673" s="55">
        <v>1</v>
      </c>
      <c r="F1673" s="57" t="s">
        <v>682</v>
      </c>
      <c r="G1673" s="55"/>
      <c r="H1673" s="58"/>
      <c r="I1673" s="59"/>
    </row>
    <row r="1674" spans="2:9" ht="27" x14ac:dyDescent="0.2">
      <c r="B1674" s="54" t="str">
        <f t="shared" si="31"/>
        <v>2017-084-2</v>
      </c>
      <c r="C1674" s="55">
        <v>2017</v>
      </c>
      <c r="D1674" s="55" t="s">
        <v>91</v>
      </c>
      <c r="E1674" s="55">
        <v>2</v>
      </c>
      <c r="F1674" s="57" t="s">
        <v>1006</v>
      </c>
      <c r="G1674" s="55"/>
      <c r="H1674" s="58"/>
      <c r="I1674" s="59"/>
    </row>
    <row r="1675" spans="2:9" x14ac:dyDescent="0.2">
      <c r="B1675" s="54" t="str">
        <f t="shared" si="31"/>
        <v>2017-084-3</v>
      </c>
      <c r="C1675" s="55">
        <v>2017</v>
      </c>
      <c r="D1675" s="55" t="s">
        <v>91</v>
      </c>
      <c r="E1675" s="55">
        <v>3</v>
      </c>
      <c r="F1675" s="57" t="s">
        <v>1322</v>
      </c>
      <c r="G1675" s="55"/>
      <c r="H1675" s="58"/>
      <c r="I1675" s="59"/>
    </row>
    <row r="1676" spans="2:9" x14ac:dyDescent="0.2">
      <c r="B1676" s="54" t="str">
        <f t="shared" si="31"/>
        <v>2017-084-4</v>
      </c>
      <c r="C1676" s="55">
        <v>2017</v>
      </c>
      <c r="D1676" s="55" t="s">
        <v>91</v>
      </c>
      <c r="E1676" s="55">
        <v>4</v>
      </c>
      <c r="F1676" s="57" t="s">
        <v>1626</v>
      </c>
      <c r="G1676" s="55" t="s">
        <v>2735</v>
      </c>
      <c r="H1676" s="58"/>
      <c r="I1676" s="59"/>
    </row>
    <row r="1677" spans="2:9" x14ac:dyDescent="0.2">
      <c r="B1677" s="60" t="str">
        <f t="shared" si="31"/>
        <v>2017-084-5</v>
      </c>
      <c r="C1677" s="61">
        <v>2017</v>
      </c>
      <c r="D1677" s="61" t="s">
        <v>91</v>
      </c>
      <c r="E1677" s="61">
        <v>5</v>
      </c>
      <c r="F1677" s="62" t="s">
        <v>1921</v>
      </c>
      <c r="G1677" s="61"/>
      <c r="H1677" s="63"/>
      <c r="I1677" s="64"/>
    </row>
    <row r="1678" spans="2:9" x14ac:dyDescent="0.2">
      <c r="B1678" s="65" t="str">
        <f t="shared" si="31"/>
        <v>2017-085-0</v>
      </c>
      <c r="C1678" s="66">
        <v>2017</v>
      </c>
      <c r="D1678" s="66" t="s">
        <v>92</v>
      </c>
      <c r="E1678" s="66">
        <v>0</v>
      </c>
      <c r="F1678" s="67" t="s">
        <v>349</v>
      </c>
      <c r="G1678" s="66"/>
      <c r="H1678" s="68"/>
      <c r="I1678" s="69"/>
    </row>
    <row r="1679" spans="2:9" x14ac:dyDescent="0.2">
      <c r="B1679" s="54" t="str">
        <f t="shared" si="31"/>
        <v>2017-085-1</v>
      </c>
      <c r="C1679" s="55">
        <v>2017</v>
      </c>
      <c r="D1679" s="55" t="s">
        <v>92</v>
      </c>
      <c r="E1679" s="55">
        <v>1</v>
      </c>
      <c r="F1679" s="57" t="s">
        <v>666</v>
      </c>
      <c r="G1679" s="55"/>
      <c r="H1679" s="58"/>
      <c r="I1679" s="59"/>
    </row>
    <row r="1680" spans="2:9" x14ac:dyDescent="0.2">
      <c r="B1680" s="54" t="str">
        <f t="shared" si="31"/>
        <v>2017-085-2</v>
      </c>
      <c r="C1680" s="55">
        <v>2017</v>
      </c>
      <c r="D1680" s="55" t="s">
        <v>92</v>
      </c>
      <c r="E1680" s="55">
        <v>2</v>
      </c>
      <c r="F1680" s="57" t="s">
        <v>1007</v>
      </c>
      <c r="G1680" s="55"/>
      <c r="H1680" s="58"/>
      <c r="I1680" s="59"/>
    </row>
    <row r="1681" spans="2:9" x14ac:dyDescent="0.2">
      <c r="B1681" s="54" t="str">
        <f t="shared" si="31"/>
        <v>2017-085-3</v>
      </c>
      <c r="C1681" s="55">
        <v>2017</v>
      </c>
      <c r="D1681" s="55" t="s">
        <v>92</v>
      </c>
      <c r="E1681" s="55">
        <v>3</v>
      </c>
      <c r="F1681" s="57" t="s">
        <v>1323</v>
      </c>
      <c r="G1681" s="55"/>
      <c r="H1681" s="58"/>
      <c r="I1681" s="59"/>
    </row>
    <row r="1682" spans="2:9" x14ac:dyDescent="0.2">
      <c r="B1682" s="54" t="str">
        <f t="shared" si="31"/>
        <v>2017-085-4</v>
      </c>
      <c r="C1682" s="55">
        <v>2017</v>
      </c>
      <c r="D1682" s="55" t="s">
        <v>92</v>
      </c>
      <c r="E1682" s="55">
        <v>4</v>
      </c>
      <c r="F1682" s="57" t="s">
        <v>1627</v>
      </c>
      <c r="G1682" s="55"/>
      <c r="H1682" s="58"/>
      <c r="I1682" s="59"/>
    </row>
    <row r="1683" spans="2:9" x14ac:dyDescent="0.2">
      <c r="B1683" s="60" t="str">
        <f t="shared" si="31"/>
        <v>2017-085-5</v>
      </c>
      <c r="C1683" s="61">
        <v>2017</v>
      </c>
      <c r="D1683" s="61" t="s">
        <v>92</v>
      </c>
      <c r="E1683" s="61">
        <v>5</v>
      </c>
      <c r="F1683" s="62" t="s">
        <v>1922</v>
      </c>
      <c r="G1683" s="61" t="s">
        <v>2735</v>
      </c>
      <c r="H1683" s="63"/>
      <c r="I1683" s="64"/>
    </row>
    <row r="1684" spans="2:9" x14ac:dyDescent="0.2">
      <c r="B1684" s="65" t="str">
        <f t="shared" si="31"/>
        <v>2017-086-0</v>
      </c>
      <c r="C1684" s="66">
        <v>2017</v>
      </c>
      <c r="D1684" s="66" t="s">
        <v>93</v>
      </c>
      <c r="E1684" s="66">
        <v>0</v>
      </c>
      <c r="F1684" s="67" t="s">
        <v>350</v>
      </c>
      <c r="G1684" s="66"/>
      <c r="H1684" s="68"/>
      <c r="I1684" s="69"/>
    </row>
    <row r="1685" spans="2:9" x14ac:dyDescent="0.2">
      <c r="B1685" s="54" t="str">
        <f t="shared" si="31"/>
        <v>2017-086-1</v>
      </c>
      <c r="C1685" s="55">
        <v>2017</v>
      </c>
      <c r="D1685" s="55" t="s">
        <v>93</v>
      </c>
      <c r="E1685" s="55">
        <v>1</v>
      </c>
      <c r="F1685" s="57" t="s">
        <v>683</v>
      </c>
      <c r="G1685" s="55"/>
      <c r="H1685" s="58"/>
      <c r="I1685" s="59"/>
    </row>
    <row r="1686" spans="2:9" x14ac:dyDescent="0.2">
      <c r="B1686" s="54" t="str">
        <f t="shared" si="31"/>
        <v>2017-086-2</v>
      </c>
      <c r="C1686" s="55">
        <v>2017</v>
      </c>
      <c r="D1686" s="55" t="s">
        <v>93</v>
      </c>
      <c r="E1686" s="55">
        <v>2</v>
      </c>
      <c r="F1686" s="57" t="s">
        <v>1008</v>
      </c>
      <c r="G1686" s="55"/>
      <c r="H1686" s="58"/>
      <c r="I1686" s="59"/>
    </row>
    <row r="1687" spans="2:9" x14ac:dyDescent="0.2">
      <c r="B1687" s="54" t="str">
        <f t="shared" si="31"/>
        <v>2017-086-3</v>
      </c>
      <c r="C1687" s="55">
        <v>2017</v>
      </c>
      <c r="D1687" s="55" t="s">
        <v>93</v>
      </c>
      <c r="E1687" s="55">
        <v>3</v>
      </c>
      <c r="F1687" s="57" t="s">
        <v>1324</v>
      </c>
      <c r="G1687" s="55"/>
      <c r="H1687" s="58"/>
      <c r="I1687" s="59"/>
    </row>
    <row r="1688" spans="2:9" x14ac:dyDescent="0.2">
      <c r="B1688" s="54" t="str">
        <f t="shared" si="31"/>
        <v>2017-086-4</v>
      </c>
      <c r="C1688" s="55">
        <v>2017</v>
      </c>
      <c r="D1688" s="55" t="s">
        <v>93</v>
      </c>
      <c r="E1688" s="55">
        <v>4</v>
      </c>
      <c r="F1688" s="57" t="s">
        <v>1628</v>
      </c>
      <c r="G1688" s="55" t="s">
        <v>2735</v>
      </c>
      <c r="H1688" s="58"/>
      <c r="I1688" s="59"/>
    </row>
    <row r="1689" spans="2:9" x14ac:dyDescent="0.2">
      <c r="B1689" s="60" t="str">
        <f t="shared" si="31"/>
        <v>2017-086-5</v>
      </c>
      <c r="C1689" s="61">
        <v>2017</v>
      </c>
      <c r="D1689" s="61" t="s">
        <v>93</v>
      </c>
      <c r="E1689" s="61">
        <v>5</v>
      </c>
      <c r="F1689" s="62" t="s">
        <v>1923</v>
      </c>
      <c r="G1689" s="61"/>
      <c r="H1689" s="63"/>
      <c r="I1689" s="64"/>
    </row>
    <row r="1690" spans="2:9" ht="40.5" x14ac:dyDescent="0.2">
      <c r="B1690" s="65" t="str">
        <f t="shared" si="31"/>
        <v>2017-087-0</v>
      </c>
      <c r="C1690" s="66">
        <v>2017</v>
      </c>
      <c r="D1690" s="66" t="s">
        <v>94</v>
      </c>
      <c r="E1690" s="66">
        <v>0</v>
      </c>
      <c r="F1690" s="67" t="s">
        <v>351</v>
      </c>
      <c r="G1690" s="66"/>
      <c r="H1690" s="68"/>
      <c r="I1690" s="69"/>
    </row>
    <row r="1691" spans="2:9" x14ac:dyDescent="0.2">
      <c r="B1691" s="54" t="str">
        <f t="shared" si="31"/>
        <v>2017-087-1</v>
      </c>
      <c r="C1691" s="55">
        <v>2017</v>
      </c>
      <c r="D1691" s="55" t="s">
        <v>94</v>
      </c>
      <c r="E1691" s="55">
        <v>1</v>
      </c>
      <c r="F1691" s="57" t="s">
        <v>684</v>
      </c>
      <c r="G1691" s="55"/>
      <c r="H1691" s="58"/>
      <c r="I1691" s="59"/>
    </row>
    <row r="1692" spans="2:9" x14ac:dyDescent="0.2">
      <c r="B1692" s="54" t="str">
        <f t="shared" si="31"/>
        <v>2017-087-2</v>
      </c>
      <c r="C1692" s="55">
        <v>2017</v>
      </c>
      <c r="D1692" s="55" t="s">
        <v>94</v>
      </c>
      <c r="E1692" s="55">
        <v>2</v>
      </c>
      <c r="F1692" s="57" t="s">
        <v>1009</v>
      </c>
      <c r="G1692" s="55"/>
      <c r="H1692" s="58"/>
      <c r="I1692" s="59"/>
    </row>
    <row r="1693" spans="2:9" x14ac:dyDescent="0.2">
      <c r="B1693" s="54" t="str">
        <f t="shared" si="31"/>
        <v>2017-087-3</v>
      </c>
      <c r="C1693" s="55">
        <v>2017</v>
      </c>
      <c r="D1693" s="55" t="s">
        <v>94</v>
      </c>
      <c r="E1693" s="55">
        <v>3</v>
      </c>
      <c r="F1693" s="57" t="s">
        <v>1325</v>
      </c>
      <c r="G1693" s="55" t="s">
        <v>2735</v>
      </c>
      <c r="H1693" s="58"/>
      <c r="I1693" s="59"/>
    </row>
    <row r="1694" spans="2:9" x14ac:dyDescent="0.2">
      <c r="B1694" s="54" t="str">
        <f t="shared" si="31"/>
        <v>2017-087-4</v>
      </c>
      <c r="C1694" s="55">
        <v>2017</v>
      </c>
      <c r="D1694" s="55" t="s">
        <v>94</v>
      </c>
      <c r="E1694" s="55">
        <v>4</v>
      </c>
      <c r="F1694" s="57" t="s">
        <v>1629</v>
      </c>
      <c r="G1694" s="55"/>
      <c r="H1694" s="58"/>
      <c r="I1694" s="59"/>
    </row>
    <row r="1695" spans="2:9" x14ac:dyDescent="0.2">
      <c r="B1695" s="60" t="str">
        <f t="shared" si="31"/>
        <v>2017-087-5</v>
      </c>
      <c r="C1695" s="61">
        <v>2017</v>
      </c>
      <c r="D1695" s="61" t="s">
        <v>94</v>
      </c>
      <c r="E1695" s="61">
        <v>5</v>
      </c>
      <c r="F1695" s="62" t="s">
        <v>1924</v>
      </c>
      <c r="G1695" s="61"/>
      <c r="H1695" s="63"/>
      <c r="I1695" s="64"/>
    </row>
    <row r="1696" spans="2:9" x14ac:dyDescent="0.2">
      <c r="B1696" s="65" t="str">
        <f t="shared" si="31"/>
        <v>2017-088-0</v>
      </c>
      <c r="C1696" s="66">
        <v>2017</v>
      </c>
      <c r="D1696" s="66" t="s">
        <v>95</v>
      </c>
      <c r="E1696" s="66">
        <v>0</v>
      </c>
      <c r="F1696" s="67" t="s">
        <v>352</v>
      </c>
      <c r="G1696" s="66"/>
      <c r="H1696" s="68"/>
      <c r="I1696" s="69"/>
    </row>
    <row r="1697" spans="2:9" x14ac:dyDescent="0.2">
      <c r="B1697" s="54" t="str">
        <f t="shared" si="31"/>
        <v>2017-088-1</v>
      </c>
      <c r="C1697" s="55">
        <v>2017</v>
      </c>
      <c r="D1697" s="55" t="s">
        <v>95</v>
      </c>
      <c r="E1697" s="55">
        <v>1</v>
      </c>
      <c r="F1697" s="57" t="s">
        <v>685</v>
      </c>
      <c r="G1697" s="55"/>
      <c r="H1697" s="58"/>
      <c r="I1697" s="59"/>
    </row>
    <row r="1698" spans="2:9" x14ac:dyDescent="0.2">
      <c r="B1698" s="54" t="str">
        <f t="shared" si="31"/>
        <v>2017-088-2</v>
      </c>
      <c r="C1698" s="55">
        <v>2017</v>
      </c>
      <c r="D1698" s="55" t="s">
        <v>95</v>
      </c>
      <c r="E1698" s="55">
        <v>2</v>
      </c>
      <c r="F1698" s="57" t="s">
        <v>748</v>
      </c>
      <c r="G1698" s="55" t="s">
        <v>2735</v>
      </c>
      <c r="H1698" s="58"/>
      <c r="I1698" s="59"/>
    </row>
    <row r="1699" spans="2:9" x14ac:dyDescent="0.2">
      <c r="B1699" s="54" t="str">
        <f t="shared" si="31"/>
        <v>2017-088-3</v>
      </c>
      <c r="C1699" s="55">
        <v>2017</v>
      </c>
      <c r="D1699" s="55" t="s">
        <v>95</v>
      </c>
      <c r="E1699" s="55">
        <v>3</v>
      </c>
      <c r="F1699" s="57" t="s">
        <v>1326</v>
      </c>
      <c r="G1699" s="55"/>
      <c r="H1699" s="58"/>
      <c r="I1699" s="59"/>
    </row>
    <row r="1700" spans="2:9" x14ac:dyDescent="0.2">
      <c r="B1700" s="54" t="str">
        <f t="shared" si="31"/>
        <v>2017-088-4</v>
      </c>
      <c r="C1700" s="55">
        <v>2017</v>
      </c>
      <c r="D1700" s="55" t="s">
        <v>95</v>
      </c>
      <c r="E1700" s="55">
        <v>4</v>
      </c>
      <c r="F1700" s="57" t="s">
        <v>1630</v>
      </c>
      <c r="G1700" s="55"/>
      <c r="H1700" s="58"/>
      <c r="I1700" s="59"/>
    </row>
    <row r="1701" spans="2:9" x14ac:dyDescent="0.2">
      <c r="B1701" s="60" t="str">
        <f t="shared" si="31"/>
        <v>2017-088-5</v>
      </c>
      <c r="C1701" s="61">
        <v>2017</v>
      </c>
      <c r="D1701" s="61" t="s">
        <v>95</v>
      </c>
      <c r="E1701" s="61">
        <v>5</v>
      </c>
      <c r="F1701" s="62" t="s">
        <v>1925</v>
      </c>
      <c r="G1701" s="61"/>
      <c r="H1701" s="63"/>
      <c r="I1701" s="64"/>
    </row>
    <row r="1702" spans="2:9" x14ac:dyDescent="0.2">
      <c r="B1702" s="65" t="str">
        <f t="shared" si="31"/>
        <v>2017-089-0</v>
      </c>
      <c r="C1702" s="66">
        <v>2017</v>
      </c>
      <c r="D1702" s="66" t="s">
        <v>96</v>
      </c>
      <c r="E1702" s="66">
        <v>0</v>
      </c>
      <c r="F1702" s="67" t="s">
        <v>353</v>
      </c>
      <c r="G1702" s="66"/>
      <c r="H1702" s="68"/>
      <c r="I1702" s="69"/>
    </row>
    <row r="1703" spans="2:9" x14ac:dyDescent="0.2">
      <c r="B1703" s="54" t="str">
        <f t="shared" si="31"/>
        <v>2017-089-1</v>
      </c>
      <c r="C1703" s="55">
        <v>2017</v>
      </c>
      <c r="D1703" s="55" t="s">
        <v>96</v>
      </c>
      <c r="E1703" s="55">
        <v>1</v>
      </c>
      <c r="F1703" s="57" t="s">
        <v>686</v>
      </c>
      <c r="G1703" s="55"/>
      <c r="H1703" s="58"/>
      <c r="I1703" s="59"/>
    </row>
    <row r="1704" spans="2:9" x14ac:dyDescent="0.2">
      <c r="B1704" s="54" t="str">
        <f t="shared" si="31"/>
        <v>2017-089-2</v>
      </c>
      <c r="C1704" s="55">
        <v>2017</v>
      </c>
      <c r="D1704" s="55" t="s">
        <v>96</v>
      </c>
      <c r="E1704" s="55">
        <v>2</v>
      </c>
      <c r="F1704" s="57" t="s">
        <v>1010</v>
      </c>
      <c r="G1704" s="55"/>
      <c r="H1704" s="58"/>
      <c r="I1704" s="59"/>
    </row>
    <row r="1705" spans="2:9" ht="27" x14ac:dyDescent="0.2">
      <c r="B1705" s="54" t="str">
        <f t="shared" si="31"/>
        <v>2017-089-3</v>
      </c>
      <c r="C1705" s="55">
        <v>2017</v>
      </c>
      <c r="D1705" s="55" t="s">
        <v>96</v>
      </c>
      <c r="E1705" s="55">
        <v>3</v>
      </c>
      <c r="F1705" s="57" t="s">
        <v>1327</v>
      </c>
      <c r="G1705" s="55"/>
      <c r="H1705" s="58"/>
      <c r="I1705" s="59"/>
    </row>
    <row r="1706" spans="2:9" ht="27" x14ac:dyDescent="0.2">
      <c r="B1706" s="54" t="str">
        <f t="shared" si="31"/>
        <v>2017-089-4</v>
      </c>
      <c r="C1706" s="55">
        <v>2017</v>
      </c>
      <c r="D1706" s="55" t="s">
        <v>96</v>
      </c>
      <c r="E1706" s="55">
        <v>4</v>
      </c>
      <c r="F1706" s="57" t="s">
        <v>1631</v>
      </c>
      <c r="G1706" s="55"/>
      <c r="H1706" s="58"/>
      <c r="I1706" s="59"/>
    </row>
    <row r="1707" spans="2:9" ht="27" x14ac:dyDescent="0.2">
      <c r="B1707" s="60" t="str">
        <f t="shared" si="31"/>
        <v>2017-089-5</v>
      </c>
      <c r="C1707" s="61">
        <v>2017</v>
      </c>
      <c r="D1707" s="61" t="s">
        <v>96</v>
      </c>
      <c r="E1707" s="61">
        <v>5</v>
      </c>
      <c r="F1707" s="62" t="s">
        <v>1926</v>
      </c>
      <c r="G1707" s="61" t="s">
        <v>2735</v>
      </c>
      <c r="H1707" s="63"/>
      <c r="I1707" s="64"/>
    </row>
    <row r="1708" spans="2:9" x14ac:dyDescent="0.2">
      <c r="B1708" s="65" t="str">
        <f t="shared" si="31"/>
        <v>2017-090-0</v>
      </c>
      <c r="C1708" s="66">
        <v>2017</v>
      </c>
      <c r="D1708" s="66" t="s">
        <v>97</v>
      </c>
      <c r="E1708" s="66">
        <v>0</v>
      </c>
      <c r="F1708" s="67" t="s">
        <v>354</v>
      </c>
      <c r="G1708" s="66"/>
      <c r="H1708" s="68"/>
      <c r="I1708" s="69"/>
    </row>
    <row r="1709" spans="2:9" x14ac:dyDescent="0.2">
      <c r="B1709" s="54" t="str">
        <f t="shared" si="31"/>
        <v>2017-090-1</v>
      </c>
      <c r="C1709" s="55">
        <v>2017</v>
      </c>
      <c r="D1709" s="55" t="s">
        <v>97</v>
      </c>
      <c r="E1709" s="55">
        <v>1</v>
      </c>
      <c r="F1709" s="57" t="s">
        <v>687</v>
      </c>
      <c r="G1709" s="55" t="s">
        <v>2735</v>
      </c>
      <c r="H1709" s="58"/>
      <c r="I1709" s="59"/>
    </row>
    <row r="1710" spans="2:9" x14ac:dyDescent="0.2">
      <c r="B1710" s="54" t="str">
        <f t="shared" si="31"/>
        <v>2017-090-2</v>
      </c>
      <c r="C1710" s="55">
        <v>2017</v>
      </c>
      <c r="D1710" s="55" t="s">
        <v>97</v>
      </c>
      <c r="E1710" s="55">
        <v>2</v>
      </c>
      <c r="F1710" s="57" t="s">
        <v>1011</v>
      </c>
      <c r="G1710" s="55"/>
      <c r="H1710" s="58"/>
      <c r="I1710" s="59"/>
    </row>
    <row r="1711" spans="2:9" x14ac:dyDescent="0.2">
      <c r="B1711" s="54" t="str">
        <f t="shared" si="31"/>
        <v>2017-090-3</v>
      </c>
      <c r="C1711" s="55">
        <v>2017</v>
      </c>
      <c r="D1711" s="55" t="s">
        <v>97</v>
      </c>
      <c r="E1711" s="55">
        <v>3</v>
      </c>
      <c r="F1711" s="57" t="s">
        <v>1328</v>
      </c>
      <c r="G1711" s="55"/>
      <c r="H1711" s="58"/>
      <c r="I1711" s="59"/>
    </row>
    <row r="1712" spans="2:9" x14ac:dyDescent="0.2">
      <c r="B1712" s="54" t="str">
        <f t="shared" si="31"/>
        <v>2017-090-4</v>
      </c>
      <c r="C1712" s="55">
        <v>2017</v>
      </c>
      <c r="D1712" s="55" t="s">
        <v>97</v>
      </c>
      <c r="E1712" s="55">
        <v>4</v>
      </c>
      <c r="F1712" s="57" t="s">
        <v>1632</v>
      </c>
      <c r="G1712" s="55"/>
      <c r="H1712" s="58"/>
      <c r="I1712" s="59"/>
    </row>
    <row r="1713" spans="2:9" x14ac:dyDescent="0.2">
      <c r="B1713" s="60" t="str">
        <f t="shared" si="31"/>
        <v>2017-090-5</v>
      </c>
      <c r="C1713" s="61">
        <v>2017</v>
      </c>
      <c r="D1713" s="61" t="s">
        <v>97</v>
      </c>
      <c r="E1713" s="61">
        <v>5</v>
      </c>
      <c r="F1713" s="62" t="s">
        <v>1927</v>
      </c>
      <c r="G1713" s="61"/>
      <c r="H1713" s="63"/>
      <c r="I1713" s="64"/>
    </row>
    <row r="1714" spans="2:9" x14ac:dyDescent="0.2">
      <c r="B1714" s="65" t="str">
        <f t="shared" si="31"/>
        <v>2017-091-0</v>
      </c>
      <c r="C1714" s="66">
        <v>2017</v>
      </c>
      <c r="D1714" s="66" t="s">
        <v>98</v>
      </c>
      <c r="E1714" s="66">
        <v>0</v>
      </c>
      <c r="F1714" s="67" t="s">
        <v>329</v>
      </c>
      <c r="G1714" s="66"/>
      <c r="H1714" s="68"/>
      <c r="I1714" s="69"/>
    </row>
    <row r="1715" spans="2:9" x14ac:dyDescent="0.2">
      <c r="B1715" s="54" t="str">
        <f t="shared" si="31"/>
        <v>2017-091-1</v>
      </c>
      <c r="C1715" s="55">
        <v>2017</v>
      </c>
      <c r="D1715" s="55" t="s">
        <v>98</v>
      </c>
      <c r="E1715" s="55">
        <v>1</v>
      </c>
      <c r="F1715" s="57" t="s">
        <v>688</v>
      </c>
      <c r="G1715" s="55"/>
      <c r="H1715" s="58"/>
      <c r="I1715" s="59"/>
    </row>
    <row r="1716" spans="2:9" ht="27" x14ac:dyDescent="0.2">
      <c r="B1716" s="54" t="str">
        <f t="shared" si="31"/>
        <v>2017-091-2</v>
      </c>
      <c r="C1716" s="55">
        <v>2017</v>
      </c>
      <c r="D1716" s="55" t="s">
        <v>98</v>
      </c>
      <c r="E1716" s="55">
        <v>2</v>
      </c>
      <c r="F1716" s="57" t="s">
        <v>1012</v>
      </c>
      <c r="G1716" s="55"/>
      <c r="H1716" s="58"/>
      <c r="I1716" s="59"/>
    </row>
    <row r="1717" spans="2:9" x14ac:dyDescent="0.2">
      <c r="B1717" s="54" t="str">
        <f t="shared" si="31"/>
        <v>2017-091-3</v>
      </c>
      <c r="C1717" s="55">
        <v>2017</v>
      </c>
      <c r="D1717" s="55" t="s">
        <v>98</v>
      </c>
      <c r="E1717" s="55">
        <v>3</v>
      </c>
      <c r="F1717" s="57" t="s">
        <v>1329</v>
      </c>
      <c r="G1717" s="55" t="s">
        <v>2735</v>
      </c>
      <c r="H1717" s="58"/>
      <c r="I1717" s="59"/>
    </row>
    <row r="1718" spans="2:9" x14ac:dyDescent="0.2">
      <c r="B1718" s="54" t="str">
        <f t="shared" si="31"/>
        <v>2017-091-4</v>
      </c>
      <c r="C1718" s="55">
        <v>2017</v>
      </c>
      <c r="D1718" s="55" t="s">
        <v>98</v>
      </c>
      <c r="E1718" s="55">
        <v>4</v>
      </c>
      <c r="F1718" s="57" t="s">
        <v>1633</v>
      </c>
      <c r="G1718" s="55"/>
      <c r="H1718" s="58"/>
      <c r="I1718" s="59"/>
    </row>
    <row r="1719" spans="2:9" ht="27" x14ac:dyDescent="0.2">
      <c r="B1719" s="60" t="str">
        <f t="shared" si="31"/>
        <v>2017-091-5</v>
      </c>
      <c r="C1719" s="61">
        <v>2017</v>
      </c>
      <c r="D1719" s="61" t="s">
        <v>98</v>
      </c>
      <c r="E1719" s="61">
        <v>5</v>
      </c>
      <c r="F1719" s="62" t="s">
        <v>1928</v>
      </c>
      <c r="G1719" s="61"/>
      <c r="H1719" s="63"/>
      <c r="I1719" s="64"/>
    </row>
    <row r="1720" spans="2:9" ht="40.5" x14ac:dyDescent="0.2">
      <c r="B1720" s="65" t="str">
        <f t="shared" si="31"/>
        <v>2017-092-0</v>
      </c>
      <c r="C1720" s="66">
        <v>2017</v>
      </c>
      <c r="D1720" s="66" t="s">
        <v>99</v>
      </c>
      <c r="E1720" s="66">
        <v>0</v>
      </c>
      <c r="F1720" s="67" t="s">
        <v>355</v>
      </c>
      <c r="G1720" s="66"/>
      <c r="H1720" s="68"/>
      <c r="I1720" s="69"/>
    </row>
    <row r="1721" spans="2:9" x14ac:dyDescent="0.2">
      <c r="B1721" s="54" t="str">
        <f t="shared" si="31"/>
        <v>2017-092-1</v>
      </c>
      <c r="C1721" s="55">
        <v>2017</v>
      </c>
      <c r="D1721" s="55" t="s">
        <v>99</v>
      </c>
      <c r="E1721" s="55">
        <v>1</v>
      </c>
      <c r="F1721" s="57" t="s">
        <v>689</v>
      </c>
      <c r="G1721" s="55" t="s">
        <v>2735</v>
      </c>
      <c r="H1721" s="58"/>
      <c r="I1721" s="59"/>
    </row>
    <row r="1722" spans="2:9" x14ac:dyDescent="0.2">
      <c r="B1722" s="54" t="str">
        <f t="shared" si="31"/>
        <v>2017-092-2</v>
      </c>
      <c r="C1722" s="55">
        <v>2017</v>
      </c>
      <c r="D1722" s="55" t="s">
        <v>99</v>
      </c>
      <c r="E1722" s="55">
        <v>2</v>
      </c>
      <c r="F1722" s="57" t="s">
        <v>1013</v>
      </c>
      <c r="G1722" s="55"/>
      <c r="H1722" s="58"/>
      <c r="I1722" s="59"/>
    </row>
    <row r="1723" spans="2:9" x14ac:dyDescent="0.2">
      <c r="B1723" s="54" t="str">
        <f t="shared" si="31"/>
        <v>2017-092-3</v>
      </c>
      <c r="C1723" s="55">
        <v>2017</v>
      </c>
      <c r="D1723" s="55" t="s">
        <v>99</v>
      </c>
      <c r="E1723" s="55">
        <v>3</v>
      </c>
      <c r="F1723" s="57" t="s">
        <v>1330</v>
      </c>
      <c r="G1723" s="55"/>
      <c r="H1723" s="58"/>
      <c r="I1723" s="59"/>
    </row>
    <row r="1724" spans="2:9" x14ac:dyDescent="0.2">
      <c r="B1724" s="54" t="str">
        <f t="shared" si="31"/>
        <v>2017-092-4</v>
      </c>
      <c r="C1724" s="55">
        <v>2017</v>
      </c>
      <c r="D1724" s="55" t="s">
        <v>99</v>
      </c>
      <c r="E1724" s="55">
        <v>4</v>
      </c>
      <c r="F1724" s="57" t="s">
        <v>1634</v>
      </c>
      <c r="G1724" s="55"/>
      <c r="H1724" s="58"/>
      <c r="I1724" s="59"/>
    </row>
    <row r="1725" spans="2:9" x14ac:dyDescent="0.2">
      <c r="B1725" s="60" t="str">
        <f t="shared" si="31"/>
        <v>2017-092-5</v>
      </c>
      <c r="C1725" s="61">
        <v>2017</v>
      </c>
      <c r="D1725" s="61" t="s">
        <v>99</v>
      </c>
      <c r="E1725" s="61">
        <v>5</v>
      </c>
      <c r="F1725" s="62" t="s">
        <v>1929</v>
      </c>
      <c r="G1725" s="61"/>
      <c r="H1725" s="63"/>
      <c r="I1725" s="64"/>
    </row>
    <row r="1726" spans="2:9" x14ac:dyDescent="0.2">
      <c r="B1726" s="65" t="str">
        <f t="shared" si="31"/>
        <v>2017-093-0</v>
      </c>
      <c r="C1726" s="66">
        <v>2017</v>
      </c>
      <c r="D1726" s="66" t="s">
        <v>100</v>
      </c>
      <c r="E1726" s="66">
        <v>0</v>
      </c>
      <c r="F1726" s="67" t="s">
        <v>356</v>
      </c>
      <c r="G1726" s="66"/>
      <c r="H1726" s="68"/>
      <c r="I1726" s="69"/>
    </row>
    <row r="1727" spans="2:9" x14ac:dyDescent="0.2">
      <c r="B1727" s="54" t="str">
        <f t="shared" si="31"/>
        <v>2017-093-1</v>
      </c>
      <c r="C1727" s="55">
        <v>2017</v>
      </c>
      <c r="D1727" s="55" t="s">
        <v>100</v>
      </c>
      <c r="E1727" s="55">
        <v>1</v>
      </c>
      <c r="F1727" s="57" t="s">
        <v>690</v>
      </c>
      <c r="G1727" s="55"/>
      <c r="H1727" s="58"/>
      <c r="I1727" s="59"/>
    </row>
    <row r="1728" spans="2:9" x14ac:dyDescent="0.2">
      <c r="B1728" s="54" t="str">
        <f t="shared" si="31"/>
        <v>2017-093-2</v>
      </c>
      <c r="C1728" s="55">
        <v>2017</v>
      </c>
      <c r="D1728" s="55" t="s">
        <v>100</v>
      </c>
      <c r="E1728" s="55">
        <v>2</v>
      </c>
      <c r="F1728" s="57" t="s">
        <v>1014</v>
      </c>
      <c r="G1728" s="55"/>
      <c r="H1728" s="58"/>
      <c r="I1728" s="59"/>
    </row>
    <row r="1729" spans="2:9" x14ac:dyDescent="0.2">
      <c r="B1729" s="54" t="str">
        <f t="shared" si="31"/>
        <v>2017-093-3</v>
      </c>
      <c r="C1729" s="55">
        <v>2017</v>
      </c>
      <c r="D1729" s="55" t="s">
        <v>100</v>
      </c>
      <c r="E1729" s="55">
        <v>3</v>
      </c>
      <c r="F1729" s="57" t="s">
        <v>1331</v>
      </c>
      <c r="G1729" s="55" t="s">
        <v>2735</v>
      </c>
      <c r="H1729" s="58"/>
      <c r="I1729" s="59"/>
    </row>
    <row r="1730" spans="2:9" x14ac:dyDescent="0.2">
      <c r="B1730" s="54" t="str">
        <f t="shared" si="31"/>
        <v>2017-093-4</v>
      </c>
      <c r="C1730" s="55">
        <v>2017</v>
      </c>
      <c r="D1730" s="55" t="s">
        <v>100</v>
      </c>
      <c r="E1730" s="55">
        <v>4</v>
      </c>
      <c r="F1730" s="57" t="s">
        <v>1635</v>
      </c>
      <c r="G1730" s="55"/>
      <c r="H1730" s="58"/>
      <c r="I1730" s="59"/>
    </row>
    <row r="1731" spans="2:9" ht="27" x14ac:dyDescent="0.2">
      <c r="B1731" s="60" t="str">
        <f t="shared" si="31"/>
        <v>2017-093-5</v>
      </c>
      <c r="C1731" s="61">
        <v>2017</v>
      </c>
      <c r="D1731" s="61" t="s">
        <v>100</v>
      </c>
      <c r="E1731" s="61">
        <v>5</v>
      </c>
      <c r="F1731" s="62" t="s">
        <v>1930</v>
      </c>
      <c r="G1731" s="61"/>
      <c r="H1731" s="63"/>
      <c r="I1731" s="64"/>
    </row>
    <row r="1732" spans="2:9" x14ac:dyDescent="0.2">
      <c r="B1732" s="65" t="str">
        <f t="shared" si="31"/>
        <v>2017-094-0</v>
      </c>
      <c r="C1732" s="66">
        <v>2017</v>
      </c>
      <c r="D1732" s="66" t="s">
        <v>101</v>
      </c>
      <c r="E1732" s="66">
        <v>0</v>
      </c>
      <c r="F1732" s="67" t="s">
        <v>357</v>
      </c>
      <c r="G1732" s="66"/>
      <c r="H1732" s="68"/>
      <c r="I1732" s="69"/>
    </row>
    <row r="1733" spans="2:9" x14ac:dyDescent="0.2">
      <c r="B1733" s="54" t="str">
        <f t="shared" si="31"/>
        <v>2017-094-1</v>
      </c>
      <c r="C1733" s="55">
        <v>2017</v>
      </c>
      <c r="D1733" s="55" t="s">
        <v>101</v>
      </c>
      <c r="E1733" s="55">
        <v>1</v>
      </c>
      <c r="F1733" s="57" t="s">
        <v>691</v>
      </c>
      <c r="G1733" s="55"/>
      <c r="H1733" s="58"/>
      <c r="I1733" s="59"/>
    </row>
    <row r="1734" spans="2:9" x14ac:dyDescent="0.2">
      <c r="B1734" s="54" t="str">
        <f t="shared" si="31"/>
        <v>2017-094-2</v>
      </c>
      <c r="C1734" s="55">
        <v>2017</v>
      </c>
      <c r="D1734" s="55" t="s">
        <v>101</v>
      </c>
      <c r="E1734" s="55">
        <v>2</v>
      </c>
      <c r="F1734" s="57" t="s">
        <v>1015</v>
      </c>
      <c r="G1734" s="55"/>
      <c r="H1734" s="58"/>
      <c r="I1734" s="59"/>
    </row>
    <row r="1735" spans="2:9" x14ac:dyDescent="0.2">
      <c r="B1735" s="54" t="str">
        <f t="shared" si="31"/>
        <v>2017-094-3</v>
      </c>
      <c r="C1735" s="55">
        <v>2017</v>
      </c>
      <c r="D1735" s="55" t="s">
        <v>101</v>
      </c>
      <c r="E1735" s="55">
        <v>3</v>
      </c>
      <c r="F1735" s="57" t="s">
        <v>1332</v>
      </c>
      <c r="G1735" s="55" t="s">
        <v>2735</v>
      </c>
      <c r="H1735" s="58"/>
      <c r="I1735" s="59"/>
    </row>
    <row r="1736" spans="2:9" x14ac:dyDescent="0.2">
      <c r="B1736" s="54" t="str">
        <f t="shared" si="31"/>
        <v>2017-094-4</v>
      </c>
      <c r="C1736" s="55">
        <v>2017</v>
      </c>
      <c r="D1736" s="55" t="s">
        <v>101</v>
      </c>
      <c r="E1736" s="55">
        <v>4</v>
      </c>
      <c r="F1736" s="57" t="s">
        <v>1636</v>
      </c>
      <c r="G1736" s="55"/>
      <c r="H1736" s="58"/>
      <c r="I1736" s="59"/>
    </row>
    <row r="1737" spans="2:9" x14ac:dyDescent="0.2">
      <c r="B1737" s="60" t="str">
        <f t="shared" ref="B1737:B1773" si="32">C1737&amp;"-"&amp;D1737&amp;"-"&amp;E1737</f>
        <v>2017-094-5</v>
      </c>
      <c r="C1737" s="61">
        <v>2017</v>
      </c>
      <c r="D1737" s="61" t="s">
        <v>101</v>
      </c>
      <c r="E1737" s="61">
        <v>5</v>
      </c>
      <c r="F1737" s="62" t="s">
        <v>1931</v>
      </c>
      <c r="G1737" s="61"/>
      <c r="H1737" s="63"/>
      <c r="I1737" s="64"/>
    </row>
    <row r="1738" spans="2:9" x14ac:dyDescent="0.2">
      <c r="B1738" s="65" t="str">
        <f t="shared" si="32"/>
        <v>2017-095-0</v>
      </c>
      <c r="C1738" s="66">
        <v>2017</v>
      </c>
      <c r="D1738" s="66" t="s">
        <v>102</v>
      </c>
      <c r="E1738" s="66">
        <v>0</v>
      </c>
      <c r="F1738" s="67" t="s">
        <v>358</v>
      </c>
      <c r="G1738" s="66"/>
      <c r="H1738" s="68"/>
      <c r="I1738" s="69"/>
    </row>
    <row r="1739" spans="2:9" x14ac:dyDescent="0.2">
      <c r="B1739" s="54" t="str">
        <f t="shared" si="32"/>
        <v>2017-095-1</v>
      </c>
      <c r="C1739" s="55">
        <v>2017</v>
      </c>
      <c r="D1739" s="55" t="s">
        <v>102</v>
      </c>
      <c r="E1739" s="55">
        <v>1</v>
      </c>
      <c r="F1739" s="57" t="s">
        <v>692</v>
      </c>
      <c r="G1739" s="55"/>
      <c r="H1739" s="58"/>
      <c r="I1739" s="59"/>
    </row>
    <row r="1740" spans="2:9" x14ac:dyDescent="0.2">
      <c r="B1740" s="54" t="str">
        <f t="shared" si="32"/>
        <v>2017-095-2</v>
      </c>
      <c r="C1740" s="55">
        <v>2017</v>
      </c>
      <c r="D1740" s="55" t="s">
        <v>102</v>
      </c>
      <c r="E1740" s="55">
        <v>2</v>
      </c>
      <c r="F1740" s="57" t="s">
        <v>1016</v>
      </c>
      <c r="G1740" s="55"/>
      <c r="H1740" s="58"/>
      <c r="I1740" s="59"/>
    </row>
    <row r="1741" spans="2:9" x14ac:dyDescent="0.2">
      <c r="B1741" s="54" t="str">
        <f t="shared" si="32"/>
        <v>2017-095-3</v>
      </c>
      <c r="C1741" s="55">
        <v>2017</v>
      </c>
      <c r="D1741" s="55" t="s">
        <v>102</v>
      </c>
      <c r="E1741" s="55">
        <v>3</v>
      </c>
      <c r="F1741" s="57" t="s">
        <v>1333</v>
      </c>
      <c r="G1741" s="55"/>
      <c r="H1741" s="58"/>
      <c r="I1741" s="59"/>
    </row>
    <row r="1742" spans="2:9" ht="27" x14ac:dyDescent="0.2">
      <c r="B1742" s="54" t="str">
        <f t="shared" si="32"/>
        <v>2017-095-4</v>
      </c>
      <c r="C1742" s="55">
        <v>2017</v>
      </c>
      <c r="D1742" s="55" t="s">
        <v>102</v>
      </c>
      <c r="E1742" s="55">
        <v>4</v>
      </c>
      <c r="F1742" s="57" t="s">
        <v>1637</v>
      </c>
      <c r="G1742" s="55"/>
      <c r="H1742" s="58"/>
      <c r="I1742" s="59"/>
    </row>
    <row r="1743" spans="2:9" x14ac:dyDescent="0.2">
      <c r="B1743" s="60" t="str">
        <f t="shared" si="32"/>
        <v>2017-095-5</v>
      </c>
      <c r="C1743" s="61">
        <v>2017</v>
      </c>
      <c r="D1743" s="61" t="s">
        <v>102</v>
      </c>
      <c r="E1743" s="61">
        <v>5</v>
      </c>
      <c r="F1743" s="62" t="s">
        <v>1932</v>
      </c>
      <c r="G1743" s="61" t="s">
        <v>2735</v>
      </c>
      <c r="H1743" s="63"/>
      <c r="I1743" s="64"/>
    </row>
    <row r="1744" spans="2:9" x14ac:dyDescent="0.2">
      <c r="B1744" s="65" t="str">
        <f t="shared" si="32"/>
        <v>2017-096-0</v>
      </c>
      <c r="C1744" s="66">
        <v>2017</v>
      </c>
      <c r="D1744" s="66" t="s">
        <v>103</v>
      </c>
      <c r="E1744" s="66">
        <v>0</v>
      </c>
      <c r="F1744" s="67" t="s">
        <v>359</v>
      </c>
      <c r="G1744" s="66"/>
      <c r="H1744" s="68"/>
      <c r="I1744" s="69"/>
    </row>
    <row r="1745" spans="2:9" x14ac:dyDescent="0.2">
      <c r="B1745" s="54" t="str">
        <f t="shared" si="32"/>
        <v>2017-096-1</v>
      </c>
      <c r="C1745" s="55">
        <v>2017</v>
      </c>
      <c r="D1745" s="55" t="s">
        <v>103</v>
      </c>
      <c r="E1745" s="55">
        <v>1</v>
      </c>
      <c r="F1745" s="57" t="s">
        <v>693</v>
      </c>
      <c r="G1745" s="55"/>
      <c r="H1745" s="58"/>
      <c r="I1745" s="59"/>
    </row>
    <row r="1746" spans="2:9" x14ac:dyDescent="0.2">
      <c r="B1746" s="54" t="str">
        <f t="shared" si="32"/>
        <v>2017-096-2</v>
      </c>
      <c r="C1746" s="55">
        <v>2017</v>
      </c>
      <c r="D1746" s="55" t="s">
        <v>103</v>
      </c>
      <c r="E1746" s="55">
        <v>2</v>
      </c>
      <c r="F1746" s="57" t="s">
        <v>1017</v>
      </c>
      <c r="G1746" s="55"/>
      <c r="H1746" s="58"/>
      <c r="I1746" s="59"/>
    </row>
    <row r="1747" spans="2:9" ht="27" x14ac:dyDescent="0.2">
      <c r="B1747" s="54" t="str">
        <f t="shared" si="32"/>
        <v>2017-096-3</v>
      </c>
      <c r="C1747" s="55">
        <v>2017</v>
      </c>
      <c r="D1747" s="55" t="s">
        <v>103</v>
      </c>
      <c r="E1747" s="55">
        <v>3</v>
      </c>
      <c r="F1747" s="57" t="s">
        <v>1334</v>
      </c>
      <c r="G1747" s="55"/>
      <c r="H1747" s="58"/>
      <c r="I1747" s="59"/>
    </row>
    <row r="1748" spans="2:9" x14ac:dyDescent="0.2">
      <c r="B1748" s="54" t="str">
        <f t="shared" si="32"/>
        <v>2017-096-4</v>
      </c>
      <c r="C1748" s="55">
        <v>2017</v>
      </c>
      <c r="D1748" s="55" t="s">
        <v>103</v>
      </c>
      <c r="E1748" s="55">
        <v>4</v>
      </c>
      <c r="F1748" s="57" t="s">
        <v>1638</v>
      </c>
      <c r="G1748" s="55"/>
      <c r="H1748" s="58"/>
      <c r="I1748" s="59"/>
    </row>
    <row r="1749" spans="2:9" x14ac:dyDescent="0.2">
      <c r="B1749" s="60" t="str">
        <f t="shared" si="32"/>
        <v>2017-096-5</v>
      </c>
      <c r="C1749" s="61">
        <v>2017</v>
      </c>
      <c r="D1749" s="61" t="s">
        <v>103</v>
      </c>
      <c r="E1749" s="61">
        <v>5</v>
      </c>
      <c r="F1749" s="62" t="s">
        <v>1933</v>
      </c>
      <c r="G1749" s="61" t="s">
        <v>2735</v>
      </c>
      <c r="H1749" s="63"/>
      <c r="I1749" s="64"/>
    </row>
    <row r="1750" spans="2:9" ht="27" x14ac:dyDescent="0.2">
      <c r="B1750" s="65" t="str">
        <f t="shared" si="32"/>
        <v>2017-097-0</v>
      </c>
      <c r="C1750" s="66">
        <v>2017</v>
      </c>
      <c r="D1750" s="66" t="s">
        <v>104</v>
      </c>
      <c r="E1750" s="66">
        <v>0</v>
      </c>
      <c r="F1750" s="67" t="s">
        <v>360</v>
      </c>
      <c r="G1750" s="66"/>
      <c r="H1750" s="68"/>
      <c r="I1750" s="69"/>
    </row>
    <row r="1751" spans="2:9" x14ac:dyDescent="0.2">
      <c r="B1751" s="54" t="str">
        <f t="shared" si="32"/>
        <v>2017-097-1</v>
      </c>
      <c r="C1751" s="55">
        <v>2017</v>
      </c>
      <c r="D1751" s="55" t="s">
        <v>104</v>
      </c>
      <c r="E1751" s="55">
        <v>1</v>
      </c>
      <c r="F1751" s="57" t="s">
        <v>694</v>
      </c>
      <c r="G1751" s="55"/>
      <c r="H1751" s="58"/>
      <c r="I1751" s="59"/>
    </row>
    <row r="1752" spans="2:9" x14ac:dyDescent="0.2">
      <c r="B1752" s="54" t="str">
        <f t="shared" si="32"/>
        <v>2017-097-2</v>
      </c>
      <c r="C1752" s="55">
        <v>2017</v>
      </c>
      <c r="D1752" s="55" t="s">
        <v>104</v>
      </c>
      <c r="E1752" s="55">
        <v>2</v>
      </c>
      <c r="F1752" s="57" t="s">
        <v>1018</v>
      </c>
      <c r="G1752" s="55"/>
      <c r="H1752" s="58"/>
      <c r="I1752" s="59"/>
    </row>
    <row r="1753" spans="2:9" ht="27" x14ac:dyDescent="0.2">
      <c r="B1753" s="54" t="str">
        <f t="shared" si="32"/>
        <v>2017-097-3</v>
      </c>
      <c r="C1753" s="55">
        <v>2017</v>
      </c>
      <c r="D1753" s="55" t="s">
        <v>104</v>
      </c>
      <c r="E1753" s="55">
        <v>3</v>
      </c>
      <c r="F1753" s="57" t="s">
        <v>1335</v>
      </c>
      <c r="G1753" s="55" t="s">
        <v>2735</v>
      </c>
      <c r="H1753" s="58"/>
      <c r="I1753" s="59"/>
    </row>
    <row r="1754" spans="2:9" x14ac:dyDescent="0.2">
      <c r="B1754" s="54" t="str">
        <f t="shared" si="32"/>
        <v>2017-097-4</v>
      </c>
      <c r="C1754" s="55">
        <v>2017</v>
      </c>
      <c r="D1754" s="55" t="s">
        <v>104</v>
      </c>
      <c r="E1754" s="55">
        <v>4</v>
      </c>
      <c r="F1754" s="57" t="s">
        <v>1546</v>
      </c>
      <c r="G1754" s="55"/>
      <c r="H1754" s="58"/>
      <c r="I1754" s="59"/>
    </row>
    <row r="1755" spans="2:9" x14ac:dyDescent="0.2">
      <c r="B1755" s="60" t="str">
        <f t="shared" si="32"/>
        <v>2017-097-5</v>
      </c>
      <c r="C1755" s="61">
        <v>2017</v>
      </c>
      <c r="D1755" s="61" t="s">
        <v>104</v>
      </c>
      <c r="E1755" s="61">
        <v>5</v>
      </c>
      <c r="F1755" s="62" t="s">
        <v>1934</v>
      </c>
      <c r="G1755" s="61"/>
      <c r="H1755" s="63"/>
      <c r="I1755" s="64"/>
    </row>
    <row r="1756" spans="2:9" ht="40.5" x14ac:dyDescent="0.2">
      <c r="B1756" s="65" t="str">
        <f t="shared" si="32"/>
        <v>2017-098-0</v>
      </c>
      <c r="C1756" s="66">
        <v>2017</v>
      </c>
      <c r="D1756" s="66" t="s">
        <v>105</v>
      </c>
      <c r="E1756" s="66">
        <v>0</v>
      </c>
      <c r="F1756" s="67" t="s">
        <v>361</v>
      </c>
      <c r="G1756" s="66"/>
      <c r="H1756" s="68"/>
      <c r="I1756" s="69"/>
    </row>
    <row r="1757" spans="2:9" x14ac:dyDescent="0.2">
      <c r="B1757" s="54" t="str">
        <f t="shared" si="32"/>
        <v>2017-098-1</v>
      </c>
      <c r="C1757" s="55">
        <v>2017</v>
      </c>
      <c r="D1757" s="55" t="s">
        <v>105</v>
      </c>
      <c r="E1757" s="55">
        <v>1</v>
      </c>
      <c r="F1757" s="57" t="s">
        <v>695</v>
      </c>
      <c r="G1757" s="55"/>
      <c r="H1757" s="58"/>
      <c r="I1757" s="59"/>
    </row>
    <row r="1758" spans="2:9" x14ac:dyDescent="0.2">
      <c r="B1758" s="54" t="str">
        <f t="shared" si="32"/>
        <v>2017-098-2</v>
      </c>
      <c r="C1758" s="55">
        <v>2017</v>
      </c>
      <c r="D1758" s="55" t="s">
        <v>105</v>
      </c>
      <c r="E1758" s="55">
        <v>2</v>
      </c>
      <c r="F1758" s="57" t="s">
        <v>1019</v>
      </c>
      <c r="G1758" s="55" t="s">
        <v>2735</v>
      </c>
      <c r="H1758" s="58"/>
      <c r="I1758" s="59"/>
    </row>
    <row r="1759" spans="2:9" x14ac:dyDescent="0.2">
      <c r="B1759" s="54" t="str">
        <f t="shared" si="32"/>
        <v>2017-098-3</v>
      </c>
      <c r="C1759" s="55">
        <v>2017</v>
      </c>
      <c r="D1759" s="55" t="s">
        <v>105</v>
      </c>
      <c r="E1759" s="55">
        <v>3</v>
      </c>
      <c r="F1759" s="57" t="s">
        <v>1336</v>
      </c>
      <c r="G1759" s="55"/>
      <c r="H1759" s="58"/>
      <c r="I1759" s="59"/>
    </row>
    <row r="1760" spans="2:9" x14ac:dyDescent="0.2">
      <c r="B1760" s="54" t="str">
        <f t="shared" si="32"/>
        <v>2017-098-4</v>
      </c>
      <c r="C1760" s="55">
        <v>2017</v>
      </c>
      <c r="D1760" s="55" t="s">
        <v>105</v>
      </c>
      <c r="E1760" s="55">
        <v>4</v>
      </c>
      <c r="F1760" s="57" t="s">
        <v>1639</v>
      </c>
      <c r="G1760" s="55"/>
      <c r="H1760" s="58"/>
      <c r="I1760" s="59"/>
    </row>
    <row r="1761" spans="2:9" x14ac:dyDescent="0.2">
      <c r="B1761" s="60" t="str">
        <f t="shared" si="32"/>
        <v>2017-098-5</v>
      </c>
      <c r="C1761" s="61">
        <v>2017</v>
      </c>
      <c r="D1761" s="61" t="s">
        <v>105</v>
      </c>
      <c r="E1761" s="61">
        <v>5</v>
      </c>
      <c r="F1761" s="62" t="s">
        <v>1935</v>
      </c>
      <c r="G1761" s="61"/>
      <c r="H1761" s="63"/>
      <c r="I1761" s="64"/>
    </row>
    <row r="1762" spans="2:9" x14ac:dyDescent="0.2">
      <c r="B1762" s="65" t="str">
        <f t="shared" si="32"/>
        <v>2017-099-0</v>
      </c>
      <c r="C1762" s="66">
        <v>2017</v>
      </c>
      <c r="D1762" s="66" t="s">
        <v>106</v>
      </c>
      <c r="E1762" s="66">
        <v>0</v>
      </c>
      <c r="F1762" s="67" t="s">
        <v>362</v>
      </c>
      <c r="G1762" s="66"/>
      <c r="H1762" s="68"/>
      <c r="I1762" s="69"/>
    </row>
    <row r="1763" spans="2:9" x14ac:dyDescent="0.2">
      <c r="B1763" s="54" t="str">
        <f t="shared" si="32"/>
        <v>2017-099-1</v>
      </c>
      <c r="C1763" s="55">
        <v>2017</v>
      </c>
      <c r="D1763" s="55" t="s">
        <v>106</v>
      </c>
      <c r="E1763" s="55">
        <v>1</v>
      </c>
      <c r="F1763" s="57" t="s">
        <v>696</v>
      </c>
      <c r="G1763" s="55"/>
      <c r="H1763" s="58"/>
      <c r="I1763" s="59"/>
    </row>
    <row r="1764" spans="2:9" ht="27" x14ac:dyDescent="0.2">
      <c r="B1764" s="54" t="str">
        <f t="shared" si="32"/>
        <v>2017-099-2</v>
      </c>
      <c r="C1764" s="55">
        <v>2017</v>
      </c>
      <c r="D1764" s="55" t="s">
        <v>106</v>
      </c>
      <c r="E1764" s="55">
        <v>2</v>
      </c>
      <c r="F1764" s="57" t="s">
        <v>1020</v>
      </c>
      <c r="G1764" s="55"/>
      <c r="H1764" s="58"/>
      <c r="I1764" s="59"/>
    </row>
    <row r="1765" spans="2:9" ht="27" x14ac:dyDescent="0.2">
      <c r="B1765" s="54" t="str">
        <f t="shared" si="32"/>
        <v>2017-099-3</v>
      </c>
      <c r="C1765" s="55">
        <v>2017</v>
      </c>
      <c r="D1765" s="55" t="s">
        <v>106</v>
      </c>
      <c r="E1765" s="55">
        <v>3</v>
      </c>
      <c r="F1765" s="57" t="s">
        <v>1337</v>
      </c>
      <c r="G1765" s="55"/>
      <c r="H1765" s="58"/>
      <c r="I1765" s="59"/>
    </row>
    <row r="1766" spans="2:9" ht="27" x14ac:dyDescent="0.2">
      <c r="B1766" s="54" t="str">
        <f t="shared" si="32"/>
        <v>2017-099-4</v>
      </c>
      <c r="C1766" s="55">
        <v>2017</v>
      </c>
      <c r="D1766" s="55" t="s">
        <v>106</v>
      </c>
      <c r="E1766" s="55">
        <v>4</v>
      </c>
      <c r="F1766" s="57" t="s">
        <v>1640</v>
      </c>
      <c r="G1766" s="55" t="s">
        <v>2735</v>
      </c>
      <c r="H1766" s="58"/>
      <c r="I1766" s="59"/>
    </row>
    <row r="1767" spans="2:9" ht="27" x14ac:dyDescent="0.2">
      <c r="B1767" s="60" t="str">
        <f t="shared" si="32"/>
        <v>2017-099-5</v>
      </c>
      <c r="C1767" s="61">
        <v>2017</v>
      </c>
      <c r="D1767" s="61" t="s">
        <v>106</v>
      </c>
      <c r="E1767" s="61">
        <v>5</v>
      </c>
      <c r="F1767" s="62" t="s">
        <v>1936</v>
      </c>
      <c r="G1767" s="61"/>
      <c r="H1767" s="63"/>
      <c r="I1767" s="64"/>
    </row>
    <row r="1768" spans="2:9" x14ac:dyDescent="0.2">
      <c r="B1768" s="65" t="str">
        <f t="shared" si="32"/>
        <v>2017-100-0</v>
      </c>
      <c r="C1768" s="66">
        <v>2017</v>
      </c>
      <c r="D1768" s="66" t="s">
        <v>107</v>
      </c>
      <c r="E1768" s="66">
        <v>0</v>
      </c>
      <c r="F1768" s="67" t="s">
        <v>363</v>
      </c>
      <c r="G1768" s="66"/>
      <c r="H1768" s="68"/>
      <c r="I1768" s="69"/>
    </row>
    <row r="1769" spans="2:9" x14ac:dyDescent="0.2">
      <c r="B1769" s="54" t="str">
        <f t="shared" si="32"/>
        <v>2017-100-1</v>
      </c>
      <c r="C1769" s="55">
        <v>2017</v>
      </c>
      <c r="D1769" s="55" t="s">
        <v>107</v>
      </c>
      <c r="E1769" s="55">
        <v>1</v>
      </c>
      <c r="F1769" s="57" t="s">
        <v>697</v>
      </c>
      <c r="G1769" s="55"/>
      <c r="H1769" s="58"/>
      <c r="I1769" s="59"/>
    </row>
    <row r="1770" spans="2:9" ht="27" x14ac:dyDescent="0.2">
      <c r="B1770" s="54" t="str">
        <f t="shared" si="32"/>
        <v>2017-100-2</v>
      </c>
      <c r="C1770" s="55">
        <v>2017</v>
      </c>
      <c r="D1770" s="55" t="s">
        <v>107</v>
      </c>
      <c r="E1770" s="55">
        <v>2</v>
      </c>
      <c r="F1770" s="57" t="s">
        <v>1021</v>
      </c>
      <c r="G1770" s="55"/>
      <c r="H1770" s="58"/>
      <c r="I1770" s="59"/>
    </row>
    <row r="1771" spans="2:9" ht="27" x14ac:dyDescent="0.2">
      <c r="B1771" s="54" t="str">
        <f t="shared" si="32"/>
        <v>2017-100-3</v>
      </c>
      <c r="C1771" s="55">
        <v>2017</v>
      </c>
      <c r="D1771" s="55" t="s">
        <v>107</v>
      </c>
      <c r="E1771" s="55">
        <v>3</v>
      </c>
      <c r="F1771" s="57" t="s">
        <v>1338</v>
      </c>
      <c r="G1771" s="55" t="s">
        <v>2735</v>
      </c>
      <c r="H1771" s="58"/>
      <c r="I1771" s="59"/>
    </row>
    <row r="1772" spans="2:9" ht="27" x14ac:dyDescent="0.2">
      <c r="B1772" s="54" t="str">
        <f t="shared" si="32"/>
        <v>2017-100-4</v>
      </c>
      <c r="C1772" s="55">
        <v>2017</v>
      </c>
      <c r="D1772" s="55" t="s">
        <v>107</v>
      </c>
      <c r="E1772" s="55">
        <v>4</v>
      </c>
      <c r="F1772" s="57" t="s">
        <v>1641</v>
      </c>
      <c r="G1772" s="55"/>
      <c r="H1772" s="58"/>
      <c r="I1772" s="59"/>
    </row>
    <row r="1773" spans="2:9" ht="14.25" thickBot="1" x14ac:dyDescent="0.25">
      <c r="B1773" s="70" t="str">
        <f t="shared" si="32"/>
        <v>2017-100-5</v>
      </c>
      <c r="C1773" s="71">
        <v>2017</v>
      </c>
      <c r="D1773" s="71" t="s">
        <v>107</v>
      </c>
      <c r="E1773" s="71">
        <v>5</v>
      </c>
      <c r="F1773" s="72" t="s">
        <v>1937</v>
      </c>
      <c r="G1773" s="71"/>
      <c r="H1773" s="73"/>
      <c r="I1773" s="74"/>
    </row>
    <row r="1774" spans="2:9" ht="40.5" x14ac:dyDescent="0.2">
      <c r="B1774" s="48" t="str">
        <f t="shared" ref="B1774" si="33">C1774&amp;"-"&amp;D1774&amp;"-"&amp;E1774</f>
        <v>2016-076-0</v>
      </c>
      <c r="C1774" s="49">
        <v>2016</v>
      </c>
      <c r="D1774" s="49" t="s">
        <v>78</v>
      </c>
      <c r="E1774" s="49">
        <v>0</v>
      </c>
      <c r="F1774" s="51" t="s">
        <v>364</v>
      </c>
      <c r="G1774" s="49"/>
      <c r="H1774" s="52"/>
      <c r="I1774" s="53"/>
    </row>
    <row r="1775" spans="2:9" x14ac:dyDescent="0.2">
      <c r="B1775" s="54" t="str">
        <f t="shared" ref="B1775:B1838" si="34">C1775&amp;"-"&amp;D1775&amp;"-"&amp;E1775</f>
        <v>2016-076-1</v>
      </c>
      <c r="C1775" s="55">
        <v>2016</v>
      </c>
      <c r="D1775" s="55" t="s">
        <v>78</v>
      </c>
      <c r="E1775" s="55">
        <v>1</v>
      </c>
      <c r="F1775" s="57" t="s">
        <v>698</v>
      </c>
      <c r="G1775" s="55"/>
      <c r="H1775" s="58"/>
      <c r="I1775" s="59"/>
    </row>
    <row r="1776" spans="2:9" x14ac:dyDescent="0.2">
      <c r="B1776" s="54" t="str">
        <f t="shared" si="34"/>
        <v>2016-076-2</v>
      </c>
      <c r="C1776" s="55">
        <v>2016</v>
      </c>
      <c r="D1776" s="55" t="s">
        <v>78</v>
      </c>
      <c r="E1776" s="55">
        <v>2</v>
      </c>
      <c r="F1776" s="57" t="s">
        <v>1022</v>
      </c>
      <c r="G1776" s="55"/>
      <c r="H1776" s="58"/>
      <c r="I1776" s="59"/>
    </row>
    <row r="1777" spans="2:9" x14ac:dyDescent="0.2">
      <c r="B1777" s="54" t="str">
        <f t="shared" si="34"/>
        <v>2016-076-3</v>
      </c>
      <c r="C1777" s="55">
        <v>2016</v>
      </c>
      <c r="D1777" s="55" t="s">
        <v>78</v>
      </c>
      <c r="E1777" s="55">
        <v>3</v>
      </c>
      <c r="F1777" s="57" t="s">
        <v>1339</v>
      </c>
      <c r="G1777" s="55" t="s">
        <v>2735</v>
      </c>
      <c r="H1777" s="58"/>
      <c r="I1777" s="59"/>
    </row>
    <row r="1778" spans="2:9" x14ac:dyDescent="0.2">
      <c r="B1778" s="54" t="str">
        <f t="shared" si="34"/>
        <v>2016-076-4</v>
      </c>
      <c r="C1778" s="55">
        <v>2016</v>
      </c>
      <c r="D1778" s="55" t="s">
        <v>78</v>
      </c>
      <c r="E1778" s="55">
        <v>4</v>
      </c>
      <c r="F1778" s="57" t="s">
        <v>1642</v>
      </c>
      <c r="G1778" s="55"/>
      <c r="H1778" s="58"/>
      <c r="I1778" s="59"/>
    </row>
    <row r="1779" spans="2:9" x14ac:dyDescent="0.2">
      <c r="B1779" s="60" t="str">
        <f t="shared" si="34"/>
        <v>2016-076-5</v>
      </c>
      <c r="C1779" s="61">
        <v>2016</v>
      </c>
      <c r="D1779" s="61" t="s">
        <v>78</v>
      </c>
      <c r="E1779" s="61">
        <v>5</v>
      </c>
      <c r="F1779" s="62" t="s">
        <v>1938</v>
      </c>
      <c r="G1779" s="61"/>
      <c r="H1779" s="63"/>
      <c r="I1779" s="64"/>
    </row>
    <row r="1780" spans="2:9" x14ac:dyDescent="0.2">
      <c r="B1780" s="65" t="str">
        <f t="shared" si="34"/>
        <v>2016-077-0</v>
      </c>
      <c r="C1780" s="66">
        <v>2016</v>
      </c>
      <c r="D1780" s="66" t="s">
        <v>79</v>
      </c>
      <c r="E1780" s="66">
        <v>0</v>
      </c>
      <c r="F1780" s="67" t="s">
        <v>365</v>
      </c>
      <c r="G1780" s="66"/>
      <c r="H1780" s="68"/>
      <c r="I1780" s="69"/>
    </row>
    <row r="1781" spans="2:9" x14ac:dyDescent="0.2">
      <c r="B1781" s="54" t="str">
        <f t="shared" si="34"/>
        <v>2016-077-1</v>
      </c>
      <c r="C1781" s="55">
        <v>2016</v>
      </c>
      <c r="D1781" s="55" t="s">
        <v>79</v>
      </c>
      <c r="E1781" s="55">
        <v>1</v>
      </c>
      <c r="F1781" s="57" t="s">
        <v>699</v>
      </c>
      <c r="G1781" s="55" t="s">
        <v>2735</v>
      </c>
      <c r="H1781" s="58"/>
      <c r="I1781" s="59"/>
    </row>
    <row r="1782" spans="2:9" x14ac:dyDescent="0.2">
      <c r="B1782" s="54" t="str">
        <f t="shared" si="34"/>
        <v>2016-077-2</v>
      </c>
      <c r="C1782" s="55">
        <v>2016</v>
      </c>
      <c r="D1782" s="55" t="s">
        <v>79</v>
      </c>
      <c r="E1782" s="55">
        <v>2</v>
      </c>
      <c r="F1782" s="57" t="s">
        <v>1023</v>
      </c>
      <c r="G1782" s="55"/>
      <c r="H1782" s="58"/>
      <c r="I1782" s="59"/>
    </row>
    <row r="1783" spans="2:9" x14ac:dyDescent="0.2">
      <c r="B1783" s="54" t="str">
        <f t="shared" si="34"/>
        <v>2016-077-3</v>
      </c>
      <c r="C1783" s="55">
        <v>2016</v>
      </c>
      <c r="D1783" s="55" t="s">
        <v>79</v>
      </c>
      <c r="E1783" s="55">
        <v>3</v>
      </c>
      <c r="F1783" s="57" t="s">
        <v>1340</v>
      </c>
      <c r="G1783" s="55"/>
      <c r="H1783" s="58"/>
      <c r="I1783" s="59"/>
    </row>
    <row r="1784" spans="2:9" x14ac:dyDescent="0.2">
      <c r="B1784" s="54" t="str">
        <f t="shared" si="34"/>
        <v>2016-077-4</v>
      </c>
      <c r="C1784" s="55">
        <v>2016</v>
      </c>
      <c r="D1784" s="55" t="s">
        <v>79</v>
      </c>
      <c r="E1784" s="55">
        <v>4</v>
      </c>
      <c r="F1784" s="57" t="s">
        <v>1643</v>
      </c>
      <c r="G1784" s="55"/>
      <c r="H1784" s="58"/>
      <c r="I1784" s="59"/>
    </row>
    <row r="1785" spans="2:9" x14ac:dyDescent="0.2">
      <c r="B1785" s="60" t="str">
        <f t="shared" si="34"/>
        <v>2016-077-5</v>
      </c>
      <c r="C1785" s="61">
        <v>2016</v>
      </c>
      <c r="D1785" s="61" t="s">
        <v>79</v>
      </c>
      <c r="E1785" s="61">
        <v>5</v>
      </c>
      <c r="F1785" s="62" t="s">
        <v>1939</v>
      </c>
      <c r="G1785" s="61"/>
      <c r="H1785" s="63"/>
      <c r="I1785" s="64"/>
    </row>
    <row r="1786" spans="2:9" x14ac:dyDescent="0.2">
      <c r="B1786" s="65" t="str">
        <f t="shared" si="34"/>
        <v>2016-078-0</v>
      </c>
      <c r="C1786" s="66">
        <v>2016</v>
      </c>
      <c r="D1786" s="66" t="s">
        <v>80</v>
      </c>
      <c r="E1786" s="66">
        <v>0</v>
      </c>
      <c r="F1786" s="67" t="s">
        <v>318</v>
      </c>
      <c r="G1786" s="66"/>
      <c r="H1786" s="68"/>
      <c r="I1786" s="69"/>
    </row>
    <row r="1787" spans="2:9" x14ac:dyDescent="0.2">
      <c r="B1787" s="54" t="str">
        <f t="shared" si="34"/>
        <v>2016-078-1</v>
      </c>
      <c r="C1787" s="55">
        <v>2016</v>
      </c>
      <c r="D1787" s="55" t="s">
        <v>80</v>
      </c>
      <c r="E1787" s="55">
        <v>1</v>
      </c>
      <c r="F1787" s="57" t="s">
        <v>700</v>
      </c>
      <c r="G1787" s="55"/>
      <c r="H1787" s="58"/>
      <c r="I1787" s="59"/>
    </row>
    <row r="1788" spans="2:9" x14ac:dyDescent="0.2">
      <c r="B1788" s="54" t="str">
        <f t="shared" si="34"/>
        <v>2016-078-2</v>
      </c>
      <c r="C1788" s="55">
        <v>2016</v>
      </c>
      <c r="D1788" s="55" t="s">
        <v>80</v>
      </c>
      <c r="E1788" s="55">
        <v>2</v>
      </c>
      <c r="F1788" s="57" t="s">
        <v>902</v>
      </c>
      <c r="G1788" s="55"/>
      <c r="H1788" s="58"/>
      <c r="I1788" s="59"/>
    </row>
    <row r="1789" spans="2:9" ht="27" x14ac:dyDescent="0.2">
      <c r="B1789" s="54" t="str">
        <f t="shared" si="34"/>
        <v>2016-078-3</v>
      </c>
      <c r="C1789" s="55">
        <v>2016</v>
      </c>
      <c r="D1789" s="55" t="s">
        <v>80</v>
      </c>
      <c r="E1789" s="55">
        <v>3</v>
      </c>
      <c r="F1789" s="57" t="s">
        <v>593</v>
      </c>
      <c r="G1789" s="55"/>
      <c r="H1789" s="58"/>
      <c r="I1789" s="59"/>
    </row>
    <row r="1790" spans="2:9" x14ac:dyDescent="0.2">
      <c r="B1790" s="54" t="str">
        <f t="shared" si="34"/>
        <v>2016-078-4</v>
      </c>
      <c r="C1790" s="55">
        <v>2016</v>
      </c>
      <c r="D1790" s="55" t="s">
        <v>80</v>
      </c>
      <c r="E1790" s="55">
        <v>4</v>
      </c>
      <c r="F1790" s="57" t="s">
        <v>741</v>
      </c>
      <c r="G1790" s="55"/>
      <c r="H1790" s="58"/>
      <c r="I1790" s="59"/>
    </row>
    <row r="1791" spans="2:9" x14ac:dyDescent="0.2">
      <c r="B1791" s="60" t="str">
        <f t="shared" si="34"/>
        <v>2016-078-5</v>
      </c>
      <c r="C1791" s="61">
        <v>2016</v>
      </c>
      <c r="D1791" s="61" t="s">
        <v>80</v>
      </c>
      <c r="E1791" s="61">
        <v>5</v>
      </c>
      <c r="F1791" s="62" t="s">
        <v>1940</v>
      </c>
      <c r="G1791" s="61" t="s">
        <v>2735</v>
      </c>
      <c r="H1791" s="63"/>
      <c r="I1791" s="64"/>
    </row>
    <row r="1792" spans="2:9" ht="54" x14ac:dyDescent="0.2">
      <c r="B1792" s="65" t="str">
        <f t="shared" si="34"/>
        <v>2016-079-0</v>
      </c>
      <c r="C1792" s="66">
        <v>2016</v>
      </c>
      <c r="D1792" s="66" t="s">
        <v>81</v>
      </c>
      <c r="E1792" s="66">
        <v>0</v>
      </c>
      <c r="F1792" s="67" t="s">
        <v>366</v>
      </c>
      <c r="G1792" s="66"/>
      <c r="H1792" s="68"/>
      <c r="I1792" s="69"/>
    </row>
    <row r="1793" spans="2:9" x14ac:dyDescent="0.2">
      <c r="B1793" s="54" t="str">
        <f t="shared" si="34"/>
        <v>2016-079-1</v>
      </c>
      <c r="C1793" s="55">
        <v>2016</v>
      </c>
      <c r="D1793" s="55" t="s">
        <v>81</v>
      </c>
      <c r="E1793" s="55">
        <v>1</v>
      </c>
      <c r="F1793" s="57" t="s">
        <v>701</v>
      </c>
      <c r="G1793" s="55"/>
      <c r="H1793" s="58"/>
      <c r="I1793" s="59"/>
    </row>
    <row r="1794" spans="2:9" x14ac:dyDescent="0.2">
      <c r="B1794" s="54" t="str">
        <f t="shared" si="34"/>
        <v>2016-079-2</v>
      </c>
      <c r="C1794" s="55">
        <v>2016</v>
      </c>
      <c r="D1794" s="55" t="s">
        <v>81</v>
      </c>
      <c r="E1794" s="55">
        <v>2</v>
      </c>
      <c r="F1794" s="57" t="s">
        <v>1024</v>
      </c>
      <c r="G1794" s="55"/>
      <c r="H1794" s="58"/>
      <c r="I1794" s="59"/>
    </row>
    <row r="1795" spans="2:9" x14ac:dyDescent="0.2">
      <c r="B1795" s="54" t="str">
        <f t="shared" si="34"/>
        <v>2016-079-3</v>
      </c>
      <c r="C1795" s="55">
        <v>2016</v>
      </c>
      <c r="D1795" s="55" t="s">
        <v>81</v>
      </c>
      <c r="E1795" s="55">
        <v>3</v>
      </c>
      <c r="F1795" s="57" t="s">
        <v>1341</v>
      </c>
      <c r="G1795" s="55" t="s">
        <v>2735</v>
      </c>
      <c r="H1795" s="58"/>
      <c r="I1795" s="59"/>
    </row>
    <row r="1796" spans="2:9" x14ac:dyDescent="0.2">
      <c r="B1796" s="54" t="str">
        <f t="shared" si="34"/>
        <v>2016-079-4</v>
      </c>
      <c r="C1796" s="55">
        <v>2016</v>
      </c>
      <c r="D1796" s="55" t="s">
        <v>81</v>
      </c>
      <c r="E1796" s="55">
        <v>4</v>
      </c>
      <c r="F1796" s="57" t="s">
        <v>1644</v>
      </c>
      <c r="G1796" s="55"/>
      <c r="H1796" s="58"/>
      <c r="I1796" s="59"/>
    </row>
    <row r="1797" spans="2:9" x14ac:dyDescent="0.2">
      <c r="B1797" s="60" t="str">
        <f t="shared" si="34"/>
        <v>2016-079-5</v>
      </c>
      <c r="C1797" s="61">
        <v>2016</v>
      </c>
      <c r="D1797" s="61" t="s">
        <v>81</v>
      </c>
      <c r="E1797" s="61">
        <v>5</v>
      </c>
      <c r="F1797" s="62" t="s">
        <v>552</v>
      </c>
      <c r="G1797" s="61"/>
      <c r="H1797" s="63"/>
      <c r="I1797" s="64"/>
    </row>
    <row r="1798" spans="2:9" x14ac:dyDescent="0.2">
      <c r="B1798" s="65" t="str">
        <f t="shared" si="34"/>
        <v>2016-080-0</v>
      </c>
      <c r="C1798" s="66">
        <v>2016</v>
      </c>
      <c r="D1798" s="66" t="s">
        <v>82</v>
      </c>
      <c r="E1798" s="66">
        <v>0</v>
      </c>
      <c r="F1798" s="67" t="s">
        <v>201</v>
      </c>
      <c r="G1798" s="66"/>
      <c r="H1798" s="68"/>
      <c r="I1798" s="69"/>
    </row>
    <row r="1799" spans="2:9" x14ac:dyDescent="0.2">
      <c r="B1799" s="54" t="str">
        <f t="shared" si="34"/>
        <v>2016-080-1</v>
      </c>
      <c r="C1799" s="55">
        <v>2016</v>
      </c>
      <c r="D1799" s="55" t="s">
        <v>82</v>
      </c>
      <c r="E1799" s="55">
        <v>1</v>
      </c>
      <c r="F1799" s="57" t="s">
        <v>702</v>
      </c>
      <c r="G1799" s="55"/>
      <c r="H1799" s="58"/>
      <c r="I1799" s="59"/>
    </row>
    <row r="1800" spans="2:9" ht="27" x14ac:dyDescent="0.2">
      <c r="B1800" s="54" t="str">
        <f t="shared" si="34"/>
        <v>2016-080-2</v>
      </c>
      <c r="C1800" s="55">
        <v>2016</v>
      </c>
      <c r="D1800" s="55" t="s">
        <v>82</v>
      </c>
      <c r="E1800" s="55">
        <v>2</v>
      </c>
      <c r="F1800" s="57" t="s">
        <v>1025</v>
      </c>
      <c r="G1800" s="55"/>
      <c r="H1800" s="58"/>
      <c r="I1800" s="59"/>
    </row>
    <row r="1801" spans="2:9" ht="27" x14ac:dyDescent="0.2">
      <c r="B1801" s="54" t="str">
        <f t="shared" si="34"/>
        <v>2016-080-3</v>
      </c>
      <c r="C1801" s="55">
        <v>2016</v>
      </c>
      <c r="D1801" s="55" t="s">
        <v>82</v>
      </c>
      <c r="E1801" s="55">
        <v>3</v>
      </c>
      <c r="F1801" s="57" t="s">
        <v>1342</v>
      </c>
      <c r="G1801" s="55" t="s">
        <v>2735</v>
      </c>
      <c r="H1801" s="58"/>
      <c r="I1801" s="59"/>
    </row>
    <row r="1802" spans="2:9" x14ac:dyDescent="0.2">
      <c r="B1802" s="54" t="str">
        <f t="shared" si="34"/>
        <v>2016-080-4</v>
      </c>
      <c r="C1802" s="55">
        <v>2016</v>
      </c>
      <c r="D1802" s="55" t="s">
        <v>82</v>
      </c>
      <c r="E1802" s="55">
        <v>4</v>
      </c>
      <c r="F1802" s="57" t="s">
        <v>1645</v>
      </c>
      <c r="G1802" s="55"/>
      <c r="H1802" s="58"/>
      <c r="I1802" s="59"/>
    </row>
    <row r="1803" spans="2:9" x14ac:dyDescent="0.2">
      <c r="B1803" s="60" t="str">
        <f t="shared" si="34"/>
        <v>2016-080-5</v>
      </c>
      <c r="C1803" s="61">
        <v>2016</v>
      </c>
      <c r="D1803" s="61" t="s">
        <v>82</v>
      </c>
      <c r="E1803" s="61">
        <v>5</v>
      </c>
      <c r="F1803" s="62" t="s">
        <v>1941</v>
      </c>
      <c r="G1803" s="61"/>
      <c r="H1803" s="63"/>
      <c r="I1803" s="64"/>
    </row>
    <row r="1804" spans="2:9" ht="40.5" x14ac:dyDescent="0.2">
      <c r="B1804" s="65" t="str">
        <f t="shared" si="34"/>
        <v>2016-081-0</v>
      </c>
      <c r="C1804" s="66">
        <v>2016</v>
      </c>
      <c r="D1804" s="66" t="s">
        <v>88</v>
      </c>
      <c r="E1804" s="66">
        <v>0</v>
      </c>
      <c r="F1804" s="67" t="s">
        <v>367</v>
      </c>
      <c r="G1804" s="66"/>
      <c r="H1804" s="68"/>
      <c r="I1804" s="69"/>
    </row>
    <row r="1805" spans="2:9" x14ac:dyDescent="0.2">
      <c r="B1805" s="54" t="str">
        <f t="shared" si="34"/>
        <v>2016-081-1</v>
      </c>
      <c r="C1805" s="55">
        <v>2016</v>
      </c>
      <c r="D1805" s="55" t="s">
        <v>88</v>
      </c>
      <c r="E1805" s="55">
        <v>1</v>
      </c>
      <c r="F1805" s="57" t="s">
        <v>703</v>
      </c>
      <c r="G1805" s="55"/>
      <c r="H1805" s="58"/>
      <c r="I1805" s="59"/>
    </row>
    <row r="1806" spans="2:9" x14ac:dyDescent="0.2">
      <c r="B1806" s="54" t="str">
        <f t="shared" si="34"/>
        <v>2016-081-2</v>
      </c>
      <c r="C1806" s="55">
        <v>2016</v>
      </c>
      <c r="D1806" s="55" t="s">
        <v>88</v>
      </c>
      <c r="E1806" s="55">
        <v>2</v>
      </c>
      <c r="F1806" s="57" t="s">
        <v>1026</v>
      </c>
      <c r="G1806" s="55"/>
      <c r="H1806" s="58"/>
      <c r="I1806" s="59"/>
    </row>
    <row r="1807" spans="2:9" x14ac:dyDescent="0.2">
      <c r="B1807" s="54" t="str">
        <f t="shared" si="34"/>
        <v>2016-081-3</v>
      </c>
      <c r="C1807" s="55">
        <v>2016</v>
      </c>
      <c r="D1807" s="55" t="s">
        <v>88</v>
      </c>
      <c r="E1807" s="55">
        <v>3</v>
      </c>
      <c r="F1807" s="57" t="s">
        <v>1343</v>
      </c>
      <c r="G1807" s="55" t="s">
        <v>2735</v>
      </c>
      <c r="H1807" s="58"/>
      <c r="I1807" s="59"/>
    </row>
    <row r="1808" spans="2:9" x14ac:dyDescent="0.2">
      <c r="B1808" s="54" t="str">
        <f t="shared" si="34"/>
        <v>2016-081-4</v>
      </c>
      <c r="C1808" s="55">
        <v>2016</v>
      </c>
      <c r="D1808" s="55" t="s">
        <v>88</v>
      </c>
      <c r="E1808" s="55">
        <v>4</v>
      </c>
      <c r="F1808" s="57" t="s">
        <v>1646</v>
      </c>
      <c r="G1808" s="55"/>
      <c r="H1808" s="58"/>
      <c r="I1808" s="59"/>
    </row>
    <row r="1809" spans="2:9" x14ac:dyDescent="0.2">
      <c r="B1809" s="60" t="str">
        <f t="shared" si="34"/>
        <v>2016-081-5</v>
      </c>
      <c r="C1809" s="61">
        <v>2016</v>
      </c>
      <c r="D1809" s="61" t="s">
        <v>88</v>
      </c>
      <c r="E1809" s="61">
        <v>5</v>
      </c>
      <c r="F1809" s="62" t="s">
        <v>1942</v>
      </c>
      <c r="G1809" s="61"/>
      <c r="H1809" s="63"/>
      <c r="I1809" s="64"/>
    </row>
    <row r="1810" spans="2:9" ht="81" x14ac:dyDescent="0.2">
      <c r="B1810" s="65" t="str">
        <f t="shared" si="34"/>
        <v>2016-082-0</v>
      </c>
      <c r="C1810" s="66">
        <v>2016</v>
      </c>
      <c r="D1810" s="66" t="s">
        <v>89</v>
      </c>
      <c r="E1810" s="66">
        <v>0</v>
      </c>
      <c r="F1810" s="67" t="s">
        <v>368</v>
      </c>
      <c r="G1810" s="66"/>
      <c r="H1810" s="68"/>
      <c r="I1810" s="69"/>
    </row>
    <row r="1811" spans="2:9" x14ac:dyDescent="0.2">
      <c r="B1811" s="54" t="str">
        <f t="shared" si="34"/>
        <v>2016-082-1</v>
      </c>
      <c r="C1811" s="55">
        <v>2016</v>
      </c>
      <c r="D1811" s="55" t="s">
        <v>89</v>
      </c>
      <c r="E1811" s="55">
        <v>1</v>
      </c>
      <c r="F1811" s="57" t="s">
        <v>5</v>
      </c>
      <c r="G1811" s="55"/>
      <c r="H1811" s="58"/>
      <c r="I1811" s="59"/>
    </row>
    <row r="1812" spans="2:9" x14ac:dyDescent="0.2">
      <c r="B1812" s="54" t="str">
        <f t="shared" si="34"/>
        <v>2016-082-2</v>
      </c>
      <c r="C1812" s="55">
        <v>2016</v>
      </c>
      <c r="D1812" s="55" t="s">
        <v>89</v>
      </c>
      <c r="E1812" s="55">
        <v>2</v>
      </c>
      <c r="F1812" s="57" t="s">
        <v>4</v>
      </c>
      <c r="G1812" s="55"/>
      <c r="H1812" s="58"/>
      <c r="I1812" s="59"/>
    </row>
    <row r="1813" spans="2:9" x14ac:dyDescent="0.2">
      <c r="B1813" s="54" t="str">
        <f t="shared" si="34"/>
        <v>2016-082-3</v>
      </c>
      <c r="C1813" s="55">
        <v>2016</v>
      </c>
      <c r="D1813" s="55" t="s">
        <v>89</v>
      </c>
      <c r="E1813" s="55">
        <v>3</v>
      </c>
      <c r="F1813" s="57" t="s">
        <v>8</v>
      </c>
      <c r="G1813" s="55"/>
      <c r="H1813" s="58"/>
      <c r="I1813" s="59"/>
    </row>
    <row r="1814" spans="2:9" x14ac:dyDescent="0.2">
      <c r="B1814" s="54" t="str">
        <f t="shared" si="34"/>
        <v>2016-082-4</v>
      </c>
      <c r="C1814" s="55">
        <v>2016</v>
      </c>
      <c r="D1814" s="55" t="s">
        <v>89</v>
      </c>
      <c r="E1814" s="55">
        <v>4</v>
      </c>
      <c r="F1814" s="57" t="s">
        <v>16</v>
      </c>
      <c r="G1814" s="55"/>
      <c r="H1814" s="58"/>
      <c r="I1814" s="59"/>
    </row>
    <row r="1815" spans="2:9" x14ac:dyDescent="0.2">
      <c r="B1815" s="60" t="str">
        <f t="shared" si="34"/>
        <v>2016-082-5</v>
      </c>
      <c r="C1815" s="61">
        <v>2016</v>
      </c>
      <c r="D1815" s="61" t="s">
        <v>89</v>
      </c>
      <c r="E1815" s="61">
        <v>5</v>
      </c>
      <c r="F1815" s="62" t="s">
        <v>6</v>
      </c>
      <c r="G1815" s="61" t="s">
        <v>2735</v>
      </c>
      <c r="H1815" s="63"/>
      <c r="I1815" s="64"/>
    </row>
    <row r="1816" spans="2:9" x14ac:dyDescent="0.2">
      <c r="B1816" s="65" t="str">
        <f t="shared" si="34"/>
        <v>2016-083-0</v>
      </c>
      <c r="C1816" s="66">
        <v>2016</v>
      </c>
      <c r="D1816" s="66" t="s">
        <v>90</v>
      </c>
      <c r="E1816" s="66">
        <v>0</v>
      </c>
      <c r="F1816" s="67" t="s">
        <v>369</v>
      </c>
      <c r="G1816" s="66"/>
      <c r="H1816" s="68"/>
      <c r="I1816" s="69"/>
    </row>
    <row r="1817" spans="2:9" x14ac:dyDescent="0.2">
      <c r="B1817" s="54" t="str">
        <f t="shared" si="34"/>
        <v>2016-083-1</v>
      </c>
      <c r="C1817" s="55">
        <v>2016</v>
      </c>
      <c r="D1817" s="55" t="s">
        <v>90</v>
      </c>
      <c r="E1817" s="55">
        <v>1</v>
      </c>
      <c r="F1817" s="57" t="s">
        <v>704</v>
      </c>
      <c r="G1817" s="55"/>
      <c r="H1817" s="58"/>
      <c r="I1817" s="59"/>
    </row>
    <row r="1818" spans="2:9" x14ac:dyDescent="0.2">
      <c r="B1818" s="54" t="str">
        <f t="shared" si="34"/>
        <v>2016-083-2</v>
      </c>
      <c r="C1818" s="55">
        <v>2016</v>
      </c>
      <c r="D1818" s="55" t="s">
        <v>90</v>
      </c>
      <c r="E1818" s="55">
        <v>2</v>
      </c>
      <c r="F1818" s="57" t="s">
        <v>1027</v>
      </c>
      <c r="G1818" s="55"/>
      <c r="H1818" s="58"/>
      <c r="I1818" s="59"/>
    </row>
    <row r="1819" spans="2:9" x14ac:dyDescent="0.2">
      <c r="B1819" s="54" t="str">
        <f t="shared" si="34"/>
        <v>2016-083-3</v>
      </c>
      <c r="C1819" s="55">
        <v>2016</v>
      </c>
      <c r="D1819" s="55" t="s">
        <v>90</v>
      </c>
      <c r="E1819" s="55">
        <v>3</v>
      </c>
      <c r="F1819" s="57" t="s">
        <v>1344</v>
      </c>
      <c r="G1819" s="55"/>
      <c r="H1819" s="58"/>
      <c r="I1819" s="59"/>
    </row>
    <row r="1820" spans="2:9" x14ac:dyDescent="0.2">
      <c r="B1820" s="54" t="str">
        <f t="shared" si="34"/>
        <v>2016-083-4</v>
      </c>
      <c r="C1820" s="55">
        <v>2016</v>
      </c>
      <c r="D1820" s="55" t="s">
        <v>90</v>
      </c>
      <c r="E1820" s="55">
        <v>4</v>
      </c>
      <c r="F1820" s="57" t="s">
        <v>1647</v>
      </c>
      <c r="G1820" s="55" t="s">
        <v>2735</v>
      </c>
      <c r="H1820" s="58"/>
      <c r="I1820" s="59"/>
    </row>
    <row r="1821" spans="2:9" x14ac:dyDescent="0.2">
      <c r="B1821" s="60" t="str">
        <f t="shared" si="34"/>
        <v>2016-083-5</v>
      </c>
      <c r="C1821" s="61">
        <v>2016</v>
      </c>
      <c r="D1821" s="61" t="s">
        <v>90</v>
      </c>
      <c r="E1821" s="61">
        <v>5</v>
      </c>
      <c r="F1821" s="62" t="s">
        <v>1943</v>
      </c>
      <c r="G1821" s="61"/>
      <c r="H1821" s="63"/>
      <c r="I1821" s="64"/>
    </row>
    <row r="1822" spans="2:9" x14ac:dyDescent="0.2">
      <c r="B1822" s="65" t="str">
        <f t="shared" si="34"/>
        <v>2016-084-0</v>
      </c>
      <c r="C1822" s="66">
        <v>2016</v>
      </c>
      <c r="D1822" s="66" t="s">
        <v>91</v>
      </c>
      <c r="E1822" s="66">
        <v>0</v>
      </c>
      <c r="F1822" s="67" t="s">
        <v>370</v>
      </c>
      <c r="G1822" s="66"/>
      <c r="H1822" s="68"/>
      <c r="I1822" s="69"/>
    </row>
    <row r="1823" spans="2:9" x14ac:dyDescent="0.2">
      <c r="B1823" s="54" t="str">
        <f t="shared" si="34"/>
        <v>2016-084-1</v>
      </c>
      <c r="C1823" s="55">
        <v>2016</v>
      </c>
      <c r="D1823" s="55" t="s">
        <v>91</v>
      </c>
      <c r="E1823" s="55">
        <v>1</v>
      </c>
      <c r="F1823" s="57" t="s">
        <v>705</v>
      </c>
      <c r="G1823" s="55" t="s">
        <v>2735</v>
      </c>
      <c r="H1823" s="58"/>
      <c r="I1823" s="59"/>
    </row>
    <row r="1824" spans="2:9" x14ac:dyDescent="0.2">
      <c r="B1824" s="54" t="str">
        <f t="shared" si="34"/>
        <v>2016-084-2</v>
      </c>
      <c r="C1824" s="55">
        <v>2016</v>
      </c>
      <c r="D1824" s="55" t="s">
        <v>91</v>
      </c>
      <c r="E1824" s="55">
        <v>2</v>
      </c>
      <c r="F1824" s="57" t="s">
        <v>1028</v>
      </c>
      <c r="G1824" s="55"/>
      <c r="H1824" s="58"/>
      <c r="I1824" s="59"/>
    </row>
    <row r="1825" spans="2:9" x14ac:dyDescent="0.2">
      <c r="B1825" s="54" t="str">
        <f t="shared" si="34"/>
        <v>2016-084-3</v>
      </c>
      <c r="C1825" s="55">
        <v>2016</v>
      </c>
      <c r="D1825" s="55" t="s">
        <v>91</v>
      </c>
      <c r="E1825" s="55">
        <v>3</v>
      </c>
      <c r="F1825" s="57" t="s">
        <v>1345</v>
      </c>
      <c r="G1825" s="55"/>
      <c r="H1825" s="58"/>
      <c r="I1825" s="59"/>
    </row>
    <row r="1826" spans="2:9" x14ac:dyDescent="0.2">
      <c r="B1826" s="54" t="str">
        <f t="shared" si="34"/>
        <v>2016-084-4</v>
      </c>
      <c r="C1826" s="55">
        <v>2016</v>
      </c>
      <c r="D1826" s="55" t="s">
        <v>91</v>
      </c>
      <c r="E1826" s="55">
        <v>4</v>
      </c>
      <c r="F1826" s="57" t="s">
        <v>1648</v>
      </c>
      <c r="G1826" s="55"/>
      <c r="H1826" s="58"/>
      <c r="I1826" s="59"/>
    </row>
    <row r="1827" spans="2:9" x14ac:dyDescent="0.2">
      <c r="B1827" s="60" t="str">
        <f t="shared" si="34"/>
        <v>2016-084-5</v>
      </c>
      <c r="C1827" s="61">
        <v>2016</v>
      </c>
      <c r="D1827" s="61" t="s">
        <v>91</v>
      </c>
      <c r="E1827" s="61">
        <v>5</v>
      </c>
      <c r="F1827" s="62" t="s">
        <v>1944</v>
      </c>
      <c r="G1827" s="61"/>
      <c r="H1827" s="63"/>
      <c r="I1827" s="64"/>
    </row>
    <row r="1828" spans="2:9" ht="27" x14ac:dyDescent="0.2">
      <c r="B1828" s="65" t="str">
        <f t="shared" si="34"/>
        <v>2016-085-0</v>
      </c>
      <c r="C1828" s="66">
        <v>2016</v>
      </c>
      <c r="D1828" s="66" t="s">
        <v>92</v>
      </c>
      <c r="E1828" s="66">
        <v>0</v>
      </c>
      <c r="F1828" s="67" t="s">
        <v>371</v>
      </c>
      <c r="G1828" s="66"/>
      <c r="H1828" s="68"/>
      <c r="I1828" s="69"/>
    </row>
    <row r="1829" spans="2:9" x14ac:dyDescent="0.2">
      <c r="B1829" s="54" t="str">
        <f t="shared" si="34"/>
        <v>2016-085-1</v>
      </c>
      <c r="C1829" s="55">
        <v>2016</v>
      </c>
      <c r="D1829" s="55" t="s">
        <v>92</v>
      </c>
      <c r="E1829" s="55">
        <v>1</v>
      </c>
      <c r="F1829" s="57" t="s">
        <v>706</v>
      </c>
      <c r="G1829" s="55"/>
      <c r="H1829" s="58"/>
      <c r="I1829" s="59"/>
    </row>
    <row r="1830" spans="2:9" x14ac:dyDescent="0.2">
      <c r="B1830" s="54" t="str">
        <f t="shared" si="34"/>
        <v>2016-085-2</v>
      </c>
      <c r="C1830" s="55">
        <v>2016</v>
      </c>
      <c r="D1830" s="55" t="s">
        <v>92</v>
      </c>
      <c r="E1830" s="55">
        <v>2</v>
      </c>
      <c r="F1830" s="57" t="s">
        <v>1029</v>
      </c>
      <c r="G1830" s="55" t="s">
        <v>2735</v>
      </c>
      <c r="H1830" s="58"/>
      <c r="I1830" s="59"/>
    </row>
    <row r="1831" spans="2:9" x14ac:dyDescent="0.2">
      <c r="B1831" s="54" t="str">
        <f t="shared" si="34"/>
        <v>2016-085-3</v>
      </c>
      <c r="C1831" s="55">
        <v>2016</v>
      </c>
      <c r="D1831" s="55" t="s">
        <v>92</v>
      </c>
      <c r="E1831" s="55">
        <v>3</v>
      </c>
      <c r="F1831" s="57" t="s">
        <v>1346</v>
      </c>
      <c r="G1831" s="55"/>
      <c r="H1831" s="58"/>
      <c r="I1831" s="59"/>
    </row>
    <row r="1832" spans="2:9" x14ac:dyDescent="0.2">
      <c r="B1832" s="54" t="str">
        <f t="shared" si="34"/>
        <v>2016-085-4</v>
      </c>
      <c r="C1832" s="55">
        <v>2016</v>
      </c>
      <c r="D1832" s="55" t="s">
        <v>92</v>
      </c>
      <c r="E1832" s="55">
        <v>4</v>
      </c>
      <c r="F1832" s="57" t="s">
        <v>1649</v>
      </c>
      <c r="G1832" s="55"/>
      <c r="H1832" s="58"/>
      <c r="I1832" s="59"/>
    </row>
    <row r="1833" spans="2:9" x14ac:dyDescent="0.2">
      <c r="B1833" s="60" t="str">
        <f t="shared" si="34"/>
        <v>2016-085-5</v>
      </c>
      <c r="C1833" s="61">
        <v>2016</v>
      </c>
      <c r="D1833" s="61" t="s">
        <v>92</v>
      </c>
      <c r="E1833" s="61">
        <v>5</v>
      </c>
      <c r="F1833" s="62" t="s">
        <v>1945</v>
      </c>
      <c r="G1833" s="61"/>
      <c r="H1833" s="63"/>
      <c r="I1833" s="64"/>
    </row>
    <row r="1834" spans="2:9" x14ac:dyDescent="0.2">
      <c r="B1834" s="65" t="str">
        <f t="shared" si="34"/>
        <v>2016-086-0</v>
      </c>
      <c r="C1834" s="66">
        <v>2016</v>
      </c>
      <c r="D1834" s="66" t="s">
        <v>93</v>
      </c>
      <c r="E1834" s="66">
        <v>0</v>
      </c>
      <c r="F1834" s="67" t="s">
        <v>372</v>
      </c>
      <c r="G1834" s="66"/>
      <c r="H1834" s="68"/>
      <c r="I1834" s="69"/>
    </row>
    <row r="1835" spans="2:9" x14ac:dyDescent="0.2">
      <c r="B1835" s="54" t="str">
        <f t="shared" si="34"/>
        <v>2016-086-1</v>
      </c>
      <c r="C1835" s="55">
        <v>2016</v>
      </c>
      <c r="D1835" s="55" t="s">
        <v>93</v>
      </c>
      <c r="E1835" s="55">
        <v>1</v>
      </c>
      <c r="F1835" s="57" t="s">
        <v>707</v>
      </c>
      <c r="G1835" s="55"/>
      <c r="H1835" s="58"/>
      <c r="I1835" s="59"/>
    </row>
    <row r="1836" spans="2:9" x14ac:dyDescent="0.2">
      <c r="B1836" s="54" t="str">
        <f t="shared" si="34"/>
        <v>2016-086-2</v>
      </c>
      <c r="C1836" s="55">
        <v>2016</v>
      </c>
      <c r="D1836" s="55" t="s">
        <v>93</v>
      </c>
      <c r="E1836" s="55">
        <v>2</v>
      </c>
      <c r="F1836" s="57" t="s">
        <v>1030</v>
      </c>
      <c r="G1836" s="55"/>
      <c r="H1836" s="58"/>
      <c r="I1836" s="59"/>
    </row>
    <row r="1837" spans="2:9" x14ac:dyDescent="0.2">
      <c r="B1837" s="54" t="str">
        <f t="shared" si="34"/>
        <v>2016-086-3</v>
      </c>
      <c r="C1837" s="55">
        <v>2016</v>
      </c>
      <c r="D1837" s="55" t="s">
        <v>93</v>
      </c>
      <c r="E1837" s="55">
        <v>3</v>
      </c>
      <c r="F1837" s="57" t="s">
        <v>1347</v>
      </c>
      <c r="G1837" s="55"/>
      <c r="H1837" s="58"/>
      <c r="I1837" s="59"/>
    </row>
    <row r="1838" spans="2:9" x14ac:dyDescent="0.2">
      <c r="B1838" s="54" t="str">
        <f t="shared" si="34"/>
        <v>2016-086-4</v>
      </c>
      <c r="C1838" s="55">
        <v>2016</v>
      </c>
      <c r="D1838" s="55" t="s">
        <v>93</v>
      </c>
      <c r="E1838" s="55">
        <v>4</v>
      </c>
      <c r="F1838" s="57" t="s">
        <v>1650</v>
      </c>
      <c r="G1838" s="55" t="s">
        <v>2735</v>
      </c>
      <c r="H1838" s="58"/>
      <c r="I1838" s="59"/>
    </row>
    <row r="1839" spans="2:9" x14ac:dyDescent="0.2">
      <c r="B1839" s="60" t="str">
        <f t="shared" ref="B1839:B1902" si="35">C1839&amp;"-"&amp;D1839&amp;"-"&amp;E1839</f>
        <v>2016-086-5</v>
      </c>
      <c r="C1839" s="61">
        <v>2016</v>
      </c>
      <c r="D1839" s="61" t="s">
        <v>93</v>
      </c>
      <c r="E1839" s="61">
        <v>5</v>
      </c>
      <c r="F1839" s="62" t="s">
        <v>1946</v>
      </c>
      <c r="G1839" s="61"/>
      <c r="H1839" s="63"/>
      <c r="I1839" s="64"/>
    </row>
    <row r="1840" spans="2:9" x14ac:dyDescent="0.2">
      <c r="B1840" s="65" t="str">
        <f t="shared" si="35"/>
        <v>2016-087-0</v>
      </c>
      <c r="C1840" s="66">
        <v>2016</v>
      </c>
      <c r="D1840" s="66" t="s">
        <v>94</v>
      </c>
      <c r="E1840" s="66">
        <v>0</v>
      </c>
      <c r="F1840" s="67" t="s">
        <v>373</v>
      </c>
      <c r="G1840" s="66"/>
      <c r="H1840" s="68"/>
      <c r="I1840" s="69"/>
    </row>
    <row r="1841" spans="2:9" x14ac:dyDescent="0.2">
      <c r="B1841" s="54" t="str">
        <f t="shared" si="35"/>
        <v>2016-087-1</v>
      </c>
      <c r="C1841" s="55">
        <v>2016</v>
      </c>
      <c r="D1841" s="55" t="s">
        <v>94</v>
      </c>
      <c r="E1841" s="55">
        <v>1</v>
      </c>
      <c r="F1841" s="57" t="s">
        <v>708</v>
      </c>
      <c r="G1841" s="55"/>
      <c r="H1841" s="58"/>
      <c r="I1841" s="59"/>
    </row>
    <row r="1842" spans="2:9" x14ac:dyDescent="0.2">
      <c r="B1842" s="54" t="str">
        <f t="shared" si="35"/>
        <v>2016-087-2</v>
      </c>
      <c r="C1842" s="55">
        <v>2016</v>
      </c>
      <c r="D1842" s="55" t="s">
        <v>94</v>
      </c>
      <c r="E1842" s="55">
        <v>2</v>
      </c>
      <c r="F1842" s="57" t="s">
        <v>1031</v>
      </c>
      <c r="G1842" s="55"/>
      <c r="H1842" s="58"/>
      <c r="I1842" s="59"/>
    </row>
    <row r="1843" spans="2:9" x14ac:dyDescent="0.2">
      <c r="B1843" s="54" t="str">
        <f t="shared" si="35"/>
        <v>2016-087-3</v>
      </c>
      <c r="C1843" s="55">
        <v>2016</v>
      </c>
      <c r="D1843" s="55" t="s">
        <v>94</v>
      </c>
      <c r="E1843" s="55">
        <v>3</v>
      </c>
      <c r="F1843" s="57" t="s">
        <v>1348</v>
      </c>
      <c r="G1843" s="55"/>
      <c r="H1843" s="58"/>
      <c r="I1843" s="59"/>
    </row>
    <row r="1844" spans="2:9" x14ac:dyDescent="0.2">
      <c r="B1844" s="54" t="str">
        <f t="shared" si="35"/>
        <v>2016-087-4</v>
      </c>
      <c r="C1844" s="55">
        <v>2016</v>
      </c>
      <c r="D1844" s="55" t="s">
        <v>94</v>
      </c>
      <c r="E1844" s="55">
        <v>4</v>
      </c>
      <c r="F1844" s="57" t="s">
        <v>1651</v>
      </c>
      <c r="G1844" s="55" t="s">
        <v>2735</v>
      </c>
      <c r="H1844" s="58"/>
      <c r="I1844" s="59"/>
    </row>
    <row r="1845" spans="2:9" x14ac:dyDescent="0.2">
      <c r="B1845" s="60" t="str">
        <f t="shared" si="35"/>
        <v>2016-087-5</v>
      </c>
      <c r="C1845" s="61">
        <v>2016</v>
      </c>
      <c r="D1845" s="61" t="s">
        <v>94</v>
      </c>
      <c r="E1845" s="61">
        <v>5</v>
      </c>
      <c r="F1845" s="62" t="s">
        <v>1947</v>
      </c>
      <c r="G1845" s="61"/>
      <c r="H1845" s="63"/>
      <c r="I1845" s="64"/>
    </row>
    <row r="1846" spans="2:9" ht="27" x14ac:dyDescent="0.2">
      <c r="B1846" s="65" t="str">
        <f t="shared" si="35"/>
        <v>2016-088-0</v>
      </c>
      <c r="C1846" s="66">
        <v>2016</v>
      </c>
      <c r="D1846" s="66" t="s">
        <v>95</v>
      </c>
      <c r="E1846" s="66">
        <v>0</v>
      </c>
      <c r="F1846" s="67" t="s">
        <v>374</v>
      </c>
      <c r="G1846" s="66"/>
      <c r="H1846" s="68"/>
      <c r="I1846" s="69"/>
    </row>
    <row r="1847" spans="2:9" x14ac:dyDescent="0.2">
      <c r="B1847" s="54" t="str">
        <f t="shared" si="35"/>
        <v>2016-088-1</v>
      </c>
      <c r="C1847" s="55">
        <v>2016</v>
      </c>
      <c r="D1847" s="55" t="s">
        <v>95</v>
      </c>
      <c r="E1847" s="55">
        <v>1</v>
      </c>
      <c r="F1847" s="57" t="s">
        <v>709</v>
      </c>
      <c r="G1847" s="55"/>
      <c r="H1847" s="58"/>
      <c r="I1847" s="59"/>
    </row>
    <row r="1848" spans="2:9" x14ac:dyDescent="0.2">
      <c r="B1848" s="54" t="str">
        <f t="shared" si="35"/>
        <v>2016-088-2</v>
      </c>
      <c r="C1848" s="55">
        <v>2016</v>
      </c>
      <c r="D1848" s="55" t="s">
        <v>95</v>
      </c>
      <c r="E1848" s="55">
        <v>2</v>
      </c>
      <c r="F1848" s="57" t="s">
        <v>659</v>
      </c>
      <c r="G1848" s="55"/>
      <c r="H1848" s="58"/>
      <c r="I1848" s="59"/>
    </row>
    <row r="1849" spans="2:9" x14ac:dyDescent="0.2">
      <c r="B1849" s="54" t="str">
        <f t="shared" si="35"/>
        <v>2016-088-3</v>
      </c>
      <c r="C1849" s="55">
        <v>2016</v>
      </c>
      <c r="D1849" s="55" t="s">
        <v>95</v>
      </c>
      <c r="E1849" s="55">
        <v>3</v>
      </c>
      <c r="F1849" s="57" t="s">
        <v>527</v>
      </c>
      <c r="G1849" s="55" t="s">
        <v>2735</v>
      </c>
      <c r="H1849" s="58"/>
      <c r="I1849" s="59"/>
    </row>
    <row r="1850" spans="2:9" x14ac:dyDescent="0.2">
      <c r="B1850" s="54" t="str">
        <f t="shared" si="35"/>
        <v>2016-088-4</v>
      </c>
      <c r="C1850" s="55">
        <v>2016</v>
      </c>
      <c r="D1850" s="55" t="s">
        <v>95</v>
      </c>
      <c r="E1850" s="55">
        <v>4</v>
      </c>
      <c r="F1850" s="57" t="s">
        <v>1067</v>
      </c>
      <c r="G1850" s="55"/>
      <c r="H1850" s="58"/>
      <c r="I1850" s="59"/>
    </row>
    <row r="1851" spans="2:9" x14ac:dyDescent="0.2">
      <c r="B1851" s="60" t="str">
        <f t="shared" si="35"/>
        <v>2016-088-5</v>
      </c>
      <c r="C1851" s="61">
        <v>2016</v>
      </c>
      <c r="D1851" s="61" t="s">
        <v>95</v>
      </c>
      <c r="E1851" s="61">
        <v>5</v>
      </c>
      <c r="F1851" s="62" t="s">
        <v>854</v>
      </c>
      <c r="G1851" s="61"/>
      <c r="H1851" s="63"/>
      <c r="I1851" s="64"/>
    </row>
    <row r="1852" spans="2:9" ht="27" x14ac:dyDescent="0.2">
      <c r="B1852" s="65" t="str">
        <f t="shared" si="35"/>
        <v>2016-089-0</v>
      </c>
      <c r="C1852" s="66">
        <v>2016</v>
      </c>
      <c r="D1852" s="66" t="s">
        <v>96</v>
      </c>
      <c r="E1852" s="66">
        <v>0</v>
      </c>
      <c r="F1852" s="67" t="s">
        <v>375</v>
      </c>
      <c r="G1852" s="66"/>
      <c r="H1852" s="68"/>
      <c r="I1852" s="69"/>
    </row>
    <row r="1853" spans="2:9" x14ac:dyDescent="0.2">
      <c r="B1853" s="54" t="str">
        <f t="shared" si="35"/>
        <v>2016-089-1</v>
      </c>
      <c r="C1853" s="55">
        <v>2016</v>
      </c>
      <c r="D1853" s="55" t="s">
        <v>96</v>
      </c>
      <c r="E1853" s="55">
        <v>1</v>
      </c>
      <c r="F1853" s="57" t="s">
        <v>710</v>
      </c>
      <c r="G1853" s="55"/>
      <c r="H1853" s="58"/>
      <c r="I1853" s="59"/>
    </row>
    <row r="1854" spans="2:9" x14ac:dyDescent="0.2">
      <c r="B1854" s="54" t="str">
        <f t="shared" si="35"/>
        <v>2016-089-2</v>
      </c>
      <c r="C1854" s="55">
        <v>2016</v>
      </c>
      <c r="D1854" s="55" t="s">
        <v>96</v>
      </c>
      <c r="E1854" s="55">
        <v>2</v>
      </c>
      <c r="F1854" s="57" t="s">
        <v>1032</v>
      </c>
      <c r="G1854" s="55"/>
      <c r="H1854" s="58"/>
      <c r="I1854" s="59"/>
    </row>
    <row r="1855" spans="2:9" x14ac:dyDescent="0.2">
      <c r="B1855" s="54" t="str">
        <f t="shared" si="35"/>
        <v>2016-089-3</v>
      </c>
      <c r="C1855" s="55">
        <v>2016</v>
      </c>
      <c r="D1855" s="55" t="s">
        <v>96</v>
      </c>
      <c r="E1855" s="55">
        <v>3</v>
      </c>
      <c r="F1855" s="57" t="s">
        <v>1349</v>
      </c>
      <c r="G1855" s="55" t="s">
        <v>2735</v>
      </c>
      <c r="H1855" s="58"/>
      <c r="I1855" s="59"/>
    </row>
    <row r="1856" spans="2:9" x14ac:dyDescent="0.2">
      <c r="B1856" s="54" t="str">
        <f t="shared" si="35"/>
        <v>2016-089-4</v>
      </c>
      <c r="C1856" s="55">
        <v>2016</v>
      </c>
      <c r="D1856" s="55" t="s">
        <v>96</v>
      </c>
      <c r="E1856" s="55">
        <v>4</v>
      </c>
      <c r="F1856" s="57" t="s">
        <v>83</v>
      </c>
      <c r="G1856" s="55"/>
      <c r="H1856" s="58"/>
      <c r="I1856" s="59"/>
    </row>
    <row r="1857" spans="2:9" x14ac:dyDescent="0.2">
      <c r="B1857" s="60" t="str">
        <f t="shared" si="35"/>
        <v>2016-089-5</v>
      </c>
      <c r="C1857" s="61">
        <v>2016</v>
      </c>
      <c r="D1857" s="61" t="s">
        <v>96</v>
      </c>
      <c r="E1857" s="61">
        <v>5</v>
      </c>
      <c r="F1857" s="62" t="s">
        <v>1948</v>
      </c>
      <c r="G1857" s="61"/>
      <c r="H1857" s="63"/>
      <c r="I1857" s="64"/>
    </row>
    <row r="1858" spans="2:9" x14ac:dyDescent="0.2">
      <c r="B1858" s="65" t="str">
        <f t="shared" si="35"/>
        <v>2016-090-0</v>
      </c>
      <c r="C1858" s="66">
        <v>2016</v>
      </c>
      <c r="D1858" s="66" t="s">
        <v>97</v>
      </c>
      <c r="E1858" s="66">
        <v>0</v>
      </c>
      <c r="F1858" s="67" t="s">
        <v>376</v>
      </c>
      <c r="G1858" s="66"/>
      <c r="H1858" s="68"/>
      <c r="I1858" s="69"/>
    </row>
    <row r="1859" spans="2:9" x14ac:dyDescent="0.2">
      <c r="B1859" s="54" t="str">
        <f t="shared" si="35"/>
        <v>2016-090-1</v>
      </c>
      <c r="C1859" s="55">
        <v>2016</v>
      </c>
      <c r="D1859" s="55" t="s">
        <v>97</v>
      </c>
      <c r="E1859" s="55">
        <v>1</v>
      </c>
      <c r="F1859" s="57" t="s">
        <v>711</v>
      </c>
      <c r="G1859" s="55"/>
      <c r="H1859" s="58"/>
      <c r="I1859" s="59"/>
    </row>
    <row r="1860" spans="2:9" x14ac:dyDescent="0.2">
      <c r="B1860" s="54" t="str">
        <f t="shared" si="35"/>
        <v>2016-090-2</v>
      </c>
      <c r="C1860" s="55">
        <v>2016</v>
      </c>
      <c r="D1860" s="55" t="s">
        <v>97</v>
      </c>
      <c r="E1860" s="55">
        <v>2</v>
      </c>
      <c r="F1860" s="57" t="s">
        <v>1033</v>
      </c>
      <c r="G1860" s="55"/>
      <c r="H1860" s="58"/>
      <c r="I1860" s="59"/>
    </row>
    <row r="1861" spans="2:9" x14ac:dyDescent="0.2">
      <c r="B1861" s="54" t="str">
        <f t="shared" si="35"/>
        <v>2016-090-3</v>
      </c>
      <c r="C1861" s="55">
        <v>2016</v>
      </c>
      <c r="D1861" s="55" t="s">
        <v>97</v>
      </c>
      <c r="E1861" s="55">
        <v>3</v>
      </c>
      <c r="F1861" s="57" t="s">
        <v>1350</v>
      </c>
      <c r="G1861" s="55"/>
      <c r="H1861" s="58"/>
      <c r="I1861" s="59"/>
    </row>
    <row r="1862" spans="2:9" x14ac:dyDescent="0.2">
      <c r="B1862" s="54" t="str">
        <f t="shared" si="35"/>
        <v>2016-090-4</v>
      </c>
      <c r="C1862" s="55">
        <v>2016</v>
      </c>
      <c r="D1862" s="55" t="s">
        <v>97</v>
      </c>
      <c r="E1862" s="55">
        <v>4</v>
      </c>
      <c r="F1862" s="57" t="s">
        <v>1652</v>
      </c>
      <c r="G1862" s="55"/>
      <c r="H1862" s="58"/>
      <c r="I1862" s="59"/>
    </row>
    <row r="1863" spans="2:9" x14ac:dyDescent="0.2">
      <c r="B1863" s="60" t="str">
        <f t="shared" si="35"/>
        <v>2016-090-5</v>
      </c>
      <c r="C1863" s="61">
        <v>2016</v>
      </c>
      <c r="D1863" s="61" t="s">
        <v>97</v>
      </c>
      <c r="E1863" s="61">
        <v>5</v>
      </c>
      <c r="F1863" s="62" t="s">
        <v>1949</v>
      </c>
      <c r="G1863" s="61" t="s">
        <v>2735</v>
      </c>
      <c r="H1863" s="63"/>
      <c r="I1863" s="64"/>
    </row>
    <row r="1864" spans="2:9" ht="54" x14ac:dyDescent="0.2">
      <c r="B1864" s="65" t="str">
        <f t="shared" si="35"/>
        <v>2016-091-0</v>
      </c>
      <c r="C1864" s="66">
        <v>2016</v>
      </c>
      <c r="D1864" s="66" t="s">
        <v>98</v>
      </c>
      <c r="E1864" s="66">
        <v>0</v>
      </c>
      <c r="F1864" s="67" t="s">
        <v>377</v>
      </c>
      <c r="G1864" s="66"/>
      <c r="H1864" s="68"/>
      <c r="I1864" s="69"/>
    </row>
    <row r="1865" spans="2:9" x14ac:dyDescent="0.2">
      <c r="B1865" s="54" t="str">
        <f t="shared" si="35"/>
        <v>2016-091-1</v>
      </c>
      <c r="C1865" s="55">
        <v>2016</v>
      </c>
      <c r="D1865" s="55" t="s">
        <v>98</v>
      </c>
      <c r="E1865" s="55">
        <v>1</v>
      </c>
      <c r="F1865" s="57" t="s">
        <v>5</v>
      </c>
      <c r="G1865" s="55"/>
      <c r="H1865" s="58"/>
      <c r="I1865" s="59"/>
    </row>
    <row r="1866" spans="2:9" x14ac:dyDescent="0.2">
      <c r="B1866" s="54" t="str">
        <f t="shared" si="35"/>
        <v>2016-091-2</v>
      </c>
      <c r="C1866" s="55">
        <v>2016</v>
      </c>
      <c r="D1866" s="55" t="s">
        <v>98</v>
      </c>
      <c r="E1866" s="55">
        <v>2</v>
      </c>
      <c r="F1866" s="57" t="s">
        <v>4</v>
      </c>
      <c r="G1866" s="55"/>
      <c r="H1866" s="58"/>
      <c r="I1866" s="59"/>
    </row>
    <row r="1867" spans="2:9" x14ac:dyDescent="0.2">
      <c r="B1867" s="54" t="str">
        <f t="shared" si="35"/>
        <v>2016-091-3</v>
      </c>
      <c r="C1867" s="55">
        <v>2016</v>
      </c>
      <c r="D1867" s="55" t="s">
        <v>98</v>
      </c>
      <c r="E1867" s="55">
        <v>3</v>
      </c>
      <c r="F1867" s="57" t="s">
        <v>8</v>
      </c>
      <c r="G1867" s="55"/>
      <c r="H1867" s="58"/>
      <c r="I1867" s="59"/>
    </row>
    <row r="1868" spans="2:9" x14ac:dyDescent="0.2">
      <c r="B1868" s="54" t="str">
        <f t="shared" si="35"/>
        <v>2016-091-4</v>
      </c>
      <c r="C1868" s="55">
        <v>2016</v>
      </c>
      <c r="D1868" s="55" t="s">
        <v>98</v>
      </c>
      <c r="E1868" s="55">
        <v>4</v>
      </c>
      <c r="F1868" s="57" t="s">
        <v>16</v>
      </c>
      <c r="G1868" s="55" t="s">
        <v>2735</v>
      </c>
      <c r="H1868" s="58"/>
      <c r="I1868" s="59"/>
    </row>
    <row r="1869" spans="2:9" x14ac:dyDescent="0.2">
      <c r="B1869" s="60" t="str">
        <f t="shared" si="35"/>
        <v>2016-091-5</v>
      </c>
      <c r="C1869" s="61">
        <v>2016</v>
      </c>
      <c r="D1869" s="61" t="s">
        <v>98</v>
      </c>
      <c r="E1869" s="61">
        <v>5</v>
      </c>
      <c r="F1869" s="62" t="s">
        <v>6</v>
      </c>
      <c r="G1869" s="61"/>
      <c r="H1869" s="63"/>
      <c r="I1869" s="64"/>
    </row>
    <row r="1870" spans="2:9" ht="54" x14ac:dyDescent="0.2">
      <c r="B1870" s="65" t="str">
        <f t="shared" si="35"/>
        <v>2016-092-0</v>
      </c>
      <c r="C1870" s="66">
        <v>2016</v>
      </c>
      <c r="D1870" s="66" t="s">
        <v>99</v>
      </c>
      <c r="E1870" s="66">
        <v>0</v>
      </c>
      <c r="F1870" s="67" t="s">
        <v>378</v>
      </c>
      <c r="G1870" s="66"/>
      <c r="H1870" s="68"/>
      <c r="I1870" s="69"/>
    </row>
    <row r="1871" spans="2:9" x14ac:dyDescent="0.2">
      <c r="B1871" s="54" t="str">
        <f t="shared" si="35"/>
        <v>2016-092-1</v>
      </c>
      <c r="C1871" s="55">
        <v>2016</v>
      </c>
      <c r="D1871" s="55" t="s">
        <v>99</v>
      </c>
      <c r="E1871" s="55">
        <v>1</v>
      </c>
      <c r="F1871" s="57" t="s">
        <v>712</v>
      </c>
      <c r="G1871" s="55"/>
      <c r="H1871" s="58"/>
      <c r="I1871" s="59"/>
    </row>
    <row r="1872" spans="2:9" x14ac:dyDescent="0.2">
      <c r="B1872" s="54" t="str">
        <f t="shared" si="35"/>
        <v>2016-092-2</v>
      </c>
      <c r="C1872" s="55">
        <v>2016</v>
      </c>
      <c r="D1872" s="55" t="s">
        <v>99</v>
      </c>
      <c r="E1872" s="55">
        <v>2</v>
      </c>
      <c r="F1872" s="57" t="s">
        <v>1034</v>
      </c>
      <c r="G1872" s="55" t="s">
        <v>2735</v>
      </c>
      <c r="H1872" s="58"/>
      <c r="I1872" s="59"/>
    </row>
    <row r="1873" spans="2:9" x14ac:dyDescent="0.2">
      <c r="B1873" s="54" t="str">
        <f t="shared" si="35"/>
        <v>2016-092-3</v>
      </c>
      <c r="C1873" s="55">
        <v>2016</v>
      </c>
      <c r="D1873" s="55" t="s">
        <v>99</v>
      </c>
      <c r="E1873" s="55">
        <v>3</v>
      </c>
      <c r="F1873" s="57" t="s">
        <v>87</v>
      </c>
      <c r="G1873" s="55"/>
      <c r="H1873" s="58"/>
      <c r="I1873" s="59"/>
    </row>
    <row r="1874" spans="2:9" x14ac:dyDescent="0.2">
      <c r="B1874" s="54" t="str">
        <f t="shared" si="35"/>
        <v>2016-092-4</v>
      </c>
      <c r="C1874" s="55">
        <v>2016</v>
      </c>
      <c r="D1874" s="55" t="s">
        <v>99</v>
      </c>
      <c r="E1874" s="55">
        <v>4</v>
      </c>
      <c r="F1874" s="57" t="s">
        <v>1653</v>
      </c>
      <c r="G1874" s="55"/>
      <c r="H1874" s="58"/>
      <c r="I1874" s="59"/>
    </row>
    <row r="1875" spans="2:9" x14ac:dyDescent="0.2">
      <c r="B1875" s="60" t="str">
        <f t="shared" si="35"/>
        <v>2016-092-5</v>
      </c>
      <c r="C1875" s="61">
        <v>2016</v>
      </c>
      <c r="D1875" s="61" t="s">
        <v>99</v>
      </c>
      <c r="E1875" s="61">
        <v>5</v>
      </c>
      <c r="F1875" s="62" t="s">
        <v>1950</v>
      </c>
      <c r="G1875" s="61"/>
      <c r="H1875" s="63"/>
      <c r="I1875" s="64"/>
    </row>
    <row r="1876" spans="2:9" x14ac:dyDescent="0.2">
      <c r="B1876" s="65" t="str">
        <f t="shared" si="35"/>
        <v>2016-093-0</v>
      </c>
      <c r="C1876" s="66">
        <v>2016</v>
      </c>
      <c r="D1876" s="66" t="s">
        <v>100</v>
      </c>
      <c r="E1876" s="66">
        <v>0</v>
      </c>
      <c r="F1876" s="67" t="s">
        <v>379</v>
      </c>
      <c r="G1876" s="66"/>
      <c r="H1876" s="68"/>
      <c r="I1876" s="69"/>
    </row>
    <row r="1877" spans="2:9" x14ac:dyDescent="0.2">
      <c r="B1877" s="54" t="str">
        <f t="shared" si="35"/>
        <v>2016-093-1</v>
      </c>
      <c r="C1877" s="55">
        <v>2016</v>
      </c>
      <c r="D1877" s="55" t="s">
        <v>100</v>
      </c>
      <c r="E1877" s="55">
        <v>1</v>
      </c>
      <c r="F1877" s="57" t="s">
        <v>713</v>
      </c>
      <c r="G1877" s="55"/>
      <c r="H1877" s="58"/>
      <c r="I1877" s="59"/>
    </row>
    <row r="1878" spans="2:9" x14ac:dyDescent="0.2">
      <c r="B1878" s="54" t="str">
        <f t="shared" si="35"/>
        <v>2016-093-2</v>
      </c>
      <c r="C1878" s="55">
        <v>2016</v>
      </c>
      <c r="D1878" s="55" t="s">
        <v>100</v>
      </c>
      <c r="E1878" s="55">
        <v>2</v>
      </c>
      <c r="F1878" s="57" t="s">
        <v>973</v>
      </c>
      <c r="G1878" s="55"/>
      <c r="H1878" s="58"/>
      <c r="I1878" s="59"/>
    </row>
    <row r="1879" spans="2:9" x14ac:dyDescent="0.2">
      <c r="B1879" s="54" t="str">
        <f t="shared" si="35"/>
        <v>2016-093-3</v>
      </c>
      <c r="C1879" s="55">
        <v>2016</v>
      </c>
      <c r="D1879" s="55" t="s">
        <v>100</v>
      </c>
      <c r="E1879" s="55">
        <v>3</v>
      </c>
      <c r="F1879" s="57" t="s">
        <v>1290</v>
      </c>
      <c r="G1879" s="55"/>
      <c r="H1879" s="58"/>
      <c r="I1879" s="59"/>
    </row>
    <row r="1880" spans="2:9" x14ac:dyDescent="0.2">
      <c r="B1880" s="54" t="str">
        <f t="shared" si="35"/>
        <v>2016-093-4</v>
      </c>
      <c r="C1880" s="55">
        <v>2016</v>
      </c>
      <c r="D1880" s="55" t="s">
        <v>100</v>
      </c>
      <c r="E1880" s="55">
        <v>4</v>
      </c>
      <c r="F1880" s="57" t="s">
        <v>692</v>
      </c>
      <c r="G1880" s="55"/>
      <c r="H1880" s="58"/>
      <c r="I1880" s="59"/>
    </row>
    <row r="1881" spans="2:9" x14ac:dyDescent="0.2">
      <c r="B1881" s="60" t="str">
        <f t="shared" si="35"/>
        <v>2016-093-5</v>
      </c>
      <c r="C1881" s="61">
        <v>2016</v>
      </c>
      <c r="D1881" s="61" t="s">
        <v>100</v>
      </c>
      <c r="E1881" s="61">
        <v>5</v>
      </c>
      <c r="F1881" s="62" t="s">
        <v>1951</v>
      </c>
      <c r="G1881" s="61" t="s">
        <v>2735</v>
      </c>
      <c r="H1881" s="63"/>
      <c r="I1881" s="64"/>
    </row>
    <row r="1882" spans="2:9" x14ac:dyDescent="0.2">
      <c r="B1882" s="65" t="str">
        <f t="shared" si="35"/>
        <v>2016-094-0</v>
      </c>
      <c r="C1882" s="66">
        <v>2016</v>
      </c>
      <c r="D1882" s="66" t="s">
        <v>101</v>
      </c>
      <c r="E1882" s="66">
        <v>0</v>
      </c>
      <c r="F1882" s="67" t="s">
        <v>380</v>
      </c>
      <c r="G1882" s="66"/>
      <c r="H1882" s="68"/>
      <c r="I1882" s="69"/>
    </row>
    <row r="1883" spans="2:9" x14ac:dyDescent="0.2">
      <c r="B1883" s="54" t="str">
        <f t="shared" si="35"/>
        <v>2016-094-1</v>
      </c>
      <c r="C1883" s="55">
        <v>2016</v>
      </c>
      <c r="D1883" s="55" t="s">
        <v>101</v>
      </c>
      <c r="E1883" s="55">
        <v>1</v>
      </c>
      <c r="F1883" s="57" t="s">
        <v>714</v>
      </c>
      <c r="G1883" s="55"/>
      <c r="H1883" s="58"/>
      <c r="I1883" s="59"/>
    </row>
    <row r="1884" spans="2:9" x14ac:dyDescent="0.2">
      <c r="B1884" s="54" t="str">
        <f t="shared" si="35"/>
        <v>2016-094-2</v>
      </c>
      <c r="C1884" s="55">
        <v>2016</v>
      </c>
      <c r="D1884" s="55" t="s">
        <v>101</v>
      </c>
      <c r="E1884" s="55">
        <v>2</v>
      </c>
      <c r="F1884" s="57" t="s">
        <v>1035</v>
      </c>
      <c r="G1884" s="55" t="s">
        <v>2735</v>
      </c>
      <c r="H1884" s="58"/>
      <c r="I1884" s="59"/>
    </row>
    <row r="1885" spans="2:9" x14ac:dyDescent="0.2">
      <c r="B1885" s="54" t="str">
        <f t="shared" si="35"/>
        <v>2016-094-3</v>
      </c>
      <c r="C1885" s="55">
        <v>2016</v>
      </c>
      <c r="D1885" s="55" t="s">
        <v>101</v>
      </c>
      <c r="E1885" s="55">
        <v>3</v>
      </c>
      <c r="F1885" s="57" t="s">
        <v>1351</v>
      </c>
      <c r="G1885" s="55"/>
      <c r="H1885" s="58"/>
      <c r="I1885" s="59"/>
    </row>
    <row r="1886" spans="2:9" x14ac:dyDescent="0.2">
      <c r="B1886" s="54" t="str">
        <f t="shared" si="35"/>
        <v>2016-094-4</v>
      </c>
      <c r="C1886" s="55">
        <v>2016</v>
      </c>
      <c r="D1886" s="55" t="s">
        <v>101</v>
      </c>
      <c r="E1886" s="55">
        <v>4</v>
      </c>
      <c r="F1886" s="57" t="s">
        <v>1654</v>
      </c>
      <c r="G1886" s="55"/>
      <c r="H1886" s="58"/>
      <c r="I1886" s="59"/>
    </row>
    <row r="1887" spans="2:9" x14ac:dyDescent="0.2">
      <c r="B1887" s="60" t="str">
        <f t="shared" si="35"/>
        <v>2016-094-5</v>
      </c>
      <c r="C1887" s="61">
        <v>2016</v>
      </c>
      <c r="D1887" s="61" t="s">
        <v>101</v>
      </c>
      <c r="E1887" s="61">
        <v>5</v>
      </c>
      <c r="F1887" s="62" t="s">
        <v>1952</v>
      </c>
      <c r="G1887" s="61"/>
      <c r="H1887" s="63"/>
      <c r="I1887" s="64"/>
    </row>
    <row r="1888" spans="2:9" x14ac:dyDescent="0.2">
      <c r="B1888" s="65" t="str">
        <f t="shared" si="35"/>
        <v>2016-095-0</v>
      </c>
      <c r="C1888" s="66">
        <v>2016</v>
      </c>
      <c r="D1888" s="66" t="s">
        <v>102</v>
      </c>
      <c r="E1888" s="66">
        <v>0</v>
      </c>
      <c r="F1888" s="67" t="s">
        <v>381</v>
      </c>
      <c r="G1888" s="66"/>
      <c r="H1888" s="68"/>
      <c r="I1888" s="69"/>
    </row>
    <row r="1889" spans="2:9" ht="27" x14ac:dyDescent="0.2">
      <c r="B1889" s="54" t="str">
        <f t="shared" si="35"/>
        <v>2016-095-1</v>
      </c>
      <c r="C1889" s="55">
        <v>2016</v>
      </c>
      <c r="D1889" s="55" t="s">
        <v>102</v>
      </c>
      <c r="E1889" s="55">
        <v>1</v>
      </c>
      <c r="F1889" s="57" t="s">
        <v>715</v>
      </c>
      <c r="G1889" s="55"/>
      <c r="H1889" s="58"/>
      <c r="I1889" s="59"/>
    </row>
    <row r="1890" spans="2:9" ht="27" x14ac:dyDescent="0.2">
      <c r="B1890" s="54" t="str">
        <f t="shared" si="35"/>
        <v>2016-095-2</v>
      </c>
      <c r="C1890" s="55">
        <v>2016</v>
      </c>
      <c r="D1890" s="55" t="s">
        <v>102</v>
      </c>
      <c r="E1890" s="55">
        <v>2</v>
      </c>
      <c r="F1890" s="57" t="s">
        <v>1036</v>
      </c>
      <c r="G1890" s="55"/>
      <c r="H1890" s="58"/>
      <c r="I1890" s="59"/>
    </row>
    <row r="1891" spans="2:9" x14ac:dyDescent="0.2">
      <c r="B1891" s="54" t="str">
        <f t="shared" si="35"/>
        <v>2016-095-3</v>
      </c>
      <c r="C1891" s="55">
        <v>2016</v>
      </c>
      <c r="D1891" s="55" t="s">
        <v>102</v>
      </c>
      <c r="E1891" s="55">
        <v>3</v>
      </c>
      <c r="F1891" s="57" t="s">
        <v>1352</v>
      </c>
      <c r="G1891" s="55"/>
      <c r="H1891" s="58"/>
      <c r="I1891" s="59"/>
    </row>
    <row r="1892" spans="2:9" ht="27" x14ac:dyDescent="0.2">
      <c r="B1892" s="54" t="str">
        <f t="shared" si="35"/>
        <v>2016-095-4</v>
      </c>
      <c r="C1892" s="55">
        <v>2016</v>
      </c>
      <c r="D1892" s="55" t="s">
        <v>102</v>
      </c>
      <c r="E1892" s="55">
        <v>4</v>
      </c>
      <c r="F1892" s="57" t="s">
        <v>1655</v>
      </c>
      <c r="G1892" s="55"/>
      <c r="H1892" s="58"/>
      <c r="I1892" s="59"/>
    </row>
    <row r="1893" spans="2:9" ht="27" x14ac:dyDescent="0.2">
      <c r="B1893" s="60" t="str">
        <f t="shared" si="35"/>
        <v>2016-095-5</v>
      </c>
      <c r="C1893" s="61">
        <v>2016</v>
      </c>
      <c r="D1893" s="61" t="s">
        <v>102</v>
      </c>
      <c r="E1893" s="61">
        <v>5</v>
      </c>
      <c r="F1893" s="62" t="s">
        <v>1878</v>
      </c>
      <c r="G1893" s="61" t="s">
        <v>2735</v>
      </c>
      <c r="H1893" s="63"/>
      <c r="I1893" s="64"/>
    </row>
    <row r="1894" spans="2:9" x14ac:dyDescent="0.2">
      <c r="B1894" s="65" t="str">
        <f t="shared" si="35"/>
        <v>2016-096-0</v>
      </c>
      <c r="C1894" s="66">
        <v>2016</v>
      </c>
      <c r="D1894" s="66" t="s">
        <v>103</v>
      </c>
      <c r="E1894" s="66">
        <v>0</v>
      </c>
      <c r="F1894" s="67" t="s">
        <v>382</v>
      </c>
      <c r="G1894" s="66"/>
      <c r="H1894" s="68"/>
      <c r="I1894" s="69"/>
    </row>
    <row r="1895" spans="2:9" x14ac:dyDescent="0.2">
      <c r="B1895" s="54" t="str">
        <f t="shared" si="35"/>
        <v>2016-096-1</v>
      </c>
      <c r="C1895" s="55">
        <v>2016</v>
      </c>
      <c r="D1895" s="55" t="s">
        <v>103</v>
      </c>
      <c r="E1895" s="55">
        <v>1</v>
      </c>
      <c r="F1895" s="57" t="s">
        <v>716</v>
      </c>
      <c r="G1895" s="55" t="s">
        <v>2735</v>
      </c>
      <c r="H1895" s="58"/>
      <c r="I1895" s="59"/>
    </row>
    <row r="1896" spans="2:9" x14ac:dyDescent="0.2">
      <c r="B1896" s="54" t="str">
        <f t="shared" si="35"/>
        <v>2016-096-2</v>
      </c>
      <c r="C1896" s="55">
        <v>2016</v>
      </c>
      <c r="D1896" s="55" t="s">
        <v>103</v>
      </c>
      <c r="E1896" s="55">
        <v>2</v>
      </c>
      <c r="F1896" s="57" t="s">
        <v>1037</v>
      </c>
      <c r="G1896" s="55"/>
      <c r="H1896" s="58"/>
      <c r="I1896" s="59"/>
    </row>
    <row r="1897" spans="2:9" ht="27" x14ac:dyDescent="0.2">
      <c r="B1897" s="54" t="str">
        <f t="shared" si="35"/>
        <v>2016-096-3</v>
      </c>
      <c r="C1897" s="55">
        <v>2016</v>
      </c>
      <c r="D1897" s="55" t="s">
        <v>103</v>
      </c>
      <c r="E1897" s="55">
        <v>3</v>
      </c>
      <c r="F1897" s="57" t="s">
        <v>1353</v>
      </c>
      <c r="G1897" s="55"/>
      <c r="H1897" s="58"/>
      <c r="I1897" s="59"/>
    </row>
    <row r="1898" spans="2:9" ht="27" x14ac:dyDescent="0.2">
      <c r="B1898" s="54" t="str">
        <f t="shared" si="35"/>
        <v>2016-096-4</v>
      </c>
      <c r="C1898" s="55">
        <v>2016</v>
      </c>
      <c r="D1898" s="55" t="s">
        <v>103</v>
      </c>
      <c r="E1898" s="55">
        <v>4</v>
      </c>
      <c r="F1898" s="57" t="s">
        <v>1656</v>
      </c>
      <c r="G1898" s="55"/>
      <c r="H1898" s="58"/>
      <c r="I1898" s="59"/>
    </row>
    <row r="1899" spans="2:9" ht="27" x14ac:dyDescent="0.2">
      <c r="B1899" s="60" t="str">
        <f t="shared" si="35"/>
        <v>2016-096-5</v>
      </c>
      <c r="C1899" s="61">
        <v>2016</v>
      </c>
      <c r="D1899" s="61" t="s">
        <v>103</v>
      </c>
      <c r="E1899" s="61">
        <v>5</v>
      </c>
      <c r="F1899" s="62" t="s">
        <v>1953</v>
      </c>
      <c r="G1899" s="61"/>
      <c r="H1899" s="63"/>
      <c r="I1899" s="64"/>
    </row>
    <row r="1900" spans="2:9" ht="54" x14ac:dyDescent="0.2">
      <c r="B1900" s="65" t="str">
        <f t="shared" si="35"/>
        <v>2016-097-0</v>
      </c>
      <c r="C1900" s="66">
        <v>2016</v>
      </c>
      <c r="D1900" s="66" t="s">
        <v>104</v>
      </c>
      <c r="E1900" s="66">
        <v>0</v>
      </c>
      <c r="F1900" s="67" t="s">
        <v>383</v>
      </c>
      <c r="G1900" s="66"/>
      <c r="H1900" s="68"/>
      <c r="I1900" s="69"/>
    </row>
    <row r="1901" spans="2:9" x14ac:dyDescent="0.2">
      <c r="B1901" s="54" t="str">
        <f t="shared" si="35"/>
        <v>2016-097-1</v>
      </c>
      <c r="C1901" s="55">
        <v>2016</v>
      </c>
      <c r="D1901" s="55" t="s">
        <v>104</v>
      </c>
      <c r="E1901" s="55">
        <v>1</v>
      </c>
      <c r="F1901" s="57" t="s">
        <v>717</v>
      </c>
      <c r="G1901" s="55"/>
      <c r="H1901" s="58"/>
      <c r="I1901" s="59"/>
    </row>
    <row r="1902" spans="2:9" x14ac:dyDescent="0.2">
      <c r="B1902" s="54" t="str">
        <f t="shared" si="35"/>
        <v>2016-097-2</v>
      </c>
      <c r="C1902" s="55">
        <v>2016</v>
      </c>
      <c r="D1902" s="55" t="s">
        <v>104</v>
      </c>
      <c r="E1902" s="55">
        <v>2</v>
      </c>
      <c r="F1902" s="57" t="s">
        <v>1038</v>
      </c>
      <c r="G1902" s="55"/>
      <c r="H1902" s="58"/>
      <c r="I1902" s="59"/>
    </row>
    <row r="1903" spans="2:9" x14ac:dyDescent="0.2">
      <c r="B1903" s="54" t="str">
        <f t="shared" ref="B1903:B1923" si="36">C1903&amp;"-"&amp;D1903&amp;"-"&amp;E1903</f>
        <v>2016-097-3</v>
      </c>
      <c r="C1903" s="55">
        <v>2016</v>
      </c>
      <c r="D1903" s="55" t="s">
        <v>104</v>
      </c>
      <c r="E1903" s="55">
        <v>3</v>
      </c>
      <c r="F1903" s="57" t="s">
        <v>1354</v>
      </c>
      <c r="G1903" s="55"/>
      <c r="H1903" s="58"/>
      <c r="I1903" s="59"/>
    </row>
    <row r="1904" spans="2:9" x14ac:dyDescent="0.2">
      <c r="B1904" s="54" t="str">
        <f t="shared" si="36"/>
        <v>2016-097-4</v>
      </c>
      <c r="C1904" s="55">
        <v>2016</v>
      </c>
      <c r="D1904" s="55" t="s">
        <v>104</v>
      </c>
      <c r="E1904" s="55">
        <v>4</v>
      </c>
      <c r="F1904" s="57" t="s">
        <v>1657</v>
      </c>
      <c r="G1904" s="55" t="s">
        <v>2735</v>
      </c>
      <c r="H1904" s="58"/>
      <c r="I1904" s="59"/>
    </row>
    <row r="1905" spans="2:9" x14ac:dyDescent="0.2">
      <c r="B1905" s="60" t="str">
        <f t="shared" si="36"/>
        <v>2016-097-5</v>
      </c>
      <c r="C1905" s="61">
        <v>2016</v>
      </c>
      <c r="D1905" s="61" t="s">
        <v>104</v>
      </c>
      <c r="E1905" s="61">
        <v>5</v>
      </c>
      <c r="F1905" s="62" t="s">
        <v>1954</v>
      </c>
      <c r="G1905" s="61"/>
      <c r="H1905" s="63"/>
      <c r="I1905" s="64"/>
    </row>
    <row r="1906" spans="2:9" x14ac:dyDescent="0.2">
      <c r="B1906" s="65" t="str">
        <f t="shared" si="36"/>
        <v>2016-098-0</v>
      </c>
      <c r="C1906" s="66">
        <v>2016</v>
      </c>
      <c r="D1906" s="66" t="s">
        <v>105</v>
      </c>
      <c r="E1906" s="66">
        <v>0</v>
      </c>
      <c r="F1906" s="67" t="s">
        <v>384</v>
      </c>
      <c r="G1906" s="66"/>
      <c r="H1906" s="68"/>
      <c r="I1906" s="69"/>
    </row>
    <row r="1907" spans="2:9" x14ac:dyDescent="0.2">
      <c r="B1907" s="54" t="str">
        <f t="shared" si="36"/>
        <v>2016-098-1</v>
      </c>
      <c r="C1907" s="55">
        <v>2016</v>
      </c>
      <c r="D1907" s="55" t="s">
        <v>105</v>
      </c>
      <c r="E1907" s="55">
        <v>1</v>
      </c>
      <c r="F1907" s="57" t="s">
        <v>718</v>
      </c>
      <c r="G1907" s="55"/>
      <c r="H1907" s="58"/>
      <c r="I1907" s="59"/>
    </row>
    <row r="1908" spans="2:9" x14ac:dyDescent="0.2">
      <c r="B1908" s="54" t="str">
        <f t="shared" si="36"/>
        <v>2016-098-2</v>
      </c>
      <c r="C1908" s="55">
        <v>2016</v>
      </c>
      <c r="D1908" s="55" t="s">
        <v>105</v>
      </c>
      <c r="E1908" s="55">
        <v>2</v>
      </c>
      <c r="F1908" s="57" t="s">
        <v>1039</v>
      </c>
      <c r="G1908" s="55"/>
      <c r="H1908" s="58"/>
      <c r="I1908" s="59"/>
    </row>
    <row r="1909" spans="2:9" x14ac:dyDescent="0.2">
      <c r="B1909" s="54" t="str">
        <f t="shared" si="36"/>
        <v>2016-098-3</v>
      </c>
      <c r="C1909" s="55">
        <v>2016</v>
      </c>
      <c r="D1909" s="55" t="s">
        <v>105</v>
      </c>
      <c r="E1909" s="55">
        <v>3</v>
      </c>
      <c r="F1909" s="57" t="s">
        <v>1355</v>
      </c>
      <c r="G1909" s="55" t="s">
        <v>2735</v>
      </c>
      <c r="H1909" s="58"/>
      <c r="I1909" s="59"/>
    </row>
    <row r="1910" spans="2:9" ht="27" x14ac:dyDescent="0.2">
      <c r="B1910" s="54" t="str">
        <f t="shared" si="36"/>
        <v>2016-098-4</v>
      </c>
      <c r="C1910" s="55">
        <v>2016</v>
      </c>
      <c r="D1910" s="55" t="s">
        <v>105</v>
      </c>
      <c r="E1910" s="55">
        <v>4</v>
      </c>
      <c r="F1910" s="57" t="s">
        <v>1658</v>
      </c>
      <c r="G1910" s="55"/>
      <c r="H1910" s="58"/>
      <c r="I1910" s="59"/>
    </row>
    <row r="1911" spans="2:9" ht="27" x14ac:dyDescent="0.2">
      <c r="B1911" s="60" t="str">
        <f t="shared" si="36"/>
        <v>2016-098-5</v>
      </c>
      <c r="C1911" s="61">
        <v>2016</v>
      </c>
      <c r="D1911" s="61" t="s">
        <v>105</v>
      </c>
      <c r="E1911" s="61">
        <v>5</v>
      </c>
      <c r="F1911" s="62" t="s">
        <v>653</v>
      </c>
      <c r="G1911" s="61"/>
      <c r="H1911" s="63"/>
      <c r="I1911" s="64"/>
    </row>
    <row r="1912" spans="2:9" ht="27" x14ac:dyDescent="0.2">
      <c r="B1912" s="65" t="str">
        <f t="shared" si="36"/>
        <v>2016-099-0</v>
      </c>
      <c r="C1912" s="66">
        <v>2016</v>
      </c>
      <c r="D1912" s="66" t="s">
        <v>106</v>
      </c>
      <c r="E1912" s="66">
        <v>0</v>
      </c>
      <c r="F1912" s="67" t="s">
        <v>385</v>
      </c>
      <c r="G1912" s="66"/>
      <c r="H1912" s="68"/>
      <c r="I1912" s="69"/>
    </row>
    <row r="1913" spans="2:9" ht="27" x14ac:dyDescent="0.2">
      <c r="B1913" s="54" t="str">
        <f t="shared" si="36"/>
        <v>2016-099-1</v>
      </c>
      <c r="C1913" s="55">
        <v>2016</v>
      </c>
      <c r="D1913" s="55" t="s">
        <v>106</v>
      </c>
      <c r="E1913" s="55">
        <v>1</v>
      </c>
      <c r="F1913" s="57" t="s">
        <v>719</v>
      </c>
      <c r="G1913" s="55" t="s">
        <v>2735</v>
      </c>
      <c r="H1913" s="58"/>
      <c r="I1913" s="59"/>
    </row>
    <row r="1914" spans="2:9" ht="27" x14ac:dyDescent="0.2">
      <c r="B1914" s="54" t="str">
        <f t="shared" si="36"/>
        <v>2016-099-2</v>
      </c>
      <c r="C1914" s="55">
        <v>2016</v>
      </c>
      <c r="D1914" s="55" t="s">
        <v>106</v>
      </c>
      <c r="E1914" s="55">
        <v>2</v>
      </c>
      <c r="F1914" s="57" t="s">
        <v>1040</v>
      </c>
      <c r="G1914" s="55"/>
      <c r="H1914" s="58"/>
      <c r="I1914" s="59"/>
    </row>
    <row r="1915" spans="2:9" x14ac:dyDescent="0.2">
      <c r="B1915" s="54" t="str">
        <f t="shared" si="36"/>
        <v>2016-099-3</v>
      </c>
      <c r="C1915" s="55">
        <v>2016</v>
      </c>
      <c r="D1915" s="55" t="s">
        <v>106</v>
      </c>
      <c r="E1915" s="55">
        <v>3</v>
      </c>
      <c r="F1915" s="57" t="s">
        <v>1356</v>
      </c>
      <c r="G1915" s="55"/>
      <c r="H1915" s="58"/>
      <c r="I1915" s="59"/>
    </row>
    <row r="1916" spans="2:9" ht="27" x14ac:dyDescent="0.2">
      <c r="B1916" s="54" t="str">
        <f t="shared" si="36"/>
        <v>2016-099-4</v>
      </c>
      <c r="C1916" s="55">
        <v>2016</v>
      </c>
      <c r="D1916" s="55" t="s">
        <v>106</v>
      </c>
      <c r="E1916" s="55">
        <v>4</v>
      </c>
      <c r="F1916" s="57" t="s">
        <v>1659</v>
      </c>
      <c r="G1916" s="55"/>
      <c r="H1916" s="58"/>
      <c r="I1916" s="59"/>
    </row>
    <row r="1917" spans="2:9" ht="27" x14ac:dyDescent="0.2">
      <c r="B1917" s="60" t="str">
        <f t="shared" si="36"/>
        <v>2016-099-5</v>
      </c>
      <c r="C1917" s="61">
        <v>2016</v>
      </c>
      <c r="D1917" s="61" t="s">
        <v>106</v>
      </c>
      <c r="E1917" s="61">
        <v>5</v>
      </c>
      <c r="F1917" s="62" t="s">
        <v>1526</v>
      </c>
      <c r="G1917" s="61"/>
      <c r="H1917" s="63"/>
      <c r="I1917" s="64"/>
    </row>
    <row r="1918" spans="2:9" ht="40.5" x14ac:dyDescent="0.2">
      <c r="B1918" s="65" t="str">
        <f t="shared" si="36"/>
        <v>2016-100-0</v>
      </c>
      <c r="C1918" s="66">
        <v>2016</v>
      </c>
      <c r="D1918" s="66" t="s">
        <v>107</v>
      </c>
      <c r="E1918" s="66">
        <v>0</v>
      </c>
      <c r="F1918" s="67" t="s">
        <v>386</v>
      </c>
      <c r="G1918" s="66"/>
      <c r="H1918" s="68"/>
      <c r="I1918" s="69"/>
    </row>
    <row r="1919" spans="2:9" x14ac:dyDescent="0.2">
      <c r="B1919" s="54" t="str">
        <f t="shared" si="36"/>
        <v>2016-100-1</v>
      </c>
      <c r="C1919" s="55">
        <v>2016</v>
      </c>
      <c r="D1919" s="55" t="s">
        <v>107</v>
      </c>
      <c r="E1919" s="55">
        <v>1</v>
      </c>
      <c r="F1919" s="57" t="s">
        <v>720</v>
      </c>
      <c r="G1919" s="55"/>
      <c r="H1919" s="58"/>
      <c r="I1919" s="59"/>
    </row>
    <row r="1920" spans="2:9" x14ac:dyDescent="0.2">
      <c r="B1920" s="54" t="str">
        <f t="shared" si="36"/>
        <v>2016-100-2</v>
      </c>
      <c r="C1920" s="55">
        <v>2016</v>
      </c>
      <c r="D1920" s="55" t="s">
        <v>107</v>
      </c>
      <c r="E1920" s="55">
        <v>2</v>
      </c>
      <c r="F1920" s="57" t="s">
        <v>1041</v>
      </c>
      <c r="G1920" s="55"/>
      <c r="H1920" s="58"/>
      <c r="I1920" s="59"/>
    </row>
    <row r="1921" spans="2:9" x14ac:dyDescent="0.2">
      <c r="B1921" s="54" t="str">
        <f t="shared" si="36"/>
        <v>2016-100-3</v>
      </c>
      <c r="C1921" s="55">
        <v>2016</v>
      </c>
      <c r="D1921" s="55" t="s">
        <v>107</v>
      </c>
      <c r="E1921" s="55">
        <v>3</v>
      </c>
      <c r="F1921" s="57" t="s">
        <v>1357</v>
      </c>
      <c r="G1921" s="55"/>
      <c r="H1921" s="58"/>
      <c r="I1921" s="59"/>
    </row>
    <row r="1922" spans="2:9" x14ac:dyDescent="0.2">
      <c r="B1922" s="54" t="str">
        <f t="shared" si="36"/>
        <v>2016-100-4</v>
      </c>
      <c r="C1922" s="55">
        <v>2016</v>
      </c>
      <c r="D1922" s="55" t="s">
        <v>107</v>
      </c>
      <c r="E1922" s="55">
        <v>4</v>
      </c>
      <c r="F1922" s="57" t="s">
        <v>1660</v>
      </c>
      <c r="G1922" s="55" t="s">
        <v>2735</v>
      </c>
      <c r="H1922" s="58"/>
      <c r="I1922" s="59"/>
    </row>
    <row r="1923" spans="2:9" ht="14.25" thickBot="1" x14ac:dyDescent="0.25">
      <c r="B1923" s="70" t="str">
        <f t="shared" si="36"/>
        <v>2016-100-5</v>
      </c>
      <c r="C1923" s="71">
        <v>2016</v>
      </c>
      <c r="D1923" s="71" t="s">
        <v>107</v>
      </c>
      <c r="E1923" s="71">
        <v>5</v>
      </c>
      <c r="F1923" s="72" t="s">
        <v>1955</v>
      </c>
      <c r="G1923" s="71"/>
      <c r="H1923" s="73"/>
      <c r="I1923" s="74"/>
    </row>
    <row r="1924" spans="2:9" x14ac:dyDescent="0.2">
      <c r="B1924" s="48" t="str">
        <f t="shared" ref="B1924:B1940" si="37">C1924&amp;"-"&amp;D1924&amp;"-"&amp;E1924</f>
        <v>2015-076-0</v>
      </c>
      <c r="C1924" s="49">
        <v>2015</v>
      </c>
      <c r="D1924" s="49" t="s">
        <v>78</v>
      </c>
      <c r="E1924" s="49">
        <v>0</v>
      </c>
      <c r="F1924" s="51" t="s">
        <v>387</v>
      </c>
      <c r="G1924" s="49"/>
      <c r="H1924" s="52"/>
      <c r="I1924" s="53"/>
    </row>
    <row r="1925" spans="2:9" ht="27" x14ac:dyDescent="0.2">
      <c r="B1925" s="54" t="str">
        <f t="shared" si="37"/>
        <v>2015-076-1</v>
      </c>
      <c r="C1925" s="55">
        <v>2015</v>
      </c>
      <c r="D1925" s="55" t="s">
        <v>78</v>
      </c>
      <c r="E1925" s="55">
        <v>1</v>
      </c>
      <c r="F1925" s="57" t="s">
        <v>721</v>
      </c>
      <c r="G1925" s="55"/>
      <c r="H1925" s="58"/>
      <c r="I1925" s="59"/>
    </row>
    <row r="1926" spans="2:9" x14ac:dyDescent="0.2">
      <c r="B1926" s="54" t="str">
        <f t="shared" si="37"/>
        <v>2015-076-2</v>
      </c>
      <c r="C1926" s="55">
        <v>2015</v>
      </c>
      <c r="D1926" s="55" t="s">
        <v>78</v>
      </c>
      <c r="E1926" s="55">
        <v>2</v>
      </c>
      <c r="F1926" s="57" t="s">
        <v>1042</v>
      </c>
      <c r="G1926" s="55" t="s">
        <v>2735</v>
      </c>
      <c r="H1926" s="58"/>
      <c r="I1926" s="59"/>
    </row>
    <row r="1927" spans="2:9" x14ac:dyDescent="0.2">
      <c r="B1927" s="54" t="str">
        <f t="shared" si="37"/>
        <v>2015-076-3</v>
      </c>
      <c r="C1927" s="55">
        <v>2015</v>
      </c>
      <c r="D1927" s="55" t="s">
        <v>78</v>
      </c>
      <c r="E1927" s="55">
        <v>3</v>
      </c>
      <c r="F1927" s="57" t="s">
        <v>1358</v>
      </c>
      <c r="G1927" s="55"/>
      <c r="H1927" s="58"/>
      <c r="I1927" s="59"/>
    </row>
    <row r="1928" spans="2:9" x14ac:dyDescent="0.2">
      <c r="B1928" s="54" t="str">
        <f t="shared" si="37"/>
        <v>2015-076-4</v>
      </c>
      <c r="C1928" s="55">
        <v>2015</v>
      </c>
      <c r="D1928" s="55" t="s">
        <v>78</v>
      </c>
      <c r="E1928" s="55">
        <v>4</v>
      </c>
      <c r="F1928" s="57" t="s">
        <v>1661</v>
      </c>
      <c r="G1928" s="55"/>
      <c r="H1928" s="58"/>
      <c r="I1928" s="59"/>
    </row>
    <row r="1929" spans="2:9" ht="27" x14ac:dyDescent="0.2">
      <c r="B1929" s="60" t="str">
        <f t="shared" si="37"/>
        <v>2015-076-5</v>
      </c>
      <c r="C1929" s="61">
        <v>2015</v>
      </c>
      <c r="D1929" s="61" t="s">
        <v>78</v>
      </c>
      <c r="E1929" s="61">
        <v>5</v>
      </c>
      <c r="F1929" s="62" t="s">
        <v>554</v>
      </c>
      <c r="G1929" s="61"/>
      <c r="H1929" s="63"/>
      <c r="I1929" s="64"/>
    </row>
    <row r="1930" spans="2:9" x14ac:dyDescent="0.2">
      <c r="B1930" s="65" t="str">
        <f t="shared" si="37"/>
        <v>2015-077-0</v>
      </c>
      <c r="C1930" s="66">
        <v>2015</v>
      </c>
      <c r="D1930" s="66" t="s">
        <v>79</v>
      </c>
      <c r="E1930" s="66">
        <v>0</v>
      </c>
      <c r="F1930" s="67" t="s">
        <v>388</v>
      </c>
      <c r="G1930" s="66"/>
      <c r="H1930" s="68"/>
      <c r="I1930" s="69"/>
    </row>
    <row r="1931" spans="2:9" x14ac:dyDescent="0.2">
      <c r="B1931" s="54" t="str">
        <f t="shared" si="37"/>
        <v>2015-077-1</v>
      </c>
      <c r="C1931" s="55">
        <v>2015</v>
      </c>
      <c r="D1931" s="55" t="s">
        <v>79</v>
      </c>
      <c r="E1931" s="55">
        <v>1</v>
      </c>
      <c r="F1931" s="57" t="s">
        <v>722</v>
      </c>
      <c r="G1931" s="55"/>
      <c r="H1931" s="58"/>
      <c r="I1931" s="59"/>
    </row>
    <row r="1932" spans="2:9" ht="27" x14ac:dyDescent="0.2">
      <c r="B1932" s="54" t="str">
        <f t="shared" si="37"/>
        <v>2015-077-2</v>
      </c>
      <c r="C1932" s="55">
        <v>2015</v>
      </c>
      <c r="D1932" s="55" t="s">
        <v>79</v>
      </c>
      <c r="E1932" s="55">
        <v>2</v>
      </c>
      <c r="F1932" s="57" t="s">
        <v>1043</v>
      </c>
      <c r="G1932" s="55"/>
      <c r="H1932" s="58"/>
      <c r="I1932" s="59"/>
    </row>
    <row r="1933" spans="2:9" ht="27" x14ac:dyDescent="0.2">
      <c r="B1933" s="54" t="str">
        <f t="shared" si="37"/>
        <v>2015-077-3</v>
      </c>
      <c r="C1933" s="55">
        <v>2015</v>
      </c>
      <c r="D1933" s="55" t="s">
        <v>79</v>
      </c>
      <c r="E1933" s="55">
        <v>3</v>
      </c>
      <c r="F1933" s="57" t="s">
        <v>1359</v>
      </c>
      <c r="G1933" s="55" t="s">
        <v>2735</v>
      </c>
      <c r="H1933" s="58"/>
      <c r="I1933" s="59"/>
    </row>
    <row r="1934" spans="2:9" x14ac:dyDescent="0.2">
      <c r="B1934" s="54" t="str">
        <f t="shared" si="37"/>
        <v>2015-077-4</v>
      </c>
      <c r="C1934" s="55">
        <v>2015</v>
      </c>
      <c r="D1934" s="55" t="s">
        <v>79</v>
      </c>
      <c r="E1934" s="55">
        <v>4</v>
      </c>
      <c r="F1934" s="57" t="s">
        <v>1662</v>
      </c>
      <c r="G1934" s="55"/>
      <c r="H1934" s="58"/>
      <c r="I1934" s="59"/>
    </row>
    <row r="1935" spans="2:9" ht="27" x14ac:dyDescent="0.2">
      <c r="B1935" s="60" t="str">
        <f t="shared" si="37"/>
        <v>2015-077-5</v>
      </c>
      <c r="C1935" s="61">
        <v>2015</v>
      </c>
      <c r="D1935" s="61" t="s">
        <v>79</v>
      </c>
      <c r="E1935" s="61">
        <v>5</v>
      </c>
      <c r="F1935" s="62" t="s">
        <v>1956</v>
      </c>
      <c r="G1935" s="61"/>
      <c r="H1935" s="63"/>
      <c r="I1935" s="64"/>
    </row>
    <row r="1936" spans="2:9" x14ac:dyDescent="0.2">
      <c r="B1936" s="65" t="str">
        <f t="shared" si="37"/>
        <v>2015-078-0</v>
      </c>
      <c r="C1936" s="66">
        <v>2015</v>
      </c>
      <c r="D1936" s="66" t="s">
        <v>80</v>
      </c>
      <c r="E1936" s="66">
        <v>0</v>
      </c>
      <c r="F1936" s="67" t="s">
        <v>389</v>
      </c>
      <c r="G1936" s="66"/>
      <c r="H1936" s="68"/>
      <c r="I1936" s="69"/>
    </row>
    <row r="1937" spans="2:9" x14ac:dyDescent="0.2">
      <c r="B1937" s="54" t="str">
        <f t="shared" si="37"/>
        <v>2015-078-1</v>
      </c>
      <c r="C1937" s="55">
        <v>2015</v>
      </c>
      <c r="D1937" s="55" t="s">
        <v>80</v>
      </c>
      <c r="E1937" s="55">
        <v>1</v>
      </c>
      <c r="F1937" s="57" t="s">
        <v>723</v>
      </c>
      <c r="G1937" s="55"/>
      <c r="H1937" s="58"/>
      <c r="I1937" s="59"/>
    </row>
    <row r="1938" spans="2:9" ht="27" x14ac:dyDescent="0.2">
      <c r="B1938" s="54" t="str">
        <f t="shared" si="37"/>
        <v>2015-078-2</v>
      </c>
      <c r="C1938" s="55">
        <v>2015</v>
      </c>
      <c r="D1938" s="55" t="s">
        <v>80</v>
      </c>
      <c r="E1938" s="55">
        <v>2</v>
      </c>
      <c r="F1938" s="57" t="s">
        <v>1044</v>
      </c>
      <c r="G1938" s="55"/>
      <c r="H1938" s="58"/>
      <c r="I1938" s="59"/>
    </row>
    <row r="1939" spans="2:9" x14ac:dyDescent="0.2">
      <c r="B1939" s="54" t="str">
        <f t="shared" si="37"/>
        <v>2015-078-3</v>
      </c>
      <c r="C1939" s="55">
        <v>2015</v>
      </c>
      <c r="D1939" s="55" t="s">
        <v>80</v>
      </c>
      <c r="E1939" s="55">
        <v>3</v>
      </c>
      <c r="F1939" s="57" t="s">
        <v>1360</v>
      </c>
      <c r="G1939" s="55"/>
      <c r="H1939" s="58"/>
      <c r="I1939" s="59"/>
    </row>
    <row r="1940" spans="2:9" x14ac:dyDescent="0.2">
      <c r="B1940" s="54" t="str">
        <f t="shared" si="37"/>
        <v>2015-078-4</v>
      </c>
      <c r="C1940" s="55">
        <v>2015</v>
      </c>
      <c r="D1940" s="55" t="s">
        <v>80</v>
      </c>
      <c r="E1940" s="55">
        <v>4</v>
      </c>
      <c r="F1940" s="57" t="s">
        <v>1663</v>
      </c>
      <c r="G1940" s="55"/>
      <c r="H1940" s="58"/>
      <c r="I1940" s="59"/>
    </row>
    <row r="1941" spans="2:9" ht="27" x14ac:dyDescent="0.2">
      <c r="B1941" s="60" t="str">
        <f t="shared" ref="B1941:B2004" si="38">C1941&amp;"-"&amp;D1941&amp;"-"&amp;E1941</f>
        <v>2015-078-5</v>
      </c>
      <c r="C1941" s="61">
        <v>2015</v>
      </c>
      <c r="D1941" s="61" t="s">
        <v>80</v>
      </c>
      <c r="E1941" s="61">
        <v>5</v>
      </c>
      <c r="F1941" s="62" t="s">
        <v>1957</v>
      </c>
      <c r="G1941" s="61" t="s">
        <v>2735</v>
      </c>
      <c r="H1941" s="63"/>
      <c r="I1941" s="64"/>
    </row>
    <row r="1942" spans="2:9" ht="94.5" x14ac:dyDescent="0.2">
      <c r="B1942" s="65" t="str">
        <f t="shared" si="38"/>
        <v>2015-079-0</v>
      </c>
      <c r="C1942" s="66">
        <v>2015</v>
      </c>
      <c r="D1942" s="66" t="s">
        <v>81</v>
      </c>
      <c r="E1942" s="66">
        <v>0</v>
      </c>
      <c r="F1942" s="67" t="s">
        <v>390</v>
      </c>
      <c r="G1942" s="66"/>
      <c r="H1942" s="68"/>
      <c r="I1942" s="69"/>
    </row>
    <row r="1943" spans="2:9" x14ac:dyDescent="0.2">
      <c r="B1943" s="54" t="str">
        <f t="shared" si="38"/>
        <v>2015-079-1</v>
      </c>
      <c r="C1943" s="55">
        <v>2015</v>
      </c>
      <c r="D1943" s="55" t="s">
        <v>81</v>
      </c>
      <c r="E1943" s="55">
        <v>1</v>
      </c>
      <c r="F1943" s="57" t="s">
        <v>8</v>
      </c>
      <c r="G1943" s="55"/>
      <c r="H1943" s="58"/>
      <c r="I1943" s="59"/>
    </row>
    <row r="1944" spans="2:9" x14ac:dyDescent="0.2">
      <c r="B1944" s="54" t="str">
        <f t="shared" si="38"/>
        <v>2015-079-2</v>
      </c>
      <c r="C1944" s="55">
        <v>2015</v>
      </c>
      <c r="D1944" s="55" t="s">
        <v>81</v>
      </c>
      <c r="E1944" s="55">
        <v>2</v>
      </c>
      <c r="F1944" s="57" t="s">
        <v>12</v>
      </c>
      <c r="G1944" s="55"/>
      <c r="H1944" s="58"/>
      <c r="I1944" s="59"/>
    </row>
    <row r="1945" spans="2:9" x14ac:dyDescent="0.2">
      <c r="B1945" s="54" t="str">
        <f t="shared" si="38"/>
        <v>2015-079-3</v>
      </c>
      <c r="C1945" s="55">
        <v>2015</v>
      </c>
      <c r="D1945" s="55" t="s">
        <v>81</v>
      </c>
      <c r="E1945" s="55">
        <v>3</v>
      </c>
      <c r="F1945" s="57" t="s">
        <v>6</v>
      </c>
      <c r="G1945" s="55" t="s">
        <v>2735</v>
      </c>
      <c r="H1945" s="58"/>
      <c r="I1945" s="59"/>
    </row>
    <row r="1946" spans="2:9" x14ac:dyDescent="0.2">
      <c r="B1946" s="54" t="str">
        <f t="shared" si="38"/>
        <v>2015-079-4</v>
      </c>
      <c r="C1946" s="55">
        <v>2015</v>
      </c>
      <c r="D1946" s="55" t="s">
        <v>81</v>
      </c>
      <c r="E1946" s="55">
        <v>4</v>
      </c>
      <c r="F1946" s="57" t="s">
        <v>17</v>
      </c>
      <c r="G1946" s="55"/>
      <c r="H1946" s="58"/>
      <c r="I1946" s="59"/>
    </row>
    <row r="1947" spans="2:9" x14ac:dyDescent="0.2">
      <c r="B1947" s="60" t="str">
        <f t="shared" si="38"/>
        <v>2015-079-5</v>
      </c>
      <c r="C1947" s="61">
        <v>2015</v>
      </c>
      <c r="D1947" s="61" t="s">
        <v>81</v>
      </c>
      <c r="E1947" s="61">
        <v>5</v>
      </c>
      <c r="F1947" s="62" t="s">
        <v>19</v>
      </c>
      <c r="G1947" s="61"/>
      <c r="H1947" s="63"/>
      <c r="I1947" s="64"/>
    </row>
    <row r="1948" spans="2:9" x14ac:dyDescent="0.2">
      <c r="B1948" s="65" t="str">
        <f t="shared" si="38"/>
        <v>2015-080-0</v>
      </c>
      <c r="C1948" s="66">
        <v>2015</v>
      </c>
      <c r="D1948" s="66" t="s">
        <v>82</v>
      </c>
      <c r="E1948" s="66">
        <v>0</v>
      </c>
      <c r="F1948" s="67" t="s">
        <v>391</v>
      </c>
      <c r="G1948" s="66"/>
      <c r="H1948" s="68"/>
      <c r="I1948" s="69"/>
    </row>
    <row r="1949" spans="2:9" x14ac:dyDescent="0.2">
      <c r="B1949" s="54" t="str">
        <f t="shared" si="38"/>
        <v>2015-080-1</v>
      </c>
      <c r="C1949" s="55">
        <v>2015</v>
      </c>
      <c r="D1949" s="55" t="s">
        <v>82</v>
      </c>
      <c r="E1949" s="55">
        <v>1</v>
      </c>
      <c r="F1949" s="57" t="s">
        <v>724</v>
      </c>
      <c r="G1949" s="55"/>
      <c r="H1949" s="58"/>
      <c r="I1949" s="59"/>
    </row>
    <row r="1950" spans="2:9" x14ac:dyDescent="0.2">
      <c r="B1950" s="54" t="str">
        <f t="shared" si="38"/>
        <v>2015-080-2</v>
      </c>
      <c r="C1950" s="55">
        <v>2015</v>
      </c>
      <c r="D1950" s="55" t="s">
        <v>82</v>
      </c>
      <c r="E1950" s="55">
        <v>2</v>
      </c>
      <c r="F1950" s="57" t="s">
        <v>1045</v>
      </c>
      <c r="G1950" s="55" t="s">
        <v>2735</v>
      </c>
      <c r="H1950" s="58"/>
      <c r="I1950" s="59"/>
    </row>
    <row r="1951" spans="2:9" x14ac:dyDescent="0.2">
      <c r="B1951" s="54" t="str">
        <f t="shared" si="38"/>
        <v>2015-080-3</v>
      </c>
      <c r="C1951" s="55">
        <v>2015</v>
      </c>
      <c r="D1951" s="55" t="s">
        <v>82</v>
      </c>
      <c r="E1951" s="55">
        <v>3</v>
      </c>
      <c r="F1951" s="57" t="s">
        <v>1361</v>
      </c>
      <c r="G1951" s="55"/>
      <c r="H1951" s="58"/>
      <c r="I1951" s="59"/>
    </row>
    <row r="1952" spans="2:9" x14ac:dyDescent="0.2">
      <c r="B1952" s="54" t="str">
        <f t="shared" si="38"/>
        <v>2015-080-4</v>
      </c>
      <c r="C1952" s="55">
        <v>2015</v>
      </c>
      <c r="D1952" s="55" t="s">
        <v>82</v>
      </c>
      <c r="E1952" s="55">
        <v>4</v>
      </c>
      <c r="F1952" s="57" t="s">
        <v>1664</v>
      </c>
      <c r="G1952" s="55"/>
      <c r="H1952" s="58"/>
      <c r="I1952" s="59"/>
    </row>
    <row r="1953" spans="2:9" x14ac:dyDescent="0.2">
      <c r="B1953" s="60" t="str">
        <f t="shared" si="38"/>
        <v>2015-080-5</v>
      </c>
      <c r="C1953" s="61">
        <v>2015</v>
      </c>
      <c r="D1953" s="61" t="s">
        <v>82</v>
      </c>
      <c r="E1953" s="61">
        <v>5</v>
      </c>
      <c r="F1953" s="62" t="s">
        <v>1958</v>
      </c>
      <c r="G1953" s="61"/>
      <c r="H1953" s="63"/>
      <c r="I1953" s="64"/>
    </row>
    <row r="1954" spans="2:9" x14ac:dyDescent="0.2">
      <c r="B1954" s="65" t="str">
        <f t="shared" si="38"/>
        <v>2015-081-0</v>
      </c>
      <c r="C1954" s="66">
        <v>2015</v>
      </c>
      <c r="D1954" s="66" t="s">
        <v>88</v>
      </c>
      <c r="E1954" s="66">
        <v>0</v>
      </c>
      <c r="F1954" s="67" t="s">
        <v>392</v>
      </c>
      <c r="G1954" s="66"/>
      <c r="H1954" s="68"/>
      <c r="I1954" s="69"/>
    </row>
    <row r="1955" spans="2:9" ht="27" x14ac:dyDescent="0.2">
      <c r="B1955" s="54" t="str">
        <f t="shared" si="38"/>
        <v>2015-081-1</v>
      </c>
      <c r="C1955" s="55">
        <v>2015</v>
      </c>
      <c r="D1955" s="55" t="s">
        <v>88</v>
      </c>
      <c r="E1955" s="55">
        <v>1</v>
      </c>
      <c r="F1955" s="57" t="s">
        <v>725</v>
      </c>
      <c r="G1955" s="55" t="s">
        <v>2735</v>
      </c>
      <c r="H1955" s="58"/>
      <c r="I1955" s="59"/>
    </row>
    <row r="1956" spans="2:9" x14ac:dyDescent="0.2">
      <c r="B1956" s="54" t="str">
        <f t="shared" si="38"/>
        <v>2015-081-2</v>
      </c>
      <c r="C1956" s="55">
        <v>2015</v>
      </c>
      <c r="D1956" s="55" t="s">
        <v>88</v>
      </c>
      <c r="E1956" s="55">
        <v>2</v>
      </c>
      <c r="F1956" s="57" t="s">
        <v>1046</v>
      </c>
      <c r="G1956" s="55"/>
      <c r="H1956" s="58"/>
      <c r="I1956" s="59"/>
    </row>
    <row r="1957" spans="2:9" x14ac:dyDescent="0.2">
      <c r="B1957" s="54" t="str">
        <f t="shared" si="38"/>
        <v>2015-081-3</v>
      </c>
      <c r="C1957" s="55">
        <v>2015</v>
      </c>
      <c r="D1957" s="55" t="s">
        <v>88</v>
      </c>
      <c r="E1957" s="55">
        <v>3</v>
      </c>
      <c r="F1957" s="57" t="s">
        <v>1362</v>
      </c>
      <c r="G1957" s="55"/>
      <c r="H1957" s="58"/>
      <c r="I1957" s="59"/>
    </row>
    <row r="1958" spans="2:9" ht="27" x14ac:dyDescent="0.2">
      <c r="B1958" s="54" t="str">
        <f t="shared" si="38"/>
        <v>2015-081-4</v>
      </c>
      <c r="C1958" s="55">
        <v>2015</v>
      </c>
      <c r="D1958" s="55" t="s">
        <v>88</v>
      </c>
      <c r="E1958" s="55">
        <v>4</v>
      </c>
      <c r="F1958" s="57" t="s">
        <v>1665</v>
      </c>
      <c r="G1958" s="55"/>
      <c r="H1958" s="58"/>
      <c r="I1958" s="59"/>
    </row>
    <row r="1959" spans="2:9" x14ac:dyDescent="0.2">
      <c r="B1959" s="60" t="str">
        <f t="shared" si="38"/>
        <v>2015-081-5</v>
      </c>
      <c r="C1959" s="61">
        <v>2015</v>
      </c>
      <c r="D1959" s="61" t="s">
        <v>88</v>
      </c>
      <c r="E1959" s="61">
        <v>5</v>
      </c>
      <c r="F1959" s="62" t="s">
        <v>1959</v>
      </c>
      <c r="G1959" s="61"/>
      <c r="H1959" s="63"/>
      <c r="I1959" s="64"/>
    </row>
    <row r="1960" spans="2:9" ht="67.5" x14ac:dyDescent="0.2">
      <c r="B1960" s="65" t="str">
        <f t="shared" si="38"/>
        <v>2015-082-0</v>
      </c>
      <c r="C1960" s="66">
        <v>2015</v>
      </c>
      <c r="D1960" s="66" t="s">
        <v>89</v>
      </c>
      <c r="E1960" s="66">
        <v>0</v>
      </c>
      <c r="F1960" s="67" t="s">
        <v>393</v>
      </c>
      <c r="G1960" s="66"/>
      <c r="H1960" s="68"/>
      <c r="I1960" s="69"/>
    </row>
    <row r="1961" spans="2:9" x14ac:dyDescent="0.2">
      <c r="B1961" s="54" t="str">
        <f t="shared" si="38"/>
        <v>2015-082-1</v>
      </c>
      <c r="C1961" s="55">
        <v>2015</v>
      </c>
      <c r="D1961" s="55" t="s">
        <v>89</v>
      </c>
      <c r="E1961" s="55">
        <v>1</v>
      </c>
      <c r="F1961" s="57" t="s">
        <v>5</v>
      </c>
      <c r="G1961" s="55"/>
      <c r="H1961" s="58"/>
      <c r="I1961" s="59"/>
    </row>
    <row r="1962" spans="2:9" x14ac:dyDescent="0.2">
      <c r="B1962" s="54" t="str">
        <f t="shared" si="38"/>
        <v>2015-082-2</v>
      </c>
      <c r="C1962" s="55">
        <v>2015</v>
      </c>
      <c r="D1962" s="55" t="s">
        <v>89</v>
      </c>
      <c r="E1962" s="55">
        <v>2</v>
      </c>
      <c r="F1962" s="57" t="s">
        <v>4</v>
      </c>
      <c r="G1962" s="55"/>
      <c r="H1962" s="58"/>
      <c r="I1962" s="59"/>
    </row>
    <row r="1963" spans="2:9" x14ac:dyDescent="0.2">
      <c r="B1963" s="54" t="str">
        <f t="shared" si="38"/>
        <v>2015-082-3</v>
      </c>
      <c r="C1963" s="55">
        <v>2015</v>
      </c>
      <c r="D1963" s="55" t="s">
        <v>89</v>
      </c>
      <c r="E1963" s="55">
        <v>3</v>
      </c>
      <c r="F1963" s="57" t="s">
        <v>8</v>
      </c>
      <c r="G1963" s="55" t="s">
        <v>2735</v>
      </c>
      <c r="H1963" s="58"/>
      <c r="I1963" s="59"/>
    </row>
    <row r="1964" spans="2:9" x14ac:dyDescent="0.2">
      <c r="B1964" s="54" t="str">
        <f t="shared" si="38"/>
        <v>2015-082-4</v>
      </c>
      <c r="C1964" s="55">
        <v>2015</v>
      </c>
      <c r="D1964" s="55" t="s">
        <v>89</v>
      </c>
      <c r="E1964" s="55">
        <v>4</v>
      </c>
      <c r="F1964" s="57" t="s">
        <v>16</v>
      </c>
      <c r="G1964" s="55"/>
      <c r="H1964" s="58"/>
      <c r="I1964" s="59"/>
    </row>
    <row r="1965" spans="2:9" x14ac:dyDescent="0.2">
      <c r="B1965" s="60" t="str">
        <f t="shared" si="38"/>
        <v>2015-082-5</v>
      </c>
      <c r="C1965" s="61">
        <v>2015</v>
      </c>
      <c r="D1965" s="61" t="s">
        <v>89</v>
      </c>
      <c r="E1965" s="61">
        <v>5</v>
      </c>
      <c r="F1965" s="62" t="s">
        <v>6</v>
      </c>
      <c r="G1965" s="61"/>
      <c r="H1965" s="63"/>
      <c r="I1965" s="64"/>
    </row>
    <row r="1966" spans="2:9" x14ac:dyDescent="0.2">
      <c r="B1966" s="65" t="str">
        <f t="shared" si="38"/>
        <v>2015-083-0</v>
      </c>
      <c r="C1966" s="66">
        <v>2015</v>
      </c>
      <c r="D1966" s="66" t="s">
        <v>90</v>
      </c>
      <c r="E1966" s="66">
        <v>0</v>
      </c>
      <c r="F1966" s="67" t="s">
        <v>394</v>
      </c>
      <c r="G1966" s="66"/>
      <c r="H1966" s="68"/>
      <c r="I1966" s="69"/>
    </row>
    <row r="1967" spans="2:9" x14ac:dyDescent="0.2">
      <c r="B1967" s="54" t="str">
        <f t="shared" si="38"/>
        <v>2015-083-1</v>
      </c>
      <c r="C1967" s="55">
        <v>2015</v>
      </c>
      <c r="D1967" s="55" t="s">
        <v>90</v>
      </c>
      <c r="E1967" s="55">
        <v>1</v>
      </c>
      <c r="F1967" s="57" t="s">
        <v>726</v>
      </c>
      <c r="G1967" s="55"/>
      <c r="H1967" s="58"/>
      <c r="I1967" s="59"/>
    </row>
    <row r="1968" spans="2:9" ht="27" x14ac:dyDescent="0.2">
      <c r="B1968" s="54" t="str">
        <f t="shared" si="38"/>
        <v>2015-083-2</v>
      </c>
      <c r="C1968" s="55">
        <v>2015</v>
      </c>
      <c r="D1968" s="55" t="s">
        <v>90</v>
      </c>
      <c r="E1968" s="55">
        <v>2</v>
      </c>
      <c r="F1968" s="57" t="s">
        <v>1047</v>
      </c>
      <c r="G1968" s="55"/>
      <c r="H1968" s="58"/>
      <c r="I1968" s="59"/>
    </row>
    <row r="1969" spans="2:9" x14ac:dyDescent="0.2">
      <c r="B1969" s="54" t="str">
        <f t="shared" si="38"/>
        <v>2015-083-3</v>
      </c>
      <c r="C1969" s="55">
        <v>2015</v>
      </c>
      <c r="D1969" s="55" t="s">
        <v>90</v>
      </c>
      <c r="E1969" s="55">
        <v>3</v>
      </c>
      <c r="F1969" s="57" t="s">
        <v>1363</v>
      </c>
      <c r="G1969" s="55"/>
      <c r="H1969" s="58"/>
      <c r="I1969" s="59"/>
    </row>
    <row r="1970" spans="2:9" x14ac:dyDescent="0.2">
      <c r="B1970" s="54" t="str">
        <f t="shared" si="38"/>
        <v>2015-083-4</v>
      </c>
      <c r="C1970" s="55">
        <v>2015</v>
      </c>
      <c r="D1970" s="55" t="s">
        <v>90</v>
      </c>
      <c r="E1970" s="55">
        <v>4</v>
      </c>
      <c r="F1970" s="57" t="s">
        <v>1666</v>
      </c>
      <c r="G1970" s="55"/>
      <c r="H1970" s="58"/>
      <c r="I1970" s="59"/>
    </row>
    <row r="1971" spans="2:9" x14ac:dyDescent="0.2">
      <c r="B1971" s="60" t="str">
        <f t="shared" si="38"/>
        <v>2015-083-5</v>
      </c>
      <c r="C1971" s="61">
        <v>2015</v>
      </c>
      <c r="D1971" s="61" t="s">
        <v>90</v>
      </c>
      <c r="E1971" s="61">
        <v>5</v>
      </c>
      <c r="F1971" s="75" t="s">
        <v>1960</v>
      </c>
      <c r="G1971" s="61" t="s">
        <v>2735</v>
      </c>
      <c r="H1971" s="63"/>
      <c r="I1971" s="64"/>
    </row>
    <row r="1972" spans="2:9" x14ac:dyDescent="0.2">
      <c r="B1972" s="65" t="str">
        <f t="shared" si="38"/>
        <v>2015-084-0</v>
      </c>
      <c r="C1972" s="66">
        <v>2015</v>
      </c>
      <c r="D1972" s="66" t="s">
        <v>91</v>
      </c>
      <c r="E1972" s="66">
        <v>0</v>
      </c>
      <c r="F1972" s="67" t="s">
        <v>395</v>
      </c>
      <c r="G1972" s="66"/>
      <c r="H1972" s="68"/>
      <c r="I1972" s="69"/>
    </row>
    <row r="1973" spans="2:9" x14ac:dyDescent="0.2">
      <c r="B1973" s="54" t="str">
        <f t="shared" si="38"/>
        <v>2015-084-1</v>
      </c>
      <c r="C1973" s="55">
        <v>2015</v>
      </c>
      <c r="D1973" s="55" t="s">
        <v>91</v>
      </c>
      <c r="E1973" s="55">
        <v>1</v>
      </c>
      <c r="F1973" s="57" t="s">
        <v>727</v>
      </c>
      <c r="G1973" s="55"/>
      <c r="H1973" s="58"/>
      <c r="I1973" s="59"/>
    </row>
    <row r="1974" spans="2:9" x14ac:dyDescent="0.2">
      <c r="B1974" s="54" t="str">
        <f t="shared" si="38"/>
        <v>2015-084-2</v>
      </c>
      <c r="C1974" s="55">
        <v>2015</v>
      </c>
      <c r="D1974" s="55" t="s">
        <v>91</v>
      </c>
      <c r="E1974" s="55">
        <v>2</v>
      </c>
      <c r="F1974" s="57" t="s">
        <v>1048</v>
      </c>
      <c r="G1974" s="55"/>
      <c r="H1974" s="58"/>
      <c r="I1974" s="59"/>
    </row>
    <row r="1975" spans="2:9" x14ac:dyDescent="0.2">
      <c r="B1975" s="54" t="str">
        <f t="shared" si="38"/>
        <v>2015-084-3</v>
      </c>
      <c r="C1975" s="55">
        <v>2015</v>
      </c>
      <c r="D1975" s="55" t="s">
        <v>91</v>
      </c>
      <c r="E1975" s="55">
        <v>3</v>
      </c>
      <c r="F1975" s="57" t="s">
        <v>1364</v>
      </c>
      <c r="G1975" s="55" t="s">
        <v>2735</v>
      </c>
      <c r="H1975" s="58"/>
      <c r="I1975" s="59"/>
    </row>
    <row r="1976" spans="2:9" x14ac:dyDescent="0.2">
      <c r="B1976" s="54" t="str">
        <f t="shared" si="38"/>
        <v>2015-084-4</v>
      </c>
      <c r="C1976" s="55">
        <v>2015</v>
      </c>
      <c r="D1976" s="55" t="s">
        <v>91</v>
      </c>
      <c r="E1976" s="55">
        <v>4</v>
      </c>
      <c r="F1976" s="57" t="s">
        <v>1667</v>
      </c>
      <c r="G1976" s="55"/>
      <c r="H1976" s="58"/>
      <c r="I1976" s="59"/>
    </row>
    <row r="1977" spans="2:9" x14ac:dyDescent="0.2">
      <c r="B1977" s="60" t="str">
        <f t="shared" si="38"/>
        <v>2015-084-5</v>
      </c>
      <c r="C1977" s="61">
        <v>2015</v>
      </c>
      <c r="D1977" s="61" t="s">
        <v>91</v>
      </c>
      <c r="E1977" s="61">
        <v>5</v>
      </c>
      <c r="F1977" s="62" t="s">
        <v>1961</v>
      </c>
      <c r="G1977" s="61"/>
      <c r="H1977" s="63"/>
      <c r="I1977" s="64"/>
    </row>
    <row r="1978" spans="2:9" x14ac:dyDescent="0.2">
      <c r="B1978" s="65" t="str">
        <f t="shared" si="38"/>
        <v>2015-085-0</v>
      </c>
      <c r="C1978" s="66">
        <v>2015</v>
      </c>
      <c r="D1978" s="66" t="s">
        <v>92</v>
      </c>
      <c r="E1978" s="66">
        <v>0</v>
      </c>
      <c r="F1978" s="67" t="s">
        <v>396</v>
      </c>
      <c r="G1978" s="66"/>
      <c r="H1978" s="68"/>
      <c r="I1978" s="69"/>
    </row>
    <row r="1979" spans="2:9" x14ac:dyDescent="0.2">
      <c r="B1979" s="54" t="str">
        <f t="shared" si="38"/>
        <v>2015-085-1</v>
      </c>
      <c r="C1979" s="55">
        <v>2015</v>
      </c>
      <c r="D1979" s="55" t="s">
        <v>92</v>
      </c>
      <c r="E1979" s="55">
        <v>1</v>
      </c>
      <c r="F1979" s="57" t="s">
        <v>728</v>
      </c>
      <c r="G1979" s="55"/>
      <c r="H1979" s="58"/>
      <c r="I1979" s="59"/>
    </row>
    <row r="1980" spans="2:9" x14ac:dyDescent="0.2">
      <c r="B1980" s="54" t="str">
        <f t="shared" si="38"/>
        <v>2015-085-2</v>
      </c>
      <c r="C1980" s="55">
        <v>2015</v>
      </c>
      <c r="D1980" s="55" t="s">
        <v>92</v>
      </c>
      <c r="E1980" s="55">
        <v>2</v>
      </c>
      <c r="F1980" s="57" t="s">
        <v>1049</v>
      </c>
      <c r="G1980" s="55"/>
      <c r="H1980" s="58"/>
      <c r="I1980" s="59"/>
    </row>
    <row r="1981" spans="2:9" x14ac:dyDescent="0.2">
      <c r="B1981" s="54" t="str">
        <f t="shared" si="38"/>
        <v>2015-085-3</v>
      </c>
      <c r="C1981" s="55">
        <v>2015</v>
      </c>
      <c r="D1981" s="55" t="s">
        <v>92</v>
      </c>
      <c r="E1981" s="55">
        <v>3</v>
      </c>
      <c r="F1981" s="57" t="s">
        <v>1365</v>
      </c>
      <c r="G1981" s="55"/>
      <c r="H1981" s="58"/>
      <c r="I1981" s="59"/>
    </row>
    <row r="1982" spans="2:9" x14ac:dyDescent="0.2">
      <c r="B1982" s="54" t="str">
        <f t="shared" si="38"/>
        <v>2015-085-4</v>
      </c>
      <c r="C1982" s="55">
        <v>2015</v>
      </c>
      <c r="D1982" s="55" t="s">
        <v>92</v>
      </c>
      <c r="E1982" s="55">
        <v>4</v>
      </c>
      <c r="F1982" s="57" t="s">
        <v>1668</v>
      </c>
      <c r="G1982" s="55" t="s">
        <v>2735</v>
      </c>
      <c r="H1982" s="58"/>
      <c r="I1982" s="59"/>
    </row>
    <row r="1983" spans="2:9" x14ac:dyDescent="0.2">
      <c r="B1983" s="60" t="str">
        <f t="shared" si="38"/>
        <v>2015-085-5</v>
      </c>
      <c r="C1983" s="61">
        <v>2015</v>
      </c>
      <c r="D1983" s="61" t="s">
        <v>92</v>
      </c>
      <c r="E1983" s="61">
        <v>5</v>
      </c>
      <c r="F1983" s="62" t="s">
        <v>1962</v>
      </c>
      <c r="G1983" s="61"/>
      <c r="H1983" s="63"/>
      <c r="I1983" s="64"/>
    </row>
    <row r="1984" spans="2:9" x14ac:dyDescent="0.2">
      <c r="B1984" s="65" t="str">
        <f t="shared" si="38"/>
        <v>2015-086-0</v>
      </c>
      <c r="C1984" s="66">
        <v>2015</v>
      </c>
      <c r="D1984" s="66" t="s">
        <v>93</v>
      </c>
      <c r="E1984" s="66">
        <v>0</v>
      </c>
      <c r="F1984" s="67" t="s">
        <v>397</v>
      </c>
      <c r="G1984" s="66"/>
      <c r="H1984" s="68"/>
      <c r="I1984" s="69"/>
    </row>
    <row r="1985" spans="2:9" ht="27" x14ac:dyDescent="0.2">
      <c r="B1985" s="54" t="str">
        <f t="shared" si="38"/>
        <v>2015-086-1</v>
      </c>
      <c r="C1985" s="55">
        <v>2015</v>
      </c>
      <c r="D1985" s="55" t="s">
        <v>93</v>
      </c>
      <c r="E1985" s="55">
        <v>1</v>
      </c>
      <c r="F1985" s="57" t="s">
        <v>729</v>
      </c>
      <c r="G1985" s="55" t="s">
        <v>2735</v>
      </c>
      <c r="H1985" s="58"/>
      <c r="I1985" s="59"/>
    </row>
    <row r="1986" spans="2:9" x14ac:dyDescent="0.2">
      <c r="B1986" s="54" t="str">
        <f t="shared" si="38"/>
        <v>2015-086-2</v>
      </c>
      <c r="C1986" s="55">
        <v>2015</v>
      </c>
      <c r="D1986" s="55" t="s">
        <v>93</v>
      </c>
      <c r="E1986" s="55">
        <v>2</v>
      </c>
      <c r="F1986" s="57" t="s">
        <v>1050</v>
      </c>
      <c r="G1986" s="55"/>
      <c r="H1986" s="58"/>
      <c r="I1986" s="59"/>
    </row>
    <row r="1987" spans="2:9" ht="27" x14ac:dyDescent="0.2">
      <c r="B1987" s="54" t="str">
        <f t="shared" si="38"/>
        <v>2015-086-3</v>
      </c>
      <c r="C1987" s="55">
        <v>2015</v>
      </c>
      <c r="D1987" s="55" t="s">
        <v>93</v>
      </c>
      <c r="E1987" s="55">
        <v>3</v>
      </c>
      <c r="F1987" s="57" t="s">
        <v>1366</v>
      </c>
      <c r="G1987" s="55"/>
      <c r="H1987" s="58"/>
      <c r="I1987" s="59"/>
    </row>
    <row r="1988" spans="2:9" x14ac:dyDescent="0.2">
      <c r="B1988" s="54" t="str">
        <f t="shared" si="38"/>
        <v>2015-086-4</v>
      </c>
      <c r="C1988" s="55">
        <v>2015</v>
      </c>
      <c r="D1988" s="55" t="s">
        <v>93</v>
      </c>
      <c r="E1988" s="55">
        <v>4</v>
      </c>
      <c r="F1988" s="57" t="s">
        <v>1669</v>
      </c>
      <c r="G1988" s="55"/>
      <c r="H1988" s="58"/>
      <c r="I1988" s="59"/>
    </row>
    <row r="1989" spans="2:9" x14ac:dyDescent="0.2">
      <c r="B1989" s="60" t="str">
        <f t="shared" si="38"/>
        <v>2015-086-5</v>
      </c>
      <c r="C1989" s="61">
        <v>2015</v>
      </c>
      <c r="D1989" s="61" t="s">
        <v>93</v>
      </c>
      <c r="E1989" s="61">
        <v>5</v>
      </c>
      <c r="F1989" s="62" t="s">
        <v>1963</v>
      </c>
      <c r="G1989" s="61"/>
      <c r="H1989" s="63"/>
      <c r="I1989" s="64"/>
    </row>
    <row r="1990" spans="2:9" x14ac:dyDescent="0.2">
      <c r="B1990" s="65" t="str">
        <f t="shared" si="38"/>
        <v>2015-087-0</v>
      </c>
      <c r="C1990" s="66">
        <v>2015</v>
      </c>
      <c r="D1990" s="66" t="s">
        <v>94</v>
      </c>
      <c r="E1990" s="66">
        <v>0</v>
      </c>
      <c r="F1990" s="67" t="s">
        <v>398</v>
      </c>
      <c r="G1990" s="66"/>
      <c r="H1990" s="68"/>
      <c r="I1990" s="69"/>
    </row>
    <row r="1991" spans="2:9" x14ac:dyDescent="0.2">
      <c r="B1991" s="54" t="str">
        <f t="shared" si="38"/>
        <v>2015-087-1</v>
      </c>
      <c r="C1991" s="55">
        <v>2015</v>
      </c>
      <c r="D1991" s="55" t="s">
        <v>94</v>
      </c>
      <c r="E1991" s="55">
        <v>1</v>
      </c>
      <c r="F1991" s="57" t="s">
        <v>730</v>
      </c>
      <c r="G1991" s="55"/>
      <c r="H1991" s="58"/>
      <c r="I1991" s="59"/>
    </row>
    <row r="1992" spans="2:9" ht="27" x14ac:dyDescent="0.2">
      <c r="B1992" s="54" t="str">
        <f t="shared" si="38"/>
        <v>2015-087-2</v>
      </c>
      <c r="C1992" s="55">
        <v>2015</v>
      </c>
      <c r="D1992" s="55" t="s">
        <v>94</v>
      </c>
      <c r="E1992" s="55">
        <v>2</v>
      </c>
      <c r="F1992" s="57" t="s">
        <v>1051</v>
      </c>
      <c r="G1992" s="55"/>
      <c r="H1992" s="58"/>
      <c r="I1992" s="59"/>
    </row>
    <row r="1993" spans="2:9" x14ac:dyDescent="0.2">
      <c r="B1993" s="54" t="str">
        <f t="shared" si="38"/>
        <v>2015-087-3</v>
      </c>
      <c r="C1993" s="55">
        <v>2015</v>
      </c>
      <c r="D1993" s="55" t="s">
        <v>94</v>
      </c>
      <c r="E1993" s="55">
        <v>3</v>
      </c>
      <c r="F1993" s="57" t="s">
        <v>1367</v>
      </c>
      <c r="G1993" s="55"/>
      <c r="H1993" s="58"/>
      <c r="I1993" s="59"/>
    </row>
    <row r="1994" spans="2:9" x14ac:dyDescent="0.2">
      <c r="B1994" s="54" t="str">
        <f t="shared" si="38"/>
        <v>2015-087-4</v>
      </c>
      <c r="C1994" s="55">
        <v>2015</v>
      </c>
      <c r="D1994" s="55" t="s">
        <v>94</v>
      </c>
      <c r="E1994" s="55">
        <v>4</v>
      </c>
      <c r="F1994" s="57" t="s">
        <v>1670</v>
      </c>
      <c r="G1994" s="55"/>
      <c r="H1994" s="58"/>
      <c r="I1994" s="59"/>
    </row>
    <row r="1995" spans="2:9" ht="27" x14ac:dyDescent="0.2">
      <c r="B1995" s="60" t="str">
        <f t="shared" si="38"/>
        <v>2015-087-5</v>
      </c>
      <c r="C1995" s="61">
        <v>2015</v>
      </c>
      <c r="D1995" s="61" t="s">
        <v>94</v>
      </c>
      <c r="E1995" s="61">
        <v>5</v>
      </c>
      <c r="F1995" s="62" t="s">
        <v>1964</v>
      </c>
      <c r="G1995" s="61" t="s">
        <v>2735</v>
      </c>
      <c r="H1995" s="63"/>
      <c r="I1995" s="64"/>
    </row>
    <row r="1996" spans="2:9" x14ac:dyDescent="0.2">
      <c r="B1996" s="65" t="str">
        <f t="shared" si="38"/>
        <v>2015-088-0</v>
      </c>
      <c r="C1996" s="66">
        <v>2015</v>
      </c>
      <c r="D1996" s="66" t="s">
        <v>95</v>
      </c>
      <c r="E1996" s="66">
        <v>0</v>
      </c>
      <c r="F1996" s="67" t="s">
        <v>399</v>
      </c>
      <c r="G1996" s="66"/>
      <c r="H1996" s="68"/>
      <c r="I1996" s="69"/>
    </row>
    <row r="1997" spans="2:9" x14ac:dyDescent="0.2">
      <c r="B1997" s="54" t="str">
        <f t="shared" si="38"/>
        <v>2015-088-1</v>
      </c>
      <c r="C1997" s="55">
        <v>2015</v>
      </c>
      <c r="D1997" s="55" t="s">
        <v>95</v>
      </c>
      <c r="E1997" s="55">
        <v>1</v>
      </c>
      <c r="F1997" s="57" t="s">
        <v>731</v>
      </c>
      <c r="G1997" s="55"/>
      <c r="H1997" s="58"/>
      <c r="I1997" s="59"/>
    </row>
    <row r="1998" spans="2:9" x14ac:dyDescent="0.2">
      <c r="B1998" s="54" t="str">
        <f t="shared" si="38"/>
        <v>2015-088-2</v>
      </c>
      <c r="C1998" s="55">
        <v>2015</v>
      </c>
      <c r="D1998" s="55" t="s">
        <v>95</v>
      </c>
      <c r="E1998" s="55">
        <v>2</v>
      </c>
      <c r="F1998" s="57" t="s">
        <v>1052</v>
      </c>
      <c r="G1998" s="55" t="s">
        <v>2735</v>
      </c>
      <c r="H1998" s="58"/>
      <c r="I1998" s="59"/>
    </row>
    <row r="1999" spans="2:9" x14ac:dyDescent="0.2">
      <c r="B1999" s="54" t="str">
        <f t="shared" si="38"/>
        <v>2015-088-3</v>
      </c>
      <c r="C1999" s="55">
        <v>2015</v>
      </c>
      <c r="D1999" s="55" t="s">
        <v>95</v>
      </c>
      <c r="E1999" s="55">
        <v>3</v>
      </c>
      <c r="F1999" s="57" t="s">
        <v>1368</v>
      </c>
      <c r="G1999" s="55"/>
      <c r="H1999" s="58"/>
      <c r="I1999" s="59"/>
    </row>
    <row r="2000" spans="2:9" x14ac:dyDescent="0.2">
      <c r="B2000" s="54" t="str">
        <f t="shared" si="38"/>
        <v>2015-088-4</v>
      </c>
      <c r="C2000" s="55">
        <v>2015</v>
      </c>
      <c r="D2000" s="55" t="s">
        <v>95</v>
      </c>
      <c r="E2000" s="55">
        <v>4</v>
      </c>
      <c r="F2000" s="57" t="s">
        <v>1671</v>
      </c>
      <c r="G2000" s="55"/>
      <c r="H2000" s="58"/>
      <c r="I2000" s="59"/>
    </row>
    <row r="2001" spans="2:9" x14ac:dyDescent="0.2">
      <c r="B2001" s="60" t="str">
        <f t="shared" si="38"/>
        <v>2015-088-5</v>
      </c>
      <c r="C2001" s="61">
        <v>2015</v>
      </c>
      <c r="D2001" s="61" t="s">
        <v>95</v>
      </c>
      <c r="E2001" s="61">
        <v>5</v>
      </c>
      <c r="F2001" s="62" t="s">
        <v>1965</v>
      </c>
      <c r="G2001" s="61"/>
      <c r="H2001" s="63"/>
      <c r="I2001" s="64"/>
    </row>
    <row r="2002" spans="2:9" x14ac:dyDescent="0.2">
      <c r="B2002" s="65" t="str">
        <f t="shared" si="38"/>
        <v>2015-089-0</v>
      </c>
      <c r="C2002" s="66">
        <v>2015</v>
      </c>
      <c r="D2002" s="66" t="s">
        <v>96</v>
      </c>
      <c r="E2002" s="66">
        <v>0</v>
      </c>
      <c r="F2002" s="67" t="s">
        <v>400</v>
      </c>
      <c r="G2002" s="66"/>
      <c r="H2002" s="68"/>
      <c r="I2002" s="69"/>
    </row>
    <row r="2003" spans="2:9" ht="27" x14ac:dyDescent="0.2">
      <c r="B2003" s="54" t="str">
        <f t="shared" si="38"/>
        <v>2015-089-1</v>
      </c>
      <c r="C2003" s="55">
        <v>2015</v>
      </c>
      <c r="D2003" s="55" t="s">
        <v>96</v>
      </c>
      <c r="E2003" s="55">
        <v>1</v>
      </c>
      <c r="F2003" s="57" t="s">
        <v>732</v>
      </c>
      <c r="G2003" s="55" t="s">
        <v>2735</v>
      </c>
      <c r="H2003" s="58"/>
      <c r="I2003" s="59"/>
    </row>
    <row r="2004" spans="2:9" x14ac:dyDescent="0.2">
      <c r="B2004" s="54" t="str">
        <f t="shared" si="38"/>
        <v>2015-089-2</v>
      </c>
      <c r="C2004" s="55">
        <v>2015</v>
      </c>
      <c r="D2004" s="55" t="s">
        <v>96</v>
      </c>
      <c r="E2004" s="55">
        <v>2</v>
      </c>
      <c r="F2004" s="57" t="s">
        <v>1053</v>
      </c>
      <c r="G2004" s="55"/>
      <c r="H2004" s="58"/>
      <c r="I2004" s="59"/>
    </row>
    <row r="2005" spans="2:9" x14ac:dyDescent="0.2">
      <c r="B2005" s="54" t="str">
        <f t="shared" ref="B2005:B2068" si="39">C2005&amp;"-"&amp;D2005&amp;"-"&amp;E2005</f>
        <v>2015-089-3</v>
      </c>
      <c r="C2005" s="55">
        <v>2015</v>
      </c>
      <c r="D2005" s="55" t="s">
        <v>96</v>
      </c>
      <c r="E2005" s="55">
        <v>3</v>
      </c>
      <c r="F2005" s="57" t="s">
        <v>1369</v>
      </c>
      <c r="G2005" s="55"/>
      <c r="H2005" s="58"/>
      <c r="I2005" s="59"/>
    </row>
    <row r="2006" spans="2:9" x14ac:dyDescent="0.2">
      <c r="B2006" s="54" t="str">
        <f t="shared" si="39"/>
        <v>2015-089-4</v>
      </c>
      <c r="C2006" s="55">
        <v>2015</v>
      </c>
      <c r="D2006" s="55" t="s">
        <v>96</v>
      </c>
      <c r="E2006" s="55">
        <v>4</v>
      </c>
      <c r="F2006" s="57" t="s">
        <v>1672</v>
      </c>
      <c r="G2006" s="55"/>
      <c r="H2006" s="58"/>
      <c r="I2006" s="59"/>
    </row>
    <row r="2007" spans="2:9" x14ac:dyDescent="0.2">
      <c r="B2007" s="60" t="str">
        <f t="shared" si="39"/>
        <v>2015-089-5</v>
      </c>
      <c r="C2007" s="61">
        <v>2015</v>
      </c>
      <c r="D2007" s="61" t="s">
        <v>96</v>
      </c>
      <c r="E2007" s="61">
        <v>5</v>
      </c>
      <c r="F2007" s="62" t="s">
        <v>1966</v>
      </c>
      <c r="G2007" s="61"/>
      <c r="H2007" s="63"/>
      <c r="I2007" s="64"/>
    </row>
    <row r="2008" spans="2:9" x14ac:dyDescent="0.2">
      <c r="B2008" s="65" t="str">
        <f t="shared" si="39"/>
        <v>2015-090-0</v>
      </c>
      <c r="C2008" s="66">
        <v>2015</v>
      </c>
      <c r="D2008" s="66" t="s">
        <v>97</v>
      </c>
      <c r="E2008" s="66">
        <v>0</v>
      </c>
      <c r="F2008" s="67" t="s">
        <v>401</v>
      </c>
      <c r="G2008" s="66"/>
      <c r="H2008" s="68"/>
      <c r="I2008" s="69"/>
    </row>
    <row r="2009" spans="2:9" x14ac:dyDescent="0.2">
      <c r="B2009" s="54" t="str">
        <f t="shared" si="39"/>
        <v>2015-090-1</v>
      </c>
      <c r="C2009" s="55">
        <v>2015</v>
      </c>
      <c r="D2009" s="55" t="s">
        <v>97</v>
      </c>
      <c r="E2009" s="55">
        <v>1</v>
      </c>
      <c r="F2009" s="57" t="s">
        <v>733</v>
      </c>
      <c r="G2009" s="55"/>
      <c r="H2009" s="58"/>
      <c r="I2009" s="59"/>
    </row>
    <row r="2010" spans="2:9" x14ac:dyDescent="0.2">
      <c r="B2010" s="54" t="str">
        <f t="shared" si="39"/>
        <v>2015-090-2</v>
      </c>
      <c r="C2010" s="55">
        <v>2015</v>
      </c>
      <c r="D2010" s="55" t="s">
        <v>97</v>
      </c>
      <c r="E2010" s="55">
        <v>2</v>
      </c>
      <c r="F2010" s="57" t="s">
        <v>1054</v>
      </c>
      <c r="G2010" s="55"/>
      <c r="H2010" s="58"/>
      <c r="I2010" s="59"/>
    </row>
    <row r="2011" spans="2:9" ht="27" x14ac:dyDescent="0.2">
      <c r="B2011" s="54" t="str">
        <f t="shared" si="39"/>
        <v>2015-090-3</v>
      </c>
      <c r="C2011" s="55">
        <v>2015</v>
      </c>
      <c r="D2011" s="55" t="s">
        <v>97</v>
      </c>
      <c r="E2011" s="55">
        <v>3</v>
      </c>
      <c r="F2011" s="57" t="s">
        <v>1370</v>
      </c>
      <c r="G2011" s="55" t="s">
        <v>2735</v>
      </c>
      <c r="H2011" s="58"/>
      <c r="I2011" s="59"/>
    </row>
    <row r="2012" spans="2:9" ht="27" x14ac:dyDescent="0.2">
      <c r="B2012" s="54" t="str">
        <f t="shared" si="39"/>
        <v>2015-090-4</v>
      </c>
      <c r="C2012" s="55">
        <v>2015</v>
      </c>
      <c r="D2012" s="55" t="s">
        <v>97</v>
      </c>
      <c r="E2012" s="55">
        <v>4</v>
      </c>
      <c r="F2012" s="57" t="s">
        <v>1673</v>
      </c>
      <c r="G2012" s="55"/>
      <c r="H2012" s="58"/>
      <c r="I2012" s="59"/>
    </row>
    <row r="2013" spans="2:9" x14ac:dyDescent="0.2">
      <c r="B2013" s="60" t="str">
        <f t="shared" si="39"/>
        <v>2015-090-5</v>
      </c>
      <c r="C2013" s="61">
        <v>2015</v>
      </c>
      <c r="D2013" s="61" t="s">
        <v>97</v>
      </c>
      <c r="E2013" s="61">
        <v>5</v>
      </c>
      <c r="F2013" s="62" t="s">
        <v>1967</v>
      </c>
      <c r="G2013" s="61"/>
      <c r="H2013" s="63"/>
      <c r="I2013" s="64"/>
    </row>
    <row r="2014" spans="2:9" ht="67.5" x14ac:dyDescent="0.2">
      <c r="B2014" s="65" t="str">
        <f t="shared" si="39"/>
        <v>2015-091-0</v>
      </c>
      <c r="C2014" s="66">
        <v>2015</v>
      </c>
      <c r="D2014" s="66" t="s">
        <v>98</v>
      </c>
      <c r="E2014" s="66">
        <v>0</v>
      </c>
      <c r="F2014" s="67" t="s">
        <v>402</v>
      </c>
      <c r="G2014" s="66"/>
      <c r="H2014" s="68"/>
      <c r="I2014" s="69"/>
    </row>
    <row r="2015" spans="2:9" x14ac:dyDescent="0.2">
      <c r="B2015" s="54" t="str">
        <f t="shared" si="39"/>
        <v>2015-091-1</v>
      </c>
      <c r="C2015" s="55">
        <v>2015</v>
      </c>
      <c r="D2015" s="55" t="s">
        <v>98</v>
      </c>
      <c r="E2015" s="55">
        <v>1</v>
      </c>
      <c r="F2015" s="57" t="s">
        <v>8</v>
      </c>
      <c r="G2015" s="55"/>
      <c r="H2015" s="58"/>
      <c r="I2015" s="59"/>
    </row>
    <row r="2016" spans="2:9" x14ac:dyDescent="0.2">
      <c r="B2016" s="54" t="str">
        <f t="shared" si="39"/>
        <v>2015-091-2</v>
      </c>
      <c r="C2016" s="55">
        <v>2015</v>
      </c>
      <c r="D2016" s="55" t="s">
        <v>98</v>
      </c>
      <c r="E2016" s="55">
        <v>2</v>
      </c>
      <c r="F2016" s="57" t="s">
        <v>12</v>
      </c>
      <c r="G2016" s="55"/>
      <c r="H2016" s="58"/>
      <c r="I2016" s="59"/>
    </row>
    <row r="2017" spans="2:9" x14ac:dyDescent="0.2">
      <c r="B2017" s="54" t="str">
        <f t="shared" si="39"/>
        <v>2015-091-3</v>
      </c>
      <c r="C2017" s="55">
        <v>2015</v>
      </c>
      <c r="D2017" s="55" t="s">
        <v>98</v>
      </c>
      <c r="E2017" s="55">
        <v>3</v>
      </c>
      <c r="F2017" s="57" t="s">
        <v>6</v>
      </c>
      <c r="G2017" s="55" t="s">
        <v>2735</v>
      </c>
      <c r="H2017" s="58"/>
      <c r="I2017" s="59"/>
    </row>
    <row r="2018" spans="2:9" x14ac:dyDescent="0.2">
      <c r="B2018" s="54" t="str">
        <f t="shared" si="39"/>
        <v>2015-091-4</v>
      </c>
      <c r="C2018" s="55">
        <v>2015</v>
      </c>
      <c r="D2018" s="55" t="s">
        <v>98</v>
      </c>
      <c r="E2018" s="55">
        <v>4</v>
      </c>
      <c r="F2018" s="57" t="s">
        <v>11</v>
      </c>
      <c r="G2018" s="55"/>
      <c r="H2018" s="58"/>
      <c r="I2018" s="59"/>
    </row>
    <row r="2019" spans="2:9" x14ac:dyDescent="0.2">
      <c r="B2019" s="60" t="str">
        <f t="shared" si="39"/>
        <v>2015-091-5</v>
      </c>
      <c r="C2019" s="61">
        <v>2015</v>
      </c>
      <c r="D2019" s="61" t="s">
        <v>98</v>
      </c>
      <c r="E2019" s="61">
        <v>5</v>
      </c>
      <c r="F2019" s="62" t="s">
        <v>19</v>
      </c>
      <c r="G2019" s="61"/>
      <c r="H2019" s="63"/>
      <c r="I2019" s="64"/>
    </row>
    <row r="2020" spans="2:9" ht="108" x14ac:dyDescent="0.2">
      <c r="B2020" s="65" t="str">
        <f t="shared" si="39"/>
        <v>2015-092-0</v>
      </c>
      <c r="C2020" s="66">
        <v>2015</v>
      </c>
      <c r="D2020" s="66" t="s">
        <v>99</v>
      </c>
      <c r="E2020" s="66">
        <v>0</v>
      </c>
      <c r="F2020" s="67" t="s">
        <v>403</v>
      </c>
      <c r="G2020" s="66"/>
      <c r="H2020" s="68"/>
      <c r="I2020" s="69"/>
    </row>
    <row r="2021" spans="2:9" x14ac:dyDescent="0.2">
      <c r="B2021" s="54" t="str">
        <f t="shared" si="39"/>
        <v>2015-092-1</v>
      </c>
      <c r="C2021" s="55">
        <v>2015</v>
      </c>
      <c r="D2021" s="55" t="s">
        <v>99</v>
      </c>
      <c r="E2021" s="55">
        <v>1</v>
      </c>
      <c r="F2021" s="57">
        <v>20</v>
      </c>
      <c r="G2021" s="55"/>
      <c r="H2021" s="58"/>
      <c r="I2021" s="59"/>
    </row>
    <row r="2022" spans="2:9" x14ac:dyDescent="0.2">
      <c r="B2022" s="54" t="str">
        <f t="shared" si="39"/>
        <v>2015-092-2</v>
      </c>
      <c r="C2022" s="55">
        <v>2015</v>
      </c>
      <c r="D2022" s="55" t="s">
        <v>99</v>
      </c>
      <c r="E2022" s="55">
        <v>2</v>
      </c>
      <c r="F2022" s="57">
        <v>21</v>
      </c>
      <c r="G2022" s="55"/>
      <c r="H2022" s="58"/>
      <c r="I2022" s="59"/>
    </row>
    <row r="2023" spans="2:9" x14ac:dyDescent="0.2">
      <c r="B2023" s="54" t="str">
        <f t="shared" si="39"/>
        <v>2015-092-3</v>
      </c>
      <c r="C2023" s="55">
        <v>2015</v>
      </c>
      <c r="D2023" s="55" t="s">
        <v>99</v>
      </c>
      <c r="E2023" s="55">
        <v>3</v>
      </c>
      <c r="F2023" s="57">
        <v>22</v>
      </c>
      <c r="G2023" s="55"/>
      <c r="H2023" s="58"/>
      <c r="I2023" s="59"/>
    </row>
    <row r="2024" spans="2:9" x14ac:dyDescent="0.2">
      <c r="B2024" s="54" t="str">
        <f t="shared" si="39"/>
        <v>2015-092-4</v>
      </c>
      <c r="C2024" s="55">
        <v>2015</v>
      </c>
      <c r="D2024" s="55" t="s">
        <v>99</v>
      </c>
      <c r="E2024" s="55">
        <v>4</v>
      </c>
      <c r="F2024" s="57">
        <v>23</v>
      </c>
      <c r="G2024" s="55" t="s">
        <v>2735</v>
      </c>
      <c r="H2024" s="58"/>
      <c r="I2024" s="59"/>
    </row>
    <row r="2025" spans="2:9" x14ac:dyDescent="0.2">
      <c r="B2025" s="60" t="str">
        <f t="shared" si="39"/>
        <v>2015-092-5</v>
      </c>
      <c r="C2025" s="61">
        <v>2015</v>
      </c>
      <c r="D2025" s="61" t="s">
        <v>99</v>
      </c>
      <c r="E2025" s="61">
        <v>5</v>
      </c>
      <c r="F2025" s="62">
        <v>24</v>
      </c>
      <c r="G2025" s="61"/>
      <c r="H2025" s="63"/>
      <c r="I2025" s="64"/>
    </row>
    <row r="2026" spans="2:9" x14ac:dyDescent="0.2">
      <c r="B2026" s="65" t="str">
        <f t="shared" si="39"/>
        <v>2015-093-0</v>
      </c>
      <c r="C2026" s="66">
        <v>2015</v>
      </c>
      <c r="D2026" s="66" t="s">
        <v>100</v>
      </c>
      <c r="E2026" s="66">
        <v>0</v>
      </c>
      <c r="F2026" s="67" t="s">
        <v>404</v>
      </c>
      <c r="G2026" s="66"/>
      <c r="H2026" s="68"/>
      <c r="I2026" s="69"/>
    </row>
    <row r="2027" spans="2:9" x14ac:dyDescent="0.2">
      <c r="B2027" s="54" t="str">
        <f t="shared" si="39"/>
        <v>2015-093-1</v>
      </c>
      <c r="C2027" s="55">
        <v>2015</v>
      </c>
      <c r="D2027" s="55" t="s">
        <v>100</v>
      </c>
      <c r="E2027" s="55">
        <v>1</v>
      </c>
      <c r="F2027" s="57" t="s">
        <v>734</v>
      </c>
      <c r="G2027" s="55"/>
      <c r="H2027" s="58"/>
      <c r="I2027" s="59"/>
    </row>
    <row r="2028" spans="2:9" x14ac:dyDescent="0.2">
      <c r="B2028" s="54" t="str">
        <f t="shared" si="39"/>
        <v>2015-093-2</v>
      </c>
      <c r="C2028" s="55">
        <v>2015</v>
      </c>
      <c r="D2028" s="55" t="s">
        <v>100</v>
      </c>
      <c r="E2028" s="55">
        <v>2</v>
      </c>
      <c r="F2028" s="57" t="s">
        <v>1055</v>
      </c>
      <c r="G2028" s="55"/>
      <c r="H2028" s="58"/>
      <c r="I2028" s="59"/>
    </row>
    <row r="2029" spans="2:9" x14ac:dyDescent="0.2">
      <c r="B2029" s="54" t="str">
        <f t="shared" si="39"/>
        <v>2015-093-3</v>
      </c>
      <c r="C2029" s="55">
        <v>2015</v>
      </c>
      <c r="D2029" s="55" t="s">
        <v>100</v>
      </c>
      <c r="E2029" s="55">
        <v>3</v>
      </c>
      <c r="F2029" s="57" t="s">
        <v>1371</v>
      </c>
      <c r="G2029" s="55"/>
      <c r="H2029" s="58"/>
      <c r="I2029" s="59"/>
    </row>
    <row r="2030" spans="2:9" x14ac:dyDescent="0.2">
      <c r="B2030" s="54" t="str">
        <f t="shared" si="39"/>
        <v>2015-093-4</v>
      </c>
      <c r="C2030" s="55">
        <v>2015</v>
      </c>
      <c r="D2030" s="55" t="s">
        <v>100</v>
      </c>
      <c r="E2030" s="55">
        <v>4</v>
      </c>
      <c r="F2030" s="57" t="s">
        <v>1674</v>
      </c>
      <c r="G2030" s="55"/>
      <c r="H2030" s="58"/>
      <c r="I2030" s="59"/>
    </row>
    <row r="2031" spans="2:9" x14ac:dyDescent="0.2">
      <c r="B2031" s="60" t="str">
        <f t="shared" si="39"/>
        <v>2015-093-5</v>
      </c>
      <c r="C2031" s="61">
        <v>2015</v>
      </c>
      <c r="D2031" s="61" t="s">
        <v>100</v>
      </c>
      <c r="E2031" s="61">
        <v>5</v>
      </c>
      <c r="F2031" s="62" t="s">
        <v>1968</v>
      </c>
      <c r="G2031" s="61" t="s">
        <v>2735</v>
      </c>
      <c r="H2031" s="63"/>
      <c r="I2031" s="64"/>
    </row>
    <row r="2032" spans="2:9" x14ac:dyDescent="0.2">
      <c r="B2032" s="65" t="str">
        <f t="shared" si="39"/>
        <v>2015-094-0</v>
      </c>
      <c r="C2032" s="66">
        <v>2015</v>
      </c>
      <c r="D2032" s="66" t="s">
        <v>101</v>
      </c>
      <c r="E2032" s="66">
        <v>0</v>
      </c>
      <c r="F2032" s="67" t="s">
        <v>310</v>
      </c>
      <c r="G2032" s="66"/>
      <c r="H2032" s="68"/>
      <c r="I2032" s="69"/>
    </row>
    <row r="2033" spans="2:9" x14ac:dyDescent="0.2">
      <c r="B2033" s="54" t="str">
        <f t="shared" si="39"/>
        <v>2015-094-1</v>
      </c>
      <c r="C2033" s="55">
        <v>2015</v>
      </c>
      <c r="D2033" s="55" t="s">
        <v>101</v>
      </c>
      <c r="E2033" s="55">
        <v>1</v>
      </c>
      <c r="F2033" s="57" t="s">
        <v>735</v>
      </c>
      <c r="G2033" s="55" t="s">
        <v>2735</v>
      </c>
      <c r="H2033" s="58"/>
      <c r="I2033" s="59"/>
    </row>
    <row r="2034" spans="2:9" ht="27" x14ac:dyDescent="0.2">
      <c r="B2034" s="54" t="str">
        <f t="shared" si="39"/>
        <v>2015-094-2</v>
      </c>
      <c r="C2034" s="55">
        <v>2015</v>
      </c>
      <c r="D2034" s="55" t="s">
        <v>101</v>
      </c>
      <c r="E2034" s="55">
        <v>2</v>
      </c>
      <c r="F2034" s="57" t="s">
        <v>1056</v>
      </c>
      <c r="G2034" s="55"/>
      <c r="H2034" s="58"/>
      <c r="I2034" s="59"/>
    </row>
    <row r="2035" spans="2:9" x14ac:dyDescent="0.2">
      <c r="B2035" s="54" t="str">
        <f t="shared" si="39"/>
        <v>2015-094-3</v>
      </c>
      <c r="C2035" s="55">
        <v>2015</v>
      </c>
      <c r="D2035" s="55" t="s">
        <v>101</v>
      </c>
      <c r="E2035" s="55">
        <v>3</v>
      </c>
      <c r="F2035" s="57" t="s">
        <v>1372</v>
      </c>
      <c r="G2035" s="55"/>
      <c r="H2035" s="58"/>
      <c r="I2035" s="59"/>
    </row>
    <row r="2036" spans="2:9" ht="27" x14ac:dyDescent="0.2">
      <c r="B2036" s="54" t="str">
        <f t="shared" si="39"/>
        <v>2015-094-4</v>
      </c>
      <c r="C2036" s="55">
        <v>2015</v>
      </c>
      <c r="D2036" s="55" t="s">
        <v>101</v>
      </c>
      <c r="E2036" s="55">
        <v>4</v>
      </c>
      <c r="F2036" s="57" t="s">
        <v>1675</v>
      </c>
      <c r="G2036" s="55"/>
      <c r="H2036" s="58"/>
      <c r="I2036" s="59"/>
    </row>
    <row r="2037" spans="2:9" x14ac:dyDescent="0.2">
      <c r="B2037" s="60" t="str">
        <f t="shared" si="39"/>
        <v>2015-094-5</v>
      </c>
      <c r="C2037" s="61">
        <v>2015</v>
      </c>
      <c r="D2037" s="61" t="s">
        <v>101</v>
      </c>
      <c r="E2037" s="61">
        <v>5</v>
      </c>
      <c r="F2037" s="62" t="s">
        <v>1969</v>
      </c>
      <c r="G2037" s="61"/>
      <c r="H2037" s="63"/>
      <c r="I2037" s="64"/>
    </row>
    <row r="2038" spans="2:9" x14ac:dyDescent="0.2">
      <c r="B2038" s="65" t="str">
        <f t="shared" si="39"/>
        <v>2015-095-0</v>
      </c>
      <c r="C2038" s="66">
        <v>2015</v>
      </c>
      <c r="D2038" s="66" t="s">
        <v>102</v>
      </c>
      <c r="E2038" s="66">
        <v>0</v>
      </c>
      <c r="F2038" s="67" t="s">
        <v>405</v>
      </c>
      <c r="G2038" s="66"/>
      <c r="H2038" s="68"/>
      <c r="I2038" s="69"/>
    </row>
    <row r="2039" spans="2:9" x14ac:dyDescent="0.2">
      <c r="B2039" s="54" t="str">
        <f t="shared" si="39"/>
        <v>2015-095-1</v>
      </c>
      <c r="C2039" s="55">
        <v>2015</v>
      </c>
      <c r="D2039" s="55" t="s">
        <v>102</v>
      </c>
      <c r="E2039" s="55">
        <v>1</v>
      </c>
      <c r="F2039" s="57" t="s">
        <v>736</v>
      </c>
      <c r="G2039" s="55"/>
      <c r="H2039" s="58"/>
      <c r="I2039" s="59"/>
    </row>
    <row r="2040" spans="2:9" x14ac:dyDescent="0.2">
      <c r="B2040" s="54" t="str">
        <f t="shared" si="39"/>
        <v>2015-095-2</v>
      </c>
      <c r="C2040" s="55">
        <v>2015</v>
      </c>
      <c r="D2040" s="55" t="s">
        <v>102</v>
      </c>
      <c r="E2040" s="55">
        <v>2</v>
      </c>
      <c r="F2040" s="57" t="s">
        <v>1057</v>
      </c>
      <c r="G2040" s="55"/>
      <c r="H2040" s="58"/>
      <c r="I2040" s="59"/>
    </row>
    <row r="2041" spans="2:9" x14ac:dyDescent="0.2">
      <c r="B2041" s="54" t="str">
        <f t="shared" si="39"/>
        <v>2015-095-3</v>
      </c>
      <c r="C2041" s="55">
        <v>2015</v>
      </c>
      <c r="D2041" s="55" t="s">
        <v>102</v>
      </c>
      <c r="E2041" s="55">
        <v>3</v>
      </c>
      <c r="F2041" s="57" t="s">
        <v>1373</v>
      </c>
      <c r="G2041" s="55"/>
      <c r="H2041" s="58"/>
      <c r="I2041" s="59"/>
    </row>
    <row r="2042" spans="2:9" x14ac:dyDescent="0.2">
      <c r="B2042" s="54" t="str">
        <f t="shared" si="39"/>
        <v>2015-095-4</v>
      </c>
      <c r="C2042" s="55">
        <v>2015</v>
      </c>
      <c r="D2042" s="55" t="s">
        <v>102</v>
      </c>
      <c r="E2042" s="55">
        <v>4</v>
      </c>
      <c r="F2042" s="57" t="s">
        <v>1676</v>
      </c>
      <c r="G2042" s="55" t="s">
        <v>2735</v>
      </c>
      <c r="H2042" s="58"/>
      <c r="I2042" s="59"/>
    </row>
    <row r="2043" spans="2:9" x14ac:dyDescent="0.2">
      <c r="B2043" s="60" t="str">
        <f t="shared" si="39"/>
        <v>2015-095-5</v>
      </c>
      <c r="C2043" s="61">
        <v>2015</v>
      </c>
      <c r="D2043" s="61" t="s">
        <v>102</v>
      </c>
      <c r="E2043" s="61">
        <v>5</v>
      </c>
      <c r="F2043" s="62" t="s">
        <v>1970</v>
      </c>
      <c r="G2043" s="61"/>
      <c r="H2043" s="63"/>
      <c r="I2043" s="64"/>
    </row>
    <row r="2044" spans="2:9" x14ac:dyDescent="0.2">
      <c r="B2044" s="65" t="str">
        <f t="shared" si="39"/>
        <v>2015-096-0</v>
      </c>
      <c r="C2044" s="66">
        <v>2015</v>
      </c>
      <c r="D2044" s="66" t="s">
        <v>103</v>
      </c>
      <c r="E2044" s="66">
        <v>0</v>
      </c>
      <c r="F2044" s="67" t="s">
        <v>406</v>
      </c>
      <c r="G2044" s="66"/>
      <c r="H2044" s="68"/>
      <c r="I2044" s="69"/>
    </row>
    <row r="2045" spans="2:9" x14ac:dyDescent="0.2">
      <c r="B2045" s="54" t="str">
        <f t="shared" si="39"/>
        <v>2015-096-1</v>
      </c>
      <c r="C2045" s="55">
        <v>2015</v>
      </c>
      <c r="D2045" s="55" t="s">
        <v>103</v>
      </c>
      <c r="E2045" s="55">
        <v>1</v>
      </c>
      <c r="F2045" s="57" t="s">
        <v>737</v>
      </c>
      <c r="G2045" s="55"/>
      <c r="H2045" s="58"/>
      <c r="I2045" s="59"/>
    </row>
    <row r="2046" spans="2:9" x14ac:dyDescent="0.2">
      <c r="B2046" s="54" t="str">
        <f t="shared" si="39"/>
        <v>2015-096-2</v>
      </c>
      <c r="C2046" s="55">
        <v>2015</v>
      </c>
      <c r="D2046" s="55" t="s">
        <v>103</v>
      </c>
      <c r="E2046" s="55">
        <v>2</v>
      </c>
      <c r="F2046" s="57" t="s">
        <v>1058</v>
      </c>
      <c r="G2046" s="55"/>
      <c r="H2046" s="58"/>
      <c r="I2046" s="59"/>
    </row>
    <row r="2047" spans="2:9" ht="27" x14ac:dyDescent="0.2">
      <c r="B2047" s="54" t="str">
        <f t="shared" si="39"/>
        <v>2015-096-3</v>
      </c>
      <c r="C2047" s="55">
        <v>2015</v>
      </c>
      <c r="D2047" s="55" t="s">
        <v>103</v>
      </c>
      <c r="E2047" s="55">
        <v>3</v>
      </c>
      <c r="F2047" s="57" t="s">
        <v>1374</v>
      </c>
      <c r="G2047" s="55"/>
      <c r="H2047" s="58"/>
      <c r="I2047" s="59"/>
    </row>
    <row r="2048" spans="2:9" x14ac:dyDescent="0.2">
      <c r="B2048" s="54" t="str">
        <f t="shared" si="39"/>
        <v>2015-096-4</v>
      </c>
      <c r="C2048" s="55">
        <v>2015</v>
      </c>
      <c r="D2048" s="55" t="s">
        <v>103</v>
      </c>
      <c r="E2048" s="55">
        <v>4</v>
      </c>
      <c r="F2048" s="57" t="s">
        <v>1677</v>
      </c>
      <c r="G2048" s="55" t="s">
        <v>2735</v>
      </c>
      <c r="H2048" s="58"/>
      <c r="I2048" s="59"/>
    </row>
    <row r="2049" spans="2:9" x14ac:dyDescent="0.2">
      <c r="B2049" s="60" t="str">
        <f t="shared" si="39"/>
        <v>2015-096-5</v>
      </c>
      <c r="C2049" s="61">
        <v>2015</v>
      </c>
      <c r="D2049" s="61" t="s">
        <v>103</v>
      </c>
      <c r="E2049" s="61">
        <v>5</v>
      </c>
      <c r="F2049" s="62" t="s">
        <v>1971</v>
      </c>
      <c r="G2049" s="61"/>
      <c r="H2049" s="63"/>
      <c r="I2049" s="64"/>
    </row>
    <row r="2050" spans="2:9" x14ac:dyDescent="0.2">
      <c r="B2050" s="65" t="str">
        <f t="shared" si="39"/>
        <v>2015-097-0</v>
      </c>
      <c r="C2050" s="66">
        <v>2015</v>
      </c>
      <c r="D2050" s="66" t="s">
        <v>104</v>
      </c>
      <c r="E2050" s="66">
        <v>0</v>
      </c>
      <c r="F2050" s="67" t="s">
        <v>407</v>
      </c>
      <c r="G2050" s="66"/>
      <c r="H2050" s="68"/>
      <c r="I2050" s="69"/>
    </row>
    <row r="2051" spans="2:9" ht="27" x14ac:dyDescent="0.2">
      <c r="B2051" s="54" t="str">
        <f t="shared" si="39"/>
        <v>2015-097-1</v>
      </c>
      <c r="C2051" s="55">
        <v>2015</v>
      </c>
      <c r="D2051" s="55" t="s">
        <v>104</v>
      </c>
      <c r="E2051" s="55">
        <v>1</v>
      </c>
      <c r="F2051" s="57" t="s">
        <v>738</v>
      </c>
      <c r="G2051" s="55"/>
      <c r="H2051" s="58"/>
      <c r="I2051" s="59"/>
    </row>
    <row r="2052" spans="2:9" x14ac:dyDescent="0.2">
      <c r="B2052" s="54" t="str">
        <f t="shared" si="39"/>
        <v>2015-097-2</v>
      </c>
      <c r="C2052" s="55">
        <v>2015</v>
      </c>
      <c r="D2052" s="55" t="s">
        <v>104</v>
      </c>
      <c r="E2052" s="55">
        <v>2</v>
      </c>
      <c r="F2052" s="57" t="s">
        <v>1059</v>
      </c>
      <c r="G2052" s="55" t="s">
        <v>2735</v>
      </c>
      <c r="H2052" s="58"/>
      <c r="I2052" s="59"/>
    </row>
    <row r="2053" spans="2:9" x14ac:dyDescent="0.2">
      <c r="B2053" s="54" t="str">
        <f t="shared" si="39"/>
        <v>2015-097-3</v>
      </c>
      <c r="C2053" s="55">
        <v>2015</v>
      </c>
      <c r="D2053" s="55" t="s">
        <v>104</v>
      </c>
      <c r="E2053" s="55">
        <v>3</v>
      </c>
      <c r="F2053" s="57" t="s">
        <v>1375</v>
      </c>
      <c r="G2053" s="55"/>
      <c r="H2053" s="58"/>
      <c r="I2053" s="59"/>
    </row>
    <row r="2054" spans="2:9" ht="27" x14ac:dyDescent="0.2">
      <c r="B2054" s="54" t="str">
        <f t="shared" si="39"/>
        <v>2015-097-4</v>
      </c>
      <c r="C2054" s="55">
        <v>2015</v>
      </c>
      <c r="D2054" s="55" t="s">
        <v>104</v>
      </c>
      <c r="E2054" s="55">
        <v>4</v>
      </c>
      <c r="F2054" s="57" t="s">
        <v>1678</v>
      </c>
      <c r="G2054" s="55"/>
      <c r="H2054" s="58"/>
      <c r="I2054" s="59"/>
    </row>
    <row r="2055" spans="2:9" ht="27" x14ac:dyDescent="0.2">
      <c r="B2055" s="60" t="str">
        <f t="shared" si="39"/>
        <v>2015-097-5</v>
      </c>
      <c r="C2055" s="61">
        <v>2015</v>
      </c>
      <c r="D2055" s="61" t="s">
        <v>104</v>
      </c>
      <c r="E2055" s="61">
        <v>5</v>
      </c>
      <c r="F2055" s="62" t="s">
        <v>1972</v>
      </c>
      <c r="G2055" s="61"/>
      <c r="H2055" s="63"/>
      <c r="I2055" s="64"/>
    </row>
    <row r="2056" spans="2:9" ht="27" x14ac:dyDescent="0.2">
      <c r="B2056" s="65" t="str">
        <f t="shared" si="39"/>
        <v>2015-098-0</v>
      </c>
      <c r="C2056" s="66">
        <v>2015</v>
      </c>
      <c r="D2056" s="66" t="s">
        <v>105</v>
      </c>
      <c r="E2056" s="66">
        <v>0</v>
      </c>
      <c r="F2056" s="67" t="s">
        <v>408</v>
      </c>
      <c r="G2056" s="66"/>
      <c r="H2056" s="68"/>
      <c r="I2056" s="69"/>
    </row>
    <row r="2057" spans="2:9" x14ac:dyDescent="0.2">
      <c r="B2057" s="54" t="str">
        <f t="shared" si="39"/>
        <v>2015-098-1</v>
      </c>
      <c r="C2057" s="55">
        <v>2015</v>
      </c>
      <c r="D2057" s="55" t="s">
        <v>105</v>
      </c>
      <c r="E2057" s="55">
        <v>1</v>
      </c>
      <c r="F2057" s="57" t="s">
        <v>739</v>
      </c>
      <c r="G2057" s="55"/>
      <c r="H2057" s="58"/>
      <c r="I2057" s="59"/>
    </row>
    <row r="2058" spans="2:9" x14ac:dyDescent="0.2">
      <c r="B2058" s="54" t="str">
        <f t="shared" si="39"/>
        <v>2015-098-2</v>
      </c>
      <c r="C2058" s="55">
        <v>2015</v>
      </c>
      <c r="D2058" s="55" t="s">
        <v>105</v>
      </c>
      <c r="E2058" s="55">
        <v>2</v>
      </c>
      <c r="F2058" s="57" t="s">
        <v>1060</v>
      </c>
      <c r="G2058" s="55" t="s">
        <v>2735</v>
      </c>
      <c r="H2058" s="58"/>
      <c r="I2058" s="59"/>
    </row>
    <row r="2059" spans="2:9" x14ac:dyDescent="0.2">
      <c r="B2059" s="54" t="str">
        <f t="shared" si="39"/>
        <v>2015-098-3</v>
      </c>
      <c r="C2059" s="55">
        <v>2015</v>
      </c>
      <c r="D2059" s="55" t="s">
        <v>105</v>
      </c>
      <c r="E2059" s="55">
        <v>3</v>
      </c>
      <c r="F2059" s="57" t="s">
        <v>1199</v>
      </c>
      <c r="G2059" s="55"/>
      <c r="H2059" s="58"/>
      <c r="I2059" s="59"/>
    </row>
    <row r="2060" spans="2:9" x14ac:dyDescent="0.2">
      <c r="B2060" s="54" t="str">
        <f t="shared" si="39"/>
        <v>2015-098-4</v>
      </c>
      <c r="C2060" s="55">
        <v>2015</v>
      </c>
      <c r="D2060" s="55" t="s">
        <v>105</v>
      </c>
      <c r="E2060" s="55">
        <v>4</v>
      </c>
      <c r="F2060" s="57" t="s">
        <v>877</v>
      </c>
      <c r="G2060" s="55"/>
      <c r="H2060" s="58"/>
      <c r="I2060" s="59"/>
    </row>
    <row r="2061" spans="2:9" x14ac:dyDescent="0.2">
      <c r="B2061" s="60" t="str">
        <f t="shared" si="39"/>
        <v>2015-098-5</v>
      </c>
      <c r="C2061" s="61">
        <v>2015</v>
      </c>
      <c r="D2061" s="61" t="s">
        <v>105</v>
      </c>
      <c r="E2061" s="61">
        <v>5</v>
      </c>
      <c r="F2061" s="62" t="s">
        <v>1973</v>
      </c>
      <c r="G2061" s="61"/>
      <c r="H2061" s="63"/>
      <c r="I2061" s="64"/>
    </row>
    <row r="2062" spans="2:9" ht="40.5" x14ac:dyDescent="0.2">
      <c r="B2062" s="65" t="str">
        <f t="shared" si="39"/>
        <v>2015-099-0</v>
      </c>
      <c r="C2062" s="66">
        <v>2015</v>
      </c>
      <c r="D2062" s="66" t="s">
        <v>106</v>
      </c>
      <c r="E2062" s="66">
        <v>0</v>
      </c>
      <c r="F2062" s="67" t="s">
        <v>409</v>
      </c>
      <c r="G2062" s="66"/>
      <c r="H2062" s="68"/>
      <c r="I2062" s="69"/>
    </row>
    <row r="2063" spans="2:9" x14ac:dyDescent="0.2">
      <c r="B2063" s="54" t="str">
        <f t="shared" si="39"/>
        <v>2015-099-1</v>
      </c>
      <c r="C2063" s="55">
        <v>2015</v>
      </c>
      <c r="D2063" s="55" t="s">
        <v>106</v>
      </c>
      <c r="E2063" s="55">
        <v>1</v>
      </c>
      <c r="F2063" s="57">
        <v>10</v>
      </c>
      <c r="G2063" s="55"/>
      <c r="H2063" s="58"/>
      <c r="I2063" s="59"/>
    </row>
    <row r="2064" spans="2:9" x14ac:dyDescent="0.2">
      <c r="B2064" s="54" t="str">
        <f t="shared" si="39"/>
        <v>2015-099-2</v>
      </c>
      <c r="C2064" s="55">
        <v>2015</v>
      </c>
      <c r="D2064" s="55" t="s">
        <v>106</v>
      </c>
      <c r="E2064" s="55">
        <v>2</v>
      </c>
      <c r="F2064" s="57">
        <v>20</v>
      </c>
      <c r="G2064" s="55"/>
      <c r="H2064" s="58"/>
      <c r="I2064" s="59"/>
    </row>
    <row r="2065" spans="2:9" x14ac:dyDescent="0.2">
      <c r="B2065" s="54" t="str">
        <f t="shared" si="39"/>
        <v>2015-099-3</v>
      </c>
      <c r="C2065" s="55">
        <v>2015</v>
      </c>
      <c r="D2065" s="55" t="s">
        <v>106</v>
      </c>
      <c r="E2065" s="55">
        <v>3</v>
      </c>
      <c r="F2065" s="57">
        <v>30</v>
      </c>
      <c r="G2065" s="55" t="s">
        <v>2735</v>
      </c>
      <c r="H2065" s="58"/>
      <c r="I2065" s="59"/>
    </row>
    <row r="2066" spans="2:9" x14ac:dyDescent="0.2">
      <c r="B2066" s="54" t="str">
        <f t="shared" si="39"/>
        <v>2015-099-4</v>
      </c>
      <c r="C2066" s="55">
        <v>2015</v>
      </c>
      <c r="D2066" s="55" t="s">
        <v>106</v>
      </c>
      <c r="E2066" s="55">
        <v>4</v>
      </c>
      <c r="F2066" s="57">
        <v>40</v>
      </c>
      <c r="G2066" s="55"/>
      <c r="H2066" s="58"/>
      <c r="I2066" s="59"/>
    </row>
    <row r="2067" spans="2:9" x14ac:dyDescent="0.2">
      <c r="B2067" s="60" t="str">
        <f t="shared" si="39"/>
        <v>2015-099-5</v>
      </c>
      <c r="C2067" s="61">
        <v>2015</v>
      </c>
      <c r="D2067" s="61" t="s">
        <v>106</v>
      </c>
      <c r="E2067" s="61">
        <v>5</v>
      </c>
      <c r="F2067" s="62">
        <v>50</v>
      </c>
      <c r="G2067" s="61"/>
      <c r="H2067" s="63"/>
      <c r="I2067" s="64"/>
    </row>
    <row r="2068" spans="2:9" x14ac:dyDescent="0.2">
      <c r="B2068" s="65" t="str">
        <f t="shared" si="39"/>
        <v>2015-100-0</v>
      </c>
      <c r="C2068" s="66">
        <v>2015</v>
      </c>
      <c r="D2068" s="66" t="s">
        <v>107</v>
      </c>
      <c r="E2068" s="66">
        <v>0</v>
      </c>
      <c r="F2068" s="67" t="s">
        <v>410</v>
      </c>
      <c r="G2068" s="66"/>
      <c r="H2068" s="68"/>
      <c r="I2068" s="69"/>
    </row>
    <row r="2069" spans="2:9" x14ac:dyDescent="0.2">
      <c r="B2069" s="54" t="str">
        <f t="shared" ref="B2069:B2073" si="40">C2069&amp;"-"&amp;D2069&amp;"-"&amp;E2069</f>
        <v>2015-100-1</v>
      </c>
      <c r="C2069" s="55">
        <v>2015</v>
      </c>
      <c r="D2069" s="55" t="s">
        <v>107</v>
      </c>
      <c r="E2069" s="55">
        <v>1</v>
      </c>
      <c r="F2069" s="57" t="s">
        <v>740</v>
      </c>
      <c r="G2069" s="55"/>
      <c r="H2069" s="58"/>
      <c r="I2069" s="59"/>
    </row>
    <row r="2070" spans="2:9" ht="27" x14ac:dyDescent="0.2">
      <c r="B2070" s="54" t="str">
        <f t="shared" si="40"/>
        <v>2015-100-2</v>
      </c>
      <c r="C2070" s="55">
        <v>2015</v>
      </c>
      <c r="D2070" s="55" t="s">
        <v>107</v>
      </c>
      <c r="E2070" s="55">
        <v>2</v>
      </c>
      <c r="F2070" s="57" t="s">
        <v>1061</v>
      </c>
      <c r="G2070" s="55" t="s">
        <v>2735</v>
      </c>
      <c r="H2070" s="58"/>
      <c r="I2070" s="59"/>
    </row>
    <row r="2071" spans="2:9" x14ac:dyDescent="0.2">
      <c r="B2071" s="54" t="str">
        <f t="shared" si="40"/>
        <v>2015-100-3</v>
      </c>
      <c r="C2071" s="55">
        <v>2015</v>
      </c>
      <c r="D2071" s="55" t="s">
        <v>107</v>
      </c>
      <c r="E2071" s="55">
        <v>3</v>
      </c>
      <c r="F2071" s="57" t="s">
        <v>1376</v>
      </c>
      <c r="G2071" s="55"/>
      <c r="H2071" s="58"/>
      <c r="I2071" s="59"/>
    </row>
    <row r="2072" spans="2:9" x14ac:dyDescent="0.2">
      <c r="B2072" s="54" t="str">
        <f t="shared" si="40"/>
        <v>2015-100-4</v>
      </c>
      <c r="C2072" s="55">
        <v>2015</v>
      </c>
      <c r="D2072" s="55" t="s">
        <v>107</v>
      </c>
      <c r="E2072" s="55">
        <v>4</v>
      </c>
      <c r="F2072" s="57" t="s">
        <v>1679</v>
      </c>
      <c r="G2072" s="55"/>
      <c r="H2072" s="58"/>
      <c r="I2072" s="59"/>
    </row>
    <row r="2073" spans="2:9" ht="14.25" thickBot="1" x14ac:dyDescent="0.25">
      <c r="B2073" s="70" t="str">
        <f t="shared" si="40"/>
        <v>2015-100-5</v>
      </c>
      <c r="C2073" s="71">
        <v>2015</v>
      </c>
      <c r="D2073" s="71" t="s">
        <v>107</v>
      </c>
      <c r="E2073" s="71">
        <v>5</v>
      </c>
      <c r="F2073" s="72" t="s">
        <v>1974</v>
      </c>
      <c r="G2073" s="71"/>
      <c r="H2073" s="73"/>
      <c r="I2073" s="74"/>
    </row>
    <row r="2074" spans="2:9" x14ac:dyDescent="0.2">
      <c r="B2074" s="48" t="str">
        <f t="shared" ref="B2074:B2106" si="41">C2074&amp;"-"&amp;D2074&amp;"-"&amp;E2074</f>
        <v>2014-076-0</v>
      </c>
      <c r="C2074" s="49">
        <v>2014</v>
      </c>
      <c r="D2074" s="49" t="s">
        <v>78</v>
      </c>
      <c r="E2074" s="49">
        <v>0</v>
      </c>
      <c r="F2074" s="51" t="s">
        <v>411</v>
      </c>
      <c r="G2074" s="49"/>
      <c r="H2074" s="52"/>
      <c r="I2074" s="53"/>
    </row>
    <row r="2075" spans="2:9" x14ac:dyDescent="0.2">
      <c r="B2075" s="54" t="str">
        <f t="shared" si="41"/>
        <v>2014-076-1</v>
      </c>
      <c r="C2075" s="55">
        <v>2014</v>
      </c>
      <c r="D2075" s="55" t="s">
        <v>78</v>
      </c>
      <c r="E2075" s="55">
        <v>1</v>
      </c>
      <c r="F2075" s="57" t="s">
        <v>741</v>
      </c>
      <c r="G2075" s="55"/>
      <c r="H2075" s="58"/>
      <c r="I2075" s="59"/>
    </row>
    <row r="2076" spans="2:9" x14ac:dyDescent="0.2">
      <c r="B2076" s="54" t="str">
        <f t="shared" si="41"/>
        <v>2014-076-2</v>
      </c>
      <c r="C2076" s="55">
        <v>2014</v>
      </c>
      <c r="D2076" s="55" t="s">
        <v>78</v>
      </c>
      <c r="E2076" s="55">
        <v>2</v>
      </c>
      <c r="F2076" s="57" t="s">
        <v>1062</v>
      </c>
      <c r="G2076" s="55" t="s">
        <v>2735</v>
      </c>
      <c r="H2076" s="58"/>
      <c r="I2076" s="59"/>
    </row>
    <row r="2077" spans="2:9" x14ac:dyDescent="0.2">
      <c r="B2077" s="54" t="str">
        <f t="shared" si="41"/>
        <v>2014-076-3</v>
      </c>
      <c r="C2077" s="55">
        <v>2014</v>
      </c>
      <c r="D2077" s="55" t="s">
        <v>78</v>
      </c>
      <c r="E2077" s="55">
        <v>3</v>
      </c>
      <c r="F2077" s="57" t="s">
        <v>1377</v>
      </c>
      <c r="G2077" s="55"/>
      <c r="H2077" s="58"/>
      <c r="I2077" s="59"/>
    </row>
    <row r="2078" spans="2:9" x14ac:dyDescent="0.2">
      <c r="B2078" s="54" t="str">
        <f t="shared" si="41"/>
        <v>2014-076-4</v>
      </c>
      <c r="C2078" s="55">
        <v>2014</v>
      </c>
      <c r="D2078" s="55" t="s">
        <v>78</v>
      </c>
      <c r="E2078" s="55">
        <v>4</v>
      </c>
      <c r="F2078" s="57" t="s">
        <v>1680</v>
      </c>
      <c r="G2078" s="55"/>
      <c r="H2078" s="58"/>
      <c r="I2078" s="59"/>
    </row>
    <row r="2079" spans="2:9" x14ac:dyDescent="0.2">
      <c r="B2079" s="60" t="str">
        <f t="shared" si="41"/>
        <v>2014-076-5</v>
      </c>
      <c r="C2079" s="61">
        <v>2014</v>
      </c>
      <c r="D2079" s="61" t="s">
        <v>78</v>
      </c>
      <c r="E2079" s="61">
        <v>5</v>
      </c>
      <c r="F2079" s="62" t="s">
        <v>1975</v>
      </c>
      <c r="G2079" s="61"/>
      <c r="H2079" s="63"/>
      <c r="I2079" s="64"/>
    </row>
    <row r="2080" spans="2:9" x14ac:dyDescent="0.2">
      <c r="B2080" s="65" t="str">
        <f t="shared" si="41"/>
        <v>2014-077-0</v>
      </c>
      <c r="C2080" s="66">
        <v>2014</v>
      </c>
      <c r="D2080" s="66" t="s">
        <v>79</v>
      </c>
      <c r="E2080" s="66">
        <v>0</v>
      </c>
      <c r="F2080" s="67" t="s">
        <v>412</v>
      </c>
      <c r="G2080" s="66"/>
      <c r="H2080" s="68"/>
      <c r="I2080" s="69"/>
    </row>
    <row r="2081" spans="2:9" x14ac:dyDescent="0.2">
      <c r="B2081" s="54" t="str">
        <f t="shared" si="41"/>
        <v>2014-077-1</v>
      </c>
      <c r="C2081" s="55">
        <v>2014</v>
      </c>
      <c r="D2081" s="55" t="s">
        <v>79</v>
      </c>
      <c r="E2081" s="55">
        <v>1</v>
      </c>
      <c r="F2081" s="57" t="s">
        <v>742</v>
      </c>
      <c r="G2081" s="55"/>
      <c r="H2081" s="58"/>
      <c r="I2081" s="59"/>
    </row>
    <row r="2082" spans="2:9" x14ac:dyDescent="0.2">
      <c r="B2082" s="54" t="str">
        <f t="shared" si="41"/>
        <v>2014-077-2</v>
      </c>
      <c r="C2082" s="55">
        <v>2014</v>
      </c>
      <c r="D2082" s="55" t="s">
        <v>79</v>
      </c>
      <c r="E2082" s="55">
        <v>2</v>
      </c>
      <c r="F2082" s="57" t="s">
        <v>1063</v>
      </c>
      <c r="G2082" s="55"/>
      <c r="H2082" s="58"/>
      <c r="I2082" s="59"/>
    </row>
    <row r="2083" spans="2:9" x14ac:dyDescent="0.2">
      <c r="B2083" s="54" t="str">
        <f t="shared" si="41"/>
        <v>2014-077-3</v>
      </c>
      <c r="C2083" s="55">
        <v>2014</v>
      </c>
      <c r="D2083" s="55" t="s">
        <v>79</v>
      </c>
      <c r="E2083" s="55">
        <v>3</v>
      </c>
      <c r="F2083" s="57" t="s">
        <v>1378</v>
      </c>
      <c r="G2083" s="55" t="s">
        <v>2735</v>
      </c>
      <c r="H2083" s="58"/>
      <c r="I2083" s="59"/>
    </row>
    <row r="2084" spans="2:9" x14ac:dyDescent="0.2">
      <c r="B2084" s="54" t="str">
        <f t="shared" si="41"/>
        <v>2014-077-4</v>
      </c>
      <c r="C2084" s="55">
        <v>2014</v>
      </c>
      <c r="D2084" s="55" t="s">
        <v>79</v>
      </c>
      <c r="E2084" s="55">
        <v>4</v>
      </c>
      <c r="F2084" s="57" t="s">
        <v>1681</v>
      </c>
      <c r="G2084" s="55"/>
      <c r="H2084" s="58"/>
      <c r="I2084" s="59"/>
    </row>
    <row r="2085" spans="2:9" x14ac:dyDescent="0.2">
      <c r="B2085" s="60" t="str">
        <f t="shared" si="41"/>
        <v>2014-077-5</v>
      </c>
      <c r="C2085" s="61">
        <v>2014</v>
      </c>
      <c r="D2085" s="61" t="s">
        <v>79</v>
      </c>
      <c r="E2085" s="61">
        <v>5</v>
      </c>
      <c r="F2085" s="62" t="s">
        <v>1976</v>
      </c>
      <c r="G2085" s="61"/>
      <c r="H2085" s="63"/>
      <c r="I2085" s="64"/>
    </row>
    <row r="2086" spans="2:9" x14ac:dyDescent="0.2">
      <c r="B2086" s="65" t="str">
        <f t="shared" si="41"/>
        <v>2014-078-0</v>
      </c>
      <c r="C2086" s="66">
        <v>2014</v>
      </c>
      <c r="D2086" s="66" t="s">
        <v>80</v>
      </c>
      <c r="E2086" s="66">
        <v>0</v>
      </c>
      <c r="F2086" s="67" t="s">
        <v>222</v>
      </c>
      <c r="G2086" s="66"/>
      <c r="H2086" s="68"/>
      <c r="I2086" s="69"/>
    </row>
    <row r="2087" spans="2:9" x14ac:dyDescent="0.2">
      <c r="B2087" s="54" t="str">
        <f t="shared" si="41"/>
        <v>2014-078-1</v>
      </c>
      <c r="C2087" s="55">
        <v>2014</v>
      </c>
      <c r="D2087" s="55" t="s">
        <v>80</v>
      </c>
      <c r="E2087" s="55">
        <v>1</v>
      </c>
      <c r="F2087" s="57" t="s">
        <v>743</v>
      </c>
      <c r="G2087" s="55" t="s">
        <v>2735</v>
      </c>
      <c r="H2087" s="58"/>
      <c r="I2087" s="59"/>
    </row>
    <row r="2088" spans="2:9" x14ac:dyDescent="0.2">
      <c r="B2088" s="54" t="str">
        <f t="shared" si="41"/>
        <v>2014-078-2</v>
      </c>
      <c r="C2088" s="55">
        <v>2014</v>
      </c>
      <c r="D2088" s="55" t="s">
        <v>80</v>
      </c>
      <c r="E2088" s="55">
        <v>2</v>
      </c>
      <c r="F2088" s="57" t="s">
        <v>1064</v>
      </c>
      <c r="G2088" s="55"/>
      <c r="H2088" s="58"/>
      <c r="I2088" s="59"/>
    </row>
    <row r="2089" spans="2:9" ht="27" x14ac:dyDescent="0.2">
      <c r="B2089" s="54" t="str">
        <f t="shared" si="41"/>
        <v>2014-078-3</v>
      </c>
      <c r="C2089" s="55">
        <v>2014</v>
      </c>
      <c r="D2089" s="55" t="s">
        <v>80</v>
      </c>
      <c r="E2089" s="55">
        <v>3</v>
      </c>
      <c r="F2089" s="57" t="s">
        <v>1379</v>
      </c>
      <c r="G2089" s="55"/>
      <c r="H2089" s="58"/>
      <c r="I2089" s="59"/>
    </row>
    <row r="2090" spans="2:9" ht="27" x14ac:dyDescent="0.2">
      <c r="B2090" s="54" t="str">
        <f t="shared" si="41"/>
        <v>2014-078-4</v>
      </c>
      <c r="C2090" s="55">
        <v>2014</v>
      </c>
      <c r="D2090" s="55" t="s">
        <v>80</v>
      </c>
      <c r="E2090" s="55">
        <v>4</v>
      </c>
      <c r="F2090" s="57" t="s">
        <v>1682</v>
      </c>
      <c r="G2090" s="55"/>
      <c r="H2090" s="58"/>
      <c r="I2090" s="59"/>
    </row>
    <row r="2091" spans="2:9" x14ac:dyDescent="0.2">
      <c r="B2091" s="60" t="str">
        <f t="shared" si="41"/>
        <v>2014-078-5</v>
      </c>
      <c r="C2091" s="61">
        <v>2014</v>
      </c>
      <c r="D2091" s="61" t="s">
        <v>80</v>
      </c>
      <c r="E2091" s="61">
        <v>5</v>
      </c>
      <c r="F2091" s="62" t="s">
        <v>1584</v>
      </c>
      <c r="G2091" s="61"/>
      <c r="H2091" s="63"/>
      <c r="I2091" s="64"/>
    </row>
    <row r="2092" spans="2:9" x14ac:dyDescent="0.2">
      <c r="B2092" s="65" t="str">
        <f t="shared" si="41"/>
        <v>2014-079-0</v>
      </c>
      <c r="C2092" s="66">
        <v>2014</v>
      </c>
      <c r="D2092" s="66" t="s">
        <v>81</v>
      </c>
      <c r="E2092" s="66">
        <v>0</v>
      </c>
      <c r="F2092" s="67" t="s">
        <v>413</v>
      </c>
      <c r="G2092" s="66"/>
      <c r="H2092" s="68"/>
      <c r="I2092" s="69"/>
    </row>
    <row r="2093" spans="2:9" x14ac:dyDescent="0.2">
      <c r="B2093" s="54" t="str">
        <f t="shared" si="41"/>
        <v>2014-079-1</v>
      </c>
      <c r="C2093" s="55">
        <v>2014</v>
      </c>
      <c r="D2093" s="55" t="s">
        <v>81</v>
      </c>
      <c r="E2093" s="55">
        <v>1</v>
      </c>
      <c r="F2093" s="57" t="s">
        <v>634</v>
      </c>
      <c r="G2093" s="55"/>
      <c r="H2093" s="58"/>
      <c r="I2093" s="59"/>
    </row>
    <row r="2094" spans="2:9" x14ac:dyDescent="0.2">
      <c r="B2094" s="54" t="str">
        <f t="shared" si="41"/>
        <v>2014-079-2</v>
      </c>
      <c r="C2094" s="55">
        <v>2014</v>
      </c>
      <c r="D2094" s="55" t="s">
        <v>81</v>
      </c>
      <c r="E2094" s="55">
        <v>2</v>
      </c>
      <c r="F2094" s="57" t="s">
        <v>1065</v>
      </c>
      <c r="G2094" s="55" t="s">
        <v>2735</v>
      </c>
      <c r="H2094" s="58"/>
      <c r="I2094" s="59"/>
    </row>
    <row r="2095" spans="2:9" x14ac:dyDescent="0.2">
      <c r="B2095" s="54" t="str">
        <f t="shared" si="41"/>
        <v>2014-079-3</v>
      </c>
      <c r="C2095" s="55">
        <v>2014</v>
      </c>
      <c r="D2095" s="55" t="s">
        <v>81</v>
      </c>
      <c r="E2095" s="55">
        <v>3</v>
      </c>
      <c r="F2095" s="57" t="s">
        <v>1380</v>
      </c>
      <c r="G2095" s="55"/>
      <c r="H2095" s="58"/>
      <c r="I2095" s="59"/>
    </row>
    <row r="2096" spans="2:9" x14ac:dyDescent="0.2">
      <c r="B2096" s="54" t="str">
        <f t="shared" si="41"/>
        <v>2014-079-4</v>
      </c>
      <c r="C2096" s="55">
        <v>2014</v>
      </c>
      <c r="D2096" s="55" t="s">
        <v>81</v>
      </c>
      <c r="E2096" s="55">
        <v>4</v>
      </c>
      <c r="F2096" s="57" t="s">
        <v>959</v>
      </c>
      <c r="G2096" s="55"/>
      <c r="H2096" s="58"/>
      <c r="I2096" s="59"/>
    </row>
    <row r="2097" spans="2:9" x14ac:dyDescent="0.2">
      <c r="B2097" s="60" t="str">
        <f t="shared" si="41"/>
        <v>2014-079-5</v>
      </c>
      <c r="C2097" s="61">
        <v>2014</v>
      </c>
      <c r="D2097" s="61" t="s">
        <v>81</v>
      </c>
      <c r="E2097" s="61">
        <v>5</v>
      </c>
      <c r="F2097" s="62" t="s">
        <v>1977</v>
      </c>
      <c r="G2097" s="61"/>
      <c r="H2097" s="63"/>
      <c r="I2097" s="64"/>
    </row>
    <row r="2098" spans="2:9" ht="27" x14ac:dyDescent="0.2">
      <c r="B2098" s="65" t="str">
        <f t="shared" si="41"/>
        <v>2014-080-0</v>
      </c>
      <c r="C2098" s="66">
        <v>2014</v>
      </c>
      <c r="D2098" s="66" t="s">
        <v>82</v>
      </c>
      <c r="E2098" s="66">
        <v>0</v>
      </c>
      <c r="F2098" s="67" t="s">
        <v>414</v>
      </c>
      <c r="G2098" s="66"/>
      <c r="H2098" s="68"/>
      <c r="I2098" s="69"/>
    </row>
    <row r="2099" spans="2:9" x14ac:dyDescent="0.2">
      <c r="B2099" s="54" t="str">
        <f t="shared" si="41"/>
        <v>2014-080-1</v>
      </c>
      <c r="C2099" s="55">
        <v>2014</v>
      </c>
      <c r="D2099" s="55" t="s">
        <v>82</v>
      </c>
      <c r="E2099" s="55">
        <v>1</v>
      </c>
      <c r="F2099" s="57" t="s">
        <v>744</v>
      </c>
      <c r="G2099" s="55"/>
      <c r="H2099" s="58"/>
      <c r="I2099" s="59"/>
    </row>
    <row r="2100" spans="2:9" x14ac:dyDescent="0.2">
      <c r="B2100" s="54" t="str">
        <f t="shared" si="41"/>
        <v>2014-080-2</v>
      </c>
      <c r="C2100" s="55">
        <v>2014</v>
      </c>
      <c r="D2100" s="55" t="s">
        <v>82</v>
      </c>
      <c r="E2100" s="55">
        <v>2</v>
      </c>
      <c r="F2100" s="57" t="s">
        <v>1066</v>
      </c>
      <c r="G2100" s="55"/>
      <c r="H2100" s="58"/>
      <c r="I2100" s="59"/>
    </row>
    <row r="2101" spans="2:9" x14ac:dyDescent="0.2">
      <c r="B2101" s="54" t="str">
        <f t="shared" si="41"/>
        <v>2014-080-3</v>
      </c>
      <c r="C2101" s="55">
        <v>2014</v>
      </c>
      <c r="D2101" s="55" t="s">
        <v>82</v>
      </c>
      <c r="E2101" s="55">
        <v>3</v>
      </c>
      <c r="F2101" s="57" t="s">
        <v>1381</v>
      </c>
      <c r="G2101" s="55"/>
      <c r="H2101" s="58"/>
      <c r="I2101" s="59"/>
    </row>
    <row r="2102" spans="2:9" x14ac:dyDescent="0.2">
      <c r="B2102" s="54" t="str">
        <f t="shared" si="41"/>
        <v>2014-080-4</v>
      </c>
      <c r="C2102" s="55">
        <v>2014</v>
      </c>
      <c r="D2102" s="55" t="s">
        <v>82</v>
      </c>
      <c r="E2102" s="55">
        <v>4</v>
      </c>
      <c r="F2102" s="57" t="s">
        <v>1683</v>
      </c>
      <c r="G2102" s="55" t="s">
        <v>2735</v>
      </c>
      <c r="H2102" s="58"/>
      <c r="I2102" s="59"/>
    </row>
    <row r="2103" spans="2:9" x14ac:dyDescent="0.2">
      <c r="B2103" s="60" t="str">
        <f t="shared" si="41"/>
        <v>2014-080-5</v>
      </c>
      <c r="C2103" s="61">
        <v>2014</v>
      </c>
      <c r="D2103" s="61" t="s">
        <v>82</v>
      </c>
      <c r="E2103" s="61">
        <v>5</v>
      </c>
      <c r="F2103" s="62" t="s">
        <v>702</v>
      </c>
      <c r="G2103" s="61"/>
      <c r="H2103" s="63"/>
      <c r="I2103" s="64"/>
    </row>
    <row r="2104" spans="2:9" ht="81" x14ac:dyDescent="0.2">
      <c r="B2104" s="65" t="str">
        <f t="shared" si="41"/>
        <v>2014-081-0</v>
      </c>
      <c r="C2104" s="66">
        <v>2014</v>
      </c>
      <c r="D2104" s="66" t="s">
        <v>88</v>
      </c>
      <c r="E2104" s="66">
        <v>0</v>
      </c>
      <c r="F2104" s="67" t="s">
        <v>415</v>
      </c>
      <c r="G2104" s="66"/>
      <c r="H2104" s="68"/>
      <c r="I2104" s="69"/>
    </row>
    <row r="2105" spans="2:9" x14ac:dyDescent="0.2">
      <c r="B2105" s="54" t="str">
        <f t="shared" si="41"/>
        <v>2014-081-1</v>
      </c>
      <c r="C2105" s="55">
        <v>2014</v>
      </c>
      <c r="D2105" s="55" t="s">
        <v>88</v>
      </c>
      <c r="E2105" s="55">
        <v>1</v>
      </c>
      <c r="F2105" s="57" t="s">
        <v>7</v>
      </c>
      <c r="G2105" s="55"/>
      <c r="H2105" s="58"/>
      <c r="I2105" s="59"/>
    </row>
    <row r="2106" spans="2:9" x14ac:dyDescent="0.2">
      <c r="B2106" s="54" t="str">
        <f t="shared" si="41"/>
        <v>2014-081-2</v>
      </c>
      <c r="C2106" s="55">
        <v>2014</v>
      </c>
      <c r="D2106" s="55" t="s">
        <v>88</v>
      </c>
      <c r="E2106" s="55">
        <v>2</v>
      </c>
      <c r="F2106" s="57" t="s">
        <v>14</v>
      </c>
      <c r="G2106" s="55" t="s">
        <v>2735</v>
      </c>
      <c r="H2106" s="58"/>
      <c r="I2106" s="59"/>
    </row>
    <row r="2107" spans="2:9" x14ac:dyDescent="0.2">
      <c r="B2107" s="54" t="str">
        <f t="shared" ref="B2107:B2170" si="42">C2107&amp;"-"&amp;D2107&amp;"-"&amp;E2107</f>
        <v>2014-081-3</v>
      </c>
      <c r="C2107" s="55">
        <v>2014</v>
      </c>
      <c r="D2107" s="55" t="s">
        <v>88</v>
      </c>
      <c r="E2107" s="55">
        <v>3</v>
      </c>
      <c r="F2107" s="57" t="s">
        <v>18</v>
      </c>
      <c r="G2107" s="55"/>
      <c r="H2107" s="58"/>
      <c r="I2107" s="59"/>
    </row>
    <row r="2108" spans="2:9" x14ac:dyDescent="0.2">
      <c r="B2108" s="54" t="str">
        <f t="shared" si="42"/>
        <v>2014-081-4</v>
      </c>
      <c r="C2108" s="55">
        <v>2014</v>
      </c>
      <c r="D2108" s="55" t="s">
        <v>88</v>
      </c>
      <c r="E2108" s="55">
        <v>4</v>
      </c>
      <c r="F2108" s="57" t="s">
        <v>20</v>
      </c>
      <c r="G2108" s="55"/>
      <c r="H2108" s="58"/>
      <c r="I2108" s="59"/>
    </row>
    <row r="2109" spans="2:9" x14ac:dyDescent="0.2">
      <c r="B2109" s="60" t="str">
        <f t="shared" si="42"/>
        <v>2014-081-5</v>
      </c>
      <c r="C2109" s="61">
        <v>2014</v>
      </c>
      <c r="D2109" s="61" t="s">
        <v>88</v>
      </c>
      <c r="E2109" s="61">
        <v>5</v>
      </c>
      <c r="F2109" s="62" t="s">
        <v>22</v>
      </c>
      <c r="G2109" s="61"/>
      <c r="H2109" s="63"/>
      <c r="I2109" s="64"/>
    </row>
    <row r="2110" spans="2:9" ht="27" x14ac:dyDescent="0.2">
      <c r="B2110" s="65" t="str">
        <f t="shared" si="42"/>
        <v>2014-082-0</v>
      </c>
      <c r="C2110" s="66">
        <v>2014</v>
      </c>
      <c r="D2110" s="66" t="s">
        <v>89</v>
      </c>
      <c r="E2110" s="66">
        <v>0</v>
      </c>
      <c r="F2110" s="67" t="s">
        <v>416</v>
      </c>
      <c r="G2110" s="66"/>
      <c r="H2110" s="68"/>
      <c r="I2110" s="69"/>
    </row>
    <row r="2111" spans="2:9" x14ac:dyDescent="0.2">
      <c r="B2111" s="54" t="str">
        <f t="shared" si="42"/>
        <v>2014-082-1</v>
      </c>
      <c r="C2111" s="55">
        <v>2014</v>
      </c>
      <c r="D2111" s="55" t="s">
        <v>89</v>
      </c>
      <c r="E2111" s="55">
        <v>1</v>
      </c>
      <c r="F2111" s="57" t="s">
        <v>527</v>
      </c>
      <c r="G2111" s="55"/>
      <c r="H2111" s="58"/>
      <c r="I2111" s="59"/>
    </row>
    <row r="2112" spans="2:9" x14ac:dyDescent="0.2">
      <c r="B2112" s="54" t="str">
        <f t="shared" si="42"/>
        <v>2014-082-2</v>
      </c>
      <c r="C2112" s="55">
        <v>2014</v>
      </c>
      <c r="D2112" s="55" t="s">
        <v>89</v>
      </c>
      <c r="E2112" s="55">
        <v>2</v>
      </c>
      <c r="F2112" s="57" t="s">
        <v>1067</v>
      </c>
      <c r="G2112" s="55"/>
      <c r="H2112" s="58"/>
      <c r="I2112" s="59"/>
    </row>
    <row r="2113" spans="2:9" x14ac:dyDescent="0.2">
      <c r="B2113" s="54" t="str">
        <f t="shared" si="42"/>
        <v>2014-082-3</v>
      </c>
      <c r="C2113" s="55">
        <v>2014</v>
      </c>
      <c r="D2113" s="55" t="s">
        <v>89</v>
      </c>
      <c r="E2113" s="55">
        <v>3</v>
      </c>
      <c r="F2113" s="57" t="s">
        <v>854</v>
      </c>
      <c r="G2113" s="55"/>
      <c r="H2113" s="58"/>
      <c r="I2113" s="59"/>
    </row>
    <row r="2114" spans="2:9" x14ac:dyDescent="0.2">
      <c r="B2114" s="54" t="str">
        <f t="shared" si="42"/>
        <v>2014-082-4</v>
      </c>
      <c r="C2114" s="55">
        <v>2014</v>
      </c>
      <c r="D2114" s="55" t="s">
        <v>89</v>
      </c>
      <c r="E2114" s="55">
        <v>4</v>
      </c>
      <c r="F2114" s="57" t="s">
        <v>1176</v>
      </c>
      <c r="G2114" s="55" t="s">
        <v>2735</v>
      </c>
      <c r="H2114" s="58"/>
      <c r="I2114" s="59"/>
    </row>
    <row r="2115" spans="2:9" x14ac:dyDescent="0.2">
      <c r="B2115" s="60" t="str">
        <f t="shared" si="42"/>
        <v>2014-082-5</v>
      </c>
      <c r="C2115" s="61">
        <v>2014</v>
      </c>
      <c r="D2115" s="61" t="s">
        <v>89</v>
      </c>
      <c r="E2115" s="61">
        <v>5</v>
      </c>
      <c r="F2115" s="62" t="s">
        <v>1481</v>
      </c>
      <c r="G2115" s="61"/>
      <c r="H2115" s="63"/>
      <c r="I2115" s="64"/>
    </row>
    <row r="2116" spans="2:9" x14ac:dyDescent="0.2">
      <c r="B2116" s="65" t="str">
        <f t="shared" si="42"/>
        <v>2014-083-0</v>
      </c>
      <c r="C2116" s="66">
        <v>2014</v>
      </c>
      <c r="D2116" s="66" t="s">
        <v>90</v>
      </c>
      <c r="E2116" s="66">
        <v>0</v>
      </c>
      <c r="F2116" s="67" t="s">
        <v>417</v>
      </c>
      <c r="G2116" s="66"/>
      <c r="H2116" s="68"/>
      <c r="I2116" s="69"/>
    </row>
    <row r="2117" spans="2:9" x14ac:dyDescent="0.2">
      <c r="B2117" s="54" t="str">
        <f t="shared" si="42"/>
        <v>2014-083-1</v>
      </c>
      <c r="C2117" s="55">
        <v>2014</v>
      </c>
      <c r="D2117" s="55" t="s">
        <v>90</v>
      </c>
      <c r="E2117" s="55">
        <v>1</v>
      </c>
      <c r="F2117" s="57" t="s">
        <v>745</v>
      </c>
      <c r="G2117" s="55"/>
      <c r="H2117" s="58"/>
      <c r="I2117" s="59"/>
    </row>
    <row r="2118" spans="2:9" x14ac:dyDescent="0.2">
      <c r="B2118" s="54" t="str">
        <f t="shared" si="42"/>
        <v>2014-083-2</v>
      </c>
      <c r="C2118" s="55">
        <v>2014</v>
      </c>
      <c r="D2118" s="55" t="s">
        <v>90</v>
      </c>
      <c r="E2118" s="55">
        <v>2</v>
      </c>
      <c r="F2118" s="57" t="s">
        <v>1068</v>
      </c>
      <c r="G2118" s="55"/>
      <c r="H2118" s="58"/>
      <c r="I2118" s="59"/>
    </row>
    <row r="2119" spans="2:9" x14ac:dyDescent="0.2">
      <c r="B2119" s="54" t="str">
        <f t="shared" si="42"/>
        <v>2014-083-3</v>
      </c>
      <c r="C2119" s="55">
        <v>2014</v>
      </c>
      <c r="D2119" s="55" t="s">
        <v>90</v>
      </c>
      <c r="E2119" s="55">
        <v>3</v>
      </c>
      <c r="F2119" s="57" t="s">
        <v>1382</v>
      </c>
      <c r="G2119" s="55"/>
      <c r="H2119" s="58"/>
      <c r="I2119" s="59"/>
    </row>
    <row r="2120" spans="2:9" x14ac:dyDescent="0.2">
      <c r="B2120" s="54" t="str">
        <f t="shared" si="42"/>
        <v>2014-083-4</v>
      </c>
      <c r="C2120" s="55">
        <v>2014</v>
      </c>
      <c r="D2120" s="55" t="s">
        <v>90</v>
      </c>
      <c r="E2120" s="55">
        <v>4</v>
      </c>
      <c r="F2120" s="57" t="s">
        <v>1684</v>
      </c>
      <c r="G2120" s="55"/>
      <c r="H2120" s="58"/>
      <c r="I2120" s="59"/>
    </row>
    <row r="2121" spans="2:9" x14ac:dyDescent="0.2">
      <c r="B2121" s="60" t="str">
        <f t="shared" si="42"/>
        <v>2014-083-5</v>
      </c>
      <c r="C2121" s="61">
        <v>2014</v>
      </c>
      <c r="D2121" s="61" t="s">
        <v>90</v>
      </c>
      <c r="E2121" s="61">
        <v>5</v>
      </c>
      <c r="F2121" s="62" t="s">
        <v>1978</v>
      </c>
      <c r="G2121" s="61" t="s">
        <v>2735</v>
      </c>
      <c r="H2121" s="63"/>
      <c r="I2121" s="64"/>
    </row>
    <row r="2122" spans="2:9" ht="27" x14ac:dyDescent="0.2">
      <c r="B2122" s="65" t="str">
        <f t="shared" si="42"/>
        <v>2014-084-0</v>
      </c>
      <c r="C2122" s="66">
        <v>2014</v>
      </c>
      <c r="D2122" s="66" t="s">
        <v>91</v>
      </c>
      <c r="E2122" s="66">
        <v>0</v>
      </c>
      <c r="F2122" s="67" t="s">
        <v>418</v>
      </c>
      <c r="G2122" s="66"/>
      <c r="H2122" s="68"/>
      <c r="I2122" s="69"/>
    </row>
    <row r="2123" spans="2:9" x14ac:dyDescent="0.2">
      <c r="B2123" s="54" t="str">
        <f t="shared" si="42"/>
        <v>2014-084-1</v>
      </c>
      <c r="C2123" s="55">
        <v>2014</v>
      </c>
      <c r="D2123" s="55" t="s">
        <v>91</v>
      </c>
      <c r="E2123" s="55">
        <v>1</v>
      </c>
      <c r="F2123" s="57" t="s">
        <v>746</v>
      </c>
      <c r="G2123" s="55"/>
      <c r="H2123" s="58"/>
      <c r="I2123" s="59"/>
    </row>
    <row r="2124" spans="2:9" x14ac:dyDescent="0.2">
      <c r="B2124" s="54" t="str">
        <f t="shared" si="42"/>
        <v>2014-084-2</v>
      </c>
      <c r="C2124" s="55">
        <v>2014</v>
      </c>
      <c r="D2124" s="55" t="s">
        <v>91</v>
      </c>
      <c r="E2124" s="55">
        <v>2</v>
      </c>
      <c r="F2124" s="57" t="s">
        <v>1069</v>
      </c>
      <c r="G2124" s="55" t="s">
        <v>2735</v>
      </c>
      <c r="H2124" s="58"/>
      <c r="I2124" s="59"/>
    </row>
    <row r="2125" spans="2:9" x14ac:dyDescent="0.2">
      <c r="B2125" s="54" t="str">
        <f t="shared" si="42"/>
        <v>2014-084-3</v>
      </c>
      <c r="C2125" s="55">
        <v>2014</v>
      </c>
      <c r="D2125" s="55" t="s">
        <v>91</v>
      </c>
      <c r="E2125" s="55">
        <v>3</v>
      </c>
      <c r="F2125" s="57" t="s">
        <v>1383</v>
      </c>
      <c r="G2125" s="55"/>
      <c r="H2125" s="58"/>
      <c r="I2125" s="59"/>
    </row>
    <row r="2126" spans="2:9" x14ac:dyDescent="0.2">
      <c r="B2126" s="54" t="str">
        <f t="shared" si="42"/>
        <v>2014-084-4</v>
      </c>
      <c r="C2126" s="55">
        <v>2014</v>
      </c>
      <c r="D2126" s="55" t="s">
        <v>91</v>
      </c>
      <c r="E2126" s="55">
        <v>4</v>
      </c>
      <c r="F2126" s="57" t="s">
        <v>1423</v>
      </c>
      <c r="G2126" s="55"/>
      <c r="H2126" s="58"/>
      <c r="I2126" s="59"/>
    </row>
    <row r="2127" spans="2:9" x14ac:dyDescent="0.2">
      <c r="B2127" s="60" t="str">
        <f t="shared" si="42"/>
        <v>2014-084-5</v>
      </c>
      <c r="C2127" s="61">
        <v>2014</v>
      </c>
      <c r="D2127" s="61" t="s">
        <v>91</v>
      </c>
      <c r="E2127" s="61">
        <v>5</v>
      </c>
      <c r="F2127" s="62" t="s">
        <v>1979</v>
      </c>
      <c r="G2127" s="61"/>
      <c r="H2127" s="63"/>
      <c r="I2127" s="64"/>
    </row>
    <row r="2128" spans="2:9" x14ac:dyDescent="0.2">
      <c r="B2128" s="65" t="str">
        <f t="shared" si="42"/>
        <v>2014-085-0</v>
      </c>
      <c r="C2128" s="66">
        <v>2014</v>
      </c>
      <c r="D2128" s="66" t="s">
        <v>92</v>
      </c>
      <c r="E2128" s="66">
        <v>0</v>
      </c>
      <c r="F2128" s="67" t="s">
        <v>419</v>
      </c>
      <c r="G2128" s="66"/>
      <c r="H2128" s="68"/>
      <c r="I2128" s="69"/>
    </row>
    <row r="2129" spans="2:9" x14ac:dyDescent="0.2">
      <c r="B2129" s="54" t="str">
        <f t="shared" si="42"/>
        <v>2014-085-1</v>
      </c>
      <c r="C2129" s="55">
        <v>2014</v>
      </c>
      <c r="D2129" s="55" t="s">
        <v>92</v>
      </c>
      <c r="E2129" s="55">
        <v>1</v>
      </c>
      <c r="F2129" s="57" t="s">
        <v>747</v>
      </c>
      <c r="G2129" s="55"/>
      <c r="H2129" s="58"/>
      <c r="I2129" s="59"/>
    </row>
    <row r="2130" spans="2:9" x14ac:dyDescent="0.2">
      <c r="B2130" s="54" t="str">
        <f t="shared" si="42"/>
        <v>2014-085-2</v>
      </c>
      <c r="C2130" s="55">
        <v>2014</v>
      </c>
      <c r="D2130" s="55" t="s">
        <v>92</v>
      </c>
      <c r="E2130" s="55">
        <v>2</v>
      </c>
      <c r="F2130" s="57" t="s">
        <v>1070</v>
      </c>
      <c r="G2130" s="55"/>
      <c r="H2130" s="58"/>
      <c r="I2130" s="59"/>
    </row>
    <row r="2131" spans="2:9" x14ac:dyDescent="0.2">
      <c r="B2131" s="54" t="str">
        <f t="shared" si="42"/>
        <v>2014-085-3</v>
      </c>
      <c r="C2131" s="55">
        <v>2014</v>
      </c>
      <c r="D2131" s="55" t="s">
        <v>92</v>
      </c>
      <c r="E2131" s="55">
        <v>3</v>
      </c>
      <c r="F2131" s="57" t="s">
        <v>1090</v>
      </c>
      <c r="G2131" s="55"/>
      <c r="H2131" s="58"/>
      <c r="I2131" s="59"/>
    </row>
    <row r="2132" spans="2:9" x14ac:dyDescent="0.2">
      <c r="B2132" s="54" t="str">
        <f t="shared" si="42"/>
        <v>2014-085-4</v>
      </c>
      <c r="C2132" s="55">
        <v>2014</v>
      </c>
      <c r="D2132" s="55" t="s">
        <v>92</v>
      </c>
      <c r="E2132" s="55">
        <v>4</v>
      </c>
      <c r="F2132" s="57" t="s">
        <v>1685</v>
      </c>
      <c r="G2132" s="55"/>
      <c r="H2132" s="58"/>
      <c r="I2132" s="59"/>
    </row>
    <row r="2133" spans="2:9" x14ac:dyDescent="0.2">
      <c r="B2133" s="60" t="str">
        <f t="shared" si="42"/>
        <v>2014-085-5</v>
      </c>
      <c r="C2133" s="61">
        <v>2014</v>
      </c>
      <c r="D2133" s="61" t="s">
        <v>92</v>
      </c>
      <c r="E2133" s="61">
        <v>5</v>
      </c>
      <c r="F2133" s="62" t="s">
        <v>1980</v>
      </c>
      <c r="G2133" s="61" t="s">
        <v>2735</v>
      </c>
      <c r="H2133" s="63"/>
      <c r="I2133" s="64"/>
    </row>
    <row r="2134" spans="2:9" x14ac:dyDescent="0.2">
      <c r="B2134" s="65" t="str">
        <f t="shared" si="42"/>
        <v>2014-086-0</v>
      </c>
      <c r="C2134" s="66">
        <v>2014</v>
      </c>
      <c r="D2134" s="66" t="s">
        <v>93</v>
      </c>
      <c r="E2134" s="66">
        <v>0</v>
      </c>
      <c r="F2134" s="67" t="s">
        <v>420</v>
      </c>
      <c r="G2134" s="66"/>
      <c r="H2134" s="68"/>
      <c r="I2134" s="69"/>
    </row>
    <row r="2135" spans="2:9" x14ac:dyDescent="0.2">
      <c r="B2135" s="54" t="str">
        <f t="shared" si="42"/>
        <v>2014-086-1</v>
      </c>
      <c r="C2135" s="55">
        <v>2014</v>
      </c>
      <c r="D2135" s="55" t="s">
        <v>93</v>
      </c>
      <c r="E2135" s="55">
        <v>1</v>
      </c>
      <c r="F2135" s="57" t="s">
        <v>748</v>
      </c>
      <c r="G2135" s="55"/>
      <c r="H2135" s="58"/>
      <c r="I2135" s="59"/>
    </row>
    <row r="2136" spans="2:9" x14ac:dyDescent="0.2">
      <c r="B2136" s="54" t="str">
        <f t="shared" si="42"/>
        <v>2014-086-2</v>
      </c>
      <c r="C2136" s="55">
        <v>2014</v>
      </c>
      <c r="D2136" s="55" t="s">
        <v>93</v>
      </c>
      <c r="E2136" s="55">
        <v>2</v>
      </c>
      <c r="F2136" s="57" t="s">
        <v>1071</v>
      </c>
      <c r="G2136" s="55" t="s">
        <v>2735</v>
      </c>
      <c r="H2136" s="58"/>
      <c r="I2136" s="59"/>
    </row>
    <row r="2137" spans="2:9" x14ac:dyDescent="0.2">
      <c r="B2137" s="54" t="str">
        <f t="shared" si="42"/>
        <v>2014-086-3</v>
      </c>
      <c r="C2137" s="55">
        <v>2014</v>
      </c>
      <c r="D2137" s="55" t="s">
        <v>93</v>
      </c>
      <c r="E2137" s="55">
        <v>3</v>
      </c>
      <c r="F2137" s="57" t="s">
        <v>643</v>
      </c>
      <c r="G2137" s="55"/>
      <c r="H2137" s="58"/>
      <c r="I2137" s="59"/>
    </row>
    <row r="2138" spans="2:9" x14ac:dyDescent="0.2">
      <c r="B2138" s="54" t="str">
        <f t="shared" si="42"/>
        <v>2014-086-4</v>
      </c>
      <c r="C2138" s="55">
        <v>2014</v>
      </c>
      <c r="D2138" s="55" t="s">
        <v>93</v>
      </c>
      <c r="E2138" s="55">
        <v>4</v>
      </c>
      <c r="F2138" s="57" t="s">
        <v>1686</v>
      </c>
      <c r="G2138" s="55"/>
      <c r="H2138" s="58"/>
      <c r="I2138" s="59"/>
    </row>
    <row r="2139" spans="2:9" x14ac:dyDescent="0.2">
      <c r="B2139" s="60" t="str">
        <f t="shared" si="42"/>
        <v>2014-086-5</v>
      </c>
      <c r="C2139" s="61">
        <v>2014</v>
      </c>
      <c r="D2139" s="61" t="s">
        <v>93</v>
      </c>
      <c r="E2139" s="61">
        <v>5</v>
      </c>
      <c r="F2139" s="62" t="s">
        <v>1981</v>
      </c>
      <c r="G2139" s="61"/>
      <c r="H2139" s="63"/>
      <c r="I2139" s="64"/>
    </row>
    <row r="2140" spans="2:9" ht="40.5" x14ac:dyDescent="0.2">
      <c r="B2140" s="65" t="str">
        <f t="shared" si="42"/>
        <v>2014-087-0</v>
      </c>
      <c r="C2140" s="66">
        <v>2014</v>
      </c>
      <c r="D2140" s="66" t="s">
        <v>94</v>
      </c>
      <c r="E2140" s="66">
        <v>0</v>
      </c>
      <c r="F2140" s="67" t="s">
        <v>421</v>
      </c>
      <c r="G2140" s="66"/>
      <c r="H2140" s="68"/>
      <c r="I2140" s="69"/>
    </row>
    <row r="2141" spans="2:9" x14ac:dyDescent="0.2">
      <c r="B2141" s="54" t="str">
        <f t="shared" si="42"/>
        <v>2014-087-1</v>
      </c>
      <c r="C2141" s="55">
        <v>2014</v>
      </c>
      <c r="D2141" s="55" t="s">
        <v>94</v>
      </c>
      <c r="E2141" s="55">
        <v>1</v>
      </c>
      <c r="F2141" s="57" t="s">
        <v>749</v>
      </c>
      <c r="G2141" s="55"/>
      <c r="H2141" s="58"/>
      <c r="I2141" s="59"/>
    </row>
    <row r="2142" spans="2:9" x14ac:dyDescent="0.2">
      <c r="B2142" s="54" t="str">
        <f t="shared" si="42"/>
        <v>2014-087-2</v>
      </c>
      <c r="C2142" s="55">
        <v>2014</v>
      </c>
      <c r="D2142" s="55" t="s">
        <v>94</v>
      </c>
      <c r="E2142" s="55">
        <v>2</v>
      </c>
      <c r="F2142" s="57" t="s">
        <v>1072</v>
      </c>
      <c r="G2142" s="55"/>
      <c r="H2142" s="58"/>
      <c r="I2142" s="59"/>
    </row>
    <row r="2143" spans="2:9" x14ac:dyDescent="0.2">
      <c r="B2143" s="54" t="str">
        <f t="shared" si="42"/>
        <v>2014-087-3</v>
      </c>
      <c r="C2143" s="55">
        <v>2014</v>
      </c>
      <c r="D2143" s="55" t="s">
        <v>94</v>
      </c>
      <c r="E2143" s="55">
        <v>3</v>
      </c>
      <c r="F2143" s="57" t="s">
        <v>1384</v>
      </c>
      <c r="G2143" s="55"/>
      <c r="H2143" s="58"/>
      <c r="I2143" s="59"/>
    </row>
    <row r="2144" spans="2:9" x14ac:dyDescent="0.2">
      <c r="B2144" s="54" t="str">
        <f t="shared" si="42"/>
        <v>2014-087-4</v>
      </c>
      <c r="C2144" s="55">
        <v>2014</v>
      </c>
      <c r="D2144" s="55" t="s">
        <v>94</v>
      </c>
      <c r="E2144" s="55">
        <v>4</v>
      </c>
      <c r="F2144" s="57" t="s">
        <v>1687</v>
      </c>
      <c r="G2144" s="55" t="s">
        <v>2735</v>
      </c>
      <c r="H2144" s="58"/>
      <c r="I2144" s="59"/>
    </row>
    <row r="2145" spans="2:9" x14ac:dyDescent="0.2">
      <c r="B2145" s="60" t="str">
        <f t="shared" si="42"/>
        <v>2014-087-5</v>
      </c>
      <c r="C2145" s="61">
        <v>2014</v>
      </c>
      <c r="D2145" s="61" t="s">
        <v>94</v>
      </c>
      <c r="E2145" s="61">
        <v>5</v>
      </c>
      <c r="F2145" s="62" t="s">
        <v>1982</v>
      </c>
      <c r="G2145" s="61"/>
      <c r="H2145" s="63"/>
      <c r="I2145" s="64"/>
    </row>
    <row r="2146" spans="2:9" x14ac:dyDescent="0.2">
      <c r="B2146" s="65" t="str">
        <f t="shared" si="42"/>
        <v>2014-088-0</v>
      </c>
      <c r="C2146" s="66">
        <v>2014</v>
      </c>
      <c r="D2146" s="66" t="s">
        <v>95</v>
      </c>
      <c r="E2146" s="66">
        <v>0</v>
      </c>
      <c r="F2146" s="67" t="s">
        <v>422</v>
      </c>
      <c r="G2146" s="66"/>
      <c r="H2146" s="68"/>
      <c r="I2146" s="69"/>
    </row>
    <row r="2147" spans="2:9" x14ac:dyDescent="0.2">
      <c r="B2147" s="54" t="str">
        <f t="shared" si="42"/>
        <v>2014-088-1</v>
      </c>
      <c r="C2147" s="55">
        <v>2014</v>
      </c>
      <c r="D2147" s="55" t="s">
        <v>95</v>
      </c>
      <c r="E2147" s="55">
        <v>1</v>
      </c>
      <c r="F2147" s="57" t="s">
        <v>750</v>
      </c>
      <c r="G2147" s="55" t="s">
        <v>2735</v>
      </c>
      <c r="H2147" s="58"/>
      <c r="I2147" s="59"/>
    </row>
    <row r="2148" spans="2:9" x14ac:dyDescent="0.2">
      <c r="B2148" s="54" t="str">
        <f t="shared" si="42"/>
        <v>2014-088-2</v>
      </c>
      <c r="C2148" s="55">
        <v>2014</v>
      </c>
      <c r="D2148" s="55" t="s">
        <v>95</v>
      </c>
      <c r="E2148" s="55">
        <v>2</v>
      </c>
      <c r="F2148" s="57" t="s">
        <v>1073</v>
      </c>
      <c r="G2148" s="55"/>
      <c r="H2148" s="58"/>
      <c r="I2148" s="59"/>
    </row>
    <row r="2149" spans="2:9" x14ac:dyDescent="0.2">
      <c r="B2149" s="54" t="str">
        <f t="shared" si="42"/>
        <v>2014-088-3</v>
      </c>
      <c r="C2149" s="55">
        <v>2014</v>
      </c>
      <c r="D2149" s="55" t="s">
        <v>95</v>
      </c>
      <c r="E2149" s="55">
        <v>3</v>
      </c>
      <c r="F2149" s="57" t="s">
        <v>1385</v>
      </c>
      <c r="G2149" s="55"/>
      <c r="H2149" s="58"/>
      <c r="I2149" s="59"/>
    </row>
    <row r="2150" spans="2:9" ht="27" x14ac:dyDescent="0.2">
      <c r="B2150" s="54" t="str">
        <f t="shared" si="42"/>
        <v>2014-088-4</v>
      </c>
      <c r="C2150" s="55">
        <v>2014</v>
      </c>
      <c r="D2150" s="55" t="s">
        <v>95</v>
      </c>
      <c r="E2150" s="55">
        <v>4</v>
      </c>
      <c r="F2150" s="57" t="s">
        <v>1688</v>
      </c>
      <c r="G2150" s="55"/>
      <c r="H2150" s="58"/>
      <c r="I2150" s="59"/>
    </row>
    <row r="2151" spans="2:9" ht="27" x14ac:dyDescent="0.2">
      <c r="B2151" s="60" t="str">
        <f t="shared" si="42"/>
        <v>2014-088-5</v>
      </c>
      <c r="C2151" s="61">
        <v>2014</v>
      </c>
      <c r="D2151" s="61" t="s">
        <v>95</v>
      </c>
      <c r="E2151" s="61">
        <v>5</v>
      </c>
      <c r="F2151" s="62" t="s">
        <v>1983</v>
      </c>
      <c r="G2151" s="61"/>
      <c r="H2151" s="63"/>
      <c r="I2151" s="64"/>
    </row>
    <row r="2152" spans="2:9" x14ac:dyDescent="0.2">
      <c r="B2152" s="65" t="str">
        <f t="shared" si="42"/>
        <v>2014-089-0</v>
      </c>
      <c r="C2152" s="66">
        <v>2014</v>
      </c>
      <c r="D2152" s="66" t="s">
        <v>96</v>
      </c>
      <c r="E2152" s="66">
        <v>0</v>
      </c>
      <c r="F2152" s="67" t="s">
        <v>423</v>
      </c>
      <c r="G2152" s="66"/>
      <c r="H2152" s="68"/>
      <c r="I2152" s="69"/>
    </row>
    <row r="2153" spans="2:9" x14ac:dyDescent="0.2">
      <c r="B2153" s="54" t="str">
        <f t="shared" si="42"/>
        <v>2014-089-1</v>
      </c>
      <c r="C2153" s="55">
        <v>2014</v>
      </c>
      <c r="D2153" s="55" t="s">
        <v>96</v>
      </c>
      <c r="E2153" s="55">
        <v>1</v>
      </c>
      <c r="F2153" s="57" t="s">
        <v>751</v>
      </c>
      <c r="G2153" s="55"/>
      <c r="H2153" s="58"/>
      <c r="I2153" s="59"/>
    </row>
    <row r="2154" spans="2:9" x14ac:dyDescent="0.2">
      <c r="B2154" s="54" t="str">
        <f t="shared" si="42"/>
        <v>2014-089-2</v>
      </c>
      <c r="C2154" s="55">
        <v>2014</v>
      </c>
      <c r="D2154" s="55" t="s">
        <v>96</v>
      </c>
      <c r="E2154" s="55">
        <v>2</v>
      </c>
      <c r="F2154" s="57" t="s">
        <v>1074</v>
      </c>
      <c r="G2154" s="55"/>
      <c r="H2154" s="58"/>
      <c r="I2154" s="59"/>
    </row>
    <row r="2155" spans="2:9" x14ac:dyDescent="0.2">
      <c r="B2155" s="54" t="str">
        <f t="shared" si="42"/>
        <v>2014-089-3</v>
      </c>
      <c r="C2155" s="55">
        <v>2014</v>
      </c>
      <c r="D2155" s="55" t="s">
        <v>96</v>
      </c>
      <c r="E2155" s="55">
        <v>3</v>
      </c>
      <c r="F2155" s="57" t="s">
        <v>1386</v>
      </c>
      <c r="G2155" s="55"/>
      <c r="H2155" s="58"/>
      <c r="I2155" s="59"/>
    </row>
    <row r="2156" spans="2:9" x14ac:dyDescent="0.2">
      <c r="B2156" s="54" t="str">
        <f t="shared" si="42"/>
        <v>2014-089-4</v>
      </c>
      <c r="C2156" s="55">
        <v>2014</v>
      </c>
      <c r="D2156" s="55" t="s">
        <v>96</v>
      </c>
      <c r="E2156" s="55">
        <v>4</v>
      </c>
      <c r="F2156" s="57" t="s">
        <v>1689</v>
      </c>
      <c r="G2156" s="55" t="s">
        <v>2735</v>
      </c>
      <c r="H2156" s="58"/>
      <c r="I2156" s="59"/>
    </row>
    <row r="2157" spans="2:9" x14ac:dyDescent="0.2">
      <c r="B2157" s="60" t="str">
        <f t="shared" si="42"/>
        <v>2014-089-5</v>
      </c>
      <c r="C2157" s="61">
        <v>2014</v>
      </c>
      <c r="D2157" s="61" t="s">
        <v>96</v>
      </c>
      <c r="E2157" s="61">
        <v>5</v>
      </c>
      <c r="F2157" s="62" t="s">
        <v>1984</v>
      </c>
      <c r="G2157" s="61"/>
      <c r="H2157" s="63"/>
      <c r="I2157" s="64"/>
    </row>
    <row r="2158" spans="2:9" x14ac:dyDescent="0.2">
      <c r="B2158" s="65" t="str">
        <f t="shared" si="42"/>
        <v>2014-090-0</v>
      </c>
      <c r="C2158" s="66">
        <v>2014</v>
      </c>
      <c r="D2158" s="66" t="s">
        <v>97</v>
      </c>
      <c r="E2158" s="66">
        <v>0</v>
      </c>
      <c r="F2158" s="67" t="s">
        <v>211</v>
      </c>
      <c r="G2158" s="66"/>
      <c r="H2158" s="68"/>
      <c r="I2158" s="69"/>
    </row>
    <row r="2159" spans="2:9" x14ac:dyDescent="0.2">
      <c r="B2159" s="54" t="str">
        <f t="shared" si="42"/>
        <v>2014-090-1</v>
      </c>
      <c r="C2159" s="55">
        <v>2014</v>
      </c>
      <c r="D2159" s="55" t="s">
        <v>97</v>
      </c>
      <c r="E2159" s="55">
        <v>1</v>
      </c>
      <c r="F2159" s="57" t="s">
        <v>752</v>
      </c>
      <c r="G2159" s="55"/>
      <c r="H2159" s="58"/>
      <c r="I2159" s="59"/>
    </row>
    <row r="2160" spans="2:9" x14ac:dyDescent="0.2">
      <c r="B2160" s="54" t="str">
        <f t="shared" si="42"/>
        <v>2014-090-2</v>
      </c>
      <c r="C2160" s="55">
        <v>2014</v>
      </c>
      <c r="D2160" s="55" t="s">
        <v>97</v>
      </c>
      <c r="E2160" s="55">
        <v>2</v>
      </c>
      <c r="F2160" s="57" t="s">
        <v>1075</v>
      </c>
      <c r="G2160" s="55"/>
      <c r="H2160" s="58"/>
      <c r="I2160" s="59"/>
    </row>
    <row r="2161" spans="2:9" x14ac:dyDescent="0.2">
      <c r="B2161" s="54" t="str">
        <f t="shared" si="42"/>
        <v>2014-090-3</v>
      </c>
      <c r="C2161" s="55">
        <v>2014</v>
      </c>
      <c r="D2161" s="55" t="s">
        <v>97</v>
      </c>
      <c r="E2161" s="55">
        <v>3</v>
      </c>
      <c r="F2161" s="57" t="s">
        <v>1387</v>
      </c>
      <c r="G2161" s="55" t="s">
        <v>2735</v>
      </c>
      <c r="H2161" s="58"/>
      <c r="I2161" s="59"/>
    </row>
    <row r="2162" spans="2:9" x14ac:dyDescent="0.2">
      <c r="B2162" s="54" t="str">
        <f t="shared" si="42"/>
        <v>2014-090-4</v>
      </c>
      <c r="C2162" s="55">
        <v>2014</v>
      </c>
      <c r="D2162" s="55" t="s">
        <v>97</v>
      </c>
      <c r="E2162" s="55">
        <v>4</v>
      </c>
      <c r="F2162" s="57" t="s">
        <v>1690</v>
      </c>
      <c r="G2162" s="55"/>
      <c r="H2162" s="58"/>
      <c r="I2162" s="59"/>
    </row>
    <row r="2163" spans="2:9" x14ac:dyDescent="0.2">
      <c r="B2163" s="60" t="str">
        <f t="shared" si="42"/>
        <v>2014-090-5</v>
      </c>
      <c r="C2163" s="61">
        <v>2014</v>
      </c>
      <c r="D2163" s="61" t="s">
        <v>97</v>
      </c>
      <c r="E2163" s="61">
        <v>5</v>
      </c>
      <c r="F2163" s="62" t="s">
        <v>1985</v>
      </c>
      <c r="G2163" s="61"/>
      <c r="H2163" s="63"/>
      <c r="I2163" s="64"/>
    </row>
    <row r="2164" spans="2:9" ht="54" x14ac:dyDescent="0.2">
      <c r="B2164" s="65" t="str">
        <f t="shared" si="42"/>
        <v>2014-091-0</v>
      </c>
      <c r="C2164" s="66">
        <v>2014</v>
      </c>
      <c r="D2164" s="66" t="s">
        <v>98</v>
      </c>
      <c r="E2164" s="66">
        <v>0</v>
      </c>
      <c r="F2164" s="67" t="s">
        <v>424</v>
      </c>
      <c r="G2164" s="66"/>
      <c r="H2164" s="68"/>
      <c r="I2164" s="69"/>
    </row>
    <row r="2165" spans="2:9" x14ac:dyDescent="0.2">
      <c r="B2165" s="54" t="str">
        <f t="shared" si="42"/>
        <v>2014-091-1</v>
      </c>
      <c r="C2165" s="55">
        <v>2014</v>
      </c>
      <c r="D2165" s="55" t="s">
        <v>98</v>
      </c>
      <c r="E2165" s="55">
        <v>1</v>
      </c>
      <c r="F2165" s="57" t="s">
        <v>753</v>
      </c>
      <c r="G2165" s="55"/>
      <c r="H2165" s="58"/>
      <c r="I2165" s="59"/>
    </row>
    <row r="2166" spans="2:9" x14ac:dyDescent="0.2">
      <c r="B2166" s="54" t="str">
        <f t="shared" si="42"/>
        <v>2014-091-2</v>
      </c>
      <c r="C2166" s="55">
        <v>2014</v>
      </c>
      <c r="D2166" s="55" t="s">
        <v>98</v>
      </c>
      <c r="E2166" s="55">
        <v>2</v>
      </c>
      <c r="F2166" s="57" t="s">
        <v>1076</v>
      </c>
      <c r="G2166" s="55"/>
      <c r="H2166" s="58"/>
      <c r="I2166" s="59"/>
    </row>
    <row r="2167" spans="2:9" x14ac:dyDescent="0.2">
      <c r="B2167" s="54" t="str">
        <f t="shared" si="42"/>
        <v>2014-091-3</v>
      </c>
      <c r="C2167" s="55">
        <v>2014</v>
      </c>
      <c r="D2167" s="55" t="s">
        <v>98</v>
      </c>
      <c r="E2167" s="55">
        <v>3</v>
      </c>
      <c r="F2167" s="57" t="s">
        <v>1388</v>
      </c>
      <c r="G2167" s="55" t="s">
        <v>2735</v>
      </c>
      <c r="H2167" s="58"/>
      <c r="I2167" s="59"/>
    </row>
    <row r="2168" spans="2:9" x14ac:dyDescent="0.2">
      <c r="B2168" s="54" t="str">
        <f t="shared" si="42"/>
        <v>2014-091-4</v>
      </c>
      <c r="C2168" s="55">
        <v>2014</v>
      </c>
      <c r="D2168" s="55" t="s">
        <v>98</v>
      </c>
      <c r="E2168" s="55">
        <v>4</v>
      </c>
      <c r="F2168" s="57" t="s">
        <v>1691</v>
      </c>
      <c r="G2168" s="55"/>
      <c r="H2168" s="58"/>
      <c r="I2168" s="59"/>
    </row>
    <row r="2169" spans="2:9" x14ac:dyDescent="0.2">
      <c r="B2169" s="60" t="str">
        <f t="shared" si="42"/>
        <v>2014-091-5</v>
      </c>
      <c r="C2169" s="61">
        <v>2014</v>
      </c>
      <c r="D2169" s="61" t="s">
        <v>98</v>
      </c>
      <c r="E2169" s="61">
        <v>5</v>
      </c>
      <c r="F2169" s="62" t="s">
        <v>1986</v>
      </c>
      <c r="G2169" s="61"/>
      <c r="H2169" s="63"/>
      <c r="I2169" s="64"/>
    </row>
    <row r="2170" spans="2:9" x14ac:dyDescent="0.2">
      <c r="B2170" s="65" t="str">
        <f t="shared" si="42"/>
        <v>2014-092-0</v>
      </c>
      <c r="C2170" s="66">
        <v>2014</v>
      </c>
      <c r="D2170" s="66" t="s">
        <v>99</v>
      </c>
      <c r="E2170" s="66">
        <v>0</v>
      </c>
      <c r="F2170" s="67" t="s">
        <v>425</v>
      </c>
      <c r="G2170" s="66"/>
      <c r="H2170" s="68"/>
      <c r="I2170" s="69"/>
    </row>
    <row r="2171" spans="2:9" x14ac:dyDescent="0.2">
      <c r="B2171" s="54" t="str">
        <f t="shared" ref="B2171:B2223" si="43">C2171&amp;"-"&amp;D2171&amp;"-"&amp;E2171</f>
        <v>2014-092-1</v>
      </c>
      <c r="C2171" s="55">
        <v>2014</v>
      </c>
      <c r="D2171" s="55" t="s">
        <v>99</v>
      </c>
      <c r="E2171" s="55">
        <v>1</v>
      </c>
      <c r="F2171" s="57" t="s">
        <v>754</v>
      </c>
      <c r="G2171" s="55"/>
      <c r="H2171" s="58"/>
      <c r="I2171" s="59"/>
    </row>
    <row r="2172" spans="2:9" x14ac:dyDescent="0.2">
      <c r="B2172" s="54" t="str">
        <f t="shared" si="43"/>
        <v>2014-092-2</v>
      </c>
      <c r="C2172" s="55">
        <v>2014</v>
      </c>
      <c r="D2172" s="55" t="s">
        <v>99</v>
      </c>
      <c r="E2172" s="55">
        <v>2</v>
      </c>
      <c r="F2172" s="57" t="s">
        <v>1077</v>
      </c>
      <c r="G2172" s="55"/>
      <c r="H2172" s="58"/>
      <c r="I2172" s="59"/>
    </row>
    <row r="2173" spans="2:9" x14ac:dyDescent="0.2">
      <c r="B2173" s="54" t="str">
        <f t="shared" si="43"/>
        <v>2014-092-3</v>
      </c>
      <c r="C2173" s="55">
        <v>2014</v>
      </c>
      <c r="D2173" s="55" t="s">
        <v>99</v>
      </c>
      <c r="E2173" s="55">
        <v>3</v>
      </c>
      <c r="F2173" s="57" t="s">
        <v>1389</v>
      </c>
      <c r="G2173" s="55"/>
      <c r="H2173" s="58"/>
      <c r="I2173" s="59"/>
    </row>
    <row r="2174" spans="2:9" x14ac:dyDescent="0.2">
      <c r="B2174" s="54" t="str">
        <f t="shared" si="43"/>
        <v>2014-092-4</v>
      </c>
      <c r="C2174" s="55">
        <v>2014</v>
      </c>
      <c r="D2174" s="55" t="s">
        <v>99</v>
      </c>
      <c r="E2174" s="55">
        <v>4</v>
      </c>
      <c r="F2174" s="57" t="s">
        <v>1692</v>
      </c>
      <c r="G2174" s="55"/>
      <c r="H2174" s="58"/>
      <c r="I2174" s="59"/>
    </row>
    <row r="2175" spans="2:9" x14ac:dyDescent="0.2">
      <c r="B2175" s="60" t="str">
        <f t="shared" si="43"/>
        <v>2014-092-5</v>
      </c>
      <c r="C2175" s="61">
        <v>2014</v>
      </c>
      <c r="D2175" s="61" t="s">
        <v>99</v>
      </c>
      <c r="E2175" s="61">
        <v>5</v>
      </c>
      <c r="F2175" s="62" t="s">
        <v>1987</v>
      </c>
      <c r="G2175" s="61" t="s">
        <v>2735</v>
      </c>
      <c r="H2175" s="63"/>
      <c r="I2175" s="64"/>
    </row>
    <row r="2176" spans="2:9" ht="81" x14ac:dyDescent="0.2">
      <c r="B2176" s="65" t="str">
        <f t="shared" si="43"/>
        <v>2014-093-0</v>
      </c>
      <c r="C2176" s="66">
        <v>2014</v>
      </c>
      <c r="D2176" s="66" t="s">
        <v>100</v>
      </c>
      <c r="E2176" s="66">
        <v>0</v>
      </c>
      <c r="F2176" s="67" t="s">
        <v>426</v>
      </c>
      <c r="G2176" s="66"/>
      <c r="H2176" s="68"/>
      <c r="I2176" s="69"/>
    </row>
    <row r="2177" spans="2:9" x14ac:dyDescent="0.2">
      <c r="B2177" s="54" t="str">
        <f t="shared" si="43"/>
        <v>2014-093-1</v>
      </c>
      <c r="C2177" s="55">
        <v>2014</v>
      </c>
      <c r="D2177" s="55" t="s">
        <v>100</v>
      </c>
      <c r="E2177" s="55">
        <v>1</v>
      </c>
      <c r="F2177" s="57" t="s">
        <v>755</v>
      </c>
      <c r="G2177" s="55"/>
      <c r="H2177" s="58"/>
      <c r="I2177" s="59"/>
    </row>
    <row r="2178" spans="2:9" x14ac:dyDescent="0.2">
      <c r="B2178" s="54" t="str">
        <f t="shared" si="43"/>
        <v>2014-093-2</v>
      </c>
      <c r="C2178" s="55">
        <v>2014</v>
      </c>
      <c r="D2178" s="55" t="s">
        <v>100</v>
      </c>
      <c r="E2178" s="55">
        <v>2</v>
      </c>
      <c r="F2178" s="57" t="s">
        <v>1078</v>
      </c>
      <c r="G2178" s="55"/>
      <c r="H2178" s="58"/>
      <c r="I2178" s="59"/>
    </row>
    <row r="2179" spans="2:9" x14ac:dyDescent="0.2">
      <c r="B2179" s="54" t="str">
        <f t="shared" si="43"/>
        <v>2014-093-3</v>
      </c>
      <c r="C2179" s="55">
        <v>2014</v>
      </c>
      <c r="D2179" s="55" t="s">
        <v>100</v>
      </c>
      <c r="E2179" s="55">
        <v>3</v>
      </c>
      <c r="F2179" s="57" t="s">
        <v>1390</v>
      </c>
      <c r="G2179" s="55" t="s">
        <v>2735</v>
      </c>
      <c r="H2179" s="58"/>
      <c r="I2179" s="59"/>
    </row>
    <row r="2180" spans="2:9" x14ac:dyDescent="0.2">
      <c r="B2180" s="54" t="str">
        <f t="shared" si="43"/>
        <v>2014-093-4</v>
      </c>
      <c r="C2180" s="55">
        <v>2014</v>
      </c>
      <c r="D2180" s="55" t="s">
        <v>100</v>
      </c>
      <c r="E2180" s="55">
        <v>4</v>
      </c>
      <c r="F2180" s="57" t="s">
        <v>1693</v>
      </c>
      <c r="G2180" s="55"/>
      <c r="H2180" s="58"/>
      <c r="I2180" s="59"/>
    </row>
    <row r="2181" spans="2:9" x14ac:dyDescent="0.2">
      <c r="B2181" s="60" t="str">
        <f t="shared" si="43"/>
        <v>2014-093-5</v>
      </c>
      <c r="C2181" s="61">
        <v>2014</v>
      </c>
      <c r="D2181" s="61" t="s">
        <v>100</v>
      </c>
      <c r="E2181" s="61">
        <v>5</v>
      </c>
      <c r="F2181" s="62" t="s">
        <v>1988</v>
      </c>
      <c r="G2181" s="61"/>
      <c r="H2181" s="63"/>
      <c r="I2181" s="64"/>
    </row>
    <row r="2182" spans="2:9" x14ac:dyDescent="0.2">
      <c r="B2182" s="65" t="str">
        <f t="shared" si="43"/>
        <v>2014-094-0</v>
      </c>
      <c r="C2182" s="66">
        <v>2014</v>
      </c>
      <c r="D2182" s="66" t="s">
        <v>101</v>
      </c>
      <c r="E2182" s="66">
        <v>0</v>
      </c>
      <c r="F2182" s="67" t="s">
        <v>427</v>
      </c>
      <c r="G2182" s="66"/>
      <c r="H2182" s="68"/>
      <c r="I2182" s="69"/>
    </row>
    <row r="2183" spans="2:9" x14ac:dyDescent="0.2">
      <c r="B2183" s="54" t="str">
        <f t="shared" si="43"/>
        <v>2014-094-1</v>
      </c>
      <c r="C2183" s="55">
        <v>2014</v>
      </c>
      <c r="D2183" s="55" t="s">
        <v>101</v>
      </c>
      <c r="E2183" s="55">
        <v>1</v>
      </c>
      <c r="F2183" s="57" t="s">
        <v>756</v>
      </c>
      <c r="G2183" s="55"/>
      <c r="H2183" s="58"/>
      <c r="I2183" s="59"/>
    </row>
    <row r="2184" spans="2:9" x14ac:dyDescent="0.2">
      <c r="B2184" s="54" t="str">
        <f t="shared" si="43"/>
        <v>2014-094-2</v>
      </c>
      <c r="C2184" s="55">
        <v>2014</v>
      </c>
      <c r="D2184" s="55" t="s">
        <v>101</v>
      </c>
      <c r="E2184" s="55">
        <v>2</v>
      </c>
      <c r="F2184" s="57" t="s">
        <v>1079</v>
      </c>
      <c r="G2184" s="55"/>
      <c r="H2184" s="58"/>
      <c r="I2184" s="59"/>
    </row>
    <row r="2185" spans="2:9" x14ac:dyDescent="0.2">
      <c r="B2185" s="54" t="str">
        <f t="shared" si="43"/>
        <v>2014-094-3</v>
      </c>
      <c r="C2185" s="55">
        <v>2014</v>
      </c>
      <c r="D2185" s="55" t="s">
        <v>101</v>
      </c>
      <c r="E2185" s="55">
        <v>3</v>
      </c>
      <c r="F2185" s="57" t="s">
        <v>1391</v>
      </c>
      <c r="G2185" s="55"/>
      <c r="H2185" s="58"/>
      <c r="I2185" s="59"/>
    </row>
    <row r="2186" spans="2:9" x14ac:dyDescent="0.2">
      <c r="B2186" s="54" t="str">
        <f t="shared" si="43"/>
        <v>2014-094-4</v>
      </c>
      <c r="C2186" s="55">
        <v>2014</v>
      </c>
      <c r="D2186" s="55" t="s">
        <v>101</v>
      </c>
      <c r="E2186" s="55">
        <v>4</v>
      </c>
      <c r="F2186" s="57" t="s">
        <v>1694</v>
      </c>
      <c r="G2186" s="55"/>
      <c r="H2186" s="58"/>
      <c r="I2186" s="59"/>
    </row>
    <row r="2187" spans="2:9" x14ac:dyDescent="0.2">
      <c r="B2187" s="60" t="str">
        <f t="shared" si="43"/>
        <v>2014-094-5</v>
      </c>
      <c r="C2187" s="61">
        <v>2014</v>
      </c>
      <c r="D2187" s="61" t="s">
        <v>101</v>
      </c>
      <c r="E2187" s="61">
        <v>5</v>
      </c>
      <c r="F2187" s="62" t="s">
        <v>1989</v>
      </c>
      <c r="G2187" s="61" t="s">
        <v>2735</v>
      </c>
      <c r="H2187" s="63"/>
      <c r="I2187" s="64"/>
    </row>
    <row r="2188" spans="2:9" x14ac:dyDescent="0.2">
      <c r="B2188" s="65" t="str">
        <f t="shared" si="43"/>
        <v>2014-095-0</v>
      </c>
      <c r="C2188" s="66">
        <v>2014</v>
      </c>
      <c r="D2188" s="66" t="s">
        <v>102</v>
      </c>
      <c r="E2188" s="66">
        <v>0</v>
      </c>
      <c r="F2188" s="67" t="s">
        <v>428</v>
      </c>
      <c r="G2188" s="66"/>
      <c r="H2188" s="68"/>
      <c r="I2188" s="69"/>
    </row>
    <row r="2189" spans="2:9" x14ac:dyDescent="0.2">
      <c r="B2189" s="54" t="str">
        <f t="shared" si="43"/>
        <v>2014-095-1</v>
      </c>
      <c r="C2189" s="55">
        <v>2014</v>
      </c>
      <c r="D2189" s="55" t="s">
        <v>102</v>
      </c>
      <c r="E2189" s="55">
        <v>1</v>
      </c>
      <c r="F2189" s="57" t="s">
        <v>757</v>
      </c>
      <c r="G2189" s="55" t="s">
        <v>2735</v>
      </c>
      <c r="H2189" s="58"/>
      <c r="I2189" s="59"/>
    </row>
    <row r="2190" spans="2:9" ht="27" x14ac:dyDescent="0.2">
      <c r="B2190" s="54" t="str">
        <f t="shared" si="43"/>
        <v>2014-095-2</v>
      </c>
      <c r="C2190" s="55">
        <v>2014</v>
      </c>
      <c r="D2190" s="55" t="s">
        <v>102</v>
      </c>
      <c r="E2190" s="55">
        <v>2</v>
      </c>
      <c r="F2190" s="57" t="s">
        <v>1080</v>
      </c>
      <c r="G2190" s="55"/>
      <c r="H2190" s="58"/>
      <c r="I2190" s="59"/>
    </row>
    <row r="2191" spans="2:9" x14ac:dyDescent="0.2">
      <c r="B2191" s="54" t="str">
        <f t="shared" si="43"/>
        <v>2014-095-3</v>
      </c>
      <c r="C2191" s="55">
        <v>2014</v>
      </c>
      <c r="D2191" s="55" t="s">
        <v>102</v>
      </c>
      <c r="E2191" s="55">
        <v>3</v>
      </c>
      <c r="F2191" s="57" t="s">
        <v>1392</v>
      </c>
      <c r="G2191" s="55"/>
      <c r="H2191" s="58"/>
      <c r="I2191" s="59"/>
    </row>
    <row r="2192" spans="2:9" x14ac:dyDescent="0.2">
      <c r="B2192" s="54" t="str">
        <f t="shared" si="43"/>
        <v>2014-095-4</v>
      </c>
      <c r="C2192" s="55">
        <v>2014</v>
      </c>
      <c r="D2192" s="55" t="s">
        <v>102</v>
      </c>
      <c r="E2192" s="55">
        <v>4</v>
      </c>
      <c r="F2192" s="57" t="s">
        <v>1695</v>
      </c>
      <c r="G2192" s="55"/>
      <c r="H2192" s="58"/>
      <c r="I2192" s="59"/>
    </row>
    <row r="2193" spans="2:9" x14ac:dyDescent="0.2">
      <c r="B2193" s="60" t="str">
        <f t="shared" si="43"/>
        <v>2014-095-5</v>
      </c>
      <c r="C2193" s="61">
        <v>2014</v>
      </c>
      <c r="D2193" s="61" t="s">
        <v>102</v>
      </c>
      <c r="E2193" s="61">
        <v>5</v>
      </c>
      <c r="F2193" s="62" t="s">
        <v>1990</v>
      </c>
      <c r="G2193" s="61"/>
      <c r="H2193" s="63"/>
      <c r="I2193" s="64"/>
    </row>
    <row r="2194" spans="2:9" x14ac:dyDescent="0.2">
      <c r="B2194" s="65" t="str">
        <f t="shared" si="43"/>
        <v>2014-096-0</v>
      </c>
      <c r="C2194" s="66">
        <v>2014</v>
      </c>
      <c r="D2194" s="66" t="s">
        <v>103</v>
      </c>
      <c r="E2194" s="66">
        <v>0</v>
      </c>
      <c r="F2194" s="67" t="s">
        <v>429</v>
      </c>
      <c r="G2194" s="66"/>
      <c r="H2194" s="68"/>
      <c r="I2194" s="69"/>
    </row>
    <row r="2195" spans="2:9" x14ac:dyDescent="0.2">
      <c r="B2195" s="54" t="str">
        <f t="shared" si="43"/>
        <v>2014-096-1</v>
      </c>
      <c r="C2195" s="55">
        <v>2014</v>
      </c>
      <c r="D2195" s="55" t="s">
        <v>103</v>
      </c>
      <c r="E2195" s="55">
        <v>1</v>
      </c>
      <c r="F2195" s="57" t="s">
        <v>758</v>
      </c>
      <c r="G2195" s="55"/>
      <c r="H2195" s="58"/>
      <c r="I2195" s="59"/>
    </row>
    <row r="2196" spans="2:9" x14ac:dyDescent="0.2">
      <c r="B2196" s="54" t="str">
        <f t="shared" si="43"/>
        <v>2014-096-2</v>
      </c>
      <c r="C2196" s="55">
        <v>2014</v>
      </c>
      <c r="D2196" s="55" t="s">
        <v>103</v>
      </c>
      <c r="E2196" s="55">
        <v>2</v>
      </c>
      <c r="F2196" s="57" t="s">
        <v>1081</v>
      </c>
      <c r="G2196" s="55"/>
      <c r="H2196" s="58"/>
      <c r="I2196" s="59"/>
    </row>
    <row r="2197" spans="2:9" x14ac:dyDescent="0.2">
      <c r="B2197" s="54" t="str">
        <f t="shared" si="43"/>
        <v>2014-096-3</v>
      </c>
      <c r="C2197" s="55">
        <v>2014</v>
      </c>
      <c r="D2197" s="55" t="s">
        <v>103</v>
      </c>
      <c r="E2197" s="55">
        <v>3</v>
      </c>
      <c r="F2197" s="57" t="s">
        <v>1393</v>
      </c>
      <c r="G2197" s="55"/>
      <c r="H2197" s="58"/>
      <c r="I2197" s="59"/>
    </row>
    <row r="2198" spans="2:9" x14ac:dyDescent="0.2">
      <c r="B2198" s="54" t="str">
        <f t="shared" si="43"/>
        <v>2014-096-4</v>
      </c>
      <c r="C2198" s="55">
        <v>2014</v>
      </c>
      <c r="D2198" s="55" t="s">
        <v>103</v>
      </c>
      <c r="E2198" s="55">
        <v>4</v>
      </c>
      <c r="F2198" s="57" t="s">
        <v>1696</v>
      </c>
      <c r="G2198" s="55" t="s">
        <v>2735</v>
      </c>
      <c r="H2198" s="58"/>
      <c r="I2198" s="59"/>
    </row>
    <row r="2199" spans="2:9" x14ac:dyDescent="0.2">
      <c r="B2199" s="60" t="str">
        <f t="shared" si="43"/>
        <v>2014-096-5</v>
      </c>
      <c r="C2199" s="61">
        <v>2014</v>
      </c>
      <c r="D2199" s="61" t="s">
        <v>103</v>
      </c>
      <c r="E2199" s="61">
        <v>5</v>
      </c>
      <c r="F2199" s="62" t="s">
        <v>1991</v>
      </c>
      <c r="G2199" s="61"/>
      <c r="H2199" s="63"/>
      <c r="I2199" s="64"/>
    </row>
    <row r="2200" spans="2:9" ht="27" x14ac:dyDescent="0.2">
      <c r="B2200" s="65" t="str">
        <f t="shared" si="43"/>
        <v>2014-097-0</v>
      </c>
      <c r="C2200" s="66">
        <v>2014</v>
      </c>
      <c r="D2200" s="66" t="s">
        <v>104</v>
      </c>
      <c r="E2200" s="66">
        <v>0</v>
      </c>
      <c r="F2200" s="67" t="s">
        <v>430</v>
      </c>
      <c r="G2200" s="66"/>
      <c r="H2200" s="68"/>
      <c r="I2200" s="69"/>
    </row>
    <row r="2201" spans="2:9" x14ac:dyDescent="0.2">
      <c r="B2201" s="54" t="str">
        <f t="shared" si="43"/>
        <v>2014-097-1</v>
      </c>
      <c r="C2201" s="55">
        <v>2014</v>
      </c>
      <c r="D2201" s="55" t="s">
        <v>104</v>
      </c>
      <c r="E2201" s="55">
        <v>1</v>
      </c>
      <c r="F2201" s="57" t="s">
        <v>759</v>
      </c>
      <c r="G2201" s="55" t="s">
        <v>2735</v>
      </c>
      <c r="H2201" s="58"/>
      <c r="I2201" s="59"/>
    </row>
    <row r="2202" spans="2:9" ht="27" x14ac:dyDescent="0.2">
      <c r="B2202" s="54" t="str">
        <f t="shared" si="43"/>
        <v>2014-097-2</v>
      </c>
      <c r="C2202" s="55">
        <v>2014</v>
      </c>
      <c r="D2202" s="55" t="s">
        <v>104</v>
      </c>
      <c r="E2202" s="55">
        <v>2</v>
      </c>
      <c r="F2202" s="57" t="s">
        <v>1082</v>
      </c>
      <c r="G2202" s="55"/>
      <c r="H2202" s="58"/>
      <c r="I2202" s="59"/>
    </row>
    <row r="2203" spans="2:9" x14ac:dyDescent="0.2">
      <c r="B2203" s="54" t="str">
        <f t="shared" si="43"/>
        <v>2014-097-3</v>
      </c>
      <c r="C2203" s="55">
        <v>2014</v>
      </c>
      <c r="D2203" s="55" t="s">
        <v>104</v>
      </c>
      <c r="E2203" s="55">
        <v>3</v>
      </c>
      <c r="F2203" s="57" t="s">
        <v>1394</v>
      </c>
      <c r="G2203" s="55"/>
      <c r="H2203" s="58"/>
      <c r="I2203" s="59"/>
    </row>
    <row r="2204" spans="2:9" ht="27" x14ac:dyDescent="0.2">
      <c r="B2204" s="54" t="str">
        <f t="shared" si="43"/>
        <v>2014-097-4</v>
      </c>
      <c r="C2204" s="55">
        <v>2014</v>
      </c>
      <c r="D2204" s="55" t="s">
        <v>104</v>
      </c>
      <c r="E2204" s="55">
        <v>4</v>
      </c>
      <c r="F2204" s="57" t="s">
        <v>1697</v>
      </c>
      <c r="G2204" s="55"/>
      <c r="H2204" s="58"/>
      <c r="I2204" s="59"/>
    </row>
    <row r="2205" spans="2:9" x14ac:dyDescent="0.2">
      <c r="B2205" s="60" t="str">
        <f t="shared" si="43"/>
        <v>2014-097-5</v>
      </c>
      <c r="C2205" s="61">
        <v>2014</v>
      </c>
      <c r="D2205" s="61" t="s">
        <v>104</v>
      </c>
      <c r="E2205" s="61">
        <v>5</v>
      </c>
      <c r="F2205" s="62" t="s">
        <v>1992</v>
      </c>
      <c r="G2205" s="61"/>
      <c r="H2205" s="63"/>
      <c r="I2205" s="64"/>
    </row>
    <row r="2206" spans="2:9" x14ac:dyDescent="0.2">
      <c r="B2206" s="65" t="str">
        <f t="shared" si="43"/>
        <v>2014-098-0</v>
      </c>
      <c r="C2206" s="66">
        <v>2014</v>
      </c>
      <c r="D2206" s="66" t="s">
        <v>105</v>
      </c>
      <c r="E2206" s="66">
        <v>0</v>
      </c>
      <c r="F2206" s="67" t="s">
        <v>431</v>
      </c>
      <c r="G2206" s="66"/>
      <c r="H2206" s="68"/>
      <c r="I2206" s="69"/>
    </row>
    <row r="2207" spans="2:9" x14ac:dyDescent="0.2">
      <c r="B2207" s="54" t="str">
        <f t="shared" si="43"/>
        <v>2014-098-1</v>
      </c>
      <c r="C2207" s="55">
        <v>2014</v>
      </c>
      <c r="D2207" s="55" t="s">
        <v>105</v>
      </c>
      <c r="E2207" s="55">
        <v>1</v>
      </c>
      <c r="F2207" s="57" t="s">
        <v>760</v>
      </c>
      <c r="G2207" s="55"/>
      <c r="H2207" s="58"/>
      <c r="I2207" s="59"/>
    </row>
    <row r="2208" spans="2:9" x14ac:dyDescent="0.2">
      <c r="B2208" s="54" t="str">
        <f t="shared" si="43"/>
        <v>2014-098-2</v>
      </c>
      <c r="C2208" s="55">
        <v>2014</v>
      </c>
      <c r="D2208" s="55" t="s">
        <v>105</v>
      </c>
      <c r="E2208" s="55">
        <v>2</v>
      </c>
      <c r="F2208" s="57" t="s">
        <v>1083</v>
      </c>
      <c r="G2208" s="55"/>
      <c r="H2208" s="58"/>
      <c r="I2208" s="59"/>
    </row>
    <row r="2209" spans="2:9" x14ac:dyDescent="0.2">
      <c r="B2209" s="54" t="str">
        <f t="shared" si="43"/>
        <v>2014-098-3</v>
      </c>
      <c r="C2209" s="55">
        <v>2014</v>
      </c>
      <c r="D2209" s="55" t="s">
        <v>105</v>
      </c>
      <c r="E2209" s="55">
        <v>3</v>
      </c>
      <c r="F2209" s="57" t="s">
        <v>1395</v>
      </c>
      <c r="G2209" s="55"/>
      <c r="H2209" s="58"/>
      <c r="I2209" s="59"/>
    </row>
    <row r="2210" spans="2:9" ht="27" x14ac:dyDescent="0.2">
      <c r="B2210" s="54" t="str">
        <f t="shared" si="43"/>
        <v>2014-098-4</v>
      </c>
      <c r="C2210" s="55">
        <v>2014</v>
      </c>
      <c r="D2210" s="55" t="s">
        <v>105</v>
      </c>
      <c r="E2210" s="55">
        <v>4</v>
      </c>
      <c r="F2210" s="57" t="s">
        <v>1698</v>
      </c>
      <c r="G2210" s="55"/>
      <c r="H2210" s="58"/>
      <c r="I2210" s="59"/>
    </row>
    <row r="2211" spans="2:9" ht="27" x14ac:dyDescent="0.2">
      <c r="B2211" s="60" t="str">
        <f t="shared" si="43"/>
        <v>2014-098-5</v>
      </c>
      <c r="C2211" s="61">
        <v>2014</v>
      </c>
      <c r="D2211" s="61" t="s">
        <v>105</v>
      </c>
      <c r="E2211" s="61">
        <v>5</v>
      </c>
      <c r="F2211" s="62" t="s">
        <v>1993</v>
      </c>
      <c r="G2211" s="61" t="s">
        <v>2735</v>
      </c>
      <c r="H2211" s="63"/>
      <c r="I2211" s="64"/>
    </row>
    <row r="2212" spans="2:9" x14ac:dyDescent="0.2">
      <c r="B2212" s="65" t="str">
        <f t="shared" si="43"/>
        <v>2014-099-0</v>
      </c>
      <c r="C2212" s="66">
        <v>2014</v>
      </c>
      <c r="D2212" s="66" t="s">
        <v>106</v>
      </c>
      <c r="E2212" s="66">
        <v>0</v>
      </c>
      <c r="F2212" s="67" t="s">
        <v>432</v>
      </c>
      <c r="G2212" s="66"/>
      <c r="H2212" s="68"/>
      <c r="I2212" s="69"/>
    </row>
    <row r="2213" spans="2:9" x14ac:dyDescent="0.2">
      <c r="B2213" s="54" t="str">
        <f t="shared" si="43"/>
        <v>2014-099-1</v>
      </c>
      <c r="C2213" s="55">
        <v>2014</v>
      </c>
      <c r="D2213" s="55" t="s">
        <v>106</v>
      </c>
      <c r="E2213" s="55">
        <v>1</v>
      </c>
      <c r="F2213" s="57" t="s">
        <v>761</v>
      </c>
      <c r="G2213" s="55"/>
      <c r="H2213" s="58"/>
      <c r="I2213" s="59"/>
    </row>
    <row r="2214" spans="2:9" x14ac:dyDescent="0.2">
      <c r="B2214" s="54" t="str">
        <f t="shared" si="43"/>
        <v>2014-099-2</v>
      </c>
      <c r="C2214" s="55">
        <v>2014</v>
      </c>
      <c r="D2214" s="55" t="s">
        <v>106</v>
      </c>
      <c r="E2214" s="55">
        <v>2</v>
      </c>
      <c r="F2214" s="57" t="s">
        <v>1084</v>
      </c>
      <c r="G2214" s="55"/>
      <c r="H2214" s="58"/>
      <c r="I2214" s="59"/>
    </row>
    <row r="2215" spans="2:9" x14ac:dyDescent="0.2">
      <c r="B2215" s="54" t="str">
        <f t="shared" si="43"/>
        <v>2014-099-3</v>
      </c>
      <c r="C2215" s="55">
        <v>2014</v>
      </c>
      <c r="D2215" s="55" t="s">
        <v>106</v>
      </c>
      <c r="E2215" s="55">
        <v>3</v>
      </c>
      <c r="F2215" s="57" t="s">
        <v>1396</v>
      </c>
      <c r="G2215" s="55"/>
      <c r="H2215" s="58"/>
      <c r="I2215" s="59"/>
    </row>
    <row r="2216" spans="2:9" x14ac:dyDescent="0.2">
      <c r="B2216" s="54" t="str">
        <f t="shared" si="43"/>
        <v>2014-099-4</v>
      </c>
      <c r="C2216" s="55">
        <v>2014</v>
      </c>
      <c r="D2216" s="55" t="s">
        <v>106</v>
      </c>
      <c r="E2216" s="55">
        <v>4</v>
      </c>
      <c r="F2216" s="57" t="s">
        <v>1699</v>
      </c>
      <c r="G2216" s="55" t="s">
        <v>2735</v>
      </c>
      <c r="H2216" s="58"/>
      <c r="I2216" s="59"/>
    </row>
    <row r="2217" spans="2:9" x14ac:dyDescent="0.2">
      <c r="B2217" s="60" t="str">
        <f t="shared" si="43"/>
        <v>2014-099-5</v>
      </c>
      <c r="C2217" s="61">
        <v>2014</v>
      </c>
      <c r="D2217" s="61" t="s">
        <v>106</v>
      </c>
      <c r="E2217" s="61">
        <v>5</v>
      </c>
      <c r="F2217" s="62" t="s">
        <v>1994</v>
      </c>
      <c r="G2217" s="61"/>
      <c r="H2217" s="63"/>
      <c r="I2217" s="64"/>
    </row>
    <row r="2218" spans="2:9" x14ac:dyDescent="0.2">
      <c r="B2218" s="65" t="str">
        <f t="shared" si="43"/>
        <v>2014-100-0</v>
      </c>
      <c r="C2218" s="66">
        <v>2014</v>
      </c>
      <c r="D2218" s="66" t="s">
        <v>107</v>
      </c>
      <c r="E2218" s="66">
        <v>0</v>
      </c>
      <c r="F2218" s="67" t="s">
        <v>433</v>
      </c>
      <c r="G2218" s="66"/>
      <c r="H2218" s="68"/>
      <c r="I2218" s="69"/>
    </row>
    <row r="2219" spans="2:9" x14ac:dyDescent="0.2">
      <c r="B2219" s="54" t="str">
        <f t="shared" si="43"/>
        <v>2014-100-1</v>
      </c>
      <c r="C2219" s="55">
        <v>2014</v>
      </c>
      <c r="D2219" s="55" t="s">
        <v>107</v>
      </c>
      <c r="E2219" s="55">
        <v>1</v>
      </c>
      <c r="F2219" s="57" t="s">
        <v>762</v>
      </c>
      <c r="G2219" s="55"/>
      <c r="H2219" s="58"/>
      <c r="I2219" s="59"/>
    </row>
    <row r="2220" spans="2:9" ht="27" x14ac:dyDescent="0.2">
      <c r="B2220" s="54" t="str">
        <f t="shared" si="43"/>
        <v>2014-100-2</v>
      </c>
      <c r="C2220" s="55">
        <v>2014</v>
      </c>
      <c r="D2220" s="55" t="s">
        <v>107</v>
      </c>
      <c r="E2220" s="55">
        <v>2</v>
      </c>
      <c r="F2220" s="57" t="s">
        <v>1085</v>
      </c>
      <c r="G2220" s="55" t="s">
        <v>2735</v>
      </c>
      <c r="H2220" s="58"/>
      <c r="I2220" s="59"/>
    </row>
    <row r="2221" spans="2:9" ht="27" x14ac:dyDescent="0.2">
      <c r="B2221" s="54" t="str">
        <f t="shared" si="43"/>
        <v>2014-100-3</v>
      </c>
      <c r="C2221" s="55">
        <v>2014</v>
      </c>
      <c r="D2221" s="55" t="s">
        <v>107</v>
      </c>
      <c r="E2221" s="55">
        <v>3</v>
      </c>
      <c r="F2221" s="57" t="s">
        <v>1397</v>
      </c>
      <c r="G2221" s="55"/>
      <c r="H2221" s="58"/>
      <c r="I2221" s="59"/>
    </row>
    <row r="2222" spans="2:9" x14ac:dyDescent="0.2">
      <c r="B2222" s="54" t="str">
        <f t="shared" si="43"/>
        <v>2014-100-4</v>
      </c>
      <c r="C2222" s="55">
        <v>2014</v>
      </c>
      <c r="D2222" s="55" t="s">
        <v>107</v>
      </c>
      <c r="E2222" s="55">
        <v>4</v>
      </c>
      <c r="F2222" s="57" t="s">
        <v>1700</v>
      </c>
      <c r="G2222" s="55"/>
      <c r="H2222" s="58"/>
      <c r="I2222" s="59"/>
    </row>
    <row r="2223" spans="2:9" ht="27.75" thickBot="1" x14ac:dyDescent="0.25">
      <c r="B2223" s="70" t="str">
        <f t="shared" si="43"/>
        <v>2014-100-5</v>
      </c>
      <c r="C2223" s="71">
        <v>2014</v>
      </c>
      <c r="D2223" s="71" t="s">
        <v>107</v>
      </c>
      <c r="E2223" s="71">
        <v>5</v>
      </c>
      <c r="F2223" s="72" t="s">
        <v>1995</v>
      </c>
      <c r="G2223" s="71"/>
      <c r="H2223" s="73"/>
      <c r="I2223" s="74"/>
    </row>
    <row r="2224" spans="2:9" ht="27" x14ac:dyDescent="0.2">
      <c r="B2224" s="48" t="str">
        <f t="shared" ref="B2224:B2272" si="44">C2224&amp;"-"&amp;D2224&amp;"-"&amp;E2224</f>
        <v>2013-076-0</v>
      </c>
      <c r="C2224" s="49">
        <v>2013</v>
      </c>
      <c r="D2224" s="49" t="s">
        <v>78</v>
      </c>
      <c r="E2224" s="49">
        <v>0</v>
      </c>
      <c r="F2224" s="51" t="s">
        <v>434</v>
      </c>
      <c r="G2224" s="49"/>
      <c r="H2224" s="52"/>
      <c r="I2224" s="53"/>
    </row>
    <row r="2225" spans="2:9" x14ac:dyDescent="0.2">
      <c r="B2225" s="54" t="str">
        <f t="shared" si="44"/>
        <v>2013-076-1</v>
      </c>
      <c r="C2225" s="55">
        <v>2013</v>
      </c>
      <c r="D2225" s="55" t="s">
        <v>78</v>
      </c>
      <c r="E2225" s="55">
        <v>1</v>
      </c>
      <c r="F2225" s="57" t="s">
        <v>763</v>
      </c>
      <c r="G2225" s="55"/>
      <c r="H2225" s="58"/>
      <c r="I2225" s="59"/>
    </row>
    <row r="2226" spans="2:9" x14ac:dyDescent="0.2">
      <c r="B2226" s="54" t="str">
        <f t="shared" si="44"/>
        <v>2013-076-2</v>
      </c>
      <c r="C2226" s="55">
        <v>2013</v>
      </c>
      <c r="D2226" s="55" t="s">
        <v>78</v>
      </c>
      <c r="E2226" s="55">
        <v>2</v>
      </c>
      <c r="F2226" s="57" t="s">
        <v>1086</v>
      </c>
      <c r="G2226" s="55"/>
      <c r="H2226" s="58"/>
      <c r="I2226" s="59"/>
    </row>
    <row r="2227" spans="2:9" x14ac:dyDescent="0.2">
      <c r="B2227" s="54" t="str">
        <f t="shared" si="44"/>
        <v>2013-076-3</v>
      </c>
      <c r="C2227" s="55">
        <v>2013</v>
      </c>
      <c r="D2227" s="55" t="s">
        <v>78</v>
      </c>
      <c r="E2227" s="55">
        <v>3</v>
      </c>
      <c r="F2227" s="57" t="s">
        <v>1398</v>
      </c>
      <c r="G2227" s="55"/>
      <c r="H2227" s="58"/>
      <c r="I2227" s="59"/>
    </row>
    <row r="2228" spans="2:9" x14ac:dyDescent="0.2">
      <c r="B2228" s="54" t="str">
        <f t="shared" si="44"/>
        <v>2013-076-4</v>
      </c>
      <c r="C2228" s="55">
        <v>2013</v>
      </c>
      <c r="D2228" s="55" t="s">
        <v>78</v>
      </c>
      <c r="E2228" s="55">
        <v>4</v>
      </c>
      <c r="F2228" s="57" t="s">
        <v>1701</v>
      </c>
      <c r="G2228" s="55"/>
      <c r="H2228" s="58"/>
      <c r="I2228" s="59"/>
    </row>
    <row r="2229" spans="2:9" x14ac:dyDescent="0.2">
      <c r="B2229" s="60" t="str">
        <f t="shared" si="44"/>
        <v>2013-076-5</v>
      </c>
      <c r="C2229" s="61">
        <v>2013</v>
      </c>
      <c r="D2229" s="61" t="s">
        <v>78</v>
      </c>
      <c r="E2229" s="61">
        <v>5</v>
      </c>
      <c r="F2229" s="62" t="s">
        <v>1996</v>
      </c>
      <c r="G2229" s="61" t="s">
        <v>2735</v>
      </c>
      <c r="H2229" s="63"/>
      <c r="I2229" s="64"/>
    </row>
    <row r="2230" spans="2:9" x14ac:dyDescent="0.2">
      <c r="B2230" s="65" t="str">
        <f t="shared" si="44"/>
        <v>2013-077-0</v>
      </c>
      <c r="C2230" s="66">
        <v>2013</v>
      </c>
      <c r="D2230" s="66" t="s">
        <v>79</v>
      </c>
      <c r="E2230" s="66">
        <v>0</v>
      </c>
      <c r="F2230" s="67" t="s">
        <v>435</v>
      </c>
      <c r="G2230" s="66"/>
      <c r="H2230" s="68"/>
      <c r="I2230" s="69"/>
    </row>
    <row r="2231" spans="2:9" x14ac:dyDescent="0.2">
      <c r="B2231" s="54" t="str">
        <f t="shared" si="44"/>
        <v>2013-077-1</v>
      </c>
      <c r="C2231" s="55">
        <v>2013</v>
      </c>
      <c r="D2231" s="55" t="s">
        <v>79</v>
      </c>
      <c r="E2231" s="55">
        <v>1</v>
      </c>
      <c r="F2231" s="57" t="s">
        <v>764</v>
      </c>
      <c r="G2231" s="55"/>
      <c r="H2231" s="58"/>
      <c r="I2231" s="59"/>
    </row>
    <row r="2232" spans="2:9" x14ac:dyDescent="0.2">
      <c r="B2232" s="54" t="str">
        <f t="shared" si="44"/>
        <v>2013-077-2</v>
      </c>
      <c r="C2232" s="55">
        <v>2013</v>
      </c>
      <c r="D2232" s="55" t="s">
        <v>79</v>
      </c>
      <c r="E2232" s="55">
        <v>2</v>
      </c>
      <c r="F2232" s="57" t="s">
        <v>1087</v>
      </c>
      <c r="G2232" s="55"/>
      <c r="H2232" s="58"/>
      <c r="I2232" s="59"/>
    </row>
    <row r="2233" spans="2:9" x14ac:dyDescent="0.2">
      <c r="B2233" s="54" t="str">
        <f t="shared" si="44"/>
        <v>2013-077-3</v>
      </c>
      <c r="C2233" s="55">
        <v>2013</v>
      </c>
      <c r="D2233" s="55" t="s">
        <v>79</v>
      </c>
      <c r="E2233" s="55">
        <v>3</v>
      </c>
      <c r="F2233" s="57" t="s">
        <v>1399</v>
      </c>
      <c r="G2233" s="55"/>
      <c r="H2233" s="58"/>
      <c r="I2233" s="59"/>
    </row>
    <row r="2234" spans="2:9" x14ac:dyDescent="0.2">
      <c r="B2234" s="54" t="str">
        <f t="shared" si="44"/>
        <v>2013-077-4</v>
      </c>
      <c r="C2234" s="55">
        <v>2013</v>
      </c>
      <c r="D2234" s="55" t="s">
        <v>79</v>
      </c>
      <c r="E2234" s="55">
        <v>4</v>
      </c>
      <c r="F2234" s="57" t="s">
        <v>1702</v>
      </c>
      <c r="G2234" s="55"/>
      <c r="H2234" s="58"/>
      <c r="I2234" s="59"/>
    </row>
    <row r="2235" spans="2:9" x14ac:dyDescent="0.2">
      <c r="B2235" s="60" t="str">
        <f t="shared" si="44"/>
        <v>2013-077-5</v>
      </c>
      <c r="C2235" s="61">
        <v>2013</v>
      </c>
      <c r="D2235" s="61" t="s">
        <v>79</v>
      </c>
      <c r="E2235" s="61">
        <v>5</v>
      </c>
      <c r="F2235" s="62" t="s">
        <v>1997</v>
      </c>
      <c r="G2235" s="61" t="s">
        <v>2735</v>
      </c>
      <c r="H2235" s="63"/>
      <c r="I2235" s="64"/>
    </row>
    <row r="2236" spans="2:9" x14ac:dyDescent="0.2">
      <c r="B2236" s="65" t="str">
        <f t="shared" si="44"/>
        <v>2013-078-0</v>
      </c>
      <c r="C2236" s="66">
        <v>2013</v>
      </c>
      <c r="D2236" s="66" t="s">
        <v>80</v>
      </c>
      <c r="E2236" s="66">
        <v>0</v>
      </c>
      <c r="F2236" s="67" t="s">
        <v>436</v>
      </c>
      <c r="G2236" s="66"/>
      <c r="H2236" s="68"/>
      <c r="I2236" s="69"/>
    </row>
    <row r="2237" spans="2:9" ht="27" x14ac:dyDescent="0.2">
      <c r="B2237" s="54" t="str">
        <f t="shared" si="44"/>
        <v>2013-078-1</v>
      </c>
      <c r="C2237" s="55">
        <v>2013</v>
      </c>
      <c r="D2237" s="55" t="s">
        <v>80</v>
      </c>
      <c r="E2237" s="55">
        <v>1</v>
      </c>
      <c r="F2237" s="57" t="s">
        <v>765</v>
      </c>
      <c r="G2237" s="55" t="s">
        <v>2735</v>
      </c>
      <c r="H2237" s="58"/>
      <c r="I2237" s="59"/>
    </row>
    <row r="2238" spans="2:9" x14ac:dyDescent="0.2">
      <c r="B2238" s="54" t="str">
        <f t="shared" si="44"/>
        <v>2013-078-2</v>
      </c>
      <c r="C2238" s="55">
        <v>2013</v>
      </c>
      <c r="D2238" s="55" t="s">
        <v>80</v>
      </c>
      <c r="E2238" s="55">
        <v>2</v>
      </c>
      <c r="F2238" s="57" t="s">
        <v>1088</v>
      </c>
      <c r="G2238" s="55"/>
      <c r="H2238" s="58"/>
      <c r="I2238" s="59"/>
    </row>
    <row r="2239" spans="2:9" x14ac:dyDescent="0.2">
      <c r="B2239" s="54" t="str">
        <f t="shared" si="44"/>
        <v>2013-078-3</v>
      </c>
      <c r="C2239" s="55">
        <v>2013</v>
      </c>
      <c r="D2239" s="55" t="s">
        <v>80</v>
      </c>
      <c r="E2239" s="55">
        <v>3</v>
      </c>
      <c r="F2239" s="57" t="s">
        <v>658</v>
      </c>
      <c r="G2239" s="55"/>
      <c r="H2239" s="58"/>
      <c r="I2239" s="59"/>
    </row>
    <row r="2240" spans="2:9" ht="27" x14ac:dyDescent="0.2">
      <c r="B2240" s="54" t="str">
        <f t="shared" si="44"/>
        <v>2013-078-4</v>
      </c>
      <c r="C2240" s="55">
        <v>2013</v>
      </c>
      <c r="D2240" s="55" t="s">
        <v>80</v>
      </c>
      <c r="E2240" s="55">
        <v>4</v>
      </c>
      <c r="F2240" s="57" t="s">
        <v>1703</v>
      </c>
      <c r="G2240" s="55"/>
      <c r="H2240" s="58"/>
      <c r="I2240" s="59"/>
    </row>
    <row r="2241" spans="2:9" ht="27" x14ac:dyDescent="0.2">
      <c r="B2241" s="60" t="str">
        <f t="shared" si="44"/>
        <v>2013-078-5</v>
      </c>
      <c r="C2241" s="61">
        <v>2013</v>
      </c>
      <c r="D2241" s="61" t="s">
        <v>80</v>
      </c>
      <c r="E2241" s="61">
        <v>5</v>
      </c>
      <c r="F2241" s="62" t="s">
        <v>982</v>
      </c>
      <c r="G2241" s="61"/>
      <c r="H2241" s="63"/>
      <c r="I2241" s="64"/>
    </row>
    <row r="2242" spans="2:9" x14ac:dyDescent="0.2">
      <c r="B2242" s="65" t="str">
        <f t="shared" si="44"/>
        <v>2013-079-0</v>
      </c>
      <c r="C2242" s="66">
        <v>2013</v>
      </c>
      <c r="D2242" s="66" t="s">
        <v>81</v>
      </c>
      <c r="E2242" s="66">
        <v>0</v>
      </c>
      <c r="F2242" s="67" t="s">
        <v>317</v>
      </c>
      <c r="G2242" s="66"/>
      <c r="H2242" s="68"/>
      <c r="I2242" s="69"/>
    </row>
    <row r="2243" spans="2:9" x14ac:dyDescent="0.2">
      <c r="B2243" s="54" t="str">
        <f t="shared" si="44"/>
        <v>2013-079-1</v>
      </c>
      <c r="C2243" s="55">
        <v>2013</v>
      </c>
      <c r="D2243" s="55" t="s">
        <v>81</v>
      </c>
      <c r="E2243" s="55">
        <v>1</v>
      </c>
      <c r="F2243" s="57" t="s">
        <v>766</v>
      </c>
      <c r="G2243" s="55"/>
      <c r="H2243" s="58"/>
      <c r="I2243" s="59"/>
    </row>
    <row r="2244" spans="2:9" x14ac:dyDescent="0.2">
      <c r="B2244" s="54" t="str">
        <f t="shared" si="44"/>
        <v>2013-079-2</v>
      </c>
      <c r="C2244" s="55">
        <v>2013</v>
      </c>
      <c r="D2244" s="55" t="s">
        <v>81</v>
      </c>
      <c r="E2244" s="55">
        <v>2</v>
      </c>
      <c r="F2244" s="57" t="s">
        <v>1089</v>
      </c>
      <c r="G2244" s="55"/>
      <c r="H2244" s="58"/>
      <c r="I2244" s="59"/>
    </row>
    <row r="2245" spans="2:9" ht="27" x14ac:dyDescent="0.2">
      <c r="B2245" s="54" t="str">
        <f t="shared" si="44"/>
        <v>2013-079-3</v>
      </c>
      <c r="C2245" s="55">
        <v>2013</v>
      </c>
      <c r="D2245" s="55" t="s">
        <v>81</v>
      </c>
      <c r="E2245" s="55">
        <v>3</v>
      </c>
      <c r="F2245" s="57" t="s">
        <v>593</v>
      </c>
      <c r="G2245" s="55" t="s">
        <v>2735</v>
      </c>
      <c r="H2245" s="58"/>
      <c r="I2245" s="59"/>
    </row>
    <row r="2246" spans="2:9" x14ac:dyDescent="0.2">
      <c r="B2246" s="54" t="str">
        <f t="shared" si="44"/>
        <v>2013-079-4</v>
      </c>
      <c r="C2246" s="55">
        <v>2013</v>
      </c>
      <c r="D2246" s="55" t="s">
        <v>81</v>
      </c>
      <c r="E2246" s="55">
        <v>4</v>
      </c>
      <c r="F2246" s="57" t="s">
        <v>1704</v>
      </c>
      <c r="G2246" s="55"/>
      <c r="H2246" s="58"/>
      <c r="I2246" s="59"/>
    </row>
    <row r="2247" spans="2:9" x14ac:dyDescent="0.2">
      <c r="B2247" s="60" t="str">
        <f t="shared" si="44"/>
        <v>2013-079-5</v>
      </c>
      <c r="C2247" s="61">
        <v>2013</v>
      </c>
      <c r="D2247" s="61" t="s">
        <v>81</v>
      </c>
      <c r="E2247" s="61">
        <v>5</v>
      </c>
      <c r="F2247" s="62" t="s">
        <v>980</v>
      </c>
      <c r="G2247" s="61"/>
      <c r="H2247" s="63"/>
      <c r="I2247" s="64"/>
    </row>
    <row r="2248" spans="2:9" x14ac:dyDescent="0.2">
      <c r="B2248" s="65" t="str">
        <f t="shared" si="44"/>
        <v>2013-080-0</v>
      </c>
      <c r="C2248" s="66">
        <v>2013</v>
      </c>
      <c r="D2248" s="66" t="s">
        <v>82</v>
      </c>
      <c r="E2248" s="66">
        <v>0</v>
      </c>
      <c r="F2248" s="67" t="s">
        <v>437</v>
      </c>
      <c r="G2248" s="66"/>
      <c r="H2248" s="68"/>
      <c r="I2248" s="69"/>
    </row>
    <row r="2249" spans="2:9" x14ac:dyDescent="0.2">
      <c r="B2249" s="54" t="str">
        <f t="shared" si="44"/>
        <v>2013-080-1</v>
      </c>
      <c r="C2249" s="55">
        <v>2013</v>
      </c>
      <c r="D2249" s="55" t="s">
        <v>82</v>
      </c>
      <c r="E2249" s="55">
        <v>1</v>
      </c>
      <c r="F2249" s="57" t="s">
        <v>767</v>
      </c>
      <c r="G2249" s="55" t="s">
        <v>2735</v>
      </c>
      <c r="H2249" s="58"/>
      <c r="I2249" s="59"/>
    </row>
    <row r="2250" spans="2:9" x14ac:dyDescent="0.2">
      <c r="B2250" s="54" t="str">
        <f t="shared" si="44"/>
        <v>2013-080-2</v>
      </c>
      <c r="C2250" s="55">
        <v>2013</v>
      </c>
      <c r="D2250" s="55" t="s">
        <v>82</v>
      </c>
      <c r="E2250" s="55">
        <v>2</v>
      </c>
      <c r="F2250" s="57" t="s">
        <v>1090</v>
      </c>
      <c r="G2250" s="55"/>
      <c r="H2250" s="58"/>
      <c r="I2250" s="59"/>
    </row>
    <row r="2251" spans="2:9" x14ac:dyDescent="0.2">
      <c r="B2251" s="54" t="str">
        <f t="shared" si="44"/>
        <v>2013-080-3</v>
      </c>
      <c r="C2251" s="55">
        <v>2013</v>
      </c>
      <c r="D2251" s="55" t="s">
        <v>82</v>
      </c>
      <c r="E2251" s="55">
        <v>3</v>
      </c>
      <c r="F2251" s="57" t="s">
        <v>1400</v>
      </c>
      <c r="G2251" s="55"/>
      <c r="H2251" s="58"/>
      <c r="I2251" s="59"/>
    </row>
    <row r="2252" spans="2:9" x14ac:dyDescent="0.2">
      <c r="B2252" s="54" t="str">
        <f t="shared" si="44"/>
        <v>2013-080-4</v>
      </c>
      <c r="C2252" s="55">
        <v>2013</v>
      </c>
      <c r="D2252" s="55" t="s">
        <v>82</v>
      </c>
      <c r="E2252" s="55">
        <v>4</v>
      </c>
      <c r="F2252" s="57" t="s">
        <v>1705</v>
      </c>
      <c r="G2252" s="55"/>
      <c r="H2252" s="58"/>
      <c r="I2252" s="59"/>
    </row>
    <row r="2253" spans="2:9" x14ac:dyDescent="0.2">
      <c r="B2253" s="60" t="str">
        <f t="shared" si="44"/>
        <v>2013-080-5</v>
      </c>
      <c r="C2253" s="61">
        <v>2013</v>
      </c>
      <c r="D2253" s="61" t="s">
        <v>82</v>
      </c>
      <c r="E2253" s="61">
        <v>5</v>
      </c>
      <c r="F2253" s="62" t="s">
        <v>1998</v>
      </c>
      <c r="G2253" s="61"/>
      <c r="H2253" s="63"/>
      <c r="I2253" s="64"/>
    </row>
    <row r="2254" spans="2:9" ht="40.5" x14ac:dyDescent="0.2">
      <c r="B2254" s="65" t="str">
        <f t="shared" si="44"/>
        <v>2013-081-0</v>
      </c>
      <c r="C2254" s="66">
        <v>2013</v>
      </c>
      <c r="D2254" s="66" t="s">
        <v>88</v>
      </c>
      <c r="E2254" s="66">
        <v>0</v>
      </c>
      <c r="F2254" s="67" t="s">
        <v>438</v>
      </c>
      <c r="G2254" s="66"/>
      <c r="H2254" s="68"/>
      <c r="I2254" s="69"/>
    </row>
    <row r="2255" spans="2:9" x14ac:dyDescent="0.2">
      <c r="B2255" s="54" t="str">
        <f t="shared" si="44"/>
        <v>2013-081-1</v>
      </c>
      <c r="C2255" s="55">
        <v>2013</v>
      </c>
      <c r="D2255" s="55" t="s">
        <v>88</v>
      </c>
      <c r="E2255" s="55">
        <v>1</v>
      </c>
      <c r="F2255" s="57" t="s">
        <v>659</v>
      </c>
      <c r="G2255" s="55" t="s">
        <v>2735</v>
      </c>
      <c r="H2255" s="58"/>
      <c r="I2255" s="59"/>
    </row>
    <row r="2256" spans="2:9" x14ac:dyDescent="0.2">
      <c r="B2256" s="54" t="str">
        <f t="shared" si="44"/>
        <v>2013-081-2</v>
      </c>
      <c r="C2256" s="55">
        <v>2013</v>
      </c>
      <c r="D2256" s="55" t="s">
        <v>88</v>
      </c>
      <c r="E2256" s="55">
        <v>2</v>
      </c>
      <c r="F2256" s="57" t="s">
        <v>527</v>
      </c>
      <c r="G2256" s="55"/>
      <c r="H2256" s="58"/>
      <c r="I2256" s="59"/>
    </row>
    <row r="2257" spans="2:9" x14ac:dyDescent="0.2">
      <c r="B2257" s="54" t="str">
        <f t="shared" si="44"/>
        <v>2013-081-3</v>
      </c>
      <c r="C2257" s="55">
        <v>2013</v>
      </c>
      <c r="D2257" s="55" t="s">
        <v>88</v>
      </c>
      <c r="E2257" s="55">
        <v>3</v>
      </c>
      <c r="F2257" s="57" t="s">
        <v>1067</v>
      </c>
      <c r="G2257" s="55"/>
      <c r="H2257" s="58"/>
      <c r="I2257" s="59"/>
    </row>
    <row r="2258" spans="2:9" x14ac:dyDescent="0.2">
      <c r="B2258" s="54" t="str">
        <f t="shared" si="44"/>
        <v>2013-081-4</v>
      </c>
      <c r="C2258" s="55">
        <v>2013</v>
      </c>
      <c r="D2258" s="55" t="s">
        <v>88</v>
      </c>
      <c r="E2258" s="55">
        <v>4</v>
      </c>
      <c r="F2258" s="57" t="s">
        <v>854</v>
      </c>
      <c r="G2258" s="55"/>
      <c r="H2258" s="58"/>
      <c r="I2258" s="59"/>
    </row>
    <row r="2259" spans="2:9" x14ac:dyDescent="0.2">
      <c r="B2259" s="60" t="str">
        <f t="shared" si="44"/>
        <v>2013-081-5</v>
      </c>
      <c r="C2259" s="61">
        <v>2013</v>
      </c>
      <c r="D2259" s="61" t="s">
        <v>88</v>
      </c>
      <c r="E2259" s="61">
        <v>5</v>
      </c>
      <c r="F2259" s="62" t="s">
        <v>1176</v>
      </c>
      <c r="G2259" s="61"/>
      <c r="H2259" s="63"/>
      <c r="I2259" s="64"/>
    </row>
    <row r="2260" spans="2:9" x14ac:dyDescent="0.2">
      <c r="B2260" s="65" t="str">
        <f t="shared" si="44"/>
        <v>2013-082-0</v>
      </c>
      <c r="C2260" s="66">
        <v>2013</v>
      </c>
      <c r="D2260" s="66" t="s">
        <v>89</v>
      </c>
      <c r="E2260" s="66">
        <v>0</v>
      </c>
      <c r="F2260" s="67" t="s">
        <v>439</v>
      </c>
      <c r="G2260" s="66"/>
      <c r="H2260" s="68"/>
      <c r="I2260" s="69"/>
    </row>
    <row r="2261" spans="2:9" x14ac:dyDescent="0.2">
      <c r="B2261" s="54" t="str">
        <f t="shared" si="44"/>
        <v>2013-082-1</v>
      </c>
      <c r="C2261" s="55">
        <v>2013</v>
      </c>
      <c r="D2261" s="55" t="s">
        <v>89</v>
      </c>
      <c r="E2261" s="55">
        <v>1</v>
      </c>
      <c r="F2261" s="57" t="s">
        <v>768</v>
      </c>
      <c r="G2261" s="55"/>
      <c r="H2261" s="58"/>
      <c r="I2261" s="59"/>
    </row>
    <row r="2262" spans="2:9" x14ac:dyDescent="0.2">
      <c r="B2262" s="54" t="str">
        <f t="shared" si="44"/>
        <v>2013-082-2</v>
      </c>
      <c r="C2262" s="55">
        <v>2013</v>
      </c>
      <c r="D2262" s="55" t="s">
        <v>89</v>
      </c>
      <c r="E2262" s="55">
        <v>2</v>
      </c>
      <c r="F2262" s="57" t="s">
        <v>1091</v>
      </c>
      <c r="G2262" s="55"/>
      <c r="H2262" s="58"/>
      <c r="I2262" s="59"/>
    </row>
    <row r="2263" spans="2:9" x14ac:dyDescent="0.2">
      <c r="B2263" s="54" t="str">
        <f t="shared" si="44"/>
        <v>2013-082-3</v>
      </c>
      <c r="C2263" s="55">
        <v>2013</v>
      </c>
      <c r="D2263" s="55" t="s">
        <v>89</v>
      </c>
      <c r="E2263" s="55">
        <v>3</v>
      </c>
      <c r="F2263" s="57" t="s">
        <v>1401</v>
      </c>
      <c r="G2263" s="55"/>
      <c r="H2263" s="58"/>
      <c r="I2263" s="59"/>
    </row>
    <row r="2264" spans="2:9" x14ac:dyDescent="0.2">
      <c r="B2264" s="54" t="str">
        <f t="shared" si="44"/>
        <v>2013-082-4</v>
      </c>
      <c r="C2264" s="55">
        <v>2013</v>
      </c>
      <c r="D2264" s="55" t="s">
        <v>89</v>
      </c>
      <c r="E2264" s="55">
        <v>4</v>
      </c>
      <c r="F2264" s="57" t="s">
        <v>1706</v>
      </c>
      <c r="G2264" s="55"/>
      <c r="H2264" s="58"/>
      <c r="I2264" s="59"/>
    </row>
    <row r="2265" spans="2:9" x14ac:dyDescent="0.2">
      <c r="B2265" s="60" t="str">
        <f t="shared" si="44"/>
        <v>2013-082-5</v>
      </c>
      <c r="C2265" s="61">
        <v>2013</v>
      </c>
      <c r="D2265" s="61" t="s">
        <v>89</v>
      </c>
      <c r="E2265" s="61">
        <v>5</v>
      </c>
      <c r="F2265" s="62" t="s">
        <v>1999</v>
      </c>
      <c r="G2265" s="61" t="s">
        <v>2735</v>
      </c>
      <c r="H2265" s="63"/>
      <c r="I2265" s="64"/>
    </row>
    <row r="2266" spans="2:9" x14ac:dyDescent="0.2">
      <c r="B2266" s="65" t="str">
        <f t="shared" si="44"/>
        <v>2013-083-0</v>
      </c>
      <c r="C2266" s="66">
        <v>2013</v>
      </c>
      <c r="D2266" s="66" t="s">
        <v>90</v>
      </c>
      <c r="E2266" s="66">
        <v>0</v>
      </c>
      <c r="F2266" s="67" t="s">
        <v>440</v>
      </c>
      <c r="G2266" s="66"/>
      <c r="H2266" s="68"/>
      <c r="I2266" s="69"/>
    </row>
    <row r="2267" spans="2:9" ht="27" x14ac:dyDescent="0.2">
      <c r="B2267" s="54" t="str">
        <f t="shared" si="44"/>
        <v>2013-083-1</v>
      </c>
      <c r="C2267" s="55">
        <v>2013</v>
      </c>
      <c r="D2267" s="55" t="s">
        <v>90</v>
      </c>
      <c r="E2267" s="55">
        <v>1</v>
      </c>
      <c r="F2267" s="57" t="s">
        <v>769</v>
      </c>
      <c r="G2267" s="55"/>
      <c r="H2267" s="58"/>
      <c r="I2267" s="59"/>
    </row>
    <row r="2268" spans="2:9" x14ac:dyDescent="0.2">
      <c r="B2268" s="54" t="str">
        <f t="shared" si="44"/>
        <v>2013-083-2</v>
      </c>
      <c r="C2268" s="55">
        <v>2013</v>
      </c>
      <c r="D2268" s="55" t="s">
        <v>90</v>
      </c>
      <c r="E2268" s="55">
        <v>2</v>
      </c>
      <c r="F2268" s="57" t="s">
        <v>1092</v>
      </c>
      <c r="G2268" s="55"/>
      <c r="H2268" s="58"/>
      <c r="I2268" s="59"/>
    </row>
    <row r="2269" spans="2:9" x14ac:dyDescent="0.2">
      <c r="B2269" s="54" t="str">
        <f t="shared" si="44"/>
        <v>2013-083-3</v>
      </c>
      <c r="C2269" s="55">
        <v>2013</v>
      </c>
      <c r="D2269" s="55" t="s">
        <v>90</v>
      </c>
      <c r="E2269" s="55">
        <v>3</v>
      </c>
      <c r="F2269" s="57" t="s">
        <v>1402</v>
      </c>
      <c r="G2269" s="55"/>
      <c r="H2269" s="58"/>
      <c r="I2269" s="59"/>
    </row>
    <row r="2270" spans="2:9" x14ac:dyDescent="0.2">
      <c r="B2270" s="54" t="str">
        <f t="shared" si="44"/>
        <v>2013-083-4</v>
      </c>
      <c r="C2270" s="55">
        <v>2013</v>
      </c>
      <c r="D2270" s="55" t="s">
        <v>90</v>
      </c>
      <c r="E2270" s="55">
        <v>4</v>
      </c>
      <c r="F2270" s="57" t="s">
        <v>1707</v>
      </c>
      <c r="G2270" s="55" t="s">
        <v>2735</v>
      </c>
      <c r="H2270" s="58"/>
      <c r="I2270" s="59"/>
    </row>
    <row r="2271" spans="2:9" ht="27" x14ac:dyDescent="0.2">
      <c r="B2271" s="60" t="str">
        <f t="shared" si="44"/>
        <v>2013-083-5</v>
      </c>
      <c r="C2271" s="61">
        <v>2013</v>
      </c>
      <c r="D2271" s="61" t="s">
        <v>90</v>
      </c>
      <c r="E2271" s="61">
        <v>5</v>
      </c>
      <c r="F2271" s="62" t="s">
        <v>2000</v>
      </c>
      <c r="G2271" s="61"/>
      <c r="H2271" s="63"/>
      <c r="I2271" s="64"/>
    </row>
    <row r="2272" spans="2:9" x14ac:dyDescent="0.2">
      <c r="B2272" s="65" t="str">
        <f t="shared" si="44"/>
        <v>2013-084-0</v>
      </c>
      <c r="C2272" s="66">
        <v>2013</v>
      </c>
      <c r="D2272" s="66" t="s">
        <v>91</v>
      </c>
      <c r="E2272" s="66">
        <v>0</v>
      </c>
      <c r="F2272" s="67" t="s">
        <v>441</v>
      </c>
      <c r="G2272" s="66"/>
      <c r="H2272" s="68"/>
      <c r="I2272" s="69"/>
    </row>
    <row r="2273" spans="2:9" x14ac:dyDescent="0.2">
      <c r="B2273" s="54" t="str">
        <f t="shared" ref="B2273:B2336" si="45">C2273&amp;"-"&amp;D2273&amp;"-"&amp;E2273</f>
        <v>2013-084-1</v>
      </c>
      <c r="C2273" s="55">
        <v>2013</v>
      </c>
      <c r="D2273" s="55" t="s">
        <v>91</v>
      </c>
      <c r="E2273" s="55">
        <v>1</v>
      </c>
      <c r="F2273" s="57" t="s">
        <v>770</v>
      </c>
      <c r="G2273" s="55"/>
      <c r="H2273" s="58"/>
      <c r="I2273" s="59"/>
    </row>
    <row r="2274" spans="2:9" ht="27" x14ac:dyDescent="0.2">
      <c r="B2274" s="54" t="str">
        <f t="shared" si="45"/>
        <v>2013-084-2</v>
      </c>
      <c r="C2274" s="55">
        <v>2013</v>
      </c>
      <c r="D2274" s="55" t="s">
        <v>91</v>
      </c>
      <c r="E2274" s="55">
        <v>2</v>
      </c>
      <c r="F2274" s="57" t="s">
        <v>1093</v>
      </c>
      <c r="G2274" s="55"/>
      <c r="H2274" s="58"/>
      <c r="I2274" s="59"/>
    </row>
    <row r="2275" spans="2:9" ht="27" x14ac:dyDescent="0.2">
      <c r="B2275" s="54" t="str">
        <f t="shared" si="45"/>
        <v>2013-084-3</v>
      </c>
      <c r="C2275" s="55">
        <v>2013</v>
      </c>
      <c r="D2275" s="55" t="s">
        <v>91</v>
      </c>
      <c r="E2275" s="55">
        <v>3</v>
      </c>
      <c r="F2275" s="57" t="s">
        <v>1403</v>
      </c>
      <c r="G2275" s="55"/>
      <c r="H2275" s="58"/>
      <c r="I2275" s="59"/>
    </row>
    <row r="2276" spans="2:9" x14ac:dyDescent="0.2">
      <c r="B2276" s="54" t="str">
        <f t="shared" si="45"/>
        <v>2013-084-4</v>
      </c>
      <c r="C2276" s="55">
        <v>2013</v>
      </c>
      <c r="D2276" s="55" t="s">
        <v>91</v>
      </c>
      <c r="E2276" s="55">
        <v>4</v>
      </c>
      <c r="F2276" s="57" t="s">
        <v>665</v>
      </c>
      <c r="G2276" s="55" t="s">
        <v>2735</v>
      </c>
      <c r="H2276" s="58"/>
      <c r="I2276" s="59"/>
    </row>
    <row r="2277" spans="2:9" x14ac:dyDescent="0.2">
      <c r="B2277" s="60" t="str">
        <f t="shared" si="45"/>
        <v>2013-084-5</v>
      </c>
      <c r="C2277" s="61">
        <v>2013</v>
      </c>
      <c r="D2277" s="61" t="s">
        <v>91</v>
      </c>
      <c r="E2277" s="61">
        <v>5</v>
      </c>
      <c r="F2277" s="62" t="s">
        <v>2001</v>
      </c>
      <c r="G2277" s="61"/>
      <c r="H2277" s="63"/>
      <c r="I2277" s="64"/>
    </row>
    <row r="2278" spans="2:9" x14ac:dyDescent="0.2">
      <c r="B2278" s="65" t="str">
        <f t="shared" si="45"/>
        <v>2013-085-0</v>
      </c>
      <c r="C2278" s="66">
        <v>2013</v>
      </c>
      <c r="D2278" s="66" t="s">
        <v>92</v>
      </c>
      <c r="E2278" s="66">
        <v>0</v>
      </c>
      <c r="F2278" s="67" t="s">
        <v>442</v>
      </c>
      <c r="G2278" s="66"/>
      <c r="H2278" s="68"/>
      <c r="I2278" s="69"/>
    </row>
    <row r="2279" spans="2:9" ht="27" x14ac:dyDescent="0.2">
      <c r="B2279" s="54" t="str">
        <f t="shared" si="45"/>
        <v>2013-085-1</v>
      </c>
      <c r="C2279" s="55">
        <v>2013</v>
      </c>
      <c r="D2279" s="55" t="s">
        <v>92</v>
      </c>
      <c r="E2279" s="55">
        <v>1</v>
      </c>
      <c r="F2279" s="57" t="s">
        <v>771</v>
      </c>
      <c r="G2279" s="55"/>
      <c r="H2279" s="58"/>
      <c r="I2279" s="59"/>
    </row>
    <row r="2280" spans="2:9" ht="27" x14ac:dyDescent="0.2">
      <c r="B2280" s="54" t="str">
        <f t="shared" si="45"/>
        <v>2013-085-2</v>
      </c>
      <c r="C2280" s="55">
        <v>2013</v>
      </c>
      <c r="D2280" s="55" t="s">
        <v>92</v>
      </c>
      <c r="E2280" s="55">
        <v>2</v>
      </c>
      <c r="F2280" s="57" t="s">
        <v>1094</v>
      </c>
      <c r="G2280" s="55" t="s">
        <v>2735</v>
      </c>
      <c r="H2280" s="58"/>
      <c r="I2280" s="59"/>
    </row>
    <row r="2281" spans="2:9" ht="27" x14ac:dyDescent="0.2">
      <c r="B2281" s="54" t="str">
        <f t="shared" si="45"/>
        <v>2013-085-3</v>
      </c>
      <c r="C2281" s="55">
        <v>2013</v>
      </c>
      <c r="D2281" s="55" t="s">
        <v>92</v>
      </c>
      <c r="E2281" s="55">
        <v>3</v>
      </c>
      <c r="F2281" s="57" t="s">
        <v>1404</v>
      </c>
      <c r="G2281" s="55"/>
      <c r="H2281" s="58"/>
      <c r="I2281" s="59"/>
    </row>
    <row r="2282" spans="2:9" x14ac:dyDescent="0.2">
      <c r="B2282" s="54" t="str">
        <f t="shared" si="45"/>
        <v>2013-085-4</v>
      </c>
      <c r="C2282" s="55">
        <v>2013</v>
      </c>
      <c r="D2282" s="55" t="s">
        <v>92</v>
      </c>
      <c r="E2282" s="55">
        <v>4</v>
      </c>
      <c r="F2282" s="57" t="s">
        <v>1708</v>
      </c>
      <c r="G2282" s="55"/>
      <c r="H2282" s="58"/>
      <c r="I2282" s="59"/>
    </row>
    <row r="2283" spans="2:9" ht="27" x14ac:dyDescent="0.2">
      <c r="B2283" s="60" t="str">
        <f t="shared" si="45"/>
        <v>2013-085-5</v>
      </c>
      <c r="C2283" s="61">
        <v>2013</v>
      </c>
      <c r="D2283" s="61" t="s">
        <v>92</v>
      </c>
      <c r="E2283" s="61">
        <v>5</v>
      </c>
      <c r="F2283" s="62" t="s">
        <v>2002</v>
      </c>
      <c r="G2283" s="61"/>
      <c r="H2283" s="63"/>
      <c r="I2283" s="64"/>
    </row>
    <row r="2284" spans="2:9" x14ac:dyDescent="0.2">
      <c r="B2284" s="65" t="str">
        <f t="shared" si="45"/>
        <v>2013-086-0</v>
      </c>
      <c r="C2284" s="66">
        <v>2013</v>
      </c>
      <c r="D2284" s="66" t="s">
        <v>93</v>
      </c>
      <c r="E2284" s="66">
        <v>0</v>
      </c>
      <c r="F2284" s="67" t="s">
        <v>443</v>
      </c>
      <c r="G2284" s="66"/>
      <c r="H2284" s="68"/>
      <c r="I2284" s="69"/>
    </row>
    <row r="2285" spans="2:9" x14ac:dyDescent="0.2">
      <c r="B2285" s="54" t="str">
        <f t="shared" si="45"/>
        <v>2013-086-1</v>
      </c>
      <c r="C2285" s="55">
        <v>2013</v>
      </c>
      <c r="D2285" s="55" t="s">
        <v>93</v>
      </c>
      <c r="E2285" s="55">
        <v>1</v>
      </c>
      <c r="F2285" s="57" t="s">
        <v>772</v>
      </c>
      <c r="G2285" s="55"/>
      <c r="H2285" s="58"/>
      <c r="I2285" s="59"/>
    </row>
    <row r="2286" spans="2:9" x14ac:dyDescent="0.2">
      <c r="B2286" s="54" t="str">
        <f t="shared" si="45"/>
        <v>2013-086-2</v>
      </c>
      <c r="C2286" s="55">
        <v>2013</v>
      </c>
      <c r="D2286" s="55" t="s">
        <v>93</v>
      </c>
      <c r="E2286" s="55">
        <v>2</v>
      </c>
      <c r="F2286" s="57" t="s">
        <v>1095</v>
      </c>
      <c r="G2286" s="55"/>
      <c r="H2286" s="58"/>
      <c r="I2286" s="59"/>
    </row>
    <row r="2287" spans="2:9" x14ac:dyDescent="0.2">
      <c r="B2287" s="54" t="str">
        <f t="shared" si="45"/>
        <v>2013-086-3</v>
      </c>
      <c r="C2287" s="55">
        <v>2013</v>
      </c>
      <c r="D2287" s="55" t="s">
        <v>93</v>
      </c>
      <c r="E2287" s="55">
        <v>3</v>
      </c>
      <c r="F2287" s="57" t="s">
        <v>1405</v>
      </c>
      <c r="G2287" s="55" t="s">
        <v>2735</v>
      </c>
      <c r="H2287" s="58"/>
      <c r="I2287" s="59"/>
    </row>
    <row r="2288" spans="2:9" x14ac:dyDescent="0.2">
      <c r="B2288" s="54" t="str">
        <f t="shared" si="45"/>
        <v>2013-086-4</v>
      </c>
      <c r="C2288" s="55">
        <v>2013</v>
      </c>
      <c r="D2288" s="55" t="s">
        <v>93</v>
      </c>
      <c r="E2288" s="55">
        <v>4</v>
      </c>
      <c r="F2288" s="57" t="s">
        <v>1709</v>
      </c>
      <c r="G2288" s="55"/>
      <c r="H2288" s="58"/>
      <c r="I2288" s="59"/>
    </row>
    <row r="2289" spans="2:9" x14ac:dyDescent="0.2">
      <c r="B2289" s="60" t="str">
        <f t="shared" si="45"/>
        <v>2013-086-5</v>
      </c>
      <c r="C2289" s="61">
        <v>2013</v>
      </c>
      <c r="D2289" s="61" t="s">
        <v>93</v>
      </c>
      <c r="E2289" s="61">
        <v>5</v>
      </c>
      <c r="F2289" s="62" t="s">
        <v>2003</v>
      </c>
      <c r="G2289" s="61"/>
      <c r="H2289" s="63"/>
      <c r="I2289" s="64"/>
    </row>
    <row r="2290" spans="2:9" x14ac:dyDescent="0.2">
      <c r="B2290" s="65" t="str">
        <f t="shared" si="45"/>
        <v>2013-087-0</v>
      </c>
      <c r="C2290" s="66">
        <v>2013</v>
      </c>
      <c r="D2290" s="66" t="s">
        <v>94</v>
      </c>
      <c r="E2290" s="66">
        <v>0</v>
      </c>
      <c r="F2290" s="67" t="s">
        <v>400</v>
      </c>
      <c r="G2290" s="66"/>
      <c r="H2290" s="68"/>
      <c r="I2290" s="69"/>
    </row>
    <row r="2291" spans="2:9" ht="27" x14ac:dyDescent="0.2">
      <c r="B2291" s="54" t="str">
        <f t="shared" si="45"/>
        <v>2013-087-1</v>
      </c>
      <c r="C2291" s="55">
        <v>2013</v>
      </c>
      <c r="D2291" s="55" t="s">
        <v>94</v>
      </c>
      <c r="E2291" s="55">
        <v>1</v>
      </c>
      <c r="F2291" s="57" t="s">
        <v>773</v>
      </c>
      <c r="G2291" s="55" t="s">
        <v>2735</v>
      </c>
      <c r="H2291" s="58"/>
      <c r="I2291" s="59"/>
    </row>
    <row r="2292" spans="2:9" ht="27" x14ac:dyDescent="0.2">
      <c r="B2292" s="54" t="str">
        <f t="shared" si="45"/>
        <v>2013-087-2</v>
      </c>
      <c r="C2292" s="55">
        <v>2013</v>
      </c>
      <c r="D2292" s="55" t="s">
        <v>94</v>
      </c>
      <c r="E2292" s="55">
        <v>2</v>
      </c>
      <c r="F2292" s="57" t="s">
        <v>1096</v>
      </c>
      <c r="G2292" s="55"/>
      <c r="H2292" s="58"/>
      <c r="I2292" s="59"/>
    </row>
    <row r="2293" spans="2:9" x14ac:dyDescent="0.2">
      <c r="B2293" s="54" t="str">
        <f t="shared" si="45"/>
        <v>2013-087-3</v>
      </c>
      <c r="C2293" s="55">
        <v>2013</v>
      </c>
      <c r="D2293" s="55" t="s">
        <v>94</v>
      </c>
      <c r="E2293" s="55">
        <v>3</v>
      </c>
      <c r="F2293" s="57" t="s">
        <v>1406</v>
      </c>
      <c r="G2293" s="55"/>
      <c r="H2293" s="58"/>
      <c r="I2293" s="59"/>
    </row>
    <row r="2294" spans="2:9" ht="27" x14ac:dyDescent="0.2">
      <c r="B2294" s="54" t="str">
        <f t="shared" si="45"/>
        <v>2013-087-4</v>
      </c>
      <c r="C2294" s="55">
        <v>2013</v>
      </c>
      <c r="D2294" s="55" t="s">
        <v>94</v>
      </c>
      <c r="E2294" s="55">
        <v>4</v>
      </c>
      <c r="F2294" s="57" t="s">
        <v>1710</v>
      </c>
      <c r="G2294" s="55"/>
      <c r="H2294" s="58"/>
      <c r="I2294" s="59"/>
    </row>
    <row r="2295" spans="2:9" x14ac:dyDescent="0.2">
      <c r="B2295" s="60" t="str">
        <f t="shared" si="45"/>
        <v>2013-087-5</v>
      </c>
      <c r="C2295" s="61">
        <v>2013</v>
      </c>
      <c r="D2295" s="61" t="s">
        <v>94</v>
      </c>
      <c r="E2295" s="61">
        <v>5</v>
      </c>
      <c r="F2295" s="62" t="s">
        <v>2004</v>
      </c>
      <c r="G2295" s="61"/>
      <c r="H2295" s="63"/>
      <c r="I2295" s="64"/>
    </row>
    <row r="2296" spans="2:9" ht="108" x14ac:dyDescent="0.2">
      <c r="B2296" s="65" t="str">
        <f t="shared" si="45"/>
        <v>2013-088-0</v>
      </c>
      <c r="C2296" s="66">
        <v>2013</v>
      </c>
      <c r="D2296" s="66" t="s">
        <v>95</v>
      </c>
      <c r="E2296" s="66">
        <v>0</v>
      </c>
      <c r="F2296" s="67" t="s">
        <v>444</v>
      </c>
      <c r="G2296" s="66"/>
      <c r="H2296" s="68"/>
      <c r="I2296" s="69"/>
    </row>
    <row r="2297" spans="2:9" x14ac:dyDescent="0.2">
      <c r="B2297" s="54" t="str">
        <f t="shared" si="45"/>
        <v>2013-088-1</v>
      </c>
      <c r="C2297" s="55">
        <v>2013</v>
      </c>
      <c r="D2297" s="55" t="s">
        <v>95</v>
      </c>
      <c r="E2297" s="55">
        <v>1</v>
      </c>
      <c r="F2297" s="57" t="s">
        <v>774</v>
      </c>
      <c r="G2297" s="55"/>
      <c r="H2297" s="58"/>
      <c r="I2297" s="59"/>
    </row>
    <row r="2298" spans="2:9" x14ac:dyDescent="0.2">
      <c r="B2298" s="54" t="str">
        <f t="shared" si="45"/>
        <v>2013-088-2</v>
      </c>
      <c r="C2298" s="55">
        <v>2013</v>
      </c>
      <c r="D2298" s="55" t="s">
        <v>95</v>
      </c>
      <c r="E2298" s="55">
        <v>2</v>
      </c>
      <c r="F2298" s="57" t="s">
        <v>1097</v>
      </c>
      <c r="G2298" s="55" t="s">
        <v>2735</v>
      </c>
      <c r="H2298" s="58"/>
      <c r="I2298" s="59"/>
    </row>
    <row r="2299" spans="2:9" x14ac:dyDescent="0.2">
      <c r="B2299" s="54" t="str">
        <f t="shared" si="45"/>
        <v>2013-088-3</v>
      </c>
      <c r="C2299" s="55">
        <v>2013</v>
      </c>
      <c r="D2299" s="55" t="s">
        <v>95</v>
      </c>
      <c r="E2299" s="55">
        <v>3</v>
      </c>
      <c r="F2299" s="57" t="s">
        <v>1407</v>
      </c>
      <c r="G2299" s="55"/>
      <c r="H2299" s="58"/>
      <c r="I2299" s="59"/>
    </row>
    <row r="2300" spans="2:9" x14ac:dyDescent="0.2">
      <c r="B2300" s="54" t="str">
        <f t="shared" si="45"/>
        <v>2013-088-4</v>
      </c>
      <c r="C2300" s="55">
        <v>2013</v>
      </c>
      <c r="D2300" s="55" t="s">
        <v>95</v>
      </c>
      <c r="E2300" s="55">
        <v>4</v>
      </c>
      <c r="F2300" s="57" t="s">
        <v>1711</v>
      </c>
      <c r="G2300" s="55"/>
      <c r="H2300" s="58"/>
      <c r="I2300" s="59"/>
    </row>
    <row r="2301" spans="2:9" x14ac:dyDescent="0.2">
      <c r="B2301" s="60" t="str">
        <f t="shared" si="45"/>
        <v>2013-088-5</v>
      </c>
      <c r="C2301" s="61">
        <v>2013</v>
      </c>
      <c r="D2301" s="61" t="s">
        <v>95</v>
      </c>
      <c r="E2301" s="61">
        <v>5</v>
      </c>
      <c r="F2301" s="62" t="s">
        <v>2005</v>
      </c>
      <c r="G2301" s="61"/>
      <c r="H2301" s="63"/>
      <c r="I2301" s="64"/>
    </row>
    <row r="2302" spans="2:9" x14ac:dyDescent="0.2">
      <c r="B2302" s="65" t="str">
        <f t="shared" si="45"/>
        <v>2013-089-0</v>
      </c>
      <c r="C2302" s="66">
        <v>2013</v>
      </c>
      <c r="D2302" s="66" t="s">
        <v>96</v>
      </c>
      <c r="E2302" s="66">
        <v>0</v>
      </c>
      <c r="F2302" s="67" t="s">
        <v>399</v>
      </c>
      <c r="G2302" s="66"/>
      <c r="H2302" s="68"/>
      <c r="I2302" s="69"/>
    </row>
    <row r="2303" spans="2:9" ht="27" x14ac:dyDescent="0.2">
      <c r="B2303" s="54" t="str">
        <f t="shared" si="45"/>
        <v>2013-089-1</v>
      </c>
      <c r="C2303" s="55">
        <v>2013</v>
      </c>
      <c r="D2303" s="55" t="s">
        <v>96</v>
      </c>
      <c r="E2303" s="55">
        <v>1</v>
      </c>
      <c r="F2303" s="57" t="s">
        <v>775</v>
      </c>
      <c r="G2303" s="55"/>
      <c r="H2303" s="58"/>
      <c r="I2303" s="59"/>
    </row>
    <row r="2304" spans="2:9" ht="27" x14ac:dyDescent="0.2">
      <c r="B2304" s="54" t="str">
        <f t="shared" si="45"/>
        <v>2013-089-2</v>
      </c>
      <c r="C2304" s="55">
        <v>2013</v>
      </c>
      <c r="D2304" s="55" t="s">
        <v>96</v>
      </c>
      <c r="E2304" s="55">
        <v>2</v>
      </c>
      <c r="F2304" s="57" t="s">
        <v>1098</v>
      </c>
      <c r="G2304" s="55" t="s">
        <v>2735</v>
      </c>
      <c r="H2304" s="58"/>
      <c r="I2304" s="59"/>
    </row>
    <row r="2305" spans="2:9" x14ac:dyDescent="0.2">
      <c r="B2305" s="54" t="str">
        <f t="shared" si="45"/>
        <v>2013-089-3</v>
      </c>
      <c r="C2305" s="55">
        <v>2013</v>
      </c>
      <c r="D2305" s="55" t="s">
        <v>96</v>
      </c>
      <c r="E2305" s="55">
        <v>3</v>
      </c>
      <c r="F2305" s="57" t="s">
        <v>603</v>
      </c>
      <c r="G2305" s="55"/>
      <c r="H2305" s="58"/>
      <c r="I2305" s="59"/>
    </row>
    <row r="2306" spans="2:9" x14ac:dyDescent="0.2">
      <c r="B2306" s="54" t="str">
        <f t="shared" si="45"/>
        <v>2013-089-4</v>
      </c>
      <c r="C2306" s="55">
        <v>2013</v>
      </c>
      <c r="D2306" s="55" t="s">
        <v>96</v>
      </c>
      <c r="E2306" s="55">
        <v>4</v>
      </c>
      <c r="F2306" s="57" t="s">
        <v>1712</v>
      </c>
      <c r="G2306" s="55"/>
      <c r="H2306" s="58"/>
      <c r="I2306" s="59"/>
    </row>
    <row r="2307" spans="2:9" x14ac:dyDescent="0.2">
      <c r="B2307" s="60" t="str">
        <f t="shared" si="45"/>
        <v>2013-089-5</v>
      </c>
      <c r="C2307" s="61">
        <v>2013</v>
      </c>
      <c r="D2307" s="61" t="s">
        <v>96</v>
      </c>
      <c r="E2307" s="61">
        <v>5</v>
      </c>
      <c r="F2307" s="62" t="s">
        <v>2006</v>
      </c>
      <c r="G2307" s="61"/>
      <c r="H2307" s="63"/>
      <c r="I2307" s="64"/>
    </row>
    <row r="2308" spans="2:9" x14ac:dyDescent="0.2">
      <c r="B2308" s="65" t="str">
        <f t="shared" si="45"/>
        <v>2013-090-0</v>
      </c>
      <c r="C2308" s="66">
        <v>2013</v>
      </c>
      <c r="D2308" s="66" t="s">
        <v>97</v>
      </c>
      <c r="E2308" s="66">
        <v>0</v>
      </c>
      <c r="F2308" s="67" t="s">
        <v>423</v>
      </c>
      <c r="G2308" s="66"/>
      <c r="H2308" s="68"/>
      <c r="I2308" s="69"/>
    </row>
    <row r="2309" spans="2:9" x14ac:dyDescent="0.2">
      <c r="B2309" s="54" t="str">
        <f t="shared" si="45"/>
        <v>2013-090-1</v>
      </c>
      <c r="C2309" s="55">
        <v>2013</v>
      </c>
      <c r="D2309" s="55" t="s">
        <v>97</v>
      </c>
      <c r="E2309" s="55">
        <v>1</v>
      </c>
      <c r="F2309" s="57" t="s">
        <v>776</v>
      </c>
      <c r="G2309" s="55"/>
      <c r="H2309" s="58"/>
      <c r="I2309" s="59"/>
    </row>
    <row r="2310" spans="2:9" x14ac:dyDescent="0.2">
      <c r="B2310" s="54" t="str">
        <f t="shared" si="45"/>
        <v>2013-090-2</v>
      </c>
      <c r="C2310" s="55">
        <v>2013</v>
      </c>
      <c r="D2310" s="55" t="s">
        <v>97</v>
      </c>
      <c r="E2310" s="55">
        <v>2</v>
      </c>
      <c r="F2310" s="57" t="s">
        <v>1099</v>
      </c>
      <c r="G2310" s="55"/>
      <c r="H2310" s="58"/>
      <c r="I2310" s="59"/>
    </row>
    <row r="2311" spans="2:9" x14ac:dyDescent="0.2">
      <c r="B2311" s="54" t="str">
        <f t="shared" si="45"/>
        <v>2013-090-3</v>
      </c>
      <c r="C2311" s="55">
        <v>2013</v>
      </c>
      <c r="D2311" s="55" t="s">
        <v>97</v>
      </c>
      <c r="E2311" s="55">
        <v>3</v>
      </c>
      <c r="F2311" s="57" t="s">
        <v>1408</v>
      </c>
      <c r="G2311" s="55"/>
      <c r="H2311" s="58"/>
      <c r="I2311" s="59"/>
    </row>
    <row r="2312" spans="2:9" x14ac:dyDescent="0.2">
      <c r="B2312" s="54" t="str">
        <f t="shared" si="45"/>
        <v>2013-090-4</v>
      </c>
      <c r="C2312" s="55">
        <v>2013</v>
      </c>
      <c r="D2312" s="55" t="s">
        <v>97</v>
      </c>
      <c r="E2312" s="55">
        <v>4</v>
      </c>
      <c r="F2312" s="57" t="s">
        <v>1713</v>
      </c>
      <c r="G2312" s="55"/>
      <c r="H2312" s="58"/>
      <c r="I2312" s="59"/>
    </row>
    <row r="2313" spans="2:9" x14ac:dyDescent="0.2">
      <c r="B2313" s="60" t="str">
        <f t="shared" si="45"/>
        <v>2013-090-5</v>
      </c>
      <c r="C2313" s="61">
        <v>2013</v>
      </c>
      <c r="D2313" s="61" t="s">
        <v>97</v>
      </c>
      <c r="E2313" s="61">
        <v>5</v>
      </c>
      <c r="F2313" s="62" t="s">
        <v>2007</v>
      </c>
      <c r="G2313" s="61" t="s">
        <v>2735</v>
      </c>
      <c r="H2313" s="63"/>
      <c r="I2313" s="64"/>
    </row>
    <row r="2314" spans="2:9" ht="27" x14ac:dyDescent="0.2">
      <c r="B2314" s="65" t="str">
        <f t="shared" si="45"/>
        <v>2013-091-0</v>
      </c>
      <c r="C2314" s="66">
        <v>2013</v>
      </c>
      <c r="D2314" s="66" t="s">
        <v>98</v>
      </c>
      <c r="E2314" s="66">
        <v>0</v>
      </c>
      <c r="F2314" s="67" t="s">
        <v>445</v>
      </c>
      <c r="G2314" s="66"/>
      <c r="H2314" s="68"/>
      <c r="I2314" s="69"/>
    </row>
    <row r="2315" spans="2:9" x14ac:dyDescent="0.2">
      <c r="B2315" s="54" t="str">
        <f t="shared" si="45"/>
        <v>2013-091-1</v>
      </c>
      <c r="C2315" s="55">
        <v>2013</v>
      </c>
      <c r="D2315" s="55" t="s">
        <v>98</v>
      </c>
      <c r="E2315" s="55">
        <v>1</v>
      </c>
      <c r="F2315" s="57" t="s">
        <v>777</v>
      </c>
      <c r="G2315" s="55"/>
      <c r="H2315" s="58"/>
      <c r="I2315" s="59"/>
    </row>
    <row r="2316" spans="2:9" x14ac:dyDescent="0.2">
      <c r="B2316" s="54" t="str">
        <f t="shared" si="45"/>
        <v>2013-091-2</v>
      </c>
      <c r="C2316" s="55">
        <v>2013</v>
      </c>
      <c r="D2316" s="55" t="s">
        <v>98</v>
      </c>
      <c r="E2316" s="55">
        <v>2</v>
      </c>
      <c r="F2316" s="57" t="s">
        <v>1100</v>
      </c>
      <c r="G2316" s="55"/>
      <c r="H2316" s="58"/>
      <c r="I2316" s="59"/>
    </row>
    <row r="2317" spans="2:9" x14ac:dyDescent="0.2">
      <c r="B2317" s="54" t="str">
        <f t="shared" si="45"/>
        <v>2013-091-3</v>
      </c>
      <c r="C2317" s="55">
        <v>2013</v>
      </c>
      <c r="D2317" s="55" t="s">
        <v>98</v>
      </c>
      <c r="E2317" s="55">
        <v>3</v>
      </c>
      <c r="F2317" s="57" t="s">
        <v>1409</v>
      </c>
      <c r="G2317" s="55" t="s">
        <v>2735</v>
      </c>
      <c r="H2317" s="58"/>
      <c r="I2317" s="59"/>
    </row>
    <row r="2318" spans="2:9" x14ac:dyDescent="0.2">
      <c r="B2318" s="54" t="str">
        <f t="shared" si="45"/>
        <v>2013-091-4</v>
      </c>
      <c r="C2318" s="55">
        <v>2013</v>
      </c>
      <c r="D2318" s="55" t="s">
        <v>98</v>
      </c>
      <c r="E2318" s="55">
        <v>4</v>
      </c>
      <c r="F2318" s="57" t="s">
        <v>565</v>
      </c>
      <c r="G2318" s="55"/>
      <c r="H2318" s="58"/>
      <c r="I2318" s="59"/>
    </row>
    <row r="2319" spans="2:9" x14ac:dyDescent="0.2">
      <c r="B2319" s="60" t="str">
        <f t="shared" si="45"/>
        <v>2013-091-5</v>
      </c>
      <c r="C2319" s="61">
        <v>2013</v>
      </c>
      <c r="D2319" s="61" t="s">
        <v>98</v>
      </c>
      <c r="E2319" s="61">
        <v>5</v>
      </c>
      <c r="F2319" s="62" t="s">
        <v>2008</v>
      </c>
      <c r="G2319" s="61"/>
      <c r="H2319" s="63"/>
      <c r="I2319" s="64"/>
    </row>
    <row r="2320" spans="2:9" x14ac:dyDescent="0.2">
      <c r="B2320" s="65" t="str">
        <f t="shared" si="45"/>
        <v>2013-092-0</v>
      </c>
      <c r="C2320" s="66">
        <v>2013</v>
      </c>
      <c r="D2320" s="66" t="s">
        <v>99</v>
      </c>
      <c r="E2320" s="66">
        <v>0</v>
      </c>
      <c r="F2320" s="67" t="s">
        <v>446</v>
      </c>
      <c r="G2320" s="66"/>
      <c r="H2320" s="68"/>
      <c r="I2320" s="69"/>
    </row>
    <row r="2321" spans="2:9" x14ac:dyDescent="0.2">
      <c r="B2321" s="54" t="str">
        <f t="shared" si="45"/>
        <v>2013-092-1</v>
      </c>
      <c r="C2321" s="55">
        <v>2013</v>
      </c>
      <c r="D2321" s="55" t="s">
        <v>99</v>
      </c>
      <c r="E2321" s="55">
        <v>1</v>
      </c>
      <c r="F2321" s="57" t="s">
        <v>778</v>
      </c>
      <c r="G2321" s="55"/>
      <c r="H2321" s="58"/>
      <c r="I2321" s="59"/>
    </row>
    <row r="2322" spans="2:9" x14ac:dyDescent="0.2">
      <c r="B2322" s="54" t="str">
        <f t="shared" si="45"/>
        <v>2013-092-2</v>
      </c>
      <c r="C2322" s="55">
        <v>2013</v>
      </c>
      <c r="D2322" s="55" t="s">
        <v>99</v>
      </c>
      <c r="E2322" s="55">
        <v>2</v>
      </c>
      <c r="F2322" s="57" t="s">
        <v>1101</v>
      </c>
      <c r="G2322" s="55"/>
      <c r="H2322" s="58"/>
      <c r="I2322" s="59"/>
    </row>
    <row r="2323" spans="2:9" x14ac:dyDescent="0.2">
      <c r="B2323" s="54" t="str">
        <f t="shared" si="45"/>
        <v>2013-092-3</v>
      </c>
      <c r="C2323" s="55">
        <v>2013</v>
      </c>
      <c r="D2323" s="55" t="s">
        <v>99</v>
      </c>
      <c r="E2323" s="55">
        <v>3</v>
      </c>
      <c r="F2323" s="57" t="s">
        <v>1410</v>
      </c>
      <c r="G2323" s="55"/>
      <c r="H2323" s="58"/>
      <c r="I2323" s="59"/>
    </row>
    <row r="2324" spans="2:9" x14ac:dyDescent="0.2">
      <c r="B2324" s="54" t="str">
        <f t="shared" si="45"/>
        <v>2013-092-4</v>
      </c>
      <c r="C2324" s="55">
        <v>2013</v>
      </c>
      <c r="D2324" s="55" t="s">
        <v>99</v>
      </c>
      <c r="E2324" s="55">
        <v>4</v>
      </c>
      <c r="F2324" s="57" t="s">
        <v>1714</v>
      </c>
      <c r="G2324" s="55" t="s">
        <v>2735</v>
      </c>
      <c r="H2324" s="58"/>
      <c r="I2324" s="59"/>
    </row>
    <row r="2325" spans="2:9" x14ac:dyDescent="0.2">
      <c r="B2325" s="60" t="str">
        <f t="shared" si="45"/>
        <v>2013-092-5</v>
      </c>
      <c r="C2325" s="61">
        <v>2013</v>
      </c>
      <c r="D2325" s="61" t="s">
        <v>99</v>
      </c>
      <c r="E2325" s="61">
        <v>5</v>
      </c>
      <c r="F2325" s="62" t="s">
        <v>2009</v>
      </c>
      <c r="G2325" s="61"/>
      <c r="H2325" s="63"/>
      <c r="I2325" s="64"/>
    </row>
    <row r="2326" spans="2:9" ht="40.5" x14ac:dyDescent="0.2">
      <c r="B2326" s="65" t="str">
        <f t="shared" si="45"/>
        <v>2013-093-0</v>
      </c>
      <c r="C2326" s="66">
        <v>2013</v>
      </c>
      <c r="D2326" s="66" t="s">
        <v>100</v>
      </c>
      <c r="E2326" s="66">
        <v>0</v>
      </c>
      <c r="F2326" s="67" t="s">
        <v>447</v>
      </c>
      <c r="G2326" s="66"/>
      <c r="H2326" s="68"/>
      <c r="I2326" s="69"/>
    </row>
    <row r="2327" spans="2:9" x14ac:dyDescent="0.2">
      <c r="B2327" s="54" t="str">
        <f t="shared" si="45"/>
        <v>2013-093-1</v>
      </c>
      <c r="C2327" s="55">
        <v>2013</v>
      </c>
      <c r="D2327" s="55" t="s">
        <v>100</v>
      </c>
      <c r="E2327" s="55">
        <v>1</v>
      </c>
      <c r="F2327" s="57" t="s">
        <v>779</v>
      </c>
      <c r="G2327" s="55"/>
      <c r="H2327" s="58"/>
      <c r="I2327" s="59"/>
    </row>
    <row r="2328" spans="2:9" x14ac:dyDescent="0.2">
      <c r="B2328" s="54" t="str">
        <f t="shared" si="45"/>
        <v>2013-093-2</v>
      </c>
      <c r="C2328" s="55">
        <v>2013</v>
      </c>
      <c r="D2328" s="55" t="s">
        <v>100</v>
      </c>
      <c r="E2328" s="55">
        <v>2</v>
      </c>
      <c r="F2328" s="57" t="s">
        <v>1102</v>
      </c>
      <c r="G2328" s="55" t="s">
        <v>2735</v>
      </c>
      <c r="H2328" s="58"/>
      <c r="I2328" s="59"/>
    </row>
    <row r="2329" spans="2:9" x14ac:dyDescent="0.2">
      <c r="B2329" s="54" t="str">
        <f t="shared" si="45"/>
        <v>2013-093-3</v>
      </c>
      <c r="C2329" s="55">
        <v>2013</v>
      </c>
      <c r="D2329" s="55" t="s">
        <v>100</v>
      </c>
      <c r="E2329" s="55">
        <v>3</v>
      </c>
      <c r="F2329" s="57" t="s">
        <v>1411</v>
      </c>
      <c r="G2329" s="55"/>
      <c r="H2329" s="58"/>
      <c r="I2329" s="59"/>
    </row>
    <row r="2330" spans="2:9" x14ac:dyDescent="0.2">
      <c r="B2330" s="54" t="str">
        <f t="shared" si="45"/>
        <v>2013-093-4</v>
      </c>
      <c r="C2330" s="55">
        <v>2013</v>
      </c>
      <c r="D2330" s="55" t="s">
        <v>100</v>
      </c>
      <c r="E2330" s="55">
        <v>4</v>
      </c>
      <c r="F2330" s="57" t="s">
        <v>1715</v>
      </c>
      <c r="G2330" s="55"/>
      <c r="H2330" s="58"/>
      <c r="I2330" s="59"/>
    </row>
    <row r="2331" spans="2:9" x14ac:dyDescent="0.2">
      <c r="B2331" s="60" t="str">
        <f t="shared" si="45"/>
        <v>2013-093-5</v>
      </c>
      <c r="C2331" s="61">
        <v>2013</v>
      </c>
      <c r="D2331" s="61" t="s">
        <v>100</v>
      </c>
      <c r="E2331" s="61">
        <v>5</v>
      </c>
      <c r="F2331" s="62" t="s">
        <v>2010</v>
      </c>
      <c r="G2331" s="61"/>
      <c r="H2331" s="63"/>
      <c r="I2331" s="64"/>
    </row>
    <row r="2332" spans="2:9" x14ac:dyDescent="0.2">
      <c r="B2332" s="65" t="str">
        <f t="shared" si="45"/>
        <v>2013-094-0</v>
      </c>
      <c r="C2332" s="66">
        <v>2013</v>
      </c>
      <c r="D2332" s="66" t="s">
        <v>101</v>
      </c>
      <c r="E2332" s="66">
        <v>0</v>
      </c>
      <c r="F2332" s="67" t="s">
        <v>448</v>
      </c>
      <c r="G2332" s="66"/>
      <c r="H2332" s="68"/>
      <c r="I2332" s="69"/>
    </row>
    <row r="2333" spans="2:9" x14ac:dyDescent="0.2">
      <c r="B2333" s="54" t="str">
        <f t="shared" si="45"/>
        <v>2013-094-1</v>
      </c>
      <c r="C2333" s="55">
        <v>2013</v>
      </c>
      <c r="D2333" s="55" t="s">
        <v>101</v>
      </c>
      <c r="E2333" s="55">
        <v>1</v>
      </c>
      <c r="F2333" s="57" t="s">
        <v>780</v>
      </c>
      <c r="G2333" s="55"/>
      <c r="H2333" s="58"/>
      <c r="I2333" s="59"/>
    </row>
    <row r="2334" spans="2:9" x14ac:dyDescent="0.2">
      <c r="B2334" s="54" t="str">
        <f t="shared" si="45"/>
        <v>2013-094-2</v>
      </c>
      <c r="C2334" s="55">
        <v>2013</v>
      </c>
      <c r="D2334" s="55" t="s">
        <v>101</v>
      </c>
      <c r="E2334" s="55">
        <v>2</v>
      </c>
      <c r="F2334" s="57" t="s">
        <v>1103</v>
      </c>
      <c r="G2334" s="55"/>
      <c r="H2334" s="58"/>
      <c r="I2334" s="59"/>
    </row>
    <row r="2335" spans="2:9" x14ac:dyDescent="0.2">
      <c r="B2335" s="54" t="str">
        <f t="shared" si="45"/>
        <v>2013-094-3</v>
      </c>
      <c r="C2335" s="55">
        <v>2013</v>
      </c>
      <c r="D2335" s="55" t="s">
        <v>101</v>
      </c>
      <c r="E2335" s="55">
        <v>3</v>
      </c>
      <c r="F2335" s="57" t="s">
        <v>1412</v>
      </c>
      <c r="G2335" s="55"/>
      <c r="H2335" s="58"/>
      <c r="I2335" s="59"/>
    </row>
    <row r="2336" spans="2:9" x14ac:dyDescent="0.2">
      <c r="B2336" s="54" t="str">
        <f t="shared" si="45"/>
        <v>2013-094-4</v>
      </c>
      <c r="C2336" s="55">
        <v>2013</v>
      </c>
      <c r="D2336" s="55" t="s">
        <v>101</v>
      </c>
      <c r="E2336" s="55">
        <v>4</v>
      </c>
      <c r="F2336" s="57" t="s">
        <v>1716</v>
      </c>
      <c r="G2336" s="55" t="s">
        <v>2735</v>
      </c>
      <c r="H2336" s="58"/>
      <c r="I2336" s="59"/>
    </row>
    <row r="2337" spans="2:9" x14ac:dyDescent="0.2">
      <c r="B2337" s="60" t="str">
        <f t="shared" ref="B2337:B2373" si="46">C2337&amp;"-"&amp;D2337&amp;"-"&amp;E2337</f>
        <v>2013-094-5</v>
      </c>
      <c r="C2337" s="61">
        <v>2013</v>
      </c>
      <c r="D2337" s="61" t="s">
        <v>101</v>
      </c>
      <c r="E2337" s="61">
        <v>5</v>
      </c>
      <c r="F2337" s="62" t="s">
        <v>2011</v>
      </c>
      <c r="G2337" s="61"/>
      <c r="H2337" s="63"/>
      <c r="I2337" s="64"/>
    </row>
    <row r="2338" spans="2:9" x14ac:dyDescent="0.2">
      <c r="B2338" s="65" t="str">
        <f t="shared" si="46"/>
        <v>2013-095-0</v>
      </c>
      <c r="C2338" s="66">
        <v>2013</v>
      </c>
      <c r="D2338" s="66" t="s">
        <v>102</v>
      </c>
      <c r="E2338" s="66">
        <v>0</v>
      </c>
      <c r="F2338" s="67" t="s">
        <v>449</v>
      </c>
      <c r="G2338" s="66"/>
      <c r="H2338" s="68"/>
      <c r="I2338" s="69"/>
    </row>
    <row r="2339" spans="2:9" x14ac:dyDescent="0.2">
      <c r="B2339" s="54" t="str">
        <f t="shared" si="46"/>
        <v>2013-095-1</v>
      </c>
      <c r="C2339" s="55">
        <v>2013</v>
      </c>
      <c r="D2339" s="55" t="s">
        <v>102</v>
      </c>
      <c r="E2339" s="55">
        <v>1</v>
      </c>
      <c r="F2339" s="57" t="s">
        <v>781</v>
      </c>
      <c r="G2339" s="55"/>
      <c r="H2339" s="58"/>
      <c r="I2339" s="59"/>
    </row>
    <row r="2340" spans="2:9" x14ac:dyDescent="0.2">
      <c r="B2340" s="54" t="str">
        <f t="shared" si="46"/>
        <v>2013-095-2</v>
      </c>
      <c r="C2340" s="55">
        <v>2013</v>
      </c>
      <c r="D2340" s="55" t="s">
        <v>102</v>
      </c>
      <c r="E2340" s="55">
        <v>2</v>
      </c>
      <c r="F2340" s="57" t="s">
        <v>1104</v>
      </c>
      <c r="G2340" s="55"/>
      <c r="H2340" s="58"/>
      <c r="I2340" s="59"/>
    </row>
    <row r="2341" spans="2:9" x14ac:dyDescent="0.2">
      <c r="B2341" s="54" t="str">
        <f t="shared" si="46"/>
        <v>2013-095-3</v>
      </c>
      <c r="C2341" s="55">
        <v>2013</v>
      </c>
      <c r="D2341" s="55" t="s">
        <v>102</v>
      </c>
      <c r="E2341" s="55">
        <v>3</v>
      </c>
      <c r="F2341" s="57" t="s">
        <v>1413</v>
      </c>
      <c r="G2341" s="55"/>
      <c r="H2341" s="58"/>
      <c r="I2341" s="59"/>
    </row>
    <row r="2342" spans="2:9" x14ac:dyDescent="0.2">
      <c r="B2342" s="54" t="str">
        <f t="shared" si="46"/>
        <v>2013-095-4</v>
      </c>
      <c r="C2342" s="55">
        <v>2013</v>
      </c>
      <c r="D2342" s="55" t="s">
        <v>102</v>
      </c>
      <c r="E2342" s="55">
        <v>4</v>
      </c>
      <c r="F2342" s="57" t="s">
        <v>1717</v>
      </c>
      <c r="G2342" s="55"/>
      <c r="H2342" s="58"/>
      <c r="I2342" s="59"/>
    </row>
    <row r="2343" spans="2:9" x14ac:dyDescent="0.2">
      <c r="B2343" s="60" t="str">
        <f t="shared" si="46"/>
        <v>2013-095-5</v>
      </c>
      <c r="C2343" s="61">
        <v>2013</v>
      </c>
      <c r="D2343" s="61" t="s">
        <v>102</v>
      </c>
      <c r="E2343" s="61">
        <v>5</v>
      </c>
      <c r="F2343" s="62" t="s">
        <v>2012</v>
      </c>
      <c r="G2343" s="61" t="s">
        <v>2735</v>
      </c>
      <c r="H2343" s="63"/>
      <c r="I2343" s="64"/>
    </row>
    <row r="2344" spans="2:9" x14ac:dyDescent="0.2">
      <c r="B2344" s="65" t="str">
        <f t="shared" si="46"/>
        <v>2013-096-0</v>
      </c>
      <c r="C2344" s="66">
        <v>2013</v>
      </c>
      <c r="D2344" s="66" t="s">
        <v>103</v>
      </c>
      <c r="E2344" s="66">
        <v>0</v>
      </c>
      <c r="F2344" s="67" t="s">
        <v>450</v>
      </c>
      <c r="G2344" s="66"/>
      <c r="H2344" s="68"/>
      <c r="I2344" s="69"/>
    </row>
    <row r="2345" spans="2:9" x14ac:dyDescent="0.2">
      <c r="B2345" s="54" t="str">
        <f t="shared" si="46"/>
        <v>2013-096-1</v>
      </c>
      <c r="C2345" s="55">
        <v>2013</v>
      </c>
      <c r="D2345" s="55" t="s">
        <v>103</v>
      </c>
      <c r="E2345" s="55">
        <v>1</v>
      </c>
      <c r="F2345" s="57" t="s">
        <v>782</v>
      </c>
      <c r="G2345" s="55"/>
      <c r="H2345" s="58"/>
      <c r="I2345" s="59"/>
    </row>
    <row r="2346" spans="2:9" x14ac:dyDescent="0.2">
      <c r="B2346" s="54" t="str">
        <f t="shared" si="46"/>
        <v>2013-096-2</v>
      </c>
      <c r="C2346" s="55">
        <v>2013</v>
      </c>
      <c r="D2346" s="55" t="s">
        <v>103</v>
      </c>
      <c r="E2346" s="55">
        <v>2</v>
      </c>
      <c r="F2346" s="57" t="s">
        <v>1105</v>
      </c>
      <c r="G2346" s="55"/>
      <c r="H2346" s="58"/>
      <c r="I2346" s="59"/>
    </row>
    <row r="2347" spans="2:9" x14ac:dyDescent="0.2">
      <c r="B2347" s="54" t="str">
        <f t="shared" si="46"/>
        <v>2013-096-3</v>
      </c>
      <c r="C2347" s="55">
        <v>2013</v>
      </c>
      <c r="D2347" s="55" t="s">
        <v>103</v>
      </c>
      <c r="E2347" s="55">
        <v>3</v>
      </c>
      <c r="F2347" s="57" t="s">
        <v>1414</v>
      </c>
      <c r="G2347" s="55" t="s">
        <v>2735</v>
      </c>
      <c r="H2347" s="58"/>
      <c r="I2347" s="59"/>
    </row>
    <row r="2348" spans="2:9" ht="27" x14ac:dyDescent="0.2">
      <c r="B2348" s="54" t="str">
        <f t="shared" si="46"/>
        <v>2013-096-4</v>
      </c>
      <c r="C2348" s="55">
        <v>2013</v>
      </c>
      <c r="D2348" s="55" t="s">
        <v>103</v>
      </c>
      <c r="E2348" s="55">
        <v>4</v>
      </c>
      <c r="F2348" s="57" t="s">
        <v>1718</v>
      </c>
      <c r="G2348" s="55"/>
      <c r="H2348" s="58"/>
      <c r="I2348" s="59"/>
    </row>
    <row r="2349" spans="2:9" x14ac:dyDescent="0.2">
      <c r="B2349" s="60" t="str">
        <f t="shared" si="46"/>
        <v>2013-096-5</v>
      </c>
      <c r="C2349" s="61">
        <v>2013</v>
      </c>
      <c r="D2349" s="61" t="s">
        <v>103</v>
      </c>
      <c r="E2349" s="61">
        <v>5</v>
      </c>
      <c r="F2349" s="62" t="s">
        <v>2013</v>
      </c>
      <c r="G2349" s="61"/>
      <c r="H2349" s="63"/>
      <c r="I2349" s="64"/>
    </row>
    <row r="2350" spans="2:9" ht="27" x14ac:dyDescent="0.2">
      <c r="B2350" s="65" t="str">
        <f t="shared" si="46"/>
        <v>2013-097-0</v>
      </c>
      <c r="C2350" s="66">
        <v>2013</v>
      </c>
      <c r="D2350" s="66" t="s">
        <v>104</v>
      </c>
      <c r="E2350" s="66">
        <v>0</v>
      </c>
      <c r="F2350" s="67" t="s">
        <v>451</v>
      </c>
      <c r="G2350" s="66"/>
      <c r="H2350" s="68"/>
      <c r="I2350" s="69"/>
    </row>
    <row r="2351" spans="2:9" x14ac:dyDescent="0.2">
      <c r="B2351" s="54" t="str">
        <f t="shared" si="46"/>
        <v>2013-097-1</v>
      </c>
      <c r="C2351" s="55">
        <v>2013</v>
      </c>
      <c r="D2351" s="55" t="s">
        <v>104</v>
      </c>
      <c r="E2351" s="55">
        <v>1</v>
      </c>
      <c r="F2351" s="57" t="s">
        <v>783</v>
      </c>
      <c r="G2351" s="55" t="s">
        <v>2735</v>
      </c>
      <c r="H2351" s="58"/>
      <c r="I2351" s="59"/>
    </row>
    <row r="2352" spans="2:9" ht="27" x14ac:dyDescent="0.2">
      <c r="B2352" s="54" t="str">
        <f t="shared" si="46"/>
        <v>2013-097-2</v>
      </c>
      <c r="C2352" s="55">
        <v>2013</v>
      </c>
      <c r="D2352" s="55" t="s">
        <v>104</v>
      </c>
      <c r="E2352" s="55">
        <v>2</v>
      </c>
      <c r="F2352" s="57" t="s">
        <v>1106</v>
      </c>
      <c r="G2352" s="55"/>
      <c r="H2352" s="58"/>
      <c r="I2352" s="59"/>
    </row>
    <row r="2353" spans="2:9" x14ac:dyDescent="0.2">
      <c r="B2353" s="54" t="str">
        <f t="shared" si="46"/>
        <v>2013-097-3</v>
      </c>
      <c r="C2353" s="55">
        <v>2013</v>
      </c>
      <c r="D2353" s="55" t="s">
        <v>104</v>
      </c>
      <c r="E2353" s="55">
        <v>3</v>
      </c>
      <c r="F2353" s="57" t="s">
        <v>1415</v>
      </c>
      <c r="G2353" s="55"/>
      <c r="H2353" s="58"/>
      <c r="I2353" s="59"/>
    </row>
    <row r="2354" spans="2:9" ht="27" x14ac:dyDescent="0.2">
      <c r="B2354" s="54" t="str">
        <f t="shared" si="46"/>
        <v>2013-097-4</v>
      </c>
      <c r="C2354" s="55">
        <v>2013</v>
      </c>
      <c r="D2354" s="55" t="s">
        <v>104</v>
      </c>
      <c r="E2354" s="55">
        <v>4</v>
      </c>
      <c r="F2354" s="57" t="s">
        <v>1719</v>
      </c>
      <c r="G2354" s="55"/>
      <c r="H2354" s="58"/>
      <c r="I2354" s="59"/>
    </row>
    <row r="2355" spans="2:9" ht="27" x14ac:dyDescent="0.2">
      <c r="B2355" s="60" t="str">
        <f t="shared" si="46"/>
        <v>2013-097-5</v>
      </c>
      <c r="C2355" s="61">
        <v>2013</v>
      </c>
      <c r="D2355" s="61" t="s">
        <v>104</v>
      </c>
      <c r="E2355" s="61">
        <v>5</v>
      </c>
      <c r="F2355" s="62" t="s">
        <v>2014</v>
      </c>
      <c r="G2355" s="61"/>
      <c r="H2355" s="63"/>
      <c r="I2355" s="64"/>
    </row>
    <row r="2356" spans="2:9" ht="40.5" x14ac:dyDescent="0.2">
      <c r="B2356" s="65" t="str">
        <f t="shared" si="46"/>
        <v>2013-098-0</v>
      </c>
      <c r="C2356" s="66">
        <v>2013</v>
      </c>
      <c r="D2356" s="66" t="s">
        <v>105</v>
      </c>
      <c r="E2356" s="66">
        <v>0</v>
      </c>
      <c r="F2356" s="67" t="s">
        <v>452</v>
      </c>
      <c r="G2356" s="66"/>
      <c r="H2356" s="68"/>
      <c r="I2356" s="69"/>
    </row>
    <row r="2357" spans="2:9" x14ac:dyDescent="0.2">
      <c r="B2357" s="54" t="str">
        <f t="shared" si="46"/>
        <v>2013-098-1</v>
      </c>
      <c r="C2357" s="55">
        <v>2013</v>
      </c>
      <c r="D2357" s="55" t="s">
        <v>105</v>
      </c>
      <c r="E2357" s="55">
        <v>1</v>
      </c>
      <c r="F2357" s="57" t="s">
        <v>784</v>
      </c>
      <c r="G2357" s="55"/>
      <c r="H2357" s="58"/>
      <c r="I2357" s="59"/>
    </row>
    <row r="2358" spans="2:9" x14ac:dyDescent="0.2">
      <c r="B2358" s="54" t="str">
        <f t="shared" si="46"/>
        <v>2013-098-2</v>
      </c>
      <c r="C2358" s="55">
        <v>2013</v>
      </c>
      <c r="D2358" s="55" t="s">
        <v>105</v>
      </c>
      <c r="E2358" s="55">
        <v>2</v>
      </c>
      <c r="F2358" s="57" t="s">
        <v>1107</v>
      </c>
      <c r="G2358" s="55"/>
      <c r="H2358" s="58"/>
      <c r="I2358" s="59"/>
    </row>
    <row r="2359" spans="2:9" x14ac:dyDescent="0.2">
      <c r="B2359" s="54" t="str">
        <f t="shared" si="46"/>
        <v>2013-098-3</v>
      </c>
      <c r="C2359" s="55">
        <v>2013</v>
      </c>
      <c r="D2359" s="55" t="s">
        <v>105</v>
      </c>
      <c r="E2359" s="55">
        <v>3</v>
      </c>
      <c r="F2359" s="57" t="s">
        <v>1416</v>
      </c>
      <c r="G2359" s="55" t="s">
        <v>2735</v>
      </c>
      <c r="H2359" s="58"/>
      <c r="I2359" s="59"/>
    </row>
    <row r="2360" spans="2:9" x14ac:dyDescent="0.2">
      <c r="B2360" s="54" t="str">
        <f t="shared" si="46"/>
        <v>2013-098-4</v>
      </c>
      <c r="C2360" s="55">
        <v>2013</v>
      </c>
      <c r="D2360" s="55" t="s">
        <v>105</v>
      </c>
      <c r="E2360" s="55">
        <v>4</v>
      </c>
      <c r="F2360" s="57" t="s">
        <v>1720</v>
      </c>
      <c r="G2360" s="55"/>
      <c r="H2360" s="58"/>
      <c r="I2360" s="59"/>
    </row>
    <row r="2361" spans="2:9" x14ac:dyDescent="0.2">
      <c r="B2361" s="60" t="str">
        <f t="shared" si="46"/>
        <v>2013-098-5</v>
      </c>
      <c r="C2361" s="61">
        <v>2013</v>
      </c>
      <c r="D2361" s="61" t="s">
        <v>105</v>
      </c>
      <c r="E2361" s="61">
        <v>5</v>
      </c>
      <c r="F2361" s="62" t="s">
        <v>2015</v>
      </c>
      <c r="G2361" s="61"/>
      <c r="H2361" s="63"/>
      <c r="I2361" s="64"/>
    </row>
    <row r="2362" spans="2:9" ht="67.5" x14ac:dyDescent="0.2">
      <c r="B2362" s="65" t="str">
        <f t="shared" si="46"/>
        <v>2013-099-0</v>
      </c>
      <c r="C2362" s="66">
        <v>2013</v>
      </c>
      <c r="D2362" s="66" t="s">
        <v>106</v>
      </c>
      <c r="E2362" s="66">
        <v>0</v>
      </c>
      <c r="F2362" s="67" t="s">
        <v>453</v>
      </c>
      <c r="G2362" s="66"/>
      <c r="H2362" s="68"/>
      <c r="I2362" s="69"/>
    </row>
    <row r="2363" spans="2:9" x14ac:dyDescent="0.2">
      <c r="B2363" s="54" t="str">
        <f t="shared" si="46"/>
        <v>2013-099-1</v>
      </c>
      <c r="C2363" s="55">
        <v>2013</v>
      </c>
      <c r="D2363" s="55" t="s">
        <v>106</v>
      </c>
      <c r="E2363" s="55">
        <v>1</v>
      </c>
      <c r="F2363" s="57" t="s">
        <v>785</v>
      </c>
      <c r="G2363" s="55" t="s">
        <v>2735</v>
      </c>
      <c r="H2363" s="58"/>
      <c r="I2363" s="59"/>
    </row>
    <row r="2364" spans="2:9" x14ac:dyDescent="0.2">
      <c r="B2364" s="54" t="str">
        <f t="shared" si="46"/>
        <v>2013-099-2</v>
      </c>
      <c r="C2364" s="55">
        <v>2013</v>
      </c>
      <c r="D2364" s="55" t="s">
        <v>106</v>
      </c>
      <c r="E2364" s="55">
        <v>2</v>
      </c>
      <c r="F2364" s="57" t="s">
        <v>1108</v>
      </c>
      <c r="G2364" s="55"/>
      <c r="H2364" s="58"/>
      <c r="I2364" s="59"/>
    </row>
    <row r="2365" spans="2:9" x14ac:dyDescent="0.2">
      <c r="B2365" s="54" t="str">
        <f t="shared" si="46"/>
        <v>2013-099-3</v>
      </c>
      <c r="C2365" s="55">
        <v>2013</v>
      </c>
      <c r="D2365" s="55" t="s">
        <v>106</v>
      </c>
      <c r="E2365" s="55">
        <v>3</v>
      </c>
      <c r="F2365" s="57" t="s">
        <v>1417</v>
      </c>
      <c r="G2365" s="55"/>
      <c r="H2365" s="58"/>
      <c r="I2365" s="59"/>
    </row>
    <row r="2366" spans="2:9" x14ac:dyDescent="0.2">
      <c r="B2366" s="54" t="str">
        <f t="shared" si="46"/>
        <v>2013-099-4</v>
      </c>
      <c r="C2366" s="55">
        <v>2013</v>
      </c>
      <c r="D2366" s="55" t="s">
        <v>106</v>
      </c>
      <c r="E2366" s="55">
        <v>4</v>
      </c>
      <c r="F2366" s="57" t="s">
        <v>1721</v>
      </c>
      <c r="G2366" s="55"/>
      <c r="H2366" s="58"/>
      <c r="I2366" s="59"/>
    </row>
    <row r="2367" spans="2:9" x14ac:dyDescent="0.2">
      <c r="B2367" s="60" t="str">
        <f t="shared" si="46"/>
        <v>2013-099-5</v>
      </c>
      <c r="C2367" s="61">
        <v>2013</v>
      </c>
      <c r="D2367" s="61" t="s">
        <v>106</v>
      </c>
      <c r="E2367" s="61">
        <v>5</v>
      </c>
      <c r="F2367" s="62" t="s">
        <v>2016</v>
      </c>
      <c r="G2367" s="61"/>
      <c r="H2367" s="63"/>
      <c r="I2367" s="64"/>
    </row>
    <row r="2368" spans="2:9" ht="54" x14ac:dyDescent="0.2">
      <c r="B2368" s="65" t="str">
        <f t="shared" si="46"/>
        <v>2013-100-0</v>
      </c>
      <c r="C2368" s="66">
        <v>2013</v>
      </c>
      <c r="D2368" s="66" t="s">
        <v>107</v>
      </c>
      <c r="E2368" s="66">
        <v>0</v>
      </c>
      <c r="F2368" s="67" t="s">
        <v>454</v>
      </c>
      <c r="G2368" s="66"/>
      <c r="H2368" s="68"/>
      <c r="I2368" s="69"/>
    </row>
    <row r="2369" spans="2:9" x14ac:dyDescent="0.2">
      <c r="B2369" s="54" t="str">
        <f t="shared" si="46"/>
        <v>2013-100-1</v>
      </c>
      <c r="C2369" s="55">
        <v>2013</v>
      </c>
      <c r="D2369" s="55" t="s">
        <v>107</v>
      </c>
      <c r="E2369" s="55">
        <v>1</v>
      </c>
      <c r="F2369" s="57" t="s">
        <v>786</v>
      </c>
      <c r="G2369" s="55"/>
      <c r="H2369" s="58"/>
      <c r="I2369" s="59"/>
    </row>
    <row r="2370" spans="2:9" x14ac:dyDescent="0.2">
      <c r="B2370" s="54" t="str">
        <f t="shared" si="46"/>
        <v>2013-100-2</v>
      </c>
      <c r="C2370" s="55">
        <v>2013</v>
      </c>
      <c r="D2370" s="55" t="s">
        <v>107</v>
      </c>
      <c r="E2370" s="55">
        <v>2</v>
      </c>
      <c r="F2370" s="57" t="s">
        <v>1109</v>
      </c>
      <c r="G2370" s="55"/>
      <c r="H2370" s="58"/>
      <c r="I2370" s="59"/>
    </row>
    <row r="2371" spans="2:9" x14ac:dyDescent="0.2">
      <c r="B2371" s="54" t="str">
        <f t="shared" si="46"/>
        <v>2013-100-3</v>
      </c>
      <c r="C2371" s="55">
        <v>2013</v>
      </c>
      <c r="D2371" s="55" t="s">
        <v>107</v>
      </c>
      <c r="E2371" s="55">
        <v>3</v>
      </c>
      <c r="F2371" s="57" t="s">
        <v>1418</v>
      </c>
      <c r="G2371" s="55" t="s">
        <v>2735</v>
      </c>
      <c r="H2371" s="58"/>
      <c r="I2371" s="59"/>
    </row>
    <row r="2372" spans="2:9" x14ac:dyDescent="0.2">
      <c r="B2372" s="54" t="str">
        <f t="shared" si="46"/>
        <v>2013-100-4</v>
      </c>
      <c r="C2372" s="55">
        <v>2013</v>
      </c>
      <c r="D2372" s="55" t="s">
        <v>107</v>
      </c>
      <c r="E2372" s="55">
        <v>4</v>
      </c>
      <c r="F2372" s="57" t="s">
        <v>1722</v>
      </c>
      <c r="G2372" s="55"/>
      <c r="H2372" s="58"/>
      <c r="I2372" s="59"/>
    </row>
    <row r="2373" spans="2:9" ht="14.25" thickBot="1" x14ac:dyDescent="0.25">
      <c r="B2373" s="70" t="str">
        <f t="shared" si="46"/>
        <v>2013-100-5</v>
      </c>
      <c r="C2373" s="71">
        <v>2013</v>
      </c>
      <c r="D2373" s="71" t="s">
        <v>107</v>
      </c>
      <c r="E2373" s="71">
        <v>5</v>
      </c>
      <c r="F2373" s="72" t="s">
        <v>2017</v>
      </c>
      <c r="G2373" s="71"/>
      <c r="H2373" s="73"/>
      <c r="I2373" s="74"/>
    </row>
    <row r="2374" spans="2:9" x14ac:dyDescent="0.2">
      <c r="B2374" s="48" t="str">
        <f t="shared" ref="B2374" si="47">C2374&amp;"-"&amp;D2374&amp;"-"&amp;E2374</f>
        <v>2012-076-0</v>
      </c>
      <c r="C2374" s="49">
        <v>2012</v>
      </c>
      <c r="D2374" s="49" t="s">
        <v>78</v>
      </c>
      <c r="E2374" s="49">
        <v>0</v>
      </c>
      <c r="F2374" s="51" t="s">
        <v>318</v>
      </c>
      <c r="G2374" s="49"/>
      <c r="H2374" s="52"/>
      <c r="I2374" s="53"/>
    </row>
    <row r="2375" spans="2:9" ht="27" x14ac:dyDescent="0.2">
      <c r="B2375" s="54" t="str">
        <f t="shared" ref="B2375:B2438" si="48">C2375&amp;"-"&amp;D2375&amp;"-"&amp;E2375</f>
        <v>2012-076-1</v>
      </c>
      <c r="C2375" s="55">
        <v>2012</v>
      </c>
      <c r="D2375" s="55" t="s">
        <v>78</v>
      </c>
      <c r="E2375" s="55">
        <v>1</v>
      </c>
      <c r="F2375" s="57" t="s">
        <v>787</v>
      </c>
      <c r="G2375" s="55"/>
      <c r="H2375" s="58"/>
      <c r="I2375" s="59"/>
    </row>
    <row r="2376" spans="2:9" ht="27" x14ac:dyDescent="0.2">
      <c r="B2376" s="54" t="str">
        <f t="shared" si="48"/>
        <v>2012-076-2</v>
      </c>
      <c r="C2376" s="55">
        <v>2012</v>
      </c>
      <c r="D2376" s="55" t="s">
        <v>78</v>
      </c>
      <c r="E2376" s="55">
        <v>2</v>
      </c>
      <c r="F2376" s="57" t="s">
        <v>1110</v>
      </c>
      <c r="G2376" s="55"/>
      <c r="H2376" s="58"/>
      <c r="I2376" s="59"/>
    </row>
    <row r="2377" spans="2:9" x14ac:dyDescent="0.2">
      <c r="B2377" s="54" t="str">
        <f t="shared" si="48"/>
        <v>2012-076-3</v>
      </c>
      <c r="C2377" s="55">
        <v>2012</v>
      </c>
      <c r="D2377" s="55" t="s">
        <v>78</v>
      </c>
      <c r="E2377" s="55">
        <v>3</v>
      </c>
      <c r="F2377" s="57" t="s">
        <v>1419</v>
      </c>
      <c r="G2377" s="55" t="s">
        <v>2735</v>
      </c>
      <c r="H2377" s="58"/>
      <c r="I2377" s="59"/>
    </row>
    <row r="2378" spans="2:9" x14ac:dyDescent="0.2">
      <c r="B2378" s="54" t="str">
        <f t="shared" si="48"/>
        <v>2012-076-4</v>
      </c>
      <c r="C2378" s="55">
        <v>2012</v>
      </c>
      <c r="D2378" s="55" t="s">
        <v>78</v>
      </c>
      <c r="E2378" s="55">
        <v>4</v>
      </c>
      <c r="F2378" s="57" t="s">
        <v>1723</v>
      </c>
      <c r="G2378" s="55"/>
      <c r="H2378" s="58"/>
      <c r="I2378" s="59"/>
    </row>
    <row r="2379" spans="2:9" x14ac:dyDescent="0.2">
      <c r="B2379" s="60" t="str">
        <f t="shared" si="48"/>
        <v>2012-076-5</v>
      </c>
      <c r="C2379" s="61">
        <v>2012</v>
      </c>
      <c r="D2379" s="61" t="s">
        <v>78</v>
      </c>
      <c r="E2379" s="61">
        <v>5</v>
      </c>
      <c r="F2379" s="62" t="s">
        <v>2018</v>
      </c>
      <c r="G2379" s="61"/>
      <c r="H2379" s="63"/>
      <c r="I2379" s="64"/>
    </row>
    <row r="2380" spans="2:9" x14ac:dyDescent="0.2">
      <c r="B2380" s="65" t="str">
        <f t="shared" si="48"/>
        <v>2012-077-0</v>
      </c>
      <c r="C2380" s="66">
        <v>2012</v>
      </c>
      <c r="D2380" s="66" t="s">
        <v>79</v>
      </c>
      <c r="E2380" s="66">
        <v>0</v>
      </c>
      <c r="F2380" s="67" t="s">
        <v>455</v>
      </c>
      <c r="G2380" s="66"/>
      <c r="H2380" s="68"/>
      <c r="I2380" s="69"/>
    </row>
    <row r="2381" spans="2:9" ht="27" x14ac:dyDescent="0.2">
      <c r="B2381" s="54" t="str">
        <f t="shared" si="48"/>
        <v>2012-077-1</v>
      </c>
      <c r="C2381" s="55">
        <v>2012</v>
      </c>
      <c r="D2381" s="55" t="s">
        <v>79</v>
      </c>
      <c r="E2381" s="55">
        <v>1</v>
      </c>
      <c r="F2381" s="57" t="s">
        <v>788</v>
      </c>
      <c r="G2381" s="55" t="s">
        <v>2735</v>
      </c>
      <c r="H2381" s="58"/>
      <c r="I2381" s="59"/>
    </row>
    <row r="2382" spans="2:9" x14ac:dyDescent="0.2">
      <c r="B2382" s="54" t="str">
        <f t="shared" si="48"/>
        <v>2012-077-2</v>
      </c>
      <c r="C2382" s="55">
        <v>2012</v>
      </c>
      <c r="D2382" s="55" t="s">
        <v>79</v>
      </c>
      <c r="E2382" s="55">
        <v>2</v>
      </c>
      <c r="F2382" s="57" t="s">
        <v>1111</v>
      </c>
      <c r="G2382" s="55"/>
      <c r="H2382" s="58"/>
      <c r="I2382" s="59"/>
    </row>
    <row r="2383" spans="2:9" x14ac:dyDescent="0.2">
      <c r="B2383" s="54" t="str">
        <f t="shared" si="48"/>
        <v>2012-077-3</v>
      </c>
      <c r="C2383" s="55">
        <v>2012</v>
      </c>
      <c r="D2383" s="55" t="s">
        <v>79</v>
      </c>
      <c r="E2383" s="55">
        <v>3</v>
      </c>
      <c r="F2383" s="57" t="s">
        <v>1420</v>
      </c>
      <c r="G2383" s="55"/>
      <c r="H2383" s="58"/>
      <c r="I2383" s="59"/>
    </row>
    <row r="2384" spans="2:9" x14ac:dyDescent="0.2">
      <c r="B2384" s="54" t="str">
        <f t="shared" si="48"/>
        <v>2012-077-4</v>
      </c>
      <c r="C2384" s="55">
        <v>2012</v>
      </c>
      <c r="D2384" s="55" t="s">
        <v>79</v>
      </c>
      <c r="E2384" s="55">
        <v>4</v>
      </c>
      <c r="F2384" s="57" t="s">
        <v>1724</v>
      </c>
      <c r="G2384" s="55"/>
      <c r="H2384" s="58"/>
      <c r="I2384" s="59"/>
    </row>
    <row r="2385" spans="2:9" ht="27" x14ac:dyDescent="0.2">
      <c r="B2385" s="60" t="str">
        <f t="shared" si="48"/>
        <v>2012-077-5</v>
      </c>
      <c r="C2385" s="61">
        <v>2012</v>
      </c>
      <c r="D2385" s="61" t="s">
        <v>79</v>
      </c>
      <c r="E2385" s="61">
        <v>5</v>
      </c>
      <c r="F2385" s="62" t="s">
        <v>2019</v>
      </c>
      <c r="G2385" s="61"/>
      <c r="H2385" s="63"/>
      <c r="I2385" s="64"/>
    </row>
    <row r="2386" spans="2:9" x14ac:dyDescent="0.2">
      <c r="B2386" s="65" t="str">
        <f t="shared" si="48"/>
        <v>2012-078-0</v>
      </c>
      <c r="C2386" s="66">
        <v>2012</v>
      </c>
      <c r="D2386" s="66" t="s">
        <v>80</v>
      </c>
      <c r="E2386" s="66">
        <v>0</v>
      </c>
      <c r="F2386" s="67" t="s">
        <v>456</v>
      </c>
      <c r="G2386" s="66"/>
      <c r="H2386" s="68"/>
      <c r="I2386" s="69"/>
    </row>
    <row r="2387" spans="2:9" x14ac:dyDescent="0.2">
      <c r="B2387" s="54" t="str">
        <f t="shared" si="48"/>
        <v>2012-078-1</v>
      </c>
      <c r="C2387" s="55">
        <v>2012</v>
      </c>
      <c r="D2387" s="55" t="s">
        <v>80</v>
      </c>
      <c r="E2387" s="55">
        <v>1</v>
      </c>
      <c r="F2387" s="57" t="s">
        <v>789</v>
      </c>
      <c r="G2387" s="55"/>
      <c r="H2387" s="58"/>
      <c r="I2387" s="59"/>
    </row>
    <row r="2388" spans="2:9" x14ac:dyDescent="0.2">
      <c r="B2388" s="54" t="str">
        <f t="shared" si="48"/>
        <v>2012-078-2</v>
      </c>
      <c r="C2388" s="55">
        <v>2012</v>
      </c>
      <c r="D2388" s="55" t="s">
        <v>80</v>
      </c>
      <c r="E2388" s="55">
        <v>2</v>
      </c>
      <c r="F2388" s="57" t="s">
        <v>1112</v>
      </c>
      <c r="G2388" s="55"/>
      <c r="H2388" s="58"/>
      <c r="I2388" s="59"/>
    </row>
    <row r="2389" spans="2:9" x14ac:dyDescent="0.2">
      <c r="B2389" s="54" t="str">
        <f t="shared" si="48"/>
        <v>2012-078-3</v>
      </c>
      <c r="C2389" s="55">
        <v>2012</v>
      </c>
      <c r="D2389" s="55" t="s">
        <v>80</v>
      </c>
      <c r="E2389" s="55">
        <v>3</v>
      </c>
      <c r="F2389" s="57" t="s">
        <v>1421</v>
      </c>
      <c r="G2389" s="55"/>
      <c r="H2389" s="58"/>
      <c r="I2389" s="59"/>
    </row>
    <row r="2390" spans="2:9" x14ac:dyDescent="0.2">
      <c r="B2390" s="54" t="str">
        <f t="shared" si="48"/>
        <v>2012-078-4</v>
      </c>
      <c r="C2390" s="55">
        <v>2012</v>
      </c>
      <c r="D2390" s="55" t="s">
        <v>80</v>
      </c>
      <c r="E2390" s="55">
        <v>4</v>
      </c>
      <c r="F2390" s="57" t="s">
        <v>1725</v>
      </c>
      <c r="G2390" s="55"/>
      <c r="H2390" s="58"/>
      <c r="I2390" s="59"/>
    </row>
    <row r="2391" spans="2:9" ht="27" x14ac:dyDescent="0.2">
      <c r="B2391" s="60" t="str">
        <f t="shared" si="48"/>
        <v>2012-078-5</v>
      </c>
      <c r="C2391" s="61">
        <v>2012</v>
      </c>
      <c r="D2391" s="61" t="s">
        <v>80</v>
      </c>
      <c r="E2391" s="61">
        <v>5</v>
      </c>
      <c r="F2391" s="62" t="s">
        <v>2020</v>
      </c>
      <c r="G2391" s="61" t="s">
        <v>2735</v>
      </c>
      <c r="H2391" s="63"/>
      <c r="I2391" s="64"/>
    </row>
    <row r="2392" spans="2:9" x14ac:dyDescent="0.2">
      <c r="B2392" s="65" t="str">
        <f t="shared" si="48"/>
        <v>2012-079-0</v>
      </c>
      <c r="C2392" s="66">
        <v>2012</v>
      </c>
      <c r="D2392" s="66" t="s">
        <v>81</v>
      </c>
      <c r="E2392" s="66">
        <v>0</v>
      </c>
      <c r="F2392" s="67" t="s">
        <v>457</v>
      </c>
      <c r="G2392" s="66"/>
      <c r="H2392" s="68"/>
      <c r="I2392" s="69"/>
    </row>
    <row r="2393" spans="2:9" x14ac:dyDescent="0.2">
      <c r="B2393" s="54" t="str">
        <f t="shared" si="48"/>
        <v>2012-079-1</v>
      </c>
      <c r="C2393" s="55">
        <v>2012</v>
      </c>
      <c r="D2393" s="55" t="s">
        <v>81</v>
      </c>
      <c r="E2393" s="55">
        <v>1</v>
      </c>
      <c r="F2393" s="57" t="s">
        <v>790</v>
      </c>
      <c r="G2393" s="55"/>
      <c r="H2393" s="58"/>
      <c r="I2393" s="59"/>
    </row>
    <row r="2394" spans="2:9" x14ac:dyDescent="0.2">
      <c r="B2394" s="54" t="str">
        <f t="shared" si="48"/>
        <v>2012-079-2</v>
      </c>
      <c r="C2394" s="55">
        <v>2012</v>
      </c>
      <c r="D2394" s="55" t="s">
        <v>81</v>
      </c>
      <c r="E2394" s="55">
        <v>2</v>
      </c>
      <c r="F2394" s="57" t="s">
        <v>1113</v>
      </c>
      <c r="G2394" s="55"/>
      <c r="H2394" s="58"/>
      <c r="I2394" s="59"/>
    </row>
    <row r="2395" spans="2:9" x14ac:dyDescent="0.2">
      <c r="B2395" s="54" t="str">
        <f t="shared" si="48"/>
        <v>2012-079-3</v>
      </c>
      <c r="C2395" s="55">
        <v>2012</v>
      </c>
      <c r="D2395" s="55" t="s">
        <v>81</v>
      </c>
      <c r="E2395" s="55">
        <v>3</v>
      </c>
      <c r="F2395" s="57" t="s">
        <v>1422</v>
      </c>
      <c r="G2395" s="55"/>
      <c r="H2395" s="58"/>
      <c r="I2395" s="59"/>
    </row>
    <row r="2396" spans="2:9" x14ac:dyDescent="0.2">
      <c r="B2396" s="54" t="str">
        <f t="shared" si="48"/>
        <v>2012-079-4</v>
      </c>
      <c r="C2396" s="55">
        <v>2012</v>
      </c>
      <c r="D2396" s="55" t="s">
        <v>81</v>
      </c>
      <c r="E2396" s="55">
        <v>4</v>
      </c>
      <c r="F2396" s="57" t="s">
        <v>1726</v>
      </c>
      <c r="G2396" s="55"/>
      <c r="H2396" s="58"/>
      <c r="I2396" s="59"/>
    </row>
    <row r="2397" spans="2:9" x14ac:dyDescent="0.2">
      <c r="B2397" s="60" t="str">
        <f t="shared" si="48"/>
        <v>2012-079-5</v>
      </c>
      <c r="C2397" s="61">
        <v>2012</v>
      </c>
      <c r="D2397" s="61" t="s">
        <v>81</v>
      </c>
      <c r="E2397" s="61">
        <v>5</v>
      </c>
      <c r="F2397" s="62" t="s">
        <v>2021</v>
      </c>
      <c r="G2397" s="61" t="s">
        <v>2735</v>
      </c>
      <c r="H2397" s="63"/>
      <c r="I2397" s="64"/>
    </row>
    <row r="2398" spans="2:9" ht="54" x14ac:dyDescent="0.2">
      <c r="B2398" s="65" t="str">
        <f t="shared" si="48"/>
        <v>2012-080-0</v>
      </c>
      <c r="C2398" s="66">
        <v>2012</v>
      </c>
      <c r="D2398" s="66" t="s">
        <v>82</v>
      </c>
      <c r="E2398" s="66">
        <v>0</v>
      </c>
      <c r="F2398" s="67" t="s">
        <v>458</v>
      </c>
      <c r="G2398" s="66"/>
      <c r="H2398" s="68"/>
      <c r="I2398" s="69"/>
    </row>
    <row r="2399" spans="2:9" x14ac:dyDescent="0.2">
      <c r="B2399" s="54" t="str">
        <f t="shared" si="48"/>
        <v>2012-080-1</v>
      </c>
      <c r="C2399" s="55">
        <v>2012</v>
      </c>
      <c r="D2399" s="55" t="s">
        <v>82</v>
      </c>
      <c r="E2399" s="55">
        <v>1</v>
      </c>
      <c r="F2399" s="57" t="s">
        <v>791</v>
      </c>
      <c r="G2399" s="55"/>
      <c r="H2399" s="58"/>
      <c r="I2399" s="59"/>
    </row>
    <row r="2400" spans="2:9" x14ac:dyDescent="0.2">
      <c r="B2400" s="54" t="str">
        <f t="shared" si="48"/>
        <v>2012-080-2</v>
      </c>
      <c r="C2400" s="55">
        <v>2012</v>
      </c>
      <c r="D2400" s="55" t="s">
        <v>82</v>
      </c>
      <c r="E2400" s="55">
        <v>2</v>
      </c>
      <c r="F2400" s="57" t="s">
        <v>1114</v>
      </c>
      <c r="G2400" s="55" t="s">
        <v>2735</v>
      </c>
      <c r="H2400" s="58"/>
      <c r="I2400" s="59"/>
    </row>
    <row r="2401" spans="2:9" x14ac:dyDescent="0.2">
      <c r="B2401" s="54" t="str">
        <f t="shared" si="48"/>
        <v>2012-080-3</v>
      </c>
      <c r="C2401" s="55">
        <v>2012</v>
      </c>
      <c r="D2401" s="55" t="s">
        <v>82</v>
      </c>
      <c r="E2401" s="55">
        <v>3</v>
      </c>
      <c r="F2401" s="57" t="s">
        <v>1423</v>
      </c>
      <c r="G2401" s="55"/>
      <c r="H2401" s="58"/>
      <c r="I2401" s="59"/>
    </row>
    <row r="2402" spans="2:9" x14ac:dyDescent="0.2">
      <c r="B2402" s="54" t="str">
        <f t="shared" si="48"/>
        <v>2012-080-4</v>
      </c>
      <c r="C2402" s="55">
        <v>2012</v>
      </c>
      <c r="D2402" s="55" t="s">
        <v>82</v>
      </c>
      <c r="E2402" s="55">
        <v>4</v>
      </c>
      <c r="F2402" s="57" t="s">
        <v>1727</v>
      </c>
      <c r="G2402" s="55"/>
      <c r="H2402" s="58"/>
      <c r="I2402" s="59"/>
    </row>
    <row r="2403" spans="2:9" x14ac:dyDescent="0.2">
      <c r="B2403" s="60" t="str">
        <f t="shared" si="48"/>
        <v>2012-080-5</v>
      </c>
      <c r="C2403" s="61">
        <v>2012</v>
      </c>
      <c r="D2403" s="61" t="s">
        <v>82</v>
      </c>
      <c r="E2403" s="61">
        <v>5</v>
      </c>
      <c r="F2403" s="62" t="s">
        <v>2022</v>
      </c>
      <c r="G2403" s="61"/>
      <c r="H2403" s="63"/>
      <c r="I2403" s="64"/>
    </row>
    <row r="2404" spans="2:9" x14ac:dyDescent="0.2">
      <c r="B2404" s="65" t="str">
        <f t="shared" si="48"/>
        <v>2012-081-0</v>
      </c>
      <c r="C2404" s="66">
        <v>2012</v>
      </c>
      <c r="D2404" s="66" t="s">
        <v>88</v>
      </c>
      <c r="E2404" s="66">
        <v>0</v>
      </c>
      <c r="F2404" s="67" t="s">
        <v>459</v>
      </c>
      <c r="G2404" s="66"/>
      <c r="H2404" s="68"/>
      <c r="I2404" s="69"/>
    </row>
    <row r="2405" spans="2:9" x14ac:dyDescent="0.2">
      <c r="B2405" s="54" t="str">
        <f t="shared" si="48"/>
        <v>2012-081-1</v>
      </c>
      <c r="C2405" s="55">
        <v>2012</v>
      </c>
      <c r="D2405" s="55" t="s">
        <v>88</v>
      </c>
      <c r="E2405" s="55">
        <v>1</v>
      </c>
      <c r="F2405" s="57" t="s">
        <v>792</v>
      </c>
      <c r="G2405" s="55"/>
      <c r="H2405" s="58"/>
      <c r="I2405" s="59"/>
    </row>
    <row r="2406" spans="2:9" x14ac:dyDescent="0.2">
      <c r="B2406" s="54" t="str">
        <f t="shared" si="48"/>
        <v>2012-081-2</v>
      </c>
      <c r="C2406" s="55">
        <v>2012</v>
      </c>
      <c r="D2406" s="55" t="s">
        <v>88</v>
      </c>
      <c r="E2406" s="55">
        <v>2</v>
      </c>
      <c r="F2406" s="57" t="s">
        <v>1115</v>
      </c>
      <c r="G2406" s="55"/>
      <c r="H2406" s="58"/>
      <c r="I2406" s="59"/>
    </row>
    <row r="2407" spans="2:9" x14ac:dyDescent="0.2">
      <c r="B2407" s="54" t="str">
        <f t="shared" si="48"/>
        <v>2012-081-3</v>
      </c>
      <c r="C2407" s="55">
        <v>2012</v>
      </c>
      <c r="D2407" s="55" t="s">
        <v>88</v>
      </c>
      <c r="E2407" s="55">
        <v>3</v>
      </c>
      <c r="F2407" s="57" t="s">
        <v>1424</v>
      </c>
      <c r="G2407" s="55" t="s">
        <v>2735</v>
      </c>
      <c r="H2407" s="58"/>
      <c r="I2407" s="59"/>
    </row>
    <row r="2408" spans="2:9" ht="27" x14ac:dyDescent="0.2">
      <c r="B2408" s="54" t="str">
        <f t="shared" si="48"/>
        <v>2012-081-4</v>
      </c>
      <c r="C2408" s="55">
        <v>2012</v>
      </c>
      <c r="D2408" s="55" t="s">
        <v>88</v>
      </c>
      <c r="E2408" s="55">
        <v>4</v>
      </c>
      <c r="F2408" s="57" t="s">
        <v>1728</v>
      </c>
      <c r="G2408" s="55"/>
      <c r="H2408" s="58"/>
      <c r="I2408" s="59"/>
    </row>
    <row r="2409" spans="2:9" x14ac:dyDescent="0.2">
      <c r="B2409" s="60" t="str">
        <f t="shared" si="48"/>
        <v>2012-081-5</v>
      </c>
      <c r="C2409" s="61">
        <v>2012</v>
      </c>
      <c r="D2409" s="61" t="s">
        <v>88</v>
      </c>
      <c r="E2409" s="61">
        <v>5</v>
      </c>
      <c r="F2409" s="62" t="s">
        <v>2023</v>
      </c>
      <c r="G2409" s="61"/>
      <c r="H2409" s="63"/>
      <c r="I2409" s="64"/>
    </row>
    <row r="2410" spans="2:9" x14ac:dyDescent="0.2">
      <c r="B2410" s="65" t="str">
        <f t="shared" si="48"/>
        <v>2012-082-0</v>
      </c>
      <c r="C2410" s="66">
        <v>2012</v>
      </c>
      <c r="D2410" s="66" t="s">
        <v>89</v>
      </c>
      <c r="E2410" s="66">
        <v>0</v>
      </c>
      <c r="F2410" s="67" t="s">
        <v>460</v>
      </c>
      <c r="G2410" s="66"/>
      <c r="H2410" s="68"/>
      <c r="I2410" s="69"/>
    </row>
    <row r="2411" spans="2:9" x14ac:dyDescent="0.2">
      <c r="B2411" s="54" t="str">
        <f t="shared" si="48"/>
        <v>2012-082-1</v>
      </c>
      <c r="C2411" s="55">
        <v>2012</v>
      </c>
      <c r="D2411" s="55" t="s">
        <v>89</v>
      </c>
      <c r="E2411" s="55">
        <v>1</v>
      </c>
      <c r="F2411" s="57" t="s">
        <v>793</v>
      </c>
      <c r="G2411" s="55"/>
      <c r="H2411" s="58"/>
      <c r="I2411" s="59"/>
    </row>
    <row r="2412" spans="2:9" x14ac:dyDescent="0.2">
      <c r="B2412" s="54" t="str">
        <f t="shared" si="48"/>
        <v>2012-082-2</v>
      </c>
      <c r="C2412" s="55">
        <v>2012</v>
      </c>
      <c r="D2412" s="55" t="s">
        <v>89</v>
      </c>
      <c r="E2412" s="55">
        <v>2</v>
      </c>
      <c r="F2412" s="57" t="s">
        <v>1116</v>
      </c>
      <c r="G2412" s="55" t="s">
        <v>2735</v>
      </c>
      <c r="H2412" s="58"/>
      <c r="I2412" s="59"/>
    </row>
    <row r="2413" spans="2:9" x14ac:dyDescent="0.2">
      <c r="B2413" s="54" t="str">
        <f t="shared" si="48"/>
        <v>2012-082-3</v>
      </c>
      <c r="C2413" s="55">
        <v>2012</v>
      </c>
      <c r="D2413" s="55" t="s">
        <v>89</v>
      </c>
      <c r="E2413" s="55">
        <v>3</v>
      </c>
      <c r="F2413" s="57" t="s">
        <v>943</v>
      </c>
      <c r="G2413" s="55"/>
      <c r="H2413" s="58"/>
      <c r="I2413" s="59"/>
    </row>
    <row r="2414" spans="2:9" x14ac:dyDescent="0.2">
      <c r="B2414" s="54" t="str">
        <f t="shared" si="48"/>
        <v>2012-082-4</v>
      </c>
      <c r="C2414" s="55">
        <v>2012</v>
      </c>
      <c r="D2414" s="55" t="s">
        <v>89</v>
      </c>
      <c r="E2414" s="55">
        <v>4</v>
      </c>
      <c r="F2414" s="57" t="s">
        <v>1571</v>
      </c>
      <c r="G2414" s="55"/>
      <c r="H2414" s="58"/>
      <c r="I2414" s="59"/>
    </row>
    <row r="2415" spans="2:9" x14ac:dyDescent="0.2">
      <c r="B2415" s="60" t="str">
        <f t="shared" si="48"/>
        <v>2012-082-5</v>
      </c>
      <c r="C2415" s="61">
        <v>2012</v>
      </c>
      <c r="D2415" s="61" t="s">
        <v>89</v>
      </c>
      <c r="E2415" s="61">
        <v>5</v>
      </c>
      <c r="F2415" s="62" t="s">
        <v>618</v>
      </c>
      <c r="G2415" s="61"/>
      <c r="H2415" s="63"/>
      <c r="I2415" s="64"/>
    </row>
    <row r="2416" spans="2:9" x14ac:dyDescent="0.2">
      <c r="B2416" s="65" t="str">
        <f t="shared" si="48"/>
        <v>2012-083-0</v>
      </c>
      <c r="C2416" s="66">
        <v>2012</v>
      </c>
      <c r="D2416" s="66" t="s">
        <v>90</v>
      </c>
      <c r="E2416" s="66">
        <v>0</v>
      </c>
      <c r="F2416" s="67" t="s">
        <v>461</v>
      </c>
      <c r="G2416" s="66"/>
      <c r="H2416" s="68"/>
      <c r="I2416" s="69"/>
    </row>
    <row r="2417" spans="2:9" x14ac:dyDescent="0.2">
      <c r="B2417" s="54" t="str">
        <f t="shared" si="48"/>
        <v>2012-083-1</v>
      </c>
      <c r="C2417" s="55">
        <v>2012</v>
      </c>
      <c r="D2417" s="55" t="s">
        <v>90</v>
      </c>
      <c r="E2417" s="55">
        <v>1</v>
      </c>
      <c r="F2417" s="57" t="s">
        <v>794</v>
      </c>
      <c r="G2417" s="55"/>
      <c r="H2417" s="58"/>
      <c r="I2417" s="59"/>
    </row>
    <row r="2418" spans="2:9" x14ac:dyDescent="0.2">
      <c r="B2418" s="54" t="str">
        <f t="shared" si="48"/>
        <v>2012-083-2</v>
      </c>
      <c r="C2418" s="55">
        <v>2012</v>
      </c>
      <c r="D2418" s="55" t="s">
        <v>90</v>
      </c>
      <c r="E2418" s="55">
        <v>2</v>
      </c>
      <c r="F2418" s="57" t="s">
        <v>1117</v>
      </c>
      <c r="G2418" s="55"/>
      <c r="H2418" s="58"/>
      <c r="I2418" s="59"/>
    </row>
    <row r="2419" spans="2:9" x14ac:dyDescent="0.2">
      <c r="B2419" s="54" t="str">
        <f t="shared" si="48"/>
        <v>2012-083-3</v>
      </c>
      <c r="C2419" s="55">
        <v>2012</v>
      </c>
      <c r="D2419" s="55" t="s">
        <v>90</v>
      </c>
      <c r="E2419" s="55">
        <v>3</v>
      </c>
      <c r="F2419" s="57" t="s">
        <v>1246</v>
      </c>
      <c r="G2419" s="55"/>
      <c r="H2419" s="58"/>
      <c r="I2419" s="59"/>
    </row>
    <row r="2420" spans="2:9" x14ac:dyDescent="0.2">
      <c r="B2420" s="54" t="str">
        <f t="shared" si="48"/>
        <v>2012-083-4</v>
      </c>
      <c r="C2420" s="55">
        <v>2012</v>
      </c>
      <c r="D2420" s="55" t="s">
        <v>90</v>
      </c>
      <c r="E2420" s="55">
        <v>4</v>
      </c>
      <c r="F2420" s="57" t="s">
        <v>1729</v>
      </c>
      <c r="G2420" s="55" t="s">
        <v>2735</v>
      </c>
      <c r="H2420" s="58"/>
      <c r="I2420" s="59"/>
    </row>
    <row r="2421" spans="2:9" ht="27" x14ac:dyDescent="0.2">
      <c r="B2421" s="60" t="str">
        <f t="shared" si="48"/>
        <v>2012-083-5</v>
      </c>
      <c r="C2421" s="61">
        <v>2012</v>
      </c>
      <c r="D2421" s="61" t="s">
        <v>90</v>
      </c>
      <c r="E2421" s="61">
        <v>5</v>
      </c>
      <c r="F2421" s="62" t="s">
        <v>2024</v>
      </c>
      <c r="G2421" s="61"/>
      <c r="H2421" s="63"/>
      <c r="I2421" s="64"/>
    </row>
    <row r="2422" spans="2:9" x14ac:dyDescent="0.2">
      <c r="B2422" s="65" t="str">
        <f t="shared" si="48"/>
        <v>2012-084-0</v>
      </c>
      <c r="C2422" s="66">
        <v>2012</v>
      </c>
      <c r="D2422" s="66" t="s">
        <v>91</v>
      </c>
      <c r="E2422" s="66">
        <v>0</v>
      </c>
      <c r="F2422" s="67" t="s">
        <v>462</v>
      </c>
      <c r="G2422" s="66"/>
      <c r="H2422" s="68"/>
      <c r="I2422" s="69"/>
    </row>
    <row r="2423" spans="2:9" x14ac:dyDescent="0.2">
      <c r="B2423" s="54" t="str">
        <f t="shared" si="48"/>
        <v>2012-084-1</v>
      </c>
      <c r="C2423" s="55">
        <v>2012</v>
      </c>
      <c r="D2423" s="55" t="s">
        <v>91</v>
      </c>
      <c r="E2423" s="55">
        <v>1</v>
      </c>
      <c r="F2423" s="57" t="s">
        <v>617</v>
      </c>
      <c r="G2423" s="55"/>
      <c r="H2423" s="58"/>
      <c r="I2423" s="59"/>
    </row>
    <row r="2424" spans="2:9" x14ac:dyDescent="0.2">
      <c r="B2424" s="54" t="str">
        <f t="shared" si="48"/>
        <v>2012-084-2</v>
      </c>
      <c r="C2424" s="55">
        <v>2012</v>
      </c>
      <c r="D2424" s="55" t="s">
        <v>91</v>
      </c>
      <c r="E2424" s="55">
        <v>2</v>
      </c>
      <c r="F2424" s="57" t="s">
        <v>1118</v>
      </c>
      <c r="G2424" s="55" t="s">
        <v>2735</v>
      </c>
      <c r="H2424" s="58"/>
      <c r="I2424" s="59"/>
    </row>
    <row r="2425" spans="2:9" x14ac:dyDescent="0.2">
      <c r="B2425" s="54" t="str">
        <f t="shared" si="48"/>
        <v>2012-084-3</v>
      </c>
      <c r="C2425" s="55">
        <v>2012</v>
      </c>
      <c r="D2425" s="55" t="s">
        <v>91</v>
      </c>
      <c r="E2425" s="55">
        <v>3</v>
      </c>
      <c r="F2425" s="57" t="s">
        <v>1425</v>
      </c>
      <c r="G2425" s="55"/>
      <c r="H2425" s="58"/>
      <c r="I2425" s="59"/>
    </row>
    <row r="2426" spans="2:9" x14ac:dyDescent="0.2">
      <c r="B2426" s="54" t="str">
        <f t="shared" si="48"/>
        <v>2012-084-4</v>
      </c>
      <c r="C2426" s="55">
        <v>2012</v>
      </c>
      <c r="D2426" s="55" t="s">
        <v>91</v>
      </c>
      <c r="E2426" s="55">
        <v>4</v>
      </c>
      <c r="F2426" s="57" t="s">
        <v>1570</v>
      </c>
      <c r="G2426" s="55"/>
      <c r="H2426" s="58"/>
      <c r="I2426" s="59"/>
    </row>
    <row r="2427" spans="2:9" x14ac:dyDescent="0.2">
      <c r="B2427" s="60" t="str">
        <f t="shared" si="48"/>
        <v>2012-084-5</v>
      </c>
      <c r="C2427" s="61">
        <v>2012</v>
      </c>
      <c r="D2427" s="61" t="s">
        <v>91</v>
      </c>
      <c r="E2427" s="61">
        <v>5</v>
      </c>
      <c r="F2427" s="62" t="s">
        <v>2025</v>
      </c>
      <c r="G2427" s="61"/>
      <c r="H2427" s="63"/>
      <c r="I2427" s="64"/>
    </row>
    <row r="2428" spans="2:9" ht="40.5" x14ac:dyDescent="0.2">
      <c r="B2428" s="65" t="str">
        <f t="shared" si="48"/>
        <v>2012-085-0</v>
      </c>
      <c r="C2428" s="66">
        <v>2012</v>
      </c>
      <c r="D2428" s="66" t="s">
        <v>92</v>
      </c>
      <c r="E2428" s="66">
        <v>0</v>
      </c>
      <c r="F2428" s="67" t="s">
        <v>463</v>
      </c>
      <c r="G2428" s="66"/>
      <c r="H2428" s="68"/>
      <c r="I2428" s="69"/>
    </row>
    <row r="2429" spans="2:9" x14ac:dyDescent="0.2">
      <c r="B2429" s="54" t="str">
        <f t="shared" si="48"/>
        <v>2012-085-1</v>
      </c>
      <c r="C2429" s="55">
        <v>2012</v>
      </c>
      <c r="D2429" s="55" t="s">
        <v>92</v>
      </c>
      <c r="E2429" s="55">
        <v>1</v>
      </c>
      <c r="F2429" s="57">
        <v>56</v>
      </c>
      <c r="G2429" s="55" t="s">
        <v>2735</v>
      </c>
      <c r="H2429" s="58"/>
      <c r="I2429" s="59"/>
    </row>
    <row r="2430" spans="2:9" x14ac:dyDescent="0.2">
      <c r="B2430" s="54" t="str">
        <f t="shared" si="48"/>
        <v>2012-085-2</v>
      </c>
      <c r="C2430" s="55">
        <v>2012</v>
      </c>
      <c r="D2430" s="55" t="s">
        <v>92</v>
      </c>
      <c r="E2430" s="55">
        <v>2</v>
      </c>
      <c r="F2430" s="57">
        <v>57</v>
      </c>
      <c r="G2430" s="55"/>
      <c r="H2430" s="58"/>
      <c r="I2430" s="59"/>
    </row>
    <row r="2431" spans="2:9" x14ac:dyDescent="0.2">
      <c r="B2431" s="54" t="str">
        <f t="shared" si="48"/>
        <v>2012-085-3</v>
      </c>
      <c r="C2431" s="55">
        <v>2012</v>
      </c>
      <c r="D2431" s="55" t="s">
        <v>92</v>
      </c>
      <c r="E2431" s="55">
        <v>3</v>
      </c>
      <c r="F2431" s="57">
        <v>58</v>
      </c>
      <c r="G2431" s="55"/>
      <c r="H2431" s="58"/>
      <c r="I2431" s="59"/>
    </row>
    <row r="2432" spans="2:9" x14ac:dyDescent="0.2">
      <c r="B2432" s="54" t="str">
        <f t="shared" si="48"/>
        <v>2012-085-4</v>
      </c>
      <c r="C2432" s="55">
        <v>2012</v>
      </c>
      <c r="D2432" s="55" t="s">
        <v>92</v>
      </c>
      <c r="E2432" s="55">
        <v>4</v>
      </c>
      <c r="F2432" s="57">
        <v>59</v>
      </c>
      <c r="G2432" s="55"/>
      <c r="H2432" s="58"/>
      <c r="I2432" s="59"/>
    </row>
    <row r="2433" spans="2:9" x14ac:dyDescent="0.2">
      <c r="B2433" s="60" t="str">
        <f t="shared" si="48"/>
        <v>2012-085-5</v>
      </c>
      <c r="C2433" s="61">
        <v>2012</v>
      </c>
      <c r="D2433" s="61" t="s">
        <v>92</v>
      </c>
      <c r="E2433" s="61">
        <v>5</v>
      </c>
      <c r="F2433" s="62">
        <v>60</v>
      </c>
      <c r="G2433" s="61"/>
      <c r="H2433" s="63"/>
      <c r="I2433" s="64"/>
    </row>
    <row r="2434" spans="2:9" x14ac:dyDescent="0.2">
      <c r="B2434" s="65" t="str">
        <f t="shared" si="48"/>
        <v>2012-086-0</v>
      </c>
      <c r="C2434" s="66">
        <v>2012</v>
      </c>
      <c r="D2434" s="66" t="s">
        <v>93</v>
      </c>
      <c r="E2434" s="66">
        <v>0</v>
      </c>
      <c r="F2434" s="67" t="s">
        <v>303</v>
      </c>
      <c r="G2434" s="66"/>
      <c r="H2434" s="68"/>
      <c r="I2434" s="69"/>
    </row>
    <row r="2435" spans="2:9" x14ac:dyDescent="0.2">
      <c r="B2435" s="54" t="str">
        <f t="shared" si="48"/>
        <v>2012-086-1</v>
      </c>
      <c r="C2435" s="55">
        <v>2012</v>
      </c>
      <c r="D2435" s="55" t="s">
        <v>93</v>
      </c>
      <c r="E2435" s="55">
        <v>1</v>
      </c>
      <c r="F2435" s="57" t="s">
        <v>795</v>
      </c>
      <c r="G2435" s="55"/>
      <c r="H2435" s="58"/>
      <c r="I2435" s="59"/>
    </row>
    <row r="2436" spans="2:9" x14ac:dyDescent="0.2">
      <c r="B2436" s="54" t="str">
        <f t="shared" si="48"/>
        <v>2012-086-2</v>
      </c>
      <c r="C2436" s="55">
        <v>2012</v>
      </c>
      <c r="D2436" s="55" t="s">
        <v>93</v>
      </c>
      <c r="E2436" s="55">
        <v>2</v>
      </c>
      <c r="F2436" s="57" t="s">
        <v>1119</v>
      </c>
      <c r="G2436" s="55"/>
      <c r="H2436" s="58"/>
      <c r="I2436" s="59"/>
    </row>
    <row r="2437" spans="2:9" x14ac:dyDescent="0.2">
      <c r="B2437" s="54" t="str">
        <f t="shared" si="48"/>
        <v>2012-086-3</v>
      </c>
      <c r="C2437" s="55">
        <v>2012</v>
      </c>
      <c r="D2437" s="55" t="s">
        <v>93</v>
      </c>
      <c r="E2437" s="55">
        <v>3</v>
      </c>
      <c r="F2437" s="57" t="s">
        <v>1426</v>
      </c>
      <c r="G2437" s="55" t="s">
        <v>2735</v>
      </c>
      <c r="H2437" s="58"/>
      <c r="I2437" s="59"/>
    </row>
    <row r="2438" spans="2:9" x14ac:dyDescent="0.2">
      <c r="B2438" s="54" t="str">
        <f t="shared" si="48"/>
        <v>2012-086-4</v>
      </c>
      <c r="C2438" s="55">
        <v>2012</v>
      </c>
      <c r="D2438" s="55" t="s">
        <v>93</v>
      </c>
      <c r="E2438" s="55">
        <v>4</v>
      </c>
      <c r="F2438" s="57" t="s">
        <v>926</v>
      </c>
      <c r="G2438" s="55"/>
      <c r="H2438" s="58"/>
      <c r="I2438" s="59"/>
    </row>
    <row r="2439" spans="2:9" x14ac:dyDescent="0.2">
      <c r="B2439" s="60" t="str">
        <f t="shared" ref="B2439:B2502" si="49">C2439&amp;"-"&amp;D2439&amp;"-"&amp;E2439</f>
        <v>2012-086-5</v>
      </c>
      <c r="C2439" s="61">
        <v>2012</v>
      </c>
      <c r="D2439" s="61" t="s">
        <v>93</v>
      </c>
      <c r="E2439" s="61">
        <v>5</v>
      </c>
      <c r="F2439" s="62" t="s">
        <v>643</v>
      </c>
      <c r="G2439" s="61"/>
      <c r="H2439" s="63"/>
      <c r="I2439" s="64"/>
    </row>
    <row r="2440" spans="2:9" x14ac:dyDescent="0.2">
      <c r="B2440" s="65" t="str">
        <f t="shared" si="49"/>
        <v>2012-087-0</v>
      </c>
      <c r="C2440" s="66">
        <v>2012</v>
      </c>
      <c r="D2440" s="66" t="s">
        <v>94</v>
      </c>
      <c r="E2440" s="66">
        <v>0</v>
      </c>
      <c r="F2440" s="67" t="s">
        <v>464</v>
      </c>
      <c r="G2440" s="66"/>
      <c r="H2440" s="68"/>
      <c r="I2440" s="69"/>
    </row>
    <row r="2441" spans="2:9" x14ac:dyDescent="0.2">
      <c r="B2441" s="54" t="str">
        <f t="shared" si="49"/>
        <v>2012-087-1</v>
      </c>
      <c r="C2441" s="55">
        <v>2012</v>
      </c>
      <c r="D2441" s="55" t="s">
        <v>94</v>
      </c>
      <c r="E2441" s="55">
        <v>1</v>
      </c>
      <c r="F2441" s="57" t="s">
        <v>796</v>
      </c>
      <c r="G2441" s="55"/>
      <c r="H2441" s="58"/>
      <c r="I2441" s="59"/>
    </row>
    <row r="2442" spans="2:9" ht="27" x14ac:dyDescent="0.2">
      <c r="B2442" s="54" t="str">
        <f t="shared" si="49"/>
        <v>2012-087-2</v>
      </c>
      <c r="C2442" s="55">
        <v>2012</v>
      </c>
      <c r="D2442" s="55" t="s">
        <v>94</v>
      </c>
      <c r="E2442" s="55">
        <v>2</v>
      </c>
      <c r="F2442" s="57" t="s">
        <v>1120</v>
      </c>
      <c r="G2442" s="55"/>
      <c r="H2442" s="58"/>
      <c r="I2442" s="59"/>
    </row>
    <row r="2443" spans="2:9" x14ac:dyDescent="0.2">
      <c r="B2443" s="54" t="str">
        <f t="shared" si="49"/>
        <v>2012-087-3</v>
      </c>
      <c r="C2443" s="55">
        <v>2012</v>
      </c>
      <c r="D2443" s="55" t="s">
        <v>94</v>
      </c>
      <c r="E2443" s="55">
        <v>3</v>
      </c>
      <c r="F2443" s="57" t="s">
        <v>1427</v>
      </c>
      <c r="G2443" s="55"/>
      <c r="H2443" s="58"/>
      <c r="I2443" s="59"/>
    </row>
    <row r="2444" spans="2:9" ht="27" x14ac:dyDescent="0.2">
      <c r="B2444" s="54" t="str">
        <f t="shared" si="49"/>
        <v>2012-087-4</v>
      </c>
      <c r="C2444" s="55">
        <v>2012</v>
      </c>
      <c r="D2444" s="55" t="s">
        <v>94</v>
      </c>
      <c r="E2444" s="55">
        <v>4</v>
      </c>
      <c r="F2444" s="57" t="s">
        <v>1730</v>
      </c>
      <c r="G2444" s="55" t="s">
        <v>2735</v>
      </c>
      <c r="H2444" s="58"/>
      <c r="I2444" s="59"/>
    </row>
    <row r="2445" spans="2:9" x14ac:dyDescent="0.2">
      <c r="B2445" s="60" t="str">
        <f t="shared" si="49"/>
        <v>2012-087-5</v>
      </c>
      <c r="C2445" s="61">
        <v>2012</v>
      </c>
      <c r="D2445" s="61" t="s">
        <v>94</v>
      </c>
      <c r="E2445" s="61">
        <v>5</v>
      </c>
      <c r="F2445" s="62" t="s">
        <v>2026</v>
      </c>
      <c r="G2445" s="61"/>
      <c r="H2445" s="63"/>
      <c r="I2445" s="64"/>
    </row>
    <row r="2446" spans="2:9" ht="54" x14ac:dyDescent="0.2">
      <c r="B2446" s="65" t="str">
        <f t="shared" si="49"/>
        <v>2012-088-0</v>
      </c>
      <c r="C2446" s="66">
        <v>2012</v>
      </c>
      <c r="D2446" s="66" t="s">
        <v>95</v>
      </c>
      <c r="E2446" s="66">
        <v>0</v>
      </c>
      <c r="F2446" s="67" t="s">
        <v>465</v>
      </c>
      <c r="G2446" s="66"/>
      <c r="H2446" s="68"/>
      <c r="I2446" s="69"/>
    </row>
    <row r="2447" spans="2:9" x14ac:dyDescent="0.2">
      <c r="B2447" s="54" t="str">
        <f t="shared" si="49"/>
        <v>2012-088-1</v>
      </c>
      <c r="C2447" s="55">
        <v>2012</v>
      </c>
      <c r="D2447" s="55" t="s">
        <v>95</v>
      </c>
      <c r="E2447" s="55">
        <v>1</v>
      </c>
      <c r="F2447" s="57" t="s">
        <v>797</v>
      </c>
      <c r="G2447" s="55"/>
      <c r="H2447" s="58"/>
      <c r="I2447" s="59"/>
    </row>
    <row r="2448" spans="2:9" x14ac:dyDescent="0.2">
      <c r="B2448" s="54" t="str">
        <f t="shared" si="49"/>
        <v>2012-088-2</v>
      </c>
      <c r="C2448" s="55">
        <v>2012</v>
      </c>
      <c r="D2448" s="55" t="s">
        <v>95</v>
      </c>
      <c r="E2448" s="55">
        <v>2</v>
      </c>
      <c r="F2448" s="57" t="s">
        <v>1121</v>
      </c>
      <c r="G2448" s="55" t="s">
        <v>2735</v>
      </c>
      <c r="H2448" s="58"/>
      <c r="I2448" s="59"/>
    </row>
    <row r="2449" spans="2:9" x14ac:dyDescent="0.2">
      <c r="B2449" s="54" t="str">
        <f t="shared" si="49"/>
        <v>2012-088-3</v>
      </c>
      <c r="C2449" s="55">
        <v>2012</v>
      </c>
      <c r="D2449" s="55" t="s">
        <v>95</v>
      </c>
      <c r="E2449" s="55">
        <v>3</v>
      </c>
      <c r="F2449" s="57" t="s">
        <v>1428</v>
      </c>
      <c r="G2449" s="55"/>
      <c r="H2449" s="58"/>
      <c r="I2449" s="59"/>
    </row>
    <row r="2450" spans="2:9" x14ac:dyDescent="0.2">
      <c r="B2450" s="54" t="str">
        <f t="shared" si="49"/>
        <v>2012-088-4</v>
      </c>
      <c r="C2450" s="55">
        <v>2012</v>
      </c>
      <c r="D2450" s="55" t="s">
        <v>95</v>
      </c>
      <c r="E2450" s="55">
        <v>4</v>
      </c>
      <c r="F2450" s="57" t="s">
        <v>1731</v>
      </c>
      <c r="G2450" s="55"/>
      <c r="H2450" s="58"/>
      <c r="I2450" s="59"/>
    </row>
    <row r="2451" spans="2:9" x14ac:dyDescent="0.2">
      <c r="B2451" s="60" t="str">
        <f t="shared" si="49"/>
        <v>2012-088-5</v>
      </c>
      <c r="C2451" s="61">
        <v>2012</v>
      </c>
      <c r="D2451" s="61" t="s">
        <v>95</v>
      </c>
      <c r="E2451" s="61">
        <v>5</v>
      </c>
      <c r="F2451" s="62" t="s">
        <v>2027</v>
      </c>
      <c r="G2451" s="61"/>
      <c r="H2451" s="63"/>
      <c r="I2451" s="64"/>
    </row>
    <row r="2452" spans="2:9" x14ac:dyDescent="0.2">
      <c r="B2452" s="65" t="str">
        <f t="shared" si="49"/>
        <v>2012-089-0</v>
      </c>
      <c r="C2452" s="66">
        <v>2012</v>
      </c>
      <c r="D2452" s="66" t="s">
        <v>96</v>
      </c>
      <c r="E2452" s="66">
        <v>0</v>
      </c>
      <c r="F2452" s="67" t="s">
        <v>466</v>
      </c>
      <c r="G2452" s="66"/>
      <c r="H2452" s="68"/>
      <c r="I2452" s="69"/>
    </row>
    <row r="2453" spans="2:9" x14ac:dyDescent="0.2">
      <c r="B2453" s="54" t="str">
        <f t="shared" si="49"/>
        <v>2012-089-1</v>
      </c>
      <c r="C2453" s="55">
        <v>2012</v>
      </c>
      <c r="D2453" s="55" t="s">
        <v>96</v>
      </c>
      <c r="E2453" s="55">
        <v>1</v>
      </c>
      <c r="F2453" s="57" t="s">
        <v>798</v>
      </c>
      <c r="G2453" s="55"/>
      <c r="H2453" s="58"/>
      <c r="I2453" s="59"/>
    </row>
    <row r="2454" spans="2:9" x14ac:dyDescent="0.2">
      <c r="B2454" s="54" t="str">
        <f t="shared" si="49"/>
        <v>2012-089-2</v>
      </c>
      <c r="C2454" s="55">
        <v>2012</v>
      </c>
      <c r="D2454" s="55" t="s">
        <v>96</v>
      </c>
      <c r="E2454" s="55">
        <v>2</v>
      </c>
      <c r="F2454" s="57" t="s">
        <v>1122</v>
      </c>
      <c r="G2454" s="55" t="s">
        <v>2735</v>
      </c>
      <c r="H2454" s="58"/>
      <c r="I2454" s="59"/>
    </row>
    <row r="2455" spans="2:9" x14ac:dyDescent="0.2">
      <c r="B2455" s="54" t="str">
        <f t="shared" si="49"/>
        <v>2012-089-3</v>
      </c>
      <c r="C2455" s="55">
        <v>2012</v>
      </c>
      <c r="D2455" s="55" t="s">
        <v>96</v>
      </c>
      <c r="E2455" s="55">
        <v>3</v>
      </c>
      <c r="F2455" s="57" t="s">
        <v>1429</v>
      </c>
      <c r="G2455" s="55"/>
      <c r="H2455" s="58"/>
      <c r="I2455" s="59"/>
    </row>
    <row r="2456" spans="2:9" x14ac:dyDescent="0.2">
      <c r="B2456" s="54" t="str">
        <f t="shared" si="49"/>
        <v>2012-089-4</v>
      </c>
      <c r="C2456" s="55">
        <v>2012</v>
      </c>
      <c r="D2456" s="55" t="s">
        <v>96</v>
      </c>
      <c r="E2456" s="55">
        <v>4</v>
      </c>
      <c r="F2456" s="57" t="s">
        <v>1161</v>
      </c>
      <c r="G2456" s="55"/>
      <c r="H2456" s="58"/>
      <c r="I2456" s="59"/>
    </row>
    <row r="2457" spans="2:9" x14ac:dyDescent="0.2">
      <c r="B2457" s="60" t="str">
        <f t="shared" si="49"/>
        <v>2012-089-5</v>
      </c>
      <c r="C2457" s="61">
        <v>2012</v>
      </c>
      <c r="D2457" s="61" t="s">
        <v>96</v>
      </c>
      <c r="E2457" s="61">
        <v>5</v>
      </c>
      <c r="F2457" s="62" t="s">
        <v>2028</v>
      </c>
      <c r="G2457" s="61"/>
      <c r="H2457" s="63"/>
      <c r="I2457" s="64"/>
    </row>
    <row r="2458" spans="2:9" ht="81" x14ac:dyDescent="0.2">
      <c r="B2458" s="65" t="str">
        <f t="shared" si="49"/>
        <v>2012-090-0</v>
      </c>
      <c r="C2458" s="66">
        <v>2012</v>
      </c>
      <c r="D2458" s="66" t="s">
        <v>97</v>
      </c>
      <c r="E2458" s="66">
        <v>0</v>
      </c>
      <c r="F2458" s="67" t="s">
        <v>467</v>
      </c>
      <c r="G2458" s="66"/>
      <c r="H2458" s="68"/>
      <c r="I2458" s="69"/>
    </row>
    <row r="2459" spans="2:9" x14ac:dyDescent="0.2">
      <c r="B2459" s="54" t="str">
        <f t="shared" si="49"/>
        <v>2012-090-1</v>
      </c>
      <c r="C2459" s="55">
        <v>2012</v>
      </c>
      <c r="D2459" s="55" t="s">
        <v>97</v>
      </c>
      <c r="E2459" s="55">
        <v>1</v>
      </c>
      <c r="F2459" s="57">
        <v>130</v>
      </c>
      <c r="G2459" s="55"/>
      <c r="H2459" s="58"/>
      <c r="I2459" s="59"/>
    </row>
    <row r="2460" spans="2:9" x14ac:dyDescent="0.2">
      <c r="B2460" s="54" t="str">
        <f t="shared" si="49"/>
        <v>2012-090-2</v>
      </c>
      <c r="C2460" s="55">
        <v>2012</v>
      </c>
      <c r="D2460" s="55" t="s">
        <v>97</v>
      </c>
      <c r="E2460" s="55">
        <v>2</v>
      </c>
      <c r="F2460" s="57">
        <v>140</v>
      </c>
      <c r="G2460" s="55"/>
      <c r="H2460" s="58"/>
      <c r="I2460" s="59"/>
    </row>
    <row r="2461" spans="2:9" x14ac:dyDescent="0.2">
      <c r="B2461" s="54" t="str">
        <f t="shared" si="49"/>
        <v>2012-090-3</v>
      </c>
      <c r="C2461" s="55">
        <v>2012</v>
      </c>
      <c r="D2461" s="55" t="s">
        <v>97</v>
      </c>
      <c r="E2461" s="55">
        <v>3</v>
      </c>
      <c r="F2461" s="57">
        <v>150</v>
      </c>
      <c r="G2461" s="55" t="s">
        <v>2735</v>
      </c>
      <c r="H2461" s="58"/>
      <c r="I2461" s="59"/>
    </row>
    <row r="2462" spans="2:9" x14ac:dyDescent="0.2">
      <c r="B2462" s="54" t="str">
        <f t="shared" si="49"/>
        <v>2012-090-4</v>
      </c>
      <c r="C2462" s="55">
        <v>2012</v>
      </c>
      <c r="D2462" s="55" t="s">
        <v>97</v>
      </c>
      <c r="E2462" s="55">
        <v>4</v>
      </c>
      <c r="F2462" s="57">
        <v>160</v>
      </c>
      <c r="G2462" s="55"/>
      <c r="H2462" s="58"/>
      <c r="I2462" s="59"/>
    </row>
    <row r="2463" spans="2:9" x14ac:dyDescent="0.2">
      <c r="B2463" s="60" t="str">
        <f t="shared" si="49"/>
        <v>2012-090-5</v>
      </c>
      <c r="C2463" s="61">
        <v>2012</v>
      </c>
      <c r="D2463" s="61" t="s">
        <v>97</v>
      </c>
      <c r="E2463" s="61">
        <v>5</v>
      </c>
      <c r="F2463" s="62">
        <v>170</v>
      </c>
      <c r="G2463" s="61"/>
      <c r="H2463" s="63"/>
      <c r="I2463" s="64"/>
    </row>
    <row r="2464" spans="2:9" ht="81" x14ac:dyDescent="0.2">
      <c r="B2464" s="65" t="str">
        <f t="shared" si="49"/>
        <v>2012-091-0</v>
      </c>
      <c r="C2464" s="66">
        <v>2012</v>
      </c>
      <c r="D2464" s="66" t="s">
        <v>98</v>
      </c>
      <c r="E2464" s="66">
        <v>0</v>
      </c>
      <c r="F2464" s="67" t="s">
        <v>468</v>
      </c>
      <c r="G2464" s="66"/>
      <c r="H2464" s="68"/>
      <c r="I2464" s="69"/>
    </row>
    <row r="2465" spans="2:9" x14ac:dyDescent="0.2">
      <c r="B2465" s="54" t="str">
        <f t="shared" si="49"/>
        <v>2012-091-1</v>
      </c>
      <c r="C2465" s="55">
        <v>2012</v>
      </c>
      <c r="D2465" s="55" t="s">
        <v>98</v>
      </c>
      <c r="E2465" s="55">
        <v>1</v>
      </c>
      <c r="F2465" s="57" t="s">
        <v>4</v>
      </c>
      <c r="G2465" s="55"/>
      <c r="H2465" s="58"/>
      <c r="I2465" s="59"/>
    </row>
    <row r="2466" spans="2:9" x14ac:dyDescent="0.2">
      <c r="B2466" s="54" t="str">
        <f t="shared" si="49"/>
        <v>2012-091-2</v>
      </c>
      <c r="C2466" s="55">
        <v>2012</v>
      </c>
      <c r="D2466" s="55" t="s">
        <v>98</v>
      </c>
      <c r="E2466" s="55">
        <v>2</v>
      </c>
      <c r="F2466" s="57" t="s">
        <v>11</v>
      </c>
      <c r="G2466" s="55" t="s">
        <v>2735</v>
      </c>
      <c r="H2466" s="58"/>
      <c r="I2466" s="59"/>
    </row>
    <row r="2467" spans="2:9" x14ac:dyDescent="0.2">
      <c r="B2467" s="54" t="str">
        <f t="shared" si="49"/>
        <v>2012-091-3</v>
      </c>
      <c r="C2467" s="55">
        <v>2012</v>
      </c>
      <c r="D2467" s="55" t="s">
        <v>98</v>
      </c>
      <c r="E2467" s="55">
        <v>3</v>
      </c>
      <c r="F2467" s="57" t="s">
        <v>17</v>
      </c>
      <c r="G2467" s="55"/>
      <c r="H2467" s="58"/>
      <c r="I2467" s="59"/>
    </row>
    <row r="2468" spans="2:9" x14ac:dyDescent="0.2">
      <c r="B2468" s="54" t="str">
        <f t="shared" si="49"/>
        <v>2012-091-4</v>
      </c>
      <c r="C2468" s="55">
        <v>2012</v>
      </c>
      <c r="D2468" s="55" t="s">
        <v>98</v>
      </c>
      <c r="E2468" s="55">
        <v>4</v>
      </c>
      <c r="F2468" s="57" t="s">
        <v>19</v>
      </c>
      <c r="G2468" s="55"/>
      <c r="H2468" s="58"/>
      <c r="I2468" s="59"/>
    </row>
    <row r="2469" spans="2:9" x14ac:dyDescent="0.2">
      <c r="B2469" s="60" t="str">
        <f t="shared" si="49"/>
        <v>2012-091-5</v>
      </c>
      <c r="C2469" s="61">
        <v>2012</v>
      </c>
      <c r="D2469" s="61" t="s">
        <v>98</v>
      </c>
      <c r="E2469" s="61">
        <v>5</v>
      </c>
      <c r="F2469" s="62" t="s">
        <v>9</v>
      </c>
      <c r="G2469" s="61"/>
      <c r="H2469" s="63"/>
      <c r="I2469" s="64"/>
    </row>
    <row r="2470" spans="2:9" x14ac:dyDescent="0.2">
      <c r="B2470" s="65" t="str">
        <f t="shared" si="49"/>
        <v>2012-092-0</v>
      </c>
      <c r="C2470" s="66">
        <v>2012</v>
      </c>
      <c r="D2470" s="66" t="s">
        <v>99</v>
      </c>
      <c r="E2470" s="66">
        <v>0</v>
      </c>
      <c r="F2470" s="67" t="s">
        <v>469</v>
      </c>
      <c r="G2470" s="66"/>
      <c r="H2470" s="68"/>
      <c r="I2470" s="69"/>
    </row>
    <row r="2471" spans="2:9" ht="27" x14ac:dyDescent="0.2">
      <c r="B2471" s="54" t="str">
        <f t="shared" si="49"/>
        <v>2012-092-1</v>
      </c>
      <c r="C2471" s="55">
        <v>2012</v>
      </c>
      <c r="D2471" s="55" t="s">
        <v>99</v>
      </c>
      <c r="E2471" s="55">
        <v>1</v>
      </c>
      <c r="F2471" s="57" t="s">
        <v>799</v>
      </c>
      <c r="G2471" s="55" t="s">
        <v>2735</v>
      </c>
      <c r="H2471" s="58"/>
      <c r="I2471" s="59"/>
    </row>
    <row r="2472" spans="2:9" x14ac:dyDescent="0.2">
      <c r="B2472" s="54" t="str">
        <f t="shared" si="49"/>
        <v>2012-092-2</v>
      </c>
      <c r="C2472" s="55">
        <v>2012</v>
      </c>
      <c r="D2472" s="55" t="s">
        <v>99</v>
      </c>
      <c r="E2472" s="55">
        <v>2</v>
      </c>
      <c r="F2472" s="57" t="s">
        <v>1123</v>
      </c>
      <c r="G2472" s="55"/>
      <c r="H2472" s="58"/>
      <c r="I2472" s="59"/>
    </row>
    <row r="2473" spans="2:9" x14ac:dyDescent="0.2">
      <c r="B2473" s="54" t="str">
        <f t="shared" si="49"/>
        <v>2012-092-3</v>
      </c>
      <c r="C2473" s="55">
        <v>2012</v>
      </c>
      <c r="D2473" s="55" t="s">
        <v>99</v>
      </c>
      <c r="E2473" s="55">
        <v>3</v>
      </c>
      <c r="F2473" s="57" t="s">
        <v>1430</v>
      </c>
      <c r="G2473" s="55"/>
      <c r="H2473" s="58"/>
      <c r="I2473" s="59"/>
    </row>
    <row r="2474" spans="2:9" x14ac:dyDescent="0.2">
      <c r="B2474" s="54" t="str">
        <f t="shared" si="49"/>
        <v>2012-092-4</v>
      </c>
      <c r="C2474" s="55">
        <v>2012</v>
      </c>
      <c r="D2474" s="55" t="s">
        <v>99</v>
      </c>
      <c r="E2474" s="55">
        <v>4</v>
      </c>
      <c r="F2474" s="57" t="s">
        <v>1732</v>
      </c>
      <c r="G2474" s="55"/>
      <c r="H2474" s="58"/>
      <c r="I2474" s="59"/>
    </row>
    <row r="2475" spans="2:9" ht="27" x14ac:dyDescent="0.2">
      <c r="B2475" s="60" t="str">
        <f t="shared" si="49"/>
        <v>2012-092-5</v>
      </c>
      <c r="C2475" s="61">
        <v>2012</v>
      </c>
      <c r="D2475" s="61" t="s">
        <v>99</v>
      </c>
      <c r="E2475" s="61">
        <v>5</v>
      </c>
      <c r="F2475" s="62" t="s">
        <v>2029</v>
      </c>
      <c r="G2475" s="61"/>
      <c r="H2475" s="63"/>
      <c r="I2475" s="64"/>
    </row>
    <row r="2476" spans="2:9" ht="27" x14ac:dyDescent="0.2">
      <c r="B2476" s="65" t="str">
        <f t="shared" si="49"/>
        <v>2012-093-0</v>
      </c>
      <c r="C2476" s="66">
        <v>2012</v>
      </c>
      <c r="D2476" s="66" t="s">
        <v>100</v>
      </c>
      <c r="E2476" s="66">
        <v>0</v>
      </c>
      <c r="F2476" s="67" t="s">
        <v>470</v>
      </c>
      <c r="G2476" s="66"/>
      <c r="H2476" s="68"/>
      <c r="I2476" s="69"/>
    </row>
    <row r="2477" spans="2:9" x14ac:dyDescent="0.2">
      <c r="B2477" s="54" t="str">
        <f t="shared" si="49"/>
        <v>2012-093-1</v>
      </c>
      <c r="C2477" s="55">
        <v>2012</v>
      </c>
      <c r="D2477" s="55" t="s">
        <v>100</v>
      </c>
      <c r="E2477" s="55">
        <v>1</v>
      </c>
      <c r="F2477" s="57" t="s">
        <v>800</v>
      </c>
      <c r="G2477" s="55"/>
      <c r="H2477" s="58"/>
      <c r="I2477" s="59"/>
    </row>
    <row r="2478" spans="2:9" x14ac:dyDescent="0.2">
      <c r="B2478" s="54" t="str">
        <f t="shared" si="49"/>
        <v>2012-093-2</v>
      </c>
      <c r="C2478" s="55">
        <v>2012</v>
      </c>
      <c r="D2478" s="55" t="s">
        <v>100</v>
      </c>
      <c r="E2478" s="55">
        <v>2</v>
      </c>
      <c r="F2478" s="57" t="s">
        <v>1124</v>
      </c>
      <c r="G2478" s="55"/>
      <c r="H2478" s="58"/>
      <c r="I2478" s="59"/>
    </row>
    <row r="2479" spans="2:9" x14ac:dyDescent="0.2">
      <c r="B2479" s="54" t="str">
        <f t="shared" si="49"/>
        <v>2012-093-3</v>
      </c>
      <c r="C2479" s="55">
        <v>2012</v>
      </c>
      <c r="D2479" s="55" t="s">
        <v>100</v>
      </c>
      <c r="E2479" s="55">
        <v>3</v>
      </c>
      <c r="F2479" s="57" t="s">
        <v>1431</v>
      </c>
      <c r="G2479" s="55" t="s">
        <v>2735</v>
      </c>
      <c r="H2479" s="58"/>
      <c r="I2479" s="59"/>
    </row>
    <row r="2480" spans="2:9" x14ac:dyDescent="0.2">
      <c r="B2480" s="54" t="str">
        <f t="shared" si="49"/>
        <v>2012-093-4</v>
      </c>
      <c r="C2480" s="55">
        <v>2012</v>
      </c>
      <c r="D2480" s="55" t="s">
        <v>100</v>
      </c>
      <c r="E2480" s="55">
        <v>4</v>
      </c>
      <c r="F2480" s="57" t="s">
        <v>1733</v>
      </c>
      <c r="G2480" s="55"/>
      <c r="H2480" s="58"/>
      <c r="I2480" s="59"/>
    </row>
    <row r="2481" spans="2:9" x14ac:dyDescent="0.2">
      <c r="B2481" s="60" t="str">
        <f t="shared" si="49"/>
        <v>2012-093-5</v>
      </c>
      <c r="C2481" s="61">
        <v>2012</v>
      </c>
      <c r="D2481" s="61" t="s">
        <v>100</v>
      </c>
      <c r="E2481" s="61">
        <v>5</v>
      </c>
      <c r="F2481" s="62" t="s">
        <v>2030</v>
      </c>
      <c r="G2481" s="61"/>
      <c r="H2481" s="63"/>
      <c r="I2481" s="64"/>
    </row>
    <row r="2482" spans="2:9" ht="67.5" x14ac:dyDescent="0.2">
      <c r="B2482" s="65" t="str">
        <f t="shared" si="49"/>
        <v>2012-094-0</v>
      </c>
      <c r="C2482" s="66">
        <v>2012</v>
      </c>
      <c r="D2482" s="66" t="s">
        <v>101</v>
      </c>
      <c r="E2482" s="66">
        <v>0</v>
      </c>
      <c r="F2482" s="67" t="s">
        <v>471</v>
      </c>
      <c r="G2482" s="66"/>
      <c r="H2482" s="68"/>
      <c r="I2482" s="69"/>
    </row>
    <row r="2483" spans="2:9" x14ac:dyDescent="0.2">
      <c r="B2483" s="54" t="str">
        <f t="shared" si="49"/>
        <v>2012-094-1</v>
      </c>
      <c r="C2483" s="55">
        <v>2012</v>
      </c>
      <c r="D2483" s="55" t="s">
        <v>101</v>
      </c>
      <c r="E2483" s="55">
        <v>1</v>
      </c>
      <c r="F2483" s="57" t="s">
        <v>801</v>
      </c>
      <c r="G2483" s="55" t="s">
        <v>2735</v>
      </c>
      <c r="H2483" s="58"/>
      <c r="I2483" s="59"/>
    </row>
    <row r="2484" spans="2:9" x14ac:dyDescent="0.2">
      <c r="B2484" s="54" t="str">
        <f t="shared" si="49"/>
        <v>2012-094-2</v>
      </c>
      <c r="C2484" s="55">
        <v>2012</v>
      </c>
      <c r="D2484" s="55" t="s">
        <v>101</v>
      </c>
      <c r="E2484" s="55">
        <v>2</v>
      </c>
      <c r="F2484" s="57" t="s">
        <v>1125</v>
      </c>
      <c r="G2484" s="55"/>
      <c r="H2484" s="58"/>
      <c r="I2484" s="59"/>
    </row>
    <row r="2485" spans="2:9" x14ac:dyDescent="0.2">
      <c r="B2485" s="54" t="str">
        <f t="shared" si="49"/>
        <v>2012-094-3</v>
      </c>
      <c r="C2485" s="55">
        <v>2012</v>
      </c>
      <c r="D2485" s="55" t="s">
        <v>101</v>
      </c>
      <c r="E2485" s="55">
        <v>3</v>
      </c>
      <c r="F2485" s="57" t="s">
        <v>1432</v>
      </c>
      <c r="G2485" s="55"/>
      <c r="H2485" s="58"/>
      <c r="I2485" s="59"/>
    </row>
    <row r="2486" spans="2:9" x14ac:dyDescent="0.2">
      <c r="B2486" s="54" t="str">
        <f t="shared" si="49"/>
        <v>2012-094-4</v>
      </c>
      <c r="C2486" s="55">
        <v>2012</v>
      </c>
      <c r="D2486" s="55" t="s">
        <v>101</v>
      </c>
      <c r="E2486" s="55">
        <v>4</v>
      </c>
      <c r="F2486" s="57" t="s">
        <v>1734</v>
      </c>
      <c r="G2486" s="55"/>
      <c r="H2486" s="58"/>
      <c r="I2486" s="59"/>
    </row>
    <row r="2487" spans="2:9" x14ac:dyDescent="0.2">
      <c r="B2487" s="60" t="str">
        <f t="shared" si="49"/>
        <v>2012-094-5</v>
      </c>
      <c r="C2487" s="61">
        <v>2012</v>
      </c>
      <c r="D2487" s="61" t="s">
        <v>101</v>
      </c>
      <c r="E2487" s="61">
        <v>5</v>
      </c>
      <c r="F2487" s="62" t="s">
        <v>2031</v>
      </c>
      <c r="G2487" s="61"/>
      <c r="H2487" s="63"/>
      <c r="I2487" s="64"/>
    </row>
    <row r="2488" spans="2:9" x14ac:dyDescent="0.2">
      <c r="B2488" s="65" t="str">
        <f t="shared" si="49"/>
        <v>2012-095-0</v>
      </c>
      <c r="C2488" s="66">
        <v>2012</v>
      </c>
      <c r="D2488" s="66" t="s">
        <v>102</v>
      </c>
      <c r="E2488" s="66">
        <v>0</v>
      </c>
      <c r="F2488" s="67" t="s">
        <v>472</v>
      </c>
      <c r="G2488" s="66"/>
      <c r="H2488" s="68"/>
      <c r="I2488" s="69"/>
    </row>
    <row r="2489" spans="2:9" x14ac:dyDescent="0.2">
      <c r="B2489" s="54" t="str">
        <f t="shared" si="49"/>
        <v>2012-095-1</v>
      </c>
      <c r="C2489" s="55">
        <v>2012</v>
      </c>
      <c r="D2489" s="55" t="s">
        <v>102</v>
      </c>
      <c r="E2489" s="55">
        <v>1</v>
      </c>
      <c r="F2489" s="57" t="s">
        <v>802</v>
      </c>
      <c r="G2489" s="55"/>
      <c r="H2489" s="58"/>
      <c r="I2489" s="59"/>
    </row>
    <row r="2490" spans="2:9" x14ac:dyDescent="0.2">
      <c r="B2490" s="54" t="str">
        <f t="shared" si="49"/>
        <v>2012-095-2</v>
      </c>
      <c r="C2490" s="55">
        <v>2012</v>
      </c>
      <c r="D2490" s="55" t="s">
        <v>102</v>
      </c>
      <c r="E2490" s="55">
        <v>2</v>
      </c>
      <c r="F2490" s="57" t="s">
        <v>1126</v>
      </c>
      <c r="G2490" s="55"/>
      <c r="H2490" s="58"/>
      <c r="I2490" s="59"/>
    </row>
    <row r="2491" spans="2:9" x14ac:dyDescent="0.2">
      <c r="B2491" s="54" t="str">
        <f t="shared" si="49"/>
        <v>2012-095-3</v>
      </c>
      <c r="C2491" s="55">
        <v>2012</v>
      </c>
      <c r="D2491" s="55" t="s">
        <v>102</v>
      </c>
      <c r="E2491" s="55">
        <v>3</v>
      </c>
      <c r="F2491" s="57" t="s">
        <v>1433</v>
      </c>
      <c r="G2491" s="55" t="s">
        <v>2735</v>
      </c>
      <c r="H2491" s="58"/>
      <c r="I2491" s="59"/>
    </row>
    <row r="2492" spans="2:9" ht="27" x14ac:dyDescent="0.2">
      <c r="B2492" s="54" t="str">
        <f t="shared" si="49"/>
        <v>2012-095-4</v>
      </c>
      <c r="C2492" s="55">
        <v>2012</v>
      </c>
      <c r="D2492" s="55" t="s">
        <v>102</v>
      </c>
      <c r="E2492" s="55">
        <v>4</v>
      </c>
      <c r="F2492" s="57" t="s">
        <v>1735</v>
      </c>
      <c r="G2492" s="55"/>
      <c r="H2492" s="58"/>
      <c r="I2492" s="59"/>
    </row>
    <row r="2493" spans="2:9" x14ac:dyDescent="0.2">
      <c r="B2493" s="60" t="str">
        <f t="shared" si="49"/>
        <v>2012-095-5</v>
      </c>
      <c r="C2493" s="61">
        <v>2012</v>
      </c>
      <c r="D2493" s="61" t="s">
        <v>102</v>
      </c>
      <c r="E2493" s="61">
        <v>5</v>
      </c>
      <c r="F2493" s="62" t="s">
        <v>2032</v>
      </c>
      <c r="G2493" s="61"/>
      <c r="H2493" s="63"/>
      <c r="I2493" s="64"/>
    </row>
    <row r="2494" spans="2:9" ht="27" x14ac:dyDescent="0.2">
      <c r="B2494" s="65" t="str">
        <f t="shared" si="49"/>
        <v>2012-096-0</v>
      </c>
      <c r="C2494" s="66">
        <v>2012</v>
      </c>
      <c r="D2494" s="66" t="s">
        <v>103</v>
      </c>
      <c r="E2494" s="66">
        <v>0</v>
      </c>
      <c r="F2494" s="67" t="s">
        <v>473</v>
      </c>
      <c r="G2494" s="66"/>
      <c r="H2494" s="68"/>
      <c r="I2494" s="69"/>
    </row>
    <row r="2495" spans="2:9" x14ac:dyDescent="0.2">
      <c r="B2495" s="54" t="str">
        <f t="shared" si="49"/>
        <v>2012-096-1</v>
      </c>
      <c r="C2495" s="55">
        <v>2012</v>
      </c>
      <c r="D2495" s="55" t="s">
        <v>103</v>
      </c>
      <c r="E2495" s="55">
        <v>1</v>
      </c>
      <c r="F2495" s="57" t="s">
        <v>803</v>
      </c>
      <c r="G2495" s="55"/>
      <c r="H2495" s="58"/>
      <c r="I2495" s="59"/>
    </row>
    <row r="2496" spans="2:9" x14ac:dyDescent="0.2">
      <c r="B2496" s="54" t="str">
        <f t="shared" si="49"/>
        <v>2012-096-2</v>
      </c>
      <c r="C2496" s="55">
        <v>2012</v>
      </c>
      <c r="D2496" s="55" t="s">
        <v>103</v>
      </c>
      <c r="E2496" s="55">
        <v>2</v>
      </c>
      <c r="F2496" s="57" t="s">
        <v>1127</v>
      </c>
      <c r="G2496" s="55"/>
      <c r="H2496" s="58"/>
      <c r="I2496" s="59"/>
    </row>
    <row r="2497" spans="2:9" x14ac:dyDescent="0.2">
      <c r="B2497" s="54" t="str">
        <f t="shared" si="49"/>
        <v>2012-096-3</v>
      </c>
      <c r="C2497" s="55">
        <v>2012</v>
      </c>
      <c r="D2497" s="55" t="s">
        <v>103</v>
      </c>
      <c r="E2497" s="55">
        <v>3</v>
      </c>
      <c r="F2497" s="57" t="s">
        <v>1434</v>
      </c>
      <c r="G2497" s="55"/>
      <c r="H2497" s="58"/>
      <c r="I2497" s="59"/>
    </row>
    <row r="2498" spans="2:9" x14ac:dyDescent="0.2">
      <c r="B2498" s="54" t="str">
        <f t="shared" si="49"/>
        <v>2012-096-4</v>
      </c>
      <c r="C2498" s="55">
        <v>2012</v>
      </c>
      <c r="D2498" s="55" t="s">
        <v>103</v>
      </c>
      <c r="E2498" s="55">
        <v>4</v>
      </c>
      <c r="F2498" s="57" t="s">
        <v>1736</v>
      </c>
      <c r="G2498" s="55"/>
      <c r="H2498" s="58"/>
      <c r="I2498" s="59"/>
    </row>
    <row r="2499" spans="2:9" x14ac:dyDescent="0.2">
      <c r="B2499" s="60" t="str">
        <f t="shared" si="49"/>
        <v>2012-096-5</v>
      </c>
      <c r="C2499" s="61">
        <v>2012</v>
      </c>
      <c r="D2499" s="61" t="s">
        <v>103</v>
      </c>
      <c r="E2499" s="61">
        <v>5</v>
      </c>
      <c r="F2499" s="62" t="s">
        <v>2033</v>
      </c>
      <c r="G2499" s="61" t="s">
        <v>2735</v>
      </c>
      <c r="H2499" s="63"/>
      <c r="I2499" s="64"/>
    </row>
    <row r="2500" spans="2:9" ht="81" x14ac:dyDescent="0.2">
      <c r="B2500" s="65" t="str">
        <f t="shared" si="49"/>
        <v>2012-097-0</v>
      </c>
      <c r="C2500" s="66">
        <v>2012</v>
      </c>
      <c r="D2500" s="66" t="s">
        <v>104</v>
      </c>
      <c r="E2500" s="66">
        <v>0</v>
      </c>
      <c r="F2500" s="67" t="s">
        <v>474</v>
      </c>
      <c r="G2500" s="66"/>
      <c r="H2500" s="68"/>
      <c r="I2500" s="69"/>
    </row>
    <row r="2501" spans="2:9" x14ac:dyDescent="0.2">
      <c r="B2501" s="54" t="str">
        <f t="shared" si="49"/>
        <v>2012-097-1</v>
      </c>
      <c r="C2501" s="55">
        <v>2012</v>
      </c>
      <c r="D2501" s="55" t="s">
        <v>104</v>
      </c>
      <c r="E2501" s="55">
        <v>1</v>
      </c>
      <c r="F2501" s="57" t="s">
        <v>4</v>
      </c>
      <c r="G2501" s="55"/>
      <c r="H2501" s="58"/>
      <c r="I2501" s="59"/>
    </row>
    <row r="2502" spans="2:9" x14ac:dyDescent="0.2">
      <c r="B2502" s="54" t="str">
        <f t="shared" si="49"/>
        <v>2012-097-2</v>
      </c>
      <c r="C2502" s="55">
        <v>2012</v>
      </c>
      <c r="D2502" s="55" t="s">
        <v>104</v>
      </c>
      <c r="E2502" s="55">
        <v>2</v>
      </c>
      <c r="F2502" s="57" t="s">
        <v>12</v>
      </c>
      <c r="G2502" s="55"/>
      <c r="H2502" s="58"/>
      <c r="I2502" s="59"/>
    </row>
    <row r="2503" spans="2:9" x14ac:dyDescent="0.2">
      <c r="B2503" s="54" t="str">
        <f t="shared" ref="B2503:B2523" si="50">C2503&amp;"-"&amp;D2503&amp;"-"&amp;E2503</f>
        <v>2012-097-3</v>
      </c>
      <c r="C2503" s="55">
        <v>2012</v>
      </c>
      <c r="D2503" s="55" t="s">
        <v>104</v>
      </c>
      <c r="E2503" s="55">
        <v>3</v>
      </c>
      <c r="F2503" s="57" t="s">
        <v>17</v>
      </c>
      <c r="G2503" s="55"/>
      <c r="H2503" s="58"/>
      <c r="I2503" s="59"/>
    </row>
    <row r="2504" spans="2:9" x14ac:dyDescent="0.2">
      <c r="B2504" s="54" t="str">
        <f t="shared" si="50"/>
        <v>2012-097-4</v>
      </c>
      <c r="C2504" s="55">
        <v>2012</v>
      </c>
      <c r="D2504" s="55" t="s">
        <v>104</v>
      </c>
      <c r="E2504" s="55">
        <v>4</v>
      </c>
      <c r="F2504" s="57" t="s">
        <v>19</v>
      </c>
      <c r="G2504" s="55"/>
      <c r="H2504" s="58"/>
      <c r="I2504" s="59"/>
    </row>
    <row r="2505" spans="2:9" x14ac:dyDescent="0.2">
      <c r="B2505" s="60" t="str">
        <f t="shared" si="50"/>
        <v>2012-097-5</v>
      </c>
      <c r="C2505" s="61">
        <v>2012</v>
      </c>
      <c r="D2505" s="61" t="s">
        <v>104</v>
      </c>
      <c r="E2505" s="61">
        <v>5</v>
      </c>
      <c r="F2505" s="62" t="s">
        <v>21</v>
      </c>
      <c r="G2505" s="61" t="s">
        <v>2735</v>
      </c>
      <c r="H2505" s="63"/>
      <c r="I2505" s="64"/>
    </row>
    <row r="2506" spans="2:9" x14ac:dyDescent="0.2">
      <c r="B2506" s="65" t="str">
        <f t="shared" si="50"/>
        <v>2012-098-0</v>
      </c>
      <c r="C2506" s="66">
        <v>2012</v>
      </c>
      <c r="D2506" s="66" t="s">
        <v>105</v>
      </c>
      <c r="E2506" s="66">
        <v>0</v>
      </c>
      <c r="F2506" s="67" t="s">
        <v>475</v>
      </c>
      <c r="G2506" s="66"/>
      <c r="H2506" s="68"/>
      <c r="I2506" s="69"/>
    </row>
    <row r="2507" spans="2:9" x14ac:dyDescent="0.2">
      <c r="B2507" s="54" t="str">
        <f t="shared" si="50"/>
        <v>2012-098-1</v>
      </c>
      <c r="C2507" s="55">
        <v>2012</v>
      </c>
      <c r="D2507" s="55" t="s">
        <v>105</v>
      </c>
      <c r="E2507" s="55">
        <v>1</v>
      </c>
      <c r="F2507" s="57" t="s">
        <v>804</v>
      </c>
      <c r="G2507" s="55"/>
      <c r="H2507" s="58"/>
      <c r="I2507" s="59"/>
    </row>
    <row r="2508" spans="2:9" x14ac:dyDescent="0.2">
      <c r="B2508" s="54" t="str">
        <f t="shared" si="50"/>
        <v>2012-098-2</v>
      </c>
      <c r="C2508" s="55">
        <v>2012</v>
      </c>
      <c r="D2508" s="55" t="s">
        <v>105</v>
      </c>
      <c r="E2508" s="55">
        <v>2</v>
      </c>
      <c r="F2508" s="57" t="s">
        <v>1128</v>
      </c>
      <c r="G2508" s="55"/>
      <c r="H2508" s="58"/>
      <c r="I2508" s="59"/>
    </row>
    <row r="2509" spans="2:9" x14ac:dyDescent="0.2">
      <c r="B2509" s="54" t="str">
        <f t="shared" si="50"/>
        <v>2012-098-3</v>
      </c>
      <c r="C2509" s="55">
        <v>2012</v>
      </c>
      <c r="D2509" s="55" t="s">
        <v>105</v>
      </c>
      <c r="E2509" s="55">
        <v>3</v>
      </c>
      <c r="F2509" s="57" t="s">
        <v>1435</v>
      </c>
      <c r="G2509" s="55"/>
      <c r="H2509" s="58"/>
      <c r="I2509" s="59"/>
    </row>
    <row r="2510" spans="2:9" x14ac:dyDescent="0.2">
      <c r="B2510" s="54" t="str">
        <f t="shared" si="50"/>
        <v>2012-098-4</v>
      </c>
      <c r="C2510" s="55">
        <v>2012</v>
      </c>
      <c r="D2510" s="55" t="s">
        <v>105</v>
      </c>
      <c r="E2510" s="55">
        <v>4</v>
      </c>
      <c r="F2510" s="57" t="s">
        <v>1737</v>
      </c>
      <c r="G2510" s="55" t="s">
        <v>2735</v>
      </c>
      <c r="H2510" s="58"/>
      <c r="I2510" s="59"/>
    </row>
    <row r="2511" spans="2:9" x14ac:dyDescent="0.2">
      <c r="B2511" s="60" t="str">
        <f t="shared" si="50"/>
        <v>2012-098-5</v>
      </c>
      <c r="C2511" s="61">
        <v>2012</v>
      </c>
      <c r="D2511" s="61" t="s">
        <v>105</v>
      </c>
      <c r="E2511" s="61">
        <v>5</v>
      </c>
      <c r="F2511" s="62" t="s">
        <v>2034</v>
      </c>
      <c r="G2511" s="61"/>
      <c r="H2511" s="63"/>
      <c r="I2511" s="64"/>
    </row>
    <row r="2512" spans="2:9" ht="81" x14ac:dyDescent="0.2">
      <c r="B2512" s="65" t="str">
        <f t="shared" si="50"/>
        <v>2012-099-0</v>
      </c>
      <c r="C2512" s="66">
        <v>2012</v>
      </c>
      <c r="D2512" s="66" t="s">
        <v>106</v>
      </c>
      <c r="E2512" s="66">
        <v>0</v>
      </c>
      <c r="F2512" s="67" t="s">
        <v>476</v>
      </c>
      <c r="G2512" s="66"/>
      <c r="H2512" s="68"/>
      <c r="I2512" s="69"/>
    </row>
    <row r="2513" spans="2:9" x14ac:dyDescent="0.2">
      <c r="B2513" s="54" t="str">
        <f t="shared" si="50"/>
        <v>2012-099-1</v>
      </c>
      <c r="C2513" s="55">
        <v>2012</v>
      </c>
      <c r="D2513" s="55" t="s">
        <v>106</v>
      </c>
      <c r="E2513" s="55">
        <v>1</v>
      </c>
      <c r="F2513" s="57" t="s">
        <v>805</v>
      </c>
      <c r="G2513" s="55"/>
      <c r="H2513" s="58"/>
      <c r="I2513" s="59"/>
    </row>
    <row r="2514" spans="2:9" x14ac:dyDescent="0.2">
      <c r="B2514" s="54" t="str">
        <f t="shared" si="50"/>
        <v>2012-099-2</v>
      </c>
      <c r="C2514" s="55">
        <v>2012</v>
      </c>
      <c r="D2514" s="55" t="s">
        <v>106</v>
      </c>
      <c r="E2514" s="55">
        <v>2</v>
      </c>
      <c r="F2514" s="57" t="s">
        <v>1129</v>
      </c>
      <c r="G2514" s="55"/>
      <c r="H2514" s="58"/>
      <c r="I2514" s="59"/>
    </row>
    <row r="2515" spans="2:9" x14ac:dyDescent="0.2">
      <c r="B2515" s="54" t="str">
        <f t="shared" si="50"/>
        <v>2012-099-3</v>
      </c>
      <c r="C2515" s="55">
        <v>2012</v>
      </c>
      <c r="D2515" s="55" t="s">
        <v>106</v>
      </c>
      <c r="E2515" s="55">
        <v>3</v>
      </c>
      <c r="F2515" s="57" t="s">
        <v>1436</v>
      </c>
      <c r="G2515" s="55" t="s">
        <v>2735</v>
      </c>
      <c r="H2515" s="58"/>
      <c r="I2515" s="59"/>
    </row>
    <row r="2516" spans="2:9" x14ac:dyDescent="0.2">
      <c r="B2516" s="54" t="str">
        <f t="shared" si="50"/>
        <v>2012-099-4</v>
      </c>
      <c r="C2516" s="55">
        <v>2012</v>
      </c>
      <c r="D2516" s="55" t="s">
        <v>106</v>
      </c>
      <c r="E2516" s="55">
        <v>4</v>
      </c>
      <c r="F2516" s="57" t="s">
        <v>1738</v>
      </c>
      <c r="G2516" s="55"/>
      <c r="H2516" s="58"/>
      <c r="I2516" s="59"/>
    </row>
    <row r="2517" spans="2:9" x14ac:dyDescent="0.2">
      <c r="B2517" s="60" t="str">
        <f t="shared" si="50"/>
        <v>2012-099-5</v>
      </c>
      <c r="C2517" s="61">
        <v>2012</v>
      </c>
      <c r="D2517" s="61" t="s">
        <v>106</v>
      </c>
      <c r="E2517" s="61">
        <v>5</v>
      </c>
      <c r="F2517" s="62" t="s">
        <v>2035</v>
      </c>
      <c r="G2517" s="61"/>
      <c r="H2517" s="63"/>
      <c r="I2517" s="64"/>
    </row>
    <row r="2518" spans="2:9" x14ac:dyDescent="0.2">
      <c r="B2518" s="65" t="str">
        <f t="shared" si="50"/>
        <v>2012-100-0</v>
      </c>
      <c r="C2518" s="66">
        <v>2012</v>
      </c>
      <c r="D2518" s="66" t="s">
        <v>107</v>
      </c>
      <c r="E2518" s="66">
        <v>0</v>
      </c>
      <c r="F2518" s="67" t="s">
        <v>477</v>
      </c>
      <c r="G2518" s="66"/>
      <c r="H2518" s="68"/>
      <c r="I2518" s="69"/>
    </row>
    <row r="2519" spans="2:9" x14ac:dyDescent="0.2">
      <c r="B2519" s="54" t="str">
        <f t="shared" si="50"/>
        <v>2012-100-1</v>
      </c>
      <c r="C2519" s="55">
        <v>2012</v>
      </c>
      <c r="D2519" s="55" t="s">
        <v>107</v>
      </c>
      <c r="E2519" s="55">
        <v>1</v>
      </c>
      <c r="F2519" s="57" t="s">
        <v>806</v>
      </c>
      <c r="G2519" s="55"/>
      <c r="H2519" s="58"/>
      <c r="I2519" s="59"/>
    </row>
    <row r="2520" spans="2:9" ht="27" x14ac:dyDescent="0.2">
      <c r="B2520" s="54" t="str">
        <f t="shared" si="50"/>
        <v>2012-100-2</v>
      </c>
      <c r="C2520" s="55">
        <v>2012</v>
      </c>
      <c r="D2520" s="55" t="s">
        <v>107</v>
      </c>
      <c r="E2520" s="55">
        <v>2</v>
      </c>
      <c r="F2520" s="57" t="s">
        <v>1130</v>
      </c>
      <c r="G2520" s="55"/>
      <c r="H2520" s="58"/>
      <c r="I2520" s="59"/>
    </row>
    <row r="2521" spans="2:9" ht="27" x14ac:dyDescent="0.2">
      <c r="B2521" s="54" t="str">
        <f t="shared" si="50"/>
        <v>2012-100-3</v>
      </c>
      <c r="C2521" s="55">
        <v>2012</v>
      </c>
      <c r="D2521" s="55" t="s">
        <v>107</v>
      </c>
      <c r="E2521" s="55">
        <v>3</v>
      </c>
      <c r="F2521" s="57" t="s">
        <v>1437</v>
      </c>
      <c r="G2521" s="55"/>
      <c r="H2521" s="58"/>
      <c r="I2521" s="59"/>
    </row>
    <row r="2522" spans="2:9" ht="27" x14ac:dyDescent="0.2">
      <c r="B2522" s="54" t="str">
        <f t="shared" si="50"/>
        <v>2012-100-4</v>
      </c>
      <c r="C2522" s="55">
        <v>2012</v>
      </c>
      <c r="D2522" s="55" t="s">
        <v>107</v>
      </c>
      <c r="E2522" s="55">
        <v>4</v>
      </c>
      <c r="F2522" s="57" t="s">
        <v>1739</v>
      </c>
      <c r="G2522" s="55"/>
      <c r="H2522" s="58"/>
      <c r="I2522" s="59"/>
    </row>
    <row r="2523" spans="2:9" ht="27.75" thickBot="1" x14ac:dyDescent="0.25">
      <c r="B2523" s="70" t="str">
        <f t="shared" si="50"/>
        <v>2012-100-5</v>
      </c>
      <c r="C2523" s="71">
        <v>2012</v>
      </c>
      <c r="D2523" s="71" t="s">
        <v>107</v>
      </c>
      <c r="E2523" s="71">
        <v>5</v>
      </c>
      <c r="F2523" s="72" t="s">
        <v>2036</v>
      </c>
      <c r="G2523" s="71" t="s">
        <v>2735</v>
      </c>
      <c r="H2523" s="73"/>
      <c r="I2523" s="74"/>
    </row>
    <row r="2524" spans="2:9" ht="40.5" x14ac:dyDescent="0.2">
      <c r="B2524" s="48" t="str">
        <f t="shared" ref="B2524:B2540" si="51">C2524&amp;"-"&amp;D2524&amp;"-"&amp;E2524</f>
        <v>2011-076-0</v>
      </c>
      <c r="C2524" s="49">
        <v>2011</v>
      </c>
      <c r="D2524" s="49" t="s">
        <v>78</v>
      </c>
      <c r="E2524" s="49">
        <v>0</v>
      </c>
      <c r="F2524" s="51" t="s">
        <v>478</v>
      </c>
      <c r="G2524" s="49"/>
      <c r="H2524" s="52"/>
      <c r="I2524" s="53"/>
    </row>
    <row r="2525" spans="2:9" x14ac:dyDescent="0.2">
      <c r="B2525" s="54" t="str">
        <f t="shared" si="51"/>
        <v>2011-076-1</v>
      </c>
      <c r="C2525" s="55">
        <v>2011</v>
      </c>
      <c r="D2525" s="55" t="s">
        <v>78</v>
      </c>
      <c r="E2525" s="55">
        <v>1</v>
      </c>
      <c r="F2525" s="57" t="s">
        <v>807</v>
      </c>
      <c r="G2525" s="55"/>
      <c r="H2525" s="58"/>
      <c r="I2525" s="59"/>
    </row>
    <row r="2526" spans="2:9" x14ac:dyDescent="0.2">
      <c r="B2526" s="54" t="str">
        <f t="shared" si="51"/>
        <v>2011-076-2</v>
      </c>
      <c r="C2526" s="55">
        <v>2011</v>
      </c>
      <c r="D2526" s="55" t="s">
        <v>78</v>
      </c>
      <c r="E2526" s="55">
        <v>2</v>
      </c>
      <c r="F2526" s="57" t="s">
        <v>1086</v>
      </c>
      <c r="G2526" s="55"/>
      <c r="H2526" s="58"/>
      <c r="I2526" s="59"/>
    </row>
    <row r="2527" spans="2:9" x14ac:dyDescent="0.2">
      <c r="B2527" s="54" t="str">
        <f t="shared" si="51"/>
        <v>2011-076-3</v>
      </c>
      <c r="C2527" s="55">
        <v>2011</v>
      </c>
      <c r="D2527" s="55" t="s">
        <v>78</v>
      </c>
      <c r="E2527" s="55">
        <v>3</v>
      </c>
      <c r="F2527" s="57" t="s">
        <v>1398</v>
      </c>
      <c r="G2527" s="55"/>
      <c r="H2527" s="58"/>
      <c r="I2527" s="59"/>
    </row>
    <row r="2528" spans="2:9" x14ac:dyDescent="0.2">
      <c r="B2528" s="54" t="str">
        <f t="shared" si="51"/>
        <v>2011-076-4</v>
      </c>
      <c r="C2528" s="55">
        <v>2011</v>
      </c>
      <c r="D2528" s="55" t="s">
        <v>78</v>
      </c>
      <c r="E2528" s="55">
        <v>4</v>
      </c>
      <c r="F2528" s="57" t="s">
        <v>1740</v>
      </c>
      <c r="G2528" s="55" t="s">
        <v>2735</v>
      </c>
      <c r="H2528" s="58"/>
      <c r="I2528" s="59"/>
    </row>
    <row r="2529" spans="2:9" x14ac:dyDescent="0.2">
      <c r="B2529" s="60" t="str">
        <f t="shared" si="51"/>
        <v>2011-076-5</v>
      </c>
      <c r="C2529" s="61">
        <v>2011</v>
      </c>
      <c r="D2529" s="61" t="s">
        <v>78</v>
      </c>
      <c r="E2529" s="61">
        <v>5</v>
      </c>
      <c r="F2529" s="62" t="s">
        <v>2037</v>
      </c>
      <c r="G2529" s="61"/>
      <c r="H2529" s="63"/>
      <c r="I2529" s="64"/>
    </row>
    <row r="2530" spans="2:9" x14ac:dyDescent="0.2">
      <c r="B2530" s="65" t="str">
        <f t="shared" si="51"/>
        <v>2011-077-0</v>
      </c>
      <c r="C2530" s="66">
        <v>2011</v>
      </c>
      <c r="D2530" s="66" t="s">
        <v>79</v>
      </c>
      <c r="E2530" s="66">
        <v>0</v>
      </c>
      <c r="F2530" s="67" t="s">
        <v>412</v>
      </c>
      <c r="G2530" s="66"/>
      <c r="H2530" s="68"/>
      <c r="I2530" s="69"/>
    </row>
    <row r="2531" spans="2:9" x14ac:dyDescent="0.2">
      <c r="B2531" s="54" t="str">
        <f t="shared" si="51"/>
        <v>2011-077-1</v>
      </c>
      <c r="C2531" s="55">
        <v>2011</v>
      </c>
      <c r="D2531" s="55" t="s">
        <v>79</v>
      </c>
      <c r="E2531" s="55">
        <v>1</v>
      </c>
      <c r="F2531" s="57" t="s">
        <v>808</v>
      </c>
      <c r="G2531" s="55"/>
      <c r="H2531" s="58"/>
      <c r="I2531" s="59"/>
    </row>
    <row r="2532" spans="2:9" x14ac:dyDescent="0.2">
      <c r="B2532" s="54" t="str">
        <f t="shared" si="51"/>
        <v>2011-077-2</v>
      </c>
      <c r="C2532" s="55">
        <v>2011</v>
      </c>
      <c r="D2532" s="55" t="s">
        <v>79</v>
      </c>
      <c r="E2532" s="55">
        <v>2</v>
      </c>
      <c r="F2532" s="57" t="s">
        <v>1131</v>
      </c>
      <c r="G2532" s="55"/>
      <c r="H2532" s="58"/>
      <c r="I2532" s="59"/>
    </row>
    <row r="2533" spans="2:9" x14ac:dyDescent="0.2">
      <c r="B2533" s="54" t="str">
        <f t="shared" si="51"/>
        <v>2011-077-3</v>
      </c>
      <c r="C2533" s="55">
        <v>2011</v>
      </c>
      <c r="D2533" s="55" t="s">
        <v>79</v>
      </c>
      <c r="E2533" s="55">
        <v>3</v>
      </c>
      <c r="F2533" s="57" t="s">
        <v>1438</v>
      </c>
      <c r="G2533" s="55"/>
      <c r="H2533" s="58"/>
      <c r="I2533" s="59"/>
    </row>
    <row r="2534" spans="2:9" x14ac:dyDescent="0.2">
      <c r="B2534" s="54" t="str">
        <f t="shared" si="51"/>
        <v>2011-077-4</v>
      </c>
      <c r="C2534" s="55">
        <v>2011</v>
      </c>
      <c r="D2534" s="55" t="s">
        <v>79</v>
      </c>
      <c r="E2534" s="55">
        <v>4</v>
      </c>
      <c r="F2534" s="57" t="s">
        <v>1741</v>
      </c>
      <c r="G2534" s="55"/>
      <c r="H2534" s="58"/>
      <c r="I2534" s="59"/>
    </row>
    <row r="2535" spans="2:9" x14ac:dyDescent="0.2">
      <c r="B2535" s="60" t="str">
        <f t="shared" si="51"/>
        <v>2011-077-5</v>
      </c>
      <c r="C2535" s="61">
        <v>2011</v>
      </c>
      <c r="D2535" s="61" t="s">
        <v>79</v>
      </c>
      <c r="E2535" s="61">
        <v>5</v>
      </c>
      <c r="F2535" s="62" t="s">
        <v>980</v>
      </c>
      <c r="G2535" s="61" t="s">
        <v>2735</v>
      </c>
      <c r="H2535" s="63"/>
      <c r="I2535" s="64"/>
    </row>
    <row r="2536" spans="2:9" x14ac:dyDescent="0.2">
      <c r="B2536" s="65" t="str">
        <f t="shared" si="51"/>
        <v>2011-078-0</v>
      </c>
      <c r="C2536" s="66">
        <v>2011</v>
      </c>
      <c r="D2536" s="66" t="s">
        <v>80</v>
      </c>
      <c r="E2536" s="66">
        <v>0</v>
      </c>
      <c r="F2536" s="67" t="s">
        <v>318</v>
      </c>
      <c r="G2536" s="66"/>
      <c r="H2536" s="68"/>
      <c r="I2536" s="69"/>
    </row>
    <row r="2537" spans="2:9" x14ac:dyDescent="0.2">
      <c r="B2537" s="54" t="str">
        <f t="shared" si="51"/>
        <v>2011-078-1</v>
      </c>
      <c r="C2537" s="55">
        <v>2011</v>
      </c>
      <c r="D2537" s="55" t="s">
        <v>80</v>
      </c>
      <c r="E2537" s="55">
        <v>1</v>
      </c>
      <c r="F2537" s="57" t="s">
        <v>809</v>
      </c>
      <c r="G2537" s="55" t="s">
        <v>2735</v>
      </c>
      <c r="H2537" s="58"/>
      <c r="I2537" s="59"/>
    </row>
    <row r="2538" spans="2:9" x14ac:dyDescent="0.2">
      <c r="B2538" s="54" t="str">
        <f t="shared" si="51"/>
        <v>2011-078-2</v>
      </c>
      <c r="C2538" s="55">
        <v>2011</v>
      </c>
      <c r="D2538" s="55" t="s">
        <v>80</v>
      </c>
      <c r="E2538" s="55">
        <v>2</v>
      </c>
      <c r="F2538" s="57" t="s">
        <v>1132</v>
      </c>
      <c r="G2538" s="55"/>
      <c r="H2538" s="58"/>
      <c r="I2538" s="59"/>
    </row>
    <row r="2539" spans="2:9" x14ac:dyDescent="0.2">
      <c r="B2539" s="54" t="str">
        <f t="shared" si="51"/>
        <v>2011-078-3</v>
      </c>
      <c r="C2539" s="55">
        <v>2011</v>
      </c>
      <c r="D2539" s="55" t="s">
        <v>80</v>
      </c>
      <c r="E2539" s="55">
        <v>3</v>
      </c>
      <c r="F2539" s="57" t="s">
        <v>741</v>
      </c>
      <c r="G2539" s="55"/>
      <c r="H2539" s="58"/>
      <c r="I2539" s="59"/>
    </row>
    <row r="2540" spans="2:9" x14ac:dyDescent="0.2">
      <c r="B2540" s="54" t="str">
        <f t="shared" si="51"/>
        <v>2011-078-4</v>
      </c>
      <c r="C2540" s="55">
        <v>2011</v>
      </c>
      <c r="D2540" s="55" t="s">
        <v>80</v>
      </c>
      <c r="E2540" s="55">
        <v>4</v>
      </c>
      <c r="F2540" s="57" t="s">
        <v>1742</v>
      </c>
      <c r="G2540" s="55"/>
      <c r="H2540" s="58"/>
      <c r="I2540" s="59"/>
    </row>
    <row r="2541" spans="2:9" x14ac:dyDescent="0.2">
      <c r="B2541" s="60" t="str">
        <f t="shared" ref="B2541:B2604" si="52">C2541&amp;"-"&amp;D2541&amp;"-"&amp;E2541</f>
        <v>2011-078-5</v>
      </c>
      <c r="C2541" s="61">
        <v>2011</v>
      </c>
      <c r="D2541" s="61" t="s">
        <v>80</v>
      </c>
      <c r="E2541" s="61">
        <v>5</v>
      </c>
      <c r="F2541" s="62" t="s">
        <v>2038</v>
      </c>
      <c r="G2541" s="61"/>
      <c r="H2541" s="63"/>
      <c r="I2541" s="64"/>
    </row>
    <row r="2542" spans="2:9" x14ac:dyDescent="0.2">
      <c r="B2542" s="65" t="str">
        <f t="shared" si="52"/>
        <v>2011-079-0</v>
      </c>
      <c r="C2542" s="66">
        <v>2011</v>
      </c>
      <c r="D2542" s="66" t="s">
        <v>81</v>
      </c>
      <c r="E2542" s="66">
        <v>0</v>
      </c>
      <c r="F2542" s="67" t="s">
        <v>479</v>
      </c>
      <c r="G2542" s="66"/>
      <c r="H2542" s="68"/>
      <c r="I2542" s="69"/>
    </row>
    <row r="2543" spans="2:9" x14ac:dyDescent="0.2">
      <c r="B2543" s="54" t="str">
        <f t="shared" si="52"/>
        <v>2011-079-1</v>
      </c>
      <c r="C2543" s="55">
        <v>2011</v>
      </c>
      <c r="D2543" s="55" t="s">
        <v>81</v>
      </c>
      <c r="E2543" s="55">
        <v>1</v>
      </c>
      <c r="F2543" s="57" t="s">
        <v>810</v>
      </c>
      <c r="G2543" s="55"/>
      <c r="H2543" s="58"/>
      <c r="I2543" s="59"/>
    </row>
    <row r="2544" spans="2:9" ht="27" x14ac:dyDescent="0.2">
      <c r="B2544" s="54" t="str">
        <f t="shared" si="52"/>
        <v>2011-079-2</v>
      </c>
      <c r="C2544" s="55">
        <v>2011</v>
      </c>
      <c r="D2544" s="55" t="s">
        <v>81</v>
      </c>
      <c r="E2544" s="55">
        <v>2</v>
      </c>
      <c r="F2544" s="57" t="s">
        <v>1133</v>
      </c>
      <c r="G2544" s="55" t="s">
        <v>2735</v>
      </c>
      <c r="H2544" s="58"/>
      <c r="I2544" s="59"/>
    </row>
    <row r="2545" spans="2:9" x14ac:dyDescent="0.2">
      <c r="B2545" s="54" t="str">
        <f t="shared" si="52"/>
        <v>2011-079-3</v>
      </c>
      <c r="C2545" s="55">
        <v>2011</v>
      </c>
      <c r="D2545" s="55" t="s">
        <v>81</v>
      </c>
      <c r="E2545" s="55">
        <v>3</v>
      </c>
      <c r="F2545" s="57" t="s">
        <v>1439</v>
      </c>
      <c r="G2545" s="55"/>
      <c r="H2545" s="58"/>
      <c r="I2545" s="59"/>
    </row>
    <row r="2546" spans="2:9" ht="27" x14ac:dyDescent="0.2">
      <c r="B2546" s="54" t="str">
        <f t="shared" si="52"/>
        <v>2011-079-4</v>
      </c>
      <c r="C2546" s="55">
        <v>2011</v>
      </c>
      <c r="D2546" s="55" t="s">
        <v>81</v>
      </c>
      <c r="E2546" s="55">
        <v>4</v>
      </c>
      <c r="F2546" s="57" t="s">
        <v>1743</v>
      </c>
      <c r="G2546" s="55"/>
      <c r="H2546" s="58"/>
      <c r="I2546" s="59"/>
    </row>
    <row r="2547" spans="2:9" x14ac:dyDescent="0.2">
      <c r="B2547" s="60" t="str">
        <f t="shared" si="52"/>
        <v>2011-079-5</v>
      </c>
      <c r="C2547" s="61">
        <v>2011</v>
      </c>
      <c r="D2547" s="61" t="s">
        <v>81</v>
      </c>
      <c r="E2547" s="61">
        <v>5</v>
      </c>
      <c r="F2547" s="62" t="s">
        <v>1624</v>
      </c>
      <c r="G2547" s="61"/>
      <c r="H2547" s="63"/>
      <c r="I2547" s="64"/>
    </row>
    <row r="2548" spans="2:9" ht="54" x14ac:dyDescent="0.2">
      <c r="B2548" s="65" t="str">
        <f t="shared" si="52"/>
        <v>2011-080-0</v>
      </c>
      <c r="C2548" s="66">
        <v>2011</v>
      </c>
      <c r="D2548" s="66" t="s">
        <v>82</v>
      </c>
      <c r="E2548" s="66">
        <v>0</v>
      </c>
      <c r="F2548" s="67" t="s">
        <v>480</v>
      </c>
      <c r="G2548" s="66"/>
      <c r="H2548" s="68"/>
      <c r="I2548" s="69"/>
    </row>
    <row r="2549" spans="2:9" x14ac:dyDescent="0.2">
      <c r="B2549" s="54" t="str">
        <f t="shared" si="52"/>
        <v>2011-080-1</v>
      </c>
      <c r="C2549" s="55">
        <v>2011</v>
      </c>
      <c r="D2549" s="55" t="s">
        <v>82</v>
      </c>
      <c r="E2549" s="55">
        <v>1</v>
      </c>
      <c r="F2549" s="57" t="s">
        <v>811</v>
      </c>
      <c r="G2549" s="55"/>
      <c r="H2549" s="58"/>
      <c r="I2549" s="59"/>
    </row>
    <row r="2550" spans="2:9" x14ac:dyDescent="0.2">
      <c r="B2550" s="54" t="str">
        <f t="shared" si="52"/>
        <v>2011-080-2</v>
      </c>
      <c r="C2550" s="55">
        <v>2011</v>
      </c>
      <c r="D2550" s="55" t="s">
        <v>82</v>
      </c>
      <c r="E2550" s="55">
        <v>2</v>
      </c>
      <c r="F2550" s="57" t="s">
        <v>1134</v>
      </c>
      <c r="G2550" s="55"/>
      <c r="H2550" s="58"/>
      <c r="I2550" s="59"/>
    </row>
    <row r="2551" spans="2:9" x14ac:dyDescent="0.2">
      <c r="B2551" s="54" t="str">
        <f t="shared" si="52"/>
        <v>2011-080-3</v>
      </c>
      <c r="C2551" s="55">
        <v>2011</v>
      </c>
      <c r="D2551" s="55" t="s">
        <v>82</v>
      </c>
      <c r="E2551" s="55">
        <v>3</v>
      </c>
      <c r="F2551" s="57" t="s">
        <v>1440</v>
      </c>
      <c r="G2551" s="55" t="s">
        <v>2735</v>
      </c>
      <c r="H2551" s="58"/>
      <c r="I2551" s="59"/>
    </row>
    <row r="2552" spans="2:9" x14ac:dyDescent="0.2">
      <c r="B2552" s="54" t="str">
        <f t="shared" si="52"/>
        <v>2011-080-4</v>
      </c>
      <c r="C2552" s="55">
        <v>2011</v>
      </c>
      <c r="D2552" s="55" t="s">
        <v>82</v>
      </c>
      <c r="E2552" s="55">
        <v>4</v>
      </c>
      <c r="F2552" s="57" t="s">
        <v>1744</v>
      </c>
      <c r="G2552" s="55"/>
      <c r="H2552" s="58"/>
      <c r="I2552" s="59"/>
    </row>
    <row r="2553" spans="2:9" x14ac:dyDescent="0.2">
      <c r="B2553" s="60" t="str">
        <f t="shared" si="52"/>
        <v>2011-080-5</v>
      </c>
      <c r="C2553" s="61">
        <v>2011</v>
      </c>
      <c r="D2553" s="61" t="s">
        <v>82</v>
      </c>
      <c r="E2553" s="61">
        <v>5</v>
      </c>
      <c r="F2553" s="62" t="s">
        <v>2039</v>
      </c>
      <c r="G2553" s="61"/>
      <c r="H2553" s="63"/>
      <c r="I2553" s="64"/>
    </row>
    <row r="2554" spans="2:9" x14ac:dyDescent="0.2">
      <c r="B2554" s="65" t="str">
        <f t="shared" si="52"/>
        <v>2011-081-0</v>
      </c>
      <c r="C2554" s="66">
        <v>2011</v>
      </c>
      <c r="D2554" s="66" t="s">
        <v>88</v>
      </c>
      <c r="E2554" s="66">
        <v>0</v>
      </c>
      <c r="F2554" s="67" t="s">
        <v>481</v>
      </c>
      <c r="G2554" s="66"/>
      <c r="H2554" s="68"/>
      <c r="I2554" s="69"/>
    </row>
    <row r="2555" spans="2:9" x14ac:dyDescent="0.2">
      <c r="B2555" s="54" t="str">
        <f t="shared" si="52"/>
        <v>2011-081-1</v>
      </c>
      <c r="C2555" s="55">
        <v>2011</v>
      </c>
      <c r="D2555" s="55" t="s">
        <v>88</v>
      </c>
      <c r="E2555" s="55">
        <v>1</v>
      </c>
      <c r="F2555" s="57" t="s">
        <v>812</v>
      </c>
      <c r="G2555" s="55"/>
      <c r="H2555" s="58"/>
      <c r="I2555" s="59"/>
    </row>
    <row r="2556" spans="2:9" x14ac:dyDescent="0.2">
      <c r="B2556" s="54" t="str">
        <f t="shared" si="52"/>
        <v>2011-081-2</v>
      </c>
      <c r="C2556" s="55">
        <v>2011</v>
      </c>
      <c r="D2556" s="55" t="s">
        <v>88</v>
      </c>
      <c r="E2556" s="55">
        <v>2</v>
      </c>
      <c r="F2556" s="57" t="s">
        <v>1135</v>
      </c>
      <c r="G2556" s="55"/>
      <c r="H2556" s="58"/>
      <c r="I2556" s="59"/>
    </row>
    <row r="2557" spans="2:9" x14ac:dyDescent="0.2">
      <c r="B2557" s="54" t="str">
        <f t="shared" si="52"/>
        <v>2011-081-3</v>
      </c>
      <c r="C2557" s="55">
        <v>2011</v>
      </c>
      <c r="D2557" s="55" t="s">
        <v>88</v>
      </c>
      <c r="E2557" s="55">
        <v>3</v>
      </c>
      <c r="F2557" s="57" t="s">
        <v>1441</v>
      </c>
      <c r="G2557" s="55"/>
      <c r="H2557" s="58"/>
      <c r="I2557" s="59"/>
    </row>
    <row r="2558" spans="2:9" x14ac:dyDescent="0.2">
      <c r="B2558" s="54" t="str">
        <f t="shared" si="52"/>
        <v>2011-081-4</v>
      </c>
      <c r="C2558" s="55">
        <v>2011</v>
      </c>
      <c r="D2558" s="55" t="s">
        <v>88</v>
      </c>
      <c r="E2558" s="55">
        <v>4</v>
      </c>
      <c r="F2558" s="57" t="s">
        <v>1745</v>
      </c>
      <c r="G2558" s="55"/>
      <c r="H2558" s="58"/>
      <c r="I2558" s="59"/>
    </row>
    <row r="2559" spans="2:9" x14ac:dyDescent="0.2">
      <c r="B2559" s="60" t="str">
        <f t="shared" si="52"/>
        <v>2011-081-5</v>
      </c>
      <c r="C2559" s="61">
        <v>2011</v>
      </c>
      <c r="D2559" s="61" t="s">
        <v>88</v>
      </c>
      <c r="E2559" s="61">
        <v>5</v>
      </c>
      <c r="F2559" s="62" t="s">
        <v>2040</v>
      </c>
      <c r="G2559" s="61" t="s">
        <v>2735</v>
      </c>
      <c r="H2559" s="63"/>
      <c r="I2559" s="64"/>
    </row>
    <row r="2560" spans="2:9" x14ac:dyDescent="0.2">
      <c r="B2560" s="65" t="str">
        <f t="shared" si="52"/>
        <v>2011-082-0</v>
      </c>
      <c r="C2560" s="66">
        <v>2011</v>
      </c>
      <c r="D2560" s="66" t="s">
        <v>89</v>
      </c>
      <c r="E2560" s="66">
        <v>0</v>
      </c>
      <c r="F2560" s="67" t="s">
        <v>482</v>
      </c>
      <c r="G2560" s="66"/>
      <c r="H2560" s="68"/>
      <c r="I2560" s="69"/>
    </row>
    <row r="2561" spans="2:9" x14ac:dyDescent="0.2">
      <c r="B2561" s="54" t="str">
        <f t="shared" si="52"/>
        <v>2011-082-1</v>
      </c>
      <c r="C2561" s="55">
        <v>2011</v>
      </c>
      <c r="D2561" s="55" t="s">
        <v>89</v>
      </c>
      <c r="E2561" s="55">
        <v>1</v>
      </c>
      <c r="F2561" s="57" t="s">
        <v>813</v>
      </c>
      <c r="G2561" s="55" t="s">
        <v>2735</v>
      </c>
      <c r="H2561" s="58"/>
      <c r="I2561" s="59"/>
    </row>
    <row r="2562" spans="2:9" x14ac:dyDescent="0.2">
      <c r="B2562" s="54" t="str">
        <f t="shared" si="52"/>
        <v>2011-082-2</v>
      </c>
      <c r="C2562" s="55">
        <v>2011</v>
      </c>
      <c r="D2562" s="55" t="s">
        <v>89</v>
      </c>
      <c r="E2562" s="55">
        <v>2</v>
      </c>
      <c r="F2562" s="57" t="s">
        <v>1136</v>
      </c>
      <c r="G2562" s="55"/>
      <c r="H2562" s="58"/>
      <c r="I2562" s="59"/>
    </row>
    <row r="2563" spans="2:9" x14ac:dyDescent="0.2">
      <c r="B2563" s="54" t="str">
        <f t="shared" si="52"/>
        <v>2011-082-3</v>
      </c>
      <c r="C2563" s="55">
        <v>2011</v>
      </c>
      <c r="D2563" s="55" t="s">
        <v>89</v>
      </c>
      <c r="E2563" s="55">
        <v>3</v>
      </c>
      <c r="F2563" s="57" t="s">
        <v>1442</v>
      </c>
      <c r="G2563" s="55"/>
      <c r="H2563" s="58"/>
      <c r="I2563" s="59"/>
    </row>
    <row r="2564" spans="2:9" x14ac:dyDescent="0.2">
      <c r="B2564" s="54" t="str">
        <f t="shared" si="52"/>
        <v>2011-082-4</v>
      </c>
      <c r="C2564" s="55">
        <v>2011</v>
      </c>
      <c r="D2564" s="55" t="s">
        <v>89</v>
      </c>
      <c r="E2564" s="55">
        <v>4</v>
      </c>
      <c r="F2564" s="57" t="s">
        <v>1746</v>
      </c>
      <c r="G2564" s="55"/>
      <c r="H2564" s="58"/>
      <c r="I2564" s="59"/>
    </row>
    <row r="2565" spans="2:9" x14ac:dyDescent="0.2">
      <c r="B2565" s="60" t="str">
        <f t="shared" si="52"/>
        <v>2011-082-5</v>
      </c>
      <c r="C2565" s="61">
        <v>2011</v>
      </c>
      <c r="D2565" s="61" t="s">
        <v>89</v>
      </c>
      <c r="E2565" s="61">
        <v>5</v>
      </c>
      <c r="F2565" s="62" t="s">
        <v>2041</v>
      </c>
      <c r="G2565" s="61"/>
      <c r="H2565" s="63"/>
      <c r="I2565" s="64"/>
    </row>
    <row r="2566" spans="2:9" ht="40.5" x14ac:dyDescent="0.2">
      <c r="B2566" s="65" t="str">
        <f t="shared" si="52"/>
        <v>2011-083-0</v>
      </c>
      <c r="C2566" s="66">
        <v>2011</v>
      </c>
      <c r="D2566" s="66" t="s">
        <v>90</v>
      </c>
      <c r="E2566" s="66">
        <v>0</v>
      </c>
      <c r="F2566" s="67" t="s">
        <v>483</v>
      </c>
      <c r="G2566" s="66"/>
      <c r="H2566" s="68"/>
      <c r="I2566" s="69"/>
    </row>
    <row r="2567" spans="2:9" x14ac:dyDescent="0.2">
      <c r="B2567" s="54" t="str">
        <f t="shared" si="52"/>
        <v>2011-083-1</v>
      </c>
      <c r="C2567" s="55">
        <v>2011</v>
      </c>
      <c r="D2567" s="55" t="s">
        <v>90</v>
      </c>
      <c r="E2567" s="55">
        <v>1</v>
      </c>
      <c r="F2567" s="57" t="s">
        <v>814</v>
      </c>
      <c r="G2567" s="55"/>
      <c r="H2567" s="58"/>
      <c r="I2567" s="59"/>
    </row>
    <row r="2568" spans="2:9" x14ac:dyDescent="0.2">
      <c r="B2568" s="54" t="str">
        <f t="shared" si="52"/>
        <v>2011-083-2</v>
      </c>
      <c r="C2568" s="55">
        <v>2011</v>
      </c>
      <c r="D2568" s="55" t="s">
        <v>90</v>
      </c>
      <c r="E2568" s="55">
        <v>2</v>
      </c>
      <c r="F2568" s="57" t="s">
        <v>1137</v>
      </c>
      <c r="G2568" s="55" t="s">
        <v>2735</v>
      </c>
      <c r="H2568" s="58"/>
      <c r="I2568" s="59"/>
    </row>
    <row r="2569" spans="2:9" x14ac:dyDescent="0.2">
      <c r="B2569" s="54" t="str">
        <f t="shared" si="52"/>
        <v>2011-083-3</v>
      </c>
      <c r="C2569" s="55">
        <v>2011</v>
      </c>
      <c r="D2569" s="55" t="s">
        <v>90</v>
      </c>
      <c r="E2569" s="55">
        <v>3</v>
      </c>
      <c r="F2569" s="57" t="s">
        <v>1443</v>
      </c>
      <c r="G2569" s="55"/>
      <c r="H2569" s="58"/>
      <c r="I2569" s="59"/>
    </row>
    <row r="2570" spans="2:9" x14ac:dyDescent="0.2">
      <c r="B2570" s="54" t="str">
        <f t="shared" si="52"/>
        <v>2011-083-4</v>
      </c>
      <c r="C2570" s="55">
        <v>2011</v>
      </c>
      <c r="D2570" s="55" t="s">
        <v>90</v>
      </c>
      <c r="E2570" s="55">
        <v>4</v>
      </c>
      <c r="F2570" s="57" t="s">
        <v>1747</v>
      </c>
      <c r="G2570" s="55"/>
      <c r="H2570" s="58"/>
      <c r="I2570" s="59"/>
    </row>
    <row r="2571" spans="2:9" x14ac:dyDescent="0.2">
      <c r="B2571" s="60" t="str">
        <f t="shared" si="52"/>
        <v>2011-083-5</v>
      </c>
      <c r="C2571" s="61">
        <v>2011</v>
      </c>
      <c r="D2571" s="61" t="s">
        <v>90</v>
      </c>
      <c r="E2571" s="61">
        <v>5</v>
      </c>
      <c r="F2571" s="62" t="s">
        <v>2042</v>
      </c>
      <c r="G2571" s="61"/>
      <c r="H2571" s="63"/>
      <c r="I2571" s="64"/>
    </row>
    <row r="2572" spans="2:9" ht="40.5" x14ac:dyDescent="0.2">
      <c r="B2572" s="65" t="str">
        <f t="shared" si="52"/>
        <v>2011-084-0</v>
      </c>
      <c r="C2572" s="66">
        <v>2011</v>
      </c>
      <c r="D2572" s="66" t="s">
        <v>91</v>
      </c>
      <c r="E2572" s="66">
        <v>0</v>
      </c>
      <c r="F2572" s="67" t="s">
        <v>484</v>
      </c>
      <c r="G2572" s="66"/>
      <c r="H2572" s="68"/>
      <c r="I2572" s="69"/>
    </row>
    <row r="2573" spans="2:9" x14ac:dyDescent="0.2">
      <c r="B2573" s="54" t="str">
        <f t="shared" si="52"/>
        <v>2011-084-1</v>
      </c>
      <c r="C2573" s="55">
        <v>2011</v>
      </c>
      <c r="D2573" s="55" t="s">
        <v>91</v>
      </c>
      <c r="E2573" s="55">
        <v>1</v>
      </c>
      <c r="F2573" s="57" t="s">
        <v>815</v>
      </c>
      <c r="G2573" s="55" t="s">
        <v>2735</v>
      </c>
      <c r="H2573" s="58"/>
      <c r="I2573" s="59"/>
    </row>
    <row r="2574" spans="2:9" x14ac:dyDescent="0.2">
      <c r="B2574" s="54" t="str">
        <f t="shared" si="52"/>
        <v>2011-084-2</v>
      </c>
      <c r="C2574" s="55">
        <v>2011</v>
      </c>
      <c r="D2574" s="55" t="s">
        <v>91</v>
      </c>
      <c r="E2574" s="55">
        <v>2</v>
      </c>
      <c r="F2574" s="57" t="s">
        <v>1138</v>
      </c>
      <c r="G2574" s="55"/>
      <c r="H2574" s="58"/>
      <c r="I2574" s="59"/>
    </row>
    <row r="2575" spans="2:9" x14ac:dyDescent="0.2">
      <c r="B2575" s="54" t="str">
        <f t="shared" si="52"/>
        <v>2011-084-3</v>
      </c>
      <c r="C2575" s="55">
        <v>2011</v>
      </c>
      <c r="D2575" s="55" t="s">
        <v>91</v>
      </c>
      <c r="E2575" s="55">
        <v>3</v>
      </c>
      <c r="F2575" s="57" t="s">
        <v>1444</v>
      </c>
      <c r="G2575" s="55"/>
      <c r="H2575" s="58"/>
      <c r="I2575" s="59"/>
    </row>
    <row r="2576" spans="2:9" x14ac:dyDescent="0.2">
      <c r="B2576" s="54" t="str">
        <f t="shared" si="52"/>
        <v>2011-084-4</v>
      </c>
      <c r="C2576" s="55">
        <v>2011</v>
      </c>
      <c r="D2576" s="55" t="s">
        <v>91</v>
      </c>
      <c r="E2576" s="55">
        <v>4</v>
      </c>
      <c r="F2576" s="57" t="s">
        <v>1748</v>
      </c>
      <c r="G2576" s="55"/>
      <c r="H2576" s="58"/>
      <c r="I2576" s="59"/>
    </row>
    <row r="2577" spans="2:9" x14ac:dyDescent="0.2">
      <c r="B2577" s="60" t="str">
        <f t="shared" si="52"/>
        <v>2011-084-5</v>
      </c>
      <c r="C2577" s="61">
        <v>2011</v>
      </c>
      <c r="D2577" s="61" t="s">
        <v>91</v>
      </c>
      <c r="E2577" s="61">
        <v>5</v>
      </c>
      <c r="F2577" s="62" t="s">
        <v>2043</v>
      </c>
      <c r="G2577" s="61"/>
      <c r="H2577" s="63"/>
      <c r="I2577" s="64"/>
    </row>
    <row r="2578" spans="2:9" ht="27" x14ac:dyDescent="0.2">
      <c r="B2578" s="65" t="str">
        <f t="shared" si="52"/>
        <v>2011-085-0</v>
      </c>
      <c r="C2578" s="66">
        <v>2011</v>
      </c>
      <c r="D2578" s="66" t="s">
        <v>92</v>
      </c>
      <c r="E2578" s="66">
        <v>0</v>
      </c>
      <c r="F2578" s="67" t="s">
        <v>485</v>
      </c>
      <c r="G2578" s="66"/>
      <c r="H2578" s="68"/>
      <c r="I2578" s="69"/>
    </row>
    <row r="2579" spans="2:9" x14ac:dyDescent="0.2">
      <c r="B2579" s="54" t="str">
        <f t="shared" si="52"/>
        <v>2011-085-1</v>
      </c>
      <c r="C2579" s="55">
        <v>2011</v>
      </c>
      <c r="D2579" s="55" t="s">
        <v>92</v>
      </c>
      <c r="E2579" s="55">
        <v>1</v>
      </c>
      <c r="F2579" s="57" t="s">
        <v>659</v>
      </c>
      <c r="G2579" s="55"/>
      <c r="H2579" s="58"/>
      <c r="I2579" s="59"/>
    </row>
    <row r="2580" spans="2:9" x14ac:dyDescent="0.2">
      <c r="B2580" s="54" t="str">
        <f t="shared" si="52"/>
        <v>2011-085-2</v>
      </c>
      <c r="C2580" s="55">
        <v>2011</v>
      </c>
      <c r="D2580" s="55" t="s">
        <v>92</v>
      </c>
      <c r="E2580" s="55">
        <v>2</v>
      </c>
      <c r="F2580" s="57" t="s">
        <v>527</v>
      </c>
      <c r="G2580" s="55"/>
      <c r="H2580" s="58"/>
      <c r="I2580" s="59"/>
    </row>
    <row r="2581" spans="2:9" x14ac:dyDescent="0.2">
      <c r="B2581" s="54" t="str">
        <f t="shared" si="52"/>
        <v>2011-085-3</v>
      </c>
      <c r="C2581" s="55">
        <v>2011</v>
      </c>
      <c r="D2581" s="55" t="s">
        <v>92</v>
      </c>
      <c r="E2581" s="55">
        <v>3</v>
      </c>
      <c r="F2581" s="57" t="s">
        <v>1067</v>
      </c>
      <c r="G2581" s="55"/>
      <c r="H2581" s="58"/>
      <c r="I2581" s="59"/>
    </row>
    <row r="2582" spans="2:9" x14ac:dyDescent="0.2">
      <c r="B2582" s="54" t="str">
        <f t="shared" si="52"/>
        <v>2011-085-4</v>
      </c>
      <c r="C2582" s="55">
        <v>2011</v>
      </c>
      <c r="D2582" s="55" t="s">
        <v>92</v>
      </c>
      <c r="E2582" s="55">
        <v>4</v>
      </c>
      <c r="F2582" s="57" t="s">
        <v>854</v>
      </c>
      <c r="G2582" s="55" t="s">
        <v>2735</v>
      </c>
      <c r="H2582" s="58"/>
      <c r="I2582" s="59"/>
    </row>
    <row r="2583" spans="2:9" x14ac:dyDescent="0.2">
      <c r="B2583" s="60" t="str">
        <f t="shared" si="52"/>
        <v>2011-085-5</v>
      </c>
      <c r="C2583" s="61">
        <v>2011</v>
      </c>
      <c r="D2583" s="61" t="s">
        <v>92</v>
      </c>
      <c r="E2583" s="61">
        <v>5</v>
      </c>
      <c r="F2583" s="62" t="s">
        <v>1176</v>
      </c>
      <c r="G2583" s="61"/>
      <c r="H2583" s="63"/>
      <c r="I2583" s="64"/>
    </row>
    <row r="2584" spans="2:9" x14ac:dyDescent="0.2">
      <c r="B2584" s="65" t="str">
        <f t="shared" si="52"/>
        <v>2011-086-0</v>
      </c>
      <c r="C2584" s="66">
        <v>2011</v>
      </c>
      <c r="D2584" s="66" t="s">
        <v>93</v>
      </c>
      <c r="E2584" s="66">
        <v>0</v>
      </c>
      <c r="F2584" s="67" t="s">
        <v>486</v>
      </c>
      <c r="G2584" s="66"/>
      <c r="H2584" s="68"/>
      <c r="I2584" s="69"/>
    </row>
    <row r="2585" spans="2:9" ht="27" x14ac:dyDescent="0.2">
      <c r="B2585" s="54" t="str">
        <f t="shared" si="52"/>
        <v>2011-086-1</v>
      </c>
      <c r="C2585" s="55">
        <v>2011</v>
      </c>
      <c r="D2585" s="55" t="s">
        <v>93</v>
      </c>
      <c r="E2585" s="55">
        <v>1</v>
      </c>
      <c r="F2585" s="57" t="s">
        <v>816</v>
      </c>
      <c r="G2585" s="55"/>
      <c r="H2585" s="58"/>
      <c r="I2585" s="59"/>
    </row>
    <row r="2586" spans="2:9" x14ac:dyDescent="0.2">
      <c r="B2586" s="54" t="str">
        <f t="shared" si="52"/>
        <v>2011-086-2</v>
      </c>
      <c r="C2586" s="55">
        <v>2011</v>
      </c>
      <c r="D2586" s="55" t="s">
        <v>93</v>
      </c>
      <c r="E2586" s="55">
        <v>2</v>
      </c>
      <c r="F2586" s="57" t="s">
        <v>1139</v>
      </c>
      <c r="G2586" s="55"/>
      <c r="H2586" s="58"/>
      <c r="I2586" s="59"/>
    </row>
    <row r="2587" spans="2:9" x14ac:dyDescent="0.2">
      <c r="B2587" s="54" t="str">
        <f t="shared" si="52"/>
        <v>2011-086-3</v>
      </c>
      <c r="C2587" s="55">
        <v>2011</v>
      </c>
      <c r="D2587" s="55" t="s">
        <v>93</v>
      </c>
      <c r="E2587" s="55">
        <v>3</v>
      </c>
      <c r="F2587" s="57" t="s">
        <v>1445</v>
      </c>
      <c r="G2587" s="55" t="s">
        <v>2735</v>
      </c>
      <c r="H2587" s="58"/>
      <c r="I2587" s="59"/>
    </row>
    <row r="2588" spans="2:9" x14ac:dyDescent="0.2">
      <c r="B2588" s="54" t="str">
        <f t="shared" si="52"/>
        <v>2011-086-4</v>
      </c>
      <c r="C2588" s="55">
        <v>2011</v>
      </c>
      <c r="D2588" s="55" t="s">
        <v>93</v>
      </c>
      <c r="E2588" s="55">
        <v>4</v>
      </c>
      <c r="F2588" s="57" t="s">
        <v>1749</v>
      </c>
      <c r="G2588" s="55"/>
      <c r="H2588" s="58"/>
      <c r="I2588" s="59"/>
    </row>
    <row r="2589" spans="2:9" x14ac:dyDescent="0.2">
      <c r="B2589" s="60" t="str">
        <f t="shared" si="52"/>
        <v>2011-086-5</v>
      </c>
      <c r="C2589" s="61">
        <v>2011</v>
      </c>
      <c r="D2589" s="61" t="s">
        <v>93</v>
      </c>
      <c r="E2589" s="61">
        <v>5</v>
      </c>
      <c r="F2589" s="62" t="s">
        <v>2044</v>
      </c>
      <c r="G2589" s="61"/>
      <c r="H2589" s="63"/>
      <c r="I2589" s="64"/>
    </row>
    <row r="2590" spans="2:9" x14ac:dyDescent="0.2">
      <c r="B2590" s="65" t="str">
        <f t="shared" si="52"/>
        <v>2011-087-0</v>
      </c>
      <c r="C2590" s="66">
        <v>2011</v>
      </c>
      <c r="D2590" s="66" t="s">
        <v>94</v>
      </c>
      <c r="E2590" s="66">
        <v>0</v>
      </c>
      <c r="F2590" s="67" t="s">
        <v>487</v>
      </c>
      <c r="G2590" s="66"/>
      <c r="H2590" s="68"/>
      <c r="I2590" s="69"/>
    </row>
    <row r="2591" spans="2:9" x14ac:dyDescent="0.2">
      <c r="B2591" s="54" t="str">
        <f t="shared" si="52"/>
        <v>2011-087-1</v>
      </c>
      <c r="C2591" s="55">
        <v>2011</v>
      </c>
      <c r="D2591" s="55" t="s">
        <v>94</v>
      </c>
      <c r="E2591" s="55">
        <v>1</v>
      </c>
      <c r="F2591" s="57" t="s">
        <v>817</v>
      </c>
      <c r="G2591" s="55"/>
      <c r="H2591" s="58"/>
      <c r="I2591" s="59"/>
    </row>
    <row r="2592" spans="2:9" x14ac:dyDescent="0.2">
      <c r="B2592" s="54" t="str">
        <f t="shared" si="52"/>
        <v>2011-087-2</v>
      </c>
      <c r="C2592" s="55">
        <v>2011</v>
      </c>
      <c r="D2592" s="55" t="s">
        <v>94</v>
      </c>
      <c r="E2592" s="55">
        <v>2</v>
      </c>
      <c r="F2592" s="57" t="s">
        <v>1140</v>
      </c>
      <c r="G2592" s="55" t="s">
        <v>2735</v>
      </c>
      <c r="H2592" s="58"/>
      <c r="I2592" s="59"/>
    </row>
    <row r="2593" spans="2:9" x14ac:dyDescent="0.2">
      <c r="B2593" s="54" t="str">
        <f t="shared" si="52"/>
        <v>2011-087-3</v>
      </c>
      <c r="C2593" s="55">
        <v>2011</v>
      </c>
      <c r="D2593" s="55" t="s">
        <v>94</v>
      </c>
      <c r="E2593" s="55">
        <v>3</v>
      </c>
      <c r="F2593" s="57" t="s">
        <v>1446</v>
      </c>
      <c r="G2593" s="55"/>
      <c r="H2593" s="58"/>
      <c r="I2593" s="59"/>
    </row>
    <row r="2594" spans="2:9" x14ac:dyDescent="0.2">
      <c r="B2594" s="54" t="str">
        <f t="shared" si="52"/>
        <v>2011-087-4</v>
      </c>
      <c r="C2594" s="55">
        <v>2011</v>
      </c>
      <c r="D2594" s="55" t="s">
        <v>94</v>
      </c>
      <c r="E2594" s="55">
        <v>4</v>
      </c>
      <c r="F2594" s="57" t="s">
        <v>1750</v>
      </c>
      <c r="G2594" s="55"/>
      <c r="H2594" s="58"/>
      <c r="I2594" s="59"/>
    </row>
    <row r="2595" spans="2:9" x14ac:dyDescent="0.2">
      <c r="B2595" s="60" t="str">
        <f t="shared" si="52"/>
        <v>2011-087-5</v>
      </c>
      <c r="C2595" s="61">
        <v>2011</v>
      </c>
      <c r="D2595" s="61" t="s">
        <v>94</v>
      </c>
      <c r="E2595" s="61">
        <v>5</v>
      </c>
      <c r="F2595" s="62" t="s">
        <v>2045</v>
      </c>
      <c r="G2595" s="61"/>
      <c r="H2595" s="63"/>
      <c r="I2595" s="64"/>
    </row>
    <row r="2596" spans="2:9" x14ac:dyDescent="0.2">
      <c r="B2596" s="65" t="str">
        <f t="shared" si="52"/>
        <v>2011-088-0</v>
      </c>
      <c r="C2596" s="66">
        <v>2011</v>
      </c>
      <c r="D2596" s="66" t="s">
        <v>95</v>
      </c>
      <c r="E2596" s="66">
        <v>0</v>
      </c>
      <c r="F2596" s="67" t="s">
        <v>488</v>
      </c>
      <c r="G2596" s="66"/>
      <c r="H2596" s="68"/>
      <c r="I2596" s="69"/>
    </row>
    <row r="2597" spans="2:9" x14ac:dyDescent="0.2">
      <c r="B2597" s="54" t="str">
        <f t="shared" si="52"/>
        <v>2011-088-1</v>
      </c>
      <c r="C2597" s="55">
        <v>2011</v>
      </c>
      <c r="D2597" s="55" t="s">
        <v>95</v>
      </c>
      <c r="E2597" s="55">
        <v>1</v>
      </c>
      <c r="F2597" s="57" t="s">
        <v>818</v>
      </c>
      <c r="G2597" s="55"/>
      <c r="H2597" s="58"/>
      <c r="I2597" s="59"/>
    </row>
    <row r="2598" spans="2:9" x14ac:dyDescent="0.2">
      <c r="B2598" s="54" t="str">
        <f t="shared" si="52"/>
        <v>2011-088-2</v>
      </c>
      <c r="C2598" s="55">
        <v>2011</v>
      </c>
      <c r="D2598" s="55" t="s">
        <v>95</v>
      </c>
      <c r="E2598" s="55">
        <v>2</v>
      </c>
      <c r="F2598" s="57" t="s">
        <v>1141</v>
      </c>
      <c r="G2598" s="55" t="s">
        <v>2735</v>
      </c>
      <c r="H2598" s="58"/>
      <c r="I2598" s="59"/>
    </row>
    <row r="2599" spans="2:9" ht="27" x14ac:dyDescent="0.2">
      <c r="B2599" s="54" t="str">
        <f t="shared" si="52"/>
        <v>2011-088-3</v>
      </c>
      <c r="C2599" s="55">
        <v>2011</v>
      </c>
      <c r="D2599" s="55" t="s">
        <v>95</v>
      </c>
      <c r="E2599" s="55">
        <v>3</v>
      </c>
      <c r="F2599" s="57" t="s">
        <v>1447</v>
      </c>
      <c r="G2599" s="55"/>
      <c r="H2599" s="58"/>
      <c r="I2599" s="59"/>
    </row>
    <row r="2600" spans="2:9" x14ac:dyDescent="0.2">
      <c r="B2600" s="54" t="str">
        <f t="shared" si="52"/>
        <v>2011-088-4</v>
      </c>
      <c r="C2600" s="55">
        <v>2011</v>
      </c>
      <c r="D2600" s="55" t="s">
        <v>95</v>
      </c>
      <c r="E2600" s="55">
        <v>4</v>
      </c>
      <c r="F2600" s="57" t="s">
        <v>1751</v>
      </c>
      <c r="G2600" s="55"/>
      <c r="H2600" s="58"/>
      <c r="I2600" s="59"/>
    </row>
    <row r="2601" spans="2:9" x14ac:dyDescent="0.2">
      <c r="B2601" s="60" t="str">
        <f t="shared" si="52"/>
        <v>2011-088-5</v>
      </c>
      <c r="C2601" s="61">
        <v>2011</v>
      </c>
      <c r="D2601" s="61" t="s">
        <v>95</v>
      </c>
      <c r="E2601" s="61">
        <v>5</v>
      </c>
      <c r="F2601" s="62" t="s">
        <v>2046</v>
      </c>
      <c r="G2601" s="61"/>
      <c r="H2601" s="63"/>
      <c r="I2601" s="64"/>
    </row>
    <row r="2602" spans="2:9" x14ac:dyDescent="0.2">
      <c r="B2602" s="65" t="str">
        <f t="shared" si="52"/>
        <v>2011-089-0</v>
      </c>
      <c r="C2602" s="66">
        <v>2011</v>
      </c>
      <c r="D2602" s="66" t="s">
        <v>96</v>
      </c>
      <c r="E2602" s="66">
        <v>0</v>
      </c>
      <c r="F2602" s="67" t="s">
        <v>489</v>
      </c>
      <c r="G2602" s="66"/>
      <c r="H2602" s="68"/>
      <c r="I2602" s="69"/>
    </row>
    <row r="2603" spans="2:9" x14ac:dyDescent="0.2">
      <c r="B2603" s="54" t="str">
        <f t="shared" si="52"/>
        <v>2011-089-1</v>
      </c>
      <c r="C2603" s="55">
        <v>2011</v>
      </c>
      <c r="D2603" s="55" t="s">
        <v>96</v>
      </c>
      <c r="E2603" s="55">
        <v>1</v>
      </c>
      <c r="F2603" s="57" t="s">
        <v>819</v>
      </c>
      <c r="G2603" s="55" t="s">
        <v>2735</v>
      </c>
      <c r="H2603" s="58"/>
      <c r="I2603" s="59"/>
    </row>
    <row r="2604" spans="2:9" x14ac:dyDescent="0.2">
      <c r="B2604" s="54" t="str">
        <f t="shared" si="52"/>
        <v>2011-089-2</v>
      </c>
      <c r="C2604" s="55">
        <v>2011</v>
      </c>
      <c r="D2604" s="55" t="s">
        <v>96</v>
      </c>
      <c r="E2604" s="55">
        <v>2</v>
      </c>
      <c r="F2604" s="57" t="s">
        <v>1142</v>
      </c>
      <c r="G2604" s="55"/>
      <c r="H2604" s="58"/>
      <c r="I2604" s="59"/>
    </row>
    <row r="2605" spans="2:9" x14ac:dyDescent="0.2">
      <c r="B2605" s="54" t="str">
        <f t="shared" ref="B2605:B2668" si="53">C2605&amp;"-"&amp;D2605&amp;"-"&amp;E2605</f>
        <v>2011-089-3</v>
      </c>
      <c r="C2605" s="55">
        <v>2011</v>
      </c>
      <c r="D2605" s="55" t="s">
        <v>96</v>
      </c>
      <c r="E2605" s="55">
        <v>3</v>
      </c>
      <c r="F2605" s="57" t="s">
        <v>1448</v>
      </c>
      <c r="G2605" s="55"/>
      <c r="H2605" s="58"/>
      <c r="I2605" s="59"/>
    </row>
    <row r="2606" spans="2:9" x14ac:dyDescent="0.2">
      <c r="B2606" s="54" t="str">
        <f t="shared" si="53"/>
        <v>2011-089-4</v>
      </c>
      <c r="C2606" s="55">
        <v>2011</v>
      </c>
      <c r="D2606" s="55" t="s">
        <v>96</v>
      </c>
      <c r="E2606" s="55">
        <v>4</v>
      </c>
      <c r="F2606" s="57" t="s">
        <v>1752</v>
      </c>
      <c r="G2606" s="55"/>
      <c r="H2606" s="58"/>
      <c r="I2606" s="59"/>
    </row>
    <row r="2607" spans="2:9" x14ac:dyDescent="0.2">
      <c r="B2607" s="60" t="str">
        <f t="shared" si="53"/>
        <v>2011-089-5</v>
      </c>
      <c r="C2607" s="61">
        <v>2011</v>
      </c>
      <c r="D2607" s="61" t="s">
        <v>96</v>
      </c>
      <c r="E2607" s="61">
        <v>5</v>
      </c>
      <c r="F2607" s="62" t="s">
        <v>2047</v>
      </c>
      <c r="G2607" s="61"/>
      <c r="H2607" s="63"/>
      <c r="I2607" s="64"/>
    </row>
    <row r="2608" spans="2:9" x14ac:dyDescent="0.2">
      <c r="B2608" s="65" t="str">
        <f t="shared" si="53"/>
        <v>2011-090-0</v>
      </c>
      <c r="C2608" s="66">
        <v>2011</v>
      </c>
      <c r="D2608" s="66" t="s">
        <v>97</v>
      </c>
      <c r="E2608" s="66">
        <v>0</v>
      </c>
      <c r="F2608" s="67" t="s">
        <v>490</v>
      </c>
      <c r="G2608" s="66"/>
      <c r="H2608" s="68"/>
      <c r="I2608" s="69"/>
    </row>
    <row r="2609" spans="2:9" ht="27" x14ac:dyDescent="0.2">
      <c r="B2609" s="54" t="str">
        <f t="shared" si="53"/>
        <v>2011-090-1</v>
      </c>
      <c r="C2609" s="55">
        <v>2011</v>
      </c>
      <c r="D2609" s="55" t="s">
        <v>97</v>
      </c>
      <c r="E2609" s="55">
        <v>1</v>
      </c>
      <c r="F2609" s="57" t="s">
        <v>820</v>
      </c>
      <c r="G2609" s="55"/>
      <c r="H2609" s="58"/>
      <c r="I2609" s="59"/>
    </row>
    <row r="2610" spans="2:9" x14ac:dyDescent="0.2">
      <c r="B2610" s="54" t="str">
        <f t="shared" si="53"/>
        <v>2011-090-2</v>
      </c>
      <c r="C2610" s="55">
        <v>2011</v>
      </c>
      <c r="D2610" s="55" t="s">
        <v>97</v>
      </c>
      <c r="E2610" s="55">
        <v>2</v>
      </c>
      <c r="F2610" s="57" t="s">
        <v>1143</v>
      </c>
      <c r="G2610" s="55"/>
      <c r="H2610" s="58"/>
      <c r="I2610" s="59"/>
    </row>
    <row r="2611" spans="2:9" x14ac:dyDescent="0.2">
      <c r="B2611" s="54" t="str">
        <f t="shared" si="53"/>
        <v>2011-090-3</v>
      </c>
      <c r="C2611" s="55">
        <v>2011</v>
      </c>
      <c r="D2611" s="55" t="s">
        <v>97</v>
      </c>
      <c r="E2611" s="55">
        <v>3</v>
      </c>
      <c r="F2611" s="57" t="s">
        <v>1449</v>
      </c>
      <c r="G2611" s="55"/>
      <c r="H2611" s="58"/>
      <c r="I2611" s="59"/>
    </row>
    <row r="2612" spans="2:9" x14ac:dyDescent="0.2">
      <c r="B2612" s="54" t="str">
        <f t="shared" si="53"/>
        <v>2011-090-4</v>
      </c>
      <c r="C2612" s="55">
        <v>2011</v>
      </c>
      <c r="D2612" s="55" t="s">
        <v>97</v>
      </c>
      <c r="E2612" s="55">
        <v>4</v>
      </c>
      <c r="F2612" s="57" t="s">
        <v>1753</v>
      </c>
      <c r="G2612" s="55" t="s">
        <v>2735</v>
      </c>
      <c r="H2612" s="58"/>
      <c r="I2612" s="59"/>
    </row>
    <row r="2613" spans="2:9" x14ac:dyDescent="0.2">
      <c r="B2613" s="60" t="str">
        <f t="shared" si="53"/>
        <v>2011-090-5</v>
      </c>
      <c r="C2613" s="61">
        <v>2011</v>
      </c>
      <c r="D2613" s="61" t="s">
        <v>97</v>
      </c>
      <c r="E2613" s="61">
        <v>5</v>
      </c>
      <c r="F2613" s="62" t="s">
        <v>2048</v>
      </c>
      <c r="G2613" s="61"/>
      <c r="H2613" s="63"/>
      <c r="I2613" s="64"/>
    </row>
    <row r="2614" spans="2:9" x14ac:dyDescent="0.2">
      <c r="B2614" s="65" t="str">
        <f t="shared" si="53"/>
        <v>2011-091-0</v>
      </c>
      <c r="C2614" s="66">
        <v>2011</v>
      </c>
      <c r="D2614" s="66" t="s">
        <v>98</v>
      </c>
      <c r="E2614" s="66">
        <v>0</v>
      </c>
      <c r="F2614" s="67" t="s">
        <v>491</v>
      </c>
      <c r="G2614" s="66"/>
      <c r="H2614" s="68"/>
      <c r="I2614" s="69"/>
    </row>
    <row r="2615" spans="2:9" x14ac:dyDescent="0.2">
      <c r="B2615" s="54" t="str">
        <f t="shared" si="53"/>
        <v>2011-091-1</v>
      </c>
      <c r="C2615" s="55">
        <v>2011</v>
      </c>
      <c r="D2615" s="55" t="s">
        <v>98</v>
      </c>
      <c r="E2615" s="55">
        <v>1</v>
      </c>
      <c r="F2615" s="57" t="s">
        <v>821</v>
      </c>
      <c r="G2615" s="55"/>
      <c r="H2615" s="58"/>
      <c r="I2615" s="59"/>
    </row>
    <row r="2616" spans="2:9" x14ac:dyDescent="0.2">
      <c r="B2616" s="54" t="str">
        <f t="shared" si="53"/>
        <v>2011-091-2</v>
      </c>
      <c r="C2616" s="55">
        <v>2011</v>
      </c>
      <c r="D2616" s="55" t="s">
        <v>98</v>
      </c>
      <c r="E2616" s="55">
        <v>2</v>
      </c>
      <c r="F2616" s="57" t="s">
        <v>1144</v>
      </c>
      <c r="G2616" s="55" t="s">
        <v>2735</v>
      </c>
      <c r="H2616" s="58"/>
      <c r="I2616" s="59"/>
    </row>
    <row r="2617" spans="2:9" x14ac:dyDescent="0.2">
      <c r="B2617" s="54" t="str">
        <f t="shared" si="53"/>
        <v>2011-091-3</v>
      </c>
      <c r="C2617" s="55">
        <v>2011</v>
      </c>
      <c r="D2617" s="55" t="s">
        <v>98</v>
      </c>
      <c r="E2617" s="55">
        <v>3</v>
      </c>
      <c r="F2617" s="57" t="s">
        <v>1450</v>
      </c>
      <c r="G2617" s="55"/>
      <c r="H2617" s="58"/>
      <c r="I2617" s="59"/>
    </row>
    <row r="2618" spans="2:9" ht="27" x14ac:dyDescent="0.2">
      <c r="B2618" s="54" t="str">
        <f t="shared" si="53"/>
        <v>2011-091-4</v>
      </c>
      <c r="C2618" s="55">
        <v>2011</v>
      </c>
      <c r="D2618" s="55" t="s">
        <v>98</v>
      </c>
      <c r="E2618" s="55">
        <v>4</v>
      </c>
      <c r="F2618" s="57" t="s">
        <v>1754</v>
      </c>
      <c r="G2618" s="55"/>
      <c r="H2618" s="58"/>
      <c r="I2618" s="59"/>
    </row>
    <row r="2619" spans="2:9" x14ac:dyDescent="0.2">
      <c r="B2619" s="60" t="str">
        <f t="shared" si="53"/>
        <v>2011-091-5</v>
      </c>
      <c r="C2619" s="61">
        <v>2011</v>
      </c>
      <c r="D2619" s="61" t="s">
        <v>98</v>
      </c>
      <c r="E2619" s="61">
        <v>5</v>
      </c>
      <c r="F2619" s="62" t="s">
        <v>2049</v>
      </c>
      <c r="G2619" s="61"/>
      <c r="H2619" s="63"/>
      <c r="I2619" s="64"/>
    </row>
    <row r="2620" spans="2:9" ht="40.5" x14ac:dyDescent="0.2">
      <c r="B2620" s="65" t="str">
        <f t="shared" si="53"/>
        <v>2011-092-0</v>
      </c>
      <c r="C2620" s="66">
        <v>2011</v>
      </c>
      <c r="D2620" s="66" t="s">
        <v>99</v>
      </c>
      <c r="E2620" s="66">
        <v>0</v>
      </c>
      <c r="F2620" s="67" t="s">
        <v>492</v>
      </c>
      <c r="G2620" s="66"/>
      <c r="H2620" s="68"/>
      <c r="I2620" s="69"/>
    </row>
    <row r="2621" spans="2:9" x14ac:dyDescent="0.2">
      <c r="B2621" s="54" t="str">
        <f t="shared" si="53"/>
        <v>2011-092-1</v>
      </c>
      <c r="C2621" s="55">
        <v>2011</v>
      </c>
      <c r="D2621" s="55" t="s">
        <v>99</v>
      </c>
      <c r="E2621" s="55">
        <v>1</v>
      </c>
      <c r="F2621" s="57">
        <v>115</v>
      </c>
      <c r="G2621" s="55"/>
      <c r="H2621" s="58"/>
      <c r="I2621" s="59"/>
    </row>
    <row r="2622" spans="2:9" x14ac:dyDescent="0.2">
      <c r="B2622" s="54" t="str">
        <f t="shared" si="53"/>
        <v>2011-092-2</v>
      </c>
      <c r="C2622" s="55">
        <v>2011</v>
      </c>
      <c r="D2622" s="55" t="s">
        <v>99</v>
      </c>
      <c r="E2622" s="55">
        <v>2</v>
      </c>
      <c r="F2622" s="57">
        <v>120</v>
      </c>
      <c r="G2622" s="55"/>
      <c r="H2622" s="58"/>
      <c r="I2622" s="59"/>
    </row>
    <row r="2623" spans="2:9" x14ac:dyDescent="0.2">
      <c r="B2623" s="54" t="str">
        <f t="shared" si="53"/>
        <v>2011-092-3</v>
      </c>
      <c r="C2623" s="55">
        <v>2011</v>
      </c>
      <c r="D2623" s="55" t="s">
        <v>99</v>
      </c>
      <c r="E2623" s="55">
        <v>3</v>
      </c>
      <c r="F2623" s="57">
        <v>125</v>
      </c>
      <c r="G2623" s="55" t="s">
        <v>2735</v>
      </c>
      <c r="H2623" s="58"/>
      <c r="I2623" s="59"/>
    </row>
    <row r="2624" spans="2:9" x14ac:dyDescent="0.2">
      <c r="B2624" s="54" t="str">
        <f t="shared" si="53"/>
        <v>2011-092-4</v>
      </c>
      <c r="C2624" s="55">
        <v>2011</v>
      </c>
      <c r="D2624" s="55" t="s">
        <v>99</v>
      </c>
      <c r="E2624" s="55">
        <v>4</v>
      </c>
      <c r="F2624" s="57">
        <v>130</v>
      </c>
      <c r="G2624" s="55"/>
      <c r="H2624" s="58"/>
      <c r="I2624" s="59"/>
    </row>
    <row r="2625" spans="2:9" x14ac:dyDescent="0.2">
      <c r="B2625" s="60" t="str">
        <f t="shared" si="53"/>
        <v>2011-092-5</v>
      </c>
      <c r="C2625" s="61">
        <v>2011</v>
      </c>
      <c r="D2625" s="61" t="s">
        <v>99</v>
      </c>
      <c r="E2625" s="61">
        <v>5</v>
      </c>
      <c r="F2625" s="62">
        <v>135</v>
      </c>
      <c r="G2625" s="61"/>
      <c r="H2625" s="63"/>
      <c r="I2625" s="64"/>
    </row>
    <row r="2626" spans="2:9" x14ac:dyDescent="0.2">
      <c r="B2626" s="65" t="str">
        <f t="shared" si="53"/>
        <v>2011-093-0</v>
      </c>
      <c r="C2626" s="66">
        <v>2011</v>
      </c>
      <c r="D2626" s="66" t="s">
        <v>100</v>
      </c>
      <c r="E2626" s="66">
        <v>0</v>
      </c>
      <c r="F2626" s="67" t="s">
        <v>493</v>
      </c>
      <c r="G2626" s="66"/>
      <c r="H2626" s="68"/>
      <c r="I2626" s="69"/>
    </row>
    <row r="2627" spans="2:9" x14ac:dyDescent="0.2">
      <c r="B2627" s="54" t="str">
        <f t="shared" si="53"/>
        <v>2011-093-1</v>
      </c>
      <c r="C2627" s="55">
        <v>2011</v>
      </c>
      <c r="D2627" s="55" t="s">
        <v>100</v>
      </c>
      <c r="E2627" s="55">
        <v>1</v>
      </c>
      <c r="F2627" s="57" t="s">
        <v>822</v>
      </c>
      <c r="G2627" s="55"/>
      <c r="H2627" s="58"/>
      <c r="I2627" s="59"/>
    </row>
    <row r="2628" spans="2:9" x14ac:dyDescent="0.2">
      <c r="B2628" s="54" t="str">
        <f t="shared" si="53"/>
        <v>2011-093-2</v>
      </c>
      <c r="C2628" s="55">
        <v>2011</v>
      </c>
      <c r="D2628" s="55" t="s">
        <v>100</v>
      </c>
      <c r="E2628" s="55">
        <v>2</v>
      </c>
      <c r="F2628" s="57" t="s">
        <v>1145</v>
      </c>
      <c r="G2628" s="55"/>
      <c r="H2628" s="58"/>
      <c r="I2628" s="59"/>
    </row>
    <row r="2629" spans="2:9" x14ac:dyDescent="0.2">
      <c r="B2629" s="54" t="str">
        <f t="shared" si="53"/>
        <v>2011-093-3</v>
      </c>
      <c r="C2629" s="55">
        <v>2011</v>
      </c>
      <c r="D2629" s="55" t="s">
        <v>100</v>
      </c>
      <c r="E2629" s="55">
        <v>3</v>
      </c>
      <c r="F2629" s="57" t="s">
        <v>1451</v>
      </c>
      <c r="G2629" s="55"/>
      <c r="H2629" s="58"/>
      <c r="I2629" s="59"/>
    </row>
    <row r="2630" spans="2:9" x14ac:dyDescent="0.2">
      <c r="B2630" s="54" t="str">
        <f t="shared" si="53"/>
        <v>2011-093-4</v>
      </c>
      <c r="C2630" s="55">
        <v>2011</v>
      </c>
      <c r="D2630" s="55" t="s">
        <v>100</v>
      </c>
      <c r="E2630" s="55">
        <v>4</v>
      </c>
      <c r="F2630" s="57" t="s">
        <v>1755</v>
      </c>
      <c r="G2630" s="55" t="s">
        <v>2735</v>
      </c>
      <c r="H2630" s="58"/>
      <c r="I2630" s="59"/>
    </row>
    <row r="2631" spans="2:9" x14ac:dyDescent="0.2">
      <c r="B2631" s="60" t="str">
        <f t="shared" si="53"/>
        <v>2011-093-5</v>
      </c>
      <c r="C2631" s="61">
        <v>2011</v>
      </c>
      <c r="D2631" s="61" t="s">
        <v>100</v>
      </c>
      <c r="E2631" s="61">
        <v>5</v>
      </c>
      <c r="F2631" s="62" t="s">
        <v>1559</v>
      </c>
      <c r="G2631" s="61"/>
      <c r="H2631" s="63"/>
      <c r="I2631" s="64"/>
    </row>
    <row r="2632" spans="2:9" x14ac:dyDescent="0.2">
      <c r="B2632" s="65" t="str">
        <f t="shared" si="53"/>
        <v>2011-094-0</v>
      </c>
      <c r="C2632" s="66">
        <v>2011</v>
      </c>
      <c r="D2632" s="66" t="s">
        <v>101</v>
      </c>
      <c r="E2632" s="66">
        <v>0</v>
      </c>
      <c r="F2632" s="67" t="s">
        <v>494</v>
      </c>
      <c r="G2632" s="66"/>
      <c r="H2632" s="68"/>
      <c r="I2632" s="69"/>
    </row>
    <row r="2633" spans="2:9" x14ac:dyDescent="0.2">
      <c r="B2633" s="54" t="str">
        <f t="shared" si="53"/>
        <v>2011-094-1</v>
      </c>
      <c r="C2633" s="55">
        <v>2011</v>
      </c>
      <c r="D2633" s="55" t="s">
        <v>101</v>
      </c>
      <c r="E2633" s="55">
        <v>1</v>
      </c>
      <c r="F2633" s="57" t="s">
        <v>823</v>
      </c>
      <c r="G2633" s="55" t="s">
        <v>2735</v>
      </c>
      <c r="H2633" s="58"/>
      <c r="I2633" s="59"/>
    </row>
    <row r="2634" spans="2:9" ht="27" x14ac:dyDescent="0.2">
      <c r="B2634" s="54" t="str">
        <f t="shared" si="53"/>
        <v>2011-094-2</v>
      </c>
      <c r="C2634" s="55">
        <v>2011</v>
      </c>
      <c r="D2634" s="55" t="s">
        <v>101</v>
      </c>
      <c r="E2634" s="55">
        <v>2</v>
      </c>
      <c r="F2634" s="57" t="s">
        <v>1146</v>
      </c>
      <c r="G2634" s="55"/>
      <c r="H2634" s="58"/>
      <c r="I2634" s="59"/>
    </row>
    <row r="2635" spans="2:9" x14ac:dyDescent="0.2">
      <c r="B2635" s="54" t="str">
        <f t="shared" si="53"/>
        <v>2011-094-3</v>
      </c>
      <c r="C2635" s="55">
        <v>2011</v>
      </c>
      <c r="D2635" s="55" t="s">
        <v>101</v>
      </c>
      <c r="E2635" s="55">
        <v>3</v>
      </c>
      <c r="F2635" s="57" t="s">
        <v>1452</v>
      </c>
      <c r="G2635" s="55"/>
      <c r="H2635" s="58"/>
      <c r="I2635" s="59"/>
    </row>
    <row r="2636" spans="2:9" x14ac:dyDescent="0.2">
      <c r="B2636" s="54" t="str">
        <f t="shared" si="53"/>
        <v>2011-094-4</v>
      </c>
      <c r="C2636" s="55">
        <v>2011</v>
      </c>
      <c r="D2636" s="55" t="s">
        <v>101</v>
      </c>
      <c r="E2636" s="55">
        <v>4</v>
      </c>
      <c r="F2636" s="57" t="s">
        <v>1756</v>
      </c>
      <c r="G2636" s="55"/>
      <c r="H2636" s="58"/>
      <c r="I2636" s="59"/>
    </row>
    <row r="2637" spans="2:9" ht="27" x14ac:dyDescent="0.2">
      <c r="B2637" s="60" t="str">
        <f t="shared" si="53"/>
        <v>2011-094-5</v>
      </c>
      <c r="C2637" s="61">
        <v>2011</v>
      </c>
      <c r="D2637" s="61" t="s">
        <v>101</v>
      </c>
      <c r="E2637" s="61">
        <v>5</v>
      </c>
      <c r="F2637" s="62" t="s">
        <v>2050</v>
      </c>
      <c r="G2637" s="61"/>
      <c r="H2637" s="63"/>
      <c r="I2637" s="64"/>
    </row>
    <row r="2638" spans="2:9" x14ac:dyDescent="0.2">
      <c r="B2638" s="65" t="str">
        <f t="shared" si="53"/>
        <v>2011-095-0</v>
      </c>
      <c r="C2638" s="66">
        <v>2011</v>
      </c>
      <c r="D2638" s="66" t="s">
        <v>102</v>
      </c>
      <c r="E2638" s="66">
        <v>0</v>
      </c>
      <c r="F2638" s="67" t="s">
        <v>495</v>
      </c>
      <c r="G2638" s="66"/>
      <c r="H2638" s="68"/>
      <c r="I2638" s="69"/>
    </row>
    <row r="2639" spans="2:9" x14ac:dyDescent="0.2">
      <c r="B2639" s="54" t="str">
        <f t="shared" si="53"/>
        <v>2011-095-1</v>
      </c>
      <c r="C2639" s="55">
        <v>2011</v>
      </c>
      <c r="D2639" s="55" t="s">
        <v>102</v>
      </c>
      <c r="E2639" s="55">
        <v>1</v>
      </c>
      <c r="F2639" s="57" t="s">
        <v>824</v>
      </c>
      <c r="G2639" s="55"/>
      <c r="H2639" s="58"/>
      <c r="I2639" s="59"/>
    </row>
    <row r="2640" spans="2:9" x14ac:dyDescent="0.2">
      <c r="B2640" s="54" t="str">
        <f t="shared" si="53"/>
        <v>2011-095-2</v>
      </c>
      <c r="C2640" s="55">
        <v>2011</v>
      </c>
      <c r="D2640" s="55" t="s">
        <v>102</v>
      </c>
      <c r="E2640" s="55">
        <v>2</v>
      </c>
      <c r="F2640" s="57" t="s">
        <v>1147</v>
      </c>
      <c r="G2640" s="55"/>
      <c r="H2640" s="58"/>
      <c r="I2640" s="59"/>
    </row>
    <row r="2641" spans="2:9" x14ac:dyDescent="0.2">
      <c r="B2641" s="54" t="str">
        <f t="shared" si="53"/>
        <v>2011-095-3</v>
      </c>
      <c r="C2641" s="55">
        <v>2011</v>
      </c>
      <c r="D2641" s="55" t="s">
        <v>102</v>
      </c>
      <c r="E2641" s="55">
        <v>3</v>
      </c>
      <c r="F2641" s="57" t="s">
        <v>1453</v>
      </c>
      <c r="G2641" s="55"/>
      <c r="H2641" s="58"/>
      <c r="I2641" s="59"/>
    </row>
    <row r="2642" spans="2:9" x14ac:dyDescent="0.2">
      <c r="B2642" s="54" t="str">
        <f t="shared" si="53"/>
        <v>2011-095-4</v>
      </c>
      <c r="C2642" s="55">
        <v>2011</v>
      </c>
      <c r="D2642" s="55" t="s">
        <v>102</v>
      </c>
      <c r="E2642" s="55">
        <v>4</v>
      </c>
      <c r="F2642" s="57" t="s">
        <v>1757</v>
      </c>
      <c r="G2642" s="55"/>
      <c r="H2642" s="58"/>
      <c r="I2642" s="59"/>
    </row>
    <row r="2643" spans="2:9" x14ac:dyDescent="0.2">
      <c r="B2643" s="60" t="str">
        <f t="shared" si="53"/>
        <v>2011-095-5</v>
      </c>
      <c r="C2643" s="61">
        <v>2011</v>
      </c>
      <c r="D2643" s="61" t="s">
        <v>102</v>
      </c>
      <c r="E2643" s="61">
        <v>5</v>
      </c>
      <c r="F2643" s="62" t="s">
        <v>2051</v>
      </c>
      <c r="G2643" s="61" t="s">
        <v>2735</v>
      </c>
      <c r="H2643" s="63"/>
      <c r="I2643" s="64"/>
    </row>
    <row r="2644" spans="2:9" x14ac:dyDescent="0.2">
      <c r="B2644" s="65" t="str">
        <f t="shared" si="53"/>
        <v>2011-096-0</v>
      </c>
      <c r="C2644" s="66">
        <v>2011</v>
      </c>
      <c r="D2644" s="66" t="s">
        <v>103</v>
      </c>
      <c r="E2644" s="66">
        <v>0</v>
      </c>
      <c r="F2644" s="67" t="s">
        <v>496</v>
      </c>
      <c r="G2644" s="66"/>
      <c r="H2644" s="68"/>
      <c r="I2644" s="69"/>
    </row>
    <row r="2645" spans="2:9" x14ac:dyDescent="0.2">
      <c r="B2645" s="54" t="str">
        <f t="shared" si="53"/>
        <v>2011-096-1</v>
      </c>
      <c r="C2645" s="55">
        <v>2011</v>
      </c>
      <c r="D2645" s="55" t="s">
        <v>103</v>
      </c>
      <c r="E2645" s="55">
        <v>1</v>
      </c>
      <c r="F2645" s="57" t="s">
        <v>825</v>
      </c>
      <c r="G2645" s="55"/>
      <c r="H2645" s="58"/>
      <c r="I2645" s="59"/>
    </row>
    <row r="2646" spans="2:9" x14ac:dyDescent="0.2">
      <c r="B2646" s="54" t="str">
        <f t="shared" si="53"/>
        <v>2011-096-2</v>
      </c>
      <c r="C2646" s="55">
        <v>2011</v>
      </c>
      <c r="D2646" s="55" t="s">
        <v>103</v>
      </c>
      <c r="E2646" s="55">
        <v>2</v>
      </c>
      <c r="F2646" s="57" t="s">
        <v>1148</v>
      </c>
      <c r="G2646" s="55"/>
      <c r="H2646" s="58"/>
      <c r="I2646" s="59"/>
    </row>
    <row r="2647" spans="2:9" x14ac:dyDescent="0.2">
      <c r="B2647" s="54" t="str">
        <f t="shared" si="53"/>
        <v>2011-096-3</v>
      </c>
      <c r="C2647" s="55">
        <v>2011</v>
      </c>
      <c r="D2647" s="55" t="s">
        <v>103</v>
      </c>
      <c r="E2647" s="55">
        <v>3</v>
      </c>
      <c r="F2647" s="57" t="s">
        <v>1454</v>
      </c>
      <c r="G2647" s="55"/>
      <c r="H2647" s="58"/>
      <c r="I2647" s="59"/>
    </row>
    <row r="2648" spans="2:9" ht="27" x14ac:dyDescent="0.2">
      <c r="B2648" s="54" t="str">
        <f t="shared" si="53"/>
        <v>2011-096-4</v>
      </c>
      <c r="C2648" s="55">
        <v>2011</v>
      </c>
      <c r="D2648" s="55" t="s">
        <v>103</v>
      </c>
      <c r="E2648" s="55">
        <v>4</v>
      </c>
      <c r="F2648" s="57" t="s">
        <v>1758</v>
      </c>
      <c r="G2648" s="55"/>
      <c r="H2648" s="58"/>
      <c r="I2648" s="59"/>
    </row>
    <row r="2649" spans="2:9" x14ac:dyDescent="0.2">
      <c r="B2649" s="60" t="str">
        <f t="shared" si="53"/>
        <v>2011-096-5</v>
      </c>
      <c r="C2649" s="61">
        <v>2011</v>
      </c>
      <c r="D2649" s="61" t="s">
        <v>103</v>
      </c>
      <c r="E2649" s="61">
        <v>5</v>
      </c>
      <c r="F2649" s="62" t="s">
        <v>2052</v>
      </c>
      <c r="G2649" s="61" t="s">
        <v>2735</v>
      </c>
      <c r="H2649" s="63"/>
      <c r="I2649" s="64"/>
    </row>
    <row r="2650" spans="2:9" ht="27" x14ac:dyDescent="0.2">
      <c r="B2650" s="65" t="str">
        <f t="shared" si="53"/>
        <v>2011-097-0</v>
      </c>
      <c r="C2650" s="66">
        <v>2011</v>
      </c>
      <c r="D2650" s="66" t="s">
        <v>104</v>
      </c>
      <c r="E2650" s="66">
        <v>0</v>
      </c>
      <c r="F2650" s="67" t="s">
        <v>497</v>
      </c>
      <c r="G2650" s="66"/>
      <c r="H2650" s="68"/>
      <c r="I2650" s="69"/>
    </row>
    <row r="2651" spans="2:9" x14ac:dyDescent="0.2">
      <c r="B2651" s="54" t="str">
        <f t="shared" si="53"/>
        <v>2011-097-1</v>
      </c>
      <c r="C2651" s="55">
        <v>2011</v>
      </c>
      <c r="D2651" s="55" t="s">
        <v>104</v>
      </c>
      <c r="E2651" s="55">
        <v>1</v>
      </c>
      <c r="F2651" s="57" t="s">
        <v>826</v>
      </c>
      <c r="G2651" s="55"/>
      <c r="H2651" s="58"/>
      <c r="I2651" s="59"/>
    </row>
    <row r="2652" spans="2:9" x14ac:dyDescent="0.2">
      <c r="B2652" s="54" t="str">
        <f t="shared" si="53"/>
        <v>2011-097-2</v>
      </c>
      <c r="C2652" s="55">
        <v>2011</v>
      </c>
      <c r="D2652" s="55" t="s">
        <v>104</v>
      </c>
      <c r="E2652" s="55">
        <v>2</v>
      </c>
      <c r="F2652" s="57" t="s">
        <v>877</v>
      </c>
      <c r="G2652" s="55"/>
      <c r="H2652" s="58"/>
      <c r="I2652" s="59"/>
    </row>
    <row r="2653" spans="2:9" x14ac:dyDescent="0.2">
      <c r="B2653" s="54" t="str">
        <f t="shared" si="53"/>
        <v>2011-097-3</v>
      </c>
      <c r="C2653" s="55">
        <v>2011</v>
      </c>
      <c r="D2653" s="55" t="s">
        <v>104</v>
      </c>
      <c r="E2653" s="55">
        <v>3</v>
      </c>
      <c r="F2653" s="57" t="s">
        <v>1199</v>
      </c>
      <c r="G2653" s="55"/>
      <c r="H2653" s="58"/>
      <c r="I2653" s="59"/>
    </row>
    <row r="2654" spans="2:9" x14ac:dyDescent="0.2">
      <c r="B2654" s="54" t="str">
        <f t="shared" si="53"/>
        <v>2011-097-4</v>
      </c>
      <c r="C2654" s="55">
        <v>2011</v>
      </c>
      <c r="D2654" s="55" t="s">
        <v>104</v>
      </c>
      <c r="E2654" s="55">
        <v>4</v>
      </c>
      <c r="F2654" s="57" t="s">
        <v>739</v>
      </c>
      <c r="G2654" s="55"/>
      <c r="H2654" s="58"/>
      <c r="I2654" s="59"/>
    </row>
    <row r="2655" spans="2:9" x14ac:dyDescent="0.2">
      <c r="B2655" s="60" t="str">
        <f t="shared" si="53"/>
        <v>2011-097-5</v>
      </c>
      <c r="C2655" s="61">
        <v>2011</v>
      </c>
      <c r="D2655" s="61" t="s">
        <v>104</v>
      </c>
      <c r="E2655" s="61">
        <v>5</v>
      </c>
      <c r="F2655" s="62" t="s">
        <v>2053</v>
      </c>
      <c r="G2655" s="61" t="s">
        <v>2735</v>
      </c>
      <c r="H2655" s="63"/>
      <c r="I2655" s="64"/>
    </row>
    <row r="2656" spans="2:9" ht="27" x14ac:dyDescent="0.2">
      <c r="B2656" s="65" t="str">
        <f t="shared" si="53"/>
        <v>2011-098-0</v>
      </c>
      <c r="C2656" s="66">
        <v>2011</v>
      </c>
      <c r="D2656" s="66" t="s">
        <v>105</v>
      </c>
      <c r="E2656" s="66">
        <v>0</v>
      </c>
      <c r="F2656" s="67" t="s">
        <v>498</v>
      </c>
      <c r="G2656" s="66"/>
      <c r="H2656" s="68"/>
      <c r="I2656" s="69"/>
    </row>
    <row r="2657" spans="2:9" x14ac:dyDescent="0.2">
      <c r="B2657" s="54" t="str">
        <f t="shared" si="53"/>
        <v>2011-098-1</v>
      </c>
      <c r="C2657" s="55">
        <v>2011</v>
      </c>
      <c r="D2657" s="55" t="s">
        <v>105</v>
      </c>
      <c r="E2657" s="55">
        <v>1</v>
      </c>
      <c r="F2657" s="57" t="s">
        <v>827</v>
      </c>
      <c r="G2657" s="55"/>
      <c r="H2657" s="58"/>
      <c r="I2657" s="59"/>
    </row>
    <row r="2658" spans="2:9" x14ac:dyDescent="0.2">
      <c r="B2658" s="54" t="str">
        <f t="shared" si="53"/>
        <v>2011-098-2</v>
      </c>
      <c r="C2658" s="55">
        <v>2011</v>
      </c>
      <c r="D2658" s="55" t="s">
        <v>105</v>
      </c>
      <c r="E2658" s="55">
        <v>2</v>
      </c>
      <c r="F2658" s="57" t="s">
        <v>1149</v>
      </c>
      <c r="G2658" s="55"/>
      <c r="H2658" s="58"/>
      <c r="I2658" s="59"/>
    </row>
    <row r="2659" spans="2:9" x14ac:dyDescent="0.2">
      <c r="B2659" s="54" t="str">
        <f t="shared" si="53"/>
        <v>2011-098-3</v>
      </c>
      <c r="C2659" s="55">
        <v>2011</v>
      </c>
      <c r="D2659" s="55" t="s">
        <v>105</v>
      </c>
      <c r="E2659" s="55">
        <v>3</v>
      </c>
      <c r="F2659" s="57" t="s">
        <v>1455</v>
      </c>
      <c r="G2659" s="55" t="s">
        <v>2735</v>
      </c>
      <c r="H2659" s="58"/>
      <c r="I2659" s="59"/>
    </row>
    <row r="2660" spans="2:9" x14ac:dyDescent="0.2">
      <c r="B2660" s="54" t="str">
        <f t="shared" si="53"/>
        <v>2011-098-4</v>
      </c>
      <c r="C2660" s="55">
        <v>2011</v>
      </c>
      <c r="D2660" s="55" t="s">
        <v>105</v>
      </c>
      <c r="E2660" s="55">
        <v>4</v>
      </c>
      <c r="F2660" s="57" t="s">
        <v>1759</v>
      </c>
      <c r="G2660" s="55"/>
      <c r="H2660" s="58"/>
      <c r="I2660" s="59"/>
    </row>
    <row r="2661" spans="2:9" x14ac:dyDescent="0.2">
      <c r="B2661" s="60" t="str">
        <f t="shared" si="53"/>
        <v>2011-098-5</v>
      </c>
      <c r="C2661" s="61">
        <v>2011</v>
      </c>
      <c r="D2661" s="61" t="s">
        <v>105</v>
      </c>
      <c r="E2661" s="61">
        <v>5</v>
      </c>
      <c r="F2661" s="62" t="s">
        <v>2054</v>
      </c>
      <c r="G2661" s="61"/>
      <c r="H2661" s="63"/>
      <c r="I2661" s="64"/>
    </row>
    <row r="2662" spans="2:9" x14ac:dyDescent="0.2">
      <c r="B2662" s="65" t="str">
        <f t="shared" si="53"/>
        <v>2011-099-0</v>
      </c>
      <c r="C2662" s="66">
        <v>2011</v>
      </c>
      <c r="D2662" s="66" t="s">
        <v>106</v>
      </c>
      <c r="E2662" s="66">
        <v>0</v>
      </c>
      <c r="F2662" s="67" t="s">
        <v>499</v>
      </c>
      <c r="G2662" s="66"/>
      <c r="H2662" s="68"/>
      <c r="I2662" s="69"/>
    </row>
    <row r="2663" spans="2:9" x14ac:dyDescent="0.2">
      <c r="B2663" s="54" t="str">
        <f t="shared" si="53"/>
        <v>2011-099-1</v>
      </c>
      <c r="C2663" s="55">
        <v>2011</v>
      </c>
      <c r="D2663" s="55" t="s">
        <v>106</v>
      </c>
      <c r="E2663" s="55">
        <v>1</v>
      </c>
      <c r="F2663" s="57" t="s">
        <v>828</v>
      </c>
      <c r="G2663" s="55"/>
      <c r="H2663" s="58"/>
      <c r="I2663" s="59"/>
    </row>
    <row r="2664" spans="2:9" x14ac:dyDescent="0.2">
      <c r="B2664" s="54" t="str">
        <f t="shared" si="53"/>
        <v>2011-099-2</v>
      </c>
      <c r="C2664" s="55">
        <v>2011</v>
      </c>
      <c r="D2664" s="55" t="s">
        <v>106</v>
      </c>
      <c r="E2664" s="55">
        <v>2</v>
      </c>
      <c r="F2664" s="57" t="s">
        <v>1150</v>
      </c>
      <c r="G2664" s="55"/>
      <c r="H2664" s="58"/>
      <c r="I2664" s="59"/>
    </row>
    <row r="2665" spans="2:9" x14ac:dyDescent="0.2">
      <c r="B2665" s="54" t="str">
        <f t="shared" si="53"/>
        <v>2011-099-3</v>
      </c>
      <c r="C2665" s="55">
        <v>2011</v>
      </c>
      <c r="D2665" s="55" t="s">
        <v>106</v>
      </c>
      <c r="E2665" s="55">
        <v>3</v>
      </c>
      <c r="F2665" s="57" t="s">
        <v>1456</v>
      </c>
      <c r="G2665" s="55" t="s">
        <v>2735</v>
      </c>
      <c r="H2665" s="58"/>
      <c r="I2665" s="59"/>
    </row>
    <row r="2666" spans="2:9" x14ac:dyDescent="0.2">
      <c r="B2666" s="54" t="str">
        <f t="shared" si="53"/>
        <v>2011-099-4</v>
      </c>
      <c r="C2666" s="55">
        <v>2011</v>
      </c>
      <c r="D2666" s="55" t="s">
        <v>106</v>
      </c>
      <c r="E2666" s="55">
        <v>4</v>
      </c>
      <c r="F2666" s="57" t="s">
        <v>1760</v>
      </c>
      <c r="G2666" s="55"/>
      <c r="H2666" s="58"/>
      <c r="I2666" s="59"/>
    </row>
    <row r="2667" spans="2:9" x14ac:dyDescent="0.2">
      <c r="B2667" s="60" t="str">
        <f t="shared" si="53"/>
        <v>2011-099-5</v>
      </c>
      <c r="C2667" s="61">
        <v>2011</v>
      </c>
      <c r="D2667" s="61" t="s">
        <v>106</v>
      </c>
      <c r="E2667" s="61">
        <v>5</v>
      </c>
      <c r="F2667" s="62" t="s">
        <v>2055</v>
      </c>
      <c r="G2667" s="61"/>
      <c r="H2667" s="63"/>
      <c r="I2667" s="64"/>
    </row>
    <row r="2668" spans="2:9" ht="40.5" x14ac:dyDescent="0.2">
      <c r="B2668" s="65" t="str">
        <f t="shared" si="53"/>
        <v>2011-100-0</v>
      </c>
      <c r="C2668" s="66">
        <v>2011</v>
      </c>
      <c r="D2668" s="66" t="s">
        <v>107</v>
      </c>
      <c r="E2668" s="66">
        <v>0</v>
      </c>
      <c r="F2668" s="67" t="s">
        <v>500</v>
      </c>
      <c r="G2668" s="66"/>
      <c r="H2668" s="68"/>
      <c r="I2668" s="69"/>
    </row>
    <row r="2669" spans="2:9" x14ac:dyDescent="0.2">
      <c r="B2669" s="54" t="str">
        <f t="shared" ref="B2669:B2673" si="54">C2669&amp;"-"&amp;D2669&amp;"-"&amp;E2669</f>
        <v>2011-100-1</v>
      </c>
      <c r="C2669" s="55">
        <v>2011</v>
      </c>
      <c r="D2669" s="55" t="s">
        <v>107</v>
      </c>
      <c r="E2669" s="55">
        <v>1</v>
      </c>
      <c r="F2669" s="57" t="s">
        <v>829</v>
      </c>
      <c r="G2669" s="55" t="s">
        <v>2735</v>
      </c>
      <c r="H2669" s="58"/>
      <c r="I2669" s="59"/>
    </row>
    <row r="2670" spans="2:9" x14ac:dyDescent="0.2">
      <c r="B2670" s="54" t="str">
        <f t="shared" si="54"/>
        <v>2011-100-2</v>
      </c>
      <c r="C2670" s="55">
        <v>2011</v>
      </c>
      <c r="D2670" s="55" t="s">
        <v>107</v>
      </c>
      <c r="E2670" s="55">
        <v>2</v>
      </c>
      <c r="F2670" s="57" t="s">
        <v>1151</v>
      </c>
      <c r="G2670" s="55"/>
      <c r="H2670" s="58"/>
      <c r="I2670" s="59"/>
    </row>
    <row r="2671" spans="2:9" x14ac:dyDescent="0.2">
      <c r="B2671" s="54" t="str">
        <f t="shared" si="54"/>
        <v>2011-100-3</v>
      </c>
      <c r="C2671" s="55">
        <v>2011</v>
      </c>
      <c r="D2671" s="55" t="s">
        <v>107</v>
      </c>
      <c r="E2671" s="55">
        <v>3</v>
      </c>
      <c r="F2671" s="57" t="s">
        <v>1457</v>
      </c>
      <c r="G2671" s="55"/>
      <c r="H2671" s="58"/>
      <c r="I2671" s="59"/>
    </row>
    <row r="2672" spans="2:9" x14ac:dyDescent="0.2">
      <c r="B2672" s="54" t="str">
        <f t="shared" si="54"/>
        <v>2011-100-4</v>
      </c>
      <c r="C2672" s="55">
        <v>2011</v>
      </c>
      <c r="D2672" s="55" t="s">
        <v>107</v>
      </c>
      <c r="E2672" s="55">
        <v>4</v>
      </c>
      <c r="F2672" s="57" t="s">
        <v>1761</v>
      </c>
      <c r="G2672" s="55"/>
      <c r="H2672" s="58"/>
      <c r="I2672" s="59"/>
    </row>
    <row r="2673" spans="2:9" ht="14.25" thickBot="1" x14ac:dyDescent="0.25">
      <c r="B2673" s="70" t="str">
        <f t="shared" si="54"/>
        <v>2011-100-5</v>
      </c>
      <c r="C2673" s="71">
        <v>2011</v>
      </c>
      <c r="D2673" s="71" t="s">
        <v>107</v>
      </c>
      <c r="E2673" s="71">
        <v>5</v>
      </c>
      <c r="F2673" s="72" t="s">
        <v>2056</v>
      </c>
      <c r="G2673" s="71"/>
      <c r="H2673" s="73"/>
      <c r="I2673" s="74"/>
    </row>
    <row r="2674" spans="2:9" x14ac:dyDescent="0.2">
      <c r="B2674" s="48" t="str">
        <f t="shared" ref="B2674:B2706" si="55">C2674&amp;"-"&amp;D2674&amp;"-"&amp;E2674</f>
        <v>2010-076-0</v>
      </c>
      <c r="C2674" s="49">
        <v>2010</v>
      </c>
      <c r="D2674" s="49" t="s">
        <v>78</v>
      </c>
      <c r="E2674" s="49">
        <v>0</v>
      </c>
      <c r="F2674" s="51" t="s">
        <v>501</v>
      </c>
      <c r="G2674" s="49"/>
      <c r="H2674" s="52"/>
      <c r="I2674" s="53"/>
    </row>
    <row r="2675" spans="2:9" x14ac:dyDescent="0.2">
      <c r="B2675" s="54" t="str">
        <f t="shared" si="55"/>
        <v>2010-076-1</v>
      </c>
      <c r="C2675" s="55">
        <v>2010</v>
      </c>
      <c r="D2675" s="55" t="s">
        <v>78</v>
      </c>
      <c r="E2675" s="55">
        <v>1</v>
      </c>
      <c r="F2675" s="57" t="s">
        <v>830</v>
      </c>
      <c r="G2675" s="55"/>
      <c r="H2675" s="58"/>
      <c r="I2675" s="59"/>
    </row>
    <row r="2676" spans="2:9" x14ac:dyDescent="0.2">
      <c r="B2676" s="54" t="str">
        <f t="shared" si="55"/>
        <v>2010-076-2</v>
      </c>
      <c r="C2676" s="55">
        <v>2010</v>
      </c>
      <c r="D2676" s="55" t="s">
        <v>78</v>
      </c>
      <c r="E2676" s="55">
        <v>2</v>
      </c>
      <c r="F2676" s="57" t="s">
        <v>1152</v>
      </c>
      <c r="G2676" s="55"/>
      <c r="H2676" s="58"/>
      <c r="I2676" s="59"/>
    </row>
    <row r="2677" spans="2:9" x14ac:dyDescent="0.2">
      <c r="B2677" s="54" t="str">
        <f t="shared" si="55"/>
        <v>2010-076-3</v>
      </c>
      <c r="C2677" s="55">
        <v>2010</v>
      </c>
      <c r="D2677" s="55" t="s">
        <v>78</v>
      </c>
      <c r="E2677" s="55">
        <v>3</v>
      </c>
      <c r="F2677" s="57" t="s">
        <v>1458</v>
      </c>
      <c r="G2677" s="55"/>
      <c r="H2677" s="58"/>
      <c r="I2677" s="59"/>
    </row>
    <row r="2678" spans="2:9" x14ac:dyDescent="0.2">
      <c r="B2678" s="54" t="str">
        <f t="shared" si="55"/>
        <v>2010-076-4</v>
      </c>
      <c r="C2678" s="55">
        <v>2010</v>
      </c>
      <c r="D2678" s="55" t="s">
        <v>78</v>
      </c>
      <c r="E2678" s="55">
        <v>4</v>
      </c>
      <c r="F2678" s="57" t="s">
        <v>1762</v>
      </c>
      <c r="G2678" s="55" t="s">
        <v>2735</v>
      </c>
      <c r="H2678" s="58"/>
      <c r="I2678" s="59"/>
    </row>
    <row r="2679" spans="2:9" x14ac:dyDescent="0.2">
      <c r="B2679" s="60" t="str">
        <f t="shared" si="55"/>
        <v>2010-076-5</v>
      </c>
      <c r="C2679" s="61">
        <v>2010</v>
      </c>
      <c r="D2679" s="61" t="s">
        <v>78</v>
      </c>
      <c r="E2679" s="61">
        <v>5</v>
      </c>
      <c r="F2679" s="62" t="s">
        <v>2057</v>
      </c>
      <c r="G2679" s="61"/>
      <c r="H2679" s="63"/>
      <c r="I2679" s="64"/>
    </row>
    <row r="2680" spans="2:9" x14ac:dyDescent="0.2">
      <c r="B2680" s="65" t="str">
        <f t="shared" si="55"/>
        <v>2010-077-0</v>
      </c>
      <c r="C2680" s="66">
        <v>2010</v>
      </c>
      <c r="D2680" s="66" t="s">
        <v>79</v>
      </c>
      <c r="E2680" s="66">
        <v>0</v>
      </c>
      <c r="F2680" s="67" t="s">
        <v>502</v>
      </c>
      <c r="G2680" s="66"/>
      <c r="H2680" s="68"/>
      <c r="I2680" s="69"/>
    </row>
    <row r="2681" spans="2:9" x14ac:dyDescent="0.2">
      <c r="B2681" s="54" t="str">
        <f t="shared" si="55"/>
        <v>2010-077-1</v>
      </c>
      <c r="C2681" s="55">
        <v>2010</v>
      </c>
      <c r="D2681" s="55" t="s">
        <v>79</v>
      </c>
      <c r="E2681" s="55">
        <v>1</v>
      </c>
      <c r="F2681" s="57" t="s">
        <v>831</v>
      </c>
      <c r="G2681" s="55"/>
      <c r="H2681" s="58"/>
      <c r="I2681" s="59"/>
    </row>
    <row r="2682" spans="2:9" x14ac:dyDescent="0.2">
      <c r="B2682" s="54" t="str">
        <f t="shared" si="55"/>
        <v>2010-077-2</v>
      </c>
      <c r="C2682" s="55">
        <v>2010</v>
      </c>
      <c r="D2682" s="55" t="s">
        <v>79</v>
      </c>
      <c r="E2682" s="55">
        <v>2</v>
      </c>
      <c r="F2682" s="57" t="s">
        <v>1153</v>
      </c>
      <c r="G2682" s="55"/>
      <c r="H2682" s="58"/>
      <c r="I2682" s="59"/>
    </row>
    <row r="2683" spans="2:9" x14ac:dyDescent="0.2">
      <c r="B2683" s="54" t="str">
        <f t="shared" si="55"/>
        <v>2010-077-3</v>
      </c>
      <c r="C2683" s="55">
        <v>2010</v>
      </c>
      <c r="D2683" s="55" t="s">
        <v>79</v>
      </c>
      <c r="E2683" s="55">
        <v>3</v>
      </c>
      <c r="F2683" s="57" t="s">
        <v>1459</v>
      </c>
      <c r="G2683" s="55"/>
      <c r="H2683" s="58"/>
      <c r="I2683" s="59"/>
    </row>
    <row r="2684" spans="2:9" x14ac:dyDescent="0.2">
      <c r="B2684" s="54" t="str">
        <f t="shared" si="55"/>
        <v>2010-077-4</v>
      </c>
      <c r="C2684" s="55">
        <v>2010</v>
      </c>
      <c r="D2684" s="55" t="s">
        <v>79</v>
      </c>
      <c r="E2684" s="55">
        <v>4</v>
      </c>
      <c r="F2684" s="57" t="s">
        <v>1763</v>
      </c>
      <c r="G2684" s="55"/>
      <c r="H2684" s="58"/>
      <c r="I2684" s="59"/>
    </row>
    <row r="2685" spans="2:9" x14ac:dyDescent="0.2">
      <c r="B2685" s="60" t="str">
        <f t="shared" si="55"/>
        <v>2010-077-5</v>
      </c>
      <c r="C2685" s="61">
        <v>2010</v>
      </c>
      <c r="D2685" s="61" t="s">
        <v>79</v>
      </c>
      <c r="E2685" s="61">
        <v>5</v>
      </c>
      <c r="F2685" s="62" t="s">
        <v>2058</v>
      </c>
      <c r="G2685" s="61" t="s">
        <v>2735</v>
      </c>
      <c r="H2685" s="63"/>
      <c r="I2685" s="64"/>
    </row>
    <row r="2686" spans="2:9" x14ac:dyDescent="0.2">
      <c r="B2686" s="65" t="str">
        <f t="shared" si="55"/>
        <v>2010-078-0</v>
      </c>
      <c r="C2686" s="66">
        <v>2010</v>
      </c>
      <c r="D2686" s="66" t="s">
        <v>80</v>
      </c>
      <c r="E2686" s="66">
        <v>0</v>
      </c>
      <c r="F2686" s="67" t="s">
        <v>503</v>
      </c>
      <c r="G2686" s="66"/>
      <c r="H2686" s="68"/>
      <c r="I2686" s="69"/>
    </row>
    <row r="2687" spans="2:9" x14ac:dyDescent="0.2">
      <c r="B2687" s="54" t="str">
        <f t="shared" si="55"/>
        <v>2010-078-1</v>
      </c>
      <c r="C2687" s="55">
        <v>2010</v>
      </c>
      <c r="D2687" s="55" t="s">
        <v>80</v>
      </c>
      <c r="E2687" s="55">
        <v>1</v>
      </c>
      <c r="F2687" s="57" t="s">
        <v>832</v>
      </c>
      <c r="G2687" s="55"/>
      <c r="H2687" s="58"/>
      <c r="I2687" s="59"/>
    </row>
    <row r="2688" spans="2:9" ht="27" x14ac:dyDescent="0.2">
      <c r="B2688" s="54" t="str">
        <f t="shared" si="55"/>
        <v>2010-078-2</v>
      </c>
      <c r="C2688" s="55">
        <v>2010</v>
      </c>
      <c r="D2688" s="55" t="s">
        <v>80</v>
      </c>
      <c r="E2688" s="55">
        <v>2</v>
      </c>
      <c r="F2688" s="57" t="s">
        <v>1154</v>
      </c>
      <c r="G2688" s="55"/>
      <c r="H2688" s="58"/>
      <c r="I2688" s="59"/>
    </row>
    <row r="2689" spans="2:9" ht="27" x14ac:dyDescent="0.2">
      <c r="B2689" s="54" t="str">
        <f t="shared" si="55"/>
        <v>2010-078-3</v>
      </c>
      <c r="C2689" s="55">
        <v>2010</v>
      </c>
      <c r="D2689" s="55" t="s">
        <v>80</v>
      </c>
      <c r="E2689" s="55">
        <v>3</v>
      </c>
      <c r="F2689" s="57" t="s">
        <v>1460</v>
      </c>
      <c r="G2689" s="55"/>
      <c r="H2689" s="58"/>
      <c r="I2689" s="59"/>
    </row>
    <row r="2690" spans="2:9" x14ac:dyDescent="0.2">
      <c r="B2690" s="54" t="str">
        <f t="shared" si="55"/>
        <v>2010-078-4</v>
      </c>
      <c r="C2690" s="55">
        <v>2010</v>
      </c>
      <c r="D2690" s="55" t="s">
        <v>80</v>
      </c>
      <c r="E2690" s="55">
        <v>4</v>
      </c>
      <c r="F2690" s="57" t="s">
        <v>1764</v>
      </c>
      <c r="G2690" s="55" t="s">
        <v>2735</v>
      </c>
      <c r="H2690" s="58"/>
      <c r="I2690" s="59"/>
    </row>
    <row r="2691" spans="2:9" x14ac:dyDescent="0.2">
      <c r="B2691" s="60" t="str">
        <f t="shared" si="55"/>
        <v>2010-078-5</v>
      </c>
      <c r="C2691" s="61">
        <v>2010</v>
      </c>
      <c r="D2691" s="61" t="s">
        <v>80</v>
      </c>
      <c r="E2691" s="61">
        <v>5</v>
      </c>
      <c r="F2691" s="62" t="s">
        <v>2059</v>
      </c>
      <c r="G2691" s="61"/>
      <c r="H2691" s="63"/>
      <c r="I2691" s="64"/>
    </row>
    <row r="2692" spans="2:9" x14ac:dyDescent="0.2">
      <c r="B2692" s="65" t="str">
        <f t="shared" si="55"/>
        <v>2010-079-0</v>
      </c>
      <c r="C2692" s="66">
        <v>2010</v>
      </c>
      <c r="D2692" s="66" t="s">
        <v>81</v>
      </c>
      <c r="E2692" s="66">
        <v>0</v>
      </c>
      <c r="F2692" s="67" t="s">
        <v>504</v>
      </c>
      <c r="G2692" s="66"/>
      <c r="H2692" s="68"/>
      <c r="I2692" s="69"/>
    </row>
    <row r="2693" spans="2:9" x14ac:dyDescent="0.2">
      <c r="B2693" s="54" t="str">
        <f t="shared" si="55"/>
        <v>2010-079-1</v>
      </c>
      <c r="C2693" s="55">
        <v>2010</v>
      </c>
      <c r="D2693" s="55" t="s">
        <v>81</v>
      </c>
      <c r="E2693" s="55">
        <v>1</v>
      </c>
      <c r="F2693" s="57" t="s">
        <v>833</v>
      </c>
      <c r="G2693" s="55"/>
      <c r="H2693" s="58"/>
      <c r="I2693" s="59"/>
    </row>
    <row r="2694" spans="2:9" x14ac:dyDescent="0.2">
      <c r="B2694" s="54" t="str">
        <f t="shared" si="55"/>
        <v>2010-079-2</v>
      </c>
      <c r="C2694" s="55">
        <v>2010</v>
      </c>
      <c r="D2694" s="55" t="s">
        <v>81</v>
      </c>
      <c r="E2694" s="55">
        <v>2</v>
      </c>
      <c r="F2694" s="57" t="s">
        <v>1155</v>
      </c>
      <c r="G2694" s="55"/>
      <c r="H2694" s="58"/>
      <c r="I2694" s="59"/>
    </row>
    <row r="2695" spans="2:9" x14ac:dyDescent="0.2">
      <c r="B2695" s="54" t="str">
        <f t="shared" si="55"/>
        <v>2010-079-3</v>
      </c>
      <c r="C2695" s="55">
        <v>2010</v>
      </c>
      <c r="D2695" s="55" t="s">
        <v>81</v>
      </c>
      <c r="E2695" s="55">
        <v>3</v>
      </c>
      <c r="F2695" s="57" t="s">
        <v>1063</v>
      </c>
      <c r="G2695" s="55" t="s">
        <v>2735</v>
      </c>
      <c r="H2695" s="58"/>
      <c r="I2695" s="59"/>
    </row>
    <row r="2696" spans="2:9" ht="27" x14ac:dyDescent="0.2">
      <c r="B2696" s="54" t="str">
        <f t="shared" si="55"/>
        <v>2010-079-4</v>
      </c>
      <c r="C2696" s="55">
        <v>2010</v>
      </c>
      <c r="D2696" s="55" t="s">
        <v>81</v>
      </c>
      <c r="E2696" s="55">
        <v>4</v>
      </c>
      <c r="F2696" s="57" t="s">
        <v>1765</v>
      </c>
      <c r="G2696" s="55"/>
      <c r="H2696" s="58"/>
      <c r="I2696" s="59"/>
    </row>
    <row r="2697" spans="2:9" ht="27" x14ac:dyDescent="0.2">
      <c r="B2697" s="60" t="str">
        <f t="shared" si="55"/>
        <v>2010-079-5</v>
      </c>
      <c r="C2697" s="61">
        <v>2010</v>
      </c>
      <c r="D2697" s="61" t="s">
        <v>81</v>
      </c>
      <c r="E2697" s="61">
        <v>5</v>
      </c>
      <c r="F2697" s="62" t="s">
        <v>2060</v>
      </c>
      <c r="G2697" s="61"/>
      <c r="H2697" s="63"/>
      <c r="I2697" s="64"/>
    </row>
    <row r="2698" spans="2:9" x14ac:dyDescent="0.2">
      <c r="B2698" s="65" t="str">
        <f t="shared" si="55"/>
        <v>2010-080-0</v>
      </c>
      <c r="C2698" s="66">
        <v>2010</v>
      </c>
      <c r="D2698" s="66" t="s">
        <v>82</v>
      </c>
      <c r="E2698" s="66">
        <v>0</v>
      </c>
      <c r="F2698" s="67" t="s">
        <v>505</v>
      </c>
      <c r="G2698" s="66"/>
      <c r="H2698" s="68"/>
      <c r="I2698" s="69"/>
    </row>
    <row r="2699" spans="2:9" x14ac:dyDescent="0.2">
      <c r="B2699" s="54" t="str">
        <f t="shared" si="55"/>
        <v>2010-080-1</v>
      </c>
      <c r="C2699" s="55">
        <v>2010</v>
      </c>
      <c r="D2699" s="55" t="s">
        <v>82</v>
      </c>
      <c r="E2699" s="55">
        <v>1</v>
      </c>
      <c r="F2699" s="57" t="s">
        <v>834</v>
      </c>
      <c r="G2699" s="55"/>
      <c r="H2699" s="58"/>
      <c r="I2699" s="59"/>
    </row>
    <row r="2700" spans="2:9" x14ac:dyDescent="0.2">
      <c r="B2700" s="54" t="str">
        <f t="shared" si="55"/>
        <v>2010-080-2</v>
      </c>
      <c r="C2700" s="55">
        <v>2010</v>
      </c>
      <c r="D2700" s="55" t="s">
        <v>82</v>
      </c>
      <c r="E2700" s="55">
        <v>2</v>
      </c>
      <c r="F2700" s="57" t="s">
        <v>1156</v>
      </c>
      <c r="G2700" s="55" t="s">
        <v>2735</v>
      </c>
      <c r="H2700" s="58"/>
      <c r="I2700" s="59"/>
    </row>
    <row r="2701" spans="2:9" x14ac:dyDescent="0.2">
      <c r="B2701" s="54" t="str">
        <f t="shared" si="55"/>
        <v>2010-080-3</v>
      </c>
      <c r="C2701" s="55">
        <v>2010</v>
      </c>
      <c r="D2701" s="55" t="s">
        <v>82</v>
      </c>
      <c r="E2701" s="55">
        <v>3</v>
      </c>
      <c r="F2701" s="57" t="s">
        <v>1461</v>
      </c>
      <c r="G2701" s="55"/>
      <c r="H2701" s="58"/>
      <c r="I2701" s="59"/>
    </row>
    <row r="2702" spans="2:9" x14ac:dyDescent="0.2">
      <c r="B2702" s="54" t="str">
        <f t="shared" si="55"/>
        <v>2010-080-4</v>
      </c>
      <c r="C2702" s="55">
        <v>2010</v>
      </c>
      <c r="D2702" s="55" t="s">
        <v>82</v>
      </c>
      <c r="E2702" s="55">
        <v>4</v>
      </c>
      <c r="F2702" s="57" t="s">
        <v>1090</v>
      </c>
      <c r="G2702" s="55"/>
      <c r="H2702" s="58"/>
      <c r="I2702" s="59"/>
    </row>
    <row r="2703" spans="2:9" x14ac:dyDescent="0.2">
      <c r="B2703" s="60" t="str">
        <f t="shared" si="55"/>
        <v>2010-080-5</v>
      </c>
      <c r="C2703" s="61">
        <v>2010</v>
      </c>
      <c r="D2703" s="61" t="s">
        <v>82</v>
      </c>
      <c r="E2703" s="61">
        <v>5</v>
      </c>
      <c r="F2703" s="62" t="s">
        <v>1705</v>
      </c>
      <c r="G2703" s="61"/>
      <c r="H2703" s="63"/>
      <c r="I2703" s="64"/>
    </row>
    <row r="2704" spans="2:9" x14ac:dyDescent="0.2">
      <c r="B2704" s="65" t="str">
        <f t="shared" si="55"/>
        <v>2010-081-0</v>
      </c>
      <c r="C2704" s="66">
        <v>2010</v>
      </c>
      <c r="D2704" s="66" t="s">
        <v>88</v>
      </c>
      <c r="E2704" s="66">
        <v>0</v>
      </c>
      <c r="F2704" s="67" t="s">
        <v>270</v>
      </c>
      <c r="G2704" s="66"/>
      <c r="H2704" s="68"/>
      <c r="I2704" s="69"/>
    </row>
    <row r="2705" spans="2:9" x14ac:dyDescent="0.2">
      <c r="B2705" s="54" t="str">
        <f t="shared" si="55"/>
        <v>2010-081-1</v>
      </c>
      <c r="C2705" s="55">
        <v>2010</v>
      </c>
      <c r="D2705" s="55" t="s">
        <v>88</v>
      </c>
      <c r="E2705" s="55">
        <v>1</v>
      </c>
      <c r="F2705" s="57" t="s">
        <v>835</v>
      </c>
      <c r="G2705" s="55"/>
      <c r="H2705" s="58"/>
      <c r="I2705" s="59"/>
    </row>
    <row r="2706" spans="2:9" x14ac:dyDescent="0.2">
      <c r="B2706" s="54" t="str">
        <f t="shared" si="55"/>
        <v>2010-081-2</v>
      </c>
      <c r="C2706" s="55">
        <v>2010</v>
      </c>
      <c r="D2706" s="55" t="s">
        <v>88</v>
      </c>
      <c r="E2706" s="55">
        <v>2</v>
      </c>
      <c r="F2706" s="57" t="s">
        <v>663</v>
      </c>
      <c r="G2706" s="55"/>
      <c r="H2706" s="58"/>
      <c r="I2706" s="59"/>
    </row>
    <row r="2707" spans="2:9" x14ac:dyDescent="0.2">
      <c r="B2707" s="54" t="str">
        <f t="shared" ref="B2707:B2770" si="56">C2707&amp;"-"&amp;D2707&amp;"-"&amp;E2707</f>
        <v>2010-081-3</v>
      </c>
      <c r="C2707" s="55">
        <v>2010</v>
      </c>
      <c r="D2707" s="55" t="s">
        <v>88</v>
      </c>
      <c r="E2707" s="55">
        <v>3</v>
      </c>
      <c r="F2707" s="57" t="s">
        <v>1462</v>
      </c>
      <c r="G2707" s="55"/>
      <c r="H2707" s="58"/>
      <c r="I2707" s="59"/>
    </row>
    <row r="2708" spans="2:9" x14ac:dyDescent="0.2">
      <c r="B2708" s="54" t="str">
        <f t="shared" si="56"/>
        <v>2010-081-4</v>
      </c>
      <c r="C2708" s="55">
        <v>2010</v>
      </c>
      <c r="D2708" s="55" t="s">
        <v>88</v>
      </c>
      <c r="E2708" s="55">
        <v>4</v>
      </c>
      <c r="F2708" s="57" t="s">
        <v>1766</v>
      </c>
      <c r="G2708" s="55"/>
      <c r="H2708" s="58"/>
      <c r="I2708" s="59"/>
    </row>
    <row r="2709" spans="2:9" x14ac:dyDescent="0.2">
      <c r="B2709" s="60" t="str">
        <f t="shared" si="56"/>
        <v>2010-081-5</v>
      </c>
      <c r="C2709" s="61">
        <v>2010</v>
      </c>
      <c r="D2709" s="61" t="s">
        <v>88</v>
      </c>
      <c r="E2709" s="61">
        <v>5</v>
      </c>
      <c r="F2709" s="62" t="s">
        <v>2061</v>
      </c>
      <c r="G2709" s="61" t="s">
        <v>2735</v>
      </c>
      <c r="H2709" s="63"/>
      <c r="I2709" s="64"/>
    </row>
    <row r="2710" spans="2:9" x14ac:dyDescent="0.2">
      <c r="B2710" s="65" t="str">
        <f t="shared" si="56"/>
        <v>2010-082-0</v>
      </c>
      <c r="C2710" s="66">
        <v>2010</v>
      </c>
      <c r="D2710" s="66" t="s">
        <v>89</v>
      </c>
      <c r="E2710" s="66">
        <v>0</v>
      </c>
      <c r="F2710" s="67" t="s">
        <v>506</v>
      </c>
      <c r="G2710" s="66"/>
      <c r="H2710" s="68"/>
      <c r="I2710" s="69"/>
    </row>
    <row r="2711" spans="2:9" x14ac:dyDescent="0.2">
      <c r="B2711" s="54" t="str">
        <f t="shared" si="56"/>
        <v>2010-082-1</v>
      </c>
      <c r="C2711" s="55">
        <v>2010</v>
      </c>
      <c r="D2711" s="55" t="s">
        <v>89</v>
      </c>
      <c r="E2711" s="55">
        <v>1</v>
      </c>
      <c r="F2711" s="57" t="s">
        <v>836</v>
      </c>
      <c r="G2711" s="55"/>
      <c r="H2711" s="58"/>
      <c r="I2711" s="59"/>
    </row>
    <row r="2712" spans="2:9" ht="27" x14ac:dyDescent="0.2">
      <c r="B2712" s="54" t="str">
        <f t="shared" si="56"/>
        <v>2010-082-2</v>
      </c>
      <c r="C2712" s="55">
        <v>2010</v>
      </c>
      <c r="D2712" s="55" t="s">
        <v>89</v>
      </c>
      <c r="E2712" s="55">
        <v>2</v>
      </c>
      <c r="F2712" s="57" t="s">
        <v>1157</v>
      </c>
      <c r="G2712" s="55" t="s">
        <v>2735</v>
      </c>
      <c r="H2712" s="58"/>
      <c r="I2712" s="59"/>
    </row>
    <row r="2713" spans="2:9" ht="27" x14ac:dyDescent="0.2">
      <c r="B2713" s="54" t="str">
        <f t="shared" si="56"/>
        <v>2010-082-3</v>
      </c>
      <c r="C2713" s="55">
        <v>2010</v>
      </c>
      <c r="D2713" s="55" t="s">
        <v>89</v>
      </c>
      <c r="E2713" s="55">
        <v>3</v>
      </c>
      <c r="F2713" s="57" t="s">
        <v>1463</v>
      </c>
      <c r="G2713" s="55"/>
      <c r="H2713" s="58"/>
      <c r="I2713" s="59"/>
    </row>
    <row r="2714" spans="2:9" x14ac:dyDescent="0.2">
      <c r="B2714" s="54" t="str">
        <f t="shared" si="56"/>
        <v>2010-082-4</v>
      </c>
      <c r="C2714" s="55">
        <v>2010</v>
      </c>
      <c r="D2714" s="55" t="s">
        <v>89</v>
      </c>
      <c r="E2714" s="55">
        <v>4</v>
      </c>
      <c r="F2714" s="57" t="s">
        <v>1767</v>
      </c>
      <c r="G2714" s="55"/>
      <c r="H2714" s="58"/>
      <c r="I2714" s="59"/>
    </row>
    <row r="2715" spans="2:9" x14ac:dyDescent="0.2">
      <c r="B2715" s="60" t="str">
        <f t="shared" si="56"/>
        <v>2010-082-5</v>
      </c>
      <c r="C2715" s="61">
        <v>2010</v>
      </c>
      <c r="D2715" s="61" t="s">
        <v>89</v>
      </c>
      <c r="E2715" s="61">
        <v>5</v>
      </c>
      <c r="F2715" s="62" t="s">
        <v>1180</v>
      </c>
      <c r="G2715" s="61"/>
      <c r="H2715" s="63"/>
      <c r="I2715" s="64"/>
    </row>
    <row r="2716" spans="2:9" x14ac:dyDescent="0.2">
      <c r="B2716" s="65" t="str">
        <f t="shared" si="56"/>
        <v>2010-083-0</v>
      </c>
      <c r="C2716" s="66">
        <v>2010</v>
      </c>
      <c r="D2716" s="66" t="s">
        <v>90</v>
      </c>
      <c r="E2716" s="66">
        <v>0</v>
      </c>
      <c r="F2716" s="67" t="s">
        <v>507</v>
      </c>
      <c r="G2716" s="66"/>
      <c r="H2716" s="68"/>
      <c r="I2716" s="69"/>
    </row>
    <row r="2717" spans="2:9" x14ac:dyDescent="0.2">
      <c r="B2717" s="54" t="str">
        <f t="shared" si="56"/>
        <v>2010-083-1</v>
      </c>
      <c r="C2717" s="55">
        <v>2010</v>
      </c>
      <c r="D2717" s="55" t="s">
        <v>90</v>
      </c>
      <c r="E2717" s="55">
        <v>1</v>
      </c>
      <c r="F2717" s="57" t="s">
        <v>837</v>
      </c>
      <c r="G2717" s="55"/>
      <c r="H2717" s="58"/>
      <c r="I2717" s="59"/>
    </row>
    <row r="2718" spans="2:9" x14ac:dyDescent="0.2">
      <c r="B2718" s="54" t="str">
        <f t="shared" si="56"/>
        <v>2010-083-2</v>
      </c>
      <c r="C2718" s="55">
        <v>2010</v>
      </c>
      <c r="D2718" s="55" t="s">
        <v>90</v>
      </c>
      <c r="E2718" s="55">
        <v>2</v>
      </c>
      <c r="F2718" s="57" t="s">
        <v>1158</v>
      </c>
      <c r="G2718" s="55" t="s">
        <v>2735</v>
      </c>
      <c r="H2718" s="58"/>
      <c r="I2718" s="59"/>
    </row>
    <row r="2719" spans="2:9" x14ac:dyDescent="0.2">
      <c r="B2719" s="54" t="str">
        <f t="shared" si="56"/>
        <v>2010-083-3</v>
      </c>
      <c r="C2719" s="55">
        <v>2010</v>
      </c>
      <c r="D2719" s="55" t="s">
        <v>90</v>
      </c>
      <c r="E2719" s="55">
        <v>3</v>
      </c>
      <c r="F2719" s="76" t="s">
        <v>1464</v>
      </c>
      <c r="G2719" s="55"/>
      <c r="H2719" s="58"/>
      <c r="I2719" s="59"/>
    </row>
    <row r="2720" spans="2:9" x14ac:dyDescent="0.2">
      <c r="B2720" s="54" t="str">
        <f t="shared" si="56"/>
        <v>2010-083-4</v>
      </c>
      <c r="C2720" s="55">
        <v>2010</v>
      </c>
      <c r="D2720" s="55" t="s">
        <v>90</v>
      </c>
      <c r="E2720" s="55">
        <v>4</v>
      </c>
      <c r="F2720" s="57" t="s">
        <v>1768</v>
      </c>
      <c r="G2720" s="55"/>
      <c r="H2720" s="58"/>
      <c r="I2720" s="59"/>
    </row>
    <row r="2721" spans="2:9" x14ac:dyDescent="0.2">
      <c r="B2721" s="60" t="str">
        <f t="shared" si="56"/>
        <v>2010-083-5</v>
      </c>
      <c r="C2721" s="61">
        <v>2010</v>
      </c>
      <c r="D2721" s="61" t="s">
        <v>90</v>
      </c>
      <c r="E2721" s="61">
        <v>5</v>
      </c>
      <c r="F2721" s="62" t="s">
        <v>2062</v>
      </c>
      <c r="G2721" s="61"/>
      <c r="H2721" s="63"/>
      <c r="I2721" s="64"/>
    </row>
    <row r="2722" spans="2:9" x14ac:dyDescent="0.2">
      <c r="B2722" s="65" t="str">
        <f t="shared" si="56"/>
        <v>2010-084-0</v>
      </c>
      <c r="C2722" s="66">
        <v>2010</v>
      </c>
      <c r="D2722" s="66" t="s">
        <v>91</v>
      </c>
      <c r="E2722" s="66">
        <v>0</v>
      </c>
      <c r="F2722" s="67" t="s">
        <v>508</v>
      </c>
      <c r="G2722" s="66"/>
      <c r="H2722" s="68"/>
      <c r="I2722" s="69"/>
    </row>
    <row r="2723" spans="2:9" x14ac:dyDescent="0.2">
      <c r="B2723" s="54" t="str">
        <f t="shared" si="56"/>
        <v>2010-084-1</v>
      </c>
      <c r="C2723" s="55">
        <v>2010</v>
      </c>
      <c r="D2723" s="55" t="s">
        <v>91</v>
      </c>
      <c r="E2723" s="55">
        <v>1</v>
      </c>
      <c r="F2723" s="57" t="s">
        <v>838</v>
      </c>
      <c r="G2723" s="55"/>
      <c r="H2723" s="58"/>
      <c r="I2723" s="59"/>
    </row>
    <row r="2724" spans="2:9" x14ac:dyDescent="0.2">
      <c r="B2724" s="54" t="str">
        <f t="shared" si="56"/>
        <v>2010-084-2</v>
      </c>
      <c r="C2724" s="55">
        <v>2010</v>
      </c>
      <c r="D2724" s="55" t="s">
        <v>91</v>
      </c>
      <c r="E2724" s="55">
        <v>2</v>
      </c>
      <c r="F2724" s="57" t="s">
        <v>1159</v>
      </c>
      <c r="G2724" s="55"/>
      <c r="H2724" s="58"/>
      <c r="I2724" s="59"/>
    </row>
    <row r="2725" spans="2:9" x14ac:dyDescent="0.2">
      <c r="B2725" s="54" t="str">
        <f t="shared" si="56"/>
        <v>2010-084-3</v>
      </c>
      <c r="C2725" s="55">
        <v>2010</v>
      </c>
      <c r="D2725" s="55" t="s">
        <v>91</v>
      </c>
      <c r="E2725" s="55">
        <v>3</v>
      </c>
      <c r="F2725" s="57" t="s">
        <v>1465</v>
      </c>
      <c r="G2725" s="55"/>
      <c r="H2725" s="58"/>
      <c r="I2725" s="59"/>
    </row>
    <row r="2726" spans="2:9" ht="27" x14ac:dyDescent="0.2">
      <c r="B2726" s="54" t="str">
        <f t="shared" si="56"/>
        <v>2010-084-4</v>
      </c>
      <c r="C2726" s="55">
        <v>2010</v>
      </c>
      <c r="D2726" s="55" t="s">
        <v>91</v>
      </c>
      <c r="E2726" s="55">
        <v>4</v>
      </c>
      <c r="F2726" s="57" t="s">
        <v>1769</v>
      </c>
      <c r="G2726" s="55"/>
      <c r="H2726" s="58"/>
      <c r="I2726" s="59"/>
    </row>
    <row r="2727" spans="2:9" x14ac:dyDescent="0.2">
      <c r="B2727" s="60" t="str">
        <f t="shared" si="56"/>
        <v>2010-084-5</v>
      </c>
      <c r="C2727" s="61">
        <v>2010</v>
      </c>
      <c r="D2727" s="61" t="s">
        <v>91</v>
      </c>
      <c r="E2727" s="61">
        <v>5</v>
      </c>
      <c r="F2727" s="62" t="s">
        <v>2063</v>
      </c>
      <c r="G2727" s="61" t="s">
        <v>2735</v>
      </c>
      <c r="H2727" s="63"/>
      <c r="I2727" s="64"/>
    </row>
    <row r="2728" spans="2:9" x14ac:dyDescent="0.2">
      <c r="B2728" s="65" t="str">
        <f t="shared" si="56"/>
        <v>2010-085-0</v>
      </c>
      <c r="C2728" s="66">
        <v>2010</v>
      </c>
      <c r="D2728" s="66" t="s">
        <v>92</v>
      </c>
      <c r="E2728" s="66">
        <v>0</v>
      </c>
      <c r="F2728" s="67" t="s">
        <v>509</v>
      </c>
      <c r="G2728" s="66"/>
      <c r="H2728" s="68"/>
      <c r="I2728" s="69"/>
    </row>
    <row r="2729" spans="2:9" x14ac:dyDescent="0.2">
      <c r="B2729" s="54" t="str">
        <f t="shared" si="56"/>
        <v>2010-085-1</v>
      </c>
      <c r="C2729" s="55">
        <v>2010</v>
      </c>
      <c r="D2729" s="55" t="s">
        <v>92</v>
      </c>
      <c r="E2729" s="55">
        <v>1</v>
      </c>
      <c r="F2729" s="57" t="s">
        <v>839</v>
      </c>
      <c r="G2729" s="55" t="s">
        <v>2735</v>
      </c>
      <c r="H2729" s="58"/>
      <c r="I2729" s="59"/>
    </row>
    <row r="2730" spans="2:9" x14ac:dyDescent="0.2">
      <c r="B2730" s="54" t="str">
        <f t="shared" si="56"/>
        <v>2010-085-2</v>
      </c>
      <c r="C2730" s="55">
        <v>2010</v>
      </c>
      <c r="D2730" s="55" t="s">
        <v>92</v>
      </c>
      <c r="E2730" s="55">
        <v>2</v>
      </c>
      <c r="F2730" s="57" t="s">
        <v>1160</v>
      </c>
      <c r="G2730" s="55"/>
      <c r="H2730" s="58"/>
      <c r="I2730" s="59"/>
    </row>
    <row r="2731" spans="2:9" ht="27" x14ac:dyDescent="0.2">
      <c r="B2731" s="54" t="str">
        <f t="shared" si="56"/>
        <v>2010-085-3</v>
      </c>
      <c r="C2731" s="55">
        <v>2010</v>
      </c>
      <c r="D2731" s="55" t="s">
        <v>92</v>
      </c>
      <c r="E2731" s="55">
        <v>3</v>
      </c>
      <c r="F2731" s="57" t="s">
        <v>1466</v>
      </c>
      <c r="G2731" s="55"/>
      <c r="H2731" s="58"/>
      <c r="I2731" s="59"/>
    </row>
    <row r="2732" spans="2:9" x14ac:dyDescent="0.2">
      <c r="B2732" s="54" t="str">
        <f t="shared" si="56"/>
        <v>2010-085-4</v>
      </c>
      <c r="C2732" s="55">
        <v>2010</v>
      </c>
      <c r="D2732" s="55" t="s">
        <v>92</v>
      </c>
      <c r="E2732" s="55">
        <v>4</v>
      </c>
      <c r="F2732" s="57" t="s">
        <v>1770</v>
      </c>
      <c r="G2732" s="55"/>
      <c r="H2732" s="58"/>
      <c r="I2732" s="59"/>
    </row>
    <row r="2733" spans="2:9" x14ac:dyDescent="0.2">
      <c r="B2733" s="60" t="str">
        <f t="shared" si="56"/>
        <v>2010-085-5</v>
      </c>
      <c r="C2733" s="61">
        <v>2010</v>
      </c>
      <c r="D2733" s="61" t="s">
        <v>92</v>
      </c>
      <c r="E2733" s="61">
        <v>5</v>
      </c>
      <c r="F2733" s="62" t="s">
        <v>2064</v>
      </c>
      <c r="G2733" s="61"/>
      <c r="H2733" s="63"/>
      <c r="I2733" s="64"/>
    </row>
    <row r="2734" spans="2:9" x14ac:dyDescent="0.2">
      <c r="B2734" s="65" t="str">
        <f t="shared" si="56"/>
        <v>2010-086-0</v>
      </c>
      <c r="C2734" s="66">
        <v>2010</v>
      </c>
      <c r="D2734" s="66" t="s">
        <v>93</v>
      </c>
      <c r="E2734" s="66">
        <v>0</v>
      </c>
      <c r="F2734" s="67" t="s">
        <v>510</v>
      </c>
      <c r="G2734" s="66"/>
      <c r="H2734" s="68"/>
      <c r="I2734" s="69"/>
    </row>
    <row r="2735" spans="2:9" x14ac:dyDescent="0.2">
      <c r="B2735" s="54" t="str">
        <f t="shared" si="56"/>
        <v>2010-086-1</v>
      </c>
      <c r="C2735" s="55">
        <v>2010</v>
      </c>
      <c r="D2735" s="55" t="s">
        <v>93</v>
      </c>
      <c r="E2735" s="55">
        <v>1</v>
      </c>
      <c r="F2735" s="57" t="s">
        <v>798</v>
      </c>
      <c r="G2735" s="55"/>
      <c r="H2735" s="58"/>
      <c r="I2735" s="59"/>
    </row>
    <row r="2736" spans="2:9" x14ac:dyDescent="0.2">
      <c r="B2736" s="54" t="str">
        <f t="shared" si="56"/>
        <v>2010-086-2</v>
      </c>
      <c r="C2736" s="55">
        <v>2010</v>
      </c>
      <c r="D2736" s="55" t="s">
        <v>93</v>
      </c>
      <c r="E2736" s="55">
        <v>2</v>
      </c>
      <c r="F2736" s="57" t="s">
        <v>1161</v>
      </c>
      <c r="G2736" s="55"/>
      <c r="H2736" s="58"/>
      <c r="I2736" s="59"/>
    </row>
    <row r="2737" spans="2:9" x14ac:dyDescent="0.2">
      <c r="B2737" s="54" t="str">
        <f t="shared" si="56"/>
        <v>2010-086-3</v>
      </c>
      <c r="C2737" s="55">
        <v>2010</v>
      </c>
      <c r="D2737" s="55" t="s">
        <v>93</v>
      </c>
      <c r="E2737" s="55">
        <v>3</v>
      </c>
      <c r="F2737" s="57" t="s">
        <v>1271</v>
      </c>
      <c r="G2737" s="55" t="s">
        <v>2735</v>
      </c>
      <c r="H2737" s="58"/>
      <c r="I2737" s="59"/>
    </row>
    <row r="2738" spans="2:9" x14ac:dyDescent="0.2">
      <c r="B2738" s="54" t="str">
        <f t="shared" si="56"/>
        <v>2010-086-4</v>
      </c>
      <c r="C2738" s="55">
        <v>2010</v>
      </c>
      <c r="D2738" s="55" t="s">
        <v>93</v>
      </c>
      <c r="E2738" s="55">
        <v>4</v>
      </c>
      <c r="F2738" s="57" t="s">
        <v>1429</v>
      </c>
      <c r="G2738" s="55"/>
      <c r="H2738" s="58"/>
      <c r="I2738" s="59"/>
    </row>
    <row r="2739" spans="2:9" x14ac:dyDescent="0.2">
      <c r="B2739" s="60" t="str">
        <f t="shared" si="56"/>
        <v>2010-086-5</v>
      </c>
      <c r="C2739" s="61">
        <v>2010</v>
      </c>
      <c r="D2739" s="61" t="s">
        <v>93</v>
      </c>
      <c r="E2739" s="61">
        <v>5</v>
      </c>
      <c r="F2739" s="62" t="s">
        <v>2028</v>
      </c>
      <c r="G2739" s="61"/>
      <c r="H2739" s="63"/>
      <c r="I2739" s="64"/>
    </row>
    <row r="2740" spans="2:9" x14ac:dyDescent="0.2">
      <c r="B2740" s="65" t="str">
        <f t="shared" si="56"/>
        <v>2010-087-0</v>
      </c>
      <c r="C2740" s="66">
        <v>2010</v>
      </c>
      <c r="D2740" s="66" t="s">
        <v>94</v>
      </c>
      <c r="E2740" s="66">
        <v>0</v>
      </c>
      <c r="F2740" s="67" t="s">
        <v>511</v>
      </c>
      <c r="G2740" s="66"/>
      <c r="H2740" s="68"/>
      <c r="I2740" s="69"/>
    </row>
    <row r="2741" spans="2:9" ht="27" x14ac:dyDescent="0.2">
      <c r="B2741" s="54" t="str">
        <f t="shared" si="56"/>
        <v>2010-087-1</v>
      </c>
      <c r="C2741" s="55">
        <v>2010</v>
      </c>
      <c r="D2741" s="55" t="s">
        <v>94</v>
      </c>
      <c r="E2741" s="55">
        <v>1</v>
      </c>
      <c r="F2741" s="57" t="s">
        <v>840</v>
      </c>
      <c r="G2741" s="55"/>
      <c r="H2741" s="58"/>
      <c r="I2741" s="59"/>
    </row>
    <row r="2742" spans="2:9" ht="27" x14ac:dyDescent="0.2">
      <c r="B2742" s="54" t="str">
        <f t="shared" si="56"/>
        <v>2010-087-2</v>
      </c>
      <c r="C2742" s="55">
        <v>2010</v>
      </c>
      <c r="D2742" s="55" t="s">
        <v>94</v>
      </c>
      <c r="E2742" s="55">
        <v>2</v>
      </c>
      <c r="F2742" s="57" t="s">
        <v>1162</v>
      </c>
      <c r="G2742" s="55" t="s">
        <v>2735</v>
      </c>
      <c r="H2742" s="58"/>
      <c r="I2742" s="59"/>
    </row>
    <row r="2743" spans="2:9" ht="27" x14ac:dyDescent="0.2">
      <c r="B2743" s="54" t="str">
        <f t="shared" si="56"/>
        <v>2010-087-3</v>
      </c>
      <c r="C2743" s="55">
        <v>2010</v>
      </c>
      <c r="D2743" s="55" t="s">
        <v>94</v>
      </c>
      <c r="E2743" s="55">
        <v>3</v>
      </c>
      <c r="F2743" s="57" t="s">
        <v>1467</v>
      </c>
      <c r="G2743" s="55"/>
      <c r="H2743" s="58"/>
      <c r="I2743" s="59"/>
    </row>
    <row r="2744" spans="2:9" ht="27" x14ac:dyDescent="0.2">
      <c r="B2744" s="54" t="str">
        <f t="shared" si="56"/>
        <v>2010-087-4</v>
      </c>
      <c r="C2744" s="55">
        <v>2010</v>
      </c>
      <c r="D2744" s="55" t="s">
        <v>94</v>
      </c>
      <c r="E2744" s="55">
        <v>4</v>
      </c>
      <c r="F2744" s="57" t="s">
        <v>1771</v>
      </c>
      <c r="G2744" s="55"/>
      <c r="H2744" s="58"/>
      <c r="I2744" s="59"/>
    </row>
    <row r="2745" spans="2:9" x14ac:dyDescent="0.2">
      <c r="B2745" s="60" t="str">
        <f t="shared" si="56"/>
        <v>2010-087-5</v>
      </c>
      <c r="C2745" s="61">
        <v>2010</v>
      </c>
      <c r="D2745" s="61" t="s">
        <v>94</v>
      </c>
      <c r="E2745" s="61">
        <v>5</v>
      </c>
      <c r="F2745" s="62" t="s">
        <v>2065</v>
      </c>
      <c r="G2745" s="61"/>
      <c r="H2745" s="63"/>
      <c r="I2745" s="64"/>
    </row>
    <row r="2746" spans="2:9" x14ac:dyDescent="0.2">
      <c r="B2746" s="65" t="str">
        <f t="shared" si="56"/>
        <v>2010-088-0</v>
      </c>
      <c r="C2746" s="66">
        <v>2010</v>
      </c>
      <c r="D2746" s="66" t="s">
        <v>95</v>
      </c>
      <c r="E2746" s="66">
        <v>0</v>
      </c>
      <c r="F2746" s="67" t="s">
        <v>512</v>
      </c>
      <c r="G2746" s="66"/>
      <c r="H2746" s="68"/>
      <c r="I2746" s="69"/>
    </row>
    <row r="2747" spans="2:9" x14ac:dyDescent="0.2">
      <c r="B2747" s="54" t="str">
        <f t="shared" si="56"/>
        <v>2010-088-1</v>
      </c>
      <c r="C2747" s="55">
        <v>2010</v>
      </c>
      <c r="D2747" s="55" t="s">
        <v>95</v>
      </c>
      <c r="E2747" s="55">
        <v>1</v>
      </c>
      <c r="F2747" s="57" t="s">
        <v>841</v>
      </c>
      <c r="G2747" s="55" t="s">
        <v>2735</v>
      </c>
      <c r="H2747" s="58"/>
      <c r="I2747" s="59"/>
    </row>
    <row r="2748" spans="2:9" x14ac:dyDescent="0.2">
      <c r="B2748" s="54" t="str">
        <f t="shared" si="56"/>
        <v>2010-088-2</v>
      </c>
      <c r="C2748" s="55">
        <v>2010</v>
      </c>
      <c r="D2748" s="55" t="s">
        <v>95</v>
      </c>
      <c r="E2748" s="55">
        <v>2</v>
      </c>
      <c r="F2748" s="57" t="s">
        <v>1163</v>
      </c>
      <c r="G2748" s="55"/>
      <c r="H2748" s="58"/>
      <c r="I2748" s="59"/>
    </row>
    <row r="2749" spans="2:9" x14ac:dyDescent="0.2">
      <c r="B2749" s="54" t="str">
        <f t="shared" si="56"/>
        <v>2010-088-3</v>
      </c>
      <c r="C2749" s="55">
        <v>2010</v>
      </c>
      <c r="D2749" s="55" t="s">
        <v>95</v>
      </c>
      <c r="E2749" s="55">
        <v>3</v>
      </c>
      <c r="F2749" s="57" t="s">
        <v>1468</v>
      </c>
      <c r="G2749" s="55"/>
      <c r="H2749" s="58"/>
      <c r="I2749" s="59"/>
    </row>
    <row r="2750" spans="2:9" x14ac:dyDescent="0.2">
      <c r="B2750" s="54" t="str">
        <f t="shared" si="56"/>
        <v>2010-088-4</v>
      </c>
      <c r="C2750" s="55">
        <v>2010</v>
      </c>
      <c r="D2750" s="55" t="s">
        <v>95</v>
      </c>
      <c r="E2750" s="55">
        <v>4</v>
      </c>
      <c r="F2750" s="57" t="s">
        <v>1772</v>
      </c>
      <c r="G2750" s="55"/>
      <c r="H2750" s="58"/>
      <c r="I2750" s="59"/>
    </row>
    <row r="2751" spans="2:9" x14ac:dyDescent="0.2">
      <c r="B2751" s="60" t="str">
        <f t="shared" si="56"/>
        <v>2010-088-5</v>
      </c>
      <c r="C2751" s="61">
        <v>2010</v>
      </c>
      <c r="D2751" s="61" t="s">
        <v>95</v>
      </c>
      <c r="E2751" s="61">
        <v>5</v>
      </c>
      <c r="F2751" s="62" t="s">
        <v>2066</v>
      </c>
      <c r="G2751" s="61"/>
      <c r="H2751" s="63"/>
      <c r="I2751" s="64"/>
    </row>
    <row r="2752" spans="2:9" ht="108" x14ac:dyDescent="0.2">
      <c r="B2752" s="65" t="str">
        <f t="shared" si="56"/>
        <v>2010-089-0</v>
      </c>
      <c r="C2752" s="66">
        <v>2010</v>
      </c>
      <c r="D2752" s="66" t="s">
        <v>96</v>
      </c>
      <c r="E2752" s="66">
        <v>0</v>
      </c>
      <c r="F2752" s="67" t="s">
        <v>513</v>
      </c>
      <c r="G2752" s="66"/>
      <c r="H2752" s="68"/>
      <c r="I2752" s="69"/>
    </row>
    <row r="2753" spans="2:9" x14ac:dyDescent="0.2">
      <c r="B2753" s="54" t="str">
        <f t="shared" si="56"/>
        <v>2010-089-1</v>
      </c>
      <c r="C2753" s="55">
        <v>2010</v>
      </c>
      <c r="D2753" s="55" t="s">
        <v>96</v>
      </c>
      <c r="E2753" s="55">
        <v>1</v>
      </c>
      <c r="F2753" s="57" t="s">
        <v>6</v>
      </c>
      <c r="G2753" s="55"/>
      <c r="H2753" s="58"/>
      <c r="I2753" s="59"/>
    </row>
    <row r="2754" spans="2:9" x14ac:dyDescent="0.2">
      <c r="B2754" s="54" t="str">
        <f t="shared" si="56"/>
        <v>2010-089-2</v>
      </c>
      <c r="C2754" s="55">
        <v>2010</v>
      </c>
      <c r="D2754" s="55" t="s">
        <v>96</v>
      </c>
      <c r="E2754" s="55">
        <v>2</v>
      </c>
      <c r="F2754" s="57" t="s">
        <v>11</v>
      </c>
      <c r="G2754" s="55" t="s">
        <v>2735</v>
      </c>
      <c r="H2754" s="58"/>
      <c r="I2754" s="59"/>
    </row>
    <row r="2755" spans="2:9" x14ac:dyDescent="0.2">
      <c r="B2755" s="54" t="str">
        <f t="shared" si="56"/>
        <v>2010-089-3</v>
      </c>
      <c r="C2755" s="55">
        <v>2010</v>
      </c>
      <c r="D2755" s="55" t="s">
        <v>96</v>
      </c>
      <c r="E2755" s="55">
        <v>3</v>
      </c>
      <c r="F2755" s="57" t="s">
        <v>1469</v>
      </c>
      <c r="G2755" s="55"/>
      <c r="H2755" s="58"/>
      <c r="I2755" s="59"/>
    </row>
    <row r="2756" spans="2:9" x14ac:dyDescent="0.2">
      <c r="B2756" s="54" t="str">
        <f t="shared" si="56"/>
        <v>2010-089-4</v>
      </c>
      <c r="C2756" s="55">
        <v>2010</v>
      </c>
      <c r="D2756" s="55" t="s">
        <v>96</v>
      </c>
      <c r="E2756" s="55">
        <v>4</v>
      </c>
      <c r="F2756" s="57" t="s">
        <v>19</v>
      </c>
      <c r="G2756" s="55"/>
      <c r="H2756" s="58"/>
      <c r="I2756" s="59"/>
    </row>
    <row r="2757" spans="2:9" x14ac:dyDescent="0.2">
      <c r="B2757" s="60" t="str">
        <f t="shared" si="56"/>
        <v>2010-089-5</v>
      </c>
      <c r="C2757" s="61">
        <v>2010</v>
      </c>
      <c r="D2757" s="61" t="s">
        <v>96</v>
      </c>
      <c r="E2757" s="61">
        <v>5</v>
      </c>
      <c r="F2757" s="62" t="s">
        <v>84</v>
      </c>
      <c r="G2757" s="61"/>
      <c r="H2757" s="63"/>
      <c r="I2757" s="64"/>
    </row>
    <row r="2758" spans="2:9" x14ac:dyDescent="0.2">
      <c r="B2758" s="65" t="str">
        <f t="shared" si="56"/>
        <v>2010-090-0</v>
      </c>
      <c r="C2758" s="66">
        <v>2010</v>
      </c>
      <c r="D2758" s="66" t="s">
        <v>97</v>
      </c>
      <c r="E2758" s="66">
        <v>0</v>
      </c>
      <c r="F2758" s="67" t="s">
        <v>514</v>
      </c>
      <c r="G2758" s="66"/>
      <c r="H2758" s="68"/>
      <c r="I2758" s="69"/>
    </row>
    <row r="2759" spans="2:9" x14ac:dyDescent="0.2">
      <c r="B2759" s="54" t="str">
        <f t="shared" si="56"/>
        <v>2010-090-1</v>
      </c>
      <c r="C2759" s="55">
        <v>2010</v>
      </c>
      <c r="D2759" s="55" t="s">
        <v>97</v>
      </c>
      <c r="E2759" s="55">
        <v>1</v>
      </c>
      <c r="F2759" s="57" t="s">
        <v>842</v>
      </c>
      <c r="G2759" s="55"/>
      <c r="H2759" s="58"/>
      <c r="I2759" s="59"/>
    </row>
    <row r="2760" spans="2:9" x14ac:dyDescent="0.2">
      <c r="B2760" s="54" t="str">
        <f t="shared" si="56"/>
        <v>2010-090-2</v>
      </c>
      <c r="C2760" s="55">
        <v>2010</v>
      </c>
      <c r="D2760" s="55" t="s">
        <v>97</v>
      </c>
      <c r="E2760" s="55">
        <v>2</v>
      </c>
      <c r="F2760" s="57" t="s">
        <v>1164</v>
      </c>
      <c r="G2760" s="55"/>
      <c r="H2760" s="58"/>
      <c r="I2760" s="59"/>
    </row>
    <row r="2761" spans="2:9" ht="27" x14ac:dyDescent="0.2">
      <c r="B2761" s="54" t="str">
        <f t="shared" si="56"/>
        <v>2010-090-3</v>
      </c>
      <c r="C2761" s="55">
        <v>2010</v>
      </c>
      <c r="D2761" s="55" t="s">
        <v>97</v>
      </c>
      <c r="E2761" s="55">
        <v>3</v>
      </c>
      <c r="F2761" s="57" t="s">
        <v>1470</v>
      </c>
      <c r="G2761" s="55" t="s">
        <v>2735</v>
      </c>
      <c r="H2761" s="58"/>
      <c r="I2761" s="59"/>
    </row>
    <row r="2762" spans="2:9" ht="27" x14ac:dyDescent="0.2">
      <c r="B2762" s="54" t="str">
        <f t="shared" si="56"/>
        <v>2010-090-4</v>
      </c>
      <c r="C2762" s="55">
        <v>2010</v>
      </c>
      <c r="D2762" s="55" t="s">
        <v>97</v>
      </c>
      <c r="E2762" s="55">
        <v>4</v>
      </c>
      <c r="F2762" s="57" t="s">
        <v>1773</v>
      </c>
      <c r="G2762" s="55"/>
      <c r="H2762" s="58"/>
      <c r="I2762" s="59"/>
    </row>
    <row r="2763" spans="2:9" x14ac:dyDescent="0.2">
      <c r="B2763" s="60" t="str">
        <f t="shared" si="56"/>
        <v>2010-090-5</v>
      </c>
      <c r="C2763" s="61">
        <v>2010</v>
      </c>
      <c r="D2763" s="61" t="s">
        <v>97</v>
      </c>
      <c r="E2763" s="61">
        <v>5</v>
      </c>
      <c r="F2763" s="62" t="s">
        <v>2067</v>
      </c>
      <c r="G2763" s="61"/>
      <c r="H2763" s="63"/>
      <c r="I2763" s="64"/>
    </row>
    <row r="2764" spans="2:9" x14ac:dyDescent="0.2">
      <c r="B2764" s="65" t="str">
        <f t="shared" si="56"/>
        <v>2010-091-0</v>
      </c>
      <c r="C2764" s="66">
        <v>2010</v>
      </c>
      <c r="D2764" s="66" t="s">
        <v>98</v>
      </c>
      <c r="E2764" s="66">
        <v>0</v>
      </c>
      <c r="F2764" s="67" t="s">
        <v>515</v>
      </c>
      <c r="G2764" s="66"/>
      <c r="H2764" s="68"/>
      <c r="I2764" s="69"/>
    </row>
    <row r="2765" spans="2:9" ht="27" x14ac:dyDescent="0.2">
      <c r="B2765" s="54" t="str">
        <f t="shared" si="56"/>
        <v>2010-091-1</v>
      </c>
      <c r="C2765" s="55">
        <v>2010</v>
      </c>
      <c r="D2765" s="55" t="s">
        <v>98</v>
      </c>
      <c r="E2765" s="55">
        <v>1</v>
      </c>
      <c r="F2765" s="57" t="s">
        <v>843</v>
      </c>
      <c r="G2765" s="55"/>
      <c r="H2765" s="58"/>
      <c r="I2765" s="59"/>
    </row>
    <row r="2766" spans="2:9" x14ac:dyDescent="0.2">
      <c r="B2766" s="54" t="str">
        <f t="shared" si="56"/>
        <v>2010-091-2</v>
      </c>
      <c r="C2766" s="55">
        <v>2010</v>
      </c>
      <c r="D2766" s="55" t="s">
        <v>98</v>
      </c>
      <c r="E2766" s="55">
        <v>2</v>
      </c>
      <c r="F2766" s="57" t="s">
        <v>1165</v>
      </c>
      <c r="G2766" s="55"/>
      <c r="H2766" s="58"/>
      <c r="I2766" s="59"/>
    </row>
    <row r="2767" spans="2:9" x14ac:dyDescent="0.2">
      <c r="B2767" s="54" t="str">
        <f t="shared" si="56"/>
        <v>2010-091-3</v>
      </c>
      <c r="C2767" s="55">
        <v>2010</v>
      </c>
      <c r="D2767" s="55" t="s">
        <v>98</v>
      </c>
      <c r="E2767" s="55">
        <v>3</v>
      </c>
      <c r="F2767" s="57" t="s">
        <v>1471</v>
      </c>
      <c r="G2767" s="55"/>
      <c r="H2767" s="58"/>
      <c r="I2767" s="59"/>
    </row>
    <row r="2768" spans="2:9" x14ac:dyDescent="0.2">
      <c r="B2768" s="54" t="str">
        <f t="shared" si="56"/>
        <v>2010-091-4</v>
      </c>
      <c r="C2768" s="55">
        <v>2010</v>
      </c>
      <c r="D2768" s="55" t="s">
        <v>98</v>
      </c>
      <c r="E2768" s="55">
        <v>4</v>
      </c>
      <c r="F2768" s="57" t="s">
        <v>1774</v>
      </c>
      <c r="G2768" s="55"/>
      <c r="H2768" s="58"/>
      <c r="I2768" s="59"/>
    </row>
    <row r="2769" spans="2:9" x14ac:dyDescent="0.2">
      <c r="B2769" s="60" t="str">
        <f t="shared" si="56"/>
        <v>2010-091-5</v>
      </c>
      <c r="C2769" s="61">
        <v>2010</v>
      </c>
      <c r="D2769" s="61" t="s">
        <v>98</v>
      </c>
      <c r="E2769" s="61">
        <v>5</v>
      </c>
      <c r="F2769" s="62" t="s">
        <v>2068</v>
      </c>
      <c r="G2769" s="61" t="s">
        <v>2735</v>
      </c>
      <c r="H2769" s="63"/>
      <c r="I2769" s="64"/>
    </row>
    <row r="2770" spans="2:9" ht="67.5" x14ac:dyDescent="0.2">
      <c r="B2770" s="65" t="str">
        <f t="shared" si="56"/>
        <v>2010-092-0</v>
      </c>
      <c r="C2770" s="66">
        <v>2010</v>
      </c>
      <c r="D2770" s="66" t="s">
        <v>99</v>
      </c>
      <c r="E2770" s="66">
        <v>0</v>
      </c>
      <c r="F2770" s="67" t="s">
        <v>516</v>
      </c>
      <c r="G2770" s="66"/>
      <c r="H2770" s="68"/>
      <c r="I2770" s="69"/>
    </row>
    <row r="2771" spans="2:9" x14ac:dyDescent="0.2">
      <c r="B2771" s="54" t="str">
        <f t="shared" ref="B2771:B2823" si="57">C2771&amp;"-"&amp;D2771&amp;"-"&amp;E2771</f>
        <v>2010-092-1</v>
      </c>
      <c r="C2771" s="55">
        <v>2010</v>
      </c>
      <c r="D2771" s="55" t="s">
        <v>99</v>
      </c>
      <c r="E2771" s="55">
        <v>1</v>
      </c>
      <c r="F2771" s="57" t="s">
        <v>4</v>
      </c>
      <c r="G2771" s="55" t="s">
        <v>2735</v>
      </c>
      <c r="H2771" s="58"/>
      <c r="I2771" s="59"/>
    </row>
    <row r="2772" spans="2:9" x14ac:dyDescent="0.2">
      <c r="B2772" s="54" t="str">
        <f t="shared" si="57"/>
        <v>2010-092-2</v>
      </c>
      <c r="C2772" s="55">
        <v>2010</v>
      </c>
      <c r="D2772" s="55" t="s">
        <v>99</v>
      </c>
      <c r="E2772" s="55">
        <v>2</v>
      </c>
      <c r="F2772" s="57" t="s">
        <v>8</v>
      </c>
      <c r="G2772" s="55"/>
      <c r="H2772" s="58"/>
      <c r="I2772" s="59"/>
    </row>
    <row r="2773" spans="2:9" x14ac:dyDescent="0.2">
      <c r="B2773" s="54" t="str">
        <f t="shared" si="57"/>
        <v>2010-092-3</v>
      </c>
      <c r="C2773" s="55">
        <v>2010</v>
      </c>
      <c r="D2773" s="55" t="s">
        <v>99</v>
      </c>
      <c r="E2773" s="55">
        <v>3</v>
      </c>
      <c r="F2773" s="57" t="s">
        <v>16</v>
      </c>
      <c r="G2773" s="55"/>
      <c r="H2773" s="58"/>
      <c r="I2773" s="59"/>
    </row>
    <row r="2774" spans="2:9" x14ac:dyDescent="0.2">
      <c r="B2774" s="54" t="str">
        <f t="shared" si="57"/>
        <v>2010-092-4</v>
      </c>
      <c r="C2774" s="55">
        <v>2010</v>
      </c>
      <c r="D2774" s="55" t="s">
        <v>99</v>
      </c>
      <c r="E2774" s="55">
        <v>4</v>
      </c>
      <c r="F2774" s="57" t="s">
        <v>12</v>
      </c>
      <c r="G2774" s="55"/>
      <c r="H2774" s="58"/>
      <c r="I2774" s="59"/>
    </row>
    <row r="2775" spans="2:9" x14ac:dyDescent="0.2">
      <c r="B2775" s="60" t="str">
        <f t="shared" si="57"/>
        <v>2010-092-5</v>
      </c>
      <c r="C2775" s="61">
        <v>2010</v>
      </c>
      <c r="D2775" s="61" t="s">
        <v>99</v>
      </c>
      <c r="E2775" s="61">
        <v>5</v>
      </c>
      <c r="F2775" s="62" t="s">
        <v>9</v>
      </c>
      <c r="G2775" s="61"/>
      <c r="H2775" s="63"/>
      <c r="I2775" s="64"/>
    </row>
    <row r="2776" spans="2:9" x14ac:dyDescent="0.2">
      <c r="B2776" s="65" t="str">
        <f t="shared" si="57"/>
        <v>2010-093-0</v>
      </c>
      <c r="C2776" s="66">
        <v>2010</v>
      </c>
      <c r="D2776" s="66" t="s">
        <v>100</v>
      </c>
      <c r="E2776" s="66">
        <v>0</v>
      </c>
      <c r="F2776" s="67" t="s">
        <v>517</v>
      </c>
      <c r="G2776" s="66"/>
      <c r="H2776" s="68"/>
      <c r="I2776" s="69"/>
    </row>
    <row r="2777" spans="2:9" x14ac:dyDescent="0.2">
      <c r="B2777" s="54" t="str">
        <f t="shared" si="57"/>
        <v>2010-093-1</v>
      </c>
      <c r="C2777" s="55">
        <v>2010</v>
      </c>
      <c r="D2777" s="55" t="s">
        <v>100</v>
      </c>
      <c r="E2777" s="55">
        <v>1</v>
      </c>
      <c r="F2777" s="57" t="s">
        <v>844</v>
      </c>
      <c r="G2777" s="55"/>
      <c r="H2777" s="58"/>
      <c r="I2777" s="59"/>
    </row>
    <row r="2778" spans="2:9" x14ac:dyDescent="0.2">
      <c r="B2778" s="54" t="str">
        <f t="shared" si="57"/>
        <v>2010-093-2</v>
      </c>
      <c r="C2778" s="55">
        <v>2010</v>
      </c>
      <c r="D2778" s="55" t="s">
        <v>100</v>
      </c>
      <c r="E2778" s="55">
        <v>2</v>
      </c>
      <c r="F2778" s="57" t="s">
        <v>1166</v>
      </c>
      <c r="G2778" s="55"/>
      <c r="H2778" s="58"/>
      <c r="I2778" s="59"/>
    </row>
    <row r="2779" spans="2:9" x14ac:dyDescent="0.2">
      <c r="B2779" s="54" t="str">
        <f t="shared" si="57"/>
        <v>2010-093-3</v>
      </c>
      <c r="C2779" s="55">
        <v>2010</v>
      </c>
      <c r="D2779" s="55" t="s">
        <v>100</v>
      </c>
      <c r="E2779" s="55">
        <v>3</v>
      </c>
      <c r="F2779" s="57" t="s">
        <v>798</v>
      </c>
      <c r="G2779" s="55"/>
      <c r="H2779" s="58"/>
      <c r="I2779" s="59"/>
    </row>
    <row r="2780" spans="2:9" x14ac:dyDescent="0.2">
      <c r="B2780" s="54" t="str">
        <f t="shared" si="57"/>
        <v>2010-093-4</v>
      </c>
      <c r="C2780" s="55">
        <v>2010</v>
      </c>
      <c r="D2780" s="55" t="s">
        <v>100</v>
      </c>
      <c r="E2780" s="55">
        <v>4</v>
      </c>
      <c r="F2780" s="57" t="s">
        <v>1775</v>
      </c>
      <c r="G2780" s="55" t="s">
        <v>2735</v>
      </c>
      <c r="H2780" s="58"/>
      <c r="I2780" s="59"/>
    </row>
    <row r="2781" spans="2:9" x14ac:dyDescent="0.2">
      <c r="B2781" s="60" t="str">
        <f t="shared" si="57"/>
        <v>2010-093-5</v>
      </c>
      <c r="C2781" s="61">
        <v>2010</v>
      </c>
      <c r="D2781" s="61" t="s">
        <v>100</v>
      </c>
      <c r="E2781" s="61">
        <v>5</v>
      </c>
      <c r="F2781" s="62" t="s">
        <v>2069</v>
      </c>
      <c r="G2781" s="61"/>
      <c r="H2781" s="63"/>
      <c r="I2781" s="64"/>
    </row>
    <row r="2782" spans="2:9" x14ac:dyDescent="0.2">
      <c r="B2782" s="65" t="str">
        <f t="shared" si="57"/>
        <v>2010-094-0</v>
      </c>
      <c r="C2782" s="66">
        <v>2010</v>
      </c>
      <c r="D2782" s="66" t="s">
        <v>101</v>
      </c>
      <c r="E2782" s="66">
        <v>0</v>
      </c>
      <c r="F2782" s="67" t="s">
        <v>518</v>
      </c>
      <c r="G2782" s="66"/>
      <c r="H2782" s="68"/>
      <c r="I2782" s="69"/>
    </row>
    <row r="2783" spans="2:9" ht="27" x14ac:dyDescent="0.2">
      <c r="B2783" s="54" t="str">
        <f t="shared" si="57"/>
        <v>2010-094-1</v>
      </c>
      <c r="C2783" s="55">
        <v>2010</v>
      </c>
      <c r="D2783" s="55" t="s">
        <v>101</v>
      </c>
      <c r="E2783" s="55">
        <v>1</v>
      </c>
      <c r="F2783" s="57" t="s">
        <v>845</v>
      </c>
      <c r="G2783" s="55"/>
      <c r="H2783" s="58"/>
      <c r="I2783" s="59"/>
    </row>
    <row r="2784" spans="2:9" x14ac:dyDescent="0.2">
      <c r="B2784" s="54" t="str">
        <f t="shared" si="57"/>
        <v>2010-094-2</v>
      </c>
      <c r="C2784" s="55">
        <v>2010</v>
      </c>
      <c r="D2784" s="55" t="s">
        <v>101</v>
      </c>
      <c r="E2784" s="55">
        <v>2</v>
      </c>
      <c r="F2784" s="57" t="s">
        <v>1167</v>
      </c>
      <c r="G2784" s="55"/>
      <c r="H2784" s="58"/>
      <c r="I2784" s="59"/>
    </row>
    <row r="2785" spans="2:9" ht="27" x14ac:dyDescent="0.2">
      <c r="B2785" s="54" t="str">
        <f t="shared" si="57"/>
        <v>2010-094-3</v>
      </c>
      <c r="C2785" s="55">
        <v>2010</v>
      </c>
      <c r="D2785" s="55" t="s">
        <v>101</v>
      </c>
      <c r="E2785" s="55">
        <v>3</v>
      </c>
      <c r="F2785" s="57" t="s">
        <v>1472</v>
      </c>
      <c r="G2785" s="55" t="s">
        <v>2735</v>
      </c>
      <c r="H2785" s="58"/>
      <c r="I2785" s="59"/>
    </row>
    <row r="2786" spans="2:9" x14ac:dyDescent="0.2">
      <c r="B2786" s="54" t="str">
        <f t="shared" si="57"/>
        <v>2010-094-4</v>
      </c>
      <c r="C2786" s="55">
        <v>2010</v>
      </c>
      <c r="D2786" s="55" t="s">
        <v>101</v>
      </c>
      <c r="E2786" s="55">
        <v>4</v>
      </c>
      <c r="F2786" s="57" t="s">
        <v>1776</v>
      </c>
      <c r="G2786" s="55"/>
      <c r="H2786" s="58"/>
      <c r="I2786" s="59"/>
    </row>
    <row r="2787" spans="2:9" x14ac:dyDescent="0.2">
      <c r="B2787" s="60" t="str">
        <f t="shared" si="57"/>
        <v>2010-094-5</v>
      </c>
      <c r="C2787" s="61">
        <v>2010</v>
      </c>
      <c r="D2787" s="61" t="s">
        <v>101</v>
      </c>
      <c r="E2787" s="61">
        <v>5</v>
      </c>
      <c r="F2787" s="62" t="s">
        <v>2070</v>
      </c>
      <c r="G2787" s="61"/>
      <c r="H2787" s="63"/>
      <c r="I2787" s="64"/>
    </row>
    <row r="2788" spans="2:9" x14ac:dyDescent="0.2">
      <c r="B2788" s="65" t="str">
        <f t="shared" si="57"/>
        <v>2010-095-0</v>
      </c>
      <c r="C2788" s="66">
        <v>2010</v>
      </c>
      <c r="D2788" s="66" t="s">
        <v>102</v>
      </c>
      <c r="E2788" s="66">
        <v>0</v>
      </c>
      <c r="F2788" s="67" t="s">
        <v>519</v>
      </c>
      <c r="G2788" s="66"/>
      <c r="H2788" s="68"/>
      <c r="I2788" s="69"/>
    </row>
    <row r="2789" spans="2:9" x14ac:dyDescent="0.2">
      <c r="B2789" s="54" t="str">
        <f t="shared" si="57"/>
        <v>2010-095-1</v>
      </c>
      <c r="C2789" s="55">
        <v>2010</v>
      </c>
      <c r="D2789" s="55" t="s">
        <v>102</v>
      </c>
      <c r="E2789" s="55">
        <v>1</v>
      </c>
      <c r="F2789" s="57" t="s">
        <v>846</v>
      </c>
      <c r="G2789" s="55"/>
      <c r="H2789" s="58"/>
      <c r="I2789" s="59"/>
    </row>
    <row r="2790" spans="2:9" x14ac:dyDescent="0.2">
      <c r="B2790" s="54" t="str">
        <f t="shared" si="57"/>
        <v>2010-095-2</v>
      </c>
      <c r="C2790" s="55">
        <v>2010</v>
      </c>
      <c r="D2790" s="55" t="s">
        <v>102</v>
      </c>
      <c r="E2790" s="55">
        <v>2</v>
      </c>
      <c r="F2790" s="57" t="s">
        <v>1168</v>
      </c>
      <c r="G2790" s="55"/>
      <c r="H2790" s="58"/>
      <c r="I2790" s="59"/>
    </row>
    <row r="2791" spans="2:9" x14ac:dyDescent="0.2">
      <c r="B2791" s="54" t="str">
        <f t="shared" si="57"/>
        <v>2010-095-3</v>
      </c>
      <c r="C2791" s="55">
        <v>2010</v>
      </c>
      <c r="D2791" s="55" t="s">
        <v>102</v>
      </c>
      <c r="E2791" s="55">
        <v>3</v>
      </c>
      <c r="F2791" s="57" t="s">
        <v>1473</v>
      </c>
      <c r="G2791" s="55"/>
      <c r="H2791" s="58"/>
      <c r="I2791" s="59"/>
    </row>
    <row r="2792" spans="2:9" ht="27" x14ac:dyDescent="0.2">
      <c r="B2792" s="54" t="str">
        <f t="shared" si="57"/>
        <v>2010-095-4</v>
      </c>
      <c r="C2792" s="55">
        <v>2010</v>
      </c>
      <c r="D2792" s="55" t="s">
        <v>102</v>
      </c>
      <c r="E2792" s="55">
        <v>4</v>
      </c>
      <c r="F2792" s="57" t="s">
        <v>1777</v>
      </c>
      <c r="G2792" s="55"/>
      <c r="H2792" s="58"/>
      <c r="I2792" s="59"/>
    </row>
    <row r="2793" spans="2:9" x14ac:dyDescent="0.2">
      <c r="B2793" s="60" t="str">
        <f t="shared" si="57"/>
        <v>2010-095-5</v>
      </c>
      <c r="C2793" s="61">
        <v>2010</v>
      </c>
      <c r="D2793" s="61" t="s">
        <v>102</v>
      </c>
      <c r="E2793" s="61">
        <v>5</v>
      </c>
      <c r="F2793" s="62" t="s">
        <v>2071</v>
      </c>
      <c r="G2793" s="61" t="s">
        <v>2735</v>
      </c>
      <c r="H2793" s="63"/>
      <c r="I2793" s="64"/>
    </row>
    <row r="2794" spans="2:9" x14ac:dyDescent="0.2">
      <c r="B2794" s="65" t="str">
        <f t="shared" si="57"/>
        <v>2010-096-0</v>
      </c>
      <c r="C2794" s="66">
        <v>2010</v>
      </c>
      <c r="D2794" s="66" t="s">
        <v>103</v>
      </c>
      <c r="E2794" s="66">
        <v>0</v>
      </c>
      <c r="F2794" s="67" t="s">
        <v>520</v>
      </c>
      <c r="G2794" s="66"/>
      <c r="H2794" s="68"/>
      <c r="I2794" s="69"/>
    </row>
    <row r="2795" spans="2:9" x14ac:dyDescent="0.2">
      <c r="B2795" s="54" t="str">
        <f t="shared" si="57"/>
        <v>2010-096-1</v>
      </c>
      <c r="C2795" s="55">
        <v>2010</v>
      </c>
      <c r="D2795" s="55" t="s">
        <v>103</v>
      </c>
      <c r="E2795" s="55">
        <v>1</v>
      </c>
      <c r="F2795" s="57" t="s">
        <v>847</v>
      </c>
      <c r="G2795" s="55"/>
      <c r="H2795" s="58"/>
      <c r="I2795" s="59"/>
    </row>
    <row r="2796" spans="2:9" x14ac:dyDescent="0.2">
      <c r="B2796" s="54" t="str">
        <f t="shared" si="57"/>
        <v>2010-096-2</v>
      </c>
      <c r="C2796" s="55">
        <v>2010</v>
      </c>
      <c r="D2796" s="55" t="s">
        <v>103</v>
      </c>
      <c r="E2796" s="55">
        <v>2</v>
      </c>
      <c r="F2796" s="57" t="s">
        <v>1169</v>
      </c>
      <c r="G2796" s="55"/>
      <c r="H2796" s="58"/>
      <c r="I2796" s="59"/>
    </row>
    <row r="2797" spans="2:9" x14ac:dyDescent="0.2">
      <c r="B2797" s="54" t="str">
        <f t="shared" si="57"/>
        <v>2010-096-3</v>
      </c>
      <c r="C2797" s="55">
        <v>2010</v>
      </c>
      <c r="D2797" s="55" t="s">
        <v>103</v>
      </c>
      <c r="E2797" s="55">
        <v>3</v>
      </c>
      <c r="F2797" s="57" t="s">
        <v>1474</v>
      </c>
      <c r="G2797" s="55"/>
      <c r="H2797" s="58"/>
      <c r="I2797" s="59"/>
    </row>
    <row r="2798" spans="2:9" ht="27" x14ac:dyDescent="0.2">
      <c r="B2798" s="54" t="str">
        <f t="shared" si="57"/>
        <v>2010-096-4</v>
      </c>
      <c r="C2798" s="55">
        <v>2010</v>
      </c>
      <c r="D2798" s="55" t="s">
        <v>103</v>
      </c>
      <c r="E2798" s="55">
        <v>4</v>
      </c>
      <c r="F2798" s="57" t="s">
        <v>1778</v>
      </c>
      <c r="G2798" s="55" t="s">
        <v>2735</v>
      </c>
      <c r="H2798" s="58"/>
      <c r="I2798" s="59"/>
    </row>
    <row r="2799" spans="2:9" ht="27" x14ac:dyDescent="0.2">
      <c r="B2799" s="60" t="str">
        <f t="shared" si="57"/>
        <v>2010-096-5</v>
      </c>
      <c r="C2799" s="61">
        <v>2010</v>
      </c>
      <c r="D2799" s="61" t="s">
        <v>103</v>
      </c>
      <c r="E2799" s="61">
        <v>5</v>
      </c>
      <c r="F2799" s="62" t="s">
        <v>2072</v>
      </c>
      <c r="G2799" s="61"/>
      <c r="H2799" s="63"/>
      <c r="I2799" s="64"/>
    </row>
    <row r="2800" spans="2:9" x14ac:dyDescent="0.2">
      <c r="B2800" s="65" t="str">
        <f t="shared" si="57"/>
        <v>2010-097-0</v>
      </c>
      <c r="C2800" s="66">
        <v>2010</v>
      </c>
      <c r="D2800" s="66" t="s">
        <v>104</v>
      </c>
      <c r="E2800" s="66">
        <v>0</v>
      </c>
      <c r="F2800" s="67" t="s">
        <v>521</v>
      </c>
      <c r="G2800" s="66"/>
      <c r="H2800" s="68"/>
      <c r="I2800" s="69"/>
    </row>
    <row r="2801" spans="2:9" x14ac:dyDescent="0.2">
      <c r="B2801" s="54" t="str">
        <f t="shared" si="57"/>
        <v>2010-097-1</v>
      </c>
      <c r="C2801" s="55">
        <v>2010</v>
      </c>
      <c r="D2801" s="55" t="s">
        <v>104</v>
      </c>
      <c r="E2801" s="55">
        <v>1</v>
      </c>
      <c r="F2801" s="57" t="s">
        <v>848</v>
      </c>
      <c r="G2801" s="55"/>
      <c r="H2801" s="58"/>
      <c r="I2801" s="59"/>
    </row>
    <row r="2802" spans="2:9" x14ac:dyDescent="0.2">
      <c r="B2802" s="54" t="str">
        <f t="shared" si="57"/>
        <v>2010-097-2</v>
      </c>
      <c r="C2802" s="55">
        <v>2010</v>
      </c>
      <c r="D2802" s="55" t="s">
        <v>104</v>
      </c>
      <c r="E2802" s="55">
        <v>2</v>
      </c>
      <c r="F2802" s="57" t="s">
        <v>1170</v>
      </c>
      <c r="G2802" s="55"/>
      <c r="H2802" s="58"/>
      <c r="I2802" s="59"/>
    </row>
    <row r="2803" spans="2:9" x14ac:dyDescent="0.2">
      <c r="B2803" s="54" t="str">
        <f t="shared" si="57"/>
        <v>2010-097-3</v>
      </c>
      <c r="C2803" s="55">
        <v>2010</v>
      </c>
      <c r="D2803" s="55" t="s">
        <v>104</v>
      </c>
      <c r="E2803" s="55">
        <v>3</v>
      </c>
      <c r="F2803" s="57" t="s">
        <v>1475</v>
      </c>
      <c r="G2803" s="55"/>
      <c r="H2803" s="58"/>
      <c r="I2803" s="59"/>
    </row>
    <row r="2804" spans="2:9" x14ac:dyDescent="0.2">
      <c r="B2804" s="54" t="str">
        <f t="shared" si="57"/>
        <v>2010-097-4</v>
      </c>
      <c r="C2804" s="55">
        <v>2010</v>
      </c>
      <c r="D2804" s="55" t="s">
        <v>104</v>
      </c>
      <c r="E2804" s="55">
        <v>4</v>
      </c>
      <c r="F2804" s="57" t="s">
        <v>1779</v>
      </c>
      <c r="G2804" s="55" t="s">
        <v>2735</v>
      </c>
      <c r="H2804" s="58"/>
      <c r="I2804" s="59"/>
    </row>
    <row r="2805" spans="2:9" ht="27" x14ac:dyDescent="0.2">
      <c r="B2805" s="60" t="str">
        <f t="shared" si="57"/>
        <v>2010-097-5</v>
      </c>
      <c r="C2805" s="61">
        <v>2010</v>
      </c>
      <c r="D2805" s="61" t="s">
        <v>104</v>
      </c>
      <c r="E2805" s="61">
        <v>5</v>
      </c>
      <c r="F2805" s="62" t="s">
        <v>2073</v>
      </c>
      <c r="G2805" s="61"/>
      <c r="H2805" s="63"/>
      <c r="I2805" s="64"/>
    </row>
    <row r="2806" spans="2:9" x14ac:dyDescent="0.2">
      <c r="B2806" s="65" t="str">
        <f t="shared" si="57"/>
        <v>2010-098-0</v>
      </c>
      <c r="C2806" s="66">
        <v>2010</v>
      </c>
      <c r="D2806" s="66" t="s">
        <v>105</v>
      </c>
      <c r="E2806" s="66">
        <v>0</v>
      </c>
      <c r="F2806" s="67" t="s">
        <v>522</v>
      </c>
      <c r="G2806" s="66"/>
      <c r="H2806" s="68"/>
      <c r="I2806" s="69"/>
    </row>
    <row r="2807" spans="2:9" x14ac:dyDescent="0.2">
      <c r="B2807" s="54" t="str">
        <f t="shared" si="57"/>
        <v>2010-098-1</v>
      </c>
      <c r="C2807" s="55">
        <v>2010</v>
      </c>
      <c r="D2807" s="55" t="s">
        <v>105</v>
      </c>
      <c r="E2807" s="55">
        <v>1</v>
      </c>
      <c r="F2807" s="57" t="s">
        <v>849</v>
      </c>
      <c r="G2807" s="55" t="s">
        <v>2735</v>
      </c>
      <c r="H2807" s="58"/>
      <c r="I2807" s="59"/>
    </row>
    <row r="2808" spans="2:9" x14ac:dyDescent="0.2">
      <c r="B2808" s="54" t="str">
        <f t="shared" si="57"/>
        <v>2010-098-2</v>
      </c>
      <c r="C2808" s="55">
        <v>2010</v>
      </c>
      <c r="D2808" s="55" t="s">
        <v>105</v>
      </c>
      <c r="E2808" s="55">
        <v>2</v>
      </c>
      <c r="F2808" s="57" t="s">
        <v>1171</v>
      </c>
      <c r="G2808" s="55"/>
      <c r="H2808" s="58"/>
      <c r="I2808" s="59"/>
    </row>
    <row r="2809" spans="2:9" x14ac:dyDescent="0.2">
      <c r="B2809" s="54" t="str">
        <f t="shared" si="57"/>
        <v>2010-098-3</v>
      </c>
      <c r="C2809" s="55">
        <v>2010</v>
      </c>
      <c r="D2809" s="55" t="s">
        <v>105</v>
      </c>
      <c r="E2809" s="55">
        <v>3</v>
      </c>
      <c r="F2809" s="57" t="s">
        <v>1476</v>
      </c>
      <c r="G2809" s="55"/>
      <c r="H2809" s="58"/>
      <c r="I2809" s="59"/>
    </row>
    <row r="2810" spans="2:9" x14ac:dyDescent="0.2">
      <c r="B2810" s="54" t="str">
        <f t="shared" si="57"/>
        <v>2010-098-4</v>
      </c>
      <c r="C2810" s="55">
        <v>2010</v>
      </c>
      <c r="D2810" s="55" t="s">
        <v>105</v>
      </c>
      <c r="E2810" s="55">
        <v>4</v>
      </c>
      <c r="F2810" s="57" t="s">
        <v>1780</v>
      </c>
      <c r="G2810" s="55"/>
      <c r="H2810" s="58"/>
      <c r="I2810" s="59"/>
    </row>
    <row r="2811" spans="2:9" ht="27" x14ac:dyDescent="0.2">
      <c r="B2811" s="60" t="str">
        <f t="shared" si="57"/>
        <v>2010-098-5</v>
      </c>
      <c r="C2811" s="61">
        <v>2010</v>
      </c>
      <c r="D2811" s="61" t="s">
        <v>105</v>
      </c>
      <c r="E2811" s="61">
        <v>5</v>
      </c>
      <c r="F2811" s="62" t="s">
        <v>2074</v>
      </c>
      <c r="G2811" s="61"/>
      <c r="H2811" s="63"/>
      <c r="I2811" s="64"/>
    </row>
    <row r="2812" spans="2:9" ht="54" x14ac:dyDescent="0.2">
      <c r="B2812" s="65" t="str">
        <f t="shared" si="57"/>
        <v>2010-099-0</v>
      </c>
      <c r="C2812" s="66">
        <v>2010</v>
      </c>
      <c r="D2812" s="66" t="s">
        <v>106</v>
      </c>
      <c r="E2812" s="66">
        <v>0</v>
      </c>
      <c r="F2812" s="67" t="s">
        <v>523</v>
      </c>
      <c r="G2812" s="66"/>
      <c r="H2812" s="68"/>
      <c r="I2812" s="69"/>
    </row>
    <row r="2813" spans="2:9" x14ac:dyDescent="0.2">
      <c r="B2813" s="54" t="str">
        <f t="shared" si="57"/>
        <v>2010-099-1</v>
      </c>
      <c r="C2813" s="55">
        <v>2010</v>
      </c>
      <c r="D2813" s="55" t="s">
        <v>106</v>
      </c>
      <c r="E2813" s="55">
        <v>1</v>
      </c>
      <c r="F2813" s="57" t="s">
        <v>850</v>
      </c>
      <c r="G2813" s="55"/>
      <c r="H2813" s="58"/>
      <c r="I2813" s="59"/>
    </row>
    <row r="2814" spans="2:9" x14ac:dyDescent="0.2">
      <c r="B2814" s="54" t="str">
        <f t="shared" si="57"/>
        <v>2010-099-2</v>
      </c>
      <c r="C2814" s="55">
        <v>2010</v>
      </c>
      <c r="D2814" s="55" t="s">
        <v>106</v>
      </c>
      <c r="E2814" s="55">
        <v>2</v>
      </c>
      <c r="F2814" s="57" t="s">
        <v>1172</v>
      </c>
      <c r="G2814" s="55"/>
      <c r="H2814" s="58"/>
      <c r="I2814" s="59"/>
    </row>
    <row r="2815" spans="2:9" x14ac:dyDescent="0.2">
      <c r="B2815" s="54" t="str">
        <f t="shared" si="57"/>
        <v>2010-099-3</v>
      </c>
      <c r="C2815" s="55">
        <v>2010</v>
      </c>
      <c r="D2815" s="55" t="s">
        <v>106</v>
      </c>
      <c r="E2815" s="55">
        <v>3</v>
      </c>
      <c r="F2815" s="57" t="s">
        <v>1477</v>
      </c>
      <c r="G2815" s="55" t="s">
        <v>2735</v>
      </c>
      <c r="H2815" s="58"/>
      <c r="I2815" s="59"/>
    </row>
    <row r="2816" spans="2:9" x14ac:dyDescent="0.2">
      <c r="B2816" s="54" t="str">
        <f t="shared" si="57"/>
        <v>2010-099-4</v>
      </c>
      <c r="C2816" s="55">
        <v>2010</v>
      </c>
      <c r="D2816" s="55" t="s">
        <v>106</v>
      </c>
      <c r="E2816" s="55">
        <v>4</v>
      </c>
      <c r="F2816" s="57" t="s">
        <v>1781</v>
      </c>
      <c r="G2816" s="55"/>
      <c r="H2816" s="58"/>
      <c r="I2816" s="59"/>
    </row>
    <row r="2817" spans="2:9" x14ac:dyDescent="0.2">
      <c r="B2817" s="60" t="str">
        <f t="shared" si="57"/>
        <v>2010-099-5</v>
      </c>
      <c r="C2817" s="61">
        <v>2010</v>
      </c>
      <c r="D2817" s="61" t="s">
        <v>106</v>
      </c>
      <c r="E2817" s="61">
        <v>5</v>
      </c>
      <c r="F2817" s="62" t="s">
        <v>2075</v>
      </c>
      <c r="G2817" s="61"/>
      <c r="H2817" s="63"/>
      <c r="I2817" s="64"/>
    </row>
    <row r="2818" spans="2:9" x14ac:dyDescent="0.2">
      <c r="B2818" s="65" t="str">
        <f t="shared" si="57"/>
        <v>2010-100-0</v>
      </c>
      <c r="C2818" s="66">
        <v>2010</v>
      </c>
      <c r="D2818" s="66" t="s">
        <v>107</v>
      </c>
      <c r="E2818" s="66">
        <v>0</v>
      </c>
      <c r="F2818" s="67" t="s">
        <v>524</v>
      </c>
      <c r="G2818" s="66"/>
      <c r="H2818" s="68"/>
      <c r="I2818" s="69"/>
    </row>
    <row r="2819" spans="2:9" x14ac:dyDescent="0.2">
      <c r="B2819" s="54" t="str">
        <f t="shared" si="57"/>
        <v>2010-100-1</v>
      </c>
      <c r="C2819" s="55">
        <v>2010</v>
      </c>
      <c r="D2819" s="55" t="s">
        <v>107</v>
      </c>
      <c r="E2819" s="55">
        <v>1</v>
      </c>
      <c r="F2819" s="57" t="s">
        <v>851</v>
      </c>
      <c r="G2819" s="55" t="s">
        <v>2735</v>
      </c>
      <c r="H2819" s="58"/>
      <c r="I2819" s="59"/>
    </row>
    <row r="2820" spans="2:9" x14ac:dyDescent="0.2">
      <c r="B2820" s="54" t="str">
        <f t="shared" si="57"/>
        <v>2010-100-2</v>
      </c>
      <c r="C2820" s="55">
        <v>2010</v>
      </c>
      <c r="D2820" s="55" t="s">
        <v>107</v>
      </c>
      <c r="E2820" s="55">
        <v>2</v>
      </c>
      <c r="F2820" s="57" t="s">
        <v>1173</v>
      </c>
      <c r="G2820" s="55"/>
      <c r="H2820" s="58"/>
      <c r="I2820" s="59"/>
    </row>
    <row r="2821" spans="2:9" x14ac:dyDescent="0.2">
      <c r="B2821" s="54" t="str">
        <f t="shared" si="57"/>
        <v>2010-100-3</v>
      </c>
      <c r="C2821" s="55">
        <v>2010</v>
      </c>
      <c r="D2821" s="55" t="s">
        <v>107</v>
      </c>
      <c r="E2821" s="55">
        <v>3</v>
      </c>
      <c r="F2821" s="57" t="s">
        <v>1478</v>
      </c>
      <c r="G2821" s="55"/>
      <c r="H2821" s="58"/>
      <c r="I2821" s="59"/>
    </row>
    <row r="2822" spans="2:9" x14ac:dyDescent="0.2">
      <c r="B2822" s="54" t="str">
        <f t="shared" si="57"/>
        <v>2010-100-4</v>
      </c>
      <c r="C2822" s="55">
        <v>2010</v>
      </c>
      <c r="D2822" s="55" t="s">
        <v>107</v>
      </c>
      <c r="E2822" s="55">
        <v>4</v>
      </c>
      <c r="F2822" s="57" t="s">
        <v>1782</v>
      </c>
      <c r="G2822" s="55"/>
      <c r="H2822" s="58"/>
      <c r="I2822" s="59"/>
    </row>
    <row r="2823" spans="2:9" ht="14.25" thickBot="1" x14ac:dyDescent="0.25">
      <c r="B2823" s="70" t="str">
        <f t="shared" si="57"/>
        <v>2010-100-5</v>
      </c>
      <c r="C2823" s="71">
        <v>2010</v>
      </c>
      <c r="D2823" s="71" t="s">
        <v>107</v>
      </c>
      <c r="E2823" s="71">
        <v>5</v>
      </c>
      <c r="F2823" s="72" t="s">
        <v>2076</v>
      </c>
      <c r="G2823" s="71"/>
      <c r="H2823" s="73"/>
      <c r="I2823" s="74"/>
    </row>
    <row r="2824" spans="2:9" x14ac:dyDescent="0.2">
      <c r="B2824" s="48" t="str">
        <f t="shared" ref="B2824:B2872" si="58">C2824&amp;"-"&amp;D2824&amp;"-"&amp;E2824</f>
        <v>2009-076-0</v>
      </c>
      <c r="C2824" s="49">
        <v>2009</v>
      </c>
      <c r="D2824" s="49" t="s">
        <v>78</v>
      </c>
      <c r="E2824" s="49">
        <v>0</v>
      </c>
      <c r="F2824" s="51" t="s">
        <v>108</v>
      </c>
      <c r="G2824" s="49"/>
      <c r="H2824" s="52"/>
      <c r="I2824" s="53"/>
    </row>
    <row r="2825" spans="2:9" x14ac:dyDescent="0.2">
      <c r="B2825" s="54" t="str">
        <f t="shared" si="58"/>
        <v>2009-076-1</v>
      </c>
      <c r="C2825" s="55">
        <v>2009</v>
      </c>
      <c r="D2825" s="55" t="s">
        <v>78</v>
      </c>
      <c r="E2825" s="55">
        <v>1</v>
      </c>
      <c r="F2825" s="57" t="s">
        <v>108</v>
      </c>
      <c r="G2825" s="55"/>
      <c r="H2825" s="58"/>
      <c r="I2825" s="59"/>
    </row>
    <row r="2826" spans="2:9" x14ac:dyDescent="0.2">
      <c r="B2826" s="54" t="str">
        <f t="shared" si="58"/>
        <v>2009-076-2</v>
      </c>
      <c r="C2826" s="55">
        <v>2009</v>
      </c>
      <c r="D2826" s="55" t="s">
        <v>78</v>
      </c>
      <c r="E2826" s="55">
        <v>2</v>
      </c>
      <c r="F2826" s="57" t="s">
        <v>108</v>
      </c>
      <c r="G2826" s="55"/>
      <c r="H2826" s="58"/>
      <c r="I2826" s="59"/>
    </row>
    <row r="2827" spans="2:9" x14ac:dyDescent="0.2">
      <c r="B2827" s="54" t="str">
        <f t="shared" si="58"/>
        <v>2009-076-3</v>
      </c>
      <c r="C2827" s="55">
        <v>2009</v>
      </c>
      <c r="D2827" s="55" t="s">
        <v>78</v>
      </c>
      <c r="E2827" s="55">
        <v>3</v>
      </c>
      <c r="F2827" s="57" t="s">
        <v>108</v>
      </c>
      <c r="G2827" s="55"/>
      <c r="H2827" s="58"/>
      <c r="I2827" s="59"/>
    </row>
    <row r="2828" spans="2:9" x14ac:dyDescent="0.2">
      <c r="B2828" s="54" t="str">
        <f t="shared" si="58"/>
        <v>2009-076-4</v>
      </c>
      <c r="C2828" s="55">
        <v>2009</v>
      </c>
      <c r="D2828" s="55" t="s">
        <v>78</v>
      </c>
      <c r="E2828" s="55">
        <v>4</v>
      </c>
      <c r="F2828" s="57" t="s">
        <v>108</v>
      </c>
      <c r="G2828" s="55"/>
      <c r="H2828" s="58"/>
      <c r="I2828" s="59"/>
    </row>
    <row r="2829" spans="2:9" x14ac:dyDescent="0.2">
      <c r="B2829" s="60" t="str">
        <f t="shared" si="58"/>
        <v>2009-076-5</v>
      </c>
      <c r="C2829" s="61">
        <v>2009</v>
      </c>
      <c r="D2829" s="61" t="s">
        <v>78</v>
      </c>
      <c r="E2829" s="61">
        <v>5</v>
      </c>
      <c r="F2829" s="62" t="s">
        <v>108</v>
      </c>
      <c r="G2829" s="61"/>
      <c r="H2829" s="63"/>
      <c r="I2829" s="64"/>
    </row>
    <row r="2830" spans="2:9" x14ac:dyDescent="0.2">
      <c r="B2830" s="65" t="str">
        <f t="shared" si="58"/>
        <v>2009-077-0</v>
      </c>
      <c r="C2830" s="66">
        <v>2009</v>
      </c>
      <c r="D2830" s="66" t="s">
        <v>79</v>
      </c>
      <c r="E2830" s="66">
        <v>0</v>
      </c>
      <c r="F2830" s="67" t="s">
        <v>109</v>
      </c>
      <c r="G2830" s="66"/>
      <c r="H2830" s="68"/>
      <c r="I2830" s="69"/>
    </row>
    <row r="2831" spans="2:9" x14ac:dyDescent="0.2">
      <c r="B2831" s="54" t="str">
        <f t="shared" si="58"/>
        <v>2009-077-1</v>
      </c>
      <c r="C2831" s="55">
        <v>2009</v>
      </c>
      <c r="D2831" s="55" t="s">
        <v>79</v>
      </c>
      <c r="E2831" s="55">
        <v>1</v>
      </c>
      <c r="F2831" s="57" t="s">
        <v>109</v>
      </c>
      <c r="G2831" s="55"/>
      <c r="H2831" s="58"/>
      <c r="I2831" s="59"/>
    </row>
    <row r="2832" spans="2:9" x14ac:dyDescent="0.2">
      <c r="B2832" s="54" t="str">
        <f t="shared" si="58"/>
        <v>2009-077-2</v>
      </c>
      <c r="C2832" s="55">
        <v>2009</v>
      </c>
      <c r="D2832" s="55" t="s">
        <v>79</v>
      </c>
      <c r="E2832" s="55">
        <v>2</v>
      </c>
      <c r="F2832" s="57" t="s">
        <v>109</v>
      </c>
      <c r="G2832" s="55"/>
      <c r="H2832" s="58"/>
      <c r="I2832" s="59"/>
    </row>
    <row r="2833" spans="2:9" x14ac:dyDescent="0.2">
      <c r="B2833" s="54" t="str">
        <f t="shared" si="58"/>
        <v>2009-077-3</v>
      </c>
      <c r="C2833" s="55">
        <v>2009</v>
      </c>
      <c r="D2833" s="55" t="s">
        <v>79</v>
      </c>
      <c r="E2833" s="55">
        <v>3</v>
      </c>
      <c r="F2833" s="57" t="s">
        <v>109</v>
      </c>
      <c r="G2833" s="55"/>
      <c r="H2833" s="58"/>
      <c r="I2833" s="59"/>
    </row>
    <row r="2834" spans="2:9" x14ac:dyDescent="0.2">
      <c r="B2834" s="54" t="str">
        <f t="shared" si="58"/>
        <v>2009-077-4</v>
      </c>
      <c r="C2834" s="55">
        <v>2009</v>
      </c>
      <c r="D2834" s="55" t="s">
        <v>79</v>
      </c>
      <c r="E2834" s="55">
        <v>4</v>
      </c>
      <c r="F2834" s="57" t="s">
        <v>109</v>
      </c>
      <c r="G2834" s="55"/>
      <c r="H2834" s="58"/>
      <c r="I2834" s="59"/>
    </row>
    <row r="2835" spans="2:9" x14ac:dyDescent="0.2">
      <c r="B2835" s="60" t="str">
        <f t="shared" si="58"/>
        <v>2009-077-5</v>
      </c>
      <c r="C2835" s="61">
        <v>2009</v>
      </c>
      <c r="D2835" s="61" t="s">
        <v>79</v>
      </c>
      <c r="E2835" s="61">
        <v>5</v>
      </c>
      <c r="F2835" s="62" t="s">
        <v>109</v>
      </c>
      <c r="G2835" s="61"/>
      <c r="H2835" s="63"/>
      <c r="I2835" s="64"/>
    </row>
    <row r="2836" spans="2:9" x14ac:dyDescent="0.2">
      <c r="B2836" s="65" t="str">
        <f t="shared" si="58"/>
        <v>2009-078-0</v>
      </c>
      <c r="C2836" s="66">
        <v>2009</v>
      </c>
      <c r="D2836" s="66" t="s">
        <v>80</v>
      </c>
      <c r="E2836" s="66">
        <v>0</v>
      </c>
      <c r="F2836" s="67" t="s">
        <v>110</v>
      </c>
      <c r="G2836" s="66"/>
      <c r="H2836" s="68"/>
      <c r="I2836" s="69"/>
    </row>
    <row r="2837" spans="2:9" x14ac:dyDescent="0.2">
      <c r="B2837" s="54" t="str">
        <f t="shared" si="58"/>
        <v>2009-078-1</v>
      </c>
      <c r="C2837" s="55">
        <v>2009</v>
      </c>
      <c r="D2837" s="55" t="s">
        <v>80</v>
      </c>
      <c r="E2837" s="55">
        <v>1</v>
      </c>
      <c r="F2837" s="57" t="s">
        <v>110</v>
      </c>
      <c r="G2837" s="55"/>
      <c r="H2837" s="58"/>
      <c r="I2837" s="59"/>
    </row>
    <row r="2838" spans="2:9" x14ac:dyDescent="0.2">
      <c r="B2838" s="54" t="str">
        <f t="shared" si="58"/>
        <v>2009-078-2</v>
      </c>
      <c r="C2838" s="55">
        <v>2009</v>
      </c>
      <c r="D2838" s="55" t="s">
        <v>80</v>
      </c>
      <c r="E2838" s="55">
        <v>2</v>
      </c>
      <c r="F2838" s="57" t="s">
        <v>110</v>
      </c>
      <c r="G2838" s="55"/>
      <c r="H2838" s="58"/>
      <c r="I2838" s="59"/>
    </row>
    <row r="2839" spans="2:9" x14ac:dyDescent="0.2">
      <c r="B2839" s="54" t="str">
        <f t="shared" si="58"/>
        <v>2009-078-3</v>
      </c>
      <c r="C2839" s="55">
        <v>2009</v>
      </c>
      <c r="D2839" s="55" t="s">
        <v>80</v>
      </c>
      <c r="E2839" s="55">
        <v>3</v>
      </c>
      <c r="F2839" s="57" t="s">
        <v>110</v>
      </c>
      <c r="G2839" s="55"/>
      <c r="H2839" s="58"/>
      <c r="I2839" s="59"/>
    </row>
    <row r="2840" spans="2:9" x14ac:dyDescent="0.2">
      <c r="B2840" s="54" t="str">
        <f t="shared" si="58"/>
        <v>2009-078-4</v>
      </c>
      <c r="C2840" s="55">
        <v>2009</v>
      </c>
      <c r="D2840" s="55" t="s">
        <v>80</v>
      </c>
      <c r="E2840" s="55">
        <v>4</v>
      </c>
      <c r="F2840" s="57" t="s">
        <v>110</v>
      </c>
      <c r="G2840" s="55"/>
      <c r="H2840" s="58"/>
      <c r="I2840" s="59"/>
    </row>
    <row r="2841" spans="2:9" x14ac:dyDescent="0.2">
      <c r="B2841" s="60" t="str">
        <f t="shared" si="58"/>
        <v>2009-078-5</v>
      </c>
      <c r="C2841" s="61">
        <v>2009</v>
      </c>
      <c r="D2841" s="61" t="s">
        <v>80</v>
      </c>
      <c r="E2841" s="61">
        <v>5</v>
      </c>
      <c r="F2841" s="62" t="s">
        <v>110</v>
      </c>
      <c r="G2841" s="61"/>
      <c r="H2841" s="63"/>
      <c r="I2841" s="64"/>
    </row>
    <row r="2842" spans="2:9" x14ac:dyDescent="0.2">
      <c r="B2842" s="65" t="str">
        <f t="shared" si="58"/>
        <v>2009-079-0</v>
      </c>
      <c r="C2842" s="66">
        <v>2009</v>
      </c>
      <c r="D2842" s="66" t="s">
        <v>81</v>
      </c>
      <c r="E2842" s="66">
        <v>0</v>
      </c>
      <c r="F2842" s="67" t="s">
        <v>111</v>
      </c>
      <c r="G2842" s="66"/>
      <c r="H2842" s="68"/>
      <c r="I2842" s="69"/>
    </row>
    <row r="2843" spans="2:9" x14ac:dyDescent="0.2">
      <c r="B2843" s="54" t="str">
        <f t="shared" si="58"/>
        <v>2009-079-1</v>
      </c>
      <c r="C2843" s="55">
        <v>2009</v>
      </c>
      <c r="D2843" s="55" t="s">
        <v>81</v>
      </c>
      <c r="E2843" s="55">
        <v>1</v>
      </c>
      <c r="F2843" s="57" t="s">
        <v>111</v>
      </c>
      <c r="G2843" s="55"/>
      <c r="H2843" s="58"/>
      <c r="I2843" s="59"/>
    </row>
    <row r="2844" spans="2:9" x14ac:dyDescent="0.2">
      <c r="B2844" s="54" t="str">
        <f t="shared" si="58"/>
        <v>2009-079-2</v>
      </c>
      <c r="C2844" s="55">
        <v>2009</v>
      </c>
      <c r="D2844" s="55" t="s">
        <v>81</v>
      </c>
      <c r="E2844" s="55">
        <v>2</v>
      </c>
      <c r="F2844" s="57" t="s">
        <v>111</v>
      </c>
      <c r="G2844" s="55"/>
      <c r="H2844" s="58"/>
      <c r="I2844" s="59"/>
    </row>
    <row r="2845" spans="2:9" x14ac:dyDescent="0.2">
      <c r="B2845" s="54" t="str">
        <f t="shared" si="58"/>
        <v>2009-079-3</v>
      </c>
      <c r="C2845" s="55">
        <v>2009</v>
      </c>
      <c r="D2845" s="55" t="s">
        <v>81</v>
      </c>
      <c r="E2845" s="55">
        <v>3</v>
      </c>
      <c r="F2845" s="57" t="s">
        <v>111</v>
      </c>
      <c r="G2845" s="55"/>
      <c r="H2845" s="58"/>
      <c r="I2845" s="59"/>
    </row>
    <row r="2846" spans="2:9" x14ac:dyDescent="0.2">
      <c r="B2846" s="54" t="str">
        <f t="shared" si="58"/>
        <v>2009-079-4</v>
      </c>
      <c r="C2846" s="55">
        <v>2009</v>
      </c>
      <c r="D2846" s="55" t="s">
        <v>81</v>
      </c>
      <c r="E2846" s="55">
        <v>4</v>
      </c>
      <c r="F2846" s="57" t="s">
        <v>111</v>
      </c>
      <c r="G2846" s="55"/>
      <c r="H2846" s="58"/>
      <c r="I2846" s="59"/>
    </row>
    <row r="2847" spans="2:9" x14ac:dyDescent="0.2">
      <c r="B2847" s="60" t="str">
        <f t="shared" si="58"/>
        <v>2009-079-5</v>
      </c>
      <c r="C2847" s="61">
        <v>2009</v>
      </c>
      <c r="D2847" s="61" t="s">
        <v>81</v>
      </c>
      <c r="E2847" s="61">
        <v>5</v>
      </c>
      <c r="F2847" s="62" t="s">
        <v>111</v>
      </c>
      <c r="G2847" s="61"/>
      <c r="H2847" s="63"/>
      <c r="I2847" s="64"/>
    </row>
    <row r="2848" spans="2:9" x14ac:dyDescent="0.2">
      <c r="B2848" s="65" t="str">
        <f t="shared" si="58"/>
        <v>2009-080-0</v>
      </c>
      <c r="C2848" s="66">
        <v>2009</v>
      </c>
      <c r="D2848" s="66" t="s">
        <v>82</v>
      </c>
      <c r="E2848" s="66">
        <v>0</v>
      </c>
      <c r="F2848" s="67" t="s">
        <v>112</v>
      </c>
      <c r="G2848" s="66"/>
      <c r="H2848" s="68"/>
      <c r="I2848" s="69"/>
    </row>
    <row r="2849" spans="2:9" x14ac:dyDescent="0.2">
      <c r="B2849" s="54" t="str">
        <f t="shared" si="58"/>
        <v>2009-080-1</v>
      </c>
      <c r="C2849" s="55">
        <v>2009</v>
      </c>
      <c r="D2849" s="55" t="s">
        <v>82</v>
      </c>
      <c r="E2849" s="55">
        <v>1</v>
      </c>
      <c r="F2849" s="57" t="s">
        <v>112</v>
      </c>
      <c r="G2849" s="55"/>
      <c r="H2849" s="58"/>
      <c r="I2849" s="59"/>
    </row>
    <row r="2850" spans="2:9" x14ac:dyDescent="0.2">
      <c r="B2850" s="54" t="str">
        <f t="shared" si="58"/>
        <v>2009-080-2</v>
      </c>
      <c r="C2850" s="55">
        <v>2009</v>
      </c>
      <c r="D2850" s="55" t="s">
        <v>82</v>
      </c>
      <c r="E2850" s="55">
        <v>2</v>
      </c>
      <c r="F2850" s="57" t="s">
        <v>112</v>
      </c>
      <c r="G2850" s="55"/>
      <c r="H2850" s="58"/>
      <c r="I2850" s="59"/>
    </row>
    <row r="2851" spans="2:9" x14ac:dyDescent="0.2">
      <c r="B2851" s="54" t="str">
        <f t="shared" si="58"/>
        <v>2009-080-3</v>
      </c>
      <c r="C2851" s="55">
        <v>2009</v>
      </c>
      <c r="D2851" s="55" t="s">
        <v>82</v>
      </c>
      <c r="E2851" s="55">
        <v>3</v>
      </c>
      <c r="F2851" s="57" t="s">
        <v>112</v>
      </c>
      <c r="G2851" s="55"/>
      <c r="H2851" s="58"/>
      <c r="I2851" s="59"/>
    </row>
    <row r="2852" spans="2:9" x14ac:dyDescent="0.2">
      <c r="B2852" s="54" t="str">
        <f t="shared" si="58"/>
        <v>2009-080-4</v>
      </c>
      <c r="C2852" s="55">
        <v>2009</v>
      </c>
      <c r="D2852" s="55" t="s">
        <v>82</v>
      </c>
      <c r="E2852" s="55">
        <v>4</v>
      </c>
      <c r="F2852" s="57" t="s">
        <v>112</v>
      </c>
      <c r="G2852" s="55"/>
      <c r="H2852" s="58"/>
      <c r="I2852" s="59"/>
    </row>
    <row r="2853" spans="2:9" x14ac:dyDescent="0.2">
      <c r="B2853" s="60" t="str">
        <f t="shared" si="58"/>
        <v>2009-080-5</v>
      </c>
      <c r="C2853" s="61">
        <v>2009</v>
      </c>
      <c r="D2853" s="61" t="s">
        <v>82</v>
      </c>
      <c r="E2853" s="61">
        <v>5</v>
      </c>
      <c r="F2853" s="62" t="s">
        <v>112</v>
      </c>
      <c r="G2853" s="61"/>
      <c r="H2853" s="63"/>
      <c r="I2853" s="64"/>
    </row>
    <row r="2854" spans="2:9" x14ac:dyDescent="0.2">
      <c r="B2854" s="65" t="str">
        <f t="shared" si="58"/>
        <v>2009-081-0</v>
      </c>
      <c r="C2854" s="66">
        <v>2009</v>
      </c>
      <c r="D2854" s="66" t="s">
        <v>88</v>
      </c>
      <c r="E2854" s="66">
        <v>0</v>
      </c>
      <c r="F2854" s="67" t="s">
        <v>113</v>
      </c>
      <c r="G2854" s="66"/>
      <c r="H2854" s="68"/>
      <c r="I2854" s="69"/>
    </row>
    <row r="2855" spans="2:9" x14ac:dyDescent="0.2">
      <c r="B2855" s="54" t="str">
        <f t="shared" si="58"/>
        <v>2009-081-1</v>
      </c>
      <c r="C2855" s="55">
        <v>2009</v>
      </c>
      <c r="D2855" s="55" t="s">
        <v>88</v>
      </c>
      <c r="E2855" s="55">
        <v>1</v>
      </c>
      <c r="F2855" s="57" t="s">
        <v>113</v>
      </c>
      <c r="G2855" s="55"/>
      <c r="H2855" s="58"/>
      <c r="I2855" s="59"/>
    </row>
    <row r="2856" spans="2:9" x14ac:dyDescent="0.2">
      <c r="B2856" s="54" t="str">
        <f t="shared" si="58"/>
        <v>2009-081-2</v>
      </c>
      <c r="C2856" s="55">
        <v>2009</v>
      </c>
      <c r="D2856" s="55" t="s">
        <v>88</v>
      </c>
      <c r="E2856" s="55">
        <v>2</v>
      </c>
      <c r="F2856" s="57" t="s">
        <v>113</v>
      </c>
      <c r="G2856" s="55"/>
      <c r="H2856" s="58"/>
      <c r="I2856" s="59"/>
    </row>
    <row r="2857" spans="2:9" x14ac:dyDescent="0.2">
      <c r="B2857" s="54" t="str">
        <f t="shared" si="58"/>
        <v>2009-081-3</v>
      </c>
      <c r="C2857" s="55">
        <v>2009</v>
      </c>
      <c r="D2857" s="55" t="s">
        <v>88</v>
      </c>
      <c r="E2857" s="55">
        <v>3</v>
      </c>
      <c r="F2857" s="57" t="s">
        <v>113</v>
      </c>
      <c r="G2857" s="55"/>
      <c r="H2857" s="58"/>
      <c r="I2857" s="59"/>
    </row>
    <row r="2858" spans="2:9" x14ac:dyDescent="0.2">
      <c r="B2858" s="54" t="str">
        <f t="shared" si="58"/>
        <v>2009-081-4</v>
      </c>
      <c r="C2858" s="55">
        <v>2009</v>
      </c>
      <c r="D2858" s="55" t="s">
        <v>88</v>
      </c>
      <c r="E2858" s="55">
        <v>4</v>
      </c>
      <c r="F2858" s="57" t="s">
        <v>113</v>
      </c>
      <c r="G2858" s="55"/>
      <c r="H2858" s="58"/>
      <c r="I2858" s="59"/>
    </row>
    <row r="2859" spans="2:9" x14ac:dyDescent="0.2">
      <c r="B2859" s="60" t="str">
        <f t="shared" si="58"/>
        <v>2009-081-5</v>
      </c>
      <c r="C2859" s="61">
        <v>2009</v>
      </c>
      <c r="D2859" s="61" t="s">
        <v>88</v>
      </c>
      <c r="E2859" s="61">
        <v>5</v>
      </c>
      <c r="F2859" s="62" t="s">
        <v>113</v>
      </c>
      <c r="G2859" s="61"/>
      <c r="H2859" s="63"/>
      <c r="I2859" s="64"/>
    </row>
    <row r="2860" spans="2:9" x14ac:dyDescent="0.2">
      <c r="B2860" s="65" t="str">
        <f t="shared" si="58"/>
        <v>2009-082-0</v>
      </c>
      <c r="C2860" s="66">
        <v>2009</v>
      </c>
      <c r="D2860" s="66" t="s">
        <v>89</v>
      </c>
      <c r="E2860" s="66">
        <v>0</v>
      </c>
      <c r="F2860" s="67" t="s">
        <v>114</v>
      </c>
      <c r="G2860" s="66"/>
      <c r="H2860" s="68"/>
      <c r="I2860" s="69"/>
    </row>
    <row r="2861" spans="2:9" x14ac:dyDescent="0.2">
      <c r="B2861" s="54" t="str">
        <f t="shared" si="58"/>
        <v>2009-082-1</v>
      </c>
      <c r="C2861" s="55">
        <v>2009</v>
      </c>
      <c r="D2861" s="55" t="s">
        <v>89</v>
      </c>
      <c r="E2861" s="55">
        <v>1</v>
      </c>
      <c r="F2861" s="57" t="s">
        <v>114</v>
      </c>
      <c r="G2861" s="55"/>
      <c r="H2861" s="58"/>
      <c r="I2861" s="59"/>
    </row>
    <row r="2862" spans="2:9" x14ac:dyDescent="0.2">
      <c r="B2862" s="54" t="str">
        <f t="shared" si="58"/>
        <v>2009-082-2</v>
      </c>
      <c r="C2862" s="55">
        <v>2009</v>
      </c>
      <c r="D2862" s="55" t="s">
        <v>89</v>
      </c>
      <c r="E2862" s="55">
        <v>2</v>
      </c>
      <c r="F2862" s="57" t="s">
        <v>114</v>
      </c>
      <c r="G2862" s="55"/>
      <c r="H2862" s="58"/>
      <c r="I2862" s="59"/>
    </row>
    <row r="2863" spans="2:9" x14ac:dyDescent="0.2">
      <c r="B2863" s="54" t="str">
        <f t="shared" si="58"/>
        <v>2009-082-3</v>
      </c>
      <c r="C2863" s="55">
        <v>2009</v>
      </c>
      <c r="D2863" s="55" t="s">
        <v>89</v>
      </c>
      <c r="E2863" s="55">
        <v>3</v>
      </c>
      <c r="F2863" s="57" t="s">
        <v>114</v>
      </c>
      <c r="G2863" s="55"/>
      <c r="H2863" s="58"/>
      <c r="I2863" s="59"/>
    </row>
    <row r="2864" spans="2:9" x14ac:dyDescent="0.2">
      <c r="B2864" s="54" t="str">
        <f t="shared" si="58"/>
        <v>2009-082-4</v>
      </c>
      <c r="C2864" s="55">
        <v>2009</v>
      </c>
      <c r="D2864" s="55" t="s">
        <v>89</v>
      </c>
      <c r="E2864" s="55">
        <v>4</v>
      </c>
      <c r="F2864" s="57" t="s">
        <v>114</v>
      </c>
      <c r="G2864" s="55"/>
      <c r="H2864" s="58"/>
      <c r="I2864" s="59"/>
    </row>
    <row r="2865" spans="2:9" x14ac:dyDescent="0.2">
      <c r="B2865" s="60" t="str">
        <f t="shared" si="58"/>
        <v>2009-082-5</v>
      </c>
      <c r="C2865" s="61">
        <v>2009</v>
      </c>
      <c r="D2865" s="61" t="s">
        <v>89</v>
      </c>
      <c r="E2865" s="61">
        <v>5</v>
      </c>
      <c r="F2865" s="62" t="s">
        <v>114</v>
      </c>
      <c r="G2865" s="61"/>
      <c r="H2865" s="63"/>
      <c r="I2865" s="64"/>
    </row>
    <row r="2866" spans="2:9" x14ac:dyDescent="0.2">
      <c r="B2866" s="65" t="str">
        <f t="shared" si="58"/>
        <v>2009-083-0</v>
      </c>
      <c r="C2866" s="66">
        <v>2009</v>
      </c>
      <c r="D2866" s="66" t="s">
        <v>90</v>
      </c>
      <c r="E2866" s="66">
        <v>0</v>
      </c>
      <c r="F2866" s="67" t="s">
        <v>115</v>
      </c>
      <c r="G2866" s="66"/>
      <c r="H2866" s="68"/>
      <c r="I2866" s="69"/>
    </row>
    <row r="2867" spans="2:9" x14ac:dyDescent="0.2">
      <c r="B2867" s="54" t="str">
        <f t="shared" si="58"/>
        <v>2009-083-1</v>
      </c>
      <c r="C2867" s="55">
        <v>2009</v>
      </c>
      <c r="D2867" s="55" t="s">
        <v>90</v>
      </c>
      <c r="E2867" s="55">
        <v>1</v>
      </c>
      <c r="F2867" s="57" t="s">
        <v>115</v>
      </c>
      <c r="G2867" s="55"/>
      <c r="H2867" s="58"/>
      <c r="I2867" s="59"/>
    </row>
    <row r="2868" spans="2:9" x14ac:dyDescent="0.2">
      <c r="B2868" s="54" t="str">
        <f t="shared" si="58"/>
        <v>2009-083-2</v>
      </c>
      <c r="C2868" s="55">
        <v>2009</v>
      </c>
      <c r="D2868" s="55" t="s">
        <v>90</v>
      </c>
      <c r="E2868" s="55">
        <v>2</v>
      </c>
      <c r="F2868" s="57" t="s">
        <v>115</v>
      </c>
      <c r="G2868" s="55"/>
      <c r="H2868" s="58"/>
      <c r="I2868" s="59"/>
    </row>
    <row r="2869" spans="2:9" x14ac:dyDescent="0.2">
      <c r="B2869" s="54" t="str">
        <f t="shared" si="58"/>
        <v>2009-083-3</v>
      </c>
      <c r="C2869" s="55">
        <v>2009</v>
      </c>
      <c r="D2869" s="55" t="s">
        <v>90</v>
      </c>
      <c r="E2869" s="55">
        <v>3</v>
      </c>
      <c r="F2869" s="57" t="s">
        <v>115</v>
      </c>
      <c r="G2869" s="55"/>
      <c r="H2869" s="58"/>
      <c r="I2869" s="59"/>
    </row>
    <row r="2870" spans="2:9" x14ac:dyDescent="0.2">
      <c r="B2870" s="54" t="str">
        <f t="shared" si="58"/>
        <v>2009-083-4</v>
      </c>
      <c r="C2870" s="55">
        <v>2009</v>
      </c>
      <c r="D2870" s="55" t="s">
        <v>90</v>
      </c>
      <c r="E2870" s="55">
        <v>4</v>
      </c>
      <c r="F2870" s="57" t="s">
        <v>115</v>
      </c>
      <c r="G2870" s="55"/>
      <c r="H2870" s="58"/>
      <c r="I2870" s="59"/>
    </row>
    <row r="2871" spans="2:9" x14ac:dyDescent="0.2">
      <c r="B2871" s="60" t="str">
        <f t="shared" si="58"/>
        <v>2009-083-5</v>
      </c>
      <c r="C2871" s="61">
        <v>2009</v>
      </c>
      <c r="D2871" s="61" t="s">
        <v>90</v>
      </c>
      <c r="E2871" s="61">
        <v>5</v>
      </c>
      <c r="F2871" s="62" t="s">
        <v>115</v>
      </c>
      <c r="G2871" s="61"/>
      <c r="H2871" s="63"/>
      <c r="I2871" s="64"/>
    </row>
    <row r="2872" spans="2:9" x14ac:dyDescent="0.2">
      <c r="B2872" s="65" t="str">
        <f t="shared" si="58"/>
        <v>2009-084-0</v>
      </c>
      <c r="C2872" s="66">
        <v>2009</v>
      </c>
      <c r="D2872" s="66" t="s">
        <v>91</v>
      </c>
      <c r="E2872" s="66">
        <v>0</v>
      </c>
      <c r="F2872" s="67" t="s">
        <v>116</v>
      </c>
      <c r="G2872" s="66"/>
      <c r="H2872" s="68"/>
      <c r="I2872" s="69"/>
    </row>
    <row r="2873" spans="2:9" x14ac:dyDescent="0.2">
      <c r="B2873" s="54" t="str">
        <f t="shared" ref="B2873:B2936" si="59">C2873&amp;"-"&amp;D2873&amp;"-"&amp;E2873</f>
        <v>2009-084-1</v>
      </c>
      <c r="C2873" s="55">
        <v>2009</v>
      </c>
      <c r="D2873" s="55" t="s">
        <v>91</v>
      </c>
      <c r="E2873" s="55">
        <v>1</v>
      </c>
      <c r="F2873" s="57" t="s">
        <v>116</v>
      </c>
      <c r="G2873" s="55"/>
      <c r="H2873" s="58"/>
      <c r="I2873" s="59"/>
    </row>
    <row r="2874" spans="2:9" x14ac:dyDescent="0.2">
      <c r="B2874" s="54" t="str">
        <f t="shared" si="59"/>
        <v>2009-084-2</v>
      </c>
      <c r="C2874" s="55">
        <v>2009</v>
      </c>
      <c r="D2874" s="55" t="s">
        <v>91</v>
      </c>
      <c r="E2874" s="55">
        <v>2</v>
      </c>
      <c r="F2874" s="57" t="s">
        <v>116</v>
      </c>
      <c r="G2874" s="55"/>
      <c r="H2874" s="58"/>
      <c r="I2874" s="59"/>
    </row>
    <row r="2875" spans="2:9" x14ac:dyDescent="0.2">
      <c r="B2875" s="54" t="str">
        <f t="shared" si="59"/>
        <v>2009-084-3</v>
      </c>
      <c r="C2875" s="55">
        <v>2009</v>
      </c>
      <c r="D2875" s="55" t="s">
        <v>91</v>
      </c>
      <c r="E2875" s="55">
        <v>3</v>
      </c>
      <c r="F2875" s="57" t="s">
        <v>116</v>
      </c>
      <c r="G2875" s="55"/>
      <c r="H2875" s="58"/>
      <c r="I2875" s="59"/>
    </row>
    <row r="2876" spans="2:9" x14ac:dyDescent="0.2">
      <c r="B2876" s="54" t="str">
        <f t="shared" si="59"/>
        <v>2009-084-4</v>
      </c>
      <c r="C2876" s="55">
        <v>2009</v>
      </c>
      <c r="D2876" s="55" t="s">
        <v>91</v>
      </c>
      <c r="E2876" s="55">
        <v>4</v>
      </c>
      <c r="F2876" s="57" t="s">
        <v>116</v>
      </c>
      <c r="G2876" s="55"/>
      <c r="H2876" s="58"/>
      <c r="I2876" s="59"/>
    </row>
    <row r="2877" spans="2:9" x14ac:dyDescent="0.2">
      <c r="B2877" s="60" t="str">
        <f t="shared" si="59"/>
        <v>2009-084-5</v>
      </c>
      <c r="C2877" s="61">
        <v>2009</v>
      </c>
      <c r="D2877" s="61" t="s">
        <v>91</v>
      </c>
      <c r="E2877" s="61">
        <v>5</v>
      </c>
      <c r="F2877" s="62" t="s">
        <v>116</v>
      </c>
      <c r="G2877" s="61"/>
      <c r="H2877" s="63"/>
      <c r="I2877" s="64"/>
    </row>
    <row r="2878" spans="2:9" x14ac:dyDescent="0.2">
      <c r="B2878" s="65" t="str">
        <f t="shared" si="59"/>
        <v>2009-085-0</v>
      </c>
      <c r="C2878" s="66">
        <v>2009</v>
      </c>
      <c r="D2878" s="66" t="s">
        <v>92</v>
      </c>
      <c r="E2878" s="66">
        <v>0</v>
      </c>
      <c r="F2878" s="67" t="s">
        <v>117</v>
      </c>
      <c r="G2878" s="66"/>
      <c r="H2878" s="68"/>
      <c r="I2878" s="69"/>
    </row>
    <row r="2879" spans="2:9" x14ac:dyDescent="0.2">
      <c r="B2879" s="54" t="str">
        <f t="shared" si="59"/>
        <v>2009-085-1</v>
      </c>
      <c r="C2879" s="55">
        <v>2009</v>
      </c>
      <c r="D2879" s="55" t="s">
        <v>92</v>
      </c>
      <c r="E2879" s="55">
        <v>1</v>
      </c>
      <c r="F2879" s="57" t="s">
        <v>117</v>
      </c>
      <c r="G2879" s="55"/>
      <c r="H2879" s="58"/>
      <c r="I2879" s="59"/>
    </row>
    <row r="2880" spans="2:9" x14ac:dyDescent="0.2">
      <c r="B2880" s="54" t="str">
        <f t="shared" si="59"/>
        <v>2009-085-2</v>
      </c>
      <c r="C2880" s="55">
        <v>2009</v>
      </c>
      <c r="D2880" s="55" t="s">
        <v>92</v>
      </c>
      <c r="E2880" s="55">
        <v>2</v>
      </c>
      <c r="F2880" s="57" t="s">
        <v>117</v>
      </c>
      <c r="G2880" s="55"/>
      <c r="H2880" s="58"/>
      <c r="I2880" s="59"/>
    </row>
    <row r="2881" spans="2:9" x14ac:dyDescent="0.2">
      <c r="B2881" s="54" t="str">
        <f t="shared" si="59"/>
        <v>2009-085-3</v>
      </c>
      <c r="C2881" s="55">
        <v>2009</v>
      </c>
      <c r="D2881" s="55" t="s">
        <v>92</v>
      </c>
      <c r="E2881" s="55">
        <v>3</v>
      </c>
      <c r="F2881" s="57" t="s">
        <v>117</v>
      </c>
      <c r="G2881" s="55"/>
      <c r="H2881" s="58"/>
      <c r="I2881" s="59"/>
    </row>
    <row r="2882" spans="2:9" x14ac:dyDescent="0.2">
      <c r="B2882" s="54" t="str">
        <f t="shared" si="59"/>
        <v>2009-085-4</v>
      </c>
      <c r="C2882" s="55">
        <v>2009</v>
      </c>
      <c r="D2882" s="55" t="s">
        <v>92</v>
      </c>
      <c r="E2882" s="55">
        <v>4</v>
      </c>
      <c r="F2882" s="57" t="s">
        <v>117</v>
      </c>
      <c r="G2882" s="55"/>
      <c r="H2882" s="58"/>
      <c r="I2882" s="59"/>
    </row>
    <row r="2883" spans="2:9" x14ac:dyDescent="0.2">
      <c r="B2883" s="60" t="str">
        <f t="shared" si="59"/>
        <v>2009-085-5</v>
      </c>
      <c r="C2883" s="61">
        <v>2009</v>
      </c>
      <c r="D2883" s="61" t="s">
        <v>92</v>
      </c>
      <c r="E2883" s="61">
        <v>5</v>
      </c>
      <c r="F2883" s="62" t="s">
        <v>117</v>
      </c>
      <c r="G2883" s="61"/>
      <c r="H2883" s="63"/>
      <c r="I2883" s="64"/>
    </row>
    <row r="2884" spans="2:9" x14ac:dyDescent="0.2">
      <c r="B2884" s="65" t="str">
        <f t="shared" si="59"/>
        <v>2009-086-0</v>
      </c>
      <c r="C2884" s="66">
        <v>2009</v>
      </c>
      <c r="D2884" s="66" t="s">
        <v>93</v>
      </c>
      <c r="E2884" s="66">
        <v>0</v>
      </c>
      <c r="F2884" s="67" t="s">
        <v>118</v>
      </c>
      <c r="G2884" s="66"/>
      <c r="H2884" s="68"/>
      <c r="I2884" s="69"/>
    </row>
    <row r="2885" spans="2:9" x14ac:dyDescent="0.2">
      <c r="B2885" s="54" t="str">
        <f t="shared" si="59"/>
        <v>2009-086-1</v>
      </c>
      <c r="C2885" s="55">
        <v>2009</v>
      </c>
      <c r="D2885" s="55" t="s">
        <v>93</v>
      </c>
      <c r="E2885" s="55">
        <v>1</v>
      </c>
      <c r="F2885" s="57" t="s">
        <v>118</v>
      </c>
      <c r="G2885" s="55"/>
      <c r="H2885" s="58"/>
      <c r="I2885" s="59"/>
    </row>
    <row r="2886" spans="2:9" x14ac:dyDescent="0.2">
      <c r="B2886" s="54" t="str">
        <f t="shared" si="59"/>
        <v>2009-086-2</v>
      </c>
      <c r="C2886" s="55">
        <v>2009</v>
      </c>
      <c r="D2886" s="55" t="s">
        <v>93</v>
      </c>
      <c r="E2886" s="55">
        <v>2</v>
      </c>
      <c r="F2886" s="57" t="s">
        <v>118</v>
      </c>
      <c r="G2886" s="55"/>
      <c r="H2886" s="58"/>
      <c r="I2886" s="59"/>
    </row>
    <row r="2887" spans="2:9" x14ac:dyDescent="0.2">
      <c r="B2887" s="54" t="str">
        <f t="shared" si="59"/>
        <v>2009-086-3</v>
      </c>
      <c r="C2887" s="55">
        <v>2009</v>
      </c>
      <c r="D2887" s="55" t="s">
        <v>93</v>
      </c>
      <c r="E2887" s="55">
        <v>3</v>
      </c>
      <c r="F2887" s="57" t="s">
        <v>118</v>
      </c>
      <c r="G2887" s="55"/>
      <c r="H2887" s="58"/>
      <c r="I2887" s="59"/>
    </row>
    <row r="2888" spans="2:9" x14ac:dyDescent="0.2">
      <c r="B2888" s="54" t="str">
        <f t="shared" si="59"/>
        <v>2009-086-4</v>
      </c>
      <c r="C2888" s="55">
        <v>2009</v>
      </c>
      <c r="D2888" s="55" t="s">
        <v>93</v>
      </c>
      <c r="E2888" s="55">
        <v>4</v>
      </c>
      <c r="F2888" s="57" t="s">
        <v>118</v>
      </c>
      <c r="G2888" s="55"/>
      <c r="H2888" s="58"/>
      <c r="I2888" s="59"/>
    </row>
    <row r="2889" spans="2:9" x14ac:dyDescent="0.2">
      <c r="B2889" s="60" t="str">
        <f t="shared" si="59"/>
        <v>2009-086-5</v>
      </c>
      <c r="C2889" s="61">
        <v>2009</v>
      </c>
      <c r="D2889" s="61" t="s">
        <v>93</v>
      </c>
      <c r="E2889" s="61">
        <v>5</v>
      </c>
      <c r="F2889" s="62" t="s">
        <v>118</v>
      </c>
      <c r="G2889" s="61"/>
      <c r="H2889" s="63"/>
      <c r="I2889" s="64"/>
    </row>
    <row r="2890" spans="2:9" x14ac:dyDescent="0.2">
      <c r="B2890" s="65" t="str">
        <f t="shared" si="59"/>
        <v>2009-087-0</v>
      </c>
      <c r="C2890" s="66">
        <v>2009</v>
      </c>
      <c r="D2890" s="66" t="s">
        <v>94</v>
      </c>
      <c r="E2890" s="66">
        <v>0</v>
      </c>
      <c r="F2890" s="67" t="s">
        <v>119</v>
      </c>
      <c r="G2890" s="66"/>
      <c r="H2890" s="68"/>
      <c r="I2890" s="69"/>
    </row>
    <row r="2891" spans="2:9" x14ac:dyDescent="0.2">
      <c r="B2891" s="54" t="str">
        <f t="shared" si="59"/>
        <v>2009-087-1</v>
      </c>
      <c r="C2891" s="55">
        <v>2009</v>
      </c>
      <c r="D2891" s="55" t="s">
        <v>94</v>
      </c>
      <c r="E2891" s="55">
        <v>1</v>
      </c>
      <c r="F2891" s="57" t="s">
        <v>119</v>
      </c>
      <c r="G2891" s="55"/>
      <c r="H2891" s="58"/>
      <c r="I2891" s="59"/>
    </row>
    <row r="2892" spans="2:9" x14ac:dyDescent="0.2">
      <c r="B2892" s="54" t="str">
        <f t="shared" si="59"/>
        <v>2009-087-2</v>
      </c>
      <c r="C2892" s="55">
        <v>2009</v>
      </c>
      <c r="D2892" s="55" t="s">
        <v>94</v>
      </c>
      <c r="E2892" s="55">
        <v>2</v>
      </c>
      <c r="F2892" s="57" t="s">
        <v>119</v>
      </c>
      <c r="G2892" s="55"/>
      <c r="H2892" s="58"/>
      <c r="I2892" s="59"/>
    </row>
    <row r="2893" spans="2:9" x14ac:dyDescent="0.2">
      <c r="B2893" s="54" t="str">
        <f t="shared" si="59"/>
        <v>2009-087-3</v>
      </c>
      <c r="C2893" s="55">
        <v>2009</v>
      </c>
      <c r="D2893" s="55" t="s">
        <v>94</v>
      </c>
      <c r="E2893" s="55">
        <v>3</v>
      </c>
      <c r="F2893" s="57" t="s">
        <v>119</v>
      </c>
      <c r="G2893" s="55"/>
      <c r="H2893" s="58"/>
      <c r="I2893" s="59"/>
    </row>
    <row r="2894" spans="2:9" x14ac:dyDescent="0.2">
      <c r="B2894" s="54" t="str">
        <f t="shared" si="59"/>
        <v>2009-087-4</v>
      </c>
      <c r="C2894" s="55">
        <v>2009</v>
      </c>
      <c r="D2894" s="55" t="s">
        <v>94</v>
      </c>
      <c r="E2894" s="55">
        <v>4</v>
      </c>
      <c r="F2894" s="57" t="s">
        <v>119</v>
      </c>
      <c r="G2894" s="55"/>
      <c r="H2894" s="58"/>
      <c r="I2894" s="59"/>
    </row>
    <row r="2895" spans="2:9" x14ac:dyDescent="0.2">
      <c r="B2895" s="60" t="str">
        <f t="shared" si="59"/>
        <v>2009-087-5</v>
      </c>
      <c r="C2895" s="61">
        <v>2009</v>
      </c>
      <c r="D2895" s="61" t="s">
        <v>94</v>
      </c>
      <c r="E2895" s="61">
        <v>5</v>
      </c>
      <c r="F2895" s="62" t="s">
        <v>119</v>
      </c>
      <c r="G2895" s="61"/>
      <c r="H2895" s="63"/>
      <c r="I2895" s="64"/>
    </row>
    <row r="2896" spans="2:9" x14ac:dyDescent="0.2">
      <c r="B2896" s="65" t="str">
        <f t="shared" si="59"/>
        <v>2009-088-0</v>
      </c>
      <c r="C2896" s="66">
        <v>2009</v>
      </c>
      <c r="D2896" s="66" t="s">
        <v>95</v>
      </c>
      <c r="E2896" s="66">
        <v>0</v>
      </c>
      <c r="F2896" s="67" t="s">
        <v>120</v>
      </c>
      <c r="G2896" s="66"/>
      <c r="H2896" s="68"/>
      <c r="I2896" s="69"/>
    </row>
    <row r="2897" spans="2:9" x14ac:dyDescent="0.2">
      <c r="B2897" s="54" t="str">
        <f t="shared" si="59"/>
        <v>2009-088-1</v>
      </c>
      <c r="C2897" s="55">
        <v>2009</v>
      </c>
      <c r="D2897" s="55" t="s">
        <v>95</v>
      </c>
      <c r="E2897" s="55">
        <v>1</v>
      </c>
      <c r="F2897" s="57" t="s">
        <v>120</v>
      </c>
      <c r="G2897" s="55"/>
      <c r="H2897" s="58"/>
      <c r="I2897" s="59"/>
    </row>
    <row r="2898" spans="2:9" x14ac:dyDescent="0.2">
      <c r="B2898" s="54" t="str">
        <f t="shared" si="59"/>
        <v>2009-088-2</v>
      </c>
      <c r="C2898" s="55">
        <v>2009</v>
      </c>
      <c r="D2898" s="55" t="s">
        <v>95</v>
      </c>
      <c r="E2898" s="55">
        <v>2</v>
      </c>
      <c r="F2898" s="57" t="s">
        <v>120</v>
      </c>
      <c r="G2898" s="55"/>
      <c r="H2898" s="58"/>
      <c r="I2898" s="59"/>
    </row>
    <row r="2899" spans="2:9" x14ac:dyDescent="0.2">
      <c r="B2899" s="54" t="str">
        <f t="shared" si="59"/>
        <v>2009-088-3</v>
      </c>
      <c r="C2899" s="55">
        <v>2009</v>
      </c>
      <c r="D2899" s="55" t="s">
        <v>95</v>
      </c>
      <c r="E2899" s="55">
        <v>3</v>
      </c>
      <c r="F2899" s="57" t="s">
        <v>120</v>
      </c>
      <c r="G2899" s="55"/>
      <c r="H2899" s="58"/>
      <c r="I2899" s="59"/>
    </row>
    <row r="2900" spans="2:9" x14ac:dyDescent="0.2">
      <c r="B2900" s="54" t="str">
        <f t="shared" si="59"/>
        <v>2009-088-4</v>
      </c>
      <c r="C2900" s="55">
        <v>2009</v>
      </c>
      <c r="D2900" s="55" t="s">
        <v>95</v>
      </c>
      <c r="E2900" s="55">
        <v>4</v>
      </c>
      <c r="F2900" s="57" t="s">
        <v>120</v>
      </c>
      <c r="G2900" s="55"/>
      <c r="H2900" s="58"/>
      <c r="I2900" s="59"/>
    </row>
    <row r="2901" spans="2:9" x14ac:dyDescent="0.2">
      <c r="B2901" s="60" t="str">
        <f t="shared" si="59"/>
        <v>2009-088-5</v>
      </c>
      <c r="C2901" s="61">
        <v>2009</v>
      </c>
      <c r="D2901" s="61" t="s">
        <v>95</v>
      </c>
      <c r="E2901" s="61">
        <v>5</v>
      </c>
      <c r="F2901" s="62" t="s">
        <v>120</v>
      </c>
      <c r="G2901" s="61"/>
      <c r="H2901" s="63"/>
      <c r="I2901" s="64"/>
    </row>
    <row r="2902" spans="2:9" x14ac:dyDescent="0.2">
      <c r="B2902" s="65" t="str">
        <f t="shared" si="59"/>
        <v>2009-089-0</v>
      </c>
      <c r="C2902" s="66">
        <v>2009</v>
      </c>
      <c r="D2902" s="66" t="s">
        <v>96</v>
      </c>
      <c r="E2902" s="66">
        <v>0</v>
      </c>
      <c r="F2902" s="67" t="s">
        <v>121</v>
      </c>
      <c r="G2902" s="66"/>
      <c r="H2902" s="68"/>
      <c r="I2902" s="69"/>
    </row>
    <row r="2903" spans="2:9" x14ac:dyDescent="0.2">
      <c r="B2903" s="54" t="str">
        <f t="shared" si="59"/>
        <v>2009-089-1</v>
      </c>
      <c r="C2903" s="55">
        <v>2009</v>
      </c>
      <c r="D2903" s="55" t="s">
        <v>96</v>
      </c>
      <c r="E2903" s="55">
        <v>1</v>
      </c>
      <c r="F2903" s="57" t="s">
        <v>121</v>
      </c>
      <c r="G2903" s="55"/>
      <c r="H2903" s="58"/>
      <c r="I2903" s="59"/>
    </row>
    <row r="2904" spans="2:9" x14ac:dyDescent="0.2">
      <c r="B2904" s="54" t="str">
        <f t="shared" si="59"/>
        <v>2009-089-2</v>
      </c>
      <c r="C2904" s="55">
        <v>2009</v>
      </c>
      <c r="D2904" s="55" t="s">
        <v>96</v>
      </c>
      <c r="E2904" s="55">
        <v>2</v>
      </c>
      <c r="F2904" s="57" t="s">
        <v>121</v>
      </c>
      <c r="G2904" s="55"/>
      <c r="H2904" s="58"/>
      <c r="I2904" s="59"/>
    </row>
    <row r="2905" spans="2:9" x14ac:dyDescent="0.2">
      <c r="B2905" s="54" t="str">
        <f t="shared" si="59"/>
        <v>2009-089-3</v>
      </c>
      <c r="C2905" s="55">
        <v>2009</v>
      </c>
      <c r="D2905" s="55" t="s">
        <v>96</v>
      </c>
      <c r="E2905" s="55">
        <v>3</v>
      </c>
      <c r="F2905" s="57" t="s">
        <v>121</v>
      </c>
      <c r="G2905" s="55"/>
      <c r="H2905" s="58"/>
      <c r="I2905" s="59"/>
    </row>
    <row r="2906" spans="2:9" x14ac:dyDescent="0.2">
      <c r="B2906" s="54" t="str">
        <f t="shared" si="59"/>
        <v>2009-089-4</v>
      </c>
      <c r="C2906" s="55">
        <v>2009</v>
      </c>
      <c r="D2906" s="55" t="s">
        <v>96</v>
      </c>
      <c r="E2906" s="55">
        <v>4</v>
      </c>
      <c r="F2906" s="57" t="s">
        <v>121</v>
      </c>
      <c r="G2906" s="55"/>
      <c r="H2906" s="58"/>
      <c r="I2906" s="59"/>
    </row>
    <row r="2907" spans="2:9" x14ac:dyDescent="0.2">
      <c r="B2907" s="60" t="str">
        <f t="shared" si="59"/>
        <v>2009-089-5</v>
      </c>
      <c r="C2907" s="61">
        <v>2009</v>
      </c>
      <c r="D2907" s="61" t="s">
        <v>96</v>
      </c>
      <c r="E2907" s="61">
        <v>5</v>
      </c>
      <c r="F2907" s="62" t="s">
        <v>121</v>
      </c>
      <c r="G2907" s="61"/>
      <c r="H2907" s="63"/>
      <c r="I2907" s="64"/>
    </row>
    <row r="2908" spans="2:9" x14ac:dyDescent="0.2">
      <c r="B2908" s="65" t="str">
        <f t="shared" si="59"/>
        <v>2009-090-0</v>
      </c>
      <c r="C2908" s="66">
        <v>2009</v>
      </c>
      <c r="D2908" s="66" t="s">
        <v>97</v>
      </c>
      <c r="E2908" s="66">
        <v>0</v>
      </c>
      <c r="F2908" s="67" t="s">
        <v>122</v>
      </c>
      <c r="G2908" s="66"/>
      <c r="H2908" s="68"/>
      <c r="I2908" s="69"/>
    </row>
    <row r="2909" spans="2:9" x14ac:dyDescent="0.2">
      <c r="B2909" s="54" t="str">
        <f t="shared" si="59"/>
        <v>2009-090-1</v>
      </c>
      <c r="C2909" s="55">
        <v>2009</v>
      </c>
      <c r="D2909" s="55" t="s">
        <v>97</v>
      </c>
      <c r="E2909" s="55">
        <v>1</v>
      </c>
      <c r="F2909" s="57" t="s">
        <v>122</v>
      </c>
      <c r="G2909" s="55"/>
      <c r="H2909" s="58"/>
      <c r="I2909" s="59"/>
    </row>
    <row r="2910" spans="2:9" x14ac:dyDescent="0.2">
      <c r="B2910" s="54" t="str">
        <f t="shared" si="59"/>
        <v>2009-090-2</v>
      </c>
      <c r="C2910" s="55">
        <v>2009</v>
      </c>
      <c r="D2910" s="55" t="s">
        <v>97</v>
      </c>
      <c r="E2910" s="55">
        <v>2</v>
      </c>
      <c r="F2910" s="57" t="s">
        <v>122</v>
      </c>
      <c r="G2910" s="55"/>
      <c r="H2910" s="58"/>
      <c r="I2910" s="59"/>
    </row>
    <row r="2911" spans="2:9" x14ac:dyDescent="0.2">
      <c r="B2911" s="54" t="str">
        <f t="shared" si="59"/>
        <v>2009-090-3</v>
      </c>
      <c r="C2911" s="55">
        <v>2009</v>
      </c>
      <c r="D2911" s="55" t="s">
        <v>97</v>
      </c>
      <c r="E2911" s="55">
        <v>3</v>
      </c>
      <c r="F2911" s="57" t="s">
        <v>122</v>
      </c>
      <c r="G2911" s="55"/>
      <c r="H2911" s="58"/>
      <c r="I2911" s="59"/>
    </row>
    <row r="2912" spans="2:9" x14ac:dyDescent="0.2">
      <c r="B2912" s="54" t="str">
        <f t="shared" si="59"/>
        <v>2009-090-4</v>
      </c>
      <c r="C2912" s="55">
        <v>2009</v>
      </c>
      <c r="D2912" s="55" t="s">
        <v>97</v>
      </c>
      <c r="E2912" s="55">
        <v>4</v>
      </c>
      <c r="F2912" s="57" t="s">
        <v>122</v>
      </c>
      <c r="G2912" s="55"/>
      <c r="H2912" s="58"/>
      <c r="I2912" s="59"/>
    </row>
    <row r="2913" spans="2:9" x14ac:dyDescent="0.2">
      <c r="B2913" s="60" t="str">
        <f t="shared" si="59"/>
        <v>2009-090-5</v>
      </c>
      <c r="C2913" s="61">
        <v>2009</v>
      </c>
      <c r="D2913" s="61" t="s">
        <v>97</v>
      </c>
      <c r="E2913" s="61">
        <v>5</v>
      </c>
      <c r="F2913" s="62" t="s">
        <v>122</v>
      </c>
      <c r="G2913" s="61"/>
      <c r="H2913" s="63"/>
      <c r="I2913" s="64"/>
    </row>
    <row r="2914" spans="2:9" x14ac:dyDescent="0.2">
      <c r="B2914" s="65" t="str">
        <f t="shared" si="59"/>
        <v>2009-091-0</v>
      </c>
      <c r="C2914" s="66">
        <v>2009</v>
      </c>
      <c r="D2914" s="66" t="s">
        <v>98</v>
      </c>
      <c r="E2914" s="66">
        <v>0</v>
      </c>
      <c r="F2914" s="67" t="s">
        <v>123</v>
      </c>
      <c r="G2914" s="66"/>
      <c r="H2914" s="68"/>
      <c r="I2914" s="69"/>
    </row>
    <row r="2915" spans="2:9" x14ac:dyDescent="0.2">
      <c r="B2915" s="54" t="str">
        <f t="shared" si="59"/>
        <v>2009-091-1</v>
      </c>
      <c r="C2915" s="55">
        <v>2009</v>
      </c>
      <c r="D2915" s="55" t="s">
        <v>98</v>
      </c>
      <c r="E2915" s="55">
        <v>1</v>
      </c>
      <c r="F2915" s="57" t="s">
        <v>123</v>
      </c>
      <c r="G2915" s="55"/>
      <c r="H2915" s="58"/>
      <c r="I2915" s="59"/>
    </row>
    <row r="2916" spans="2:9" x14ac:dyDescent="0.2">
      <c r="B2916" s="54" t="str">
        <f t="shared" si="59"/>
        <v>2009-091-2</v>
      </c>
      <c r="C2916" s="55">
        <v>2009</v>
      </c>
      <c r="D2916" s="55" t="s">
        <v>98</v>
      </c>
      <c r="E2916" s="55">
        <v>2</v>
      </c>
      <c r="F2916" s="57" t="s">
        <v>123</v>
      </c>
      <c r="G2916" s="55"/>
      <c r="H2916" s="58"/>
      <c r="I2916" s="59"/>
    </row>
    <row r="2917" spans="2:9" x14ac:dyDescent="0.2">
      <c r="B2917" s="54" t="str">
        <f t="shared" si="59"/>
        <v>2009-091-3</v>
      </c>
      <c r="C2917" s="55">
        <v>2009</v>
      </c>
      <c r="D2917" s="55" t="s">
        <v>98</v>
      </c>
      <c r="E2917" s="55">
        <v>3</v>
      </c>
      <c r="F2917" s="57" t="s">
        <v>123</v>
      </c>
      <c r="G2917" s="55"/>
      <c r="H2917" s="58"/>
      <c r="I2917" s="59"/>
    </row>
    <row r="2918" spans="2:9" x14ac:dyDescent="0.2">
      <c r="B2918" s="54" t="str">
        <f t="shared" si="59"/>
        <v>2009-091-4</v>
      </c>
      <c r="C2918" s="55">
        <v>2009</v>
      </c>
      <c r="D2918" s="55" t="s">
        <v>98</v>
      </c>
      <c r="E2918" s="55">
        <v>4</v>
      </c>
      <c r="F2918" s="57" t="s">
        <v>123</v>
      </c>
      <c r="G2918" s="55"/>
      <c r="H2918" s="58"/>
      <c r="I2918" s="59"/>
    </row>
    <row r="2919" spans="2:9" x14ac:dyDescent="0.2">
      <c r="B2919" s="60" t="str">
        <f t="shared" si="59"/>
        <v>2009-091-5</v>
      </c>
      <c r="C2919" s="61">
        <v>2009</v>
      </c>
      <c r="D2919" s="61" t="s">
        <v>98</v>
      </c>
      <c r="E2919" s="61">
        <v>5</v>
      </c>
      <c r="F2919" s="62" t="s">
        <v>123</v>
      </c>
      <c r="G2919" s="61"/>
      <c r="H2919" s="63"/>
      <c r="I2919" s="64"/>
    </row>
    <row r="2920" spans="2:9" x14ac:dyDescent="0.2">
      <c r="B2920" s="65" t="str">
        <f t="shared" si="59"/>
        <v>2009-092-0</v>
      </c>
      <c r="C2920" s="66">
        <v>2009</v>
      </c>
      <c r="D2920" s="66" t="s">
        <v>99</v>
      </c>
      <c r="E2920" s="66">
        <v>0</v>
      </c>
      <c r="F2920" s="67" t="s">
        <v>124</v>
      </c>
      <c r="G2920" s="66"/>
      <c r="H2920" s="68"/>
      <c r="I2920" s="69"/>
    </row>
    <row r="2921" spans="2:9" x14ac:dyDescent="0.2">
      <c r="B2921" s="54" t="str">
        <f t="shared" si="59"/>
        <v>2009-092-1</v>
      </c>
      <c r="C2921" s="55">
        <v>2009</v>
      </c>
      <c r="D2921" s="55" t="s">
        <v>99</v>
      </c>
      <c r="E2921" s="55">
        <v>1</v>
      </c>
      <c r="F2921" s="57" t="s">
        <v>124</v>
      </c>
      <c r="G2921" s="55"/>
      <c r="H2921" s="58"/>
      <c r="I2921" s="59"/>
    </row>
    <row r="2922" spans="2:9" x14ac:dyDescent="0.2">
      <c r="B2922" s="54" t="str">
        <f t="shared" si="59"/>
        <v>2009-092-2</v>
      </c>
      <c r="C2922" s="55">
        <v>2009</v>
      </c>
      <c r="D2922" s="55" t="s">
        <v>99</v>
      </c>
      <c r="E2922" s="55">
        <v>2</v>
      </c>
      <c r="F2922" s="57" t="s">
        <v>124</v>
      </c>
      <c r="G2922" s="55"/>
      <c r="H2922" s="58"/>
      <c r="I2922" s="59"/>
    </row>
    <row r="2923" spans="2:9" x14ac:dyDescent="0.2">
      <c r="B2923" s="54" t="str">
        <f t="shared" si="59"/>
        <v>2009-092-3</v>
      </c>
      <c r="C2923" s="55">
        <v>2009</v>
      </c>
      <c r="D2923" s="55" t="s">
        <v>99</v>
      </c>
      <c r="E2923" s="55">
        <v>3</v>
      </c>
      <c r="F2923" s="57" t="s">
        <v>124</v>
      </c>
      <c r="G2923" s="55"/>
      <c r="H2923" s="58"/>
      <c r="I2923" s="59"/>
    </row>
    <row r="2924" spans="2:9" x14ac:dyDescent="0.2">
      <c r="B2924" s="54" t="str">
        <f t="shared" si="59"/>
        <v>2009-092-4</v>
      </c>
      <c r="C2924" s="55">
        <v>2009</v>
      </c>
      <c r="D2924" s="55" t="s">
        <v>99</v>
      </c>
      <c r="E2924" s="55">
        <v>4</v>
      </c>
      <c r="F2924" s="57" t="s">
        <v>124</v>
      </c>
      <c r="G2924" s="55"/>
      <c r="H2924" s="58"/>
      <c r="I2924" s="59"/>
    </row>
    <row r="2925" spans="2:9" x14ac:dyDescent="0.2">
      <c r="B2925" s="60" t="str">
        <f t="shared" si="59"/>
        <v>2009-092-5</v>
      </c>
      <c r="C2925" s="61">
        <v>2009</v>
      </c>
      <c r="D2925" s="61" t="s">
        <v>99</v>
      </c>
      <c r="E2925" s="61">
        <v>5</v>
      </c>
      <c r="F2925" s="62" t="s">
        <v>124</v>
      </c>
      <c r="G2925" s="61"/>
      <c r="H2925" s="63"/>
      <c r="I2925" s="64"/>
    </row>
    <row r="2926" spans="2:9" x14ac:dyDescent="0.2">
      <c r="B2926" s="65" t="str">
        <f t="shared" si="59"/>
        <v>2009-093-0</v>
      </c>
      <c r="C2926" s="66">
        <v>2009</v>
      </c>
      <c r="D2926" s="66" t="s">
        <v>100</v>
      </c>
      <c r="E2926" s="66">
        <v>0</v>
      </c>
      <c r="F2926" s="67" t="s">
        <v>125</v>
      </c>
      <c r="G2926" s="66"/>
      <c r="H2926" s="68"/>
      <c r="I2926" s="69"/>
    </row>
    <row r="2927" spans="2:9" x14ac:dyDescent="0.2">
      <c r="B2927" s="54" t="str">
        <f t="shared" si="59"/>
        <v>2009-093-1</v>
      </c>
      <c r="C2927" s="55">
        <v>2009</v>
      </c>
      <c r="D2927" s="55" t="s">
        <v>100</v>
      </c>
      <c r="E2927" s="55">
        <v>1</v>
      </c>
      <c r="F2927" s="57" t="s">
        <v>125</v>
      </c>
      <c r="G2927" s="55"/>
      <c r="H2927" s="58"/>
      <c r="I2927" s="59"/>
    </row>
    <row r="2928" spans="2:9" x14ac:dyDescent="0.2">
      <c r="B2928" s="54" t="str">
        <f t="shared" si="59"/>
        <v>2009-093-2</v>
      </c>
      <c r="C2928" s="55">
        <v>2009</v>
      </c>
      <c r="D2928" s="55" t="s">
        <v>100</v>
      </c>
      <c r="E2928" s="55">
        <v>2</v>
      </c>
      <c r="F2928" s="57" t="s">
        <v>125</v>
      </c>
      <c r="G2928" s="55"/>
      <c r="H2928" s="58"/>
      <c r="I2928" s="59"/>
    </row>
    <row r="2929" spans="2:9" x14ac:dyDescent="0.2">
      <c r="B2929" s="54" t="str">
        <f t="shared" si="59"/>
        <v>2009-093-3</v>
      </c>
      <c r="C2929" s="55">
        <v>2009</v>
      </c>
      <c r="D2929" s="55" t="s">
        <v>100</v>
      </c>
      <c r="E2929" s="55">
        <v>3</v>
      </c>
      <c r="F2929" s="57" t="s">
        <v>125</v>
      </c>
      <c r="G2929" s="55"/>
      <c r="H2929" s="58"/>
      <c r="I2929" s="59"/>
    </row>
    <row r="2930" spans="2:9" x14ac:dyDescent="0.2">
      <c r="B2930" s="54" t="str">
        <f t="shared" si="59"/>
        <v>2009-093-4</v>
      </c>
      <c r="C2930" s="55">
        <v>2009</v>
      </c>
      <c r="D2930" s="55" t="s">
        <v>100</v>
      </c>
      <c r="E2930" s="55">
        <v>4</v>
      </c>
      <c r="F2930" s="57" t="s">
        <v>125</v>
      </c>
      <c r="G2930" s="55"/>
      <c r="H2930" s="58"/>
      <c r="I2930" s="59"/>
    </row>
    <row r="2931" spans="2:9" x14ac:dyDescent="0.2">
      <c r="B2931" s="60" t="str">
        <f t="shared" si="59"/>
        <v>2009-093-5</v>
      </c>
      <c r="C2931" s="61">
        <v>2009</v>
      </c>
      <c r="D2931" s="61" t="s">
        <v>100</v>
      </c>
      <c r="E2931" s="61">
        <v>5</v>
      </c>
      <c r="F2931" s="62" t="s">
        <v>125</v>
      </c>
      <c r="G2931" s="61"/>
      <c r="H2931" s="63"/>
      <c r="I2931" s="64"/>
    </row>
    <row r="2932" spans="2:9" x14ac:dyDescent="0.2">
      <c r="B2932" s="65" t="str">
        <f t="shared" si="59"/>
        <v>2009-094-0</v>
      </c>
      <c r="C2932" s="66">
        <v>2009</v>
      </c>
      <c r="D2932" s="66" t="s">
        <v>101</v>
      </c>
      <c r="E2932" s="66">
        <v>0</v>
      </c>
      <c r="F2932" s="67" t="s">
        <v>126</v>
      </c>
      <c r="G2932" s="66"/>
      <c r="H2932" s="68"/>
      <c r="I2932" s="69"/>
    </row>
    <row r="2933" spans="2:9" x14ac:dyDescent="0.2">
      <c r="B2933" s="54" t="str">
        <f t="shared" si="59"/>
        <v>2009-094-1</v>
      </c>
      <c r="C2933" s="55">
        <v>2009</v>
      </c>
      <c r="D2933" s="55" t="s">
        <v>101</v>
      </c>
      <c r="E2933" s="55">
        <v>1</v>
      </c>
      <c r="F2933" s="57" t="s">
        <v>126</v>
      </c>
      <c r="G2933" s="55"/>
      <c r="H2933" s="58"/>
      <c r="I2933" s="59"/>
    </row>
    <row r="2934" spans="2:9" x14ac:dyDescent="0.2">
      <c r="B2934" s="54" t="str">
        <f t="shared" si="59"/>
        <v>2009-094-2</v>
      </c>
      <c r="C2934" s="55">
        <v>2009</v>
      </c>
      <c r="D2934" s="55" t="s">
        <v>101</v>
      </c>
      <c r="E2934" s="55">
        <v>2</v>
      </c>
      <c r="F2934" s="57" t="s">
        <v>126</v>
      </c>
      <c r="G2934" s="55"/>
      <c r="H2934" s="58"/>
      <c r="I2934" s="59"/>
    </row>
    <row r="2935" spans="2:9" x14ac:dyDescent="0.2">
      <c r="B2935" s="54" t="str">
        <f t="shared" si="59"/>
        <v>2009-094-3</v>
      </c>
      <c r="C2935" s="55">
        <v>2009</v>
      </c>
      <c r="D2935" s="55" t="s">
        <v>101</v>
      </c>
      <c r="E2935" s="55">
        <v>3</v>
      </c>
      <c r="F2935" s="57" t="s">
        <v>126</v>
      </c>
      <c r="G2935" s="55"/>
      <c r="H2935" s="58"/>
      <c r="I2935" s="59"/>
    </row>
    <row r="2936" spans="2:9" x14ac:dyDescent="0.2">
      <c r="B2936" s="54" t="str">
        <f t="shared" si="59"/>
        <v>2009-094-4</v>
      </c>
      <c r="C2936" s="55">
        <v>2009</v>
      </c>
      <c r="D2936" s="55" t="s">
        <v>101</v>
      </c>
      <c r="E2936" s="55">
        <v>4</v>
      </c>
      <c r="F2936" s="57" t="s">
        <v>126</v>
      </c>
      <c r="G2936" s="55"/>
      <c r="H2936" s="58"/>
      <c r="I2936" s="59"/>
    </row>
    <row r="2937" spans="2:9" x14ac:dyDescent="0.2">
      <c r="B2937" s="60" t="str">
        <f t="shared" ref="B2937:B2973" si="60">C2937&amp;"-"&amp;D2937&amp;"-"&amp;E2937</f>
        <v>2009-094-5</v>
      </c>
      <c r="C2937" s="61">
        <v>2009</v>
      </c>
      <c r="D2937" s="61" t="s">
        <v>101</v>
      </c>
      <c r="E2937" s="61">
        <v>5</v>
      </c>
      <c r="F2937" s="62" t="s">
        <v>126</v>
      </c>
      <c r="G2937" s="61"/>
      <c r="H2937" s="63"/>
      <c r="I2937" s="64"/>
    </row>
    <row r="2938" spans="2:9" x14ac:dyDescent="0.2">
      <c r="B2938" s="65" t="str">
        <f t="shared" si="60"/>
        <v>2009-095-0</v>
      </c>
      <c r="C2938" s="66">
        <v>2009</v>
      </c>
      <c r="D2938" s="66" t="s">
        <v>102</v>
      </c>
      <c r="E2938" s="66">
        <v>0</v>
      </c>
      <c r="F2938" s="67" t="s">
        <v>127</v>
      </c>
      <c r="G2938" s="66"/>
      <c r="H2938" s="68"/>
      <c r="I2938" s="69"/>
    </row>
    <row r="2939" spans="2:9" x14ac:dyDescent="0.2">
      <c r="B2939" s="54" t="str">
        <f t="shared" si="60"/>
        <v>2009-095-1</v>
      </c>
      <c r="C2939" s="55">
        <v>2009</v>
      </c>
      <c r="D2939" s="55" t="s">
        <v>102</v>
      </c>
      <c r="E2939" s="55">
        <v>1</v>
      </c>
      <c r="F2939" s="57" t="s">
        <v>127</v>
      </c>
      <c r="G2939" s="55"/>
      <c r="H2939" s="58"/>
      <c r="I2939" s="59"/>
    </row>
    <row r="2940" spans="2:9" x14ac:dyDescent="0.2">
      <c r="B2940" s="54" t="str">
        <f t="shared" si="60"/>
        <v>2009-095-2</v>
      </c>
      <c r="C2940" s="55">
        <v>2009</v>
      </c>
      <c r="D2940" s="55" t="s">
        <v>102</v>
      </c>
      <c r="E2940" s="55">
        <v>2</v>
      </c>
      <c r="F2940" s="57" t="s">
        <v>127</v>
      </c>
      <c r="G2940" s="55"/>
      <c r="H2940" s="58"/>
      <c r="I2940" s="59"/>
    </row>
    <row r="2941" spans="2:9" x14ac:dyDescent="0.2">
      <c r="B2941" s="54" t="str">
        <f t="shared" si="60"/>
        <v>2009-095-3</v>
      </c>
      <c r="C2941" s="55">
        <v>2009</v>
      </c>
      <c r="D2941" s="55" t="s">
        <v>102</v>
      </c>
      <c r="E2941" s="55">
        <v>3</v>
      </c>
      <c r="F2941" s="57" t="s">
        <v>127</v>
      </c>
      <c r="G2941" s="55"/>
      <c r="H2941" s="58"/>
      <c r="I2941" s="59"/>
    </row>
    <row r="2942" spans="2:9" x14ac:dyDescent="0.2">
      <c r="B2942" s="54" t="str">
        <f t="shared" si="60"/>
        <v>2009-095-4</v>
      </c>
      <c r="C2942" s="55">
        <v>2009</v>
      </c>
      <c r="D2942" s="55" t="s">
        <v>102</v>
      </c>
      <c r="E2942" s="55">
        <v>4</v>
      </c>
      <c r="F2942" s="57" t="s">
        <v>127</v>
      </c>
      <c r="G2942" s="55"/>
      <c r="H2942" s="58"/>
      <c r="I2942" s="59"/>
    </row>
    <row r="2943" spans="2:9" x14ac:dyDescent="0.2">
      <c r="B2943" s="60" t="str">
        <f t="shared" si="60"/>
        <v>2009-095-5</v>
      </c>
      <c r="C2943" s="61">
        <v>2009</v>
      </c>
      <c r="D2943" s="61" t="s">
        <v>102</v>
      </c>
      <c r="E2943" s="61">
        <v>5</v>
      </c>
      <c r="F2943" s="62" t="s">
        <v>127</v>
      </c>
      <c r="G2943" s="61"/>
      <c r="H2943" s="63"/>
      <c r="I2943" s="64"/>
    </row>
    <row r="2944" spans="2:9" x14ac:dyDescent="0.2">
      <c r="B2944" s="65" t="str">
        <f t="shared" si="60"/>
        <v>2009-096-0</v>
      </c>
      <c r="C2944" s="66">
        <v>2009</v>
      </c>
      <c r="D2944" s="66" t="s">
        <v>103</v>
      </c>
      <c r="E2944" s="66">
        <v>0</v>
      </c>
      <c r="F2944" s="67" t="s">
        <v>128</v>
      </c>
      <c r="G2944" s="66"/>
      <c r="H2944" s="68"/>
      <c r="I2944" s="69"/>
    </row>
    <row r="2945" spans="2:9" x14ac:dyDescent="0.2">
      <c r="B2945" s="54" t="str">
        <f t="shared" si="60"/>
        <v>2009-096-1</v>
      </c>
      <c r="C2945" s="55">
        <v>2009</v>
      </c>
      <c r="D2945" s="55" t="s">
        <v>103</v>
      </c>
      <c r="E2945" s="55">
        <v>1</v>
      </c>
      <c r="F2945" s="57" t="s">
        <v>128</v>
      </c>
      <c r="G2945" s="55"/>
      <c r="H2945" s="58"/>
      <c r="I2945" s="59"/>
    </row>
    <row r="2946" spans="2:9" x14ac:dyDescent="0.2">
      <c r="B2946" s="54" t="str">
        <f t="shared" si="60"/>
        <v>2009-096-2</v>
      </c>
      <c r="C2946" s="55">
        <v>2009</v>
      </c>
      <c r="D2946" s="55" t="s">
        <v>103</v>
      </c>
      <c r="E2946" s="55">
        <v>2</v>
      </c>
      <c r="F2946" s="57" t="s">
        <v>128</v>
      </c>
      <c r="G2946" s="55"/>
      <c r="H2946" s="58"/>
      <c r="I2946" s="59"/>
    </row>
    <row r="2947" spans="2:9" x14ac:dyDescent="0.2">
      <c r="B2947" s="54" t="str">
        <f t="shared" si="60"/>
        <v>2009-096-3</v>
      </c>
      <c r="C2947" s="55">
        <v>2009</v>
      </c>
      <c r="D2947" s="55" t="s">
        <v>103</v>
      </c>
      <c r="E2947" s="55">
        <v>3</v>
      </c>
      <c r="F2947" s="57" t="s">
        <v>128</v>
      </c>
      <c r="G2947" s="55"/>
      <c r="H2947" s="58"/>
      <c r="I2947" s="59"/>
    </row>
    <row r="2948" spans="2:9" x14ac:dyDescent="0.2">
      <c r="B2948" s="54" t="str">
        <f t="shared" si="60"/>
        <v>2009-096-4</v>
      </c>
      <c r="C2948" s="55">
        <v>2009</v>
      </c>
      <c r="D2948" s="55" t="s">
        <v>103</v>
      </c>
      <c r="E2948" s="55">
        <v>4</v>
      </c>
      <c r="F2948" s="57" t="s">
        <v>128</v>
      </c>
      <c r="G2948" s="55"/>
      <c r="H2948" s="58"/>
      <c r="I2948" s="59"/>
    </row>
    <row r="2949" spans="2:9" x14ac:dyDescent="0.2">
      <c r="B2949" s="60" t="str">
        <f t="shared" si="60"/>
        <v>2009-096-5</v>
      </c>
      <c r="C2949" s="61">
        <v>2009</v>
      </c>
      <c r="D2949" s="61" t="s">
        <v>103</v>
      </c>
      <c r="E2949" s="61">
        <v>5</v>
      </c>
      <c r="F2949" s="62" t="s">
        <v>128</v>
      </c>
      <c r="G2949" s="61"/>
      <c r="H2949" s="63"/>
      <c r="I2949" s="64"/>
    </row>
    <row r="2950" spans="2:9" x14ac:dyDescent="0.2">
      <c r="B2950" s="65" t="str">
        <f t="shared" si="60"/>
        <v>2009-097-0</v>
      </c>
      <c r="C2950" s="66">
        <v>2009</v>
      </c>
      <c r="D2950" s="66" t="s">
        <v>104</v>
      </c>
      <c r="E2950" s="66">
        <v>0</v>
      </c>
      <c r="F2950" s="67" t="s">
        <v>129</v>
      </c>
      <c r="G2950" s="66"/>
      <c r="H2950" s="68"/>
      <c r="I2950" s="69"/>
    </row>
    <row r="2951" spans="2:9" x14ac:dyDescent="0.2">
      <c r="B2951" s="54" t="str">
        <f t="shared" si="60"/>
        <v>2009-097-1</v>
      </c>
      <c r="C2951" s="55">
        <v>2009</v>
      </c>
      <c r="D2951" s="55" t="s">
        <v>104</v>
      </c>
      <c r="E2951" s="55">
        <v>1</v>
      </c>
      <c r="F2951" s="57" t="s">
        <v>129</v>
      </c>
      <c r="G2951" s="55"/>
      <c r="H2951" s="58"/>
      <c r="I2951" s="59"/>
    </row>
    <row r="2952" spans="2:9" x14ac:dyDescent="0.2">
      <c r="B2952" s="54" t="str">
        <f t="shared" si="60"/>
        <v>2009-097-2</v>
      </c>
      <c r="C2952" s="55">
        <v>2009</v>
      </c>
      <c r="D2952" s="55" t="s">
        <v>104</v>
      </c>
      <c r="E2952" s="55">
        <v>2</v>
      </c>
      <c r="F2952" s="57" t="s">
        <v>129</v>
      </c>
      <c r="G2952" s="55"/>
      <c r="H2952" s="58"/>
      <c r="I2952" s="59"/>
    </row>
    <row r="2953" spans="2:9" x14ac:dyDescent="0.2">
      <c r="B2953" s="54" t="str">
        <f t="shared" si="60"/>
        <v>2009-097-3</v>
      </c>
      <c r="C2953" s="55">
        <v>2009</v>
      </c>
      <c r="D2953" s="55" t="s">
        <v>104</v>
      </c>
      <c r="E2953" s="55">
        <v>3</v>
      </c>
      <c r="F2953" s="57" t="s">
        <v>129</v>
      </c>
      <c r="G2953" s="55"/>
      <c r="H2953" s="58"/>
      <c r="I2953" s="59"/>
    </row>
    <row r="2954" spans="2:9" x14ac:dyDescent="0.2">
      <c r="B2954" s="54" t="str">
        <f t="shared" si="60"/>
        <v>2009-097-4</v>
      </c>
      <c r="C2954" s="55">
        <v>2009</v>
      </c>
      <c r="D2954" s="55" t="s">
        <v>104</v>
      </c>
      <c r="E2954" s="55">
        <v>4</v>
      </c>
      <c r="F2954" s="57" t="s">
        <v>129</v>
      </c>
      <c r="G2954" s="55"/>
      <c r="H2954" s="58"/>
      <c r="I2954" s="59"/>
    </row>
    <row r="2955" spans="2:9" x14ac:dyDescent="0.2">
      <c r="B2955" s="60" t="str">
        <f t="shared" si="60"/>
        <v>2009-097-5</v>
      </c>
      <c r="C2955" s="61">
        <v>2009</v>
      </c>
      <c r="D2955" s="61" t="s">
        <v>104</v>
      </c>
      <c r="E2955" s="61">
        <v>5</v>
      </c>
      <c r="F2955" s="62" t="s">
        <v>129</v>
      </c>
      <c r="G2955" s="61"/>
      <c r="H2955" s="63"/>
      <c r="I2955" s="64"/>
    </row>
    <row r="2956" spans="2:9" x14ac:dyDescent="0.2">
      <c r="B2956" s="65" t="str">
        <f t="shared" si="60"/>
        <v>2009-098-0</v>
      </c>
      <c r="C2956" s="66">
        <v>2009</v>
      </c>
      <c r="D2956" s="66" t="s">
        <v>105</v>
      </c>
      <c r="E2956" s="66">
        <v>0</v>
      </c>
      <c r="F2956" s="67" t="s">
        <v>130</v>
      </c>
      <c r="G2956" s="66"/>
      <c r="H2956" s="68"/>
      <c r="I2956" s="69"/>
    </row>
    <row r="2957" spans="2:9" x14ac:dyDescent="0.2">
      <c r="B2957" s="54" t="str">
        <f t="shared" si="60"/>
        <v>2009-098-1</v>
      </c>
      <c r="C2957" s="55">
        <v>2009</v>
      </c>
      <c r="D2957" s="55" t="s">
        <v>105</v>
      </c>
      <c r="E2957" s="55">
        <v>1</v>
      </c>
      <c r="F2957" s="57" t="s">
        <v>130</v>
      </c>
      <c r="G2957" s="55"/>
      <c r="H2957" s="58"/>
      <c r="I2957" s="59"/>
    </row>
    <row r="2958" spans="2:9" x14ac:dyDescent="0.2">
      <c r="B2958" s="54" t="str">
        <f t="shared" si="60"/>
        <v>2009-098-2</v>
      </c>
      <c r="C2958" s="55">
        <v>2009</v>
      </c>
      <c r="D2958" s="55" t="s">
        <v>105</v>
      </c>
      <c r="E2958" s="55">
        <v>2</v>
      </c>
      <c r="F2958" s="57" t="s">
        <v>130</v>
      </c>
      <c r="G2958" s="55"/>
      <c r="H2958" s="58"/>
      <c r="I2958" s="59"/>
    </row>
    <row r="2959" spans="2:9" x14ac:dyDescent="0.2">
      <c r="B2959" s="54" t="str">
        <f t="shared" si="60"/>
        <v>2009-098-3</v>
      </c>
      <c r="C2959" s="55">
        <v>2009</v>
      </c>
      <c r="D2959" s="55" t="s">
        <v>105</v>
      </c>
      <c r="E2959" s="55">
        <v>3</v>
      </c>
      <c r="F2959" s="57" t="s">
        <v>130</v>
      </c>
      <c r="G2959" s="55"/>
      <c r="H2959" s="58"/>
      <c r="I2959" s="59"/>
    </row>
    <row r="2960" spans="2:9" x14ac:dyDescent="0.2">
      <c r="B2960" s="54" t="str">
        <f t="shared" si="60"/>
        <v>2009-098-4</v>
      </c>
      <c r="C2960" s="55">
        <v>2009</v>
      </c>
      <c r="D2960" s="55" t="s">
        <v>105</v>
      </c>
      <c r="E2960" s="55">
        <v>4</v>
      </c>
      <c r="F2960" s="57" t="s">
        <v>130</v>
      </c>
      <c r="G2960" s="55"/>
      <c r="H2960" s="58"/>
      <c r="I2960" s="59"/>
    </row>
    <row r="2961" spans="2:9" x14ac:dyDescent="0.2">
      <c r="B2961" s="60" t="str">
        <f t="shared" si="60"/>
        <v>2009-098-5</v>
      </c>
      <c r="C2961" s="61">
        <v>2009</v>
      </c>
      <c r="D2961" s="61" t="s">
        <v>105</v>
      </c>
      <c r="E2961" s="61">
        <v>5</v>
      </c>
      <c r="F2961" s="62" t="s">
        <v>130</v>
      </c>
      <c r="G2961" s="61"/>
      <c r="H2961" s="63"/>
      <c r="I2961" s="64"/>
    </row>
    <row r="2962" spans="2:9" x14ac:dyDescent="0.2">
      <c r="B2962" s="65" t="str">
        <f t="shared" si="60"/>
        <v>2009-099-0</v>
      </c>
      <c r="C2962" s="66">
        <v>2009</v>
      </c>
      <c r="D2962" s="66" t="s">
        <v>106</v>
      </c>
      <c r="E2962" s="66">
        <v>0</v>
      </c>
      <c r="F2962" s="67" t="s">
        <v>131</v>
      </c>
      <c r="G2962" s="66"/>
      <c r="H2962" s="68"/>
      <c r="I2962" s="69"/>
    </row>
    <row r="2963" spans="2:9" x14ac:dyDescent="0.2">
      <c r="B2963" s="54" t="str">
        <f t="shared" si="60"/>
        <v>2009-099-1</v>
      </c>
      <c r="C2963" s="55">
        <v>2009</v>
      </c>
      <c r="D2963" s="55" t="s">
        <v>106</v>
      </c>
      <c r="E2963" s="55">
        <v>1</v>
      </c>
      <c r="F2963" s="57" t="s">
        <v>131</v>
      </c>
      <c r="G2963" s="55"/>
      <c r="H2963" s="58"/>
      <c r="I2963" s="59"/>
    </row>
    <row r="2964" spans="2:9" x14ac:dyDescent="0.2">
      <c r="B2964" s="54" t="str">
        <f t="shared" si="60"/>
        <v>2009-099-2</v>
      </c>
      <c r="C2964" s="55">
        <v>2009</v>
      </c>
      <c r="D2964" s="55" t="s">
        <v>106</v>
      </c>
      <c r="E2964" s="55">
        <v>2</v>
      </c>
      <c r="F2964" s="57" t="s">
        <v>131</v>
      </c>
      <c r="G2964" s="55"/>
      <c r="H2964" s="58"/>
      <c r="I2964" s="59"/>
    </row>
    <row r="2965" spans="2:9" x14ac:dyDescent="0.2">
      <c r="B2965" s="54" t="str">
        <f t="shared" si="60"/>
        <v>2009-099-3</v>
      </c>
      <c r="C2965" s="55">
        <v>2009</v>
      </c>
      <c r="D2965" s="55" t="s">
        <v>106</v>
      </c>
      <c r="E2965" s="55">
        <v>3</v>
      </c>
      <c r="F2965" s="57" t="s">
        <v>131</v>
      </c>
      <c r="G2965" s="55"/>
      <c r="H2965" s="58"/>
      <c r="I2965" s="59"/>
    </row>
    <row r="2966" spans="2:9" x14ac:dyDescent="0.2">
      <c r="B2966" s="54" t="str">
        <f t="shared" si="60"/>
        <v>2009-099-4</v>
      </c>
      <c r="C2966" s="55">
        <v>2009</v>
      </c>
      <c r="D2966" s="55" t="s">
        <v>106</v>
      </c>
      <c r="E2966" s="55">
        <v>4</v>
      </c>
      <c r="F2966" s="57" t="s">
        <v>131</v>
      </c>
      <c r="G2966" s="55"/>
      <c r="H2966" s="58"/>
      <c r="I2966" s="59"/>
    </row>
    <row r="2967" spans="2:9" x14ac:dyDescent="0.2">
      <c r="B2967" s="60" t="str">
        <f t="shared" si="60"/>
        <v>2009-099-5</v>
      </c>
      <c r="C2967" s="61">
        <v>2009</v>
      </c>
      <c r="D2967" s="61" t="s">
        <v>106</v>
      </c>
      <c r="E2967" s="61">
        <v>5</v>
      </c>
      <c r="F2967" s="62" t="s">
        <v>131</v>
      </c>
      <c r="G2967" s="61"/>
      <c r="H2967" s="63"/>
      <c r="I2967" s="64"/>
    </row>
    <row r="2968" spans="2:9" x14ac:dyDescent="0.2">
      <c r="B2968" s="65" t="str">
        <f t="shared" si="60"/>
        <v>2009-100-0</v>
      </c>
      <c r="C2968" s="66">
        <v>2009</v>
      </c>
      <c r="D2968" s="66" t="s">
        <v>107</v>
      </c>
      <c r="E2968" s="66">
        <v>0</v>
      </c>
      <c r="F2968" s="67" t="s">
        <v>132</v>
      </c>
      <c r="G2968" s="66"/>
      <c r="H2968" s="68"/>
      <c r="I2968" s="69"/>
    </row>
    <row r="2969" spans="2:9" x14ac:dyDescent="0.2">
      <c r="B2969" s="54" t="str">
        <f t="shared" si="60"/>
        <v>2009-100-1</v>
      </c>
      <c r="C2969" s="55">
        <v>2009</v>
      </c>
      <c r="D2969" s="55" t="s">
        <v>107</v>
      </c>
      <c r="E2969" s="55">
        <v>1</v>
      </c>
      <c r="F2969" s="57" t="s">
        <v>132</v>
      </c>
      <c r="G2969" s="55"/>
      <c r="H2969" s="58"/>
      <c r="I2969" s="59"/>
    </row>
    <row r="2970" spans="2:9" x14ac:dyDescent="0.2">
      <c r="B2970" s="54" t="str">
        <f t="shared" si="60"/>
        <v>2009-100-2</v>
      </c>
      <c r="C2970" s="55">
        <v>2009</v>
      </c>
      <c r="D2970" s="55" t="s">
        <v>107</v>
      </c>
      <c r="E2970" s="55">
        <v>2</v>
      </c>
      <c r="F2970" s="57" t="s">
        <v>132</v>
      </c>
      <c r="G2970" s="55"/>
      <c r="H2970" s="58"/>
      <c r="I2970" s="59"/>
    </row>
    <row r="2971" spans="2:9" x14ac:dyDescent="0.2">
      <c r="B2971" s="54" t="str">
        <f t="shared" si="60"/>
        <v>2009-100-3</v>
      </c>
      <c r="C2971" s="55">
        <v>2009</v>
      </c>
      <c r="D2971" s="55" t="s">
        <v>107</v>
      </c>
      <c r="E2971" s="55">
        <v>3</v>
      </c>
      <c r="F2971" s="57" t="s">
        <v>132</v>
      </c>
      <c r="G2971" s="55"/>
      <c r="H2971" s="58"/>
      <c r="I2971" s="59"/>
    </row>
    <row r="2972" spans="2:9" x14ac:dyDescent="0.2">
      <c r="B2972" s="54" t="str">
        <f t="shared" si="60"/>
        <v>2009-100-4</v>
      </c>
      <c r="C2972" s="55">
        <v>2009</v>
      </c>
      <c r="D2972" s="55" t="s">
        <v>107</v>
      </c>
      <c r="E2972" s="55">
        <v>4</v>
      </c>
      <c r="F2972" s="57" t="s">
        <v>132</v>
      </c>
      <c r="G2972" s="55"/>
      <c r="H2972" s="58"/>
      <c r="I2972" s="59"/>
    </row>
    <row r="2973" spans="2:9" ht="14.25" thickBot="1" x14ac:dyDescent="0.25">
      <c r="B2973" s="70" t="str">
        <f t="shared" si="60"/>
        <v>2009-100-5</v>
      </c>
      <c r="C2973" s="71">
        <v>2009</v>
      </c>
      <c r="D2973" s="71" t="s">
        <v>107</v>
      </c>
      <c r="E2973" s="71">
        <v>5</v>
      </c>
      <c r="F2973" s="72" t="s">
        <v>132</v>
      </c>
      <c r="G2973" s="71"/>
      <c r="H2973" s="73"/>
      <c r="I2973" s="74"/>
    </row>
    <row r="2974" spans="2:9" x14ac:dyDescent="0.2">
      <c r="B2974" s="48" t="str">
        <f t="shared" ref="B2974" si="61">C2974&amp;"-"&amp;D2974&amp;"-"&amp;E2974</f>
        <v>2008-076-0</v>
      </c>
      <c r="C2974" s="49">
        <v>2008</v>
      </c>
      <c r="D2974" s="49" t="s">
        <v>78</v>
      </c>
      <c r="E2974" s="49">
        <v>0</v>
      </c>
      <c r="F2974" s="51" t="s">
        <v>133</v>
      </c>
      <c r="G2974" s="49"/>
      <c r="H2974" s="52"/>
      <c r="I2974" s="53"/>
    </row>
    <row r="2975" spans="2:9" x14ac:dyDescent="0.2">
      <c r="B2975" s="54" t="str">
        <f t="shared" ref="B2975:B3038" si="62">C2975&amp;"-"&amp;D2975&amp;"-"&amp;E2975</f>
        <v>2008-076-1</v>
      </c>
      <c r="C2975" s="55">
        <v>2008</v>
      </c>
      <c r="D2975" s="55" t="s">
        <v>78</v>
      </c>
      <c r="E2975" s="55">
        <v>1</v>
      </c>
      <c r="F2975" s="57" t="s">
        <v>133</v>
      </c>
      <c r="G2975" s="55"/>
      <c r="H2975" s="58"/>
      <c r="I2975" s="59"/>
    </row>
    <row r="2976" spans="2:9" x14ac:dyDescent="0.2">
      <c r="B2976" s="54" t="str">
        <f t="shared" si="62"/>
        <v>2008-076-2</v>
      </c>
      <c r="C2976" s="55">
        <v>2008</v>
      </c>
      <c r="D2976" s="55" t="s">
        <v>78</v>
      </c>
      <c r="E2976" s="55">
        <v>2</v>
      </c>
      <c r="F2976" s="57" t="s">
        <v>133</v>
      </c>
      <c r="G2976" s="55"/>
      <c r="H2976" s="58"/>
      <c r="I2976" s="59"/>
    </row>
    <row r="2977" spans="2:9" x14ac:dyDescent="0.2">
      <c r="B2977" s="54" t="str">
        <f t="shared" si="62"/>
        <v>2008-076-3</v>
      </c>
      <c r="C2977" s="55">
        <v>2008</v>
      </c>
      <c r="D2977" s="55" t="s">
        <v>78</v>
      </c>
      <c r="E2977" s="55">
        <v>3</v>
      </c>
      <c r="F2977" s="57" t="s">
        <v>133</v>
      </c>
      <c r="G2977" s="55"/>
      <c r="H2977" s="58"/>
      <c r="I2977" s="59"/>
    </row>
    <row r="2978" spans="2:9" x14ac:dyDescent="0.2">
      <c r="B2978" s="54" t="str">
        <f t="shared" si="62"/>
        <v>2008-076-4</v>
      </c>
      <c r="C2978" s="55">
        <v>2008</v>
      </c>
      <c r="D2978" s="55" t="s">
        <v>78</v>
      </c>
      <c r="E2978" s="55">
        <v>4</v>
      </c>
      <c r="F2978" s="57" t="s">
        <v>133</v>
      </c>
      <c r="G2978" s="55"/>
      <c r="H2978" s="58"/>
      <c r="I2978" s="59"/>
    </row>
    <row r="2979" spans="2:9" x14ac:dyDescent="0.2">
      <c r="B2979" s="60" t="str">
        <f t="shared" si="62"/>
        <v>2008-076-5</v>
      </c>
      <c r="C2979" s="61">
        <v>2008</v>
      </c>
      <c r="D2979" s="61" t="s">
        <v>78</v>
      </c>
      <c r="E2979" s="61">
        <v>5</v>
      </c>
      <c r="F2979" s="62" t="s">
        <v>133</v>
      </c>
      <c r="G2979" s="61"/>
      <c r="H2979" s="63"/>
      <c r="I2979" s="64"/>
    </row>
    <row r="2980" spans="2:9" x14ac:dyDescent="0.2">
      <c r="B2980" s="65" t="str">
        <f t="shared" si="62"/>
        <v>2008-077-0</v>
      </c>
      <c r="C2980" s="66">
        <v>2008</v>
      </c>
      <c r="D2980" s="66" t="s">
        <v>79</v>
      </c>
      <c r="E2980" s="66">
        <v>0</v>
      </c>
      <c r="F2980" s="67" t="s">
        <v>134</v>
      </c>
      <c r="G2980" s="66"/>
      <c r="H2980" s="68"/>
      <c r="I2980" s="69"/>
    </row>
    <row r="2981" spans="2:9" x14ac:dyDescent="0.2">
      <c r="B2981" s="54" t="str">
        <f t="shared" si="62"/>
        <v>2008-077-1</v>
      </c>
      <c r="C2981" s="55">
        <v>2008</v>
      </c>
      <c r="D2981" s="55" t="s">
        <v>79</v>
      </c>
      <c r="E2981" s="55">
        <v>1</v>
      </c>
      <c r="F2981" s="57" t="s">
        <v>134</v>
      </c>
      <c r="G2981" s="55"/>
      <c r="H2981" s="58"/>
      <c r="I2981" s="59"/>
    </row>
    <row r="2982" spans="2:9" x14ac:dyDescent="0.2">
      <c r="B2982" s="54" t="str">
        <f t="shared" si="62"/>
        <v>2008-077-2</v>
      </c>
      <c r="C2982" s="55">
        <v>2008</v>
      </c>
      <c r="D2982" s="55" t="s">
        <v>79</v>
      </c>
      <c r="E2982" s="55">
        <v>2</v>
      </c>
      <c r="F2982" s="57" t="s">
        <v>134</v>
      </c>
      <c r="G2982" s="55"/>
      <c r="H2982" s="58"/>
      <c r="I2982" s="59"/>
    </row>
    <row r="2983" spans="2:9" x14ac:dyDescent="0.2">
      <c r="B2983" s="54" t="str">
        <f t="shared" si="62"/>
        <v>2008-077-3</v>
      </c>
      <c r="C2983" s="55">
        <v>2008</v>
      </c>
      <c r="D2983" s="55" t="s">
        <v>79</v>
      </c>
      <c r="E2983" s="55">
        <v>3</v>
      </c>
      <c r="F2983" s="57" t="s">
        <v>134</v>
      </c>
      <c r="G2983" s="55"/>
      <c r="H2983" s="58"/>
      <c r="I2983" s="59"/>
    </row>
    <row r="2984" spans="2:9" x14ac:dyDescent="0.2">
      <c r="B2984" s="54" t="str">
        <f t="shared" si="62"/>
        <v>2008-077-4</v>
      </c>
      <c r="C2984" s="55">
        <v>2008</v>
      </c>
      <c r="D2984" s="55" t="s">
        <v>79</v>
      </c>
      <c r="E2984" s="55">
        <v>4</v>
      </c>
      <c r="F2984" s="57" t="s">
        <v>134</v>
      </c>
      <c r="G2984" s="55"/>
      <c r="H2984" s="58"/>
      <c r="I2984" s="59"/>
    </row>
    <row r="2985" spans="2:9" x14ac:dyDescent="0.2">
      <c r="B2985" s="60" t="str">
        <f t="shared" si="62"/>
        <v>2008-077-5</v>
      </c>
      <c r="C2985" s="61">
        <v>2008</v>
      </c>
      <c r="D2985" s="61" t="s">
        <v>79</v>
      </c>
      <c r="E2985" s="61">
        <v>5</v>
      </c>
      <c r="F2985" s="62" t="s">
        <v>134</v>
      </c>
      <c r="G2985" s="61"/>
      <c r="H2985" s="63"/>
      <c r="I2985" s="64"/>
    </row>
    <row r="2986" spans="2:9" x14ac:dyDescent="0.2">
      <c r="B2986" s="65" t="str">
        <f t="shared" si="62"/>
        <v>2008-078-0</v>
      </c>
      <c r="C2986" s="66">
        <v>2008</v>
      </c>
      <c r="D2986" s="66" t="s">
        <v>80</v>
      </c>
      <c r="E2986" s="66">
        <v>0</v>
      </c>
      <c r="F2986" s="67" t="s">
        <v>135</v>
      </c>
      <c r="G2986" s="66"/>
      <c r="H2986" s="68"/>
      <c r="I2986" s="69"/>
    </row>
    <row r="2987" spans="2:9" x14ac:dyDescent="0.2">
      <c r="B2987" s="54" t="str">
        <f t="shared" si="62"/>
        <v>2008-078-1</v>
      </c>
      <c r="C2987" s="55">
        <v>2008</v>
      </c>
      <c r="D2987" s="55" t="s">
        <v>80</v>
      </c>
      <c r="E2987" s="55">
        <v>1</v>
      </c>
      <c r="F2987" s="57" t="s">
        <v>135</v>
      </c>
      <c r="G2987" s="55"/>
      <c r="H2987" s="58"/>
      <c r="I2987" s="59"/>
    </row>
    <row r="2988" spans="2:9" x14ac:dyDescent="0.2">
      <c r="B2988" s="54" t="str">
        <f t="shared" si="62"/>
        <v>2008-078-2</v>
      </c>
      <c r="C2988" s="55">
        <v>2008</v>
      </c>
      <c r="D2988" s="55" t="s">
        <v>80</v>
      </c>
      <c r="E2988" s="55">
        <v>2</v>
      </c>
      <c r="F2988" s="57" t="s">
        <v>135</v>
      </c>
      <c r="G2988" s="55"/>
      <c r="H2988" s="58"/>
      <c r="I2988" s="59"/>
    </row>
    <row r="2989" spans="2:9" x14ac:dyDescent="0.2">
      <c r="B2989" s="54" t="str">
        <f t="shared" si="62"/>
        <v>2008-078-3</v>
      </c>
      <c r="C2989" s="55">
        <v>2008</v>
      </c>
      <c r="D2989" s="55" t="s">
        <v>80</v>
      </c>
      <c r="E2989" s="55">
        <v>3</v>
      </c>
      <c r="F2989" s="57" t="s">
        <v>135</v>
      </c>
      <c r="G2989" s="55"/>
      <c r="H2989" s="58"/>
      <c r="I2989" s="59"/>
    </row>
    <row r="2990" spans="2:9" x14ac:dyDescent="0.2">
      <c r="B2990" s="54" t="str">
        <f t="shared" si="62"/>
        <v>2008-078-4</v>
      </c>
      <c r="C2990" s="55">
        <v>2008</v>
      </c>
      <c r="D2990" s="55" t="s">
        <v>80</v>
      </c>
      <c r="E2990" s="55">
        <v>4</v>
      </c>
      <c r="F2990" s="57" t="s">
        <v>135</v>
      </c>
      <c r="G2990" s="55"/>
      <c r="H2990" s="58"/>
      <c r="I2990" s="59"/>
    </row>
    <row r="2991" spans="2:9" x14ac:dyDescent="0.2">
      <c r="B2991" s="60" t="str">
        <f t="shared" si="62"/>
        <v>2008-078-5</v>
      </c>
      <c r="C2991" s="61">
        <v>2008</v>
      </c>
      <c r="D2991" s="61" t="s">
        <v>80</v>
      </c>
      <c r="E2991" s="61">
        <v>5</v>
      </c>
      <c r="F2991" s="62" t="s">
        <v>135</v>
      </c>
      <c r="G2991" s="61"/>
      <c r="H2991" s="63"/>
      <c r="I2991" s="64"/>
    </row>
    <row r="2992" spans="2:9" x14ac:dyDescent="0.2">
      <c r="B2992" s="65" t="str">
        <f t="shared" si="62"/>
        <v>2008-079-0</v>
      </c>
      <c r="C2992" s="66">
        <v>2008</v>
      </c>
      <c r="D2992" s="66" t="s">
        <v>81</v>
      </c>
      <c r="E2992" s="66">
        <v>0</v>
      </c>
      <c r="F2992" s="67" t="s">
        <v>136</v>
      </c>
      <c r="G2992" s="66"/>
      <c r="H2992" s="68"/>
      <c r="I2992" s="69"/>
    </row>
    <row r="2993" spans="2:9" x14ac:dyDescent="0.2">
      <c r="B2993" s="54" t="str">
        <f t="shared" si="62"/>
        <v>2008-079-1</v>
      </c>
      <c r="C2993" s="55">
        <v>2008</v>
      </c>
      <c r="D2993" s="55" t="s">
        <v>81</v>
      </c>
      <c r="E2993" s="55">
        <v>1</v>
      </c>
      <c r="F2993" s="57" t="s">
        <v>136</v>
      </c>
      <c r="G2993" s="55"/>
      <c r="H2993" s="58"/>
      <c r="I2993" s="59"/>
    </row>
    <row r="2994" spans="2:9" x14ac:dyDescent="0.2">
      <c r="B2994" s="54" t="str">
        <f t="shared" si="62"/>
        <v>2008-079-2</v>
      </c>
      <c r="C2994" s="55">
        <v>2008</v>
      </c>
      <c r="D2994" s="55" t="s">
        <v>81</v>
      </c>
      <c r="E2994" s="55">
        <v>2</v>
      </c>
      <c r="F2994" s="57" t="s">
        <v>136</v>
      </c>
      <c r="G2994" s="55"/>
      <c r="H2994" s="58"/>
      <c r="I2994" s="59"/>
    </row>
    <row r="2995" spans="2:9" x14ac:dyDescent="0.2">
      <c r="B2995" s="54" t="str">
        <f t="shared" si="62"/>
        <v>2008-079-3</v>
      </c>
      <c r="C2995" s="55">
        <v>2008</v>
      </c>
      <c r="D2995" s="55" t="s">
        <v>81</v>
      </c>
      <c r="E2995" s="55">
        <v>3</v>
      </c>
      <c r="F2995" s="76" t="s">
        <v>136</v>
      </c>
      <c r="G2995" s="55"/>
      <c r="H2995" s="58"/>
      <c r="I2995" s="59"/>
    </row>
    <row r="2996" spans="2:9" x14ac:dyDescent="0.2">
      <c r="B2996" s="54" t="str">
        <f t="shared" si="62"/>
        <v>2008-079-4</v>
      </c>
      <c r="C2996" s="55">
        <v>2008</v>
      </c>
      <c r="D2996" s="55" t="s">
        <v>81</v>
      </c>
      <c r="E2996" s="55">
        <v>4</v>
      </c>
      <c r="F2996" s="57" t="s">
        <v>136</v>
      </c>
      <c r="G2996" s="55"/>
      <c r="H2996" s="58"/>
      <c r="I2996" s="59"/>
    </row>
    <row r="2997" spans="2:9" x14ac:dyDescent="0.2">
      <c r="B2997" s="60" t="str">
        <f t="shared" si="62"/>
        <v>2008-079-5</v>
      </c>
      <c r="C2997" s="61">
        <v>2008</v>
      </c>
      <c r="D2997" s="61" t="s">
        <v>81</v>
      </c>
      <c r="E2997" s="61">
        <v>5</v>
      </c>
      <c r="F2997" s="62" t="s">
        <v>136</v>
      </c>
      <c r="G2997" s="61"/>
      <c r="H2997" s="63"/>
      <c r="I2997" s="64"/>
    </row>
    <row r="2998" spans="2:9" x14ac:dyDescent="0.2">
      <c r="B2998" s="65" t="str">
        <f t="shared" si="62"/>
        <v>2008-080-0</v>
      </c>
      <c r="C2998" s="66">
        <v>2008</v>
      </c>
      <c r="D2998" s="66" t="s">
        <v>82</v>
      </c>
      <c r="E2998" s="66">
        <v>0</v>
      </c>
      <c r="F2998" s="67" t="s">
        <v>137</v>
      </c>
      <c r="G2998" s="66"/>
      <c r="H2998" s="68"/>
      <c r="I2998" s="69"/>
    </row>
    <row r="2999" spans="2:9" x14ac:dyDescent="0.2">
      <c r="B2999" s="54" t="str">
        <f t="shared" si="62"/>
        <v>2008-080-1</v>
      </c>
      <c r="C2999" s="55">
        <v>2008</v>
      </c>
      <c r="D2999" s="55" t="s">
        <v>82</v>
      </c>
      <c r="E2999" s="55">
        <v>1</v>
      </c>
      <c r="F2999" s="57" t="s">
        <v>137</v>
      </c>
      <c r="G2999" s="55"/>
      <c r="H2999" s="58"/>
      <c r="I2999" s="59"/>
    </row>
    <row r="3000" spans="2:9" x14ac:dyDescent="0.2">
      <c r="B3000" s="54" t="str">
        <f t="shared" si="62"/>
        <v>2008-080-2</v>
      </c>
      <c r="C3000" s="55">
        <v>2008</v>
      </c>
      <c r="D3000" s="55" t="s">
        <v>82</v>
      </c>
      <c r="E3000" s="55">
        <v>2</v>
      </c>
      <c r="F3000" s="57" t="s">
        <v>137</v>
      </c>
      <c r="G3000" s="55"/>
      <c r="H3000" s="58"/>
      <c r="I3000" s="59"/>
    </row>
    <row r="3001" spans="2:9" x14ac:dyDescent="0.2">
      <c r="B3001" s="54" t="str">
        <f t="shared" si="62"/>
        <v>2008-080-3</v>
      </c>
      <c r="C3001" s="55">
        <v>2008</v>
      </c>
      <c r="D3001" s="55" t="s">
        <v>82</v>
      </c>
      <c r="E3001" s="55">
        <v>3</v>
      </c>
      <c r="F3001" s="57" t="s">
        <v>137</v>
      </c>
      <c r="G3001" s="55"/>
      <c r="H3001" s="58"/>
      <c r="I3001" s="59"/>
    </row>
    <row r="3002" spans="2:9" x14ac:dyDescent="0.2">
      <c r="B3002" s="54" t="str">
        <f t="shared" si="62"/>
        <v>2008-080-4</v>
      </c>
      <c r="C3002" s="55">
        <v>2008</v>
      </c>
      <c r="D3002" s="55" t="s">
        <v>82</v>
      </c>
      <c r="E3002" s="55">
        <v>4</v>
      </c>
      <c r="F3002" s="57" t="s">
        <v>137</v>
      </c>
      <c r="G3002" s="55"/>
      <c r="H3002" s="58"/>
      <c r="I3002" s="59"/>
    </row>
    <row r="3003" spans="2:9" x14ac:dyDescent="0.2">
      <c r="B3003" s="60" t="str">
        <f t="shared" si="62"/>
        <v>2008-080-5</v>
      </c>
      <c r="C3003" s="61">
        <v>2008</v>
      </c>
      <c r="D3003" s="61" t="s">
        <v>82</v>
      </c>
      <c r="E3003" s="61">
        <v>5</v>
      </c>
      <c r="F3003" s="62" t="s">
        <v>137</v>
      </c>
      <c r="G3003" s="61"/>
      <c r="H3003" s="63"/>
      <c r="I3003" s="64"/>
    </row>
    <row r="3004" spans="2:9" x14ac:dyDescent="0.2">
      <c r="B3004" s="65" t="str">
        <f t="shared" si="62"/>
        <v>2008-081-0</v>
      </c>
      <c r="C3004" s="66">
        <v>2008</v>
      </c>
      <c r="D3004" s="66" t="s">
        <v>88</v>
      </c>
      <c r="E3004" s="66">
        <v>0</v>
      </c>
      <c r="F3004" s="67" t="s">
        <v>138</v>
      </c>
      <c r="G3004" s="66"/>
      <c r="H3004" s="68"/>
      <c r="I3004" s="69"/>
    </row>
    <row r="3005" spans="2:9" x14ac:dyDescent="0.2">
      <c r="B3005" s="54" t="str">
        <f t="shared" si="62"/>
        <v>2008-081-1</v>
      </c>
      <c r="C3005" s="55">
        <v>2008</v>
      </c>
      <c r="D3005" s="55" t="s">
        <v>88</v>
      </c>
      <c r="E3005" s="55">
        <v>1</v>
      </c>
      <c r="F3005" s="57" t="s">
        <v>138</v>
      </c>
      <c r="G3005" s="55"/>
      <c r="H3005" s="58"/>
      <c r="I3005" s="59"/>
    </row>
    <row r="3006" spans="2:9" x14ac:dyDescent="0.2">
      <c r="B3006" s="54" t="str">
        <f t="shared" si="62"/>
        <v>2008-081-2</v>
      </c>
      <c r="C3006" s="55">
        <v>2008</v>
      </c>
      <c r="D3006" s="55" t="s">
        <v>88</v>
      </c>
      <c r="E3006" s="55">
        <v>2</v>
      </c>
      <c r="F3006" s="57" t="s">
        <v>138</v>
      </c>
      <c r="G3006" s="55"/>
      <c r="H3006" s="58"/>
      <c r="I3006" s="59"/>
    </row>
    <row r="3007" spans="2:9" x14ac:dyDescent="0.2">
      <c r="B3007" s="54" t="str">
        <f t="shared" si="62"/>
        <v>2008-081-3</v>
      </c>
      <c r="C3007" s="55">
        <v>2008</v>
      </c>
      <c r="D3007" s="55" t="s">
        <v>88</v>
      </c>
      <c r="E3007" s="55">
        <v>3</v>
      </c>
      <c r="F3007" s="57" t="s">
        <v>138</v>
      </c>
      <c r="G3007" s="55"/>
      <c r="H3007" s="58"/>
      <c r="I3007" s="59"/>
    </row>
    <row r="3008" spans="2:9" x14ac:dyDescent="0.2">
      <c r="B3008" s="54" t="str">
        <f t="shared" si="62"/>
        <v>2008-081-4</v>
      </c>
      <c r="C3008" s="55">
        <v>2008</v>
      </c>
      <c r="D3008" s="55" t="s">
        <v>88</v>
      </c>
      <c r="E3008" s="55">
        <v>4</v>
      </c>
      <c r="F3008" s="57" t="s">
        <v>138</v>
      </c>
      <c r="G3008" s="55"/>
      <c r="H3008" s="58"/>
      <c r="I3008" s="59"/>
    </row>
    <row r="3009" spans="2:9" x14ac:dyDescent="0.2">
      <c r="B3009" s="60" t="str">
        <f t="shared" si="62"/>
        <v>2008-081-5</v>
      </c>
      <c r="C3009" s="61">
        <v>2008</v>
      </c>
      <c r="D3009" s="61" t="s">
        <v>88</v>
      </c>
      <c r="E3009" s="61">
        <v>5</v>
      </c>
      <c r="F3009" s="62" t="s">
        <v>138</v>
      </c>
      <c r="G3009" s="61"/>
      <c r="H3009" s="63"/>
      <c r="I3009" s="64"/>
    </row>
    <row r="3010" spans="2:9" x14ac:dyDescent="0.2">
      <c r="B3010" s="65" t="str">
        <f t="shared" si="62"/>
        <v>2008-082-0</v>
      </c>
      <c r="C3010" s="66">
        <v>2008</v>
      </c>
      <c r="D3010" s="66" t="s">
        <v>89</v>
      </c>
      <c r="E3010" s="66">
        <v>0</v>
      </c>
      <c r="F3010" s="67" t="s">
        <v>139</v>
      </c>
      <c r="G3010" s="66"/>
      <c r="H3010" s="68"/>
      <c r="I3010" s="69"/>
    </row>
    <row r="3011" spans="2:9" x14ac:dyDescent="0.2">
      <c r="B3011" s="54" t="str">
        <f t="shared" si="62"/>
        <v>2008-082-1</v>
      </c>
      <c r="C3011" s="55">
        <v>2008</v>
      </c>
      <c r="D3011" s="55" t="s">
        <v>89</v>
      </c>
      <c r="E3011" s="55">
        <v>1</v>
      </c>
      <c r="F3011" s="57" t="s">
        <v>139</v>
      </c>
      <c r="G3011" s="55"/>
      <c r="H3011" s="58"/>
      <c r="I3011" s="59"/>
    </row>
    <row r="3012" spans="2:9" x14ac:dyDescent="0.2">
      <c r="B3012" s="54" t="str">
        <f t="shared" si="62"/>
        <v>2008-082-2</v>
      </c>
      <c r="C3012" s="55">
        <v>2008</v>
      </c>
      <c r="D3012" s="55" t="s">
        <v>89</v>
      </c>
      <c r="E3012" s="55">
        <v>2</v>
      </c>
      <c r="F3012" s="57" t="s">
        <v>139</v>
      </c>
      <c r="G3012" s="55"/>
      <c r="H3012" s="58"/>
      <c r="I3012" s="59"/>
    </row>
    <row r="3013" spans="2:9" x14ac:dyDescent="0.2">
      <c r="B3013" s="54" t="str">
        <f t="shared" si="62"/>
        <v>2008-082-3</v>
      </c>
      <c r="C3013" s="55">
        <v>2008</v>
      </c>
      <c r="D3013" s="55" t="s">
        <v>89</v>
      </c>
      <c r="E3013" s="55">
        <v>3</v>
      </c>
      <c r="F3013" s="57" t="s">
        <v>139</v>
      </c>
      <c r="G3013" s="55"/>
      <c r="H3013" s="58"/>
      <c r="I3013" s="59"/>
    </row>
    <row r="3014" spans="2:9" x14ac:dyDescent="0.2">
      <c r="B3014" s="54" t="str">
        <f t="shared" si="62"/>
        <v>2008-082-4</v>
      </c>
      <c r="C3014" s="55">
        <v>2008</v>
      </c>
      <c r="D3014" s="55" t="s">
        <v>89</v>
      </c>
      <c r="E3014" s="55">
        <v>4</v>
      </c>
      <c r="F3014" s="57" t="s">
        <v>139</v>
      </c>
      <c r="G3014" s="55"/>
      <c r="H3014" s="58"/>
      <c r="I3014" s="59"/>
    </row>
    <row r="3015" spans="2:9" x14ac:dyDescent="0.2">
      <c r="B3015" s="60" t="str">
        <f t="shared" si="62"/>
        <v>2008-082-5</v>
      </c>
      <c r="C3015" s="61">
        <v>2008</v>
      </c>
      <c r="D3015" s="61" t="s">
        <v>89</v>
      </c>
      <c r="E3015" s="61">
        <v>5</v>
      </c>
      <c r="F3015" s="62" t="s">
        <v>139</v>
      </c>
      <c r="G3015" s="61"/>
      <c r="H3015" s="63"/>
      <c r="I3015" s="64"/>
    </row>
    <row r="3016" spans="2:9" x14ac:dyDescent="0.2">
      <c r="B3016" s="65" t="str">
        <f t="shared" si="62"/>
        <v>2008-083-0</v>
      </c>
      <c r="C3016" s="66">
        <v>2008</v>
      </c>
      <c r="D3016" s="66" t="s">
        <v>90</v>
      </c>
      <c r="E3016" s="66">
        <v>0</v>
      </c>
      <c r="F3016" s="67" t="s">
        <v>140</v>
      </c>
      <c r="G3016" s="66"/>
      <c r="H3016" s="68"/>
      <c r="I3016" s="69"/>
    </row>
    <row r="3017" spans="2:9" x14ac:dyDescent="0.2">
      <c r="B3017" s="54" t="str">
        <f t="shared" si="62"/>
        <v>2008-083-1</v>
      </c>
      <c r="C3017" s="55">
        <v>2008</v>
      </c>
      <c r="D3017" s="55" t="s">
        <v>90</v>
      </c>
      <c r="E3017" s="55">
        <v>1</v>
      </c>
      <c r="F3017" s="57" t="s">
        <v>140</v>
      </c>
      <c r="G3017" s="55"/>
      <c r="H3017" s="58"/>
      <c r="I3017" s="59"/>
    </row>
    <row r="3018" spans="2:9" x14ac:dyDescent="0.2">
      <c r="B3018" s="54" t="str">
        <f t="shared" si="62"/>
        <v>2008-083-2</v>
      </c>
      <c r="C3018" s="55">
        <v>2008</v>
      </c>
      <c r="D3018" s="55" t="s">
        <v>90</v>
      </c>
      <c r="E3018" s="55">
        <v>2</v>
      </c>
      <c r="F3018" s="57" t="s">
        <v>140</v>
      </c>
      <c r="G3018" s="55"/>
      <c r="H3018" s="58"/>
      <c r="I3018" s="59"/>
    </row>
    <row r="3019" spans="2:9" x14ac:dyDescent="0.2">
      <c r="B3019" s="54" t="str">
        <f t="shared" si="62"/>
        <v>2008-083-3</v>
      </c>
      <c r="C3019" s="55">
        <v>2008</v>
      </c>
      <c r="D3019" s="55" t="s">
        <v>90</v>
      </c>
      <c r="E3019" s="55">
        <v>3</v>
      </c>
      <c r="F3019" s="57" t="s">
        <v>140</v>
      </c>
      <c r="G3019" s="55"/>
      <c r="H3019" s="58"/>
      <c r="I3019" s="59"/>
    </row>
    <row r="3020" spans="2:9" x14ac:dyDescent="0.2">
      <c r="B3020" s="54" t="str">
        <f t="shared" si="62"/>
        <v>2008-083-4</v>
      </c>
      <c r="C3020" s="55">
        <v>2008</v>
      </c>
      <c r="D3020" s="55" t="s">
        <v>90</v>
      </c>
      <c r="E3020" s="55">
        <v>4</v>
      </c>
      <c r="F3020" s="57" t="s">
        <v>140</v>
      </c>
      <c r="G3020" s="55"/>
      <c r="H3020" s="58"/>
      <c r="I3020" s="59"/>
    </row>
    <row r="3021" spans="2:9" x14ac:dyDescent="0.2">
      <c r="B3021" s="60" t="str">
        <f t="shared" si="62"/>
        <v>2008-083-5</v>
      </c>
      <c r="C3021" s="61">
        <v>2008</v>
      </c>
      <c r="D3021" s="61" t="s">
        <v>90</v>
      </c>
      <c r="E3021" s="61">
        <v>5</v>
      </c>
      <c r="F3021" s="62" t="s">
        <v>140</v>
      </c>
      <c r="G3021" s="61"/>
      <c r="H3021" s="63"/>
      <c r="I3021" s="64"/>
    </row>
    <row r="3022" spans="2:9" x14ac:dyDescent="0.2">
      <c r="B3022" s="65" t="str">
        <f t="shared" si="62"/>
        <v>2008-084-0</v>
      </c>
      <c r="C3022" s="66">
        <v>2008</v>
      </c>
      <c r="D3022" s="66" t="s">
        <v>91</v>
      </c>
      <c r="E3022" s="66">
        <v>0</v>
      </c>
      <c r="F3022" s="67" t="s">
        <v>141</v>
      </c>
      <c r="G3022" s="66"/>
      <c r="H3022" s="68"/>
      <c r="I3022" s="69"/>
    </row>
    <row r="3023" spans="2:9" x14ac:dyDescent="0.2">
      <c r="B3023" s="54" t="str">
        <f t="shared" si="62"/>
        <v>2008-084-1</v>
      </c>
      <c r="C3023" s="55">
        <v>2008</v>
      </c>
      <c r="D3023" s="55" t="s">
        <v>91</v>
      </c>
      <c r="E3023" s="55">
        <v>1</v>
      </c>
      <c r="F3023" s="57" t="s">
        <v>141</v>
      </c>
      <c r="G3023" s="55"/>
      <c r="H3023" s="58"/>
      <c r="I3023" s="59"/>
    </row>
    <row r="3024" spans="2:9" x14ac:dyDescent="0.2">
      <c r="B3024" s="54" t="str">
        <f t="shared" si="62"/>
        <v>2008-084-2</v>
      </c>
      <c r="C3024" s="55">
        <v>2008</v>
      </c>
      <c r="D3024" s="55" t="s">
        <v>91</v>
      </c>
      <c r="E3024" s="55">
        <v>2</v>
      </c>
      <c r="F3024" s="57" t="s">
        <v>141</v>
      </c>
      <c r="G3024" s="55"/>
      <c r="H3024" s="58"/>
      <c r="I3024" s="59"/>
    </row>
    <row r="3025" spans="2:9" x14ac:dyDescent="0.2">
      <c r="B3025" s="54" t="str">
        <f t="shared" si="62"/>
        <v>2008-084-3</v>
      </c>
      <c r="C3025" s="55">
        <v>2008</v>
      </c>
      <c r="D3025" s="55" t="s">
        <v>91</v>
      </c>
      <c r="E3025" s="55">
        <v>3</v>
      </c>
      <c r="F3025" s="57" t="s">
        <v>141</v>
      </c>
      <c r="G3025" s="55"/>
      <c r="H3025" s="58"/>
      <c r="I3025" s="59"/>
    </row>
    <row r="3026" spans="2:9" x14ac:dyDescent="0.2">
      <c r="B3026" s="54" t="str">
        <f t="shared" si="62"/>
        <v>2008-084-4</v>
      </c>
      <c r="C3026" s="55">
        <v>2008</v>
      </c>
      <c r="D3026" s="55" t="s">
        <v>91</v>
      </c>
      <c r="E3026" s="55">
        <v>4</v>
      </c>
      <c r="F3026" s="57" t="s">
        <v>141</v>
      </c>
      <c r="G3026" s="55"/>
      <c r="H3026" s="58"/>
      <c r="I3026" s="59"/>
    </row>
    <row r="3027" spans="2:9" x14ac:dyDescent="0.2">
      <c r="B3027" s="60" t="str">
        <f t="shared" si="62"/>
        <v>2008-084-5</v>
      </c>
      <c r="C3027" s="61">
        <v>2008</v>
      </c>
      <c r="D3027" s="61" t="s">
        <v>91</v>
      </c>
      <c r="E3027" s="61">
        <v>5</v>
      </c>
      <c r="F3027" s="62" t="s">
        <v>141</v>
      </c>
      <c r="G3027" s="61"/>
      <c r="H3027" s="63"/>
      <c r="I3027" s="64"/>
    </row>
    <row r="3028" spans="2:9" x14ac:dyDescent="0.2">
      <c r="B3028" s="65" t="str">
        <f t="shared" si="62"/>
        <v>2008-085-0</v>
      </c>
      <c r="C3028" s="66">
        <v>2008</v>
      </c>
      <c r="D3028" s="66" t="s">
        <v>92</v>
      </c>
      <c r="E3028" s="66">
        <v>0</v>
      </c>
      <c r="F3028" s="67" t="s">
        <v>142</v>
      </c>
      <c r="G3028" s="66"/>
      <c r="H3028" s="68"/>
      <c r="I3028" s="69"/>
    </row>
    <row r="3029" spans="2:9" x14ac:dyDescent="0.2">
      <c r="B3029" s="54" t="str">
        <f t="shared" si="62"/>
        <v>2008-085-1</v>
      </c>
      <c r="C3029" s="55">
        <v>2008</v>
      </c>
      <c r="D3029" s="55" t="s">
        <v>92</v>
      </c>
      <c r="E3029" s="55">
        <v>1</v>
      </c>
      <c r="F3029" s="57" t="s">
        <v>142</v>
      </c>
      <c r="G3029" s="55"/>
      <c r="H3029" s="58"/>
      <c r="I3029" s="59"/>
    </row>
    <row r="3030" spans="2:9" x14ac:dyDescent="0.2">
      <c r="B3030" s="54" t="str">
        <f t="shared" si="62"/>
        <v>2008-085-2</v>
      </c>
      <c r="C3030" s="55">
        <v>2008</v>
      </c>
      <c r="D3030" s="55" t="s">
        <v>92</v>
      </c>
      <c r="E3030" s="55">
        <v>2</v>
      </c>
      <c r="F3030" s="57" t="s">
        <v>142</v>
      </c>
      <c r="G3030" s="55"/>
      <c r="H3030" s="58"/>
      <c r="I3030" s="59"/>
    </row>
    <row r="3031" spans="2:9" x14ac:dyDescent="0.2">
      <c r="B3031" s="54" t="str">
        <f t="shared" si="62"/>
        <v>2008-085-3</v>
      </c>
      <c r="C3031" s="55">
        <v>2008</v>
      </c>
      <c r="D3031" s="55" t="s">
        <v>92</v>
      </c>
      <c r="E3031" s="55">
        <v>3</v>
      </c>
      <c r="F3031" s="57" t="s">
        <v>142</v>
      </c>
      <c r="G3031" s="55"/>
      <c r="H3031" s="58"/>
      <c r="I3031" s="59"/>
    </row>
    <row r="3032" spans="2:9" x14ac:dyDescent="0.2">
      <c r="B3032" s="54" t="str">
        <f t="shared" si="62"/>
        <v>2008-085-4</v>
      </c>
      <c r="C3032" s="55">
        <v>2008</v>
      </c>
      <c r="D3032" s="55" t="s">
        <v>92</v>
      </c>
      <c r="E3032" s="55">
        <v>4</v>
      </c>
      <c r="F3032" s="57" t="s">
        <v>142</v>
      </c>
      <c r="G3032" s="55"/>
      <c r="H3032" s="58"/>
      <c r="I3032" s="59"/>
    </row>
    <row r="3033" spans="2:9" x14ac:dyDescent="0.2">
      <c r="B3033" s="60" t="str">
        <f t="shared" si="62"/>
        <v>2008-085-5</v>
      </c>
      <c r="C3033" s="61">
        <v>2008</v>
      </c>
      <c r="D3033" s="61" t="s">
        <v>92</v>
      </c>
      <c r="E3033" s="61">
        <v>5</v>
      </c>
      <c r="F3033" s="62" t="s">
        <v>142</v>
      </c>
      <c r="G3033" s="61"/>
      <c r="H3033" s="63"/>
      <c r="I3033" s="64"/>
    </row>
    <row r="3034" spans="2:9" x14ac:dyDescent="0.2">
      <c r="B3034" s="65" t="str">
        <f t="shared" si="62"/>
        <v>2008-086-0</v>
      </c>
      <c r="C3034" s="66">
        <v>2008</v>
      </c>
      <c r="D3034" s="66" t="s">
        <v>93</v>
      </c>
      <c r="E3034" s="66">
        <v>0</v>
      </c>
      <c r="F3034" s="67" t="s">
        <v>143</v>
      </c>
      <c r="G3034" s="66"/>
      <c r="H3034" s="68"/>
      <c r="I3034" s="69"/>
    </row>
    <row r="3035" spans="2:9" x14ac:dyDescent="0.2">
      <c r="B3035" s="54" t="str">
        <f t="shared" si="62"/>
        <v>2008-086-1</v>
      </c>
      <c r="C3035" s="55">
        <v>2008</v>
      </c>
      <c r="D3035" s="55" t="s">
        <v>93</v>
      </c>
      <c r="E3035" s="55">
        <v>1</v>
      </c>
      <c r="F3035" s="57" t="s">
        <v>143</v>
      </c>
      <c r="G3035" s="55"/>
      <c r="H3035" s="58"/>
      <c r="I3035" s="59"/>
    </row>
    <row r="3036" spans="2:9" x14ac:dyDescent="0.2">
      <c r="B3036" s="54" t="str">
        <f t="shared" si="62"/>
        <v>2008-086-2</v>
      </c>
      <c r="C3036" s="55">
        <v>2008</v>
      </c>
      <c r="D3036" s="55" t="s">
        <v>93</v>
      </c>
      <c r="E3036" s="55">
        <v>2</v>
      </c>
      <c r="F3036" s="57" t="s">
        <v>143</v>
      </c>
      <c r="G3036" s="55"/>
      <c r="H3036" s="58"/>
      <c r="I3036" s="59"/>
    </row>
    <row r="3037" spans="2:9" x14ac:dyDescent="0.2">
      <c r="B3037" s="54" t="str">
        <f t="shared" si="62"/>
        <v>2008-086-3</v>
      </c>
      <c r="C3037" s="55">
        <v>2008</v>
      </c>
      <c r="D3037" s="55" t="s">
        <v>93</v>
      </c>
      <c r="E3037" s="55">
        <v>3</v>
      </c>
      <c r="F3037" s="57" t="s">
        <v>143</v>
      </c>
      <c r="G3037" s="55"/>
      <c r="H3037" s="58"/>
      <c r="I3037" s="59"/>
    </row>
    <row r="3038" spans="2:9" x14ac:dyDescent="0.2">
      <c r="B3038" s="54" t="str">
        <f t="shared" si="62"/>
        <v>2008-086-4</v>
      </c>
      <c r="C3038" s="55">
        <v>2008</v>
      </c>
      <c r="D3038" s="55" t="s">
        <v>93</v>
      </c>
      <c r="E3038" s="55">
        <v>4</v>
      </c>
      <c r="F3038" s="57" t="s">
        <v>143</v>
      </c>
      <c r="G3038" s="55"/>
      <c r="H3038" s="58"/>
      <c r="I3038" s="59"/>
    </row>
    <row r="3039" spans="2:9" x14ac:dyDescent="0.2">
      <c r="B3039" s="60" t="str">
        <f t="shared" ref="B3039:B3102" si="63">C3039&amp;"-"&amp;D3039&amp;"-"&amp;E3039</f>
        <v>2008-086-5</v>
      </c>
      <c r="C3039" s="61">
        <v>2008</v>
      </c>
      <c r="D3039" s="61" t="s">
        <v>93</v>
      </c>
      <c r="E3039" s="61">
        <v>5</v>
      </c>
      <c r="F3039" s="62" t="s">
        <v>143</v>
      </c>
      <c r="G3039" s="61"/>
      <c r="H3039" s="63"/>
      <c r="I3039" s="64"/>
    </row>
    <row r="3040" spans="2:9" x14ac:dyDescent="0.2">
      <c r="B3040" s="65" t="str">
        <f t="shared" si="63"/>
        <v>2008-087-0</v>
      </c>
      <c r="C3040" s="66">
        <v>2008</v>
      </c>
      <c r="D3040" s="66" t="s">
        <v>94</v>
      </c>
      <c r="E3040" s="66">
        <v>0</v>
      </c>
      <c r="F3040" s="67" t="s">
        <v>144</v>
      </c>
      <c r="G3040" s="66"/>
      <c r="H3040" s="68"/>
      <c r="I3040" s="69"/>
    </row>
    <row r="3041" spans="2:9" x14ac:dyDescent="0.2">
      <c r="B3041" s="54" t="str">
        <f t="shared" si="63"/>
        <v>2008-087-1</v>
      </c>
      <c r="C3041" s="55">
        <v>2008</v>
      </c>
      <c r="D3041" s="55" t="s">
        <v>94</v>
      </c>
      <c r="E3041" s="55">
        <v>1</v>
      </c>
      <c r="F3041" s="57" t="s">
        <v>144</v>
      </c>
      <c r="G3041" s="55"/>
      <c r="H3041" s="58"/>
      <c r="I3041" s="59"/>
    </row>
    <row r="3042" spans="2:9" x14ac:dyDescent="0.2">
      <c r="B3042" s="54" t="str">
        <f t="shared" si="63"/>
        <v>2008-087-2</v>
      </c>
      <c r="C3042" s="55">
        <v>2008</v>
      </c>
      <c r="D3042" s="55" t="s">
        <v>94</v>
      </c>
      <c r="E3042" s="55">
        <v>2</v>
      </c>
      <c r="F3042" s="57" t="s">
        <v>144</v>
      </c>
      <c r="G3042" s="55"/>
      <c r="H3042" s="58"/>
      <c r="I3042" s="59"/>
    </row>
    <row r="3043" spans="2:9" x14ac:dyDescent="0.2">
      <c r="B3043" s="54" t="str">
        <f t="shared" si="63"/>
        <v>2008-087-3</v>
      </c>
      <c r="C3043" s="55">
        <v>2008</v>
      </c>
      <c r="D3043" s="55" t="s">
        <v>94</v>
      </c>
      <c r="E3043" s="55">
        <v>3</v>
      </c>
      <c r="F3043" s="57" t="s">
        <v>144</v>
      </c>
      <c r="G3043" s="55"/>
      <c r="H3043" s="58"/>
      <c r="I3043" s="59"/>
    </row>
    <row r="3044" spans="2:9" x14ac:dyDescent="0.2">
      <c r="B3044" s="54" t="str">
        <f t="shared" si="63"/>
        <v>2008-087-4</v>
      </c>
      <c r="C3044" s="55">
        <v>2008</v>
      </c>
      <c r="D3044" s="55" t="s">
        <v>94</v>
      </c>
      <c r="E3044" s="55">
        <v>4</v>
      </c>
      <c r="F3044" s="57" t="s">
        <v>144</v>
      </c>
      <c r="G3044" s="55"/>
      <c r="H3044" s="58"/>
      <c r="I3044" s="59"/>
    </row>
    <row r="3045" spans="2:9" x14ac:dyDescent="0.2">
      <c r="B3045" s="60" t="str">
        <f t="shared" si="63"/>
        <v>2008-087-5</v>
      </c>
      <c r="C3045" s="61">
        <v>2008</v>
      </c>
      <c r="D3045" s="61" t="s">
        <v>94</v>
      </c>
      <c r="E3045" s="61">
        <v>5</v>
      </c>
      <c r="F3045" s="62" t="s">
        <v>144</v>
      </c>
      <c r="G3045" s="61"/>
      <c r="H3045" s="63"/>
      <c r="I3045" s="64"/>
    </row>
    <row r="3046" spans="2:9" x14ac:dyDescent="0.2">
      <c r="B3046" s="65" t="str">
        <f t="shared" si="63"/>
        <v>2008-088-0</v>
      </c>
      <c r="C3046" s="66">
        <v>2008</v>
      </c>
      <c r="D3046" s="66" t="s">
        <v>95</v>
      </c>
      <c r="E3046" s="66">
        <v>0</v>
      </c>
      <c r="F3046" s="67" t="s">
        <v>145</v>
      </c>
      <c r="G3046" s="66"/>
      <c r="H3046" s="68"/>
      <c r="I3046" s="69"/>
    </row>
    <row r="3047" spans="2:9" x14ac:dyDescent="0.2">
      <c r="B3047" s="54" t="str">
        <f t="shared" si="63"/>
        <v>2008-088-1</v>
      </c>
      <c r="C3047" s="55">
        <v>2008</v>
      </c>
      <c r="D3047" s="55" t="s">
        <v>95</v>
      </c>
      <c r="E3047" s="55">
        <v>1</v>
      </c>
      <c r="F3047" s="57" t="s">
        <v>145</v>
      </c>
      <c r="G3047" s="55"/>
      <c r="H3047" s="58"/>
      <c r="I3047" s="59"/>
    </row>
    <row r="3048" spans="2:9" x14ac:dyDescent="0.2">
      <c r="B3048" s="54" t="str">
        <f t="shared" si="63"/>
        <v>2008-088-2</v>
      </c>
      <c r="C3048" s="55">
        <v>2008</v>
      </c>
      <c r="D3048" s="55" t="s">
        <v>95</v>
      </c>
      <c r="E3048" s="55">
        <v>2</v>
      </c>
      <c r="F3048" s="57" t="s">
        <v>145</v>
      </c>
      <c r="G3048" s="55"/>
      <c r="H3048" s="58"/>
      <c r="I3048" s="59"/>
    </row>
    <row r="3049" spans="2:9" x14ac:dyDescent="0.2">
      <c r="B3049" s="54" t="str">
        <f t="shared" si="63"/>
        <v>2008-088-3</v>
      </c>
      <c r="C3049" s="55">
        <v>2008</v>
      </c>
      <c r="D3049" s="55" t="s">
        <v>95</v>
      </c>
      <c r="E3049" s="55">
        <v>3</v>
      </c>
      <c r="F3049" s="57" t="s">
        <v>145</v>
      </c>
      <c r="G3049" s="55"/>
      <c r="H3049" s="58"/>
      <c r="I3049" s="59"/>
    </row>
    <row r="3050" spans="2:9" x14ac:dyDescent="0.2">
      <c r="B3050" s="54" t="str">
        <f t="shared" si="63"/>
        <v>2008-088-4</v>
      </c>
      <c r="C3050" s="55">
        <v>2008</v>
      </c>
      <c r="D3050" s="55" t="s">
        <v>95</v>
      </c>
      <c r="E3050" s="55">
        <v>4</v>
      </c>
      <c r="F3050" s="57" t="s">
        <v>145</v>
      </c>
      <c r="G3050" s="55"/>
      <c r="H3050" s="58"/>
      <c r="I3050" s="59"/>
    </row>
    <row r="3051" spans="2:9" x14ac:dyDescent="0.2">
      <c r="B3051" s="60" t="str">
        <f t="shared" si="63"/>
        <v>2008-088-5</v>
      </c>
      <c r="C3051" s="61">
        <v>2008</v>
      </c>
      <c r="D3051" s="61" t="s">
        <v>95</v>
      </c>
      <c r="E3051" s="61">
        <v>5</v>
      </c>
      <c r="F3051" s="62" t="s">
        <v>145</v>
      </c>
      <c r="G3051" s="61"/>
      <c r="H3051" s="63"/>
      <c r="I3051" s="64"/>
    </row>
    <row r="3052" spans="2:9" x14ac:dyDescent="0.2">
      <c r="B3052" s="65" t="str">
        <f t="shared" si="63"/>
        <v>2008-089-0</v>
      </c>
      <c r="C3052" s="66">
        <v>2008</v>
      </c>
      <c r="D3052" s="66" t="s">
        <v>96</v>
      </c>
      <c r="E3052" s="66">
        <v>0</v>
      </c>
      <c r="F3052" s="67" t="s">
        <v>146</v>
      </c>
      <c r="G3052" s="66"/>
      <c r="H3052" s="68"/>
      <c r="I3052" s="69"/>
    </row>
    <row r="3053" spans="2:9" x14ac:dyDescent="0.2">
      <c r="B3053" s="54" t="str">
        <f t="shared" si="63"/>
        <v>2008-089-1</v>
      </c>
      <c r="C3053" s="55">
        <v>2008</v>
      </c>
      <c r="D3053" s="55" t="s">
        <v>96</v>
      </c>
      <c r="E3053" s="55">
        <v>1</v>
      </c>
      <c r="F3053" s="57" t="s">
        <v>146</v>
      </c>
      <c r="G3053" s="55"/>
      <c r="H3053" s="58"/>
      <c r="I3053" s="59"/>
    </row>
    <row r="3054" spans="2:9" x14ac:dyDescent="0.2">
      <c r="B3054" s="54" t="str">
        <f t="shared" si="63"/>
        <v>2008-089-2</v>
      </c>
      <c r="C3054" s="55">
        <v>2008</v>
      </c>
      <c r="D3054" s="55" t="s">
        <v>96</v>
      </c>
      <c r="E3054" s="55">
        <v>2</v>
      </c>
      <c r="F3054" s="57" t="s">
        <v>146</v>
      </c>
      <c r="G3054" s="55"/>
      <c r="H3054" s="58"/>
      <c r="I3054" s="59"/>
    </row>
    <row r="3055" spans="2:9" x14ac:dyDescent="0.2">
      <c r="B3055" s="54" t="str">
        <f t="shared" si="63"/>
        <v>2008-089-3</v>
      </c>
      <c r="C3055" s="55">
        <v>2008</v>
      </c>
      <c r="D3055" s="55" t="s">
        <v>96</v>
      </c>
      <c r="E3055" s="55">
        <v>3</v>
      </c>
      <c r="F3055" s="57" t="s">
        <v>146</v>
      </c>
      <c r="G3055" s="55"/>
      <c r="H3055" s="58"/>
      <c r="I3055" s="59"/>
    </row>
    <row r="3056" spans="2:9" x14ac:dyDescent="0.2">
      <c r="B3056" s="54" t="str">
        <f t="shared" si="63"/>
        <v>2008-089-4</v>
      </c>
      <c r="C3056" s="55">
        <v>2008</v>
      </c>
      <c r="D3056" s="55" t="s">
        <v>96</v>
      </c>
      <c r="E3056" s="55">
        <v>4</v>
      </c>
      <c r="F3056" s="57" t="s">
        <v>146</v>
      </c>
      <c r="G3056" s="55"/>
      <c r="H3056" s="58"/>
      <c r="I3056" s="59"/>
    </row>
    <row r="3057" spans="2:9" x14ac:dyDescent="0.2">
      <c r="B3057" s="60" t="str">
        <f t="shared" si="63"/>
        <v>2008-089-5</v>
      </c>
      <c r="C3057" s="61">
        <v>2008</v>
      </c>
      <c r="D3057" s="61" t="s">
        <v>96</v>
      </c>
      <c r="E3057" s="61">
        <v>5</v>
      </c>
      <c r="F3057" s="62" t="s">
        <v>146</v>
      </c>
      <c r="G3057" s="61"/>
      <c r="H3057" s="63"/>
      <c r="I3057" s="64"/>
    </row>
    <row r="3058" spans="2:9" x14ac:dyDescent="0.2">
      <c r="B3058" s="65" t="str">
        <f t="shared" si="63"/>
        <v>2008-090-0</v>
      </c>
      <c r="C3058" s="66">
        <v>2008</v>
      </c>
      <c r="D3058" s="66" t="s">
        <v>97</v>
      </c>
      <c r="E3058" s="66">
        <v>0</v>
      </c>
      <c r="F3058" s="67" t="s">
        <v>147</v>
      </c>
      <c r="G3058" s="66"/>
      <c r="H3058" s="68"/>
      <c r="I3058" s="69"/>
    </row>
    <row r="3059" spans="2:9" x14ac:dyDescent="0.2">
      <c r="B3059" s="54" t="str">
        <f t="shared" si="63"/>
        <v>2008-090-1</v>
      </c>
      <c r="C3059" s="55">
        <v>2008</v>
      </c>
      <c r="D3059" s="55" t="s">
        <v>97</v>
      </c>
      <c r="E3059" s="55">
        <v>1</v>
      </c>
      <c r="F3059" s="57" t="s">
        <v>147</v>
      </c>
      <c r="G3059" s="55"/>
      <c r="H3059" s="58"/>
      <c r="I3059" s="59"/>
    </row>
    <row r="3060" spans="2:9" x14ac:dyDescent="0.2">
      <c r="B3060" s="54" t="str">
        <f t="shared" si="63"/>
        <v>2008-090-2</v>
      </c>
      <c r="C3060" s="55">
        <v>2008</v>
      </c>
      <c r="D3060" s="55" t="s">
        <v>97</v>
      </c>
      <c r="E3060" s="55">
        <v>2</v>
      </c>
      <c r="F3060" s="57" t="s">
        <v>147</v>
      </c>
      <c r="G3060" s="55"/>
      <c r="H3060" s="58"/>
      <c r="I3060" s="59"/>
    </row>
    <row r="3061" spans="2:9" x14ac:dyDescent="0.2">
      <c r="B3061" s="54" t="str">
        <f t="shared" si="63"/>
        <v>2008-090-3</v>
      </c>
      <c r="C3061" s="55">
        <v>2008</v>
      </c>
      <c r="D3061" s="55" t="s">
        <v>97</v>
      </c>
      <c r="E3061" s="55">
        <v>3</v>
      </c>
      <c r="F3061" s="57" t="s">
        <v>147</v>
      </c>
      <c r="G3061" s="55"/>
      <c r="H3061" s="58"/>
      <c r="I3061" s="59"/>
    </row>
    <row r="3062" spans="2:9" x14ac:dyDescent="0.2">
      <c r="B3062" s="54" t="str">
        <f t="shared" si="63"/>
        <v>2008-090-4</v>
      </c>
      <c r="C3062" s="55">
        <v>2008</v>
      </c>
      <c r="D3062" s="55" t="s">
        <v>97</v>
      </c>
      <c r="E3062" s="55">
        <v>4</v>
      </c>
      <c r="F3062" s="57" t="s">
        <v>147</v>
      </c>
      <c r="G3062" s="55"/>
      <c r="H3062" s="58"/>
      <c r="I3062" s="59"/>
    </row>
    <row r="3063" spans="2:9" x14ac:dyDescent="0.2">
      <c r="B3063" s="60" t="str">
        <f t="shared" si="63"/>
        <v>2008-090-5</v>
      </c>
      <c r="C3063" s="61">
        <v>2008</v>
      </c>
      <c r="D3063" s="61" t="s">
        <v>97</v>
      </c>
      <c r="E3063" s="61">
        <v>5</v>
      </c>
      <c r="F3063" s="62" t="s">
        <v>147</v>
      </c>
      <c r="G3063" s="61"/>
      <c r="H3063" s="63"/>
      <c r="I3063" s="64"/>
    </row>
    <row r="3064" spans="2:9" x14ac:dyDescent="0.2">
      <c r="B3064" s="65" t="str">
        <f t="shared" si="63"/>
        <v>2008-091-0</v>
      </c>
      <c r="C3064" s="66">
        <v>2008</v>
      </c>
      <c r="D3064" s="66" t="s">
        <v>98</v>
      </c>
      <c r="E3064" s="66">
        <v>0</v>
      </c>
      <c r="F3064" s="67" t="s">
        <v>148</v>
      </c>
      <c r="G3064" s="66"/>
      <c r="H3064" s="68"/>
      <c r="I3064" s="69"/>
    </row>
    <row r="3065" spans="2:9" x14ac:dyDescent="0.2">
      <c r="B3065" s="54" t="str">
        <f t="shared" si="63"/>
        <v>2008-091-1</v>
      </c>
      <c r="C3065" s="55">
        <v>2008</v>
      </c>
      <c r="D3065" s="55" t="s">
        <v>98</v>
      </c>
      <c r="E3065" s="55">
        <v>1</v>
      </c>
      <c r="F3065" s="57" t="s">
        <v>148</v>
      </c>
      <c r="G3065" s="55"/>
      <c r="H3065" s="58"/>
      <c r="I3065" s="59"/>
    </row>
    <row r="3066" spans="2:9" x14ac:dyDescent="0.2">
      <c r="B3066" s="54" t="str">
        <f t="shared" si="63"/>
        <v>2008-091-2</v>
      </c>
      <c r="C3066" s="55">
        <v>2008</v>
      </c>
      <c r="D3066" s="55" t="s">
        <v>98</v>
      </c>
      <c r="E3066" s="55">
        <v>2</v>
      </c>
      <c r="F3066" s="57" t="s">
        <v>148</v>
      </c>
      <c r="G3066" s="55"/>
      <c r="H3066" s="58"/>
      <c r="I3066" s="59"/>
    </row>
    <row r="3067" spans="2:9" x14ac:dyDescent="0.2">
      <c r="B3067" s="54" t="str">
        <f t="shared" si="63"/>
        <v>2008-091-3</v>
      </c>
      <c r="C3067" s="55">
        <v>2008</v>
      </c>
      <c r="D3067" s="55" t="s">
        <v>98</v>
      </c>
      <c r="E3067" s="55">
        <v>3</v>
      </c>
      <c r="F3067" s="57" t="s">
        <v>148</v>
      </c>
      <c r="G3067" s="55"/>
      <c r="H3067" s="58"/>
      <c r="I3067" s="59"/>
    </row>
    <row r="3068" spans="2:9" x14ac:dyDescent="0.2">
      <c r="B3068" s="54" t="str">
        <f t="shared" si="63"/>
        <v>2008-091-4</v>
      </c>
      <c r="C3068" s="55">
        <v>2008</v>
      </c>
      <c r="D3068" s="55" t="s">
        <v>98</v>
      </c>
      <c r="E3068" s="55">
        <v>4</v>
      </c>
      <c r="F3068" s="57" t="s">
        <v>148</v>
      </c>
      <c r="G3068" s="55"/>
      <c r="H3068" s="58"/>
      <c r="I3068" s="59"/>
    </row>
    <row r="3069" spans="2:9" x14ac:dyDescent="0.2">
      <c r="B3069" s="60" t="str">
        <f t="shared" si="63"/>
        <v>2008-091-5</v>
      </c>
      <c r="C3069" s="61">
        <v>2008</v>
      </c>
      <c r="D3069" s="61" t="s">
        <v>98</v>
      </c>
      <c r="E3069" s="61">
        <v>5</v>
      </c>
      <c r="F3069" s="62" t="s">
        <v>148</v>
      </c>
      <c r="G3069" s="61"/>
      <c r="H3069" s="63"/>
      <c r="I3069" s="64"/>
    </row>
    <row r="3070" spans="2:9" x14ac:dyDescent="0.2">
      <c r="B3070" s="65" t="str">
        <f t="shared" si="63"/>
        <v>2008-092-0</v>
      </c>
      <c r="C3070" s="66">
        <v>2008</v>
      </c>
      <c r="D3070" s="66" t="s">
        <v>99</v>
      </c>
      <c r="E3070" s="66">
        <v>0</v>
      </c>
      <c r="F3070" s="67" t="s">
        <v>149</v>
      </c>
      <c r="G3070" s="66"/>
      <c r="H3070" s="68"/>
      <c r="I3070" s="69"/>
    </row>
    <row r="3071" spans="2:9" x14ac:dyDescent="0.2">
      <c r="B3071" s="54" t="str">
        <f t="shared" si="63"/>
        <v>2008-092-1</v>
      </c>
      <c r="C3071" s="55">
        <v>2008</v>
      </c>
      <c r="D3071" s="55" t="s">
        <v>99</v>
      </c>
      <c r="E3071" s="55">
        <v>1</v>
      </c>
      <c r="F3071" s="76" t="s">
        <v>149</v>
      </c>
      <c r="G3071" s="55"/>
      <c r="H3071" s="58"/>
      <c r="I3071" s="59"/>
    </row>
    <row r="3072" spans="2:9" x14ac:dyDescent="0.2">
      <c r="B3072" s="54" t="str">
        <f t="shared" si="63"/>
        <v>2008-092-2</v>
      </c>
      <c r="C3072" s="55">
        <v>2008</v>
      </c>
      <c r="D3072" s="55" t="s">
        <v>99</v>
      </c>
      <c r="E3072" s="55">
        <v>2</v>
      </c>
      <c r="F3072" s="76" t="s">
        <v>149</v>
      </c>
      <c r="G3072" s="55"/>
      <c r="H3072" s="58"/>
      <c r="I3072" s="59"/>
    </row>
    <row r="3073" spans="2:9" x14ac:dyDescent="0.2">
      <c r="B3073" s="54" t="str">
        <f t="shared" si="63"/>
        <v>2008-092-3</v>
      </c>
      <c r="C3073" s="55">
        <v>2008</v>
      </c>
      <c r="D3073" s="55" t="s">
        <v>99</v>
      </c>
      <c r="E3073" s="55">
        <v>3</v>
      </c>
      <c r="F3073" s="76" t="s">
        <v>149</v>
      </c>
      <c r="G3073" s="55"/>
      <c r="H3073" s="58"/>
      <c r="I3073" s="59"/>
    </row>
    <row r="3074" spans="2:9" x14ac:dyDescent="0.2">
      <c r="B3074" s="54" t="str">
        <f t="shared" si="63"/>
        <v>2008-092-4</v>
      </c>
      <c r="C3074" s="55">
        <v>2008</v>
      </c>
      <c r="D3074" s="55" t="s">
        <v>99</v>
      </c>
      <c r="E3074" s="55">
        <v>4</v>
      </c>
      <c r="F3074" s="76" t="s">
        <v>149</v>
      </c>
      <c r="G3074" s="55"/>
      <c r="H3074" s="58"/>
      <c r="I3074" s="59"/>
    </row>
    <row r="3075" spans="2:9" x14ac:dyDescent="0.2">
      <c r="B3075" s="60" t="str">
        <f t="shared" si="63"/>
        <v>2008-092-5</v>
      </c>
      <c r="C3075" s="61">
        <v>2008</v>
      </c>
      <c r="D3075" s="61" t="s">
        <v>99</v>
      </c>
      <c r="E3075" s="61">
        <v>5</v>
      </c>
      <c r="F3075" s="75" t="s">
        <v>149</v>
      </c>
      <c r="G3075" s="61"/>
      <c r="H3075" s="63"/>
      <c r="I3075" s="64"/>
    </row>
    <row r="3076" spans="2:9" x14ac:dyDescent="0.2">
      <c r="B3076" s="65" t="str">
        <f t="shared" si="63"/>
        <v>2008-093-0</v>
      </c>
      <c r="C3076" s="66">
        <v>2008</v>
      </c>
      <c r="D3076" s="66" t="s">
        <v>100</v>
      </c>
      <c r="E3076" s="66">
        <v>0</v>
      </c>
      <c r="F3076" s="67" t="s">
        <v>150</v>
      </c>
      <c r="G3076" s="66"/>
      <c r="H3076" s="68"/>
      <c r="I3076" s="69"/>
    </row>
    <row r="3077" spans="2:9" x14ac:dyDescent="0.2">
      <c r="B3077" s="54" t="str">
        <f t="shared" si="63"/>
        <v>2008-093-1</v>
      </c>
      <c r="C3077" s="55">
        <v>2008</v>
      </c>
      <c r="D3077" s="55" t="s">
        <v>100</v>
      </c>
      <c r="E3077" s="55">
        <v>1</v>
      </c>
      <c r="F3077" s="57" t="s">
        <v>150</v>
      </c>
      <c r="G3077" s="55"/>
      <c r="H3077" s="58"/>
      <c r="I3077" s="59"/>
    </row>
    <row r="3078" spans="2:9" x14ac:dyDescent="0.2">
      <c r="B3078" s="54" t="str">
        <f t="shared" si="63"/>
        <v>2008-093-2</v>
      </c>
      <c r="C3078" s="55">
        <v>2008</v>
      </c>
      <c r="D3078" s="55" t="s">
        <v>100</v>
      </c>
      <c r="E3078" s="55">
        <v>2</v>
      </c>
      <c r="F3078" s="57" t="s">
        <v>150</v>
      </c>
      <c r="G3078" s="55"/>
      <c r="H3078" s="58"/>
      <c r="I3078" s="59"/>
    </row>
    <row r="3079" spans="2:9" x14ac:dyDescent="0.2">
      <c r="B3079" s="54" t="str">
        <f t="shared" si="63"/>
        <v>2008-093-3</v>
      </c>
      <c r="C3079" s="55">
        <v>2008</v>
      </c>
      <c r="D3079" s="55" t="s">
        <v>100</v>
      </c>
      <c r="E3079" s="55">
        <v>3</v>
      </c>
      <c r="F3079" s="57" t="s">
        <v>150</v>
      </c>
      <c r="G3079" s="55"/>
      <c r="H3079" s="58"/>
      <c r="I3079" s="59"/>
    </row>
    <row r="3080" spans="2:9" x14ac:dyDescent="0.2">
      <c r="B3080" s="54" t="str">
        <f t="shared" si="63"/>
        <v>2008-093-4</v>
      </c>
      <c r="C3080" s="55">
        <v>2008</v>
      </c>
      <c r="D3080" s="55" t="s">
        <v>100</v>
      </c>
      <c r="E3080" s="55">
        <v>4</v>
      </c>
      <c r="F3080" s="57" t="s">
        <v>150</v>
      </c>
      <c r="G3080" s="55"/>
      <c r="H3080" s="58"/>
      <c r="I3080" s="59"/>
    </row>
    <row r="3081" spans="2:9" x14ac:dyDescent="0.2">
      <c r="B3081" s="60" t="str">
        <f t="shared" si="63"/>
        <v>2008-093-5</v>
      </c>
      <c r="C3081" s="61">
        <v>2008</v>
      </c>
      <c r="D3081" s="61" t="s">
        <v>100</v>
      </c>
      <c r="E3081" s="61">
        <v>5</v>
      </c>
      <c r="F3081" s="62" t="s">
        <v>150</v>
      </c>
      <c r="G3081" s="61"/>
      <c r="H3081" s="63"/>
      <c r="I3081" s="64"/>
    </row>
    <row r="3082" spans="2:9" x14ac:dyDescent="0.2">
      <c r="B3082" s="65" t="str">
        <f t="shared" si="63"/>
        <v>2008-094-0</v>
      </c>
      <c r="C3082" s="66">
        <v>2008</v>
      </c>
      <c r="D3082" s="66" t="s">
        <v>101</v>
      </c>
      <c r="E3082" s="66">
        <v>0</v>
      </c>
      <c r="F3082" s="67" t="s">
        <v>151</v>
      </c>
      <c r="G3082" s="66"/>
      <c r="H3082" s="68"/>
      <c r="I3082" s="69"/>
    </row>
    <row r="3083" spans="2:9" x14ac:dyDescent="0.2">
      <c r="B3083" s="54" t="str">
        <f t="shared" si="63"/>
        <v>2008-094-1</v>
      </c>
      <c r="C3083" s="55">
        <v>2008</v>
      </c>
      <c r="D3083" s="55" t="s">
        <v>101</v>
      </c>
      <c r="E3083" s="55">
        <v>1</v>
      </c>
      <c r="F3083" s="57" t="s">
        <v>151</v>
      </c>
      <c r="G3083" s="55"/>
      <c r="H3083" s="58"/>
      <c r="I3083" s="59"/>
    </row>
    <row r="3084" spans="2:9" x14ac:dyDescent="0.2">
      <c r="B3084" s="54" t="str">
        <f t="shared" si="63"/>
        <v>2008-094-2</v>
      </c>
      <c r="C3084" s="55">
        <v>2008</v>
      </c>
      <c r="D3084" s="55" t="s">
        <v>101</v>
      </c>
      <c r="E3084" s="55">
        <v>2</v>
      </c>
      <c r="F3084" s="57" t="s">
        <v>151</v>
      </c>
      <c r="G3084" s="55"/>
      <c r="H3084" s="58"/>
      <c r="I3084" s="59"/>
    </row>
    <row r="3085" spans="2:9" x14ac:dyDescent="0.2">
      <c r="B3085" s="54" t="str">
        <f t="shared" si="63"/>
        <v>2008-094-3</v>
      </c>
      <c r="C3085" s="55">
        <v>2008</v>
      </c>
      <c r="D3085" s="55" t="s">
        <v>101</v>
      </c>
      <c r="E3085" s="55">
        <v>3</v>
      </c>
      <c r="F3085" s="57" t="s">
        <v>151</v>
      </c>
      <c r="G3085" s="55"/>
      <c r="H3085" s="58"/>
      <c r="I3085" s="59"/>
    </row>
    <row r="3086" spans="2:9" x14ac:dyDescent="0.2">
      <c r="B3086" s="54" t="str">
        <f t="shared" si="63"/>
        <v>2008-094-4</v>
      </c>
      <c r="C3086" s="55">
        <v>2008</v>
      </c>
      <c r="D3086" s="55" t="s">
        <v>101</v>
      </c>
      <c r="E3086" s="55">
        <v>4</v>
      </c>
      <c r="F3086" s="57" t="s">
        <v>151</v>
      </c>
      <c r="G3086" s="55"/>
      <c r="H3086" s="58"/>
      <c r="I3086" s="59"/>
    </row>
    <row r="3087" spans="2:9" x14ac:dyDescent="0.2">
      <c r="B3087" s="60" t="str">
        <f t="shared" si="63"/>
        <v>2008-094-5</v>
      </c>
      <c r="C3087" s="61">
        <v>2008</v>
      </c>
      <c r="D3087" s="61" t="s">
        <v>101</v>
      </c>
      <c r="E3087" s="61">
        <v>5</v>
      </c>
      <c r="F3087" s="62" t="s">
        <v>151</v>
      </c>
      <c r="G3087" s="61"/>
      <c r="H3087" s="63"/>
      <c r="I3087" s="64"/>
    </row>
    <row r="3088" spans="2:9" x14ac:dyDescent="0.2">
      <c r="B3088" s="65" t="str">
        <f t="shared" si="63"/>
        <v>2008-095-0</v>
      </c>
      <c r="C3088" s="66">
        <v>2008</v>
      </c>
      <c r="D3088" s="66" t="s">
        <v>102</v>
      </c>
      <c r="E3088" s="66">
        <v>0</v>
      </c>
      <c r="F3088" s="67" t="s">
        <v>152</v>
      </c>
      <c r="G3088" s="66"/>
      <c r="H3088" s="68"/>
      <c r="I3088" s="69"/>
    </row>
    <row r="3089" spans="2:9" x14ac:dyDescent="0.2">
      <c r="B3089" s="54" t="str">
        <f t="shared" si="63"/>
        <v>2008-095-1</v>
      </c>
      <c r="C3089" s="55">
        <v>2008</v>
      </c>
      <c r="D3089" s="55" t="s">
        <v>102</v>
      </c>
      <c r="E3089" s="55">
        <v>1</v>
      </c>
      <c r="F3089" s="57" t="s">
        <v>152</v>
      </c>
      <c r="G3089" s="55"/>
      <c r="H3089" s="58"/>
      <c r="I3089" s="59"/>
    </row>
    <row r="3090" spans="2:9" x14ac:dyDescent="0.2">
      <c r="B3090" s="54" t="str">
        <f t="shared" si="63"/>
        <v>2008-095-2</v>
      </c>
      <c r="C3090" s="55">
        <v>2008</v>
      </c>
      <c r="D3090" s="55" t="s">
        <v>102</v>
      </c>
      <c r="E3090" s="55">
        <v>2</v>
      </c>
      <c r="F3090" s="57" t="s">
        <v>152</v>
      </c>
      <c r="G3090" s="55"/>
      <c r="H3090" s="58"/>
      <c r="I3090" s="59"/>
    </row>
    <row r="3091" spans="2:9" x14ac:dyDescent="0.2">
      <c r="B3091" s="54" t="str">
        <f t="shared" si="63"/>
        <v>2008-095-3</v>
      </c>
      <c r="C3091" s="55">
        <v>2008</v>
      </c>
      <c r="D3091" s="55" t="s">
        <v>102</v>
      </c>
      <c r="E3091" s="55">
        <v>3</v>
      </c>
      <c r="F3091" s="57" t="s">
        <v>152</v>
      </c>
      <c r="G3091" s="55"/>
      <c r="H3091" s="58"/>
      <c r="I3091" s="59"/>
    </row>
    <row r="3092" spans="2:9" x14ac:dyDescent="0.2">
      <c r="B3092" s="54" t="str">
        <f t="shared" si="63"/>
        <v>2008-095-4</v>
      </c>
      <c r="C3092" s="55">
        <v>2008</v>
      </c>
      <c r="D3092" s="55" t="s">
        <v>102</v>
      </c>
      <c r="E3092" s="55">
        <v>4</v>
      </c>
      <c r="F3092" s="57" t="s">
        <v>152</v>
      </c>
      <c r="G3092" s="55"/>
      <c r="H3092" s="58"/>
      <c r="I3092" s="59"/>
    </row>
    <row r="3093" spans="2:9" x14ac:dyDescent="0.2">
      <c r="B3093" s="60" t="str">
        <f t="shared" si="63"/>
        <v>2008-095-5</v>
      </c>
      <c r="C3093" s="61">
        <v>2008</v>
      </c>
      <c r="D3093" s="61" t="s">
        <v>102</v>
      </c>
      <c r="E3093" s="61">
        <v>5</v>
      </c>
      <c r="F3093" s="62" t="s">
        <v>152</v>
      </c>
      <c r="G3093" s="61"/>
      <c r="H3093" s="63"/>
      <c r="I3093" s="64"/>
    </row>
    <row r="3094" spans="2:9" x14ac:dyDescent="0.2">
      <c r="B3094" s="65" t="str">
        <f t="shared" si="63"/>
        <v>2008-096-0</v>
      </c>
      <c r="C3094" s="66">
        <v>2008</v>
      </c>
      <c r="D3094" s="66" t="s">
        <v>103</v>
      </c>
      <c r="E3094" s="66">
        <v>0</v>
      </c>
      <c r="F3094" s="67" t="s">
        <v>153</v>
      </c>
      <c r="G3094" s="66"/>
      <c r="H3094" s="68"/>
      <c r="I3094" s="69"/>
    </row>
    <row r="3095" spans="2:9" x14ac:dyDescent="0.2">
      <c r="B3095" s="54" t="str">
        <f t="shared" si="63"/>
        <v>2008-096-1</v>
      </c>
      <c r="C3095" s="55">
        <v>2008</v>
      </c>
      <c r="D3095" s="55" t="s">
        <v>103</v>
      </c>
      <c r="E3095" s="55">
        <v>1</v>
      </c>
      <c r="F3095" s="57" t="s">
        <v>153</v>
      </c>
      <c r="G3095" s="55"/>
      <c r="H3095" s="58"/>
      <c r="I3095" s="59"/>
    </row>
    <row r="3096" spans="2:9" x14ac:dyDescent="0.2">
      <c r="B3096" s="54" t="str">
        <f t="shared" si="63"/>
        <v>2008-096-2</v>
      </c>
      <c r="C3096" s="55">
        <v>2008</v>
      </c>
      <c r="D3096" s="55" t="s">
        <v>103</v>
      </c>
      <c r="E3096" s="55">
        <v>2</v>
      </c>
      <c r="F3096" s="57" t="s">
        <v>153</v>
      </c>
      <c r="G3096" s="55"/>
      <c r="H3096" s="58"/>
      <c r="I3096" s="59"/>
    </row>
    <row r="3097" spans="2:9" x14ac:dyDescent="0.2">
      <c r="B3097" s="54" t="str">
        <f t="shared" si="63"/>
        <v>2008-096-3</v>
      </c>
      <c r="C3097" s="55">
        <v>2008</v>
      </c>
      <c r="D3097" s="55" t="s">
        <v>103</v>
      </c>
      <c r="E3097" s="55">
        <v>3</v>
      </c>
      <c r="F3097" s="57" t="s">
        <v>153</v>
      </c>
      <c r="G3097" s="55"/>
      <c r="H3097" s="58"/>
      <c r="I3097" s="59"/>
    </row>
    <row r="3098" spans="2:9" x14ac:dyDescent="0.2">
      <c r="B3098" s="54" t="str">
        <f t="shared" si="63"/>
        <v>2008-096-4</v>
      </c>
      <c r="C3098" s="55">
        <v>2008</v>
      </c>
      <c r="D3098" s="55" t="s">
        <v>103</v>
      </c>
      <c r="E3098" s="55">
        <v>4</v>
      </c>
      <c r="F3098" s="57" t="s">
        <v>153</v>
      </c>
      <c r="G3098" s="55"/>
      <c r="H3098" s="58"/>
      <c r="I3098" s="59"/>
    </row>
    <row r="3099" spans="2:9" x14ac:dyDescent="0.2">
      <c r="B3099" s="60" t="str">
        <f t="shared" si="63"/>
        <v>2008-096-5</v>
      </c>
      <c r="C3099" s="61">
        <v>2008</v>
      </c>
      <c r="D3099" s="61" t="s">
        <v>103</v>
      </c>
      <c r="E3099" s="61">
        <v>5</v>
      </c>
      <c r="F3099" s="62" t="s">
        <v>153</v>
      </c>
      <c r="G3099" s="61"/>
      <c r="H3099" s="63"/>
      <c r="I3099" s="64"/>
    </row>
    <row r="3100" spans="2:9" x14ac:dyDescent="0.2">
      <c r="B3100" s="65" t="str">
        <f t="shared" si="63"/>
        <v>2008-097-0</v>
      </c>
      <c r="C3100" s="66">
        <v>2008</v>
      </c>
      <c r="D3100" s="66" t="s">
        <v>104</v>
      </c>
      <c r="E3100" s="66">
        <v>0</v>
      </c>
      <c r="F3100" s="67" t="s">
        <v>154</v>
      </c>
      <c r="G3100" s="66"/>
      <c r="H3100" s="68"/>
      <c r="I3100" s="69"/>
    </row>
    <row r="3101" spans="2:9" x14ac:dyDescent="0.2">
      <c r="B3101" s="54" t="str">
        <f t="shared" si="63"/>
        <v>2008-097-1</v>
      </c>
      <c r="C3101" s="55">
        <v>2008</v>
      </c>
      <c r="D3101" s="55" t="s">
        <v>104</v>
      </c>
      <c r="E3101" s="55">
        <v>1</v>
      </c>
      <c r="F3101" s="57" t="s">
        <v>154</v>
      </c>
      <c r="G3101" s="55"/>
      <c r="H3101" s="58"/>
      <c r="I3101" s="59"/>
    </row>
    <row r="3102" spans="2:9" x14ac:dyDescent="0.2">
      <c r="B3102" s="54" t="str">
        <f t="shared" si="63"/>
        <v>2008-097-2</v>
      </c>
      <c r="C3102" s="55">
        <v>2008</v>
      </c>
      <c r="D3102" s="55" t="s">
        <v>104</v>
      </c>
      <c r="E3102" s="55">
        <v>2</v>
      </c>
      <c r="F3102" s="57" t="s">
        <v>154</v>
      </c>
      <c r="G3102" s="55"/>
      <c r="H3102" s="58"/>
      <c r="I3102" s="59"/>
    </row>
    <row r="3103" spans="2:9" x14ac:dyDescent="0.2">
      <c r="B3103" s="54" t="str">
        <f t="shared" ref="B3103:B3123" si="64">C3103&amp;"-"&amp;D3103&amp;"-"&amp;E3103</f>
        <v>2008-097-3</v>
      </c>
      <c r="C3103" s="55">
        <v>2008</v>
      </c>
      <c r="D3103" s="55" t="s">
        <v>104</v>
      </c>
      <c r="E3103" s="55">
        <v>3</v>
      </c>
      <c r="F3103" s="57" t="s">
        <v>154</v>
      </c>
      <c r="G3103" s="55"/>
      <c r="H3103" s="58"/>
      <c r="I3103" s="59"/>
    </row>
    <row r="3104" spans="2:9" x14ac:dyDescent="0.2">
      <c r="B3104" s="54" t="str">
        <f t="shared" si="64"/>
        <v>2008-097-4</v>
      </c>
      <c r="C3104" s="55">
        <v>2008</v>
      </c>
      <c r="D3104" s="55" t="s">
        <v>104</v>
      </c>
      <c r="E3104" s="55">
        <v>4</v>
      </c>
      <c r="F3104" s="57" t="s">
        <v>154</v>
      </c>
      <c r="G3104" s="55"/>
      <c r="H3104" s="58"/>
      <c r="I3104" s="59"/>
    </row>
    <row r="3105" spans="2:9" x14ac:dyDescent="0.2">
      <c r="B3105" s="60" t="str">
        <f t="shared" si="64"/>
        <v>2008-097-5</v>
      </c>
      <c r="C3105" s="61">
        <v>2008</v>
      </c>
      <c r="D3105" s="61" t="s">
        <v>104</v>
      </c>
      <c r="E3105" s="61">
        <v>5</v>
      </c>
      <c r="F3105" s="62" t="s">
        <v>154</v>
      </c>
      <c r="G3105" s="61"/>
      <c r="H3105" s="63"/>
      <c r="I3105" s="64"/>
    </row>
    <row r="3106" spans="2:9" x14ac:dyDescent="0.2">
      <c r="B3106" s="65" t="str">
        <f t="shared" si="64"/>
        <v>2008-098-0</v>
      </c>
      <c r="C3106" s="66">
        <v>2008</v>
      </c>
      <c r="D3106" s="66" t="s">
        <v>105</v>
      </c>
      <c r="E3106" s="66">
        <v>0</v>
      </c>
      <c r="F3106" s="67" t="s">
        <v>155</v>
      </c>
      <c r="G3106" s="66"/>
      <c r="H3106" s="68"/>
      <c r="I3106" s="69"/>
    </row>
    <row r="3107" spans="2:9" x14ac:dyDescent="0.2">
      <c r="B3107" s="54" t="str">
        <f t="shared" si="64"/>
        <v>2008-098-1</v>
      </c>
      <c r="C3107" s="55">
        <v>2008</v>
      </c>
      <c r="D3107" s="55" t="s">
        <v>105</v>
      </c>
      <c r="E3107" s="55">
        <v>1</v>
      </c>
      <c r="F3107" s="57" t="s">
        <v>155</v>
      </c>
      <c r="G3107" s="55"/>
      <c r="H3107" s="58"/>
      <c r="I3107" s="59"/>
    </row>
    <row r="3108" spans="2:9" x14ac:dyDescent="0.2">
      <c r="B3108" s="54" t="str">
        <f t="shared" si="64"/>
        <v>2008-098-2</v>
      </c>
      <c r="C3108" s="55">
        <v>2008</v>
      </c>
      <c r="D3108" s="55" t="s">
        <v>105</v>
      </c>
      <c r="E3108" s="55">
        <v>2</v>
      </c>
      <c r="F3108" s="57" t="s">
        <v>155</v>
      </c>
      <c r="G3108" s="55"/>
      <c r="H3108" s="58"/>
      <c r="I3108" s="59"/>
    </row>
    <row r="3109" spans="2:9" x14ac:dyDescent="0.2">
      <c r="B3109" s="54" t="str">
        <f t="shared" si="64"/>
        <v>2008-098-3</v>
      </c>
      <c r="C3109" s="55">
        <v>2008</v>
      </c>
      <c r="D3109" s="55" t="s">
        <v>105</v>
      </c>
      <c r="E3109" s="55">
        <v>3</v>
      </c>
      <c r="F3109" s="57" t="s">
        <v>155</v>
      </c>
      <c r="G3109" s="55"/>
      <c r="H3109" s="58"/>
      <c r="I3109" s="59"/>
    </row>
    <row r="3110" spans="2:9" x14ac:dyDescent="0.2">
      <c r="B3110" s="54" t="str">
        <f t="shared" si="64"/>
        <v>2008-098-4</v>
      </c>
      <c r="C3110" s="55">
        <v>2008</v>
      </c>
      <c r="D3110" s="55" t="s">
        <v>105</v>
      </c>
      <c r="E3110" s="55">
        <v>4</v>
      </c>
      <c r="F3110" s="57" t="s">
        <v>155</v>
      </c>
      <c r="G3110" s="55"/>
      <c r="H3110" s="58"/>
      <c r="I3110" s="59"/>
    </row>
    <row r="3111" spans="2:9" x14ac:dyDescent="0.2">
      <c r="B3111" s="60" t="str">
        <f t="shared" si="64"/>
        <v>2008-098-5</v>
      </c>
      <c r="C3111" s="61">
        <v>2008</v>
      </c>
      <c r="D3111" s="61" t="s">
        <v>105</v>
      </c>
      <c r="E3111" s="61">
        <v>5</v>
      </c>
      <c r="F3111" s="62" t="s">
        <v>155</v>
      </c>
      <c r="G3111" s="61"/>
      <c r="H3111" s="63"/>
      <c r="I3111" s="64"/>
    </row>
    <row r="3112" spans="2:9" x14ac:dyDescent="0.2">
      <c r="B3112" s="65" t="str">
        <f t="shared" si="64"/>
        <v>2008-099-0</v>
      </c>
      <c r="C3112" s="66">
        <v>2008</v>
      </c>
      <c r="D3112" s="66" t="s">
        <v>106</v>
      </c>
      <c r="E3112" s="66">
        <v>0</v>
      </c>
      <c r="F3112" s="67" t="s">
        <v>156</v>
      </c>
      <c r="G3112" s="66"/>
      <c r="H3112" s="68"/>
      <c r="I3112" s="69"/>
    </row>
    <row r="3113" spans="2:9" x14ac:dyDescent="0.2">
      <c r="B3113" s="54" t="str">
        <f t="shared" si="64"/>
        <v>2008-099-1</v>
      </c>
      <c r="C3113" s="55">
        <v>2008</v>
      </c>
      <c r="D3113" s="55" t="s">
        <v>106</v>
      </c>
      <c r="E3113" s="55">
        <v>1</v>
      </c>
      <c r="F3113" s="57" t="s">
        <v>156</v>
      </c>
      <c r="G3113" s="55"/>
      <c r="H3113" s="58"/>
      <c r="I3113" s="59"/>
    </row>
    <row r="3114" spans="2:9" x14ac:dyDescent="0.2">
      <c r="B3114" s="54" t="str">
        <f t="shared" si="64"/>
        <v>2008-099-2</v>
      </c>
      <c r="C3114" s="55">
        <v>2008</v>
      </c>
      <c r="D3114" s="55" t="s">
        <v>106</v>
      </c>
      <c r="E3114" s="55">
        <v>2</v>
      </c>
      <c r="F3114" s="57" t="s">
        <v>156</v>
      </c>
      <c r="G3114" s="55"/>
      <c r="H3114" s="58"/>
      <c r="I3114" s="59"/>
    </row>
    <row r="3115" spans="2:9" x14ac:dyDescent="0.2">
      <c r="B3115" s="54" t="str">
        <f t="shared" si="64"/>
        <v>2008-099-3</v>
      </c>
      <c r="C3115" s="55">
        <v>2008</v>
      </c>
      <c r="D3115" s="55" t="s">
        <v>106</v>
      </c>
      <c r="E3115" s="55">
        <v>3</v>
      </c>
      <c r="F3115" s="57" t="s">
        <v>156</v>
      </c>
      <c r="G3115" s="55"/>
      <c r="H3115" s="58"/>
      <c r="I3115" s="59"/>
    </row>
    <row r="3116" spans="2:9" x14ac:dyDescent="0.2">
      <c r="B3116" s="54" t="str">
        <f t="shared" si="64"/>
        <v>2008-099-4</v>
      </c>
      <c r="C3116" s="55">
        <v>2008</v>
      </c>
      <c r="D3116" s="55" t="s">
        <v>106</v>
      </c>
      <c r="E3116" s="55">
        <v>4</v>
      </c>
      <c r="F3116" s="57" t="s">
        <v>156</v>
      </c>
      <c r="G3116" s="55"/>
      <c r="H3116" s="58"/>
      <c r="I3116" s="59"/>
    </row>
    <row r="3117" spans="2:9" x14ac:dyDescent="0.2">
      <c r="B3117" s="60" t="str">
        <f t="shared" si="64"/>
        <v>2008-099-5</v>
      </c>
      <c r="C3117" s="61">
        <v>2008</v>
      </c>
      <c r="D3117" s="61" t="s">
        <v>106</v>
      </c>
      <c r="E3117" s="61">
        <v>5</v>
      </c>
      <c r="F3117" s="62" t="s">
        <v>156</v>
      </c>
      <c r="G3117" s="61"/>
      <c r="H3117" s="63"/>
      <c r="I3117" s="64"/>
    </row>
    <row r="3118" spans="2:9" x14ac:dyDescent="0.2">
      <c r="B3118" s="65" t="str">
        <f t="shared" si="64"/>
        <v>2008-100-0</v>
      </c>
      <c r="C3118" s="66">
        <v>2008</v>
      </c>
      <c r="D3118" s="66" t="s">
        <v>107</v>
      </c>
      <c r="E3118" s="66">
        <v>0</v>
      </c>
      <c r="F3118" s="67" t="s">
        <v>157</v>
      </c>
      <c r="G3118" s="66"/>
      <c r="H3118" s="68"/>
      <c r="I3118" s="69"/>
    </row>
    <row r="3119" spans="2:9" x14ac:dyDescent="0.2">
      <c r="B3119" s="54" t="str">
        <f t="shared" si="64"/>
        <v>2008-100-1</v>
      </c>
      <c r="C3119" s="55">
        <v>2008</v>
      </c>
      <c r="D3119" s="55" t="s">
        <v>107</v>
      </c>
      <c r="E3119" s="55">
        <v>1</v>
      </c>
      <c r="F3119" s="57" t="s">
        <v>157</v>
      </c>
      <c r="G3119" s="55"/>
      <c r="H3119" s="58"/>
      <c r="I3119" s="59"/>
    </row>
    <row r="3120" spans="2:9" x14ac:dyDescent="0.2">
      <c r="B3120" s="54" t="str">
        <f t="shared" si="64"/>
        <v>2008-100-2</v>
      </c>
      <c r="C3120" s="55">
        <v>2008</v>
      </c>
      <c r="D3120" s="55" t="s">
        <v>107</v>
      </c>
      <c r="E3120" s="55">
        <v>2</v>
      </c>
      <c r="F3120" s="57" t="s">
        <v>157</v>
      </c>
      <c r="G3120" s="55"/>
      <c r="H3120" s="58"/>
      <c r="I3120" s="59"/>
    </row>
    <row r="3121" spans="2:9" x14ac:dyDescent="0.2">
      <c r="B3121" s="54" t="str">
        <f t="shared" si="64"/>
        <v>2008-100-3</v>
      </c>
      <c r="C3121" s="55">
        <v>2008</v>
      </c>
      <c r="D3121" s="55" t="s">
        <v>107</v>
      </c>
      <c r="E3121" s="55">
        <v>3</v>
      </c>
      <c r="F3121" s="57" t="s">
        <v>157</v>
      </c>
      <c r="G3121" s="55"/>
      <c r="H3121" s="58"/>
      <c r="I3121" s="59"/>
    </row>
    <row r="3122" spans="2:9" x14ac:dyDescent="0.2">
      <c r="B3122" s="54" t="str">
        <f t="shared" si="64"/>
        <v>2008-100-4</v>
      </c>
      <c r="C3122" s="55">
        <v>2008</v>
      </c>
      <c r="D3122" s="55" t="s">
        <v>107</v>
      </c>
      <c r="E3122" s="55">
        <v>4</v>
      </c>
      <c r="F3122" s="57" t="s">
        <v>157</v>
      </c>
      <c r="H3122" s="58"/>
      <c r="I3122" s="59"/>
    </row>
    <row r="3123" spans="2:9" ht="14.25" thickBot="1" x14ac:dyDescent="0.25">
      <c r="B3123" s="70" t="str">
        <f t="shared" si="64"/>
        <v>2008-100-5</v>
      </c>
      <c r="C3123" s="71">
        <v>2008</v>
      </c>
      <c r="D3123" s="71" t="s">
        <v>107</v>
      </c>
      <c r="E3123" s="71">
        <v>5</v>
      </c>
      <c r="F3123" s="72" t="s">
        <v>157</v>
      </c>
      <c r="G3123" s="71"/>
      <c r="H3123" s="73"/>
      <c r="I3123" s="74"/>
    </row>
  </sheetData>
  <autoFilter ref="B3:I3123" xr:uid="{771C08EA-A7F4-4083-AAAA-5DF540F2F338}"/>
  <mergeCells count="1">
    <mergeCell ref="D2:E2"/>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24" sqref="D24"/>
    </sheetView>
  </sheetViews>
  <sheetFormatPr defaultRowHeight="13.5" x14ac:dyDescent="0.2"/>
  <cols>
    <col min="1" max="1" width="9.140625" style="1"/>
    <col min="2" max="2" width="11.7109375" style="4" customWidth="1"/>
    <col min="3" max="3" width="5.7109375" style="4" customWidth="1"/>
    <col min="4" max="4" width="98.7109375" style="79" customWidth="1"/>
    <col min="5" max="7" width="5.7109375" style="4" customWidth="1"/>
    <col min="8" max="16384" width="9.140625" style="1"/>
  </cols>
  <sheetData>
    <row r="2" spans="2:10" x14ac:dyDescent="0.2">
      <c r="B2" s="77" t="s">
        <v>24</v>
      </c>
      <c r="C2" s="78">
        <v>40</v>
      </c>
    </row>
    <row r="3" spans="2:10" x14ac:dyDescent="0.2">
      <c r="B3" s="77" t="s">
        <v>38</v>
      </c>
      <c r="C3" s="78" t="s">
        <v>31</v>
      </c>
    </row>
    <row r="4" spans="2:10" x14ac:dyDescent="0.2">
      <c r="B4" s="77" t="s">
        <v>39</v>
      </c>
      <c r="C4" s="78" t="s">
        <v>31</v>
      </c>
    </row>
    <row r="5" spans="2:10" x14ac:dyDescent="0.2">
      <c r="B5" s="77" t="s">
        <v>25</v>
      </c>
      <c r="C5" s="78">
        <v>2024</v>
      </c>
    </row>
    <row r="6" spans="2:10" x14ac:dyDescent="0.2">
      <c r="B6" s="77" t="s">
        <v>26</v>
      </c>
      <c r="C6" s="78">
        <v>2024</v>
      </c>
    </row>
    <row r="10" spans="2:10" x14ac:dyDescent="0.2">
      <c r="B10" s="80" t="s">
        <v>27</v>
      </c>
      <c r="C10" s="80" t="s">
        <v>1</v>
      </c>
      <c r="D10" s="80" t="s">
        <v>28</v>
      </c>
      <c r="E10" s="80" t="s">
        <v>29</v>
      </c>
      <c r="F10" s="80" t="s">
        <v>37</v>
      </c>
      <c r="G10" s="80" t="s">
        <v>30</v>
      </c>
    </row>
    <row r="11" spans="2:10" ht="81" x14ac:dyDescent="0.2">
      <c r="B11" s="81" t="s">
        <v>2736</v>
      </c>
      <c r="C11" s="81">
        <v>1</v>
      </c>
      <c r="D11" s="82" t="s">
        <v>158</v>
      </c>
      <c r="E11" s="83">
        <v>5</v>
      </c>
      <c r="F11" s="81"/>
      <c r="G11" s="81" t="str">
        <f>IF(F11&lt;&gt;"", IF(E11=F11, "O", "X"), "")</f>
        <v/>
      </c>
      <c r="H11" s="3"/>
      <c r="I11" s="3"/>
      <c r="J11" s="3"/>
    </row>
    <row r="12" spans="2:10" x14ac:dyDescent="0.2">
      <c r="B12" s="171" t="s">
        <v>2737</v>
      </c>
      <c r="C12" s="171" t="s">
        <v>32</v>
      </c>
      <c r="D12" s="172" t="s">
        <v>6</v>
      </c>
      <c r="E12" s="171"/>
      <c r="F12" s="171"/>
      <c r="G12" s="171"/>
      <c r="H12" s="3"/>
      <c r="I12" s="3"/>
      <c r="J12" s="3"/>
    </row>
    <row r="13" spans="2:10" x14ac:dyDescent="0.2">
      <c r="B13" s="171" t="s">
        <v>2738</v>
      </c>
      <c r="C13" s="171" t="s">
        <v>33</v>
      </c>
      <c r="D13" s="172" t="s">
        <v>11</v>
      </c>
      <c r="E13" s="171"/>
      <c r="F13" s="171"/>
      <c r="G13" s="171"/>
      <c r="H13" s="3"/>
      <c r="I13" s="3"/>
      <c r="J13" s="3"/>
    </row>
    <row r="14" spans="2:10" x14ac:dyDescent="0.2">
      <c r="B14" s="171" t="s">
        <v>2739</v>
      </c>
      <c r="C14" s="171" t="s">
        <v>34</v>
      </c>
      <c r="D14" s="172" t="s">
        <v>17</v>
      </c>
      <c r="E14" s="171"/>
      <c r="F14" s="171"/>
      <c r="G14" s="171"/>
      <c r="H14" s="3"/>
      <c r="I14" s="3"/>
      <c r="J14" s="3"/>
    </row>
    <row r="15" spans="2:10" x14ac:dyDescent="0.2">
      <c r="B15" s="171" t="s">
        <v>2740</v>
      </c>
      <c r="C15" s="171" t="s">
        <v>35</v>
      </c>
      <c r="D15" s="172" t="s">
        <v>19</v>
      </c>
      <c r="E15" s="171"/>
      <c r="F15" s="171"/>
      <c r="G15" s="171"/>
      <c r="H15" s="3"/>
      <c r="I15" s="3"/>
      <c r="J15" s="3"/>
    </row>
    <row r="16" spans="2:10" x14ac:dyDescent="0.2">
      <c r="B16" s="171" t="s">
        <v>2741</v>
      </c>
      <c r="C16" s="171" t="s">
        <v>36</v>
      </c>
      <c r="D16" s="172" t="s">
        <v>21</v>
      </c>
      <c r="E16" s="171"/>
      <c r="F16" s="171"/>
      <c r="G16" s="171"/>
      <c r="H16" s="3"/>
      <c r="I16" s="3"/>
      <c r="J16" s="3"/>
    </row>
    <row r="17" spans="2:10" x14ac:dyDescent="0.2">
      <c r="B17" s="81" t="s">
        <v>2742</v>
      </c>
      <c r="C17" s="81">
        <v>2</v>
      </c>
      <c r="D17" s="82" t="s">
        <v>159</v>
      </c>
      <c r="E17" s="83">
        <v>1</v>
      </c>
      <c r="F17" s="81"/>
      <c r="G17" s="81" t="str">
        <f>IF(F17&lt;&gt;"", IF(E17=F17, "O", "X"), "")</f>
        <v/>
      </c>
      <c r="H17" s="3"/>
      <c r="I17" s="3"/>
      <c r="J17" s="3"/>
    </row>
    <row r="18" spans="2:10" ht="27" x14ac:dyDescent="0.2">
      <c r="B18" s="171" t="s">
        <v>2743</v>
      </c>
      <c r="C18" s="171" t="s">
        <v>32</v>
      </c>
      <c r="D18" s="172" t="s">
        <v>525</v>
      </c>
      <c r="E18" s="171"/>
      <c r="F18" s="171"/>
      <c r="G18" s="171"/>
      <c r="H18" s="3"/>
      <c r="I18" s="3"/>
      <c r="J18" s="3"/>
    </row>
    <row r="19" spans="2:10" ht="27" x14ac:dyDescent="0.2">
      <c r="B19" s="171" t="s">
        <v>2744</v>
      </c>
      <c r="C19" s="171" t="s">
        <v>33</v>
      </c>
      <c r="D19" s="172" t="s">
        <v>852</v>
      </c>
      <c r="E19" s="171"/>
      <c r="F19" s="171"/>
      <c r="G19" s="171"/>
      <c r="H19" s="3"/>
      <c r="I19" s="3"/>
      <c r="J19" s="3"/>
    </row>
    <row r="20" spans="2:10" ht="27" x14ac:dyDescent="0.2">
      <c r="B20" s="171" t="s">
        <v>2745</v>
      </c>
      <c r="C20" s="171" t="s">
        <v>34</v>
      </c>
      <c r="D20" s="172" t="s">
        <v>1174</v>
      </c>
      <c r="E20" s="171"/>
      <c r="F20" s="171"/>
      <c r="G20" s="171"/>
      <c r="H20" s="3"/>
      <c r="I20" s="3"/>
      <c r="J20" s="3"/>
    </row>
    <row r="21" spans="2:10" ht="27" x14ac:dyDescent="0.2">
      <c r="B21" s="171" t="s">
        <v>2746</v>
      </c>
      <c r="C21" s="171" t="s">
        <v>35</v>
      </c>
      <c r="D21" s="172" t="s">
        <v>1479</v>
      </c>
      <c r="E21" s="171"/>
      <c r="F21" s="171"/>
      <c r="G21" s="171"/>
      <c r="H21" s="3"/>
      <c r="I21" s="3"/>
      <c r="J21" s="3"/>
    </row>
    <row r="22" spans="2:10" ht="27" x14ac:dyDescent="0.2">
      <c r="B22" s="171" t="s">
        <v>2747</v>
      </c>
      <c r="C22" s="171" t="s">
        <v>36</v>
      </c>
      <c r="D22" s="172" t="s">
        <v>1783</v>
      </c>
      <c r="E22" s="171"/>
      <c r="F22" s="171"/>
      <c r="G22" s="171"/>
      <c r="H22" s="3"/>
      <c r="I22" s="3"/>
      <c r="J22" s="3"/>
    </row>
    <row r="23" spans="2:10" x14ac:dyDescent="0.2">
      <c r="B23" s="81" t="s">
        <v>2748</v>
      </c>
      <c r="C23" s="81">
        <v>3</v>
      </c>
      <c r="D23" s="82" t="s">
        <v>160</v>
      </c>
      <c r="E23" s="83">
        <v>2</v>
      </c>
      <c r="F23" s="81"/>
      <c r="G23" s="81" t="str">
        <f>IF(F23&lt;&gt;"", IF(E23=F23, "O", "X"), "")</f>
        <v/>
      </c>
      <c r="H23" s="3"/>
      <c r="I23" s="3"/>
      <c r="J23" s="3"/>
    </row>
    <row r="24" spans="2:10" x14ac:dyDescent="0.2">
      <c r="B24" s="171" t="s">
        <v>2749</v>
      </c>
      <c r="C24" s="171" t="s">
        <v>32</v>
      </c>
      <c r="D24" s="172" t="s">
        <v>526</v>
      </c>
      <c r="E24" s="171"/>
      <c r="F24" s="171"/>
      <c r="G24" s="171"/>
      <c r="H24" s="3"/>
      <c r="I24" s="3"/>
      <c r="J24" s="3"/>
    </row>
    <row r="25" spans="2:10" x14ac:dyDescent="0.2">
      <c r="B25" s="171" t="s">
        <v>2750</v>
      </c>
      <c r="C25" s="171" t="s">
        <v>33</v>
      </c>
      <c r="D25" s="172" t="s">
        <v>853</v>
      </c>
      <c r="E25" s="171"/>
      <c r="F25" s="171"/>
      <c r="G25" s="171"/>
      <c r="H25" s="3"/>
      <c r="I25" s="3"/>
      <c r="J25" s="3"/>
    </row>
    <row r="26" spans="2:10" ht="27" x14ac:dyDescent="0.2">
      <c r="B26" s="171" t="s">
        <v>2751</v>
      </c>
      <c r="C26" s="171" t="s">
        <v>34</v>
      </c>
      <c r="D26" s="172" t="s">
        <v>1175</v>
      </c>
      <c r="E26" s="171"/>
      <c r="F26" s="171"/>
      <c r="G26" s="171"/>
      <c r="H26" s="3"/>
      <c r="I26" s="3"/>
      <c r="J26" s="3"/>
    </row>
    <row r="27" spans="2:10" ht="27" x14ac:dyDescent="0.2">
      <c r="B27" s="171" t="s">
        <v>2752</v>
      </c>
      <c r="C27" s="171" t="s">
        <v>35</v>
      </c>
      <c r="D27" s="172" t="s">
        <v>1480</v>
      </c>
      <c r="E27" s="171"/>
      <c r="F27" s="171"/>
      <c r="G27" s="171"/>
      <c r="H27" s="3"/>
      <c r="I27" s="3"/>
      <c r="J27" s="3"/>
    </row>
    <row r="28" spans="2:10" x14ac:dyDescent="0.2">
      <c r="B28" s="171" t="s">
        <v>2753</v>
      </c>
      <c r="C28" s="171" t="s">
        <v>36</v>
      </c>
      <c r="D28" s="172" t="s">
        <v>1784</v>
      </c>
      <c r="E28" s="171"/>
      <c r="F28" s="171"/>
      <c r="G28" s="171"/>
      <c r="H28" s="3"/>
      <c r="I28" s="3"/>
      <c r="J28" s="3"/>
    </row>
    <row r="29" spans="2:10" x14ac:dyDescent="0.2">
      <c r="B29" s="81" t="s">
        <v>2754</v>
      </c>
      <c r="C29" s="81">
        <v>4</v>
      </c>
      <c r="D29" s="82" t="s">
        <v>161</v>
      </c>
      <c r="E29" s="83">
        <v>2</v>
      </c>
      <c r="F29" s="81"/>
      <c r="G29" s="81" t="str">
        <f>IF(F29&lt;&gt;"", IF(E29=F29, "O", "X"), "")</f>
        <v/>
      </c>
      <c r="H29" s="3"/>
      <c r="I29" s="3"/>
      <c r="J29" s="3"/>
    </row>
    <row r="30" spans="2:10" x14ac:dyDescent="0.2">
      <c r="B30" s="171" t="s">
        <v>2755</v>
      </c>
      <c r="C30" s="171" t="s">
        <v>32</v>
      </c>
      <c r="D30" s="172" t="s">
        <v>527</v>
      </c>
      <c r="E30" s="171"/>
      <c r="F30" s="171"/>
      <c r="G30" s="171"/>
      <c r="H30" s="3"/>
      <c r="I30" s="3"/>
      <c r="J30" s="3"/>
    </row>
    <row r="31" spans="2:10" x14ac:dyDescent="0.2">
      <c r="B31" s="171" t="s">
        <v>2756</v>
      </c>
      <c r="C31" s="171" t="s">
        <v>33</v>
      </c>
      <c r="D31" s="172" t="s">
        <v>854</v>
      </c>
      <c r="E31" s="171"/>
      <c r="F31" s="171"/>
      <c r="G31" s="171"/>
      <c r="H31" s="3"/>
      <c r="I31" s="3"/>
      <c r="J31" s="3"/>
    </row>
    <row r="32" spans="2:10" x14ac:dyDescent="0.2">
      <c r="B32" s="171" t="s">
        <v>2757</v>
      </c>
      <c r="C32" s="171" t="s">
        <v>34</v>
      </c>
      <c r="D32" s="172" t="s">
        <v>1176</v>
      </c>
      <c r="E32" s="171"/>
      <c r="F32" s="171"/>
      <c r="G32" s="171"/>
      <c r="H32" s="3"/>
      <c r="I32" s="3"/>
      <c r="J32" s="3"/>
    </row>
    <row r="33" spans="2:10" x14ac:dyDescent="0.2">
      <c r="B33" s="171" t="s">
        <v>2758</v>
      </c>
      <c r="C33" s="171" t="s">
        <v>35</v>
      </c>
      <c r="D33" s="172" t="s">
        <v>1481</v>
      </c>
      <c r="E33" s="171"/>
      <c r="F33" s="171"/>
      <c r="G33" s="171"/>
      <c r="H33" s="3"/>
      <c r="I33" s="3"/>
      <c r="J33" s="3"/>
    </row>
    <row r="34" spans="2:10" x14ac:dyDescent="0.2">
      <c r="B34" s="171" t="s">
        <v>2759</v>
      </c>
      <c r="C34" s="171" t="s">
        <v>36</v>
      </c>
      <c r="D34" s="172" t="s">
        <v>1785</v>
      </c>
      <c r="E34" s="171"/>
      <c r="F34" s="171"/>
      <c r="G34" s="171"/>
      <c r="H34" s="3"/>
      <c r="I34" s="3"/>
      <c r="J34" s="3"/>
    </row>
    <row r="35" spans="2:10" x14ac:dyDescent="0.2">
      <c r="B35" s="81" t="s">
        <v>2760</v>
      </c>
      <c r="C35" s="81">
        <v>5</v>
      </c>
      <c r="D35" s="82" t="s">
        <v>162</v>
      </c>
      <c r="E35" s="83">
        <v>4</v>
      </c>
      <c r="F35" s="81"/>
      <c r="G35" s="81" t="str">
        <f>IF(F35&lt;&gt;"", IF(E35=F35, "O", "X"), "")</f>
        <v/>
      </c>
      <c r="H35" s="3"/>
      <c r="I35" s="3"/>
      <c r="J35" s="3"/>
    </row>
    <row r="36" spans="2:10" ht="27" x14ac:dyDescent="0.2">
      <c r="B36" s="171" t="s">
        <v>2761</v>
      </c>
      <c r="C36" s="171" t="s">
        <v>32</v>
      </c>
      <c r="D36" s="172" t="s">
        <v>2762</v>
      </c>
      <c r="E36" s="171"/>
      <c r="F36" s="171"/>
      <c r="G36" s="171"/>
      <c r="H36" s="3"/>
      <c r="I36" s="3"/>
      <c r="J36" s="3"/>
    </row>
    <row r="37" spans="2:10" ht="27" x14ac:dyDescent="0.2">
      <c r="B37" s="171" t="s">
        <v>2763</v>
      </c>
      <c r="C37" s="171" t="s">
        <v>33</v>
      </c>
      <c r="D37" s="172" t="s">
        <v>2764</v>
      </c>
      <c r="E37" s="171"/>
      <c r="F37" s="171"/>
      <c r="G37" s="171"/>
      <c r="H37" s="3"/>
      <c r="I37" s="3"/>
      <c r="J37" s="3"/>
    </row>
    <row r="38" spans="2:10" ht="27" x14ac:dyDescent="0.2">
      <c r="B38" s="171" t="s">
        <v>2765</v>
      </c>
      <c r="C38" s="171" t="s">
        <v>34</v>
      </c>
      <c r="D38" s="172" t="s">
        <v>2766</v>
      </c>
      <c r="E38" s="171"/>
      <c r="F38" s="171"/>
      <c r="G38" s="171"/>
      <c r="H38" s="3"/>
      <c r="I38" s="3"/>
      <c r="J38" s="3"/>
    </row>
    <row r="39" spans="2:10" ht="27" x14ac:dyDescent="0.2">
      <c r="B39" s="171" t="s">
        <v>2767</v>
      </c>
      <c r="C39" s="171" t="s">
        <v>35</v>
      </c>
      <c r="D39" s="172" t="s">
        <v>2768</v>
      </c>
      <c r="E39" s="171"/>
      <c r="F39" s="171"/>
      <c r="G39" s="171"/>
      <c r="H39" s="3"/>
      <c r="I39" s="3"/>
      <c r="J39" s="3"/>
    </row>
    <row r="40" spans="2:10" ht="27" x14ac:dyDescent="0.2">
      <c r="B40" s="171" t="s">
        <v>2769</v>
      </c>
      <c r="C40" s="171" t="s">
        <v>36</v>
      </c>
      <c r="D40" s="172" t="s">
        <v>2770</v>
      </c>
      <c r="E40" s="171"/>
      <c r="F40" s="171"/>
      <c r="G40" s="171"/>
      <c r="H40" s="3"/>
      <c r="I40" s="3"/>
      <c r="J40" s="3"/>
    </row>
    <row r="41" spans="2:10" ht="81" x14ac:dyDescent="0.2">
      <c r="B41" s="81" t="s">
        <v>2771</v>
      </c>
      <c r="C41" s="81">
        <v>6</v>
      </c>
      <c r="D41" s="82" t="s">
        <v>163</v>
      </c>
      <c r="E41" s="83">
        <v>4</v>
      </c>
      <c r="F41" s="81"/>
      <c r="G41" s="81" t="str">
        <f>IF(F41&lt;&gt;"", IF(E41=F41, "O", "X"), "")</f>
        <v/>
      </c>
      <c r="H41" s="3"/>
      <c r="I41" s="3"/>
      <c r="J41" s="3"/>
    </row>
    <row r="42" spans="2:10" x14ac:dyDescent="0.2">
      <c r="B42" s="171" t="s">
        <v>2772</v>
      </c>
      <c r="C42" s="171" t="s">
        <v>32</v>
      </c>
      <c r="D42" s="172" t="s">
        <v>528</v>
      </c>
      <c r="E42" s="171"/>
      <c r="F42" s="171"/>
      <c r="G42" s="171"/>
      <c r="H42" s="3"/>
      <c r="I42" s="3"/>
      <c r="J42" s="3"/>
    </row>
    <row r="43" spans="2:10" x14ac:dyDescent="0.2">
      <c r="B43" s="171" t="s">
        <v>2773</v>
      </c>
      <c r="C43" s="171" t="s">
        <v>33</v>
      </c>
      <c r="D43" s="172" t="s">
        <v>855</v>
      </c>
      <c r="E43" s="171"/>
      <c r="F43" s="171"/>
      <c r="G43" s="171"/>
      <c r="H43" s="3"/>
      <c r="I43" s="3"/>
      <c r="J43" s="3"/>
    </row>
    <row r="44" spans="2:10" x14ac:dyDescent="0.2">
      <c r="B44" s="171" t="s">
        <v>2774</v>
      </c>
      <c r="C44" s="171" t="s">
        <v>34</v>
      </c>
      <c r="D44" s="172" t="s">
        <v>1177</v>
      </c>
      <c r="E44" s="171"/>
      <c r="F44" s="171"/>
      <c r="G44" s="171"/>
      <c r="H44" s="3"/>
      <c r="I44" s="3"/>
      <c r="J44" s="3"/>
    </row>
    <row r="45" spans="2:10" x14ac:dyDescent="0.2">
      <c r="B45" s="171" t="s">
        <v>2775</v>
      </c>
      <c r="C45" s="171" t="s">
        <v>35</v>
      </c>
      <c r="D45" s="172" t="s">
        <v>1482</v>
      </c>
      <c r="E45" s="171"/>
      <c r="F45" s="171"/>
      <c r="G45" s="171"/>
      <c r="H45" s="3"/>
      <c r="I45" s="3"/>
      <c r="J45" s="3"/>
    </row>
    <row r="46" spans="2:10" x14ac:dyDescent="0.2">
      <c r="B46" s="171" t="s">
        <v>2776</v>
      </c>
      <c r="C46" s="171" t="s">
        <v>36</v>
      </c>
      <c r="D46" s="172" t="s">
        <v>1786</v>
      </c>
      <c r="E46" s="171"/>
      <c r="F46" s="171"/>
      <c r="G46" s="171"/>
      <c r="H46" s="3"/>
      <c r="I46" s="3"/>
      <c r="J46" s="3"/>
    </row>
    <row r="47" spans="2:10" x14ac:dyDescent="0.2">
      <c r="B47" s="81" t="s">
        <v>2777</v>
      </c>
      <c r="C47" s="81">
        <v>7</v>
      </c>
      <c r="D47" s="82" t="s">
        <v>164</v>
      </c>
      <c r="E47" s="83">
        <v>4</v>
      </c>
      <c r="F47" s="81"/>
      <c r="G47" s="81" t="str">
        <f>IF(F47&lt;&gt;"", IF(E47=F47, "O", "X"), "")</f>
        <v/>
      </c>
      <c r="H47" s="3"/>
      <c r="I47" s="3"/>
      <c r="J47" s="3"/>
    </row>
    <row r="48" spans="2:10" ht="27" x14ac:dyDescent="0.2">
      <c r="B48" s="171" t="s">
        <v>2778</v>
      </c>
      <c r="C48" s="171" t="s">
        <v>32</v>
      </c>
      <c r="D48" s="172" t="s">
        <v>529</v>
      </c>
      <c r="E48" s="171"/>
      <c r="F48" s="171"/>
      <c r="G48" s="171"/>
      <c r="H48" s="3"/>
      <c r="I48" s="3"/>
      <c r="J48" s="3"/>
    </row>
    <row r="49" spans="2:10" x14ac:dyDescent="0.2">
      <c r="B49" s="171" t="s">
        <v>2779</v>
      </c>
      <c r="C49" s="171" t="s">
        <v>33</v>
      </c>
      <c r="D49" s="172" t="s">
        <v>856</v>
      </c>
      <c r="E49" s="171"/>
      <c r="F49" s="171"/>
      <c r="G49" s="171"/>
      <c r="H49" s="3"/>
      <c r="I49" s="3"/>
      <c r="J49" s="3"/>
    </row>
    <row r="50" spans="2:10" ht="27" x14ac:dyDescent="0.2">
      <c r="B50" s="171" t="s">
        <v>2780</v>
      </c>
      <c r="C50" s="171" t="s">
        <v>34</v>
      </c>
      <c r="D50" s="172" t="s">
        <v>1178</v>
      </c>
      <c r="E50" s="171"/>
      <c r="F50" s="171"/>
      <c r="G50" s="171"/>
      <c r="H50" s="3"/>
      <c r="I50" s="3"/>
      <c r="J50" s="3"/>
    </row>
    <row r="51" spans="2:10" ht="27" x14ac:dyDescent="0.2">
      <c r="B51" s="171" t="s">
        <v>2781</v>
      </c>
      <c r="C51" s="171" t="s">
        <v>35</v>
      </c>
      <c r="D51" s="172" t="s">
        <v>1483</v>
      </c>
      <c r="E51" s="171"/>
      <c r="F51" s="171"/>
      <c r="G51" s="171"/>
      <c r="H51" s="3"/>
      <c r="I51" s="3"/>
      <c r="J51" s="3"/>
    </row>
    <row r="52" spans="2:10" x14ac:dyDescent="0.2">
      <c r="B52" s="171" t="s">
        <v>2782</v>
      </c>
      <c r="C52" s="171" t="s">
        <v>36</v>
      </c>
      <c r="D52" s="172" t="s">
        <v>1787</v>
      </c>
      <c r="E52" s="171"/>
      <c r="F52" s="171"/>
      <c r="G52" s="171"/>
      <c r="H52" s="3"/>
      <c r="I52" s="3"/>
      <c r="J52" s="3"/>
    </row>
    <row r="53" spans="2:10" x14ac:dyDescent="0.2">
      <c r="B53" s="81" t="s">
        <v>2783</v>
      </c>
      <c r="C53" s="81">
        <v>8</v>
      </c>
      <c r="D53" s="82" t="s">
        <v>165</v>
      </c>
      <c r="E53" s="83">
        <v>4</v>
      </c>
      <c r="F53" s="81"/>
      <c r="G53" s="81" t="str">
        <f>IF(F53&lt;&gt;"", IF(E53=F53, "O", "X"), "")</f>
        <v/>
      </c>
      <c r="H53" s="3"/>
      <c r="I53" s="3"/>
      <c r="J53" s="3"/>
    </row>
    <row r="54" spans="2:10" x14ac:dyDescent="0.2">
      <c r="B54" s="171" t="s">
        <v>2784</v>
      </c>
      <c r="C54" s="171" t="s">
        <v>32</v>
      </c>
      <c r="D54" s="172" t="s">
        <v>530</v>
      </c>
      <c r="E54" s="171"/>
      <c r="F54" s="171"/>
      <c r="G54" s="171"/>
      <c r="H54" s="3"/>
      <c r="I54" s="3"/>
      <c r="J54" s="3"/>
    </row>
    <row r="55" spans="2:10" ht="27" x14ac:dyDescent="0.2">
      <c r="B55" s="171" t="s">
        <v>2785</v>
      </c>
      <c r="C55" s="171" t="s">
        <v>33</v>
      </c>
      <c r="D55" s="172" t="s">
        <v>857</v>
      </c>
      <c r="E55" s="171"/>
      <c r="F55" s="171"/>
      <c r="G55" s="171"/>
      <c r="H55" s="3"/>
      <c r="I55" s="3"/>
      <c r="J55" s="3"/>
    </row>
    <row r="56" spans="2:10" x14ac:dyDescent="0.2">
      <c r="B56" s="171" t="s">
        <v>2786</v>
      </c>
      <c r="C56" s="171" t="s">
        <v>34</v>
      </c>
      <c r="D56" s="172" t="s">
        <v>1179</v>
      </c>
      <c r="E56" s="171"/>
      <c r="F56" s="171"/>
      <c r="G56" s="171"/>
      <c r="H56" s="3"/>
      <c r="I56" s="3"/>
      <c r="J56" s="3"/>
    </row>
    <row r="57" spans="2:10" x14ac:dyDescent="0.2">
      <c r="B57" s="171" t="s">
        <v>2787</v>
      </c>
      <c r="C57" s="171" t="s">
        <v>35</v>
      </c>
      <c r="D57" s="172" t="s">
        <v>1484</v>
      </c>
      <c r="E57" s="171"/>
      <c r="F57" s="171"/>
      <c r="G57" s="171"/>
      <c r="H57" s="3"/>
      <c r="I57" s="3"/>
      <c r="J57" s="3"/>
    </row>
    <row r="58" spans="2:10" ht="27" x14ac:dyDescent="0.2">
      <c r="B58" s="171" t="s">
        <v>2788</v>
      </c>
      <c r="C58" s="171" t="s">
        <v>36</v>
      </c>
      <c r="D58" s="172" t="s">
        <v>1788</v>
      </c>
      <c r="E58" s="171"/>
      <c r="F58" s="171"/>
      <c r="G58" s="171"/>
      <c r="H58" s="3"/>
      <c r="I58" s="3"/>
      <c r="J58" s="3"/>
    </row>
    <row r="59" spans="2:10" ht="135" x14ac:dyDescent="0.2">
      <c r="B59" s="81" t="s">
        <v>2789</v>
      </c>
      <c r="C59" s="81">
        <v>9</v>
      </c>
      <c r="D59" s="82" t="s">
        <v>166</v>
      </c>
      <c r="E59" s="83">
        <v>1</v>
      </c>
      <c r="F59" s="81"/>
      <c r="G59" s="81" t="str">
        <f>IF(F59&lt;&gt;"", IF(E59=F59, "O", "X"), "")</f>
        <v/>
      </c>
      <c r="H59" s="3"/>
      <c r="I59" s="3"/>
      <c r="J59" s="3"/>
    </row>
    <row r="60" spans="2:10" x14ac:dyDescent="0.2">
      <c r="B60" s="171" t="s">
        <v>2790</v>
      </c>
      <c r="C60" s="171" t="s">
        <v>32</v>
      </c>
      <c r="D60" s="172" t="s">
        <v>15</v>
      </c>
      <c r="E60" s="171"/>
      <c r="F60" s="171"/>
      <c r="G60" s="171"/>
      <c r="H60" s="3"/>
      <c r="I60" s="3"/>
      <c r="J60" s="3"/>
    </row>
    <row r="61" spans="2:10" x14ac:dyDescent="0.2">
      <c r="B61" s="171" t="s">
        <v>2791</v>
      </c>
      <c r="C61" s="171" t="s">
        <v>33</v>
      </c>
      <c r="D61" s="172" t="s">
        <v>640</v>
      </c>
      <c r="E61" s="171"/>
      <c r="F61" s="171"/>
      <c r="G61" s="171"/>
      <c r="H61" s="3"/>
      <c r="I61" s="3"/>
      <c r="J61" s="3"/>
    </row>
    <row r="62" spans="2:10" x14ac:dyDescent="0.2">
      <c r="B62" s="171" t="s">
        <v>2792</v>
      </c>
      <c r="C62" s="171" t="s">
        <v>34</v>
      </c>
      <c r="D62" s="172" t="s">
        <v>84</v>
      </c>
      <c r="E62" s="171"/>
      <c r="F62" s="171"/>
      <c r="G62" s="171"/>
      <c r="H62" s="3"/>
      <c r="I62" s="3"/>
      <c r="J62" s="3"/>
    </row>
    <row r="63" spans="2:10" x14ac:dyDescent="0.2">
      <c r="B63" s="171" t="s">
        <v>2793</v>
      </c>
      <c r="C63" s="171" t="s">
        <v>35</v>
      </c>
      <c r="D63" s="172" t="s">
        <v>1485</v>
      </c>
      <c r="E63" s="171"/>
      <c r="F63" s="171"/>
      <c r="G63" s="171"/>
      <c r="H63" s="3"/>
      <c r="I63" s="3"/>
      <c r="J63" s="3"/>
    </row>
    <row r="64" spans="2:10" x14ac:dyDescent="0.2">
      <c r="B64" s="171" t="s">
        <v>2794</v>
      </c>
      <c r="C64" s="171" t="s">
        <v>36</v>
      </c>
      <c r="D64" s="172" t="s">
        <v>42</v>
      </c>
      <c r="E64" s="171"/>
      <c r="F64" s="171"/>
      <c r="G64" s="171"/>
      <c r="H64" s="3"/>
      <c r="I64" s="3"/>
      <c r="J64" s="3"/>
    </row>
    <row r="65" spans="2:10" x14ac:dyDescent="0.2">
      <c r="B65" s="81" t="s">
        <v>2795</v>
      </c>
      <c r="C65" s="81">
        <v>10</v>
      </c>
      <c r="D65" s="82" t="s">
        <v>167</v>
      </c>
      <c r="E65" s="83">
        <v>1</v>
      </c>
      <c r="F65" s="81"/>
      <c r="G65" s="81" t="str">
        <f>IF(F65&lt;&gt;"", IF(E65=F65, "O", "X"), "")</f>
        <v/>
      </c>
      <c r="H65" s="3"/>
      <c r="I65" s="3"/>
      <c r="J65" s="3"/>
    </row>
    <row r="66" spans="2:10" x14ac:dyDescent="0.2">
      <c r="B66" s="171" t="s">
        <v>2796</v>
      </c>
      <c r="C66" s="171" t="s">
        <v>32</v>
      </c>
      <c r="D66" s="172" t="s">
        <v>531</v>
      </c>
      <c r="E66" s="171"/>
      <c r="F66" s="171"/>
      <c r="G66" s="171"/>
      <c r="H66" s="3"/>
      <c r="I66" s="3"/>
      <c r="J66" s="3"/>
    </row>
    <row r="67" spans="2:10" ht="27" x14ac:dyDescent="0.2">
      <c r="B67" s="171" t="s">
        <v>2797</v>
      </c>
      <c r="C67" s="171" t="s">
        <v>33</v>
      </c>
      <c r="D67" s="172" t="s">
        <v>858</v>
      </c>
      <c r="E67" s="171"/>
      <c r="F67" s="171"/>
      <c r="G67" s="171"/>
      <c r="H67" s="3"/>
      <c r="I67" s="3"/>
      <c r="J67" s="3"/>
    </row>
    <row r="68" spans="2:10" x14ac:dyDescent="0.2">
      <c r="B68" s="171" t="s">
        <v>2798</v>
      </c>
      <c r="C68" s="171" t="s">
        <v>34</v>
      </c>
      <c r="D68" s="172" t="s">
        <v>1180</v>
      </c>
      <c r="E68" s="171"/>
      <c r="F68" s="171"/>
      <c r="G68" s="171"/>
      <c r="H68" s="3"/>
      <c r="I68" s="3"/>
      <c r="J68" s="3"/>
    </row>
    <row r="69" spans="2:10" x14ac:dyDescent="0.2">
      <c r="B69" s="171" t="s">
        <v>2799</v>
      </c>
      <c r="C69" s="171" t="s">
        <v>35</v>
      </c>
      <c r="D69" s="172" t="s">
        <v>1486</v>
      </c>
      <c r="E69" s="171"/>
      <c r="F69" s="171"/>
      <c r="G69" s="171"/>
      <c r="H69" s="3"/>
      <c r="I69" s="3"/>
      <c r="J69" s="3"/>
    </row>
    <row r="70" spans="2:10" x14ac:dyDescent="0.2">
      <c r="B70" s="171" t="s">
        <v>2800</v>
      </c>
      <c r="C70" s="171" t="s">
        <v>36</v>
      </c>
      <c r="D70" s="172" t="s">
        <v>1789</v>
      </c>
      <c r="E70" s="171"/>
      <c r="F70" s="171"/>
      <c r="G70" s="171"/>
      <c r="H70" s="3"/>
      <c r="I70" s="3"/>
      <c r="J70" s="3"/>
    </row>
    <row r="71" spans="2:10" ht="27" x14ac:dyDescent="0.2">
      <c r="B71" s="81" t="s">
        <v>2801</v>
      </c>
      <c r="C71" s="81">
        <v>11</v>
      </c>
      <c r="D71" s="82" t="s">
        <v>168</v>
      </c>
      <c r="E71" s="83">
        <v>5</v>
      </c>
      <c r="F71" s="81"/>
      <c r="G71" s="81" t="str">
        <f>IF(F71&lt;&gt;"", IF(E71=F71, "O", "X"), "")</f>
        <v/>
      </c>
      <c r="H71" s="3"/>
      <c r="I71" s="3"/>
      <c r="J71" s="3"/>
    </row>
    <row r="72" spans="2:10" x14ac:dyDescent="0.2">
      <c r="B72" s="171" t="s">
        <v>2802</v>
      </c>
      <c r="C72" s="171" t="s">
        <v>32</v>
      </c>
      <c r="D72" s="172" t="s">
        <v>532</v>
      </c>
      <c r="E72" s="171"/>
      <c r="F72" s="171"/>
      <c r="G72" s="171"/>
      <c r="H72" s="3"/>
      <c r="I72" s="3"/>
      <c r="J72" s="3"/>
    </row>
    <row r="73" spans="2:10" ht="67.5" x14ac:dyDescent="0.2">
      <c r="B73" s="171" t="s">
        <v>2803</v>
      </c>
      <c r="C73" s="171" t="s">
        <v>33</v>
      </c>
      <c r="D73" s="172" t="s">
        <v>859</v>
      </c>
      <c r="E73" s="171"/>
      <c r="F73" s="171"/>
      <c r="G73" s="171"/>
      <c r="H73" s="3"/>
      <c r="I73" s="3"/>
      <c r="J73" s="3"/>
    </row>
    <row r="74" spans="2:10" x14ac:dyDescent="0.2">
      <c r="B74" s="171" t="s">
        <v>2804</v>
      </c>
      <c r="C74" s="171" t="s">
        <v>34</v>
      </c>
      <c r="D74" s="172" t="s">
        <v>1181</v>
      </c>
      <c r="E74" s="171"/>
      <c r="F74" s="171"/>
      <c r="G74" s="171"/>
      <c r="H74" s="3"/>
      <c r="I74" s="3"/>
      <c r="J74" s="3"/>
    </row>
    <row r="75" spans="2:10" x14ac:dyDescent="0.2">
      <c r="B75" s="171" t="s">
        <v>2805</v>
      </c>
      <c r="C75" s="171" t="s">
        <v>35</v>
      </c>
      <c r="D75" s="172" t="s">
        <v>1487</v>
      </c>
      <c r="E75" s="171"/>
      <c r="F75" s="171"/>
      <c r="G75" s="171"/>
      <c r="H75" s="3"/>
      <c r="I75" s="3"/>
      <c r="J75" s="3"/>
    </row>
    <row r="76" spans="2:10" x14ac:dyDescent="0.2">
      <c r="B76" s="171" t="s">
        <v>2806</v>
      </c>
      <c r="C76" s="171" t="s">
        <v>36</v>
      </c>
      <c r="D76" s="172" t="s">
        <v>1790</v>
      </c>
      <c r="E76" s="171"/>
      <c r="F76" s="171"/>
      <c r="G76" s="171"/>
      <c r="H76" s="3"/>
      <c r="I76" s="3"/>
      <c r="J76" s="3"/>
    </row>
    <row r="77" spans="2:10" ht="54" x14ac:dyDescent="0.2">
      <c r="B77" s="81" t="s">
        <v>2807</v>
      </c>
      <c r="C77" s="81">
        <v>12</v>
      </c>
      <c r="D77" s="82" t="s">
        <v>169</v>
      </c>
      <c r="E77" s="83">
        <v>3</v>
      </c>
      <c r="F77" s="81"/>
      <c r="G77" s="81" t="str">
        <f>IF(F77&lt;&gt;"", IF(E77=F77, "O", "X"), "")</f>
        <v/>
      </c>
      <c r="H77" s="3"/>
      <c r="I77" s="3"/>
      <c r="J77" s="3"/>
    </row>
    <row r="78" spans="2:10" x14ac:dyDescent="0.2">
      <c r="B78" s="171" t="s">
        <v>2808</v>
      </c>
      <c r="C78" s="171" t="s">
        <v>32</v>
      </c>
      <c r="D78" s="172" t="s">
        <v>533</v>
      </c>
      <c r="E78" s="171"/>
      <c r="F78" s="171"/>
      <c r="G78" s="171"/>
      <c r="H78" s="3"/>
      <c r="I78" s="3"/>
      <c r="J78" s="3"/>
    </row>
    <row r="79" spans="2:10" x14ac:dyDescent="0.2">
      <c r="B79" s="171" t="s">
        <v>2809</v>
      </c>
      <c r="C79" s="171" t="s">
        <v>33</v>
      </c>
      <c r="D79" s="172" t="s">
        <v>860</v>
      </c>
      <c r="E79" s="171"/>
      <c r="F79" s="171"/>
      <c r="G79" s="171"/>
      <c r="H79" s="3"/>
      <c r="I79" s="3"/>
      <c r="J79" s="3"/>
    </row>
    <row r="80" spans="2:10" x14ac:dyDescent="0.2">
      <c r="B80" s="171" t="s">
        <v>2810</v>
      </c>
      <c r="C80" s="171" t="s">
        <v>34</v>
      </c>
      <c r="D80" s="172" t="s">
        <v>1182</v>
      </c>
      <c r="E80" s="171"/>
      <c r="F80" s="171"/>
      <c r="G80" s="171"/>
      <c r="H80" s="3"/>
      <c r="I80" s="3"/>
      <c r="J80" s="3"/>
    </row>
    <row r="81" spans="2:10" x14ac:dyDescent="0.2">
      <c r="B81" s="171" t="s">
        <v>2811</v>
      </c>
      <c r="C81" s="171" t="s">
        <v>35</v>
      </c>
      <c r="D81" s="172" t="s">
        <v>1488</v>
      </c>
      <c r="E81" s="171"/>
      <c r="F81" s="171"/>
      <c r="G81" s="171"/>
      <c r="H81" s="3"/>
      <c r="I81" s="3"/>
      <c r="J81" s="3"/>
    </row>
    <row r="82" spans="2:10" x14ac:dyDescent="0.2">
      <c r="B82" s="171" t="s">
        <v>2812</v>
      </c>
      <c r="C82" s="171" t="s">
        <v>36</v>
      </c>
      <c r="D82" s="172" t="s">
        <v>1791</v>
      </c>
      <c r="E82" s="171"/>
      <c r="F82" s="171"/>
      <c r="G82" s="171"/>
      <c r="H82" s="3"/>
      <c r="I82" s="3"/>
      <c r="J82" s="3"/>
    </row>
    <row r="83" spans="2:10" x14ac:dyDescent="0.2">
      <c r="B83" s="81" t="s">
        <v>2813</v>
      </c>
      <c r="C83" s="81">
        <v>13</v>
      </c>
      <c r="D83" s="82" t="s">
        <v>170</v>
      </c>
      <c r="E83" s="83">
        <v>1</v>
      </c>
      <c r="F83" s="81"/>
      <c r="G83" s="81" t="str">
        <f>IF(F83&lt;&gt;"", IF(E83=F83, "O", "X"), "")</f>
        <v/>
      </c>
      <c r="H83" s="3"/>
      <c r="I83" s="3"/>
      <c r="J83" s="3"/>
    </row>
    <row r="84" spans="2:10" x14ac:dyDescent="0.2">
      <c r="B84" s="171" t="s">
        <v>2814</v>
      </c>
      <c r="C84" s="171" t="s">
        <v>32</v>
      </c>
      <c r="D84" s="172" t="s">
        <v>534</v>
      </c>
      <c r="E84" s="171"/>
      <c r="F84" s="171"/>
      <c r="G84" s="171"/>
      <c r="H84" s="3"/>
      <c r="I84" s="3"/>
      <c r="J84" s="3"/>
    </row>
    <row r="85" spans="2:10" x14ac:dyDescent="0.2">
      <c r="B85" s="171" t="s">
        <v>2815</v>
      </c>
      <c r="C85" s="171" t="s">
        <v>33</v>
      </c>
      <c r="D85" s="172" t="s">
        <v>861</v>
      </c>
      <c r="E85" s="171"/>
      <c r="F85" s="171"/>
      <c r="G85" s="171"/>
      <c r="H85" s="3"/>
      <c r="I85" s="3"/>
      <c r="J85" s="3"/>
    </row>
    <row r="86" spans="2:10" x14ac:dyDescent="0.2">
      <c r="B86" s="171" t="s">
        <v>2816</v>
      </c>
      <c r="C86" s="171" t="s">
        <v>34</v>
      </c>
      <c r="D86" s="172" t="s">
        <v>1183</v>
      </c>
      <c r="E86" s="171"/>
      <c r="F86" s="171"/>
      <c r="G86" s="171"/>
      <c r="H86" s="3"/>
      <c r="I86" s="3"/>
      <c r="J86" s="3"/>
    </row>
    <row r="87" spans="2:10" x14ac:dyDescent="0.2">
      <c r="B87" s="171" t="s">
        <v>2817</v>
      </c>
      <c r="C87" s="171" t="s">
        <v>35</v>
      </c>
      <c r="D87" s="172" t="s">
        <v>1489</v>
      </c>
      <c r="E87" s="171"/>
      <c r="F87" s="171"/>
      <c r="G87" s="171"/>
      <c r="H87" s="3"/>
      <c r="I87" s="3"/>
      <c r="J87" s="3"/>
    </row>
    <row r="88" spans="2:10" x14ac:dyDescent="0.2">
      <c r="B88" s="171" t="s">
        <v>2818</v>
      </c>
      <c r="C88" s="171" t="s">
        <v>36</v>
      </c>
      <c r="D88" s="172" t="s">
        <v>1792</v>
      </c>
      <c r="E88" s="171"/>
      <c r="F88" s="171"/>
      <c r="G88" s="171"/>
      <c r="H88" s="3"/>
      <c r="I88" s="3"/>
      <c r="J88" s="3"/>
    </row>
    <row r="89" spans="2:10" x14ac:dyDescent="0.2">
      <c r="B89" s="81" t="s">
        <v>2819</v>
      </c>
      <c r="C89" s="81">
        <v>14</v>
      </c>
      <c r="D89" s="82" t="s">
        <v>171</v>
      </c>
      <c r="E89" s="83">
        <v>4</v>
      </c>
      <c r="F89" s="81"/>
      <c r="G89" s="81" t="str">
        <f>IF(F89&lt;&gt;"", IF(E89=F89, "O", "X"), "")</f>
        <v/>
      </c>
      <c r="H89" s="3"/>
      <c r="I89" s="3"/>
      <c r="J89" s="3"/>
    </row>
    <row r="90" spans="2:10" ht="27" x14ac:dyDescent="0.2">
      <c r="B90" s="171" t="s">
        <v>2820</v>
      </c>
      <c r="C90" s="171" t="s">
        <v>32</v>
      </c>
      <c r="D90" s="172" t="s">
        <v>535</v>
      </c>
      <c r="E90" s="171"/>
      <c r="F90" s="171"/>
      <c r="G90" s="171"/>
      <c r="H90" s="3"/>
      <c r="I90" s="3"/>
      <c r="J90" s="3"/>
    </row>
    <row r="91" spans="2:10" x14ac:dyDescent="0.2">
      <c r="B91" s="171" t="s">
        <v>2821</v>
      </c>
      <c r="C91" s="171" t="s">
        <v>33</v>
      </c>
      <c r="D91" s="172" t="s">
        <v>862</v>
      </c>
      <c r="E91" s="171"/>
      <c r="F91" s="171"/>
      <c r="G91" s="171"/>
      <c r="H91" s="3"/>
      <c r="I91" s="3"/>
      <c r="J91" s="3"/>
    </row>
    <row r="92" spans="2:10" x14ac:dyDescent="0.2">
      <c r="B92" s="171" t="s">
        <v>2822</v>
      </c>
      <c r="C92" s="171" t="s">
        <v>34</v>
      </c>
      <c r="D92" s="172" t="s">
        <v>1184</v>
      </c>
      <c r="E92" s="171"/>
      <c r="F92" s="171"/>
      <c r="G92" s="171"/>
      <c r="H92" s="3"/>
      <c r="I92" s="3"/>
      <c r="J92" s="3"/>
    </row>
    <row r="93" spans="2:10" x14ac:dyDescent="0.2">
      <c r="B93" s="171" t="s">
        <v>2823</v>
      </c>
      <c r="C93" s="171" t="s">
        <v>35</v>
      </c>
      <c r="D93" s="172" t="s">
        <v>1490</v>
      </c>
      <c r="E93" s="171"/>
      <c r="F93" s="171"/>
      <c r="G93" s="171"/>
      <c r="H93" s="3"/>
      <c r="I93" s="3"/>
      <c r="J93" s="3"/>
    </row>
    <row r="94" spans="2:10" x14ac:dyDescent="0.2">
      <c r="B94" s="171" t="s">
        <v>2824</v>
      </c>
      <c r="C94" s="171" t="s">
        <v>36</v>
      </c>
      <c r="D94" s="172" t="s">
        <v>1011</v>
      </c>
      <c r="E94" s="171"/>
      <c r="F94" s="171"/>
      <c r="G94" s="171"/>
      <c r="H94" s="3"/>
      <c r="I94" s="3"/>
      <c r="J94" s="3"/>
    </row>
    <row r="95" spans="2:10" x14ac:dyDescent="0.2">
      <c r="B95" s="81" t="s">
        <v>2825</v>
      </c>
      <c r="C95" s="81">
        <v>15</v>
      </c>
      <c r="D95" s="82" t="s">
        <v>172</v>
      </c>
      <c r="E95" s="83">
        <v>3</v>
      </c>
      <c r="F95" s="81"/>
      <c r="G95" s="81" t="str">
        <f>IF(F95&lt;&gt;"", IF(E95=F95, "O", "X"), "")</f>
        <v/>
      </c>
      <c r="H95" s="3"/>
      <c r="I95" s="3"/>
      <c r="J95" s="3"/>
    </row>
    <row r="96" spans="2:10" x14ac:dyDescent="0.2">
      <c r="B96" s="171" t="s">
        <v>2826</v>
      </c>
      <c r="C96" s="171" t="s">
        <v>32</v>
      </c>
      <c r="D96" s="172" t="s">
        <v>536</v>
      </c>
      <c r="E96" s="171"/>
      <c r="F96" s="171"/>
      <c r="G96" s="171"/>
      <c r="H96" s="3"/>
      <c r="I96" s="3"/>
      <c r="J96" s="3"/>
    </row>
    <row r="97" spans="2:10" x14ac:dyDescent="0.2">
      <c r="B97" s="171" t="s">
        <v>2827</v>
      </c>
      <c r="C97" s="171" t="s">
        <v>33</v>
      </c>
      <c r="D97" s="172" t="s">
        <v>863</v>
      </c>
      <c r="E97" s="171"/>
      <c r="F97" s="171"/>
      <c r="G97" s="171"/>
      <c r="H97" s="3"/>
      <c r="I97" s="3"/>
      <c r="J97" s="3"/>
    </row>
    <row r="98" spans="2:10" ht="27" x14ac:dyDescent="0.2">
      <c r="B98" s="171" t="s">
        <v>2828</v>
      </c>
      <c r="C98" s="171" t="s">
        <v>34</v>
      </c>
      <c r="D98" s="172" t="s">
        <v>1185</v>
      </c>
      <c r="E98" s="171"/>
      <c r="F98" s="171"/>
      <c r="G98" s="171"/>
      <c r="H98" s="3"/>
      <c r="I98" s="3"/>
      <c r="J98" s="3"/>
    </row>
    <row r="99" spans="2:10" ht="27" x14ac:dyDescent="0.2">
      <c r="B99" s="171" t="s">
        <v>2829</v>
      </c>
      <c r="C99" s="171" t="s">
        <v>35</v>
      </c>
      <c r="D99" s="172" t="s">
        <v>1491</v>
      </c>
      <c r="E99" s="171"/>
      <c r="F99" s="171"/>
      <c r="G99" s="171"/>
      <c r="H99" s="3"/>
      <c r="I99" s="3"/>
      <c r="J99" s="3"/>
    </row>
    <row r="100" spans="2:10" ht="27" x14ac:dyDescent="0.2">
      <c r="B100" s="171" t="s">
        <v>2830</v>
      </c>
      <c r="C100" s="171" t="s">
        <v>36</v>
      </c>
      <c r="D100" s="172" t="s">
        <v>1793</v>
      </c>
      <c r="E100" s="171"/>
      <c r="F100" s="171"/>
      <c r="G100" s="171"/>
      <c r="H100" s="3"/>
      <c r="I100" s="3"/>
      <c r="J100" s="3"/>
    </row>
    <row r="101" spans="2:10" x14ac:dyDescent="0.2">
      <c r="B101" s="81" t="s">
        <v>2831</v>
      </c>
      <c r="C101" s="81">
        <v>16</v>
      </c>
      <c r="D101" s="82" t="s">
        <v>173</v>
      </c>
      <c r="E101" s="83">
        <v>2</v>
      </c>
      <c r="F101" s="81"/>
      <c r="G101" s="81" t="str">
        <f>IF(F101&lt;&gt;"", IF(E101=F101, "O", "X"), "")</f>
        <v/>
      </c>
      <c r="H101" s="3"/>
      <c r="I101" s="3"/>
      <c r="J101" s="3"/>
    </row>
    <row r="102" spans="2:10" x14ac:dyDescent="0.2">
      <c r="B102" s="171" t="s">
        <v>2832</v>
      </c>
      <c r="C102" s="171" t="s">
        <v>32</v>
      </c>
      <c r="D102" s="172" t="s">
        <v>537</v>
      </c>
      <c r="E102" s="171"/>
      <c r="F102" s="171"/>
      <c r="G102" s="171"/>
      <c r="H102" s="3"/>
      <c r="I102" s="3"/>
      <c r="J102" s="3"/>
    </row>
    <row r="103" spans="2:10" ht="40.5" x14ac:dyDescent="0.2">
      <c r="B103" s="171" t="s">
        <v>2833</v>
      </c>
      <c r="C103" s="171" t="s">
        <v>33</v>
      </c>
      <c r="D103" s="172" t="s">
        <v>864</v>
      </c>
      <c r="E103" s="171"/>
      <c r="F103" s="171"/>
      <c r="G103" s="171"/>
      <c r="H103" s="3"/>
      <c r="I103" s="3"/>
      <c r="J103" s="3"/>
    </row>
    <row r="104" spans="2:10" ht="27" x14ac:dyDescent="0.2">
      <c r="B104" s="171" t="s">
        <v>2834</v>
      </c>
      <c r="C104" s="171" t="s">
        <v>34</v>
      </c>
      <c r="D104" s="172" t="s">
        <v>1186</v>
      </c>
      <c r="E104" s="171"/>
      <c r="F104" s="171"/>
      <c r="G104" s="171"/>
      <c r="H104" s="3"/>
      <c r="I104" s="3"/>
      <c r="J104" s="3"/>
    </row>
    <row r="105" spans="2:10" ht="27" x14ac:dyDescent="0.2">
      <c r="B105" s="171" t="s">
        <v>2835</v>
      </c>
      <c r="C105" s="171" t="s">
        <v>35</v>
      </c>
      <c r="D105" s="172" t="s">
        <v>1492</v>
      </c>
      <c r="E105" s="171"/>
      <c r="F105" s="171"/>
      <c r="G105" s="171"/>
      <c r="H105" s="3"/>
      <c r="I105" s="3"/>
      <c r="J105" s="3"/>
    </row>
    <row r="106" spans="2:10" x14ac:dyDescent="0.2">
      <c r="B106" s="171" t="s">
        <v>2836</v>
      </c>
      <c r="C106" s="171" t="s">
        <v>36</v>
      </c>
      <c r="D106" s="172" t="s">
        <v>1794</v>
      </c>
      <c r="E106" s="171"/>
      <c r="F106" s="171"/>
      <c r="G106" s="171"/>
      <c r="H106" s="3"/>
      <c r="I106" s="3"/>
      <c r="J106" s="3"/>
    </row>
    <row r="107" spans="2:10" ht="81" x14ac:dyDescent="0.2">
      <c r="B107" s="81" t="s">
        <v>2837</v>
      </c>
      <c r="C107" s="81">
        <v>17</v>
      </c>
      <c r="D107" s="82" t="s">
        <v>174</v>
      </c>
      <c r="E107" s="83">
        <v>5</v>
      </c>
      <c r="F107" s="81"/>
      <c r="G107" s="81" t="str">
        <f>IF(F107&lt;&gt;"", IF(E107=F107, "O", "X"), "")</f>
        <v/>
      </c>
      <c r="H107" s="3"/>
      <c r="I107" s="3"/>
      <c r="J107" s="3"/>
    </row>
    <row r="108" spans="2:10" x14ac:dyDescent="0.2">
      <c r="B108" s="171" t="s">
        <v>2838</v>
      </c>
      <c r="C108" s="171" t="s">
        <v>32</v>
      </c>
      <c r="D108" s="172" t="s">
        <v>7</v>
      </c>
      <c r="E108" s="171"/>
      <c r="F108" s="171"/>
      <c r="G108" s="171"/>
      <c r="H108" s="3"/>
      <c r="I108" s="3"/>
      <c r="J108" s="3"/>
    </row>
    <row r="109" spans="2:10" x14ac:dyDescent="0.2">
      <c r="B109" s="171" t="s">
        <v>2839</v>
      </c>
      <c r="C109" s="171" t="s">
        <v>33</v>
      </c>
      <c r="D109" s="172" t="s">
        <v>14</v>
      </c>
      <c r="E109" s="171"/>
      <c r="F109" s="171"/>
      <c r="G109" s="171"/>
      <c r="H109" s="3"/>
      <c r="I109" s="3"/>
      <c r="J109" s="3"/>
    </row>
    <row r="110" spans="2:10" x14ac:dyDescent="0.2">
      <c r="B110" s="171" t="s">
        <v>2840</v>
      </c>
      <c r="C110" s="171" t="s">
        <v>34</v>
      </c>
      <c r="D110" s="172" t="s">
        <v>18</v>
      </c>
      <c r="E110" s="171"/>
      <c r="F110" s="171"/>
      <c r="G110" s="171"/>
      <c r="H110" s="3"/>
      <c r="I110" s="3"/>
      <c r="J110" s="3"/>
    </row>
    <row r="111" spans="2:10" x14ac:dyDescent="0.2">
      <c r="B111" s="171" t="s">
        <v>2841</v>
      </c>
      <c r="C111" s="171" t="s">
        <v>35</v>
      </c>
      <c r="D111" s="172" t="s">
        <v>20</v>
      </c>
      <c r="E111" s="171"/>
      <c r="F111" s="171"/>
      <c r="G111" s="171"/>
      <c r="H111" s="3"/>
      <c r="I111" s="3"/>
      <c r="J111" s="3"/>
    </row>
    <row r="112" spans="2:10" x14ac:dyDescent="0.2">
      <c r="B112" s="171" t="s">
        <v>2842</v>
      </c>
      <c r="C112" s="171" t="s">
        <v>36</v>
      </c>
      <c r="D112" s="172" t="s">
        <v>22</v>
      </c>
      <c r="E112" s="171"/>
      <c r="F112" s="171"/>
      <c r="G112" s="171"/>
      <c r="H112" s="3"/>
      <c r="I112" s="3"/>
      <c r="J112" s="3"/>
    </row>
    <row r="113" spans="2:10" x14ac:dyDescent="0.2">
      <c r="B113" s="81" t="s">
        <v>2843</v>
      </c>
      <c r="C113" s="81">
        <v>18</v>
      </c>
      <c r="D113" s="82" t="s">
        <v>175</v>
      </c>
      <c r="E113" s="83">
        <v>1</v>
      </c>
      <c r="F113" s="81"/>
      <c r="G113" s="81" t="str">
        <f>IF(F113&lt;&gt;"", IF(E113=F113, "O", "X"), "")</f>
        <v/>
      </c>
      <c r="H113" s="3"/>
      <c r="I113" s="3"/>
      <c r="J113" s="3"/>
    </row>
    <row r="114" spans="2:10" x14ac:dyDescent="0.2">
      <c r="B114" s="171" t="s">
        <v>2844</v>
      </c>
      <c r="C114" s="171" t="s">
        <v>32</v>
      </c>
      <c r="D114" s="172" t="s">
        <v>538</v>
      </c>
      <c r="E114" s="171"/>
      <c r="F114" s="171"/>
      <c r="G114" s="171"/>
      <c r="H114" s="3"/>
      <c r="I114" s="3"/>
      <c r="J114" s="3"/>
    </row>
    <row r="115" spans="2:10" ht="27" x14ac:dyDescent="0.2">
      <c r="B115" s="171" t="s">
        <v>2845</v>
      </c>
      <c r="C115" s="171" t="s">
        <v>33</v>
      </c>
      <c r="D115" s="172" t="s">
        <v>865</v>
      </c>
      <c r="E115" s="171"/>
      <c r="F115" s="171"/>
      <c r="G115" s="171"/>
      <c r="H115" s="3"/>
      <c r="I115" s="3"/>
      <c r="J115" s="3"/>
    </row>
    <row r="116" spans="2:10" ht="27" x14ac:dyDescent="0.2">
      <c r="B116" s="171" t="s">
        <v>2846</v>
      </c>
      <c r="C116" s="171" t="s">
        <v>34</v>
      </c>
      <c r="D116" s="172" t="s">
        <v>1187</v>
      </c>
      <c r="E116" s="171"/>
      <c r="F116" s="171"/>
      <c r="G116" s="171"/>
      <c r="H116" s="3"/>
      <c r="I116" s="3"/>
      <c r="J116" s="3"/>
    </row>
    <row r="117" spans="2:10" x14ac:dyDescent="0.2">
      <c r="B117" s="171" t="s">
        <v>2847</v>
      </c>
      <c r="C117" s="171" t="s">
        <v>35</v>
      </c>
      <c r="D117" s="172" t="s">
        <v>1493</v>
      </c>
      <c r="E117" s="171"/>
      <c r="F117" s="171"/>
      <c r="G117" s="171"/>
      <c r="H117" s="3"/>
      <c r="I117" s="3"/>
      <c r="J117" s="3"/>
    </row>
    <row r="118" spans="2:10" ht="27" x14ac:dyDescent="0.2">
      <c r="B118" s="171" t="s">
        <v>2848</v>
      </c>
      <c r="C118" s="171" t="s">
        <v>36</v>
      </c>
      <c r="D118" s="172" t="s">
        <v>1795</v>
      </c>
      <c r="E118" s="171"/>
      <c r="F118" s="171"/>
      <c r="G118" s="171"/>
      <c r="H118" s="3"/>
      <c r="I118" s="3"/>
      <c r="J118" s="3"/>
    </row>
    <row r="119" spans="2:10" x14ac:dyDescent="0.2">
      <c r="B119" s="81" t="s">
        <v>2849</v>
      </c>
      <c r="C119" s="81">
        <v>19</v>
      </c>
      <c r="D119" s="82" t="s">
        <v>176</v>
      </c>
      <c r="E119" s="83">
        <v>3</v>
      </c>
      <c r="F119" s="81"/>
      <c r="G119" s="81" t="str">
        <f>IF(F119&lt;&gt;"", IF(E119=F119, "O", "X"), "")</f>
        <v/>
      </c>
      <c r="H119" s="3"/>
      <c r="I119" s="3"/>
      <c r="J119" s="3"/>
    </row>
    <row r="120" spans="2:10" x14ac:dyDescent="0.2">
      <c r="B120" s="171" t="s">
        <v>2850</v>
      </c>
      <c r="C120" s="171" t="s">
        <v>32</v>
      </c>
      <c r="D120" s="172" t="s">
        <v>539</v>
      </c>
      <c r="E120" s="171"/>
      <c r="F120" s="171"/>
      <c r="G120" s="171"/>
      <c r="H120" s="3"/>
      <c r="I120" s="3"/>
      <c r="J120" s="3"/>
    </row>
    <row r="121" spans="2:10" ht="27" x14ac:dyDescent="0.2">
      <c r="B121" s="171" t="s">
        <v>2851</v>
      </c>
      <c r="C121" s="171" t="s">
        <v>33</v>
      </c>
      <c r="D121" s="172" t="s">
        <v>866</v>
      </c>
      <c r="E121" s="171"/>
      <c r="F121" s="171"/>
      <c r="G121" s="171"/>
      <c r="H121" s="3"/>
      <c r="I121" s="3"/>
      <c r="J121" s="3"/>
    </row>
    <row r="122" spans="2:10" x14ac:dyDescent="0.2">
      <c r="B122" s="171" t="s">
        <v>2852</v>
      </c>
      <c r="C122" s="171" t="s">
        <v>34</v>
      </c>
      <c r="D122" s="172" t="s">
        <v>1188</v>
      </c>
      <c r="E122" s="171"/>
      <c r="F122" s="171"/>
      <c r="G122" s="171"/>
      <c r="H122" s="3"/>
      <c r="I122" s="3"/>
      <c r="J122" s="3"/>
    </row>
    <row r="123" spans="2:10" ht="27" x14ac:dyDescent="0.2">
      <c r="B123" s="171" t="s">
        <v>2853</v>
      </c>
      <c r="C123" s="171" t="s">
        <v>35</v>
      </c>
      <c r="D123" s="172" t="s">
        <v>1494</v>
      </c>
      <c r="E123" s="171"/>
      <c r="F123" s="171"/>
      <c r="G123" s="171"/>
      <c r="H123" s="3"/>
      <c r="I123" s="3"/>
      <c r="J123" s="3"/>
    </row>
    <row r="124" spans="2:10" x14ac:dyDescent="0.2">
      <c r="B124" s="171" t="s">
        <v>2854</v>
      </c>
      <c r="C124" s="171" t="s">
        <v>36</v>
      </c>
      <c r="D124" s="172" t="s">
        <v>1796</v>
      </c>
      <c r="E124" s="171"/>
      <c r="F124" s="171"/>
      <c r="G124" s="171"/>
      <c r="H124" s="3"/>
      <c r="I124" s="3"/>
      <c r="J124" s="3"/>
    </row>
    <row r="125" spans="2:10" x14ac:dyDescent="0.2">
      <c r="B125" s="81" t="s">
        <v>2855</v>
      </c>
      <c r="C125" s="81">
        <v>20</v>
      </c>
      <c r="D125" s="82" t="s">
        <v>177</v>
      </c>
      <c r="E125" s="83">
        <v>2</v>
      </c>
      <c r="F125" s="81"/>
      <c r="G125" s="81" t="str">
        <f>IF(F125&lt;&gt;"", IF(E125=F125, "O", "X"), "")</f>
        <v/>
      </c>
      <c r="H125" s="3"/>
      <c r="I125" s="3"/>
      <c r="J125" s="3"/>
    </row>
    <row r="126" spans="2:10" ht="27" x14ac:dyDescent="0.2">
      <c r="B126" s="171" t="s">
        <v>2856</v>
      </c>
      <c r="C126" s="171" t="s">
        <v>32</v>
      </c>
      <c r="D126" s="172" t="s">
        <v>540</v>
      </c>
      <c r="E126" s="171"/>
      <c r="F126" s="171"/>
      <c r="G126" s="171"/>
      <c r="H126" s="3"/>
      <c r="I126" s="3"/>
      <c r="J126" s="3"/>
    </row>
    <row r="127" spans="2:10" ht="27" x14ac:dyDescent="0.2">
      <c r="B127" s="171" t="s">
        <v>2857</v>
      </c>
      <c r="C127" s="171" t="s">
        <v>33</v>
      </c>
      <c r="D127" s="172" t="s">
        <v>867</v>
      </c>
      <c r="E127" s="171"/>
      <c r="F127" s="171"/>
      <c r="G127" s="171"/>
      <c r="H127" s="3"/>
      <c r="I127" s="3"/>
      <c r="J127" s="3"/>
    </row>
    <row r="128" spans="2:10" x14ac:dyDescent="0.2">
      <c r="B128" s="171" t="s">
        <v>2858</v>
      </c>
      <c r="C128" s="171" t="s">
        <v>34</v>
      </c>
      <c r="D128" s="172" t="s">
        <v>1189</v>
      </c>
      <c r="E128" s="171"/>
      <c r="F128" s="171"/>
      <c r="G128" s="171"/>
      <c r="H128" s="3"/>
      <c r="I128" s="3"/>
      <c r="J128" s="3"/>
    </row>
    <row r="129" spans="2:10" x14ac:dyDescent="0.2">
      <c r="B129" s="171" t="s">
        <v>2859</v>
      </c>
      <c r="C129" s="171" t="s">
        <v>35</v>
      </c>
      <c r="D129" s="172" t="s">
        <v>1495</v>
      </c>
      <c r="E129" s="171"/>
      <c r="F129" s="171"/>
      <c r="G129" s="171"/>
      <c r="H129" s="3"/>
      <c r="I129" s="3"/>
      <c r="J129" s="3"/>
    </row>
    <row r="130" spans="2:10" x14ac:dyDescent="0.2">
      <c r="B130" s="171" t="s">
        <v>2860</v>
      </c>
      <c r="C130" s="171" t="s">
        <v>36</v>
      </c>
      <c r="D130" s="172" t="s">
        <v>1797</v>
      </c>
      <c r="E130" s="171"/>
      <c r="F130" s="171"/>
      <c r="G130" s="171"/>
      <c r="H130" s="3"/>
      <c r="I130" s="3"/>
      <c r="J130" s="3"/>
    </row>
    <row r="131" spans="2:10" ht="54" x14ac:dyDescent="0.2">
      <c r="B131" s="81" t="s">
        <v>2861</v>
      </c>
      <c r="C131" s="81">
        <v>21</v>
      </c>
      <c r="D131" s="82" t="s">
        <v>178</v>
      </c>
      <c r="E131" s="83">
        <v>3</v>
      </c>
      <c r="F131" s="81"/>
      <c r="G131" s="81" t="str">
        <f>IF(F131&lt;&gt;"", IF(E131=F131, "O", "X"), "")</f>
        <v/>
      </c>
      <c r="H131" s="3"/>
      <c r="I131" s="3"/>
      <c r="J131" s="3"/>
    </row>
    <row r="132" spans="2:10" x14ac:dyDescent="0.2">
      <c r="B132" s="171" t="s">
        <v>2862</v>
      </c>
      <c r="C132" s="171" t="s">
        <v>32</v>
      </c>
      <c r="D132" s="172">
        <v>11</v>
      </c>
      <c r="E132" s="171"/>
      <c r="F132" s="171"/>
      <c r="G132" s="171"/>
      <c r="H132" s="3"/>
      <c r="I132" s="3"/>
      <c r="J132" s="3"/>
    </row>
    <row r="133" spans="2:10" x14ac:dyDescent="0.2">
      <c r="B133" s="171" t="s">
        <v>2863</v>
      </c>
      <c r="C133" s="171" t="s">
        <v>33</v>
      </c>
      <c r="D133" s="172">
        <v>12</v>
      </c>
      <c r="E133" s="171"/>
      <c r="F133" s="171"/>
      <c r="G133" s="171"/>
      <c r="H133" s="3"/>
      <c r="I133" s="3"/>
      <c r="J133" s="3"/>
    </row>
    <row r="134" spans="2:10" x14ac:dyDescent="0.2">
      <c r="B134" s="171" t="s">
        <v>2864</v>
      </c>
      <c r="C134" s="171" t="s">
        <v>34</v>
      </c>
      <c r="D134" s="172">
        <v>13</v>
      </c>
      <c r="E134" s="171"/>
      <c r="F134" s="171"/>
      <c r="G134" s="171"/>
      <c r="H134" s="3"/>
      <c r="I134" s="3"/>
      <c r="J134" s="3"/>
    </row>
    <row r="135" spans="2:10" x14ac:dyDescent="0.2">
      <c r="B135" s="171" t="s">
        <v>2865</v>
      </c>
      <c r="C135" s="171" t="s">
        <v>35</v>
      </c>
      <c r="D135" s="172">
        <v>15</v>
      </c>
      <c r="E135" s="171"/>
      <c r="F135" s="171"/>
      <c r="G135" s="171"/>
      <c r="H135" s="3"/>
      <c r="I135" s="3"/>
      <c r="J135" s="3"/>
    </row>
    <row r="136" spans="2:10" x14ac:dyDescent="0.2">
      <c r="B136" s="171" t="s">
        <v>2866</v>
      </c>
      <c r="C136" s="171" t="s">
        <v>36</v>
      </c>
      <c r="D136" s="172">
        <v>18</v>
      </c>
      <c r="E136" s="171"/>
      <c r="F136" s="171"/>
      <c r="G136" s="171"/>
      <c r="H136" s="3"/>
      <c r="I136" s="3"/>
      <c r="J136" s="3"/>
    </row>
    <row r="137" spans="2:10" x14ac:dyDescent="0.2">
      <c r="B137" s="81" t="s">
        <v>2867</v>
      </c>
      <c r="C137" s="81">
        <v>22</v>
      </c>
      <c r="D137" s="82" t="s">
        <v>179</v>
      </c>
      <c r="E137" s="83">
        <v>1</v>
      </c>
      <c r="F137" s="81"/>
      <c r="G137" s="81" t="str">
        <f>IF(F137&lt;&gt;"", IF(E137=F137, "O", "X"), "")</f>
        <v/>
      </c>
      <c r="H137" s="3"/>
      <c r="I137" s="3"/>
      <c r="J137" s="3"/>
    </row>
    <row r="138" spans="2:10" x14ac:dyDescent="0.2">
      <c r="B138" s="171" t="s">
        <v>2868</v>
      </c>
      <c r="C138" s="171" t="s">
        <v>32</v>
      </c>
      <c r="D138" s="172" t="s">
        <v>541</v>
      </c>
      <c r="E138" s="171"/>
      <c r="F138" s="171"/>
      <c r="G138" s="171"/>
      <c r="H138" s="3"/>
      <c r="I138" s="3"/>
      <c r="J138" s="3"/>
    </row>
    <row r="139" spans="2:10" ht="27" x14ac:dyDescent="0.2">
      <c r="B139" s="171" t="s">
        <v>2869</v>
      </c>
      <c r="C139" s="171" t="s">
        <v>33</v>
      </c>
      <c r="D139" s="172" t="s">
        <v>868</v>
      </c>
      <c r="E139" s="171"/>
      <c r="F139" s="171"/>
      <c r="G139" s="171"/>
      <c r="H139" s="3"/>
      <c r="I139" s="3"/>
      <c r="J139" s="3"/>
    </row>
    <row r="140" spans="2:10" x14ac:dyDescent="0.2">
      <c r="B140" s="171" t="s">
        <v>2870</v>
      </c>
      <c r="C140" s="171" t="s">
        <v>34</v>
      </c>
      <c r="D140" s="172" t="s">
        <v>1190</v>
      </c>
      <c r="E140" s="171"/>
      <c r="F140" s="171"/>
      <c r="G140" s="171"/>
      <c r="H140" s="3"/>
      <c r="I140" s="3"/>
      <c r="J140" s="3"/>
    </row>
    <row r="141" spans="2:10" ht="27" x14ac:dyDescent="0.2">
      <c r="B141" s="171" t="s">
        <v>2871</v>
      </c>
      <c r="C141" s="171" t="s">
        <v>35</v>
      </c>
      <c r="D141" s="172" t="s">
        <v>1496</v>
      </c>
      <c r="E141" s="171"/>
      <c r="F141" s="171"/>
      <c r="G141" s="171"/>
      <c r="H141" s="3"/>
      <c r="I141" s="3"/>
      <c r="J141" s="3"/>
    </row>
    <row r="142" spans="2:10" ht="27" x14ac:dyDescent="0.2">
      <c r="B142" s="171" t="s">
        <v>2872</v>
      </c>
      <c r="C142" s="171" t="s">
        <v>36</v>
      </c>
      <c r="D142" s="172" t="s">
        <v>1798</v>
      </c>
      <c r="E142" s="171"/>
      <c r="F142" s="171"/>
      <c r="G142" s="171"/>
      <c r="H142" s="3"/>
      <c r="I142" s="3"/>
      <c r="J142" s="3"/>
    </row>
    <row r="143" spans="2:10" ht="27" x14ac:dyDescent="0.2">
      <c r="B143" s="81" t="s">
        <v>2873</v>
      </c>
      <c r="C143" s="81">
        <v>23</v>
      </c>
      <c r="D143" s="82" t="s">
        <v>180</v>
      </c>
      <c r="E143" s="83">
        <v>5</v>
      </c>
      <c r="F143" s="81"/>
      <c r="G143" s="81" t="str">
        <f>IF(F143&lt;&gt;"", IF(E143=F143, "O", "X"), "")</f>
        <v/>
      </c>
      <c r="H143" s="3"/>
      <c r="I143" s="3"/>
      <c r="J143" s="3"/>
    </row>
    <row r="144" spans="2:10" x14ac:dyDescent="0.2">
      <c r="B144" s="171" t="s">
        <v>2874</v>
      </c>
      <c r="C144" s="171" t="s">
        <v>32</v>
      </c>
      <c r="D144" s="172" t="s">
        <v>532</v>
      </c>
      <c r="E144" s="171"/>
      <c r="F144" s="171"/>
      <c r="G144" s="171"/>
      <c r="H144" s="3"/>
      <c r="I144" s="3"/>
      <c r="J144" s="3"/>
    </row>
    <row r="145" spans="2:10" ht="27" x14ac:dyDescent="0.2">
      <c r="B145" s="171" t="s">
        <v>2875</v>
      </c>
      <c r="C145" s="171" t="s">
        <v>33</v>
      </c>
      <c r="D145" s="172" t="s">
        <v>869</v>
      </c>
      <c r="E145" s="171"/>
      <c r="F145" s="171"/>
      <c r="G145" s="171"/>
      <c r="H145" s="3"/>
      <c r="I145" s="3"/>
      <c r="J145" s="3"/>
    </row>
    <row r="146" spans="2:10" ht="67.5" x14ac:dyDescent="0.2">
      <c r="B146" s="171" t="s">
        <v>2876</v>
      </c>
      <c r="C146" s="171" t="s">
        <v>34</v>
      </c>
      <c r="D146" s="172" t="s">
        <v>1191</v>
      </c>
      <c r="E146" s="171"/>
      <c r="F146" s="171"/>
      <c r="G146" s="171"/>
      <c r="H146" s="3"/>
      <c r="I146" s="3"/>
      <c r="J146" s="3"/>
    </row>
    <row r="147" spans="2:10" x14ac:dyDescent="0.2">
      <c r="B147" s="171" t="s">
        <v>2877</v>
      </c>
      <c r="C147" s="171" t="s">
        <v>35</v>
      </c>
      <c r="D147" s="172" t="s">
        <v>1497</v>
      </c>
      <c r="E147" s="171"/>
      <c r="F147" s="171"/>
      <c r="G147" s="171"/>
      <c r="H147" s="3"/>
      <c r="I147" s="3"/>
      <c r="J147" s="3"/>
    </row>
    <row r="148" spans="2:10" x14ac:dyDescent="0.2">
      <c r="B148" s="171" t="s">
        <v>2878</v>
      </c>
      <c r="C148" s="171" t="s">
        <v>36</v>
      </c>
      <c r="D148" s="172" t="s">
        <v>1799</v>
      </c>
      <c r="E148" s="171"/>
      <c r="F148" s="171"/>
      <c r="G148" s="171"/>
      <c r="H148" s="3"/>
      <c r="I148" s="3"/>
      <c r="J148" s="3"/>
    </row>
    <row r="149" spans="2:10" x14ac:dyDescent="0.2">
      <c r="B149" s="81" t="s">
        <v>2879</v>
      </c>
      <c r="C149" s="81">
        <v>24</v>
      </c>
      <c r="D149" s="82" t="s">
        <v>181</v>
      </c>
      <c r="E149" s="83">
        <v>2</v>
      </c>
      <c r="F149" s="81"/>
      <c r="G149" s="81" t="str">
        <f>IF(F149&lt;&gt;"", IF(E149=F149, "O", "X"), "")</f>
        <v/>
      </c>
      <c r="H149" s="3"/>
      <c r="I149" s="3"/>
      <c r="J149" s="3"/>
    </row>
    <row r="150" spans="2:10" x14ac:dyDescent="0.2">
      <c r="B150" s="171" t="s">
        <v>2880</v>
      </c>
      <c r="C150" s="171" t="s">
        <v>32</v>
      </c>
      <c r="D150" s="172" t="s">
        <v>542</v>
      </c>
      <c r="E150" s="171"/>
      <c r="F150" s="171"/>
      <c r="G150" s="171"/>
      <c r="H150" s="3"/>
      <c r="I150" s="3"/>
      <c r="J150" s="3"/>
    </row>
    <row r="151" spans="2:10" ht="27" x14ac:dyDescent="0.2">
      <c r="B151" s="171" t="s">
        <v>2881</v>
      </c>
      <c r="C151" s="171" t="s">
        <v>33</v>
      </c>
      <c r="D151" s="172" t="s">
        <v>870</v>
      </c>
      <c r="E151" s="171"/>
      <c r="F151" s="171"/>
      <c r="G151" s="171"/>
      <c r="H151" s="3"/>
      <c r="I151" s="3"/>
      <c r="J151" s="3"/>
    </row>
    <row r="152" spans="2:10" x14ac:dyDescent="0.2">
      <c r="B152" s="171" t="s">
        <v>2882</v>
      </c>
      <c r="C152" s="171" t="s">
        <v>34</v>
      </c>
      <c r="D152" s="172" t="s">
        <v>1192</v>
      </c>
      <c r="E152" s="171"/>
      <c r="F152" s="171"/>
      <c r="G152" s="171"/>
      <c r="H152" s="3"/>
      <c r="I152" s="3"/>
      <c r="J152" s="3"/>
    </row>
    <row r="153" spans="2:10" ht="27" x14ac:dyDescent="0.2">
      <c r="B153" s="171" t="s">
        <v>2883</v>
      </c>
      <c r="C153" s="171" t="s">
        <v>35</v>
      </c>
      <c r="D153" s="172" t="s">
        <v>1498</v>
      </c>
      <c r="E153" s="171"/>
      <c r="F153" s="171"/>
      <c r="G153" s="171"/>
      <c r="H153" s="3"/>
      <c r="I153" s="3"/>
      <c r="J153" s="3"/>
    </row>
    <row r="154" spans="2:10" ht="27" x14ac:dyDescent="0.2">
      <c r="B154" s="171" t="s">
        <v>2884</v>
      </c>
      <c r="C154" s="171" t="s">
        <v>36</v>
      </c>
      <c r="D154" s="172" t="s">
        <v>1800</v>
      </c>
      <c r="E154" s="171"/>
      <c r="F154" s="171"/>
      <c r="G154" s="171"/>
      <c r="H154" s="3"/>
      <c r="I154" s="3"/>
      <c r="J154" s="3"/>
    </row>
    <row r="155" spans="2:10" ht="54" x14ac:dyDescent="0.2">
      <c r="B155" s="81" t="s">
        <v>2885</v>
      </c>
      <c r="C155" s="81">
        <v>25</v>
      </c>
      <c r="D155" s="82" t="s">
        <v>182</v>
      </c>
      <c r="E155" s="83">
        <v>3</v>
      </c>
      <c r="F155" s="81"/>
      <c r="G155" s="81" t="str">
        <f>IF(F155&lt;&gt;"", IF(E155=F155, "O", "X"), "")</f>
        <v/>
      </c>
      <c r="H155" s="3"/>
      <c r="I155" s="3"/>
      <c r="J155" s="3"/>
    </row>
    <row r="156" spans="2:10" x14ac:dyDescent="0.2">
      <c r="B156" s="171" t="s">
        <v>2886</v>
      </c>
      <c r="C156" s="171" t="s">
        <v>32</v>
      </c>
      <c r="D156" s="172">
        <v>4</v>
      </c>
      <c r="E156" s="171"/>
      <c r="F156" s="171"/>
      <c r="G156" s="171"/>
      <c r="H156" s="3"/>
      <c r="I156" s="3"/>
      <c r="J156" s="3"/>
    </row>
    <row r="157" spans="2:10" x14ac:dyDescent="0.2">
      <c r="B157" s="171" t="s">
        <v>2887</v>
      </c>
      <c r="C157" s="171" t="s">
        <v>33</v>
      </c>
      <c r="D157" s="172">
        <v>6</v>
      </c>
      <c r="E157" s="171"/>
      <c r="F157" s="171"/>
      <c r="G157" s="171"/>
      <c r="H157" s="3"/>
      <c r="I157" s="3"/>
      <c r="J157" s="3"/>
    </row>
    <row r="158" spans="2:10" x14ac:dyDescent="0.2">
      <c r="B158" s="171" t="s">
        <v>2888</v>
      </c>
      <c r="C158" s="171" t="s">
        <v>34</v>
      </c>
      <c r="D158" s="172">
        <v>8</v>
      </c>
      <c r="E158" s="171"/>
      <c r="F158" s="171"/>
      <c r="G158" s="171"/>
      <c r="H158" s="3"/>
      <c r="I158" s="3"/>
      <c r="J158" s="3"/>
    </row>
    <row r="159" spans="2:10" x14ac:dyDescent="0.2">
      <c r="B159" s="171" t="s">
        <v>2889</v>
      </c>
      <c r="C159" s="171" t="s">
        <v>35</v>
      </c>
      <c r="D159" s="172">
        <v>13</v>
      </c>
      <c r="E159" s="171"/>
      <c r="F159" s="171"/>
      <c r="G159" s="171"/>
      <c r="H159" s="3"/>
      <c r="I159" s="3"/>
      <c r="J159" s="3"/>
    </row>
    <row r="160" spans="2:10" x14ac:dyDescent="0.2">
      <c r="B160" s="171" t="s">
        <v>2890</v>
      </c>
      <c r="C160" s="171" t="s">
        <v>36</v>
      </c>
      <c r="D160" s="172">
        <v>15</v>
      </c>
      <c r="E160" s="171"/>
      <c r="F160" s="171"/>
      <c r="G160" s="171"/>
      <c r="H160" s="3"/>
      <c r="I160" s="3"/>
      <c r="J160" s="3"/>
    </row>
    <row r="161" spans="2:10" x14ac:dyDescent="0.2">
      <c r="B161" s="81" t="s">
        <v>2891</v>
      </c>
      <c r="C161" s="81">
        <v>26</v>
      </c>
      <c r="D161" s="82" t="s">
        <v>183</v>
      </c>
      <c r="E161" s="83">
        <v>2</v>
      </c>
      <c r="F161" s="81"/>
      <c r="G161" s="81" t="str">
        <f>IF(F161&lt;&gt;"", IF(E161=F161, "O", "X"), "")</f>
        <v/>
      </c>
      <c r="H161" s="3"/>
      <c r="I161" s="3"/>
      <c r="J161" s="3"/>
    </row>
    <row r="162" spans="2:10" ht="27" x14ac:dyDescent="0.2">
      <c r="B162" s="171" t="s">
        <v>2892</v>
      </c>
      <c r="C162" s="171" t="s">
        <v>32</v>
      </c>
      <c r="D162" s="172" t="s">
        <v>543</v>
      </c>
      <c r="E162" s="171"/>
      <c r="F162" s="171"/>
      <c r="G162" s="171"/>
      <c r="H162" s="3"/>
      <c r="I162" s="3"/>
      <c r="J162" s="3"/>
    </row>
    <row r="163" spans="2:10" ht="27" x14ac:dyDescent="0.2">
      <c r="B163" s="171" t="s">
        <v>2893</v>
      </c>
      <c r="C163" s="171" t="s">
        <v>33</v>
      </c>
      <c r="D163" s="172" t="s">
        <v>871</v>
      </c>
      <c r="E163" s="171"/>
      <c r="F163" s="171"/>
      <c r="G163" s="171"/>
      <c r="H163" s="3"/>
      <c r="I163" s="3"/>
      <c r="J163" s="3"/>
    </row>
    <row r="164" spans="2:10" x14ac:dyDescent="0.2">
      <c r="B164" s="171" t="s">
        <v>2894</v>
      </c>
      <c r="C164" s="171" t="s">
        <v>34</v>
      </c>
      <c r="D164" s="172" t="s">
        <v>1193</v>
      </c>
      <c r="E164" s="171"/>
      <c r="F164" s="171"/>
      <c r="G164" s="171"/>
      <c r="H164" s="3"/>
      <c r="I164" s="3"/>
      <c r="J164" s="3"/>
    </row>
    <row r="165" spans="2:10" ht="27" x14ac:dyDescent="0.2">
      <c r="B165" s="171" t="s">
        <v>2895</v>
      </c>
      <c r="C165" s="171" t="s">
        <v>35</v>
      </c>
      <c r="D165" s="172" t="s">
        <v>1499</v>
      </c>
      <c r="E165" s="171"/>
      <c r="F165" s="171"/>
      <c r="G165" s="171"/>
      <c r="H165" s="3"/>
      <c r="I165" s="3"/>
      <c r="J165" s="3"/>
    </row>
    <row r="166" spans="2:10" x14ac:dyDescent="0.2">
      <c r="B166" s="171" t="s">
        <v>2896</v>
      </c>
      <c r="C166" s="171" t="s">
        <v>36</v>
      </c>
      <c r="D166" s="172" t="s">
        <v>1801</v>
      </c>
      <c r="E166" s="171"/>
      <c r="F166" s="171"/>
      <c r="G166" s="171"/>
      <c r="H166" s="3"/>
      <c r="I166" s="3"/>
      <c r="J166" s="3"/>
    </row>
    <row r="167" spans="2:10" ht="27" x14ac:dyDescent="0.2">
      <c r="B167" s="81" t="s">
        <v>2897</v>
      </c>
      <c r="C167" s="81">
        <v>27</v>
      </c>
      <c r="D167" s="82" t="s">
        <v>184</v>
      </c>
      <c r="E167" s="83">
        <v>3</v>
      </c>
      <c r="F167" s="81"/>
      <c r="G167" s="81" t="str">
        <f>IF(F167&lt;&gt;"", IF(E167=F167, "O", "X"), "")</f>
        <v/>
      </c>
      <c r="H167" s="3"/>
      <c r="I167" s="3"/>
      <c r="J167" s="3"/>
    </row>
    <row r="168" spans="2:10" ht="27" x14ac:dyDescent="0.2">
      <c r="B168" s="171" t="s">
        <v>2898</v>
      </c>
      <c r="C168" s="171" t="s">
        <v>32</v>
      </c>
      <c r="D168" s="172" t="s">
        <v>544</v>
      </c>
      <c r="E168" s="171"/>
      <c r="F168" s="171"/>
      <c r="G168" s="171"/>
      <c r="H168" s="3"/>
      <c r="I168" s="3"/>
      <c r="J168" s="3"/>
    </row>
    <row r="169" spans="2:10" ht="27" x14ac:dyDescent="0.2">
      <c r="B169" s="171" t="s">
        <v>2899</v>
      </c>
      <c r="C169" s="171" t="s">
        <v>33</v>
      </c>
      <c r="D169" s="172" t="s">
        <v>872</v>
      </c>
      <c r="E169" s="171"/>
      <c r="F169" s="171"/>
      <c r="G169" s="171"/>
      <c r="H169" s="3"/>
      <c r="I169" s="3"/>
      <c r="J169" s="3"/>
    </row>
    <row r="170" spans="2:10" ht="67.5" x14ac:dyDescent="0.2">
      <c r="B170" s="171" t="s">
        <v>2900</v>
      </c>
      <c r="C170" s="171" t="s">
        <v>34</v>
      </c>
      <c r="D170" s="172" t="s">
        <v>1194</v>
      </c>
      <c r="E170" s="171"/>
      <c r="F170" s="171"/>
      <c r="G170" s="171"/>
      <c r="H170" s="3"/>
      <c r="I170" s="3"/>
      <c r="J170" s="3"/>
    </row>
    <row r="171" spans="2:10" x14ac:dyDescent="0.2">
      <c r="B171" s="171" t="s">
        <v>2901</v>
      </c>
      <c r="C171" s="171" t="s">
        <v>35</v>
      </c>
      <c r="D171" s="172" t="s">
        <v>1500</v>
      </c>
      <c r="E171" s="171"/>
      <c r="F171" s="171"/>
      <c r="G171" s="171"/>
      <c r="H171" s="3"/>
      <c r="I171" s="3"/>
      <c r="J171" s="3"/>
    </row>
    <row r="172" spans="2:10" x14ac:dyDescent="0.2">
      <c r="B172" s="171" t="s">
        <v>2902</v>
      </c>
      <c r="C172" s="171" t="s">
        <v>36</v>
      </c>
      <c r="D172" s="172" t="s">
        <v>1802</v>
      </c>
      <c r="E172" s="171"/>
      <c r="F172" s="171"/>
      <c r="G172" s="171"/>
      <c r="H172" s="3"/>
      <c r="I172" s="3"/>
      <c r="J172" s="3"/>
    </row>
    <row r="173" spans="2:10" x14ac:dyDescent="0.2">
      <c r="B173" s="81" t="s">
        <v>2903</v>
      </c>
      <c r="C173" s="81">
        <v>28</v>
      </c>
      <c r="D173" s="82" t="s">
        <v>185</v>
      </c>
      <c r="E173" s="83">
        <v>5</v>
      </c>
      <c r="F173" s="81"/>
      <c r="G173" s="81" t="str">
        <f>IF(F173&lt;&gt;"", IF(E173=F173, "O", "X"), "")</f>
        <v/>
      </c>
      <c r="H173" s="3"/>
      <c r="I173" s="3"/>
      <c r="J173" s="3"/>
    </row>
    <row r="174" spans="2:10" ht="27" x14ac:dyDescent="0.2">
      <c r="B174" s="171" t="s">
        <v>2904</v>
      </c>
      <c r="C174" s="171" t="s">
        <v>32</v>
      </c>
      <c r="D174" s="172" t="s">
        <v>545</v>
      </c>
      <c r="E174" s="171"/>
      <c r="F174" s="171"/>
      <c r="G174" s="171"/>
      <c r="H174" s="3"/>
      <c r="I174" s="3"/>
      <c r="J174" s="3"/>
    </row>
    <row r="175" spans="2:10" x14ac:dyDescent="0.2">
      <c r="B175" s="171" t="s">
        <v>2905</v>
      </c>
      <c r="C175" s="171" t="s">
        <v>33</v>
      </c>
      <c r="D175" s="172" t="s">
        <v>873</v>
      </c>
      <c r="E175" s="171"/>
      <c r="F175" s="171"/>
      <c r="G175" s="171"/>
      <c r="H175" s="3"/>
      <c r="I175" s="3"/>
      <c r="J175" s="3"/>
    </row>
    <row r="176" spans="2:10" ht="27" x14ac:dyDescent="0.2">
      <c r="B176" s="171" t="s">
        <v>2906</v>
      </c>
      <c r="C176" s="171" t="s">
        <v>34</v>
      </c>
      <c r="D176" s="172" t="s">
        <v>1195</v>
      </c>
      <c r="E176" s="171"/>
      <c r="F176" s="171"/>
      <c r="G176" s="171"/>
      <c r="H176" s="3"/>
      <c r="I176" s="3"/>
      <c r="J176" s="3"/>
    </row>
    <row r="177" spans="2:10" ht="27" x14ac:dyDescent="0.2">
      <c r="B177" s="171" t="s">
        <v>2907</v>
      </c>
      <c r="C177" s="171" t="s">
        <v>35</v>
      </c>
      <c r="D177" s="172" t="s">
        <v>1501</v>
      </c>
      <c r="E177" s="171"/>
      <c r="F177" s="171"/>
      <c r="G177" s="171"/>
      <c r="H177" s="3"/>
      <c r="I177" s="3"/>
      <c r="J177" s="3"/>
    </row>
    <row r="178" spans="2:10" ht="27" x14ac:dyDescent="0.2">
      <c r="B178" s="171" t="s">
        <v>2908</v>
      </c>
      <c r="C178" s="171" t="s">
        <v>36</v>
      </c>
      <c r="D178" s="172" t="s">
        <v>1803</v>
      </c>
      <c r="E178" s="171"/>
      <c r="F178" s="171"/>
      <c r="G178" s="171"/>
      <c r="H178" s="3"/>
      <c r="I178" s="3"/>
      <c r="J178" s="3"/>
    </row>
    <row r="179" spans="2:10" ht="94.5" x14ac:dyDescent="0.2">
      <c r="B179" s="81" t="s">
        <v>2909</v>
      </c>
      <c r="C179" s="81">
        <v>29</v>
      </c>
      <c r="D179" s="82" t="s">
        <v>186</v>
      </c>
      <c r="E179" s="83">
        <v>5</v>
      </c>
      <c r="F179" s="81"/>
      <c r="G179" s="81" t="str">
        <f>IF(F179&lt;&gt;"", IF(E179=F179, "O", "X"), "")</f>
        <v/>
      </c>
      <c r="H179" s="3"/>
      <c r="I179" s="3"/>
      <c r="J179" s="3"/>
    </row>
    <row r="180" spans="2:10" x14ac:dyDescent="0.2">
      <c r="B180" s="171" t="s">
        <v>2910</v>
      </c>
      <c r="C180" s="171" t="s">
        <v>32</v>
      </c>
      <c r="D180" s="172" t="s">
        <v>4</v>
      </c>
      <c r="E180" s="171"/>
      <c r="F180" s="171"/>
      <c r="G180" s="171"/>
      <c r="H180" s="3"/>
      <c r="I180" s="3"/>
      <c r="J180" s="3"/>
    </row>
    <row r="181" spans="2:10" x14ac:dyDescent="0.2">
      <c r="B181" s="171" t="s">
        <v>2911</v>
      </c>
      <c r="C181" s="171" t="s">
        <v>33</v>
      </c>
      <c r="D181" s="172" t="s">
        <v>16</v>
      </c>
      <c r="E181" s="171"/>
      <c r="F181" s="171"/>
      <c r="G181" s="171"/>
      <c r="H181" s="3"/>
      <c r="I181" s="3"/>
      <c r="J181" s="3"/>
    </row>
    <row r="182" spans="2:10" x14ac:dyDescent="0.2">
      <c r="B182" s="171" t="s">
        <v>2912</v>
      </c>
      <c r="C182" s="171" t="s">
        <v>34</v>
      </c>
      <c r="D182" s="172" t="s">
        <v>11</v>
      </c>
      <c r="E182" s="171"/>
      <c r="F182" s="171"/>
      <c r="G182" s="171"/>
      <c r="H182" s="3"/>
      <c r="I182" s="3"/>
      <c r="J182" s="3"/>
    </row>
    <row r="183" spans="2:10" x14ac:dyDescent="0.2">
      <c r="B183" s="171" t="s">
        <v>2913</v>
      </c>
      <c r="C183" s="171" t="s">
        <v>35</v>
      </c>
      <c r="D183" s="172" t="s">
        <v>17</v>
      </c>
      <c r="E183" s="171"/>
      <c r="F183" s="171"/>
      <c r="G183" s="171"/>
      <c r="H183" s="3"/>
      <c r="I183" s="3"/>
      <c r="J183" s="3"/>
    </row>
    <row r="184" spans="2:10" x14ac:dyDescent="0.2">
      <c r="B184" s="171" t="s">
        <v>2914</v>
      </c>
      <c r="C184" s="171" t="s">
        <v>36</v>
      </c>
      <c r="D184" s="172" t="s">
        <v>21</v>
      </c>
      <c r="E184" s="171"/>
      <c r="F184" s="171"/>
      <c r="G184" s="171"/>
      <c r="H184" s="3"/>
      <c r="I184" s="3"/>
      <c r="J184" s="3"/>
    </row>
    <row r="185" spans="2:10" ht="81" x14ac:dyDescent="0.2">
      <c r="B185" s="81" t="s">
        <v>2915</v>
      </c>
      <c r="C185" s="81">
        <v>30</v>
      </c>
      <c r="D185" s="82" t="s">
        <v>187</v>
      </c>
      <c r="E185" s="83">
        <v>4</v>
      </c>
      <c r="F185" s="81"/>
      <c r="G185" s="81" t="str">
        <f>IF(F185&lt;&gt;"", IF(E185=F185, "O", "X"), "")</f>
        <v/>
      </c>
      <c r="H185" s="3"/>
      <c r="I185" s="3"/>
      <c r="J185" s="3"/>
    </row>
    <row r="186" spans="2:10" x14ac:dyDescent="0.2">
      <c r="B186" s="171" t="s">
        <v>2916</v>
      </c>
      <c r="C186" s="171" t="s">
        <v>32</v>
      </c>
      <c r="D186" s="172" t="s">
        <v>5</v>
      </c>
      <c r="E186" s="171"/>
      <c r="F186" s="171"/>
      <c r="G186" s="171"/>
      <c r="H186" s="3"/>
      <c r="I186" s="3"/>
      <c r="J186" s="3"/>
    </row>
    <row r="187" spans="2:10" x14ac:dyDescent="0.2">
      <c r="B187" s="171" t="s">
        <v>2917</v>
      </c>
      <c r="C187" s="171" t="s">
        <v>33</v>
      </c>
      <c r="D187" s="172" t="s">
        <v>4</v>
      </c>
      <c r="E187" s="171"/>
      <c r="F187" s="171"/>
      <c r="G187" s="171"/>
      <c r="H187" s="3"/>
      <c r="I187" s="3"/>
      <c r="J187" s="3"/>
    </row>
    <row r="188" spans="2:10" x14ac:dyDescent="0.2">
      <c r="B188" s="171" t="s">
        <v>2918</v>
      </c>
      <c r="C188" s="171" t="s">
        <v>34</v>
      </c>
      <c r="D188" s="172" t="s">
        <v>16</v>
      </c>
      <c r="E188" s="171"/>
      <c r="F188" s="171"/>
      <c r="G188" s="171"/>
      <c r="H188" s="3"/>
      <c r="I188" s="3"/>
      <c r="J188" s="3"/>
    </row>
    <row r="189" spans="2:10" x14ac:dyDescent="0.2">
      <c r="B189" s="171" t="s">
        <v>2919</v>
      </c>
      <c r="C189" s="171" t="s">
        <v>35</v>
      </c>
      <c r="D189" s="172" t="s">
        <v>19</v>
      </c>
      <c r="E189" s="171"/>
      <c r="F189" s="171"/>
      <c r="G189" s="171"/>
      <c r="H189" s="3"/>
      <c r="I189" s="3"/>
      <c r="J189" s="3"/>
    </row>
    <row r="190" spans="2:10" x14ac:dyDescent="0.2">
      <c r="B190" s="171" t="s">
        <v>2920</v>
      </c>
      <c r="C190" s="171" t="s">
        <v>36</v>
      </c>
      <c r="D190" s="172" t="s">
        <v>21</v>
      </c>
      <c r="E190" s="171"/>
      <c r="F190" s="171"/>
      <c r="G190" s="171"/>
      <c r="H190" s="3"/>
      <c r="I190" s="3"/>
      <c r="J190" s="3"/>
    </row>
    <row r="191" spans="2:10" x14ac:dyDescent="0.2">
      <c r="B191" s="81" t="s">
        <v>2921</v>
      </c>
      <c r="C191" s="81">
        <v>31</v>
      </c>
      <c r="D191" s="82" t="s">
        <v>188</v>
      </c>
      <c r="E191" s="83">
        <v>2</v>
      </c>
      <c r="F191" s="81"/>
      <c r="G191" s="81" t="str">
        <f>IF(F191&lt;&gt;"", IF(E191=F191, "O", "X"), "")</f>
        <v/>
      </c>
      <c r="H191" s="3"/>
      <c r="I191" s="3"/>
      <c r="J191" s="3"/>
    </row>
    <row r="192" spans="2:10" x14ac:dyDescent="0.2">
      <c r="B192" s="171" t="s">
        <v>2922</v>
      </c>
      <c r="C192" s="171" t="s">
        <v>32</v>
      </c>
      <c r="D192" s="172" t="s">
        <v>546</v>
      </c>
      <c r="E192" s="171"/>
      <c r="F192" s="171"/>
      <c r="G192" s="171"/>
      <c r="H192" s="3"/>
      <c r="I192" s="3"/>
      <c r="J192" s="3"/>
    </row>
    <row r="193" spans="2:10" x14ac:dyDescent="0.2">
      <c r="B193" s="171" t="s">
        <v>2923</v>
      </c>
      <c r="C193" s="171" t="s">
        <v>33</v>
      </c>
      <c r="D193" s="172" t="s">
        <v>874</v>
      </c>
      <c r="E193" s="171"/>
      <c r="F193" s="171"/>
      <c r="G193" s="171"/>
      <c r="H193" s="3"/>
      <c r="I193" s="3"/>
      <c r="J193" s="3"/>
    </row>
    <row r="194" spans="2:10" x14ac:dyDescent="0.2">
      <c r="B194" s="171" t="s">
        <v>2924</v>
      </c>
      <c r="C194" s="171" t="s">
        <v>34</v>
      </c>
      <c r="D194" s="172" t="s">
        <v>1196</v>
      </c>
      <c r="E194" s="171"/>
      <c r="F194" s="171"/>
      <c r="G194" s="171"/>
      <c r="H194" s="3"/>
      <c r="I194" s="3"/>
      <c r="J194" s="3"/>
    </row>
    <row r="195" spans="2:10" x14ac:dyDescent="0.2">
      <c r="B195" s="171" t="s">
        <v>2925</v>
      </c>
      <c r="C195" s="171" t="s">
        <v>35</v>
      </c>
      <c r="D195" s="172" t="s">
        <v>1502</v>
      </c>
      <c r="E195" s="171"/>
      <c r="F195" s="171"/>
      <c r="G195" s="171"/>
      <c r="H195" s="3"/>
      <c r="I195" s="3"/>
      <c r="J195" s="3"/>
    </row>
    <row r="196" spans="2:10" x14ac:dyDescent="0.2">
      <c r="B196" s="171" t="s">
        <v>2926</v>
      </c>
      <c r="C196" s="171" t="s">
        <v>36</v>
      </c>
      <c r="D196" s="172" t="s">
        <v>1804</v>
      </c>
      <c r="E196" s="171"/>
      <c r="F196" s="171"/>
      <c r="G196" s="171"/>
      <c r="H196" s="3"/>
      <c r="I196" s="3"/>
      <c r="J196" s="3"/>
    </row>
    <row r="197" spans="2:10" x14ac:dyDescent="0.2">
      <c r="B197" s="81" t="s">
        <v>2927</v>
      </c>
      <c r="C197" s="81">
        <v>32</v>
      </c>
      <c r="D197" s="82" t="s">
        <v>189</v>
      </c>
      <c r="E197" s="83">
        <v>4</v>
      </c>
      <c r="F197" s="81"/>
      <c r="G197" s="81" t="str">
        <f>IF(F197&lt;&gt;"", IF(E197=F197, "O", "X"), "")</f>
        <v/>
      </c>
      <c r="H197" s="3"/>
      <c r="I197" s="3"/>
      <c r="J197" s="3"/>
    </row>
    <row r="198" spans="2:10" x14ac:dyDescent="0.2">
      <c r="B198" s="171" t="s">
        <v>2928</v>
      </c>
      <c r="C198" s="171" t="s">
        <v>32</v>
      </c>
      <c r="D198" s="172" t="s">
        <v>547</v>
      </c>
      <c r="E198" s="171"/>
      <c r="F198" s="171"/>
      <c r="G198" s="171"/>
      <c r="H198" s="3"/>
      <c r="I198" s="3"/>
      <c r="J198" s="3"/>
    </row>
    <row r="199" spans="2:10" ht="27" x14ac:dyDescent="0.2">
      <c r="B199" s="171" t="s">
        <v>2929</v>
      </c>
      <c r="C199" s="171" t="s">
        <v>33</v>
      </c>
      <c r="D199" s="172" t="s">
        <v>875</v>
      </c>
      <c r="E199" s="171"/>
      <c r="F199" s="171"/>
      <c r="G199" s="171"/>
      <c r="H199" s="3"/>
      <c r="I199" s="3"/>
      <c r="J199" s="3"/>
    </row>
    <row r="200" spans="2:10" x14ac:dyDescent="0.2">
      <c r="B200" s="171" t="s">
        <v>2930</v>
      </c>
      <c r="C200" s="171" t="s">
        <v>34</v>
      </c>
      <c r="D200" s="172" t="s">
        <v>757</v>
      </c>
      <c r="E200" s="171"/>
      <c r="F200" s="171"/>
      <c r="G200" s="171"/>
      <c r="H200" s="3"/>
      <c r="I200" s="3"/>
      <c r="J200" s="3"/>
    </row>
    <row r="201" spans="2:10" ht="27" x14ac:dyDescent="0.2">
      <c r="B201" s="171" t="s">
        <v>2931</v>
      </c>
      <c r="C201" s="171" t="s">
        <v>35</v>
      </c>
      <c r="D201" s="172" t="s">
        <v>1503</v>
      </c>
      <c r="E201" s="171"/>
      <c r="F201" s="171"/>
      <c r="G201" s="171"/>
      <c r="H201" s="3"/>
      <c r="I201" s="3"/>
      <c r="J201" s="3"/>
    </row>
    <row r="202" spans="2:10" x14ac:dyDescent="0.2">
      <c r="B202" s="171" t="s">
        <v>2932</v>
      </c>
      <c r="C202" s="171" t="s">
        <v>36</v>
      </c>
      <c r="D202" s="172" t="s">
        <v>1805</v>
      </c>
      <c r="E202" s="171"/>
      <c r="F202" s="171"/>
      <c r="G202" s="171"/>
      <c r="H202" s="3"/>
      <c r="I202" s="3"/>
      <c r="J202" s="3"/>
    </row>
    <row r="203" spans="2:10" ht="67.5" x14ac:dyDescent="0.2">
      <c r="B203" s="81" t="s">
        <v>2933</v>
      </c>
      <c r="C203" s="81">
        <v>33</v>
      </c>
      <c r="D203" s="82" t="s">
        <v>190</v>
      </c>
      <c r="E203" s="83">
        <v>4</v>
      </c>
      <c r="F203" s="81"/>
      <c r="G203" s="81" t="str">
        <f>IF(F203&lt;&gt;"", IF(E203=F203, "O", "X"), "")</f>
        <v/>
      </c>
      <c r="H203" s="3"/>
      <c r="I203" s="3"/>
      <c r="J203" s="3"/>
    </row>
    <row r="204" spans="2:10" x14ac:dyDescent="0.2">
      <c r="B204" s="171" t="s">
        <v>2934</v>
      </c>
      <c r="C204" s="171" t="s">
        <v>32</v>
      </c>
      <c r="D204" s="172" t="s">
        <v>5</v>
      </c>
      <c r="E204" s="171"/>
      <c r="F204" s="171"/>
      <c r="G204" s="171"/>
      <c r="H204" s="3"/>
      <c r="I204" s="3"/>
      <c r="J204" s="3"/>
    </row>
    <row r="205" spans="2:10" x14ac:dyDescent="0.2">
      <c r="B205" s="171" t="s">
        <v>2935</v>
      </c>
      <c r="C205" s="171" t="s">
        <v>33</v>
      </c>
      <c r="D205" s="172" t="s">
        <v>85</v>
      </c>
      <c r="E205" s="171"/>
      <c r="F205" s="171"/>
      <c r="G205" s="171"/>
      <c r="H205" s="3"/>
      <c r="I205" s="3"/>
      <c r="J205" s="3"/>
    </row>
    <row r="206" spans="2:10" x14ac:dyDescent="0.2">
      <c r="B206" s="171" t="s">
        <v>2936</v>
      </c>
      <c r="C206" s="171" t="s">
        <v>34</v>
      </c>
      <c r="D206" s="172" t="s">
        <v>4</v>
      </c>
      <c r="E206" s="171"/>
      <c r="F206" s="171"/>
      <c r="G206" s="171"/>
      <c r="H206" s="3"/>
      <c r="I206" s="3"/>
      <c r="J206" s="3"/>
    </row>
    <row r="207" spans="2:10" x14ac:dyDescent="0.2">
      <c r="B207" s="171" t="s">
        <v>2937</v>
      </c>
      <c r="C207" s="171" t="s">
        <v>35</v>
      </c>
      <c r="D207" s="172" t="s">
        <v>16</v>
      </c>
      <c r="E207" s="171"/>
      <c r="F207" s="171"/>
      <c r="G207" s="171"/>
      <c r="H207" s="3"/>
      <c r="I207" s="3"/>
      <c r="J207" s="3"/>
    </row>
    <row r="208" spans="2:10" x14ac:dyDescent="0.2">
      <c r="B208" s="171" t="s">
        <v>2938</v>
      </c>
      <c r="C208" s="171" t="s">
        <v>36</v>
      </c>
      <c r="D208" s="172" t="s">
        <v>9</v>
      </c>
      <c r="E208" s="171"/>
      <c r="F208" s="171"/>
      <c r="G208" s="171"/>
      <c r="H208" s="3"/>
      <c r="I208" s="3"/>
      <c r="J208" s="3"/>
    </row>
    <row r="209" spans="2:10" x14ac:dyDescent="0.2">
      <c r="B209" s="81" t="s">
        <v>2939</v>
      </c>
      <c r="C209" s="81">
        <v>34</v>
      </c>
      <c r="D209" s="82" t="s">
        <v>191</v>
      </c>
      <c r="E209" s="83">
        <v>5</v>
      </c>
      <c r="F209" s="81"/>
      <c r="G209" s="81" t="str">
        <f>IF(F209&lt;&gt;"", IF(E209=F209, "O", "X"), "")</f>
        <v/>
      </c>
      <c r="H209" s="3"/>
      <c r="I209" s="3"/>
      <c r="J209" s="3"/>
    </row>
    <row r="210" spans="2:10" ht="27" x14ac:dyDescent="0.2">
      <c r="B210" s="171" t="s">
        <v>2940</v>
      </c>
      <c r="C210" s="171" t="s">
        <v>32</v>
      </c>
      <c r="D210" s="172" t="s">
        <v>548</v>
      </c>
      <c r="E210" s="171"/>
      <c r="F210" s="171"/>
      <c r="G210" s="171"/>
      <c r="H210" s="3"/>
      <c r="I210" s="3"/>
      <c r="J210" s="3"/>
    </row>
    <row r="211" spans="2:10" x14ac:dyDescent="0.2">
      <c r="B211" s="171" t="s">
        <v>2941</v>
      </c>
      <c r="C211" s="171" t="s">
        <v>33</v>
      </c>
      <c r="D211" s="172" t="s">
        <v>588</v>
      </c>
      <c r="E211" s="171"/>
      <c r="F211" s="171"/>
      <c r="G211" s="171"/>
      <c r="H211" s="3"/>
      <c r="I211" s="3"/>
      <c r="J211" s="3"/>
    </row>
    <row r="212" spans="2:10" ht="40.5" x14ac:dyDescent="0.2">
      <c r="B212" s="171" t="s">
        <v>2942</v>
      </c>
      <c r="C212" s="171" t="s">
        <v>34</v>
      </c>
      <c r="D212" s="172" t="s">
        <v>1197</v>
      </c>
      <c r="E212" s="171"/>
      <c r="F212" s="171"/>
      <c r="G212" s="171"/>
      <c r="H212" s="3"/>
      <c r="I212" s="3"/>
      <c r="J212" s="3"/>
    </row>
    <row r="213" spans="2:10" ht="27" x14ac:dyDescent="0.2">
      <c r="B213" s="171" t="s">
        <v>2943</v>
      </c>
      <c r="C213" s="171" t="s">
        <v>35</v>
      </c>
      <c r="D213" s="172" t="s">
        <v>1504</v>
      </c>
      <c r="E213" s="171"/>
      <c r="F213" s="171"/>
      <c r="G213" s="171"/>
      <c r="H213" s="3"/>
      <c r="I213" s="3"/>
      <c r="J213" s="3"/>
    </row>
    <row r="214" spans="2:10" ht="27" x14ac:dyDescent="0.2">
      <c r="B214" s="171" t="s">
        <v>2944</v>
      </c>
      <c r="C214" s="171" t="s">
        <v>36</v>
      </c>
      <c r="D214" s="172" t="s">
        <v>1806</v>
      </c>
      <c r="E214" s="171"/>
      <c r="F214" s="171"/>
      <c r="G214" s="171"/>
      <c r="H214" s="3"/>
      <c r="I214" s="3"/>
      <c r="J214" s="3"/>
    </row>
    <row r="215" spans="2:10" x14ac:dyDescent="0.2">
      <c r="B215" s="81" t="s">
        <v>2945</v>
      </c>
      <c r="C215" s="81">
        <v>35</v>
      </c>
      <c r="D215" s="82" t="s">
        <v>192</v>
      </c>
      <c r="E215" s="83">
        <v>5</v>
      </c>
      <c r="F215" s="81"/>
      <c r="G215" s="81" t="str">
        <f>IF(F215&lt;&gt;"", IF(E215=F215, "O", "X"), "")</f>
        <v/>
      </c>
      <c r="H215" s="3"/>
      <c r="I215" s="3"/>
      <c r="J215" s="3"/>
    </row>
    <row r="216" spans="2:10" ht="27" x14ac:dyDescent="0.2">
      <c r="B216" s="171" t="s">
        <v>2946</v>
      </c>
      <c r="C216" s="171" t="s">
        <v>32</v>
      </c>
      <c r="D216" s="172" t="s">
        <v>549</v>
      </c>
      <c r="E216" s="171"/>
      <c r="F216" s="171"/>
      <c r="G216" s="171"/>
      <c r="H216" s="3"/>
      <c r="I216" s="3"/>
      <c r="J216" s="3"/>
    </row>
    <row r="217" spans="2:10" x14ac:dyDescent="0.2">
      <c r="B217" s="171" t="s">
        <v>2947</v>
      </c>
      <c r="C217" s="171" t="s">
        <v>33</v>
      </c>
      <c r="D217" s="172" t="s">
        <v>876</v>
      </c>
      <c r="E217" s="171"/>
      <c r="F217" s="171"/>
      <c r="G217" s="171"/>
      <c r="H217" s="3"/>
      <c r="I217" s="3"/>
      <c r="J217" s="3"/>
    </row>
    <row r="218" spans="2:10" x14ac:dyDescent="0.2">
      <c r="B218" s="171" t="s">
        <v>2948</v>
      </c>
      <c r="C218" s="171" t="s">
        <v>34</v>
      </c>
      <c r="D218" s="172" t="s">
        <v>1198</v>
      </c>
      <c r="E218" s="171"/>
      <c r="F218" s="171"/>
      <c r="G218" s="171"/>
      <c r="H218" s="3"/>
      <c r="I218" s="3"/>
      <c r="J218" s="3"/>
    </row>
    <row r="219" spans="2:10" ht="27" x14ac:dyDescent="0.2">
      <c r="B219" s="171" t="s">
        <v>2949</v>
      </c>
      <c r="C219" s="171" t="s">
        <v>35</v>
      </c>
      <c r="D219" s="172" t="s">
        <v>1505</v>
      </c>
      <c r="E219" s="171"/>
      <c r="F219" s="171"/>
      <c r="G219" s="171"/>
      <c r="H219" s="3"/>
      <c r="I219" s="3"/>
      <c r="J219" s="3"/>
    </row>
    <row r="220" spans="2:10" ht="27" x14ac:dyDescent="0.2">
      <c r="B220" s="171" t="s">
        <v>2950</v>
      </c>
      <c r="C220" s="171" t="s">
        <v>36</v>
      </c>
      <c r="D220" s="172" t="s">
        <v>1807</v>
      </c>
      <c r="E220" s="171"/>
      <c r="F220" s="171"/>
      <c r="G220" s="171"/>
      <c r="H220" s="3"/>
      <c r="I220" s="3"/>
      <c r="J220" s="3"/>
    </row>
    <row r="221" spans="2:10" ht="94.5" x14ac:dyDescent="0.2">
      <c r="B221" s="81" t="s">
        <v>2951</v>
      </c>
      <c r="C221" s="81">
        <v>36</v>
      </c>
      <c r="D221" s="82" t="s">
        <v>193</v>
      </c>
      <c r="E221" s="83">
        <v>5</v>
      </c>
      <c r="F221" s="81"/>
      <c r="G221" s="81" t="str">
        <f>IF(F221&lt;&gt;"", IF(E221=F221, "O", "X"), "")</f>
        <v/>
      </c>
      <c r="H221" s="3"/>
      <c r="I221" s="3"/>
      <c r="J221" s="3"/>
    </row>
    <row r="222" spans="2:10" x14ac:dyDescent="0.2">
      <c r="B222" s="171" t="s">
        <v>2952</v>
      </c>
      <c r="C222" s="171" t="s">
        <v>32</v>
      </c>
      <c r="D222" s="172" t="s">
        <v>6</v>
      </c>
      <c r="E222" s="171"/>
      <c r="F222" s="171"/>
      <c r="G222" s="171"/>
      <c r="H222" s="3"/>
      <c r="I222" s="3"/>
      <c r="J222" s="3"/>
    </row>
    <row r="223" spans="2:10" x14ac:dyDescent="0.2">
      <c r="B223" s="171" t="s">
        <v>2953</v>
      </c>
      <c r="C223" s="171" t="s">
        <v>33</v>
      </c>
      <c r="D223" s="172" t="s">
        <v>11</v>
      </c>
      <c r="E223" s="171"/>
      <c r="F223" s="171"/>
      <c r="G223" s="171"/>
      <c r="H223" s="3"/>
      <c r="I223" s="3"/>
      <c r="J223" s="3"/>
    </row>
    <row r="224" spans="2:10" x14ac:dyDescent="0.2">
      <c r="B224" s="171" t="s">
        <v>2954</v>
      </c>
      <c r="C224" s="171" t="s">
        <v>34</v>
      </c>
      <c r="D224" s="172" t="s">
        <v>17</v>
      </c>
      <c r="E224" s="171"/>
      <c r="F224" s="171"/>
      <c r="G224" s="171"/>
      <c r="H224" s="3"/>
      <c r="I224" s="3"/>
      <c r="J224" s="3"/>
    </row>
    <row r="225" spans="2:10" x14ac:dyDescent="0.2">
      <c r="B225" s="171" t="s">
        <v>2955</v>
      </c>
      <c r="C225" s="171" t="s">
        <v>35</v>
      </c>
      <c r="D225" s="172" t="s">
        <v>19</v>
      </c>
      <c r="E225" s="171"/>
      <c r="F225" s="171"/>
      <c r="G225" s="171"/>
      <c r="H225" s="3"/>
      <c r="I225" s="3"/>
      <c r="J225" s="3"/>
    </row>
    <row r="226" spans="2:10" x14ac:dyDescent="0.2">
      <c r="B226" s="171" t="s">
        <v>2956</v>
      </c>
      <c r="C226" s="171" t="s">
        <v>36</v>
      </c>
      <c r="D226" s="172" t="s">
        <v>21</v>
      </c>
      <c r="E226" s="171"/>
      <c r="F226" s="171"/>
      <c r="G226" s="171"/>
      <c r="H226" s="3"/>
      <c r="I226" s="3"/>
      <c r="J226" s="3"/>
    </row>
    <row r="227" spans="2:10" ht="27" x14ac:dyDescent="0.2">
      <c r="B227" s="81" t="s">
        <v>2957</v>
      </c>
      <c r="C227" s="81">
        <v>37</v>
      </c>
      <c r="D227" s="82" t="s">
        <v>194</v>
      </c>
      <c r="E227" s="83">
        <v>1</v>
      </c>
      <c r="F227" s="81"/>
      <c r="G227" s="81" t="str">
        <f>IF(F227&lt;&gt;"", IF(E227=F227, "O", "X"), "")</f>
        <v/>
      </c>
      <c r="H227" s="3"/>
      <c r="I227" s="3"/>
      <c r="J227" s="3"/>
    </row>
    <row r="228" spans="2:10" x14ac:dyDescent="0.2">
      <c r="B228" s="171" t="s">
        <v>2958</v>
      </c>
      <c r="C228" s="171" t="s">
        <v>32</v>
      </c>
      <c r="D228" s="172" t="s">
        <v>550</v>
      </c>
      <c r="E228" s="171"/>
      <c r="F228" s="171"/>
      <c r="G228" s="171"/>
      <c r="H228" s="3"/>
      <c r="I228" s="3"/>
      <c r="J228" s="3"/>
    </row>
    <row r="229" spans="2:10" x14ac:dyDescent="0.2">
      <c r="B229" s="171" t="s">
        <v>2959</v>
      </c>
      <c r="C229" s="171" t="s">
        <v>33</v>
      </c>
      <c r="D229" s="172" t="s">
        <v>877</v>
      </c>
      <c r="E229" s="171"/>
      <c r="F229" s="171"/>
      <c r="G229" s="171"/>
      <c r="H229" s="3"/>
      <c r="I229" s="3"/>
      <c r="J229" s="3"/>
    </row>
    <row r="230" spans="2:10" x14ac:dyDescent="0.2">
      <c r="B230" s="171" t="s">
        <v>2960</v>
      </c>
      <c r="C230" s="171" t="s">
        <v>34</v>
      </c>
      <c r="D230" s="172" t="s">
        <v>1199</v>
      </c>
      <c r="E230" s="171"/>
      <c r="F230" s="171"/>
      <c r="G230" s="171"/>
      <c r="H230" s="3"/>
      <c r="I230" s="3"/>
      <c r="J230" s="3"/>
    </row>
    <row r="231" spans="2:10" x14ac:dyDescent="0.2">
      <c r="B231" s="171" t="s">
        <v>2961</v>
      </c>
      <c r="C231" s="171" t="s">
        <v>35</v>
      </c>
      <c r="D231" s="172" t="s">
        <v>1506</v>
      </c>
      <c r="E231" s="171"/>
      <c r="F231" s="171"/>
      <c r="G231" s="171"/>
      <c r="H231" s="3"/>
      <c r="I231" s="3"/>
      <c r="J231" s="3"/>
    </row>
    <row r="232" spans="2:10" x14ac:dyDescent="0.2">
      <c r="B232" s="171" t="s">
        <v>2962</v>
      </c>
      <c r="C232" s="171" t="s">
        <v>36</v>
      </c>
      <c r="D232" s="172" t="s">
        <v>1808</v>
      </c>
      <c r="E232" s="171"/>
      <c r="F232" s="171"/>
      <c r="G232" s="171"/>
      <c r="H232" s="3"/>
      <c r="I232" s="3"/>
      <c r="J232" s="3"/>
    </row>
    <row r="233" spans="2:10" ht="27" x14ac:dyDescent="0.2">
      <c r="B233" s="81" t="s">
        <v>2963</v>
      </c>
      <c r="C233" s="81">
        <v>38</v>
      </c>
      <c r="D233" s="82" t="s">
        <v>195</v>
      </c>
      <c r="E233" s="83">
        <v>4</v>
      </c>
      <c r="F233" s="81"/>
      <c r="G233" s="81" t="str">
        <f>IF(F233&lt;&gt;"", IF(E233=F233, "O", "X"), "")</f>
        <v/>
      </c>
      <c r="H233" s="3"/>
      <c r="I233" s="3"/>
      <c r="J233" s="3"/>
    </row>
    <row r="234" spans="2:10" ht="27" x14ac:dyDescent="0.2">
      <c r="B234" s="171" t="s">
        <v>2964</v>
      </c>
      <c r="C234" s="171" t="s">
        <v>32</v>
      </c>
      <c r="D234" s="172" t="s">
        <v>551</v>
      </c>
      <c r="E234" s="171"/>
      <c r="F234" s="171"/>
      <c r="G234" s="171"/>
      <c r="H234" s="3"/>
      <c r="I234" s="3"/>
      <c r="J234" s="3"/>
    </row>
    <row r="235" spans="2:10" x14ac:dyDescent="0.2">
      <c r="B235" s="171" t="s">
        <v>2965</v>
      </c>
      <c r="C235" s="171" t="s">
        <v>33</v>
      </c>
      <c r="D235" s="172" t="s">
        <v>878</v>
      </c>
      <c r="E235" s="171"/>
      <c r="F235" s="171"/>
      <c r="G235" s="171"/>
      <c r="H235" s="3"/>
      <c r="I235" s="3"/>
      <c r="J235" s="3"/>
    </row>
    <row r="236" spans="2:10" ht="40.5" x14ac:dyDescent="0.2">
      <c r="B236" s="171" t="s">
        <v>2966</v>
      </c>
      <c r="C236" s="171" t="s">
        <v>34</v>
      </c>
      <c r="D236" s="172" t="s">
        <v>1200</v>
      </c>
      <c r="E236" s="171"/>
      <c r="F236" s="171"/>
      <c r="G236" s="171"/>
      <c r="H236" s="3"/>
      <c r="I236" s="3"/>
      <c r="J236" s="3"/>
    </row>
    <row r="237" spans="2:10" ht="27" x14ac:dyDescent="0.2">
      <c r="B237" s="171" t="s">
        <v>2967</v>
      </c>
      <c r="C237" s="171" t="s">
        <v>35</v>
      </c>
      <c r="D237" s="172" t="s">
        <v>1507</v>
      </c>
      <c r="E237" s="171"/>
      <c r="F237" s="171"/>
      <c r="G237" s="171"/>
      <c r="H237" s="3"/>
      <c r="I237" s="3"/>
      <c r="J237" s="3"/>
    </row>
    <row r="238" spans="2:10" x14ac:dyDescent="0.2">
      <c r="B238" s="171" t="s">
        <v>2968</v>
      </c>
      <c r="C238" s="171" t="s">
        <v>36</v>
      </c>
      <c r="D238" s="172" t="s">
        <v>1296</v>
      </c>
      <c r="E238" s="171"/>
      <c r="F238" s="171"/>
      <c r="G238" s="171"/>
      <c r="H238" s="3"/>
      <c r="I238" s="3"/>
      <c r="J238" s="3"/>
    </row>
    <row r="239" spans="2:10" ht="27" x14ac:dyDescent="0.2">
      <c r="B239" s="81" t="s">
        <v>2969</v>
      </c>
      <c r="C239" s="81">
        <v>39</v>
      </c>
      <c r="D239" s="82" t="s">
        <v>196</v>
      </c>
      <c r="E239" s="83">
        <v>3</v>
      </c>
      <c r="F239" s="81"/>
      <c r="G239" s="81" t="str">
        <f>IF(F239&lt;&gt;"", IF(E239=F239, "O", "X"), "")</f>
        <v/>
      </c>
      <c r="H239" s="3"/>
      <c r="I239" s="3"/>
      <c r="J239" s="3"/>
    </row>
    <row r="240" spans="2:10" x14ac:dyDescent="0.2">
      <c r="B240" s="171" t="s">
        <v>2970</v>
      </c>
      <c r="C240" s="171" t="s">
        <v>32</v>
      </c>
      <c r="D240" s="172" t="s">
        <v>552</v>
      </c>
      <c r="E240" s="171"/>
      <c r="F240" s="171"/>
      <c r="G240" s="171"/>
      <c r="H240" s="3"/>
      <c r="I240" s="3"/>
      <c r="J240" s="3"/>
    </row>
    <row r="241" spans="2:10" x14ac:dyDescent="0.2">
      <c r="B241" s="171" t="s">
        <v>2971</v>
      </c>
      <c r="C241" s="171" t="s">
        <v>33</v>
      </c>
      <c r="D241" s="172" t="s">
        <v>879</v>
      </c>
      <c r="E241" s="171"/>
      <c r="F241" s="171"/>
      <c r="G241" s="171"/>
      <c r="H241" s="3"/>
      <c r="I241" s="3"/>
      <c r="J241" s="3"/>
    </row>
    <row r="242" spans="2:10" x14ac:dyDescent="0.2">
      <c r="B242" s="171" t="s">
        <v>2972</v>
      </c>
      <c r="C242" s="171" t="s">
        <v>34</v>
      </c>
      <c r="D242" s="172" t="s">
        <v>1201</v>
      </c>
      <c r="E242" s="171"/>
      <c r="F242" s="171"/>
      <c r="G242" s="171"/>
      <c r="H242" s="3"/>
      <c r="I242" s="3"/>
      <c r="J242" s="3"/>
    </row>
    <row r="243" spans="2:10" x14ac:dyDescent="0.2">
      <c r="B243" s="171" t="s">
        <v>2973</v>
      </c>
      <c r="C243" s="171" t="s">
        <v>35</v>
      </c>
      <c r="D243" s="172" t="s">
        <v>1508</v>
      </c>
      <c r="E243" s="171"/>
      <c r="F243" s="171"/>
      <c r="G243" s="171"/>
      <c r="H243" s="3"/>
      <c r="I243" s="3"/>
      <c r="J243" s="3"/>
    </row>
    <row r="244" spans="2:10" x14ac:dyDescent="0.2">
      <c r="B244" s="171" t="s">
        <v>2974</v>
      </c>
      <c r="C244" s="171" t="s">
        <v>36</v>
      </c>
      <c r="D244" s="172" t="s">
        <v>1440</v>
      </c>
      <c r="E244" s="171"/>
      <c r="F244" s="171"/>
      <c r="G244" s="171"/>
      <c r="H244" s="3"/>
      <c r="I244" s="3"/>
      <c r="J244" s="3"/>
    </row>
    <row r="245" spans="2:10" ht="135" x14ac:dyDescent="0.2">
      <c r="B245" s="81" t="s">
        <v>2975</v>
      </c>
      <c r="C245" s="81">
        <v>40</v>
      </c>
      <c r="D245" s="82" t="s">
        <v>197</v>
      </c>
      <c r="E245" s="83">
        <v>2</v>
      </c>
      <c r="F245" s="81"/>
      <c r="G245" s="81" t="str">
        <f>IF(F245&lt;&gt;"", IF(E245=F245, "O", "X"), "")</f>
        <v/>
      </c>
      <c r="H245" s="3"/>
      <c r="I245" s="3"/>
      <c r="J245" s="3"/>
    </row>
    <row r="246" spans="2:10" x14ac:dyDescent="0.2">
      <c r="B246" s="171" t="s">
        <v>2976</v>
      </c>
      <c r="C246" s="171" t="s">
        <v>32</v>
      </c>
      <c r="D246" s="172" t="s">
        <v>553</v>
      </c>
      <c r="E246" s="171"/>
      <c r="F246" s="171"/>
      <c r="G246" s="171"/>
      <c r="H246" s="3"/>
      <c r="I246" s="3"/>
      <c r="J246" s="3"/>
    </row>
    <row r="247" spans="2:10" x14ac:dyDescent="0.2">
      <c r="B247" s="171" t="s">
        <v>2977</v>
      </c>
      <c r="C247" s="171" t="s">
        <v>33</v>
      </c>
      <c r="D247" s="172" t="s">
        <v>880</v>
      </c>
      <c r="E247" s="171"/>
      <c r="F247" s="171"/>
      <c r="G247" s="171"/>
      <c r="H247" s="3"/>
      <c r="I247" s="3"/>
      <c r="J247" s="3"/>
    </row>
    <row r="248" spans="2:10" x14ac:dyDescent="0.2">
      <c r="B248" s="171" t="s">
        <v>2978</v>
      </c>
      <c r="C248" s="171" t="s">
        <v>34</v>
      </c>
      <c r="D248" s="172" t="s">
        <v>1202</v>
      </c>
      <c r="E248" s="171"/>
      <c r="F248" s="171"/>
      <c r="G248" s="171"/>
      <c r="H248" s="3"/>
      <c r="I248" s="3"/>
      <c r="J248" s="3"/>
    </row>
    <row r="249" spans="2:10" x14ac:dyDescent="0.2">
      <c r="B249" s="171" t="s">
        <v>2979</v>
      </c>
      <c r="C249" s="171" t="s">
        <v>35</v>
      </c>
      <c r="D249" s="172" t="s">
        <v>1509</v>
      </c>
      <c r="E249" s="171"/>
      <c r="F249" s="171"/>
      <c r="G249" s="171"/>
      <c r="H249" s="3"/>
      <c r="I249" s="3"/>
      <c r="J249" s="3"/>
    </row>
    <row r="250" spans="2:10" x14ac:dyDescent="0.2">
      <c r="B250" s="173" t="s">
        <v>2980</v>
      </c>
      <c r="C250" s="173" t="s">
        <v>36</v>
      </c>
      <c r="D250" s="174" t="s">
        <v>1809</v>
      </c>
      <c r="E250" s="173"/>
      <c r="F250" s="173"/>
      <c r="G250" s="173"/>
      <c r="H250" s="3"/>
      <c r="I250" s="3"/>
      <c r="J250" s="3"/>
    </row>
    <row r="251" spans="2:10" x14ac:dyDescent="0.2">
      <c r="B251" s="84"/>
      <c r="C251" s="84"/>
      <c r="D251" s="85"/>
      <c r="E251" s="84"/>
      <c r="F251" s="84"/>
      <c r="G251" s="84"/>
    </row>
    <row r="252" spans="2:10" x14ac:dyDescent="0.2">
      <c r="B252" s="84"/>
      <c r="C252" s="84"/>
      <c r="D252" s="85"/>
      <c r="E252" s="84"/>
      <c r="F252" s="84"/>
      <c r="G252" s="84"/>
    </row>
    <row r="253" spans="2:10" x14ac:dyDescent="0.2">
      <c r="B253" s="84"/>
      <c r="C253" s="84"/>
      <c r="D253" s="85"/>
      <c r="E253" s="84"/>
      <c r="F253" s="84"/>
      <c r="G253" s="84"/>
    </row>
    <row r="254" spans="2:10" x14ac:dyDescent="0.2">
      <c r="B254" s="84"/>
      <c r="C254" s="84"/>
      <c r="D254" s="85"/>
      <c r="E254" s="84"/>
      <c r="F254" s="84"/>
      <c r="G254" s="84"/>
    </row>
    <row r="255" spans="2:10" x14ac:dyDescent="0.2">
      <c r="B255" s="84"/>
      <c r="C255" s="84"/>
      <c r="D255" s="85"/>
      <c r="E255" s="84"/>
      <c r="F255" s="84"/>
      <c r="G255" s="84"/>
    </row>
    <row r="256" spans="2:10" x14ac:dyDescent="0.2">
      <c r="B256" s="84"/>
      <c r="C256" s="84"/>
      <c r="D256" s="85"/>
      <c r="E256" s="84"/>
      <c r="F256" s="84"/>
      <c r="G256" s="84"/>
    </row>
    <row r="257" spans="2:7" x14ac:dyDescent="0.2">
      <c r="B257" s="84"/>
      <c r="C257" s="84"/>
      <c r="D257" s="85"/>
      <c r="E257" s="84"/>
      <c r="F257" s="84"/>
      <c r="G257" s="84"/>
    </row>
    <row r="258" spans="2:7" x14ac:dyDescent="0.2">
      <c r="B258" s="84"/>
      <c r="C258" s="84"/>
      <c r="D258" s="85"/>
      <c r="E258" s="84"/>
      <c r="F258" s="84"/>
      <c r="G258" s="84"/>
    </row>
    <row r="259" spans="2:7" x14ac:dyDescent="0.2">
      <c r="B259" s="84"/>
      <c r="C259" s="84"/>
      <c r="D259" s="85"/>
      <c r="E259" s="84"/>
      <c r="F259" s="84"/>
      <c r="G259" s="84"/>
    </row>
    <row r="260" spans="2:7" x14ac:dyDescent="0.2">
      <c r="B260" s="84"/>
      <c r="C260" s="84"/>
      <c r="D260" s="85"/>
      <c r="E260" s="84"/>
      <c r="F260" s="84"/>
      <c r="G260" s="84"/>
    </row>
    <row r="261" spans="2:7" x14ac:dyDescent="0.2">
      <c r="B261" s="84"/>
      <c r="C261" s="84"/>
      <c r="D261" s="85"/>
      <c r="E261" s="84"/>
      <c r="F261" s="84"/>
      <c r="G261" s="84"/>
    </row>
    <row r="262" spans="2:7" x14ac:dyDescent="0.2">
      <c r="B262" s="84"/>
      <c r="C262" s="84"/>
      <c r="D262" s="85"/>
      <c r="E262" s="84"/>
      <c r="F262" s="84"/>
      <c r="G262" s="84"/>
    </row>
    <row r="263" spans="2:7" x14ac:dyDescent="0.2">
      <c r="B263" s="84"/>
      <c r="C263" s="84"/>
      <c r="D263" s="85"/>
      <c r="E263" s="84"/>
      <c r="F263" s="84"/>
      <c r="G263" s="84"/>
    </row>
    <row r="264" spans="2:7" x14ac:dyDescent="0.2">
      <c r="B264" s="84"/>
      <c r="C264" s="84"/>
      <c r="D264" s="85"/>
      <c r="E264" s="84"/>
      <c r="F264" s="84"/>
      <c r="G264" s="84"/>
    </row>
    <row r="265" spans="2:7" x14ac:dyDescent="0.2">
      <c r="B265" s="84"/>
      <c r="C265" s="84"/>
      <c r="D265" s="85"/>
      <c r="E265" s="84"/>
      <c r="F265" s="84"/>
      <c r="G265" s="84"/>
    </row>
    <row r="266" spans="2:7" x14ac:dyDescent="0.2">
      <c r="B266" s="84"/>
      <c r="C266" s="84"/>
      <c r="D266" s="85"/>
      <c r="E266" s="84"/>
      <c r="F266" s="84"/>
      <c r="G266" s="84"/>
    </row>
    <row r="267" spans="2:7" x14ac:dyDescent="0.2">
      <c r="B267" s="84"/>
      <c r="C267" s="84"/>
      <c r="D267" s="85"/>
      <c r="E267" s="84"/>
      <c r="F267" s="84"/>
      <c r="G267" s="84"/>
    </row>
    <row r="268" spans="2:7" x14ac:dyDescent="0.2">
      <c r="B268" s="84"/>
      <c r="C268" s="84"/>
      <c r="D268" s="85"/>
      <c r="E268" s="84"/>
      <c r="F268" s="84"/>
      <c r="G268" s="84"/>
    </row>
    <row r="269" spans="2:7" x14ac:dyDescent="0.2">
      <c r="B269" s="84"/>
      <c r="C269" s="84"/>
      <c r="D269" s="85"/>
      <c r="E269" s="84"/>
      <c r="F269" s="84"/>
      <c r="G269" s="84"/>
    </row>
    <row r="270" spans="2:7" x14ac:dyDescent="0.2">
      <c r="B270" s="84"/>
      <c r="C270" s="84"/>
      <c r="D270" s="85"/>
      <c r="E270" s="84"/>
      <c r="F270" s="84"/>
      <c r="G270" s="84"/>
    </row>
    <row r="271" spans="2:7" x14ac:dyDescent="0.2">
      <c r="B271" s="84"/>
      <c r="C271" s="84"/>
      <c r="D271" s="85"/>
      <c r="E271" s="84"/>
      <c r="F271" s="84"/>
      <c r="G271" s="84"/>
    </row>
    <row r="272" spans="2:7" x14ac:dyDescent="0.2">
      <c r="B272" s="84"/>
      <c r="C272" s="84"/>
      <c r="D272" s="85"/>
      <c r="E272" s="84"/>
      <c r="F272" s="84"/>
      <c r="G272" s="84"/>
    </row>
    <row r="273" spans="2:7" x14ac:dyDescent="0.2">
      <c r="B273" s="84"/>
      <c r="C273" s="84"/>
      <c r="D273" s="85"/>
      <c r="E273" s="84"/>
      <c r="F273" s="84"/>
      <c r="G273" s="84"/>
    </row>
    <row r="274" spans="2:7" x14ac:dyDescent="0.2">
      <c r="B274" s="84"/>
      <c r="C274" s="84"/>
      <c r="D274" s="85"/>
      <c r="E274" s="84"/>
      <c r="F274" s="84"/>
      <c r="G274" s="84"/>
    </row>
    <row r="275" spans="2:7" x14ac:dyDescent="0.2">
      <c r="B275" s="84"/>
      <c r="C275" s="84"/>
      <c r="D275" s="85"/>
      <c r="E275" s="84"/>
      <c r="F275" s="84"/>
      <c r="G275" s="84"/>
    </row>
    <row r="276" spans="2:7" x14ac:dyDescent="0.2">
      <c r="B276" s="84"/>
      <c r="C276" s="84"/>
      <c r="D276" s="85"/>
      <c r="E276" s="84"/>
      <c r="F276" s="84"/>
      <c r="G276" s="84"/>
    </row>
    <row r="277" spans="2:7" x14ac:dyDescent="0.2">
      <c r="B277" s="84"/>
      <c r="C277" s="84"/>
      <c r="D277" s="85"/>
      <c r="E277" s="84"/>
      <c r="F277" s="84"/>
      <c r="G277" s="84"/>
    </row>
    <row r="278" spans="2:7" x14ac:dyDescent="0.2">
      <c r="B278" s="84"/>
      <c r="C278" s="84"/>
      <c r="D278" s="85"/>
      <c r="E278" s="84"/>
      <c r="F278" s="84"/>
      <c r="G278" s="84"/>
    </row>
    <row r="279" spans="2:7" x14ac:dyDescent="0.2">
      <c r="B279" s="84"/>
      <c r="C279" s="84"/>
      <c r="D279" s="85"/>
      <c r="E279" s="84"/>
      <c r="F279" s="84"/>
      <c r="G279" s="84"/>
    </row>
    <row r="280" spans="2:7" x14ac:dyDescent="0.2">
      <c r="B280" s="84"/>
      <c r="C280" s="84"/>
      <c r="D280" s="85"/>
      <c r="E280" s="84"/>
      <c r="F280" s="84"/>
      <c r="G280" s="84"/>
    </row>
    <row r="281" spans="2:7" x14ac:dyDescent="0.2">
      <c r="B281" s="84"/>
      <c r="C281" s="84"/>
      <c r="D281" s="85"/>
      <c r="E281" s="84"/>
      <c r="F281" s="84"/>
      <c r="G281" s="84"/>
    </row>
    <row r="282" spans="2:7" x14ac:dyDescent="0.2">
      <c r="B282" s="84"/>
      <c r="C282" s="84"/>
      <c r="D282" s="85"/>
      <c r="E282" s="84"/>
      <c r="F282" s="84"/>
      <c r="G282" s="84"/>
    </row>
    <row r="283" spans="2:7" x14ac:dyDescent="0.2">
      <c r="B283" s="84"/>
      <c r="C283" s="84"/>
      <c r="D283" s="85"/>
      <c r="E283" s="84"/>
      <c r="F283" s="84"/>
      <c r="G283" s="84"/>
    </row>
    <row r="284" spans="2:7" x14ac:dyDescent="0.2">
      <c r="B284" s="84"/>
      <c r="C284" s="84"/>
      <c r="D284" s="85"/>
      <c r="E284" s="84"/>
      <c r="F284" s="84"/>
      <c r="G284" s="84"/>
    </row>
    <row r="285" spans="2:7" x14ac:dyDescent="0.2">
      <c r="B285" s="84"/>
      <c r="C285" s="84"/>
      <c r="D285" s="85"/>
      <c r="E285" s="84"/>
      <c r="F285" s="84"/>
      <c r="G285" s="84"/>
    </row>
    <row r="286" spans="2:7" x14ac:dyDescent="0.2">
      <c r="B286" s="84"/>
      <c r="C286" s="84"/>
      <c r="D286" s="85"/>
      <c r="E286" s="84"/>
      <c r="F286" s="84"/>
      <c r="G286" s="84"/>
    </row>
    <row r="287" spans="2:7" x14ac:dyDescent="0.2">
      <c r="B287" s="84"/>
      <c r="C287" s="84"/>
      <c r="D287" s="85"/>
      <c r="E287" s="84"/>
      <c r="F287" s="84"/>
      <c r="G287" s="84"/>
    </row>
    <row r="288" spans="2:7" x14ac:dyDescent="0.2">
      <c r="B288" s="84"/>
      <c r="C288" s="84"/>
      <c r="D288" s="85"/>
      <c r="E288" s="84"/>
      <c r="F288" s="84"/>
      <c r="G288" s="84"/>
    </row>
    <row r="289" spans="2:7" x14ac:dyDescent="0.2">
      <c r="B289" s="84"/>
      <c r="C289" s="84"/>
      <c r="D289" s="85"/>
      <c r="E289" s="84"/>
      <c r="F289" s="84"/>
      <c r="G289" s="84"/>
    </row>
    <row r="290" spans="2:7" x14ac:dyDescent="0.2">
      <c r="B290" s="84"/>
      <c r="C290" s="84"/>
      <c r="D290" s="85"/>
      <c r="E290" s="84"/>
      <c r="F290" s="84"/>
      <c r="G290" s="84"/>
    </row>
    <row r="291" spans="2:7" x14ac:dyDescent="0.2">
      <c r="B291" s="84"/>
      <c r="C291" s="84"/>
      <c r="D291" s="85"/>
      <c r="E291" s="84"/>
      <c r="F291" s="84"/>
      <c r="G291" s="84"/>
    </row>
    <row r="292" spans="2:7" x14ac:dyDescent="0.2">
      <c r="B292" s="84"/>
      <c r="C292" s="84"/>
      <c r="D292" s="85"/>
      <c r="E292" s="84"/>
      <c r="F292" s="84"/>
      <c r="G292" s="84"/>
    </row>
    <row r="293" spans="2:7" x14ac:dyDescent="0.2">
      <c r="B293" s="84"/>
      <c r="C293" s="84"/>
      <c r="D293" s="85"/>
      <c r="E293" s="84"/>
      <c r="F293" s="84"/>
      <c r="G293" s="84"/>
    </row>
    <row r="294" spans="2:7" x14ac:dyDescent="0.2">
      <c r="B294" s="84"/>
      <c r="C294" s="84"/>
      <c r="D294" s="85"/>
      <c r="E294" s="84"/>
      <c r="F294" s="84"/>
      <c r="G294" s="84"/>
    </row>
    <row r="295" spans="2:7" x14ac:dyDescent="0.2">
      <c r="B295" s="84"/>
      <c r="C295" s="84"/>
      <c r="D295" s="85"/>
      <c r="E295" s="84"/>
      <c r="F295" s="84"/>
      <c r="G295" s="84"/>
    </row>
    <row r="296" spans="2:7" x14ac:dyDescent="0.2">
      <c r="B296" s="84"/>
      <c r="C296" s="84"/>
      <c r="D296" s="85"/>
      <c r="E296" s="84"/>
      <c r="F296" s="84"/>
      <c r="G296" s="84"/>
    </row>
    <row r="297" spans="2:7" x14ac:dyDescent="0.2">
      <c r="B297" s="84"/>
      <c r="C297" s="84"/>
      <c r="D297" s="85"/>
      <c r="E297" s="84"/>
      <c r="F297" s="84"/>
      <c r="G297" s="84"/>
    </row>
    <row r="298" spans="2:7" x14ac:dyDescent="0.2">
      <c r="B298" s="84"/>
      <c r="C298" s="84"/>
      <c r="D298" s="85"/>
      <c r="E298" s="84"/>
      <c r="F298" s="84"/>
      <c r="G298" s="84"/>
    </row>
    <row r="299" spans="2:7" x14ac:dyDescent="0.2">
      <c r="B299" s="84"/>
      <c r="C299" s="84"/>
      <c r="D299" s="85"/>
      <c r="E299" s="84"/>
      <c r="F299" s="84"/>
      <c r="G299" s="84"/>
    </row>
    <row r="300" spans="2:7" x14ac:dyDescent="0.2">
      <c r="B300" s="84"/>
      <c r="C300" s="84"/>
      <c r="D300" s="85"/>
      <c r="E300" s="84"/>
      <c r="F300" s="84"/>
      <c r="G300" s="84"/>
    </row>
    <row r="301" spans="2:7" x14ac:dyDescent="0.2">
      <c r="B301" s="84"/>
      <c r="C301" s="84"/>
      <c r="D301" s="85"/>
      <c r="E301" s="84"/>
      <c r="F301" s="84"/>
      <c r="G301" s="84"/>
    </row>
    <row r="302" spans="2:7" x14ac:dyDescent="0.2">
      <c r="B302" s="84"/>
      <c r="C302" s="84"/>
      <c r="D302" s="85"/>
      <c r="E302" s="84"/>
      <c r="F302" s="84"/>
      <c r="G302" s="84"/>
    </row>
    <row r="303" spans="2:7" x14ac:dyDescent="0.2">
      <c r="B303" s="84"/>
      <c r="C303" s="84"/>
      <c r="D303" s="85"/>
      <c r="E303" s="84"/>
      <c r="F303" s="84"/>
      <c r="G303" s="84"/>
    </row>
    <row r="304" spans="2:7" x14ac:dyDescent="0.2">
      <c r="B304" s="84"/>
      <c r="C304" s="84"/>
      <c r="D304" s="85"/>
      <c r="E304" s="84"/>
      <c r="F304" s="84"/>
      <c r="G304" s="84"/>
    </row>
    <row r="305" spans="2:7" x14ac:dyDescent="0.2">
      <c r="B305" s="84"/>
      <c r="C305" s="84"/>
      <c r="D305" s="85"/>
      <c r="E305" s="84"/>
      <c r="F305" s="84"/>
      <c r="G305" s="84"/>
    </row>
    <row r="306" spans="2:7" x14ac:dyDescent="0.2">
      <c r="B306" s="84"/>
      <c r="C306" s="84"/>
      <c r="D306" s="85"/>
      <c r="E306" s="84"/>
      <c r="F306" s="84"/>
      <c r="G306" s="84"/>
    </row>
    <row r="307" spans="2:7" x14ac:dyDescent="0.2">
      <c r="B307" s="84"/>
      <c r="C307" s="84"/>
      <c r="D307" s="85"/>
      <c r="E307" s="84"/>
      <c r="F307" s="84"/>
      <c r="G307" s="84"/>
    </row>
    <row r="308" spans="2:7" x14ac:dyDescent="0.2">
      <c r="B308" s="84"/>
      <c r="C308" s="84"/>
      <c r="D308" s="85"/>
      <c r="E308" s="84"/>
      <c r="F308" s="84"/>
      <c r="G308" s="84"/>
    </row>
    <row r="309" spans="2:7" x14ac:dyDescent="0.2">
      <c r="B309" s="84"/>
      <c r="C309" s="84"/>
      <c r="D309" s="85"/>
      <c r="E309" s="84"/>
      <c r="F309" s="84"/>
      <c r="G309" s="84"/>
    </row>
    <row r="310" spans="2:7" x14ac:dyDescent="0.2">
      <c r="B310" s="84"/>
      <c r="C310" s="84"/>
      <c r="D310" s="85"/>
      <c r="E310" s="84"/>
      <c r="F310" s="84"/>
      <c r="G310" s="84"/>
    </row>
    <row r="311" spans="2:7" x14ac:dyDescent="0.2">
      <c r="B311" s="84"/>
      <c r="C311" s="84"/>
      <c r="D311" s="85"/>
      <c r="E311" s="84"/>
      <c r="F311" s="84"/>
      <c r="G311" s="84"/>
    </row>
    <row r="312" spans="2:7" x14ac:dyDescent="0.2">
      <c r="B312" s="84"/>
      <c r="C312" s="84"/>
      <c r="D312" s="85"/>
      <c r="E312" s="84"/>
      <c r="F312" s="84"/>
      <c r="G312" s="84"/>
    </row>
    <row r="313" spans="2:7" x14ac:dyDescent="0.2">
      <c r="B313" s="84"/>
      <c r="C313" s="84"/>
      <c r="D313" s="85"/>
      <c r="E313" s="84"/>
      <c r="F313" s="84"/>
      <c r="G313" s="84"/>
    </row>
    <row r="314" spans="2:7" x14ac:dyDescent="0.2">
      <c r="B314" s="84"/>
      <c r="C314" s="84"/>
      <c r="D314" s="85"/>
      <c r="E314" s="84"/>
      <c r="F314" s="84"/>
      <c r="G314" s="84"/>
    </row>
    <row r="315" spans="2:7" x14ac:dyDescent="0.2">
      <c r="B315" s="84"/>
      <c r="C315" s="84"/>
      <c r="D315" s="85"/>
      <c r="E315" s="84"/>
      <c r="F315" s="84"/>
      <c r="G315" s="84"/>
    </row>
    <row r="316" spans="2:7" x14ac:dyDescent="0.2">
      <c r="B316" s="84"/>
      <c r="C316" s="84"/>
      <c r="D316" s="85"/>
      <c r="E316" s="84"/>
      <c r="F316" s="84"/>
      <c r="G316" s="84"/>
    </row>
    <row r="317" spans="2:7" x14ac:dyDescent="0.2">
      <c r="B317" s="84"/>
      <c r="C317" s="84"/>
      <c r="D317" s="85"/>
      <c r="E317" s="84"/>
      <c r="F317" s="84"/>
      <c r="G317" s="84"/>
    </row>
    <row r="318" spans="2:7" x14ac:dyDescent="0.2">
      <c r="B318" s="84"/>
      <c r="C318" s="84"/>
      <c r="D318" s="85"/>
      <c r="E318" s="84"/>
      <c r="F318" s="84"/>
      <c r="G318" s="84"/>
    </row>
    <row r="319" spans="2:7" x14ac:dyDescent="0.2">
      <c r="B319" s="84"/>
      <c r="C319" s="84"/>
      <c r="D319" s="85"/>
      <c r="E319" s="84"/>
      <c r="F319" s="84"/>
      <c r="G319" s="84"/>
    </row>
    <row r="320" spans="2:7" x14ac:dyDescent="0.2">
      <c r="B320" s="84"/>
      <c r="C320" s="84"/>
      <c r="D320" s="85"/>
      <c r="E320" s="84"/>
      <c r="F320" s="84"/>
      <c r="G320" s="84"/>
    </row>
    <row r="321" spans="2:7" x14ac:dyDescent="0.2">
      <c r="B321" s="84"/>
      <c r="C321" s="84"/>
      <c r="D321" s="85"/>
      <c r="E321" s="84"/>
      <c r="F321" s="84"/>
      <c r="G321" s="84"/>
    </row>
    <row r="322" spans="2:7" x14ac:dyDescent="0.2">
      <c r="B322" s="84"/>
      <c r="C322" s="84"/>
      <c r="D322" s="85"/>
      <c r="E322" s="84"/>
      <c r="F322" s="84"/>
      <c r="G322" s="84"/>
    </row>
    <row r="323" spans="2:7" x14ac:dyDescent="0.2">
      <c r="B323" s="84"/>
      <c r="C323" s="84"/>
      <c r="D323" s="85"/>
      <c r="E323" s="84"/>
      <c r="F323" s="84"/>
      <c r="G323" s="84"/>
    </row>
    <row r="324" spans="2:7" x14ac:dyDescent="0.2">
      <c r="B324" s="84"/>
      <c r="C324" s="84"/>
      <c r="D324" s="85"/>
      <c r="E324" s="84"/>
      <c r="F324" s="84"/>
      <c r="G324" s="84"/>
    </row>
    <row r="325" spans="2:7" x14ac:dyDescent="0.2">
      <c r="B325" s="84"/>
      <c r="C325" s="84"/>
      <c r="D325" s="85"/>
      <c r="E325" s="84"/>
      <c r="F325" s="84"/>
      <c r="G325" s="84"/>
    </row>
    <row r="326" spans="2:7" x14ac:dyDescent="0.2">
      <c r="B326" s="84"/>
      <c r="C326" s="84"/>
      <c r="D326" s="85"/>
      <c r="E326" s="84"/>
      <c r="F326" s="84"/>
      <c r="G326" s="84"/>
    </row>
    <row r="327" spans="2:7" x14ac:dyDescent="0.2">
      <c r="B327" s="84"/>
      <c r="C327" s="84"/>
      <c r="D327" s="85"/>
      <c r="E327" s="84"/>
      <c r="F327" s="84"/>
      <c r="G327" s="84"/>
    </row>
    <row r="328" spans="2:7" x14ac:dyDescent="0.2">
      <c r="B328" s="84"/>
      <c r="C328" s="84"/>
      <c r="D328" s="85"/>
      <c r="E328" s="84"/>
      <c r="F328" s="84"/>
      <c r="G328" s="84"/>
    </row>
    <row r="329" spans="2:7" x14ac:dyDescent="0.2">
      <c r="B329" s="84"/>
      <c r="C329" s="84"/>
      <c r="D329" s="85"/>
      <c r="E329" s="84"/>
      <c r="F329" s="84"/>
      <c r="G329" s="84"/>
    </row>
    <row r="330" spans="2:7" x14ac:dyDescent="0.2">
      <c r="B330" s="84"/>
      <c r="C330" s="84"/>
      <c r="D330" s="85"/>
      <c r="E330" s="84"/>
      <c r="F330" s="84"/>
      <c r="G330" s="84"/>
    </row>
    <row r="331" spans="2:7" x14ac:dyDescent="0.2">
      <c r="B331" s="84"/>
      <c r="C331" s="84"/>
      <c r="D331" s="85"/>
      <c r="E331" s="84"/>
      <c r="F331" s="84"/>
      <c r="G331" s="84"/>
    </row>
    <row r="332" spans="2:7" x14ac:dyDescent="0.2">
      <c r="B332" s="84"/>
      <c r="C332" s="84"/>
      <c r="D332" s="85"/>
      <c r="E332" s="84"/>
      <c r="F332" s="84"/>
      <c r="G332" s="84"/>
    </row>
    <row r="333" spans="2:7" x14ac:dyDescent="0.2">
      <c r="B333" s="84"/>
      <c r="C333" s="84"/>
      <c r="D333" s="85"/>
      <c r="E333" s="84"/>
      <c r="F333" s="84"/>
      <c r="G333" s="84"/>
    </row>
    <row r="334" spans="2:7" x14ac:dyDescent="0.2">
      <c r="B334" s="84"/>
      <c r="C334" s="84"/>
      <c r="D334" s="85"/>
      <c r="E334" s="84"/>
      <c r="F334" s="84"/>
      <c r="G334" s="84"/>
    </row>
    <row r="335" spans="2:7" x14ac:dyDescent="0.2">
      <c r="B335" s="84"/>
      <c r="C335" s="84"/>
      <c r="D335" s="85"/>
      <c r="E335" s="84"/>
      <c r="F335" s="84"/>
      <c r="G335" s="84"/>
    </row>
    <row r="336" spans="2:7" x14ac:dyDescent="0.2">
      <c r="B336" s="84"/>
      <c r="C336" s="84"/>
      <c r="D336" s="85"/>
      <c r="E336" s="84"/>
      <c r="F336" s="84"/>
      <c r="G336" s="84"/>
    </row>
    <row r="337" spans="2:7" x14ac:dyDescent="0.2">
      <c r="B337" s="84"/>
      <c r="C337" s="84"/>
      <c r="D337" s="85"/>
      <c r="E337" s="84"/>
      <c r="F337" s="84"/>
      <c r="G337" s="84"/>
    </row>
    <row r="338" spans="2:7" x14ac:dyDescent="0.2">
      <c r="B338" s="84"/>
      <c r="C338" s="84"/>
      <c r="D338" s="85"/>
      <c r="E338" s="84"/>
      <c r="F338" s="84"/>
      <c r="G338" s="84"/>
    </row>
    <row r="339" spans="2:7" x14ac:dyDescent="0.2">
      <c r="B339" s="84"/>
      <c r="C339" s="84"/>
      <c r="D339" s="85"/>
      <c r="E339" s="84"/>
      <c r="F339" s="84"/>
      <c r="G339" s="84"/>
    </row>
    <row r="340" spans="2:7" x14ac:dyDescent="0.2">
      <c r="B340" s="84"/>
      <c r="C340" s="84"/>
      <c r="D340" s="85"/>
      <c r="E340" s="84"/>
      <c r="F340" s="84"/>
      <c r="G340" s="84"/>
    </row>
    <row r="341" spans="2:7" x14ac:dyDescent="0.2">
      <c r="B341" s="84"/>
      <c r="C341" s="84"/>
      <c r="D341" s="85"/>
      <c r="E341" s="84"/>
      <c r="F341" s="84"/>
      <c r="G341" s="84"/>
    </row>
    <row r="342" spans="2:7" x14ac:dyDescent="0.2">
      <c r="B342" s="84"/>
      <c r="C342" s="84"/>
      <c r="D342" s="85"/>
      <c r="E342" s="84"/>
      <c r="F342" s="84"/>
      <c r="G342" s="84"/>
    </row>
    <row r="343" spans="2:7" x14ac:dyDescent="0.2">
      <c r="B343" s="84"/>
      <c r="C343" s="84"/>
      <c r="D343" s="85"/>
      <c r="E343" s="84"/>
      <c r="F343" s="84"/>
      <c r="G343" s="84"/>
    </row>
    <row r="344" spans="2:7" x14ac:dyDescent="0.2">
      <c r="B344" s="84"/>
      <c r="C344" s="84"/>
      <c r="D344" s="85"/>
      <c r="E344" s="84"/>
      <c r="F344" s="84"/>
      <c r="G344" s="84"/>
    </row>
    <row r="345" spans="2:7" x14ac:dyDescent="0.2">
      <c r="B345" s="84"/>
      <c r="C345" s="84"/>
      <c r="D345" s="85"/>
      <c r="E345" s="84"/>
      <c r="F345" s="84"/>
      <c r="G345" s="84"/>
    </row>
    <row r="346" spans="2:7" x14ac:dyDescent="0.2">
      <c r="B346" s="84"/>
      <c r="C346" s="84"/>
      <c r="D346" s="85"/>
      <c r="E346" s="84"/>
      <c r="F346" s="84"/>
      <c r="G346" s="84"/>
    </row>
    <row r="347" spans="2:7" x14ac:dyDescent="0.2">
      <c r="B347" s="84"/>
      <c r="C347" s="84"/>
      <c r="D347" s="85"/>
      <c r="E347" s="84"/>
      <c r="F347" s="84"/>
      <c r="G347" s="84"/>
    </row>
    <row r="348" spans="2:7" x14ac:dyDescent="0.2">
      <c r="B348" s="84"/>
      <c r="C348" s="84"/>
      <c r="D348" s="85"/>
      <c r="E348" s="84"/>
      <c r="F348" s="84"/>
      <c r="G348" s="84"/>
    </row>
    <row r="349" spans="2:7" x14ac:dyDescent="0.2">
      <c r="B349" s="84"/>
      <c r="C349" s="84"/>
      <c r="D349" s="85"/>
      <c r="E349" s="84"/>
      <c r="F349" s="84"/>
      <c r="G349" s="84"/>
    </row>
    <row r="350" spans="2:7" x14ac:dyDescent="0.2">
      <c r="B350" s="84"/>
      <c r="C350" s="84"/>
      <c r="D350" s="85"/>
      <c r="E350" s="84"/>
      <c r="F350" s="84"/>
      <c r="G350" s="84"/>
    </row>
    <row r="351" spans="2:7" x14ac:dyDescent="0.2">
      <c r="B351" s="84"/>
      <c r="C351" s="84"/>
      <c r="D351" s="85"/>
      <c r="E351" s="84"/>
      <c r="F351" s="84"/>
      <c r="G351" s="84"/>
    </row>
    <row r="352" spans="2:7" x14ac:dyDescent="0.2">
      <c r="B352" s="84"/>
      <c r="C352" s="84"/>
      <c r="D352" s="85"/>
      <c r="E352" s="84"/>
      <c r="F352" s="84"/>
      <c r="G352" s="84"/>
    </row>
    <row r="353" spans="2:7" x14ac:dyDescent="0.2">
      <c r="B353" s="84"/>
      <c r="C353" s="84"/>
      <c r="D353" s="85"/>
      <c r="E353" s="84"/>
      <c r="F353" s="84"/>
      <c r="G353" s="84"/>
    </row>
    <row r="354" spans="2:7" x14ac:dyDescent="0.2">
      <c r="B354" s="84"/>
      <c r="C354" s="84"/>
      <c r="D354" s="85"/>
      <c r="E354" s="84"/>
      <c r="F354" s="84"/>
      <c r="G354" s="84"/>
    </row>
    <row r="355" spans="2:7" x14ac:dyDescent="0.2">
      <c r="B355" s="84"/>
      <c r="C355" s="84"/>
      <c r="D355" s="85"/>
      <c r="E355" s="84"/>
      <c r="F355" s="84"/>
      <c r="G355" s="84"/>
    </row>
    <row r="356" spans="2:7" x14ac:dyDescent="0.2">
      <c r="B356" s="84"/>
      <c r="C356" s="84"/>
      <c r="D356" s="85"/>
      <c r="E356" s="84"/>
      <c r="F356" s="84"/>
      <c r="G356" s="84"/>
    </row>
    <row r="357" spans="2:7" x14ac:dyDescent="0.2">
      <c r="B357" s="84"/>
      <c r="C357" s="84"/>
      <c r="D357" s="85"/>
      <c r="E357" s="84"/>
      <c r="F357" s="84"/>
      <c r="G357" s="84"/>
    </row>
    <row r="358" spans="2:7" x14ac:dyDescent="0.2">
      <c r="B358" s="84"/>
      <c r="C358" s="84"/>
      <c r="D358" s="85"/>
      <c r="E358" s="84"/>
      <c r="F358" s="84"/>
      <c r="G358" s="84"/>
    </row>
    <row r="359" spans="2:7" x14ac:dyDescent="0.2">
      <c r="B359" s="84"/>
      <c r="C359" s="84"/>
      <c r="D359" s="85"/>
      <c r="E359" s="84"/>
      <c r="F359" s="84"/>
      <c r="G359" s="84"/>
    </row>
    <row r="360" spans="2:7" x14ac:dyDescent="0.2">
      <c r="B360" s="84"/>
      <c r="C360" s="84"/>
      <c r="D360" s="85"/>
      <c r="E360" s="84"/>
      <c r="F360" s="84"/>
      <c r="G360" s="84"/>
    </row>
    <row r="361" spans="2:7" x14ac:dyDescent="0.2">
      <c r="B361" s="84"/>
      <c r="C361" s="84"/>
      <c r="D361" s="85"/>
      <c r="E361" s="84"/>
      <c r="F361" s="84"/>
      <c r="G361" s="84"/>
    </row>
    <row r="362" spans="2:7" x14ac:dyDescent="0.2">
      <c r="B362" s="84"/>
      <c r="C362" s="84"/>
      <c r="D362" s="85"/>
      <c r="E362" s="84"/>
      <c r="F362" s="84"/>
      <c r="G362" s="84"/>
    </row>
    <row r="363" spans="2:7" x14ac:dyDescent="0.2">
      <c r="B363" s="84"/>
      <c r="C363" s="84"/>
      <c r="D363" s="85"/>
      <c r="E363" s="84"/>
      <c r="F363" s="84"/>
      <c r="G363" s="84"/>
    </row>
    <row r="364" spans="2:7" x14ac:dyDescent="0.2">
      <c r="B364" s="84"/>
      <c r="C364" s="84"/>
      <c r="D364" s="85"/>
      <c r="E364" s="84"/>
      <c r="F364" s="84"/>
      <c r="G364" s="84"/>
    </row>
    <row r="365" spans="2:7" x14ac:dyDescent="0.2">
      <c r="B365" s="84"/>
      <c r="C365" s="84"/>
      <c r="D365" s="85"/>
      <c r="E365" s="84"/>
      <c r="F365" s="84"/>
      <c r="G365" s="84"/>
    </row>
    <row r="366" spans="2:7" x14ac:dyDescent="0.2">
      <c r="B366" s="84"/>
      <c r="C366" s="84"/>
      <c r="D366" s="85"/>
      <c r="E366" s="84"/>
      <c r="F366" s="84"/>
      <c r="G366" s="84"/>
    </row>
    <row r="367" spans="2:7" x14ac:dyDescent="0.2">
      <c r="B367" s="84"/>
      <c r="C367" s="84"/>
      <c r="D367" s="85"/>
      <c r="E367" s="84"/>
      <c r="F367" s="84"/>
      <c r="G367" s="84"/>
    </row>
    <row r="368" spans="2:7" x14ac:dyDescent="0.2">
      <c r="B368" s="84"/>
      <c r="C368" s="84"/>
      <c r="D368" s="85"/>
      <c r="E368" s="84"/>
      <c r="F368" s="84"/>
      <c r="G368" s="84"/>
    </row>
    <row r="369" spans="2:7" x14ac:dyDescent="0.2">
      <c r="B369" s="84"/>
      <c r="C369" s="84"/>
      <c r="D369" s="85"/>
      <c r="E369" s="84"/>
      <c r="F369" s="84"/>
      <c r="G369" s="84"/>
    </row>
    <row r="370" spans="2:7" x14ac:dyDescent="0.2">
      <c r="B370" s="84"/>
      <c r="C370" s="84"/>
      <c r="D370" s="85"/>
      <c r="E370" s="84"/>
      <c r="F370" s="84"/>
      <c r="G370" s="84"/>
    </row>
    <row r="371" spans="2:7" x14ac:dyDescent="0.2">
      <c r="B371" s="84"/>
      <c r="C371" s="84"/>
      <c r="D371" s="85"/>
      <c r="E371" s="84"/>
      <c r="F371" s="84"/>
      <c r="G371" s="84"/>
    </row>
    <row r="372" spans="2:7" x14ac:dyDescent="0.2">
      <c r="B372" s="84"/>
      <c r="C372" s="84"/>
      <c r="D372" s="85"/>
      <c r="E372" s="84"/>
      <c r="F372" s="84"/>
      <c r="G372" s="84"/>
    </row>
    <row r="373" spans="2:7" x14ac:dyDescent="0.2">
      <c r="B373" s="84"/>
      <c r="C373" s="84"/>
      <c r="D373" s="85"/>
      <c r="E373" s="84"/>
      <c r="F373" s="84"/>
      <c r="G373" s="84"/>
    </row>
    <row r="374" spans="2:7" x14ac:dyDescent="0.2">
      <c r="B374" s="84"/>
      <c r="C374" s="84"/>
      <c r="D374" s="85"/>
      <c r="E374" s="84"/>
      <c r="F374" s="84"/>
      <c r="G374" s="84"/>
    </row>
    <row r="375" spans="2:7" x14ac:dyDescent="0.2">
      <c r="B375" s="84"/>
      <c r="C375" s="84"/>
      <c r="D375" s="85"/>
      <c r="E375" s="84"/>
      <c r="F375" s="84"/>
      <c r="G375" s="84"/>
    </row>
    <row r="376" spans="2:7" x14ac:dyDescent="0.2">
      <c r="B376" s="84"/>
      <c r="C376" s="84"/>
      <c r="D376" s="85"/>
      <c r="E376" s="84"/>
      <c r="F376" s="84"/>
      <c r="G376" s="84"/>
    </row>
    <row r="377" spans="2:7" x14ac:dyDescent="0.2">
      <c r="B377" s="84"/>
      <c r="C377" s="84"/>
      <c r="D377" s="85"/>
      <c r="E377" s="84"/>
      <c r="F377" s="84"/>
      <c r="G377" s="84"/>
    </row>
    <row r="378" spans="2:7" x14ac:dyDescent="0.2">
      <c r="B378" s="84"/>
      <c r="C378" s="84"/>
      <c r="D378" s="85"/>
      <c r="E378" s="84"/>
      <c r="F378" s="84"/>
      <c r="G378" s="84"/>
    </row>
    <row r="379" spans="2:7" x14ac:dyDescent="0.2">
      <c r="B379" s="84"/>
      <c r="C379" s="84"/>
      <c r="D379" s="85"/>
      <c r="E379" s="84"/>
      <c r="F379" s="84"/>
      <c r="G379" s="84"/>
    </row>
    <row r="380" spans="2:7" x14ac:dyDescent="0.2">
      <c r="B380" s="84"/>
      <c r="C380" s="84"/>
      <c r="D380" s="85"/>
      <c r="E380" s="84"/>
      <c r="F380" s="84"/>
      <c r="G380" s="84"/>
    </row>
    <row r="381" spans="2:7" x14ac:dyDescent="0.2">
      <c r="B381" s="84"/>
      <c r="C381" s="84"/>
      <c r="D381" s="85"/>
      <c r="E381" s="84"/>
      <c r="F381" s="84"/>
      <c r="G381" s="84"/>
    </row>
    <row r="382" spans="2:7" x14ac:dyDescent="0.2">
      <c r="B382" s="84"/>
      <c r="C382" s="84"/>
      <c r="D382" s="85"/>
      <c r="E382" s="84"/>
      <c r="F382" s="84"/>
      <c r="G382" s="84"/>
    </row>
    <row r="383" spans="2:7" x14ac:dyDescent="0.2">
      <c r="B383" s="84"/>
      <c r="C383" s="84"/>
      <c r="D383" s="85"/>
      <c r="E383" s="84"/>
      <c r="F383" s="84"/>
      <c r="G383" s="84"/>
    </row>
    <row r="384" spans="2:7" x14ac:dyDescent="0.2">
      <c r="B384" s="84"/>
      <c r="C384" s="84"/>
      <c r="D384" s="85"/>
      <c r="E384" s="84"/>
      <c r="F384" s="84"/>
      <c r="G384" s="84"/>
    </row>
    <row r="385" spans="2:7" x14ac:dyDescent="0.2">
      <c r="B385" s="84"/>
      <c r="C385" s="84"/>
      <c r="D385" s="85"/>
      <c r="E385" s="84"/>
      <c r="F385" s="84"/>
      <c r="G385" s="84"/>
    </row>
    <row r="386" spans="2:7" x14ac:dyDescent="0.2">
      <c r="B386" s="84"/>
      <c r="C386" s="84"/>
      <c r="D386" s="85"/>
      <c r="E386" s="84"/>
      <c r="F386" s="84"/>
      <c r="G386" s="84"/>
    </row>
    <row r="387" spans="2:7" x14ac:dyDescent="0.2">
      <c r="B387" s="84"/>
      <c r="C387" s="84"/>
      <c r="D387" s="85"/>
      <c r="E387" s="84"/>
      <c r="F387" s="84"/>
      <c r="G387" s="84"/>
    </row>
    <row r="388" spans="2:7" x14ac:dyDescent="0.2">
      <c r="B388" s="84"/>
      <c r="C388" s="84"/>
      <c r="D388" s="85"/>
      <c r="E388" s="84"/>
      <c r="F388" s="84"/>
      <c r="G388" s="84"/>
    </row>
    <row r="389" spans="2:7" x14ac:dyDescent="0.2">
      <c r="B389" s="84"/>
      <c r="C389" s="84"/>
      <c r="D389" s="85"/>
      <c r="E389" s="84"/>
      <c r="F389" s="84"/>
      <c r="G389" s="84"/>
    </row>
    <row r="390" spans="2:7" x14ac:dyDescent="0.2">
      <c r="B390" s="84"/>
      <c r="C390" s="84"/>
      <c r="D390" s="85"/>
      <c r="E390" s="84"/>
      <c r="F390" s="84"/>
      <c r="G390" s="84"/>
    </row>
    <row r="391" spans="2:7" x14ac:dyDescent="0.2">
      <c r="B391" s="84"/>
      <c r="C391" s="84"/>
      <c r="D391" s="85"/>
      <c r="E391" s="84"/>
      <c r="F391" s="84"/>
      <c r="G391" s="84"/>
    </row>
    <row r="392" spans="2:7" x14ac:dyDescent="0.2">
      <c r="B392" s="84"/>
      <c r="C392" s="84"/>
      <c r="D392" s="85"/>
      <c r="E392" s="84"/>
      <c r="F392" s="84"/>
      <c r="G392" s="84"/>
    </row>
    <row r="393" spans="2:7" x14ac:dyDescent="0.2">
      <c r="B393" s="84"/>
      <c r="C393" s="84"/>
      <c r="D393" s="85"/>
      <c r="E393" s="84"/>
      <c r="F393" s="84"/>
      <c r="G393" s="84"/>
    </row>
    <row r="394" spans="2:7" x14ac:dyDescent="0.2">
      <c r="B394" s="84"/>
      <c r="C394" s="84"/>
      <c r="D394" s="85"/>
      <c r="E394" s="84"/>
      <c r="F394" s="84"/>
      <c r="G394" s="84"/>
    </row>
    <row r="395" spans="2:7" x14ac:dyDescent="0.2">
      <c r="B395" s="84"/>
      <c r="C395" s="84"/>
      <c r="D395" s="85"/>
      <c r="E395" s="84"/>
      <c r="F395" s="84"/>
      <c r="G395" s="84"/>
    </row>
    <row r="396" spans="2:7" x14ac:dyDescent="0.2">
      <c r="B396" s="84"/>
      <c r="C396" s="84"/>
      <c r="D396" s="85"/>
      <c r="E396" s="84"/>
      <c r="F396" s="84"/>
      <c r="G396" s="84"/>
    </row>
    <row r="397" spans="2:7" x14ac:dyDescent="0.2">
      <c r="B397" s="84"/>
      <c r="C397" s="84"/>
      <c r="D397" s="85"/>
      <c r="E397" s="84"/>
      <c r="F397" s="84"/>
      <c r="G397" s="84"/>
    </row>
    <row r="398" spans="2:7" x14ac:dyDescent="0.2">
      <c r="B398" s="84"/>
      <c r="C398" s="84"/>
      <c r="D398" s="85"/>
      <c r="E398" s="84"/>
      <c r="F398" s="84"/>
      <c r="G398" s="84"/>
    </row>
    <row r="399" spans="2:7" x14ac:dyDescent="0.2">
      <c r="B399" s="84"/>
      <c r="C399" s="84"/>
      <c r="D399" s="85"/>
      <c r="E399" s="84"/>
      <c r="F399" s="84"/>
      <c r="G399" s="84"/>
    </row>
    <row r="400" spans="2:7" x14ac:dyDescent="0.2">
      <c r="B400" s="84"/>
      <c r="C400" s="84"/>
      <c r="D400" s="85"/>
      <c r="E400" s="84"/>
      <c r="F400" s="84"/>
      <c r="G400" s="84"/>
    </row>
    <row r="401" spans="2:7" x14ac:dyDescent="0.2">
      <c r="B401" s="84"/>
      <c r="C401" s="84"/>
      <c r="D401" s="85"/>
      <c r="E401" s="84"/>
      <c r="F401" s="84"/>
      <c r="G401" s="84"/>
    </row>
    <row r="402" spans="2:7" x14ac:dyDescent="0.2">
      <c r="B402" s="84"/>
      <c r="C402" s="84"/>
      <c r="D402" s="85"/>
      <c r="E402" s="84"/>
      <c r="F402" s="84"/>
      <c r="G402" s="84"/>
    </row>
    <row r="403" spans="2:7" x14ac:dyDescent="0.2">
      <c r="B403" s="84"/>
      <c r="C403" s="84"/>
      <c r="D403" s="85"/>
      <c r="E403" s="84"/>
      <c r="F403" s="84"/>
      <c r="G403" s="84"/>
    </row>
    <row r="404" spans="2:7" x14ac:dyDescent="0.2">
      <c r="B404" s="84"/>
      <c r="C404" s="84"/>
      <c r="D404" s="85"/>
      <c r="E404" s="84"/>
      <c r="F404" s="84"/>
      <c r="G404" s="84"/>
    </row>
    <row r="405" spans="2:7" x14ac:dyDescent="0.2">
      <c r="B405" s="84"/>
      <c r="C405" s="84"/>
      <c r="D405" s="85"/>
      <c r="E405" s="84"/>
      <c r="F405" s="84"/>
      <c r="G405" s="84"/>
    </row>
    <row r="406" spans="2:7" x14ac:dyDescent="0.2">
      <c r="B406" s="84"/>
      <c r="C406" s="84"/>
      <c r="D406" s="85"/>
      <c r="E406" s="84"/>
      <c r="F406" s="84"/>
      <c r="G406" s="84"/>
    </row>
    <row r="407" spans="2:7" x14ac:dyDescent="0.2">
      <c r="B407" s="84"/>
      <c r="C407" s="84"/>
      <c r="D407" s="85"/>
      <c r="E407" s="84"/>
      <c r="F407" s="84"/>
      <c r="G407" s="84"/>
    </row>
    <row r="408" spans="2:7" x14ac:dyDescent="0.2">
      <c r="B408" s="84"/>
      <c r="C408" s="84"/>
      <c r="D408" s="85"/>
      <c r="E408" s="84"/>
      <c r="F408" s="84"/>
      <c r="G408" s="84"/>
    </row>
    <row r="409" spans="2:7" x14ac:dyDescent="0.2">
      <c r="B409" s="84"/>
      <c r="C409" s="84"/>
      <c r="D409" s="85"/>
      <c r="E409" s="84"/>
      <c r="F409" s="84"/>
      <c r="G409" s="84"/>
    </row>
    <row r="410" spans="2:7" x14ac:dyDescent="0.2">
      <c r="B410" s="84"/>
      <c r="C410" s="84"/>
      <c r="D410" s="85"/>
      <c r="E410" s="84"/>
      <c r="F410" s="84"/>
      <c r="G410" s="84"/>
    </row>
    <row r="411" spans="2:7" x14ac:dyDescent="0.2">
      <c r="B411" s="84"/>
      <c r="C411" s="84"/>
      <c r="D411" s="85"/>
      <c r="E411" s="84"/>
      <c r="F411" s="84"/>
      <c r="G411" s="84"/>
    </row>
    <row r="412" spans="2:7" x14ac:dyDescent="0.2">
      <c r="B412" s="84"/>
      <c r="C412" s="84"/>
      <c r="D412" s="85"/>
      <c r="E412" s="84"/>
      <c r="F412" s="84"/>
      <c r="G412" s="84"/>
    </row>
    <row r="413" spans="2:7" x14ac:dyDescent="0.2">
      <c r="B413" s="84"/>
      <c r="C413" s="84"/>
      <c r="D413" s="85"/>
      <c r="E413" s="84"/>
      <c r="F413" s="84"/>
      <c r="G413" s="84"/>
    </row>
    <row r="414" spans="2:7" x14ac:dyDescent="0.2">
      <c r="B414" s="84"/>
      <c r="C414" s="84"/>
      <c r="D414" s="85"/>
      <c r="E414" s="84"/>
      <c r="F414" s="84"/>
      <c r="G414" s="84"/>
    </row>
    <row r="415" spans="2:7" x14ac:dyDescent="0.2">
      <c r="B415" s="84"/>
      <c r="C415" s="84"/>
      <c r="D415" s="85"/>
      <c r="E415" s="84"/>
      <c r="F415" s="84"/>
      <c r="G415" s="84"/>
    </row>
    <row r="416" spans="2:7" x14ac:dyDescent="0.2">
      <c r="B416" s="84"/>
      <c r="C416" s="84"/>
      <c r="D416" s="85"/>
      <c r="E416" s="84"/>
      <c r="F416" s="84"/>
      <c r="G416" s="84"/>
    </row>
    <row r="417" spans="2:7" x14ac:dyDescent="0.2">
      <c r="B417" s="84"/>
      <c r="C417" s="84"/>
      <c r="D417" s="85"/>
      <c r="E417" s="84"/>
      <c r="F417" s="84"/>
      <c r="G417" s="84"/>
    </row>
    <row r="418" spans="2:7" x14ac:dyDescent="0.2">
      <c r="B418" s="84"/>
      <c r="C418" s="84"/>
      <c r="D418" s="85"/>
      <c r="E418" s="84"/>
      <c r="F418" s="84"/>
      <c r="G418" s="84"/>
    </row>
    <row r="419" spans="2:7" x14ac:dyDescent="0.2">
      <c r="B419" s="84"/>
      <c r="C419" s="84"/>
      <c r="D419" s="85"/>
      <c r="E419" s="84"/>
      <c r="F419" s="84"/>
      <c r="G419" s="84"/>
    </row>
    <row r="420" spans="2:7" x14ac:dyDescent="0.2">
      <c r="B420" s="84"/>
      <c r="C420" s="84"/>
      <c r="D420" s="85"/>
      <c r="E420" s="84"/>
      <c r="F420" s="84"/>
      <c r="G420" s="84"/>
    </row>
    <row r="421" spans="2:7" x14ac:dyDescent="0.2">
      <c r="B421" s="84"/>
      <c r="C421" s="84"/>
      <c r="D421" s="85"/>
      <c r="E421" s="84"/>
      <c r="F421" s="84"/>
      <c r="G421" s="84"/>
    </row>
    <row r="422" spans="2:7" x14ac:dyDescent="0.2">
      <c r="B422" s="84"/>
      <c r="C422" s="84"/>
      <c r="D422" s="85"/>
      <c r="E422" s="84"/>
      <c r="F422" s="84"/>
      <c r="G422" s="84"/>
    </row>
    <row r="423" spans="2:7" x14ac:dyDescent="0.2">
      <c r="B423" s="84"/>
      <c r="C423" s="84"/>
      <c r="D423" s="85"/>
      <c r="E423" s="84"/>
      <c r="F423" s="84"/>
      <c r="G423" s="84"/>
    </row>
    <row r="424" spans="2:7" x14ac:dyDescent="0.2">
      <c r="B424" s="84"/>
      <c r="C424" s="84"/>
      <c r="D424" s="85"/>
      <c r="E424" s="84"/>
      <c r="F424" s="84"/>
      <c r="G424" s="84"/>
    </row>
    <row r="425" spans="2:7" x14ac:dyDescent="0.2">
      <c r="B425" s="84"/>
      <c r="C425" s="84"/>
      <c r="D425" s="85"/>
      <c r="E425" s="84"/>
      <c r="F425" s="84"/>
      <c r="G425" s="84"/>
    </row>
    <row r="426" spans="2:7" x14ac:dyDescent="0.2">
      <c r="B426" s="84"/>
      <c r="C426" s="84"/>
      <c r="D426" s="85"/>
      <c r="E426" s="84"/>
      <c r="F426" s="84"/>
      <c r="G426" s="84"/>
    </row>
    <row r="427" spans="2:7" x14ac:dyDescent="0.2">
      <c r="B427" s="84"/>
      <c r="C427" s="84"/>
      <c r="D427" s="85"/>
      <c r="E427" s="84"/>
      <c r="F427" s="84"/>
      <c r="G427" s="84"/>
    </row>
    <row r="428" spans="2:7" x14ac:dyDescent="0.2">
      <c r="B428" s="84"/>
      <c r="C428" s="84"/>
      <c r="D428" s="85"/>
      <c r="E428" s="84"/>
      <c r="F428" s="84"/>
      <c r="G428" s="84"/>
    </row>
    <row r="429" spans="2:7" x14ac:dyDescent="0.2">
      <c r="B429" s="84"/>
      <c r="C429" s="84"/>
      <c r="D429" s="85"/>
      <c r="E429" s="84"/>
      <c r="F429" s="84"/>
      <c r="G429" s="84"/>
    </row>
    <row r="430" spans="2:7" x14ac:dyDescent="0.2">
      <c r="B430" s="84"/>
      <c r="C430" s="84"/>
      <c r="D430" s="85"/>
      <c r="E430" s="84"/>
      <c r="F430" s="84"/>
      <c r="G430" s="84"/>
    </row>
    <row r="431" spans="2:7" x14ac:dyDescent="0.2">
      <c r="B431" s="84"/>
      <c r="C431" s="84"/>
      <c r="D431" s="85"/>
      <c r="E431" s="84"/>
      <c r="F431" s="84"/>
      <c r="G431" s="84"/>
    </row>
    <row r="432" spans="2:7" x14ac:dyDescent="0.2">
      <c r="B432" s="84"/>
      <c r="C432" s="84"/>
      <c r="D432" s="85"/>
      <c r="E432" s="84"/>
      <c r="F432" s="84"/>
      <c r="G432" s="84"/>
    </row>
    <row r="433" spans="2:7" x14ac:dyDescent="0.2">
      <c r="B433" s="84"/>
      <c r="C433" s="84"/>
      <c r="D433" s="85"/>
      <c r="E433" s="84"/>
      <c r="F433" s="84"/>
      <c r="G433" s="84"/>
    </row>
    <row r="434" spans="2:7" x14ac:dyDescent="0.2">
      <c r="B434" s="84"/>
      <c r="C434" s="84"/>
      <c r="D434" s="85"/>
      <c r="E434" s="84"/>
      <c r="F434" s="84"/>
      <c r="G434" s="84"/>
    </row>
    <row r="435" spans="2:7" x14ac:dyDescent="0.2">
      <c r="B435" s="84"/>
      <c r="C435" s="84"/>
      <c r="D435" s="85"/>
      <c r="E435" s="84"/>
      <c r="F435" s="84"/>
      <c r="G435" s="84"/>
    </row>
    <row r="436" spans="2:7" x14ac:dyDescent="0.2">
      <c r="B436" s="84"/>
      <c r="C436" s="84"/>
      <c r="D436" s="85"/>
      <c r="E436" s="84"/>
      <c r="F436" s="84"/>
      <c r="G436" s="84"/>
    </row>
    <row r="437" spans="2:7" x14ac:dyDescent="0.2">
      <c r="B437" s="84"/>
      <c r="C437" s="84"/>
      <c r="D437" s="85"/>
      <c r="E437" s="84"/>
      <c r="F437" s="84"/>
      <c r="G437" s="84"/>
    </row>
    <row r="438" spans="2:7" x14ac:dyDescent="0.2">
      <c r="B438" s="84"/>
      <c r="C438" s="84"/>
      <c r="D438" s="85"/>
      <c r="E438" s="84"/>
      <c r="F438" s="84"/>
      <c r="G438" s="84"/>
    </row>
    <row r="439" spans="2:7" x14ac:dyDescent="0.2">
      <c r="B439" s="84"/>
      <c r="C439" s="84"/>
      <c r="D439" s="85"/>
      <c r="E439" s="84"/>
      <c r="F439" s="84"/>
      <c r="G439" s="84"/>
    </row>
    <row r="440" spans="2:7" x14ac:dyDescent="0.2">
      <c r="B440" s="84"/>
      <c r="C440" s="84"/>
      <c r="D440" s="85"/>
      <c r="E440" s="84"/>
      <c r="F440" s="84"/>
      <c r="G440" s="84"/>
    </row>
    <row r="441" spans="2:7" x14ac:dyDescent="0.2">
      <c r="B441" s="84"/>
      <c r="C441" s="84"/>
      <c r="D441" s="85"/>
      <c r="E441" s="84"/>
      <c r="F441" s="84"/>
      <c r="G441" s="84"/>
    </row>
    <row r="442" spans="2:7" x14ac:dyDescent="0.2">
      <c r="B442" s="84"/>
      <c r="C442" s="84"/>
      <c r="D442" s="85"/>
      <c r="E442" s="84"/>
      <c r="F442" s="84"/>
      <c r="G442" s="84"/>
    </row>
    <row r="443" spans="2:7" x14ac:dyDescent="0.2">
      <c r="B443" s="84"/>
      <c r="C443" s="84"/>
      <c r="D443" s="85"/>
      <c r="E443" s="84"/>
      <c r="F443" s="84"/>
      <c r="G443" s="84"/>
    </row>
    <row r="444" spans="2:7" x14ac:dyDescent="0.2">
      <c r="B444" s="84"/>
      <c r="C444" s="84"/>
      <c r="D444" s="85"/>
      <c r="E444" s="84"/>
      <c r="F444" s="84"/>
      <c r="G444" s="84"/>
    </row>
    <row r="445" spans="2:7" x14ac:dyDescent="0.2">
      <c r="B445" s="84"/>
      <c r="C445" s="84"/>
      <c r="D445" s="85"/>
      <c r="E445" s="84"/>
      <c r="F445" s="84"/>
      <c r="G445" s="84"/>
    </row>
    <row r="446" spans="2:7" x14ac:dyDescent="0.2">
      <c r="B446" s="84"/>
      <c r="C446" s="84"/>
      <c r="D446" s="85"/>
      <c r="E446" s="84"/>
      <c r="F446" s="84"/>
      <c r="G446" s="84"/>
    </row>
    <row r="447" spans="2:7" x14ac:dyDescent="0.2">
      <c r="B447" s="84"/>
      <c r="C447" s="84"/>
      <c r="D447" s="85"/>
      <c r="E447" s="84"/>
      <c r="F447" s="84"/>
      <c r="G447" s="84"/>
    </row>
    <row r="448" spans="2:7" x14ac:dyDescent="0.2">
      <c r="B448" s="84"/>
      <c r="C448" s="84"/>
      <c r="D448" s="85"/>
      <c r="E448" s="84"/>
      <c r="F448" s="84"/>
      <c r="G448" s="84"/>
    </row>
    <row r="449" spans="2:7" x14ac:dyDescent="0.2">
      <c r="B449" s="84"/>
      <c r="C449" s="84"/>
      <c r="D449" s="85"/>
      <c r="E449" s="84"/>
      <c r="F449" s="84"/>
      <c r="G449" s="84"/>
    </row>
    <row r="450" spans="2:7" x14ac:dyDescent="0.2">
      <c r="B450" s="84"/>
      <c r="C450" s="84"/>
      <c r="D450" s="85"/>
      <c r="E450" s="84"/>
      <c r="F450" s="84"/>
      <c r="G450" s="84"/>
    </row>
    <row r="451" spans="2:7" x14ac:dyDescent="0.2">
      <c r="B451" s="84"/>
      <c r="C451" s="84"/>
      <c r="D451" s="85"/>
      <c r="E451" s="84"/>
      <c r="F451" s="84"/>
      <c r="G451" s="84"/>
    </row>
    <row r="452" spans="2:7" x14ac:dyDescent="0.2">
      <c r="B452" s="84"/>
      <c r="C452" s="84"/>
      <c r="D452" s="85"/>
      <c r="E452" s="84"/>
      <c r="F452" s="84"/>
      <c r="G452" s="84"/>
    </row>
    <row r="453" spans="2:7" x14ac:dyDescent="0.2">
      <c r="B453" s="84"/>
      <c r="C453" s="84"/>
      <c r="D453" s="85"/>
      <c r="E453" s="84"/>
      <c r="F453" s="84"/>
      <c r="G453" s="84"/>
    </row>
    <row r="454" spans="2:7" x14ac:dyDescent="0.2">
      <c r="B454" s="84"/>
      <c r="C454" s="84"/>
      <c r="D454" s="85"/>
      <c r="E454" s="84"/>
      <c r="F454" s="84"/>
      <c r="G454" s="84"/>
    </row>
    <row r="455" spans="2:7" x14ac:dyDescent="0.2">
      <c r="B455" s="84"/>
      <c r="C455" s="84"/>
      <c r="D455" s="85"/>
      <c r="E455" s="84"/>
      <c r="F455" s="84"/>
      <c r="G455" s="84"/>
    </row>
    <row r="456" spans="2:7" x14ac:dyDescent="0.2">
      <c r="B456" s="84"/>
      <c r="C456" s="84"/>
      <c r="D456" s="85"/>
      <c r="E456" s="84"/>
      <c r="F456" s="84"/>
      <c r="G456" s="84"/>
    </row>
    <row r="457" spans="2:7" x14ac:dyDescent="0.2">
      <c r="B457" s="84"/>
      <c r="C457" s="84"/>
      <c r="D457" s="85"/>
      <c r="E457" s="84"/>
      <c r="F457" s="84"/>
      <c r="G457" s="84"/>
    </row>
    <row r="458" spans="2:7" x14ac:dyDescent="0.2">
      <c r="B458" s="84"/>
      <c r="C458" s="84"/>
      <c r="D458" s="85"/>
      <c r="E458" s="84"/>
      <c r="F458" s="84"/>
      <c r="G458" s="84"/>
    </row>
    <row r="459" spans="2:7" x14ac:dyDescent="0.2">
      <c r="B459" s="84"/>
      <c r="C459" s="84"/>
      <c r="D459" s="85"/>
      <c r="E459" s="84"/>
      <c r="F459" s="84"/>
      <c r="G459" s="84"/>
    </row>
    <row r="460" spans="2:7" x14ac:dyDescent="0.2">
      <c r="B460" s="84"/>
      <c r="C460" s="84"/>
      <c r="D460" s="85"/>
      <c r="E460" s="84"/>
      <c r="F460" s="84"/>
      <c r="G460" s="84"/>
    </row>
    <row r="461" spans="2:7" x14ac:dyDescent="0.2">
      <c r="B461" s="84"/>
      <c r="C461" s="84"/>
      <c r="D461" s="85"/>
      <c r="E461" s="84"/>
      <c r="F461" s="84"/>
      <c r="G461" s="84"/>
    </row>
    <row r="462" spans="2:7" x14ac:dyDescent="0.2">
      <c r="B462" s="84"/>
      <c r="C462" s="84"/>
      <c r="D462" s="85"/>
      <c r="E462" s="84"/>
      <c r="F462" s="84"/>
      <c r="G462" s="84"/>
    </row>
    <row r="463" spans="2:7" x14ac:dyDescent="0.2">
      <c r="B463" s="84"/>
      <c r="C463" s="84"/>
      <c r="D463" s="85"/>
      <c r="E463" s="84"/>
      <c r="F463" s="84"/>
      <c r="G463" s="84"/>
    </row>
    <row r="464" spans="2:7" x14ac:dyDescent="0.2">
      <c r="B464" s="84"/>
      <c r="C464" s="84"/>
      <c r="D464" s="85"/>
      <c r="E464" s="84"/>
      <c r="F464" s="84"/>
      <c r="G464" s="84"/>
    </row>
    <row r="465" spans="2:7" x14ac:dyDescent="0.2">
      <c r="B465" s="84"/>
      <c r="C465" s="84"/>
      <c r="D465" s="85"/>
      <c r="E465" s="84"/>
      <c r="F465" s="84"/>
      <c r="G465" s="84"/>
    </row>
    <row r="466" spans="2:7" x14ac:dyDescent="0.2">
      <c r="B466" s="84"/>
      <c r="C466" s="84"/>
      <c r="D466" s="85"/>
      <c r="E466" s="84"/>
      <c r="F466" s="84"/>
      <c r="G466" s="84"/>
    </row>
    <row r="467" spans="2:7" x14ac:dyDescent="0.2">
      <c r="B467" s="84"/>
      <c r="C467" s="84"/>
      <c r="D467" s="85"/>
      <c r="E467" s="84"/>
      <c r="F467" s="84"/>
      <c r="G467" s="84"/>
    </row>
    <row r="468" spans="2:7" x14ac:dyDescent="0.2">
      <c r="B468" s="84"/>
      <c r="C468" s="84"/>
      <c r="D468" s="85"/>
      <c r="E468" s="84"/>
      <c r="F468" s="84"/>
      <c r="G468" s="84"/>
    </row>
    <row r="469" spans="2:7" x14ac:dyDescent="0.2">
      <c r="B469" s="84"/>
      <c r="C469" s="84"/>
      <c r="D469" s="85"/>
      <c r="E469" s="84"/>
      <c r="F469" s="84"/>
      <c r="G469" s="84"/>
    </row>
    <row r="470" spans="2:7" x14ac:dyDescent="0.2">
      <c r="B470" s="84"/>
      <c r="C470" s="84"/>
      <c r="D470" s="85"/>
      <c r="E470" s="84"/>
      <c r="F470" s="84"/>
      <c r="G470" s="84"/>
    </row>
    <row r="471" spans="2:7" x14ac:dyDescent="0.2">
      <c r="B471" s="84"/>
      <c r="C471" s="84"/>
      <c r="D471" s="85"/>
      <c r="E471" s="84"/>
      <c r="F471" s="84"/>
      <c r="G471" s="84"/>
    </row>
    <row r="472" spans="2:7" x14ac:dyDescent="0.2">
      <c r="B472" s="84"/>
      <c r="C472" s="84"/>
      <c r="D472" s="85"/>
      <c r="E472" s="84"/>
      <c r="F472" s="84"/>
      <c r="G472" s="84"/>
    </row>
    <row r="473" spans="2:7" x14ac:dyDescent="0.2">
      <c r="B473" s="84"/>
      <c r="C473" s="84"/>
      <c r="D473" s="85"/>
      <c r="E473" s="84"/>
      <c r="F473" s="84"/>
      <c r="G473" s="84"/>
    </row>
    <row r="474" spans="2:7" x14ac:dyDescent="0.2">
      <c r="B474" s="84"/>
      <c r="C474" s="84"/>
      <c r="D474" s="85"/>
      <c r="E474" s="84"/>
      <c r="F474" s="84"/>
      <c r="G474" s="84"/>
    </row>
    <row r="475" spans="2:7" x14ac:dyDescent="0.2">
      <c r="B475" s="84"/>
      <c r="C475" s="84"/>
      <c r="D475" s="85"/>
      <c r="E475" s="84"/>
      <c r="F475" s="84"/>
      <c r="G475" s="84"/>
    </row>
    <row r="476" spans="2:7" x14ac:dyDescent="0.2">
      <c r="B476" s="84"/>
      <c r="C476" s="84"/>
      <c r="D476" s="85"/>
      <c r="E476" s="84"/>
      <c r="F476" s="84"/>
      <c r="G476" s="84"/>
    </row>
    <row r="477" spans="2:7" x14ac:dyDescent="0.2">
      <c r="B477" s="84"/>
      <c r="C477" s="84"/>
      <c r="D477" s="85"/>
      <c r="E477" s="84"/>
      <c r="F477" s="84"/>
      <c r="G477" s="84"/>
    </row>
    <row r="478" spans="2:7" x14ac:dyDescent="0.2">
      <c r="B478" s="84"/>
      <c r="C478" s="84"/>
      <c r="D478" s="85"/>
      <c r="E478" s="84"/>
      <c r="F478" s="84"/>
      <c r="G478" s="84"/>
    </row>
    <row r="479" spans="2:7" x14ac:dyDescent="0.2">
      <c r="B479" s="84"/>
      <c r="C479" s="84"/>
      <c r="D479" s="85"/>
      <c r="E479" s="84"/>
      <c r="F479" s="84"/>
      <c r="G479" s="84"/>
    </row>
    <row r="480" spans="2:7" x14ac:dyDescent="0.2">
      <c r="B480" s="84"/>
      <c r="C480" s="84"/>
      <c r="D480" s="85"/>
      <c r="E480" s="84"/>
      <c r="F480" s="84"/>
      <c r="G480" s="84"/>
    </row>
    <row r="481" spans="2:7" x14ac:dyDescent="0.2">
      <c r="B481" s="84"/>
      <c r="C481" s="84"/>
      <c r="D481" s="85"/>
      <c r="E481" s="84"/>
      <c r="F481" s="84"/>
      <c r="G481" s="84"/>
    </row>
    <row r="482" spans="2:7" x14ac:dyDescent="0.2">
      <c r="B482" s="84"/>
      <c r="C482" s="84"/>
      <c r="D482" s="85"/>
      <c r="E482" s="84"/>
      <c r="F482" s="84"/>
      <c r="G482" s="84"/>
    </row>
    <row r="483" spans="2:7" x14ac:dyDescent="0.2">
      <c r="B483" s="84"/>
      <c r="C483" s="84"/>
      <c r="D483" s="85"/>
      <c r="E483" s="84"/>
      <c r="F483" s="84"/>
      <c r="G483" s="84"/>
    </row>
    <row r="484" spans="2:7" x14ac:dyDescent="0.2">
      <c r="B484" s="84"/>
      <c r="C484" s="84"/>
      <c r="D484" s="85"/>
      <c r="E484" s="84"/>
      <c r="F484" s="84"/>
      <c r="G484" s="84"/>
    </row>
    <row r="485" spans="2:7" x14ac:dyDescent="0.2">
      <c r="B485" s="84"/>
      <c r="C485" s="84"/>
      <c r="D485" s="85"/>
      <c r="E485" s="84"/>
      <c r="F485" s="84"/>
      <c r="G485" s="84"/>
    </row>
    <row r="486" spans="2:7" x14ac:dyDescent="0.2">
      <c r="B486" s="84"/>
      <c r="C486" s="84"/>
      <c r="D486" s="85"/>
      <c r="E486" s="84"/>
      <c r="F486" s="84"/>
      <c r="G486" s="84"/>
    </row>
    <row r="487" spans="2:7" x14ac:dyDescent="0.2">
      <c r="B487" s="84"/>
      <c r="C487" s="84"/>
      <c r="D487" s="85"/>
      <c r="E487" s="84"/>
      <c r="F487" s="84"/>
      <c r="G487" s="84"/>
    </row>
    <row r="488" spans="2:7" x14ac:dyDescent="0.2">
      <c r="B488" s="84"/>
      <c r="C488" s="84"/>
      <c r="D488" s="85"/>
      <c r="E488" s="84"/>
      <c r="F488" s="84"/>
      <c r="G488" s="84"/>
    </row>
    <row r="489" spans="2:7" x14ac:dyDescent="0.2">
      <c r="B489" s="84"/>
      <c r="C489" s="84"/>
      <c r="D489" s="85"/>
      <c r="E489" s="84"/>
      <c r="F489" s="84"/>
      <c r="G489" s="84"/>
    </row>
    <row r="490" spans="2:7" x14ac:dyDescent="0.2">
      <c r="B490" s="84"/>
      <c r="C490" s="84"/>
      <c r="D490" s="85"/>
      <c r="E490" s="84"/>
      <c r="F490" s="84"/>
      <c r="G490" s="84"/>
    </row>
    <row r="491" spans="2:7" x14ac:dyDescent="0.2">
      <c r="B491" s="84"/>
      <c r="C491" s="84"/>
      <c r="D491" s="85"/>
      <c r="E491" s="84"/>
      <c r="F491" s="84"/>
      <c r="G491" s="84"/>
    </row>
    <row r="492" spans="2:7" x14ac:dyDescent="0.2">
      <c r="B492" s="84"/>
      <c r="C492" s="84"/>
      <c r="D492" s="85"/>
      <c r="E492" s="84"/>
      <c r="F492" s="84"/>
      <c r="G492" s="84"/>
    </row>
    <row r="493" spans="2:7" x14ac:dyDescent="0.2">
      <c r="B493" s="84"/>
      <c r="C493" s="84"/>
      <c r="D493" s="85"/>
      <c r="E493" s="84"/>
      <c r="F493" s="84"/>
      <c r="G493" s="84"/>
    </row>
    <row r="494" spans="2:7" x14ac:dyDescent="0.2">
      <c r="B494" s="84"/>
      <c r="C494" s="84"/>
      <c r="D494" s="85"/>
      <c r="E494" s="84"/>
      <c r="F494" s="84"/>
      <c r="G494" s="84"/>
    </row>
    <row r="495" spans="2:7" x14ac:dyDescent="0.2">
      <c r="B495" s="84"/>
      <c r="C495" s="84"/>
      <c r="D495" s="85"/>
      <c r="E495" s="84"/>
      <c r="F495" s="84"/>
      <c r="G495" s="84"/>
    </row>
    <row r="496" spans="2:7" x14ac:dyDescent="0.2">
      <c r="B496" s="84"/>
      <c r="C496" s="84"/>
      <c r="D496" s="85"/>
      <c r="E496" s="84"/>
      <c r="F496" s="84"/>
      <c r="G496" s="84"/>
    </row>
    <row r="497" spans="2:7" x14ac:dyDescent="0.2">
      <c r="B497" s="84"/>
      <c r="C497" s="84"/>
      <c r="D497" s="85"/>
      <c r="E497" s="84"/>
      <c r="F497" s="84"/>
      <c r="G497" s="84"/>
    </row>
    <row r="498" spans="2:7" x14ac:dyDescent="0.2">
      <c r="B498" s="84"/>
      <c r="C498" s="84"/>
      <c r="D498" s="85"/>
      <c r="E498" s="84"/>
      <c r="F498" s="84"/>
      <c r="G498" s="84"/>
    </row>
    <row r="499" spans="2:7" x14ac:dyDescent="0.2">
      <c r="B499" s="84"/>
      <c r="C499" s="84"/>
      <c r="D499" s="85"/>
      <c r="E499" s="84"/>
      <c r="F499" s="84"/>
      <c r="G499" s="84"/>
    </row>
    <row r="500" spans="2:7" x14ac:dyDescent="0.2">
      <c r="B500" s="84"/>
      <c r="C500" s="84"/>
      <c r="D500" s="85"/>
      <c r="E500" s="84"/>
      <c r="F500" s="84"/>
      <c r="G500" s="84"/>
    </row>
    <row r="501" spans="2:7" x14ac:dyDescent="0.2">
      <c r="B501" s="84"/>
      <c r="C501" s="84"/>
      <c r="D501" s="85"/>
      <c r="E501" s="84"/>
      <c r="F501" s="84"/>
      <c r="G501" s="84"/>
    </row>
    <row r="502" spans="2:7" x14ac:dyDescent="0.2">
      <c r="B502" s="84"/>
      <c r="C502" s="84"/>
      <c r="D502" s="85"/>
      <c r="E502" s="84"/>
      <c r="F502" s="84"/>
      <c r="G502" s="84"/>
    </row>
    <row r="503" spans="2:7" x14ac:dyDescent="0.2">
      <c r="B503" s="84"/>
      <c r="C503" s="84"/>
      <c r="D503" s="85"/>
      <c r="E503" s="84"/>
      <c r="F503" s="84"/>
      <c r="G503" s="84"/>
    </row>
    <row r="504" spans="2:7" x14ac:dyDescent="0.2">
      <c r="B504" s="84"/>
      <c r="C504" s="84"/>
      <c r="D504" s="85"/>
      <c r="E504" s="84"/>
      <c r="F504" s="84"/>
      <c r="G504" s="84"/>
    </row>
    <row r="505" spans="2:7" x14ac:dyDescent="0.2">
      <c r="B505" s="84"/>
      <c r="C505" s="84"/>
      <c r="D505" s="85"/>
      <c r="E505" s="84"/>
      <c r="F505" s="84"/>
      <c r="G505" s="84"/>
    </row>
    <row r="506" spans="2:7" x14ac:dyDescent="0.2">
      <c r="B506" s="84"/>
      <c r="C506" s="84"/>
      <c r="D506" s="85"/>
      <c r="E506" s="84"/>
      <c r="F506" s="84"/>
      <c r="G506" s="84"/>
    </row>
    <row r="507" spans="2:7" x14ac:dyDescent="0.2">
      <c r="B507" s="84"/>
      <c r="C507" s="84"/>
      <c r="D507" s="85"/>
      <c r="E507" s="84"/>
      <c r="F507" s="84"/>
      <c r="G507" s="84"/>
    </row>
    <row r="508" spans="2:7" x14ac:dyDescent="0.2">
      <c r="B508" s="84"/>
      <c r="C508" s="84"/>
      <c r="D508" s="85"/>
      <c r="E508" s="84"/>
      <c r="F508" s="84"/>
      <c r="G508" s="84"/>
    </row>
    <row r="509" spans="2:7" x14ac:dyDescent="0.2">
      <c r="B509" s="84"/>
      <c r="C509" s="84"/>
      <c r="D509" s="85"/>
      <c r="E509" s="84"/>
      <c r="F509" s="84"/>
      <c r="G509" s="84"/>
    </row>
    <row r="510" spans="2:7" x14ac:dyDescent="0.2">
      <c r="B510" s="84"/>
      <c r="C510" s="84"/>
      <c r="D510" s="85"/>
      <c r="E510" s="84"/>
      <c r="F510" s="84"/>
      <c r="G510" s="84"/>
    </row>
    <row r="511" spans="2:7" x14ac:dyDescent="0.2">
      <c r="B511" s="84"/>
      <c r="C511" s="84"/>
      <c r="D511" s="85"/>
      <c r="E511" s="84"/>
      <c r="F511" s="84"/>
      <c r="G511" s="84"/>
    </row>
    <row r="512" spans="2:7" x14ac:dyDescent="0.2">
      <c r="B512" s="84"/>
      <c r="C512" s="84"/>
      <c r="D512" s="85"/>
      <c r="E512" s="84"/>
      <c r="F512" s="84"/>
      <c r="G512" s="84"/>
    </row>
    <row r="513" spans="2:7" x14ac:dyDescent="0.2">
      <c r="B513" s="84"/>
      <c r="C513" s="84"/>
      <c r="D513" s="85"/>
      <c r="E513" s="84"/>
      <c r="F513" s="84"/>
      <c r="G513" s="84"/>
    </row>
    <row r="514" spans="2:7" x14ac:dyDescent="0.2">
      <c r="B514" s="84"/>
      <c r="C514" s="84"/>
      <c r="D514" s="85"/>
      <c r="E514" s="84"/>
      <c r="F514" s="84"/>
      <c r="G514" s="84"/>
    </row>
    <row r="515" spans="2:7" x14ac:dyDescent="0.2">
      <c r="B515" s="84"/>
      <c r="C515" s="84"/>
      <c r="D515" s="85"/>
      <c r="E515" s="84"/>
      <c r="F515" s="84"/>
      <c r="G515" s="84"/>
    </row>
    <row r="516" spans="2:7" x14ac:dyDescent="0.2">
      <c r="B516" s="84"/>
      <c r="C516" s="84"/>
      <c r="D516" s="85"/>
      <c r="E516" s="84"/>
      <c r="F516" s="84"/>
      <c r="G516" s="84"/>
    </row>
    <row r="517" spans="2:7" x14ac:dyDescent="0.2">
      <c r="B517" s="84"/>
      <c r="C517" s="84"/>
      <c r="D517" s="85"/>
      <c r="E517" s="84"/>
      <c r="F517" s="84"/>
      <c r="G517" s="84"/>
    </row>
    <row r="518" spans="2:7" x14ac:dyDescent="0.2">
      <c r="B518" s="84"/>
      <c r="C518" s="84"/>
      <c r="D518" s="85"/>
      <c r="E518" s="84"/>
      <c r="F518" s="84"/>
      <c r="G518" s="84"/>
    </row>
    <row r="519" spans="2:7" x14ac:dyDescent="0.2">
      <c r="B519" s="84"/>
      <c r="C519" s="84"/>
      <c r="D519" s="85"/>
      <c r="E519" s="84"/>
      <c r="F519" s="84"/>
      <c r="G519" s="84"/>
    </row>
    <row r="520" spans="2:7" x14ac:dyDescent="0.2">
      <c r="B520" s="84"/>
      <c r="C520" s="84"/>
      <c r="D520" s="85"/>
      <c r="E520" s="84"/>
      <c r="F520" s="84"/>
      <c r="G520" s="84"/>
    </row>
    <row r="521" spans="2:7" x14ac:dyDescent="0.2">
      <c r="B521" s="84"/>
      <c r="C521" s="84"/>
      <c r="D521" s="85"/>
      <c r="E521" s="84"/>
      <c r="F521" s="84"/>
      <c r="G521" s="84"/>
    </row>
    <row r="522" spans="2:7" x14ac:dyDescent="0.2">
      <c r="B522" s="84"/>
      <c r="C522" s="84"/>
      <c r="D522" s="85"/>
      <c r="E522" s="84"/>
      <c r="F522" s="84"/>
      <c r="G522" s="84"/>
    </row>
    <row r="523" spans="2:7" x14ac:dyDescent="0.2">
      <c r="B523" s="84"/>
      <c r="C523" s="84"/>
      <c r="D523" s="85"/>
      <c r="E523" s="84"/>
      <c r="F523" s="84"/>
      <c r="G523" s="84"/>
    </row>
    <row r="524" spans="2:7" x14ac:dyDescent="0.2">
      <c r="B524" s="84"/>
      <c r="C524" s="84"/>
      <c r="D524" s="85"/>
      <c r="E524" s="84"/>
      <c r="F524" s="84"/>
      <c r="G524" s="84"/>
    </row>
    <row r="525" spans="2:7" x14ac:dyDescent="0.2">
      <c r="B525" s="84"/>
      <c r="C525" s="84"/>
      <c r="D525" s="85"/>
      <c r="E525" s="84"/>
      <c r="F525" s="84"/>
      <c r="G525" s="84"/>
    </row>
    <row r="526" spans="2:7" x14ac:dyDescent="0.2">
      <c r="B526" s="84"/>
      <c r="C526" s="84"/>
      <c r="D526" s="85"/>
      <c r="E526" s="84"/>
      <c r="F526" s="84"/>
      <c r="G526" s="84"/>
    </row>
    <row r="527" spans="2:7" x14ac:dyDescent="0.2">
      <c r="B527" s="84"/>
      <c r="C527" s="84"/>
      <c r="D527" s="85"/>
      <c r="E527" s="84"/>
      <c r="F527" s="84"/>
      <c r="G527" s="84"/>
    </row>
    <row r="528" spans="2:7" x14ac:dyDescent="0.2">
      <c r="B528" s="84"/>
      <c r="C528" s="84"/>
      <c r="D528" s="85"/>
      <c r="E528" s="84"/>
      <c r="F528" s="84"/>
      <c r="G528" s="84"/>
    </row>
    <row r="529" spans="2:7" x14ac:dyDescent="0.2">
      <c r="B529" s="84"/>
      <c r="C529" s="84"/>
      <c r="D529" s="85"/>
      <c r="E529" s="84"/>
      <c r="F529" s="84"/>
      <c r="G529" s="84"/>
    </row>
    <row r="530" spans="2:7" x14ac:dyDescent="0.2">
      <c r="B530" s="84"/>
      <c r="C530" s="84"/>
      <c r="D530" s="85"/>
      <c r="E530" s="84"/>
      <c r="F530" s="84"/>
      <c r="G530" s="84"/>
    </row>
    <row r="531" spans="2:7" x14ac:dyDescent="0.2">
      <c r="B531" s="84"/>
      <c r="C531" s="84"/>
      <c r="D531" s="85"/>
      <c r="E531" s="84"/>
      <c r="F531" s="84"/>
      <c r="G531" s="84"/>
    </row>
    <row r="532" spans="2:7" x14ac:dyDescent="0.2">
      <c r="B532" s="84"/>
      <c r="C532" s="84"/>
      <c r="D532" s="85"/>
      <c r="E532" s="84"/>
      <c r="F532" s="84"/>
      <c r="G532" s="84"/>
    </row>
    <row r="533" spans="2:7" x14ac:dyDescent="0.2">
      <c r="B533" s="84"/>
      <c r="C533" s="84"/>
      <c r="D533" s="85"/>
      <c r="E533" s="84"/>
      <c r="F533" s="84"/>
      <c r="G533" s="84"/>
    </row>
    <row r="534" spans="2:7" x14ac:dyDescent="0.2">
      <c r="B534" s="84"/>
      <c r="C534" s="84"/>
      <c r="D534" s="85"/>
      <c r="E534" s="84"/>
      <c r="F534" s="84"/>
      <c r="G534" s="84"/>
    </row>
    <row r="535" spans="2:7" x14ac:dyDescent="0.2">
      <c r="B535" s="84"/>
      <c r="C535" s="84"/>
      <c r="D535" s="85"/>
      <c r="E535" s="84"/>
      <c r="F535" s="84"/>
      <c r="G535" s="84"/>
    </row>
    <row r="536" spans="2:7" x14ac:dyDescent="0.2">
      <c r="B536" s="84"/>
      <c r="C536" s="84"/>
      <c r="D536" s="85"/>
      <c r="E536" s="84"/>
      <c r="F536" s="84"/>
      <c r="G536" s="84"/>
    </row>
    <row r="537" spans="2:7" x14ac:dyDescent="0.2">
      <c r="B537" s="84"/>
      <c r="C537" s="84"/>
      <c r="D537" s="85"/>
      <c r="E537" s="84"/>
      <c r="F537" s="84"/>
      <c r="G537" s="84"/>
    </row>
    <row r="538" spans="2:7" x14ac:dyDescent="0.2">
      <c r="B538" s="84"/>
      <c r="C538" s="84"/>
      <c r="D538" s="85"/>
      <c r="E538" s="84"/>
      <c r="F538" s="84"/>
      <c r="G538" s="84"/>
    </row>
    <row r="539" spans="2:7" x14ac:dyDescent="0.2">
      <c r="B539" s="84"/>
      <c r="C539" s="84"/>
      <c r="D539" s="85"/>
      <c r="E539" s="84"/>
      <c r="F539" s="84"/>
      <c r="G539" s="84"/>
    </row>
    <row r="540" spans="2:7" x14ac:dyDescent="0.2">
      <c r="B540" s="84"/>
      <c r="C540" s="84"/>
      <c r="D540" s="85"/>
      <c r="E540" s="84"/>
      <c r="F540" s="84"/>
      <c r="G540" s="84"/>
    </row>
    <row r="541" spans="2:7" x14ac:dyDescent="0.2">
      <c r="B541" s="84"/>
      <c r="C541" s="84"/>
      <c r="D541" s="85"/>
      <c r="E541" s="84"/>
      <c r="F541" s="84"/>
      <c r="G541" s="84"/>
    </row>
    <row r="542" spans="2:7" x14ac:dyDescent="0.2">
      <c r="B542" s="84"/>
      <c r="C542" s="84"/>
      <c r="D542" s="85"/>
      <c r="E542" s="84"/>
      <c r="F542" s="84"/>
      <c r="G542" s="84"/>
    </row>
    <row r="543" spans="2:7" x14ac:dyDescent="0.2">
      <c r="B543" s="84"/>
      <c r="C543" s="84"/>
      <c r="D543" s="85"/>
      <c r="E543" s="84"/>
      <c r="F543" s="84"/>
      <c r="G543" s="84"/>
    </row>
    <row r="544" spans="2:7" x14ac:dyDescent="0.2">
      <c r="B544" s="84"/>
      <c r="C544" s="84"/>
      <c r="D544" s="85"/>
      <c r="E544" s="84"/>
      <c r="F544" s="84"/>
      <c r="G544" s="84"/>
    </row>
    <row r="545" spans="2:7" x14ac:dyDescent="0.2">
      <c r="B545" s="84"/>
      <c r="C545" s="84"/>
      <c r="D545" s="85"/>
      <c r="E545" s="84"/>
      <c r="F545" s="84"/>
      <c r="G545" s="84"/>
    </row>
    <row r="546" spans="2:7" x14ac:dyDescent="0.2">
      <c r="B546" s="84"/>
      <c r="C546" s="84"/>
      <c r="D546" s="85"/>
      <c r="E546" s="84"/>
      <c r="F546" s="84"/>
      <c r="G546" s="84"/>
    </row>
    <row r="547" spans="2:7" x14ac:dyDescent="0.2">
      <c r="B547" s="84"/>
      <c r="C547" s="84"/>
      <c r="D547" s="85"/>
      <c r="E547" s="84"/>
      <c r="F547" s="84"/>
      <c r="G547" s="84"/>
    </row>
    <row r="548" spans="2:7" x14ac:dyDescent="0.2">
      <c r="B548" s="84"/>
      <c r="C548" s="84"/>
      <c r="D548" s="85"/>
      <c r="E548" s="84"/>
      <c r="F548" s="84"/>
      <c r="G548" s="84"/>
    </row>
    <row r="549" spans="2:7" x14ac:dyDescent="0.2">
      <c r="B549" s="84"/>
      <c r="C549" s="84"/>
      <c r="D549" s="85"/>
      <c r="E549" s="84"/>
      <c r="F549" s="84"/>
      <c r="G549" s="84"/>
    </row>
    <row r="550" spans="2:7" x14ac:dyDescent="0.2">
      <c r="B550" s="84"/>
      <c r="C550" s="84"/>
      <c r="D550" s="85"/>
      <c r="E550" s="84"/>
      <c r="F550" s="84"/>
      <c r="G550" s="84"/>
    </row>
    <row r="551" spans="2:7" x14ac:dyDescent="0.2">
      <c r="B551" s="84"/>
      <c r="C551" s="84"/>
      <c r="D551" s="85"/>
      <c r="E551" s="84"/>
      <c r="F551" s="84"/>
      <c r="G551" s="84"/>
    </row>
    <row r="552" spans="2:7" x14ac:dyDescent="0.2">
      <c r="B552" s="84"/>
      <c r="C552" s="84"/>
      <c r="D552" s="85"/>
      <c r="E552" s="84"/>
      <c r="F552" s="84"/>
      <c r="G552" s="84"/>
    </row>
    <row r="553" spans="2:7" x14ac:dyDescent="0.2">
      <c r="B553" s="84"/>
      <c r="C553" s="84"/>
      <c r="D553" s="85"/>
      <c r="E553" s="84"/>
      <c r="F553" s="84"/>
      <c r="G553" s="84"/>
    </row>
    <row r="554" spans="2:7" x14ac:dyDescent="0.2">
      <c r="B554" s="84"/>
      <c r="C554" s="84"/>
      <c r="D554" s="85"/>
      <c r="E554" s="84"/>
      <c r="F554" s="84"/>
      <c r="G554" s="84"/>
    </row>
    <row r="555" spans="2:7" x14ac:dyDescent="0.2">
      <c r="B555" s="84"/>
      <c r="C555" s="84"/>
      <c r="D555" s="85"/>
      <c r="E555" s="84"/>
      <c r="F555" s="84"/>
      <c r="G555" s="84"/>
    </row>
    <row r="556" spans="2:7" x14ac:dyDescent="0.2">
      <c r="B556" s="84"/>
      <c r="C556" s="84"/>
      <c r="D556" s="85"/>
      <c r="E556" s="84"/>
      <c r="F556" s="84"/>
      <c r="G556" s="84"/>
    </row>
    <row r="557" spans="2:7" x14ac:dyDescent="0.2">
      <c r="B557" s="84"/>
      <c r="C557" s="84"/>
      <c r="D557" s="85"/>
      <c r="E557" s="84"/>
      <c r="F557" s="84"/>
      <c r="G557" s="84"/>
    </row>
    <row r="558" spans="2:7" x14ac:dyDescent="0.2">
      <c r="B558" s="84"/>
      <c r="C558" s="84"/>
      <c r="D558" s="85"/>
      <c r="E558" s="84"/>
      <c r="F558" s="84"/>
      <c r="G558" s="84"/>
    </row>
    <row r="559" spans="2:7" x14ac:dyDescent="0.2">
      <c r="B559" s="84"/>
      <c r="C559" s="84"/>
      <c r="D559" s="85"/>
      <c r="E559" s="84"/>
      <c r="F559" s="84"/>
      <c r="G559" s="84"/>
    </row>
    <row r="560" spans="2:7" x14ac:dyDescent="0.2">
      <c r="B560" s="84"/>
      <c r="C560" s="84"/>
      <c r="D560" s="85"/>
      <c r="E560" s="84"/>
      <c r="F560" s="84"/>
      <c r="G560" s="84"/>
    </row>
    <row r="561" spans="2:7" x14ac:dyDescent="0.2">
      <c r="B561" s="84"/>
      <c r="C561" s="84"/>
      <c r="D561" s="85"/>
      <c r="E561" s="84"/>
      <c r="F561" s="84"/>
      <c r="G561" s="84"/>
    </row>
    <row r="562" spans="2:7" x14ac:dyDescent="0.2">
      <c r="B562" s="84"/>
      <c r="C562" s="84"/>
      <c r="D562" s="85"/>
      <c r="E562" s="84"/>
      <c r="F562" s="84"/>
      <c r="G562" s="84"/>
    </row>
    <row r="563" spans="2:7" x14ac:dyDescent="0.2">
      <c r="B563" s="84"/>
      <c r="C563" s="84"/>
      <c r="D563" s="85"/>
      <c r="E563" s="84"/>
      <c r="F563" s="84"/>
      <c r="G563" s="84"/>
    </row>
    <row r="564" spans="2:7" x14ac:dyDescent="0.2">
      <c r="B564" s="84"/>
      <c r="C564" s="84"/>
      <c r="D564" s="85"/>
      <c r="E564" s="84"/>
      <c r="F564" s="84"/>
      <c r="G564" s="84"/>
    </row>
    <row r="565" spans="2:7" x14ac:dyDescent="0.2">
      <c r="B565" s="84"/>
      <c r="C565" s="84"/>
      <c r="D565" s="85"/>
      <c r="E565" s="84"/>
      <c r="F565" s="84"/>
      <c r="G565" s="84"/>
    </row>
    <row r="566" spans="2:7" x14ac:dyDescent="0.2">
      <c r="B566" s="84"/>
      <c r="C566" s="84"/>
      <c r="D566" s="85"/>
      <c r="E566" s="84"/>
      <c r="F566" s="84"/>
      <c r="G566" s="84"/>
    </row>
    <row r="567" spans="2:7" x14ac:dyDescent="0.2">
      <c r="B567" s="84"/>
      <c r="C567" s="84"/>
      <c r="D567" s="85"/>
      <c r="E567" s="84"/>
      <c r="F567" s="84"/>
      <c r="G567" s="84"/>
    </row>
    <row r="568" spans="2:7" x14ac:dyDescent="0.2">
      <c r="B568" s="84"/>
      <c r="C568" s="84"/>
      <c r="D568" s="85"/>
      <c r="E568" s="84"/>
      <c r="F568" s="84"/>
      <c r="G568" s="84"/>
    </row>
    <row r="569" spans="2:7" x14ac:dyDescent="0.2">
      <c r="B569" s="84"/>
      <c r="C569" s="84"/>
      <c r="D569" s="85"/>
      <c r="E569" s="84"/>
      <c r="F569" s="84"/>
      <c r="G569" s="84"/>
    </row>
    <row r="570" spans="2:7" x14ac:dyDescent="0.2">
      <c r="B570" s="84"/>
      <c r="C570" s="84"/>
      <c r="D570" s="85"/>
      <c r="E570" s="84"/>
      <c r="F570" s="84"/>
      <c r="G570" s="84"/>
    </row>
    <row r="571" spans="2:7" x14ac:dyDescent="0.2">
      <c r="B571" s="84"/>
      <c r="C571" s="84"/>
      <c r="D571" s="85"/>
      <c r="E571" s="84"/>
      <c r="F571" s="84"/>
      <c r="G571" s="84"/>
    </row>
    <row r="572" spans="2:7" x14ac:dyDescent="0.2">
      <c r="B572" s="84"/>
      <c r="C572" s="84"/>
      <c r="D572" s="85"/>
      <c r="E572" s="84"/>
      <c r="F572" s="84"/>
      <c r="G572" s="84"/>
    </row>
    <row r="573" spans="2:7" x14ac:dyDescent="0.2">
      <c r="B573" s="84"/>
      <c r="C573" s="84"/>
      <c r="D573" s="85"/>
      <c r="E573" s="84"/>
      <c r="F573" s="84"/>
      <c r="G573" s="84"/>
    </row>
    <row r="574" spans="2:7" x14ac:dyDescent="0.2">
      <c r="B574" s="84"/>
      <c r="C574" s="84"/>
      <c r="D574" s="85"/>
      <c r="E574" s="84"/>
      <c r="F574" s="84"/>
      <c r="G574" s="84"/>
    </row>
    <row r="575" spans="2:7" x14ac:dyDescent="0.2">
      <c r="B575" s="84"/>
      <c r="C575" s="84"/>
      <c r="D575" s="85"/>
      <c r="E575" s="84"/>
      <c r="F575" s="84"/>
      <c r="G575" s="84"/>
    </row>
    <row r="576" spans="2:7" x14ac:dyDescent="0.2">
      <c r="B576" s="84"/>
      <c r="C576" s="84"/>
      <c r="D576" s="85"/>
      <c r="E576" s="84"/>
      <c r="F576" s="84"/>
      <c r="G576" s="84"/>
    </row>
    <row r="577" spans="2:7" x14ac:dyDescent="0.2">
      <c r="B577" s="84"/>
      <c r="C577" s="84"/>
      <c r="D577" s="85"/>
      <c r="E577" s="84"/>
      <c r="F577" s="84"/>
      <c r="G577" s="84"/>
    </row>
    <row r="578" spans="2:7" x14ac:dyDescent="0.2">
      <c r="B578" s="84"/>
      <c r="C578" s="84"/>
      <c r="D578" s="85"/>
      <c r="E578" s="84"/>
      <c r="F578" s="84"/>
      <c r="G578" s="84"/>
    </row>
    <row r="579" spans="2:7" x14ac:dyDescent="0.2">
      <c r="B579" s="84"/>
      <c r="C579" s="84"/>
      <c r="D579" s="85"/>
      <c r="E579" s="84"/>
      <c r="F579" s="84"/>
      <c r="G579" s="84"/>
    </row>
    <row r="580" spans="2:7" x14ac:dyDescent="0.2">
      <c r="B580" s="84"/>
      <c r="C580" s="84"/>
      <c r="D580" s="85"/>
      <c r="E580" s="84"/>
      <c r="F580" s="84"/>
      <c r="G580" s="84"/>
    </row>
    <row r="581" spans="2:7" x14ac:dyDescent="0.2">
      <c r="B581" s="84"/>
      <c r="C581" s="84"/>
      <c r="D581" s="85"/>
      <c r="E581" s="84"/>
      <c r="F581" s="84"/>
      <c r="G581" s="84"/>
    </row>
    <row r="582" spans="2:7" x14ac:dyDescent="0.2">
      <c r="B582" s="84"/>
      <c r="C582" s="84"/>
      <c r="D582" s="85"/>
      <c r="E582" s="84"/>
      <c r="F582" s="84"/>
      <c r="G582" s="84"/>
    </row>
    <row r="583" spans="2:7" x14ac:dyDescent="0.2">
      <c r="B583" s="84"/>
      <c r="C583" s="84"/>
      <c r="D583" s="85"/>
      <c r="E583" s="84"/>
      <c r="F583" s="84"/>
      <c r="G583" s="84"/>
    </row>
    <row r="584" spans="2:7" x14ac:dyDescent="0.2">
      <c r="B584" s="84"/>
      <c r="C584" s="84"/>
      <c r="D584" s="85"/>
      <c r="E584" s="84"/>
      <c r="F584" s="84"/>
      <c r="G584" s="84"/>
    </row>
    <row r="585" spans="2:7" x14ac:dyDescent="0.2">
      <c r="B585" s="84"/>
      <c r="C585" s="84"/>
      <c r="D585" s="85"/>
      <c r="E585" s="84"/>
      <c r="F585" s="84"/>
      <c r="G585" s="84"/>
    </row>
    <row r="586" spans="2:7" x14ac:dyDescent="0.2">
      <c r="B586" s="84"/>
      <c r="C586" s="84"/>
      <c r="D586" s="85"/>
      <c r="E586" s="84"/>
      <c r="F586" s="84"/>
      <c r="G586" s="84"/>
    </row>
    <row r="587" spans="2:7" x14ac:dyDescent="0.2">
      <c r="B587" s="84"/>
      <c r="C587" s="84"/>
      <c r="D587" s="85"/>
      <c r="E587" s="84"/>
      <c r="F587" s="84"/>
      <c r="G587" s="84"/>
    </row>
    <row r="588" spans="2:7" x14ac:dyDescent="0.2">
      <c r="B588" s="84"/>
      <c r="C588" s="84"/>
      <c r="D588" s="85"/>
      <c r="E588" s="84"/>
      <c r="F588" s="84"/>
      <c r="G588" s="84"/>
    </row>
    <row r="589" spans="2:7" x14ac:dyDescent="0.2">
      <c r="B589" s="84"/>
      <c r="C589" s="84"/>
      <c r="D589" s="85"/>
      <c r="E589" s="84"/>
      <c r="F589" s="84"/>
      <c r="G589" s="84"/>
    </row>
    <row r="590" spans="2:7" x14ac:dyDescent="0.2">
      <c r="B590" s="84"/>
      <c r="C590" s="84"/>
      <c r="D590" s="85"/>
      <c r="E590" s="84"/>
      <c r="F590" s="84"/>
      <c r="G590" s="84"/>
    </row>
    <row r="591" spans="2:7" x14ac:dyDescent="0.2">
      <c r="B591" s="84"/>
      <c r="C591" s="84"/>
      <c r="D591" s="85"/>
      <c r="E591" s="84"/>
      <c r="F591" s="84"/>
      <c r="G591" s="84"/>
    </row>
    <row r="592" spans="2:7" x14ac:dyDescent="0.2">
      <c r="B592" s="84"/>
      <c r="C592" s="84"/>
      <c r="D592" s="85"/>
      <c r="E592" s="84"/>
      <c r="F592" s="84"/>
      <c r="G592" s="84"/>
    </row>
    <row r="593" spans="2:7" x14ac:dyDescent="0.2">
      <c r="B593" s="84"/>
      <c r="C593" s="84"/>
      <c r="D593" s="85"/>
      <c r="E593" s="84"/>
      <c r="F593" s="84"/>
      <c r="G593" s="84"/>
    </row>
    <row r="594" spans="2:7" x14ac:dyDescent="0.2">
      <c r="B594" s="84"/>
      <c r="C594" s="84"/>
      <c r="D594" s="85"/>
      <c r="E594" s="84"/>
      <c r="F594" s="84"/>
      <c r="G594" s="84"/>
    </row>
    <row r="595" spans="2:7" x14ac:dyDescent="0.2">
      <c r="B595" s="84"/>
      <c r="C595" s="84"/>
      <c r="D595" s="85"/>
      <c r="E595" s="84"/>
      <c r="F595" s="84"/>
      <c r="G595" s="84"/>
    </row>
    <row r="596" spans="2:7" x14ac:dyDescent="0.2">
      <c r="B596" s="84"/>
      <c r="C596" s="84"/>
      <c r="D596" s="85"/>
      <c r="E596" s="84"/>
      <c r="F596" s="84"/>
      <c r="G596" s="84"/>
    </row>
    <row r="597" spans="2:7" x14ac:dyDescent="0.2">
      <c r="B597" s="84"/>
      <c r="C597" s="84"/>
      <c r="D597" s="85"/>
      <c r="E597" s="84"/>
      <c r="F597" s="84"/>
      <c r="G597" s="84"/>
    </row>
    <row r="598" spans="2:7" x14ac:dyDescent="0.2">
      <c r="B598" s="84"/>
      <c r="C598" s="84"/>
      <c r="D598" s="85"/>
      <c r="E598" s="84"/>
      <c r="F598" s="84"/>
      <c r="G598" s="84"/>
    </row>
    <row r="599" spans="2:7" x14ac:dyDescent="0.2">
      <c r="B599" s="84"/>
      <c r="C599" s="84"/>
      <c r="D599" s="85"/>
      <c r="E599" s="84"/>
      <c r="F599" s="84"/>
      <c r="G599" s="84"/>
    </row>
    <row r="600" spans="2:7" x14ac:dyDescent="0.2">
      <c r="B600" s="84"/>
      <c r="C600" s="84"/>
      <c r="D600" s="85"/>
      <c r="E600" s="84"/>
      <c r="F600" s="84"/>
      <c r="G600" s="84"/>
    </row>
    <row r="601" spans="2:7" x14ac:dyDescent="0.2">
      <c r="B601" s="84"/>
      <c r="C601" s="84"/>
      <c r="D601" s="85"/>
      <c r="E601" s="84"/>
      <c r="F601" s="84"/>
      <c r="G601" s="84"/>
    </row>
    <row r="602" spans="2:7" x14ac:dyDescent="0.2">
      <c r="B602" s="84"/>
      <c r="C602" s="84"/>
      <c r="D602" s="85"/>
      <c r="E602" s="84"/>
      <c r="F602" s="84"/>
      <c r="G602" s="84"/>
    </row>
    <row r="603" spans="2:7" x14ac:dyDescent="0.2">
      <c r="B603" s="84"/>
      <c r="C603" s="84"/>
      <c r="D603" s="85"/>
      <c r="E603" s="84"/>
      <c r="F603" s="84"/>
      <c r="G603" s="84"/>
    </row>
    <row r="604" spans="2:7" x14ac:dyDescent="0.2">
      <c r="B604" s="84"/>
      <c r="C604" s="84"/>
      <c r="D604" s="85"/>
      <c r="E604" s="84"/>
      <c r="F604" s="84"/>
      <c r="G604" s="84"/>
    </row>
    <row r="605" spans="2:7" x14ac:dyDescent="0.2">
      <c r="B605" s="84"/>
      <c r="C605" s="84"/>
      <c r="D605" s="85"/>
      <c r="E605" s="84"/>
      <c r="F605" s="84"/>
      <c r="G605" s="84"/>
    </row>
    <row r="606" spans="2:7" x14ac:dyDescent="0.2">
      <c r="B606" s="84"/>
      <c r="C606" s="84"/>
      <c r="D606" s="85"/>
      <c r="E606" s="84"/>
      <c r="F606" s="84"/>
      <c r="G606" s="84"/>
    </row>
    <row r="607" spans="2:7" x14ac:dyDescent="0.2">
      <c r="B607" s="84"/>
      <c r="C607" s="84"/>
      <c r="D607" s="85"/>
      <c r="E607" s="84"/>
      <c r="F607" s="84"/>
      <c r="G607" s="84"/>
    </row>
    <row r="608" spans="2:7" x14ac:dyDescent="0.2">
      <c r="B608" s="84"/>
      <c r="C608" s="84"/>
      <c r="D608" s="85"/>
      <c r="E608" s="84"/>
      <c r="F608" s="84"/>
      <c r="G608" s="84"/>
    </row>
    <row r="609" spans="2:7" x14ac:dyDescent="0.2">
      <c r="B609" s="84"/>
      <c r="C609" s="84"/>
      <c r="D609" s="85"/>
      <c r="E609" s="84"/>
      <c r="F609" s="84"/>
      <c r="G609" s="84"/>
    </row>
    <row r="610" spans="2:7" x14ac:dyDescent="0.2">
      <c r="B610" s="84"/>
      <c r="C610" s="84"/>
      <c r="D610" s="85"/>
      <c r="E610" s="84"/>
      <c r="F610" s="84"/>
      <c r="G610" s="84"/>
    </row>
    <row r="611" spans="2:7" x14ac:dyDescent="0.2">
      <c r="B611" s="84"/>
      <c r="C611" s="84"/>
      <c r="D611" s="85"/>
      <c r="E611" s="84"/>
      <c r="F611" s="84"/>
      <c r="G611" s="84"/>
    </row>
    <row r="612" spans="2:7" x14ac:dyDescent="0.2">
      <c r="B612" s="84"/>
      <c r="C612" s="84"/>
      <c r="D612" s="85"/>
      <c r="E612" s="84"/>
      <c r="F612" s="84"/>
      <c r="G612" s="84"/>
    </row>
    <row r="613" spans="2:7" x14ac:dyDescent="0.2">
      <c r="B613" s="84"/>
      <c r="C613" s="84"/>
      <c r="D613" s="85"/>
      <c r="E613" s="84"/>
      <c r="F613" s="84"/>
      <c r="G613" s="84"/>
    </row>
    <row r="614" spans="2:7" x14ac:dyDescent="0.2">
      <c r="B614" s="84"/>
      <c r="C614" s="84"/>
      <c r="D614" s="85"/>
      <c r="E614" s="84"/>
      <c r="F614" s="84"/>
      <c r="G614" s="84"/>
    </row>
    <row r="615" spans="2:7" x14ac:dyDescent="0.2">
      <c r="B615" s="84"/>
      <c r="C615" s="84"/>
      <c r="D615" s="85"/>
      <c r="E615" s="84"/>
      <c r="F615" s="84"/>
      <c r="G615" s="84"/>
    </row>
    <row r="616" spans="2:7" x14ac:dyDescent="0.2">
      <c r="B616" s="84"/>
      <c r="C616" s="84"/>
      <c r="D616" s="85"/>
      <c r="E616" s="84"/>
      <c r="F616" s="84"/>
      <c r="G616" s="84"/>
    </row>
    <row r="617" spans="2:7" x14ac:dyDescent="0.2">
      <c r="B617" s="84"/>
      <c r="C617" s="84"/>
      <c r="D617" s="85"/>
      <c r="E617" s="84"/>
      <c r="F617" s="84"/>
      <c r="G617" s="84"/>
    </row>
    <row r="618" spans="2:7" x14ac:dyDescent="0.2">
      <c r="B618" s="84"/>
      <c r="C618" s="84"/>
      <c r="D618" s="85"/>
      <c r="E618" s="84"/>
      <c r="F618" s="84"/>
      <c r="G618" s="84"/>
    </row>
    <row r="619" spans="2:7" x14ac:dyDescent="0.2">
      <c r="B619" s="84"/>
      <c r="C619" s="84"/>
      <c r="D619" s="85"/>
      <c r="E619" s="84"/>
      <c r="F619" s="84"/>
      <c r="G619" s="84"/>
    </row>
    <row r="620" spans="2:7" x14ac:dyDescent="0.2">
      <c r="B620" s="84"/>
      <c r="C620" s="84"/>
      <c r="D620" s="85"/>
      <c r="E620" s="84"/>
      <c r="F620" s="84"/>
      <c r="G620" s="84"/>
    </row>
    <row r="621" spans="2:7" x14ac:dyDescent="0.2">
      <c r="B621" s="84"/>
      <c r="C621" s="84"/>
      <c r="D621" s="85"/>
      <c r="E621" s="84"/>
      <c r="F621" s="84"/>
      <c r="G621" s="84"/>
    </row>
    <row r="622" spans="2:7" x14ac:dyDescent="0.2">
      <c r="B622" s="84"/>
      <c r="C622" s="84"/>
      <c r="D622" s="85"/>
      <c r="E622" s="84"/>
      <c r="F622" s="84"/>
      <c r="G622" s="84"/>
    </row>
    <row r="623" spans="2:7" x14ac:dyDescent="0.2">
      <c r="B623" s="84"/>
      <c r="C623" s="84"/>
      <c r="D623" s="85"/>
      <c r="E623" s="84"/>
      <c r="F623" s="84"/>
      <c r="G623" s="84"/>
    </row>
    <row r="624" spans="2:7" x14ac:dyDescent="0.2">
      <c r="B624" s="84"/>
      <c r="C624" s="84"/>
      <c r="D624" s="85"/>
      <c r="E624" s="84"/>
      <c r="F624" s="84"/>
      <c r="G624" s="84"/>
    </row>
    <row r="625" spans="2:7" x14ac:dyDescent="0.2">
      <c r="B625" s="84"/>
      <c r="C625" s="84"/>
      <c r="D625" s="85"/>
      <c r="E625" s="84"/>
      <c r="F625" s="84"/>
      <c r="G625" s="84"/>
    </row>
    <row r="626" spans="2:7" x14ac:dyDescent="0.2">
      <c r="B626" s="84"/>
      <c r="C626" s="84"/>
      <c r="D626" s="85"/>
      <c r="E626" s="84"/>
      <c r="F626" s="84"/>
      <c r="G626" s="84"/>
    </row>
    <row r="627" spans="2:7" x14ac:dyDescent="0.2">
      <c r="B627" s="84"/>
      <c r="C627" s="84"/>
      <c r="D627" s="85"/>
      <c r="E627" s="84"/>
      <c r="F627" s="84"/>
      <c r="G627" s="84"/>
    </row>
    <row r="628" spans="2:7" x14ac:dyDescent="0.2">
      <c r="B628" s="84"/>
      <c r="C628" s="84"/>
      <c r="D628" s="85"/>
      <c r="E628" s="84"/>
      <c r="F628" s="84"/>
      <c r="G628" s="84"/>
    </row>
    <row r="629" spans="2:7" x14ac:dyDescent="0.2">
      <c r="B629" s="84"/>
      <c r="C629" s="84"/>
      <c r="D629" s="85"/>
      <c r="E629" s="84"/>
      <c r="F629" s="84"/>
      <c r="G629" s="84"/>
    </row>
    <row r="630" spans="2:7" x14ac:dyDescent="0.2">
      <c r="B630" s="84"/>
      <c r="C630" s="84"/>
      <c r="D630" s="85"/>
      <c r="E630" s="84"/>
      <c r="F630" s="84"/>
      <c r="G630" s="84"/>
    </row>
    <row r="631" spans="2:7" x14ac:dyDescent="0.2">
      <c r="B631" s="84"/>
      <c r="C631" s="84"/>
      <c r="D631" s="85"/>
      <c r="E631" s="84"/>
      <c r="F631" s="84"/>
      <c r="G631" s="84"/>
    </row>
    <row r="632" spans="2:7" x14ac:dyDescent="0.2">
      <c r="B632" s="84"/>
      <c r="C632" s="84"/>
      <c r="D632" s="85"/>
      <c r="E632" s="84"/>
      <c r="F632" s="84"/>
      <c r="G632" s="84"/>
    </row>
    <row r="633" spans="2:7" x14ac:dyDescent="0.2">
      <c r="B633" s="84"/>
      <c r="C633" s="84"/>
      <c r="D633" s="85"/>
      <c r="E633" s="84"/>
      <c r="F633" s="84"/>
      <c r="G633" s="84"/>
    </row>
    <row r="634" spans="2:7" x14ac:dyDescent="0.2">
      <c r="B634" s="84"/>
      <c r="C634" s="84"/>
      <c r="D634" s="85"/>
      <c r="E634" s="84"/>
      <c r="F634" s="84"/>
      <c r="G634" s="84"/>
    </row>
    <row r="635" spans="2:7" x14ac:dyDescent="0.2">
      <c r="B635" s="84"/>
      <c r="C635" s="84"/>
      <c r="D635" s="85"/>
      <c r="E635" s="84"/>
      <c r="F635" s="84"/>
      <c r="G635" s="84"/>
    </row>
    <row r="636" spans="2:7" x14ac:dyDescent="0.2">
      <c r="B636" s="84"/>
      <c r="C636" s="84"/>
      <c r="D636" s="85"/>
      <c r="E636" s="84"/>
      <c r="F636" s="84"/>
      <c r="G636" s="84"/>
    </row>
    <row r="637" spans="2:7" x14ac:dyDescent="0.2">
      <c r="B637" s="84"/>
      <c r="C637" s="84"/>
      <c r="D637" s="85"/>
      <c r="E637" s="84"/>
      <c r="F637" s="84"/>
      <c r="G637" s="84"/>
    </row>
    <row r="638" spans="2:7" x14ac:dyDescent="0.2">
      <c r="B638" s="84"/>
      <c r="C638" s="84"/>
      <c r="D638" s="85"/>
      <c r="E638" s="84"/>
      <c r="F638" s="84"/>
      <c r="G638" s="84"/>
    </row>
    <row r="639" spans="2:7" x14ac:dyDescent="0.2">
      <c r="B639" s="84"/>
      <c r="C639" s="84"/>
      <c r="D639" s="85"/>
      <c r="E639" s="84"/>
      <c r="F639" s="84"/>
      <c r="G639" s="84"/>
    </row>
    <row r="640" spans="2:7" x14ac:dyDescent="0.2">
      <c r="B640" s="84"/>
      <c r="C640" s="84"/>
      <c r="D640" s="85"/>
      <c r="E640" s="84"/>
      <c r="F640" s="84"/>
      <c r="G640" s="84"/>
    </row>
    <row r="641" spans="2:7" x14ac:dyDescent="0.2">
      <c r="B641" s="84"/>
      <c r="C641" s="84"/>
      <c r="D641" s="85"/>
      <c r="E641" s="84"/>
      <c r="F641" s="84"/>
      <c r="G641" s="84"/>
    </row>
    <row r="642" spans="2:7" x14ac:dyDescent="0.2">
      <c r="B642" s="84"/>
      <c r="C642" s="84"/>
      <c r="D642" s="85"/>
      <c r="E642" s="84"/>
      <c r="F642" s="84"/>
      <c r="G642" s="84"/>
    </row>
    <row r="643" spans="2:7" x14ac:dyDescent="0.2">
      <c r="B643" s="84"/>
      <c r="C643" s="84"/>
      <c r="D643" s="85"/>
      <c r="E643" s="84"/>
      <c r="F643" s="84"/>
      <c r="G643" s="84"/>
    </row>
    <row r="644" spans="2:7" x14ac:dyDescent="0.2">
      <c r="B644" s="84"/>
      <c r="C644" s="84"/>
      <c r="D644" s="85"/>
      <c r="E644" s="84"/>
      <c r="F644" s="84"/>
      <c r="G644" s="84"/>
    </row>
    <row r="645" spans="2:7" x14ac:dyDescent="0.2">
      <c r="B645" s="84"/>
      <c r="C645" s="84"/>
      <c r="D645" s="85"/>
      <c r="E645" s="84"/>
      <c r="F645" s="84"/>
      <c r="G645" s="84"/>
    </row>
    <row r="646" spans="2:7" x14ac:dyDescent="0.2">
      <c r="B646" s="84"/>
      <c r="C646" s="84"/>
      <c r="D646" s="85"/>
      <c r="E646" s="84"/>
      <c r="F646" s="84"/>
      <c r="G646" s="84"/>
    </row>
    <row r="647" spans="2:7" x14ac:dyDescent="0.2">
      <c r="B647" s="84"/>
      <c r="C647" s="84"/>
      <c r="D647" s="85"/>
      <c r="E647" s="84"/>
      <c r="F647" s="84"/>
      <c r="G647" s="84"/>
    </row>
    <row r="648" spans="2:7" x14ac:dyDescent="0.2">
      <c r="B648" s="84"/>
      <c r="C648" s="84"/>
      <c r="D648" s="85"/>
      <c r="E648" s="84"/>
      <c r="F648" s="84"/>
      <c r="G648" s="84"/>
    </row>
    <row r="649" spans="2:7" x14ac:dyDescent="0.2">
      <c r="B649" s="84"/>
      <c r="C649" s="84"/>
      <c r="D649" s="85"/>
      <c r="E649" s="84"/>
      <c r="F649" s="84"/>
      <c r="G649" s="84"/>
    </row>
    <row r="650" spans="2:7" x14ac:dyDescent="0.2">
      <c r="B650" s="84"/>
      <c r="C650" s="84"/>
      <c r="D650" s="85"/>
      <c r="E650" s="84"/>
      <c r="F650" s="84"/>
      <c r="G650" s="84"/>
    </row>
    <row r="651" spans="2:7" x14ac:dyDescent="0.2">
      <c r="B651" s="84"/>
      <c r="C651" s="84"/>
      <c r="D651" s="85"/>
      <c r="E651" s="84"/>
      <c r="F651" s="84"/>
      <c r="G651" s="84"/>
    </row>
    <row r="652" spans="2:7" x14ac:dyDescent="0.2">
      <c r="B652" s="84"/>
      <c r="C652" s="84"/>
      <c r="D652" s="85"/>
      <c r="E652" s="84"/>
      <c r="F652" s="84"/>
      <c r="G652" s="84"/>
    </row>
    <row r="653" spans="2:7" x14ac:dyDescent="0.2">
      <c r="B653" s="84"/>
      <c r="C653" s="84"/>
      <c r="D653" s="85"/>
      <c r="E653" s="84"/>
      <c r="F653" s="84"/>
      <c r="G653" s="84"/>
    </row>
    <row r="654" spans="2:7" x14ac:dyDescent="0.2">
      <c r="B654" s="84"/>
      <c r="C654" s="84"/>
      <c r="D654" s="85"/>
      <c r="E654" s="84"/>
      <c r="F654" s="84"/>
      <c r="G654" s="84"/>
    </row>
    <row r="655" spans="2:7" x14ac:dyDescent="0.2">
      <c r="B655" s="84"/>
      <c r="C655" s="84"/>
      <c r="D655" s="85"/>
      <c r="E655" s="84"/>
      <c r="F655" s="84"/>
      <c r="G655" s="84"/>
    </row>
    <row r="656" spans="2:7" x14ac:dyDescent="0.2">
      <c r="B656" s="84"/>
      <c r="C656" s="84"/>
      <c r="D656" s="85"/>
      <c r="E656" s="84"/>
      <c r="F656" s="84"/>
      <c r="G656" s="84"/>
    </row>
    <row r="657" spans="2:7" x14ac:dyDescent="0.2">
      <c r="B657" s="84"/>
      <c r="C657" s="84"/>
      <c r="D657" s="85"/>
      <c r="E657" s="84"/>
      <c r="F657" s="84"/>
      <c r="G657" s="84"/>
    </row>
    <row r="658" spans="2:7" x14ac:dyDescent="0.2">
      <c r="B658" s="84"/>
      <c r="C658" s="84"/>
      <c r="D658" s="85"/>
      <c r="E658" s="84"/>
      <c r="F658" s="84"/>
      <c r="G658" s="84"/>
    </row>
    <row r="659" spans="2:7" x14ac:dyDescent="0.2">
      <c r="B659" s="84"/>
      <c r="C659" s="84"/>
      <c r="D659" s="85"/>
      <c r="E659" s="84"/>
      <c r="F659" s="84"/>
      <c r="G659" s="84"/>
    </row>
    <row r="660" spans="2:7" x14ac:dyDescent="0.2">
      <c r="B660" s="84"/>
      <c r="C660" s="84"/>
      <c r="D660" s="85"/>
      <c r="E660" s="84"/>
      <c r="F660" s="84"/>
      <c r="G660" s="84"/>
    </row>
    <row r="661" spans="2:7" x14ac:dyDescent="0.2">
      <c r="B661" s="84"/>
      <c r="C661" s="84"/>
      <c r="D661" s="85"/>
      <c r="E661" s="84"/>
      <c r="F661" s="84"/>
      <c r="G661" s="84"/>
    </row>
    <row r="662" spans="2:7" x14ac:dyDescent="0.2">
      <c r="B662" s="84"/>
      <c r="C662" s="84"/>
      <c r="D662" s="85"/>
      <c r="E662" s="84"/>
      <c r="F662" s="84"/>
      <c r="G662" s="84"/>
    </row>
    <row r="663" spans="2:7" x14ac:dyDescent="0.2">
      <c r="B663" s="84"/>
      <c r="C663" s="84"/>
      <c r="D663" s="85"/>
      <c r="E663" s="84"/>
      <c r="F663" s="84"/>
      <c r="G663" s="84"/>
    </row>
    <row r="664" spans="2:7" x14ac:dyDescent="0.2">
      <c r="B664" s="84"/>
      <c r="C664" s="84"/>
      <c r="D664" s="85"/>
      <c r="E664" s="84"/>
      <c r="F664" s="84"/>
      <c r="G664" s="84"/>
    </row>
    <row r="665" spans="2:7" x14ac:dyDescent="0.2">
      <c r="B665" s="84"/>
      <c r="C665" s="84"/>
      <c r="D665" s="85"/>
      <c r="E665" s="84"/>
      <c r="F665" s="84"/>
      <c r="G665" s="84"/>
    </row>
    <row r="666" spans="2:7" x14ac:dyDescent="0.2">
      <c r="B666" s="84"/>
      <c r="C666" s="84"/>
      <c r="D666" s="85"/>
      <c r="E666" s="84"/>
      <c r="F666" s="84"/>
      <c r="G666" s="84"/>
    </row>
    <row r="667" spans="2:7" x14ac:dyDescent="0.2">
      <c r="B667" s="84"/>
      <c r="C667" s="84"/>
      <c r="D667" s="85"/>
      <c r="E667" s="84"/>
      <c r="F667" s="84"/>
      <c r="G667" s="84"/>
    </row>
    <row r="668" spans="2:7" x14ac:dyDescent="0.2">
      <c r="B668" s="84"/>
      <c r="C668" s="84"/>
      <c r="D668" s="85"/>
      <c r="E668" s="84"/>
      <c r="F668" s="84"/>
      <c r="G668" s="84"/>
    </row>
    <row r="669" spans="2:7" x14ac:dyDescent="0.2">
      <c r="B669" s="84"/>
      <c r="C669" s="84"/>
      <c r="D669" s="85"/>
      <c r="E669" s="84"/>
      <c r="F669" s="84"/>
      <c r="G669" s="84"/>
    </row>
    <row r="670" spans="2:7" x14ac:dyDescent="0.2">
      <c r="B670" s="84"/>
      <c r="C670" s="84"/>
      <c r="D670" s="85"/>
      <c r="E670" s="84"/>
      <c r="F670" s="84"/>
      <c r="G670" s="84"/>
    </row>
    <row r="671" spans="2:7" x14ac:dyDescent="0.2">
      <c r="B671" s="84"/>
      <c r="C671" s="84"/>
      <c r="D671" s="85"/>
      <c r="E671" s="84"/>
      <c r="F671" s="84"/>
      <c r="G671" s="84"/>
    </row>
    <row r="672" spans="2:7" x14ac:dyDescent="0.2">
      <c r="B672" s="84"/>
      <c r="C672" s="84"/>
      <c r="D672" s="85"/>
      <c r="E672" s="84"/>
      <c r="F672" s="84"/>
      <c r="G672" s="84"/>
    </row>
    <row r="673" spans="2:7" x14ac:dyDescent="0.2">
      <c r="B673" s="84"/>
      <c r="C673" s="84"/>
      <c r="D673" s="85"/>
      <c r="E673" s="84"/>
      <c r="F673" s="84"/>
      <c r="G673" s="84"/>
    </row>
    <row r="674" spans="2:7" x14ac:dyDescent="0.2">
      <c r="B674" s="84"/>
      <c r="C674" s="84"/>
      <c r="D674" s="85"/>
      <c r="E674" s="84"/>
      <c r="F674" s="84"/>
      <c r="G674" s="84"/>
    </row>
    <row r="675" spans="2:7" x14ac:dyDescent="0.2">
      <c r="B675" s="84"/>
      <c r="C675" s="84"/>
      <c r="D675" s="85"/>
      <c r="E675" s="84"/>
      <c r="F675" s="84"/>
      <c r="G675" s="84"/>
    </row>
    <row r="676" spans="2:7" x14ac:dyDescent="0.2">
      <c r="B676" s="84"/>
      <c r="C676" s="84"/>
      <c r="D676" s="85"/>
      <c r="E676" s="84"/>
      <c r="F676" s="84"/>
      <c r="G676" s="84"/>
    </row>
    <row r="677" spans="2:7" x14ac:dyDescent="0.2">
      <c r="B677" s="84"/>
      <c r="C677" s="84"/>
      <c r="D677" s="85"/>
      <c r="E677" s="84"/>
      <c r="F677" s="84"/>
      <c r="G677" s="84"/>
    </row>
    <row r="678" spans="2:7" x14ac:dyDescent="0.2">
      <c r="B678" s="84"/>
      <c r="C678" s="84"/>
      <c r="D678" s="85"/>
      <c r="E678" s="84"/>
      <c r="F678" s="84"/>
      <c r="G678" s="84"/>
    </row>
    <row r="679" spans="2:7" x14ac:dyDescent="0.2">
      <c r="B679" s="84"/>
      <c r="C679" s="84"/>
      <c r="D679" s="85"/>
      <c r="E679" s="84"/>
      <c r="F679" s="84"/>
      <c r="G679" s="84"/>
    </row>
    <row r="680" spans="2:7" x14ac:dyDescent="0.2">
      <c r="B680" s="84"/>
      <c r="C680" s="84"/>
      <c r="D680" s="85"/>
      <c r="E680" s="84"/>
      <c r="F680" s="84"/>
      <c r="G680" s="84"/>
    </row>
    <row r="681" spans="2:7" x14ac:dyDescent="0.2">
      <c r="B681" s="84"/>
      <c r="C681" s="84"/>
      <c r="D681" s="85"/>
      <c r="E681" s="84"/>
      <c r="F681" s="84"/>
      <c r="G681" s="84"/>
    </row>
    <row r="682" spans="2:7" x14ac:dyDescent="0.2">
      <c r="B682" s="84"/>
      <c r="C682" s="84"/>
      <c r="D682" s="85"/>
      <c r="E682" s="84"/>
      <c r="F682" s="84"/>
      <c r="G682" s="84"/>
    </row>
    <row r="683" spans="2:7" x14ac:dyDescent="0.2">
      <c r="B683" s="84"/>
      <c r="C683" s="84"/>
      <c r="D683" s="85"/>
      <c r="E683" s="84"/>
      <c r="F683" s="84"/>
      <c r="G683" s="84"/>
    </row>
    <row r="684" spans="2:7" x14ac:dyDescent="0.2">
      <c r="B684" s="84"/>
      <c r="C684" s="84"/>
      <c r="D684" s="85"/>
      <c r="E684" s="84"/>
      <c r="F684" s="84"/>
      <c r="G684" s="84"/>
    </row>
    <row r="685" spans="2:7" x14ac:dyDescent="0.2">
      <c r="B685" s="84"/>
      <c r="C685" s="84"/>
      <c r="D685" s="85"/>
      <c r="E685" s="84"/>
      <c r="F685" s="84"/>
      <c r="G685" s="84"/>
    </row>
    <row r="686" spans="2:7" x14ac:dyDescent="0.2">
      <c r="B686" s="84"/>
      <c r="C686" s="84"/>
      <c r="D686" s="85"/>
      <c r="E686" s="84"/>
      <c r="F686" s="84"/>
      <c r="G686" s="84"/>
    </row>
    <row r="687" spans="2:7" x14ac:dyDescent="0.2">
      <c r="B687" s="84"/>
      <c r="C687" s="84"/>
      <c r="D687" s="85"/>
      <c r="E687" s="84"/>
      <c r="F687" s="84"/>
      <c r="G687" s="84"/>
    </row>
    <row r="688" spans="2:7" x14ac:dyDescent="0.2">
      <c r="B688" s="84"/>
      <c r="C688" s="84"/>
      <c r="D688" s="85"/>
      <c r="E688" s="84"/>
      <c r="F688" s="84"/>
      <c r="G688" s="84"/>
    </row>
    <row r="689" spans="2:7" x14ac:dyDescent="0.2">
      <c r="B689" s="84"/>
      <c r="C689" s="84"/>
      <c r="D689" s="85"/>
      <c r="E689" s="84"/>
      <c r="F689" s="84"/>
      <c r="G689" s="84"/>
    </row>
    <row r="690" spans="2:7" x14ac:dyDescent="0.2">
      <c r="B690" s="84"/>
      <c r="C690" s="84"/>
      <c r="D690" s="85"/>
      <c r="E690" s="84"/>
      <c r="F690" s="84"/>
      <c r="G690" s="84"/>
    </row>
    <row r="691" spans="2:7" x14ac:dyDescent="0.2">
      <c r="B691" s="84"/>
      <c r="C691" s="84"/>
      <c r="D691" s="85"/>
      <c r="E691" s="84"/>
      <c r="F691" s="84"/>
      <c r="G691" s="84"/>
    </row>
    <row r="692" spans="2:7" x14ac:dyDescent="0.2">
      <c r="B692" s="84"/>
      <c r="C692" s="84"/>
      <c r="D692" s="85"/>
      <c r="E692" s="84"/>
      <c r="F692" s="84"/>
      <c r="G692" s="84"/>
    </row>
    <row r="693" spans="2:7" x14ac:dyDescent="0.2">
      <c r="B693" s="84"/>
      <c r="C693" s="84"/>
      <c r="D693" s="85"/>
      <c r="E693" s="84"/>
      <c r="F693" s="84"/>
      <c r="G693" s="84"/>
    </row>
    <row r="694" spans="2:7" x14ac:dyDescent="0.2">
      <c r="B694" s="84"/>
      <c r="C694" s="84"/>
      <c r="D694" s="85"/>
      <c r="E694" s="84"/>
      <c r="F694" s="84"/>
      <c r="G694" s="84"/>
    </row>
    <row r="695" spans="2:7" x14ac:dyDescent="0.2">
      <c r="B695" s="84"/>
      <c r="C695" s="84"/>
      <c r="D695" s="85"/>
      <c r="E695" s="84"/>
      <c r="F695" s="84"/>
      <c r="G695" s="84"/>
    </row>
    <row r="696" spans="2:7" x14ac:dyDescent="0.2">
      <c r="B696" s="84"/>
      <c r="C696" s="84"/>
      <c r="D696" s="85"/>
      <c r="E696" s="84"/>
      <c r="F696" s="84"/>
      <c r="G696" s="84"/>
    </row>
    <row r="697" spans="2:7" x14ac:dyDescent="0.2">
      <c r="B697" s="84"/>
      <c r="C697" s="84"/>
      <c r="D697" s="85"/>
      <c r="E697" s="84"/>
      <c r="F697" s="84"/>
      <c r="G697" s="84"/>
    </row>
    <row r="698" spans="2:7" x14ac:dyDescent="0.2">
      <c r="B698" s="84"/>
      <c r="C698" s="84"/>
      <c r="D698" s="85"/>
      <c r="E698" s="84"/>
      <c r="F698" s="84"/>
      <c r="G698" s="84"/>
    </row>
    <row r="699" spans="2:7" x14ac:dyDescent="0.2">
      <c r="B699" s="84"/>
      <c r="C699" s="84"/>
      <c r="D699" s="85"/>
      <c r="E699" s="84"/>
      <c r="F699" s="84"/>
      <c r="G699" s="84"/>
    </row>
    <row r="700" spans="2:7" x14ac:dyDescent="0.2">
      <c r="B700" s="84"/>
      <c r="C700" s="84"/>
      <c r="D700" s="85"/>
      <c r="E700" s="84"/>
      <c r="F700" s="84"/>
      <c r="G700" s="84"/>
    </row>
    <row r="701" spans="2:7" x14ac:dyDescent="0.2">
      <c r="B701" s="84"/>
      <c r="C701" s="84"/>
      <c r="D701" s="85"/>
      <c r="E701" s="84"/>
      <c r="F701" s="84"/>
      <c r="G701" s="84"/>
    </row>
    <row r="702" spans="2:7" x14ac:dyDescent="0.2">
      <c r="B702" s="84"/>
      <c r="C702" s="84"/>
      <c r="D702" s="85"/>
      <c r="E702" s="84"/>
      <c r="F702" s="84"/>
      <c r="G702" s="84"/>
    </row>
    <row r="703" spans="2:7" x14ac:dyDescent="0.2">
      <c r="B703" s="84"/>
      <c r="C703" s="84"/>
      <c r="D703" s="85"/>
      <c r="E703" s="84"/>
      <c r="F703" s="84"/>
      <c r="G703" s="84"/>
    </row>
    <row r="704" spans="2:7" x14ac:dyDescent="0.2">
      <c r="B704" s="84"/>
      <c r="C704" s="84"/>
      <c r="D704" s="85"/>
      <c r="E704" s="84"/>
      <c r="F704" s="84"/>
      <c r="G704" s="84"/>
    </row>
    <row r="705" spans="2:7" x14ac:dyDescent="0.2">
      <c r="B705" s="84"/>
      <c r="C705" s="84"/>
      <c r="D705" s="85"/>
      <c r="E705" s="84"/>
      <c r="F705" s="84"/>
      <c r="G705" s="84"/>
    </row>
    <row r="706" spans="2:7" x14ac:dyDescent="0.2">
      <c r="B706" s="84"/>
      <c r="C706" s="84"/>
      <c r="D706" s="85"/>
      <c r="E706" s="84"/>
      <c r="F706" s="84"/>
      <c r="G706" s="84"/>
    </row>
    <row r="707" spans="2:7" x14ac:dyDescent="0.2">
      <c r="B707" s="84"/>
      <c r="C707" s="84"/>
      <c r="D707" s="85"/>
      <c r="E707" s="84"/>
      <c r="F707" s="84"/>
      <c r="G707" s="84"/>
    </row>
    <row r="708" spans="2:7" x14ac:dyDescent="0.2">
      <c r="B708" s="84"/>
      <c r="C708" s="84"/>
      <c r="D708" s="85"/>
      <c r="E708" s="84"/>
      <c r="F708" s="84"/>
      <c r="G708" s="84"/>
    </row>
    <row r="709" spans="2:7" x14ac:dyDescent="0.2">
      <c r="B709" s="84"/>
      <c r="C709" s="84"/>
      <c r="D709" s="85"/>
      <c r="E709" s="84"/>
      <c r="F709" s="84"/>
      <c r="G709" s="84"/>
    </row>
    <row r="710" spans="2:7" x14ac:dyDescent="0.2">
      <c r="B710" s="84"/>
      <c r="C710" s="84"/>
      <c r="D710" s="85"/>
      <c r="E710" s="84"/>
      <c r="F710" s="84"/>
      <c r="G710" s="84"/>
    </row>
    <row r="711" spans="2:7" x14ac:dyDescent="0.2">
      <c r="B711" s="84"/>
      <c r="C711" s="84"/>
      <c r="D711" s="85"/>
      <c r="E711" s="84"/>
      <c r="F711" s="84"/>
      <c r="G711" s="84"/>
    </row>
    <row r="712" spans="2:7" x14ac:dyDescent="0.2">
      <c r="B712" s="84"/>
      <c r="C712" s="84"/>
      <c r="D712" s="85"/>
      <c r="E712" s="84"/>
      <c r="F712" s="84"/>
      <c r="G712" s="84"/>
    </row>
    <row r="713" spans="2:7" x14ac:dyDescent="0.2">
      <c r="B713" s="84"/>
      <c r="C713" s="84"/>
      <c r="D713" s="85"/>
      <c r="E713" s="84"/>
      <c r="F713" s="84"/>
      <c r="G713" s="84"/>
    </row>
    <row r="714" spans="2:7" x14ac:dyDescent="0.2">
      <c r="B714" s="84"/>
      <c r="C714" s="84"/>
      <c r="D714" s="85"/>
      <c r="E714" s="84"/>
      <c r="F714" s="84"/>
      <c r="G714" s="84"/>
    </row>
    <row r="715" spans="2:7" x14ac:dyDescent="0.2">
      <c r="B715" s="84"/>
      <c r="C715" s="84"/>
      <c r="D715" s="85"/>
      <c r="E715" s="84"/>
      <c r="F715" s="84"/>
      <c r="G715" s="84"/>
    </row>
    <row r="716" spans="2:7" x14ac:dyDescent="0.2">
      <c r="B716" s="84"/>
      <c r="C716" s="84"/>
      <c r="D716" s="85"/>
      <c r="E716" s="84"/>
      <c r="F716" s="84"/>
      <c r="G716" s="84"/>
    </row>
    <row r="717" spans="2:7" x14ac:dyDescent="0.2">
      <c r="B717" s="84"/>
      <c r="C717" s="84"/>
      <c r="D717" s="85"/>
      <c r="E717" s="84"/>
      <c r="F717" s="84"/>
      <c r="G717" s="84"/>
    </row>
    <row r="718" spans="2:7" x14ac:dyDescent="0.2">
      <c r="B718" s="84"/>
      <c r="C718" s="84"/>
      <c r="D718" s="85"/>
      <c r="E718" s="84"/>
      <c r="F718" s="84"/>
      <c r="G718" s="84"/>
    </row>
    <row r="719" spans="2:7" x14ac:dyDescent="0.2">
      <c r="B719" s="84"/>
      <c r="C719" s="84"/>
      <c r="D719" s="85"/>
      <c r="E719" s="84"/>
      <c r="F719" s="84"/>
      <c r="G719" s="84"/>
    </row>
    <row r="720" spans="2:7" x14ac:dyDescent="0.2">
      <c r="B720" s="84"/>
      <c r="C720" s="84"/>
      <c r="D720" s="85"/>
      <c r="E720" s="84"/>
      <c r="F720" s="84"/>
      <c r="G720" s="84"/>
    </row>
    <row r="721" spans="2:7" x14ac:dyDescent="0.2">
      <c r="B721" s="84"/>
      <c r="C721" s="84"/>
      <c r="D721" s="85"/>
      <c r="E721" s="84"/>
      <c r="F721" s="84"/>
      <c r="G721" s="84"/>
    </row>
    <row r="722" spans="2:7" x14ac:dyDescent="0.2">
      <c r="B722" s="84"/>
      <c r="C722" s="84"/>
      <c r="D722" s="85"/>
      <c r="E722" s="84"/>
      <c r="F722" s="84"/>
      <c r="G722" s="84"/>
    </row>
    <row r="723" spans="2:7" x14ac:dyDescent="0.2">
      <c r="B723" s="84"/>
      <c r="C723" s="84"/>
      <c r="D723" s="85"/>
      <c r="E723" s="84"/>
      <c r="F723" s="84"/>
      <c r="G723" s="84"/>
    </row>
    <row r="724" spans="2:7" x14ac:dyDescent="0.2">
      <c r="B724" s="84"/>
      <c r="C724" s="84"/>
      <c r="D724" s="85"/>
      <c r="E724" s="84"/>
      <c r="F724" s="84"/>
      <c r="G724" s="84"/>
    </row>
    <row r="725" spans="2:7" x14ac:dyDescent="0.2">
      <c r="B725" s="84"/>
      <c r="C725" s="84"/>
      <c r="D725" s="85"/>
      <c r="E725" s="84"/>
      <c r="F725" s="84"/>
      <c r="G725" s="84"/>
    </row>
    <row r="726" spans="2:7" x14ac:dyDescent="0.2">
      <c r="B726" s="84"/>
      <c r="C726" s="84"/>
      <c r="D726" s="85"/>
      <c r="E726" s="84"/>
      <c r="F726" s="84"/>
      <c r="G726" s="84"/>
    </row>
    <row r="727" spans="2:7" x14ac:dyDescent="0.2">
      <c r="B727" s="84"/>
      <c r="C727" s="84"/>
      <c r="D727" s="85"/>
      <c r="E727" s="84"/>
      <c r="F727" s="84"/>
      <c r="G727" s="84"/>
    </row>
    <row r="728" spans="2:7" x14ac:dyDescent="0.2">
      <c r="B728" s="84"/>
      <c r="C728" s="84"/>
      <c r="D728" s="85"/>
      <c r="E728" s="84"/>
      <c r="F728" s="84"/>
      <c r="G728" s="84"/>
    </row>
    <row r="729" spans="2:7" x14ac:dyDescent="0.2">
      <c r="B729" s="84"/>
      <c r="C729" s="84"/>
      <c r="D729" s="85"/>
      <c r="E729" s="84"/>
      <c r="F729" s="84"/>
      <c r="G729" s="84"/>
    </row>
    <row r="730" spans="2:7" x14ac:dyDescent="0.2">
      <c r="B730" s="84"/>
      <c r="C730" s="84"/>
      <c r="D730" s="85"/>
      <c r="E730" s="84"/>
      <c r="F730" s="84"/>
      <c r="G730" s="84"/>
    </row>
    <row r="731" spans="2:7" x14ac:dyDescent="0.2">
      <c r="B731" s="84"/>
      <c r="C731" s="84"/>
      <c r="D731" s="85"/>
      <c r="E731" s="84"/>
      <c r="F731" s="84"/>
      <c r="G731" s="84"/>
    </row>
    <row r="732" spans="2:7" x14ac:dyDescent="0.2">
      <c r="B732" s="84"/>
      <c r="C732" s="84"/>
      <c r="D732" s="85"/>
      <c r="E732" s="84"/>
      <c r="F732" s="84"/>
      <c r="G732" s="84"/>
    </row>
    <row r="733" spans="2:7" x14ac:dyDescent="0.2">
      <c r="B733" s="84"/>
      <c r="C733" s="84"/>
      <c r="D733" s="85"/>
      <c r="E733" s="84"/>
      <c r="F733" s="84"/>
      <c r="G733" s="84"/>
    </row>
    <row r="734" spans="2:7" x14ac:dyDescent="0.2">
      <c r="B734" s="84"/>
      <c r="C734" s="84"/>
      <c r="D734" s="85"/>
      <c r="E734" s="84"/>
      <c r="F734" s="84"/>
      <c r="G734" s="84"/>
    </row>
    <row r="735" spans="2:7" x14ac:dyDescent="0.2">
      <c r="B735" s="84"/>
      <c r="C735" s="84"/>
      <c r="D735" s="85"/>
      <c r="E735" s="84"/>
      <c r="F735" s="84"/>
      <c r="G735" s="84"/>
    </row>
    <row r="736" spans="2:7" x14ac:dyDescent="0.2">
      <c r="B736" s="84"/>
      <c r="C736" s="84"/>
      <c r="D736" s="85"/>
      <c r="E736" s="84"/>
      <c r="F736" s="84"/>
      <c r="G736" s="84"/>
    </row>
    <row r="737" spans="2:7" x14ac:dyDescent="0.2">
      <c r="B737" s="84"/>
      <c r="C737" s="84"/>
      <c r="D737" s="85"/>
      <c r="E737" s="84"/>
      <c r="F737" s="84"/>
      <c r="G737" s="84"/>
    </row>
    <row r="738" spans="2:7" x14ac:dyDescent="0.2">
      <c r="B738" s="84"/>
      <c r="C738" s="84"/>
      <c r="D738" s="85"/>
      <c r="E738" s="84"/>
      <c r="F738" s="84"/>
      <c r="G738" s="84"/>
    </row>
    <row r="739" spans="2:7" x14ac:dyDescent="0.2">
      <c r="B739" s="84"/>
      <c r="C739" s="84"/>
      <c r="D739" s="85"/>
      <c r="E739" s="84"/>
      <c r="F739" s="84"/>
      <c r="G739" s="84"/>
    </row>
    <row r="740" spans="2:7" x14ac:dyDescent="0.2">
      <c r="B740" s="84"/>
      <c r="C740" s="84"/>
      <c r="D740" s="85"/>
      <c r="E740" s="84"/>
      <c r="F740" s="84"/>
      <c r="G740" s="84"/>
    </row>
    <row r="741" spans="2:7" x14ac:dyDescent="0.2">
      <c r="B741" s="84"/>
      <c r="C741" s="84"/>
      <c r="D741" s="85"/>
      <c r="E741" s="84"/>
      <c r="F741" s="84"/>
      <c r="G741" s="84"/>
    </row>
    <row r="742" spans="2:7" x14ac:dyDescent="0.2">
      <c r="B742" s="84"/>
      <c r="C742" s="84"/>
      <c r="D742" s="85"/>
      <c r="E742" s="84"/>
      <c r="F742" s="84"/>
      <c r="G742" s="84"/>
    </row>
    <row r="743" spans="2:7" x14ac:dyDescent="0.2">
      <c r="B743" s="84"/>
      <c r="C743" s="84"/>
      <c r="D743" s="85"/>
      <c r="E743" s="84"/>
      <c r="F743" s="84"/>
      <c r="G743" s="84"/>
    </row>
    <row r="744" spans="2:7" x14ac:dyDescent="0.2">
      <c r="B744" s="84"/>
      <c r="C744" s="84"/>
      <c r="D744" s="85"/>
      <c r="E744" s="84"/>
      <c r="F744" s="84"/>
      <c r="G744" s="84"/>
    </row>
    <row r="745" spans="2:7" x14ac:dyDescent="0.2">
      <c r="B745" s="84"/>
      <c r="C745" s="84"/>
      <c r="D745" s="85"/>
      <c r="E745" s="84"/>
      <c r="F745" s="84"/>
      <c r="G745" s="84"/>
    </row>
    <row r="746" spans="2:7" x14ac:dyDescent="0.2">
      <c r="B746" s="84"/>
      <c r="C746" s="84"/>
      <c r="D746" s="85"/>
      <c r="E746" s="84"/>
      <c r="F746" s="84"/>
      <c r="G746" s="84"/>
    </row>
    <row r="747" spans="2:7" x14ac:dyDescent="0.2">
      <c r="B747" s="84"/>
      <c r="C747" s="84"/>
      <c r="D747" s="85"/>
      <c r="E747" s="84"/>
      <c r="F747" s="84"/>
      <c r="G747" s="84"/>
    </row>
    <row r="748" spans="2:7" x14ac:dyDescent="0.2">
      <c r="B748" s="84"/>
      <c r="C748" s="84"/>
      <c r="D748" s="85"/>
      <c r="E748" s="84"/>
      <c r="F748" s="84"/>
      <c r="G748" s="84"/>
    </row>
    <row r="749" spans="2:7" x14ac:dyDescent="0.2">
      <c r="B749" s="84"/>
      <c r="C749" s="84"/>
      <c r="D749" s="85"/>
      <c r="E749" s="84"/>
      <c r="F749" s="84"/>
      <c r="G749" s="84"/>
    </row>
    <row r="750" spans="2:7" x14ac:dyDescent="0.2">
      <c r="B750" s="84"/>
      <c r="C750" s="84"/>
      <c r="D750" s="85"/>
      <c r="E750" s="84"/>
      <c r="F750" s="84"/>
      <c r="G750" s="84"/>
    </row>
    <row r="751" spans="2:7" x14ac:dyDescent="0.2">
      <c r="B751" s="84"/>
      <c r="C751" s="84"/>
      <c r="D751" s="85"/>
      <c r="E751" s="84"/>
      <c r="F751" s="84"/>
      <c r="G751" s="84"/>
    </row>
    <row r="752" spans="2:7" x14ac:dyDescent="0.2">
      <c r="B752" s="84"/>
      <c r="C752" s="84"/>
      <c r="D752" s="85"/>
      <c r="E752" s="84"/>
      <c r="F752" s="84"/>
      <c r="G752" s="84"/>
    </row>
    <row r="753" spans="2:7" x14ac:dyDescent="0.2">
      <c r="B753" s="84"/>
      <c r="C753" s="84"/>
      <c r="D753" s="85"/>
      <c r="E753" s="84"/>
      <c r="F753" s="84"/>
      <c r="G753" s="84"/>
    </row>
    <row r="754" spans="2:7" x14ac:dyDescent="0.2">
      <c r="B754" s="84"/>
      <c r="C754" s="84"/>
      <c r="D754" s="85"/>
      <c r="E754" s="84"/>
      <c r="F754" s="84"/>
      <c r="G754" s="84"/>
    </row>
    <row r="755" spans="2:7" x14ac:dyDescent="0.2">
      <c r="B755" s="84"/>
      <c r="C755" s="84"/>
      <c r="D755" s="85"/>
      <c r="E755" s="84"/>
      <c r="F755" s="84"/>
      <c r="G755" s="84"/>
    </row>
    <row r="756" spans="2:7" x14ac:dyDescent="0.2">
      <c r="B756" s="84"/>
      <c r="C756" s="84"/>
      <c r="D756" s="85"/>
      <c r="E756" s="84"/>
      <c r="F756" s="84"/>
      <c r="G756" s="84"/>
    </row>
    <row r="757" spans="2:7" x14ac:dyDescent="0.2">
      <c r="B757" s="84"/>
      <c r="C757" s="84"/>
      <c r="D757" s="85"/>
      <c r="E757" s="84"/>
      <c r="F757" s="84"/>
      <c r="G757" s="84"/>
    </row>
    <row r="758" spans="2:7" x14ac:dyDescent="0.2">
      <c r="B758" s="84"/>
      <c r="C758" s="84"/>
      <c r="D758" s="85"/>
      <c r="E758" s="84"/>
      <c r="F758" s="84"/>
      <c r="G758" s="84"/>
    </row>
    <row r="759" spans="2:7" x14ac:dyDescent="0.2">
      <c r="B759" s="84"/>
      <c r="C759" s="84"/>
      <c r="D759" s="85"/>
      <c r="E759" s="84"/>
      <c r="F759" s="84"/>
      <c r="G759" s="84"/>
    </row>
    <row r="760" spans="2:7" x14ac:dyDescent="0.2">
      <c r="B760" s="84"/>
      <c r="C760" s="84"/>
      <c r="D760" s="85"/>
      <c r="E760" s="84"/>
      <c r="F760" s="84"/>
      <c r="G760" s="84"/>
    </row>
    <row r="761" spans="2:7" x14ac:dyDescent="0.2">
      <c r="B761" s="84"/>
      <c r="C761" s="84"/>
      <c r="D761" s="85"/>
      <c r="E761" s="84"/>
      <c r="F761" s="84"/>
      <c r="G761" s="84"/>
    </row>
    <row r="762" spans="2:7" x14ac:dyDescent="0.2">
      <c r="B762" s="84"/>
      <c r="C762" s="84"/>
      <c r="D762" s="85"/>
      <c r="E762" s="84"/>
      <c r="F762" s="84"/>
      <c r="G762" s="84"/>
    </row>
    <row r="763" spans="2:7" x14ac:dyDescent="0.2">
      <c r="B763" s="84"/>
      <c r="C763" s="84"/>
      <c r="D763" s="85"/>
      <c r="E763" s="84"/>
      <c r="F763" s="84"/>
      <c r="G763" s="84"/>
    </row>
    <row r="764" spans="2:7" x14ac:dyDescent="0.2">
      <c r="B764" s="84"/>
      <c r="C764" s="84"/>
      <c r="D764" s="85"/>
      <c r="E764" s="84"/>
      <c r="F764" s="84"/>
      <c r="G764" s="84"/>
    </row>
    <row r="765" spans="2:7" x14ac:dyDescent="0.2">
      <c r="B765" s="84"/>
      <c r="C765" s="84"/>
      <c r="D765" s="85"/>
      <c r="E765" s="84"/>
      <c r="F765" s="84"/>
      <c r="G765" s="84"/>
    </row>
    <row r="766" spans="2:7" x14ac:dyDescent="0.2">
      <c r="B766" s="84"/>
      <c r="C766" s="84"/>
      <c r="D766" s="85"/>
      <c r="E766" s="84"/>
      <c r="F766" s="84"/>
      <c r="G766" s="84"/>
    </row>
    <row r="767" spans="2:7" x14ac:dyDescent="0.2">
      <c r="B767" s="84"/>
      <c r="C767" s="84"/>
      <c r="D767" s="85"/>
      <c r="E767" s="84"/>
      <c r="F767" s="84"/>
      <c r="G767" s="84"/>
    </row>
    <row r="768" spans="2:7" x14ac:dyDescent="0.2">
      <c r="B768" s="84"/>
      <c r="C768" s="84"/>
      <c r="D768" s="85"/>
      <c r="E768" s="84"/>
      <c r="F768" s="84"/>
      <c r="G768" s="84"/>
    </row>
    <row r="769" spans="2:7" x14ac:dyDescent="0.2">
      <c r="B769" s="84"/>
      <c r="C769" s="84"/>
      <c r="D769" s="85"/>
      <c r="E769" s="84"/>
      <c r="F769" s="84"/>
      <c r="G769" s="84"/>
    </row>
    <row r="770" spans="2:7" x14ac:dyDescent="0.2">
      <c r="B770" s="84"/>
      <c r="C770" s="84"/>
      <c r="D770" s="85"/>
      <c r="E770" s="84"/>
      <c r="F770" s="84"/>
      <c r="G770" s="84"/>
    </row>
    <row r="771" spans="2:7" x14ac:dyDescent="0.2">
      <c r="B771" s="84"/>
      <c r="C771" s="84"/>
      <c r="D771" s="85"/>
      <c r="E771" s="84"/>
      <c r="F771" s="84"/>
      <c r="G771" s="84"/>
    </row>
    <row r="772" spans="2:7" x14ac:dyDescent="0.2">
      <c r="B772" s="84"/>
      <c r="C772" s="84"/>
      <c r="D772" s="85"/>
      <c r="E772" s="84"/>
      <c r="F772" s="84"/>
      <c r="G772" s="84"/>
    </row>
    <row r="773" spans="2:7" x14ac:dyDescent="0.2">
      <c r="B773" s="84"/>
      <c r="C773" s="84"/>
      <c r="D773" s="85"/>
      <c r="E773" s="84"/>
      <c r="F773" s="84"/>
      <c r="G773" s="84"/>
    </row>
    <row r="774" spans="2:7" x14ac:dyDescent="0.2">
      <c r="B774" s="84"/>
      <c r="C774" s="84"/>
      <c r="D774" s="85"/>
      <c r="E774" s="84"/>
      <c r="F774" s="84"/>
      <c r="G774" s="84"/>
    </row>
    <row r="775" spans="2:7" x14ac:dyDescent="0.2">
      <c r="B775" s="84"/>
      <c r="C775" s="84"/>
      <c r="D775" s="85"/>
      <c r="E775" s="84"/>
      <c r="F775" s="84"/>
      <c r="G775" s="84"/>
    </row>
    <row r="776" spans="2:7" x14ac:dyDescent="0.2">
      <c r="B776" s="84"/>
      <c r="C776" s="84"/>
      <c r="D776" s="85"/>
      <c r="E776" s="84"/>
      <c r="F776" s="84"/>
      <c r="G776" s="84"/>
    </row>
    <row r="777" spans="2:7" x14ac:dyDescent="0.2">
      <c r="B777" s="84"/>
      <c r="C777" s="84"/>
      <c r="D777" s="85"/>
      <c r="E777" s="84"/>
      <c r="F777" s="84"/>
      <c r="G777" s="84"/>
    </row>
    <row r="778" spans="2:7" x14ac:dyDescent="0.2">
      <c r="B778" s="84"/>
      <c r="C778" s="84"/>
      <c r="D778" s="85"/>
      <c r="E778" s="84"/>
      <c r="F778" s="84"/>
      <c r="G778" s="84"/>
    </row>
    <row r="779" spans="2:7" x14ac:dyDescent="0.2">
      <c r="B779" s="84"/>
      <c r="C779" s="84"/>
      <c r="D779" s="85"/>
      <c r="E779" s="84"/>
      <c r="F779" s="84"/>
      <c r="G779" s="84"/>
    </row>
    <row r="780" spans="2:7" x14ac:dyDescent="0.2">
      <c r="B780" s="84"/>
      <c r="C780" s="84"/>
      <c r="D780" s="85"/>
      <c r="E780" s="84"/>
      <c r="F780" s="84"/>
      <c r="G780" s="84"/>
    </row>
    <row r="781" spans="2:7" x14ac:dyDescent="0.2">
      <c r="B781" s="84"/>
      <c r="C781" s="84"/>
      <c r="D781" s="85"/>
      <c r="E781" s="84"/>
      <c r="F781" s="84"/>
      <c r="G781" s="84"/>
    </row>
    <row r="782" spans="2:7" x14ac:dyDescent="0.2">
      <c r="B782" s="84"/>
      <c r="C782" s="84"/>
      <c r="D782" s="85"/>
      <c r="E782" s="84"/>
      <c r="F782" s="84"/>
      <c r="G782" s="84"/>
    </row>
    <row r="783" spans="2:7" x14ac:dyDescent="0.2">
      <c r="B783" s="84"/>
      <c r="C783" s="84"/>
      <c r="D783" s="85"/>
      <c r="E783" s="84"/>
      <c r="F783" s="84"/>
      <c r="G783" s="84"/>
    </row>
    <row r="784" spans="2:7" x14ac:dyDescent="0.2">
      <c r="B784" s="84"/>
      <c r="C784" s="84"/>
      <c r="D784" s="85"/>
      <c r="E784" s="84"/>
      <c r="F784" s="84"/>
      <c r="G784" s="84"/>
    </row>
    <row r="785" spans="2:7" x14ac:dyDescent="0.2">
      <c r="B785" s="84"/>
      <c r="C785" s="84"/>
      <c r="D785" s="85"/>
      <c r="E785" s="84"/>
      <c r="F785" s="84"/>
      <c r="G785" s="84"/>
    </row>
    <row r="786" spans="2:7" x14ac:dyDescent="0.2">
      <c r="B786" s="84"/>
      <c r="C786" s="84"/>
      <c r="D786" s="85"/>
      <c r="E786" s="84"/>
      <c r="F786" s="84"/>
      <c r="G786" s="84"/>
    </row>
    <row r="787" spans="2:7" x14ac:dyDescent="0.2">
      <c r="B787" s="84"/>
      <c r="C787" s="84"/>
      <c r="D787" s="85"/>
      <c r="E787" s="84"/>
      <c r="F787" s="84"/>
      <c r="G787" s="84"/>
    </row>
    <row r="788" spans="2:7" x14ac:dyDescent="0.2">
      <c r="B788" s="84"/>
      <c r="C788" s="84"/>
      <c r="D788" s="85"/>
      <c r="E788" s="84"/>
      <c r="F788" s="84"/>
      <c r="G788" s="84"/>
    </row>
    <row r="789" spans="2:7" x14ac:dyDescent="0.2">
      <c r="B789" s="84"/>
      <c r="C789" s="84"/>
      <c r="D789" s="85"/>
      <c r="E789" s="84"/>
      <c r="F789" s="84"/>
      <c r="G789" s="84"/>
    </row>
    <row r="790" spans="2:7" x14ac:dyDescent="0.2">
      <c r="B790" s="84"/>
      <c r="C790" s="84"/>
      <c r="D790" s="85"/>
      <c r="E790" s="84"/>
      <c r="F790" s="84"/>
      <c r="G790" s="84"/>
    </row>
    <row r="791" spans="2:7" x14ac:dyDescent="0.2">
      <c r="B791" s="84"/>
      <c r="C791" s="84"/>
      <c r="D791" s="85"/>
      <c r="E791" s="84"/>
      <c r="F791" s="84"/>
      <c r="G791" s="84"/>
    </row>
    <row r="792" spans="2:7" x14ac:dyDescent="0.2">
      <c r="B792" s="84"/>
      <c r="C792" s="84"/>
      <c r="D792" s="85"/>
      <c r="E792" s="84"/>
      <c r="F792" s="84"/>
      <c r="G792" s="84"/>
    </row>
    <row r="793" spans="2:7" x14ac:dyDescent="0.2">
      <c r="B793" s="84"/>
      <c r="C793" s="84"/>
      <c r="D793" s="85"/>
      <c r="E793" s="84"/>
      <c r="F793" s="84"/>
      <c r="G793" s="84"/>
    </row>
    <row r="794" spans="2:7" x14ac:dyDescent="0.2">
      <c r="B794" s="84"/>
      <c r="C794" s="84"/>
      <c r="D794" s="85"/>
      <c r="E794" s="84"/>
      <c r="F794" s="84"/>
      <c r="G794" s="84"/>
    </row>
    <row r="795" spans="2:7" x14ac:dyDescent="0.2">
      <c r="B795" s="84"/>
      <c r="C795" s="84"/>
      <c r="D795" s="85"/>
      <c r="E795" s="84"/>
      <c r="F795" s="84"/>
      <c r="G795" s="84"/>
    </row>
    <row r="796" spans="2:7" x14ac:dyDescent="0.2">
      <c r="B796" s="84"/>
      <c r="C796" s="84"/>
      <c r="D796" s="85"/>
      <c r="E796" s="84"/>
      <c r="F796" s="84"/>
      <c r="G796" s="84"/>
    </row>
    <row r="797" spans="2:7" x14ac:dyDescent="0.2">
      <c r="B797" s="84"/>
      <c r="C797" s="84"/>
      <c r="D797" s="85"/>
      <c r="E797" s="84"/>
      <c r="F797" s="84"/>
      <c r="G797" s="84"/>
    </row>
    <row r="798" spans="2:7" x14ac:dyDescent="0.2">
      <c r="B798" s="84"/>
      <c r="C798" s="84"/>
      <c r="D798" s="85"/>
      <c r="E798" s="84"/>
      <c r="F798" s="84"/>
      <c r="G798" s="84"/>
    </row>
    <row r="799" spans="2:7" x14ac:dyDescent="0.2">
      <c r="B799" s="84"/>
      <c r="C799" s="84"/>
      <c r="D799" s="85"/>
      <c r="E799" s="84"/>
      <c r="F799" s="84"/>
      <c r="G799" s="84"/>
    </row>
    <row r="800" spans="2:7" x14ac:dyDescent="0.2">
      <c r="B800" s="84"/>
      <c r="C800" s="84"/>
      <c r="D800" s="85"/>
      <c r="E800" s="84"/>
      <c r="F800" s="84"/>
      <c r="G800" s="84"/>
    </row>
    <row r="801" spans="2:7" x14ac:dyDescent="0.2">
      <c r="B801" s="84"/>
      <c r="C801" s="84"/>
      <c r="D801" s="85"/>
      <c r="E801" s="84"/>
      <c r="F801" s="84"/>
      <c r="G801" s="84"/>
    </row>
    <row r="802" spans="2:7" x14ac:dyDescent="0.2">
      <c r="B802" s="84"/>
      <c r="C802" s="84"/>
      <c r="D802" s="85"/>
      <c r="E802" s="84"/>
      <c r="F802" s="84"/>
      <c r="G802" s="84"/>
    </row>
    <row r="803" spans="2:7" x14ac:dyDescent="0.2">
      <c r="B803" s="84"/>
      <c r="C803" s="84"/>
      <c r="D803" s="85"/>
      <c r="E803" s="84"/>
      <c r="F803" s="84"/>
      <c r="G803" s="84"/>
    </row>
    <row r="804" spans="2:7" x14ac:dyDescent="0.2">
      <c r="B804" s="84"/>
      <c r="C804" s="84"/>
      <c r="D804" s="85"/>
      <c r="E804" s="84"/>
      <c r="F804" s="84"/>
      <c r="G804" s="84"/>
    </row>
    <row r="805" spans="2:7" x14ac:dyDescent="0.2">
      <c r="B805" s="84"/>
      <c r="C805" s="84"/>
      <c r="D805" s="85"/>
      <c r="E805" s="84"/>
      <c r="F805" s="84"/>
      <c r="G805" s="84"/>
    </row>
    <row r="806" spans="2:7" x14ac:dyDescent="0.2">
      <c r="B806" s="84"/>
      <c r="C806" s="84"/>
      <c r="D806" s="85"/>
      <c r="E806" s="84"/>
      <c r="F806" s="84"/>
      <c r="G806" s="84"/>
    </row>
    <row r="807" spans="2:7" x14ac:dyDescent="0.2">
      <c r="B807" s="84"/>
      <c r="C807" s="84"/>
      <c r="D807" s="85"/>
      <c r="E807" s="84"/>
      <c r="F807" s="84"/>
      <c r="G807" s="84"/>
    </row>
    <row r="808" spans="2:7" x14ac:dyDescent="0.2">
      <c r="B808" s="84"/>
      <c r="C808" s="84"/>
      <c r="D808" s="85"/>
      <c r="E808" s="84"/>
      <c r="F808" s="84"/>
      <c r="G808" s="84"/>
    </row>
    <row r="809" spans="2:7" x14ac:dyDescent="0.2">
      <c r="B809" s="84"/>
      <c r="C809" s="84"/>
      <c r="D809" s="85"/>
      <c r="E809" s="84"/>
      <c r="F809" s="84"/>
      <c r="G809" s="84"/>
    </row>
    <row r="810" spans="2:7" x14ac:dyDescent="0.2">
      <c r="B810" s="84"/>
      <c r="C810" s="84"/>
      <c r="D810" s="85"/>
      <c r="E810" s="84"/>
      <c r="F810" s="84"/>
      <c r="G810" s="84"/>
    </row>
    <row r="811" spans="2:7" x14ac:dyDescent="0.2">
      <c r="B811" s="84"/>
      <c r="C811" s="84"/>
      <c r="D811" s="85"/>
      <c r="E811" s="84"/>
      <c r="F811" s="84"/>
      <c r="G811" s="84"/>
    </row>
    <row r="812" spans="2:7" x14ac:dyDescent="0.2">
      <c r="B812" s="84"/>
      <c r="C812" s="84"/>
      <c r="D812" s="85"/>
      <c r="E812" s="84"/>
      <c r="F812" s="84"/>
      <c r="G812" s="84"/>
    </row>
    <row r="813" spans="2:7" x14ac:dyDescent="0.2">
      <c r="B813" s="84"/>
      <c r="C813" s="84"/>
      <c r="D813" s="85"/>
      <c r="E813" s="84"/>
      <c r="F813" s="84"/>
      <c r="G813" s="84"/>
    </row>
    <row r="814" spans="2:7" x14ac:dyDescent="0.2">
      <c r="B814" s="84"/>
      <c r="C814" s="84"/>
      <c r="D814" s="85"/>
      <c r="E814" s="84"/>
      <c r="F814" s="84"/>
      <c r="G814" s="84"/>
    </row>
    <row r="815" spans="2:7" x14ac:dyDescent="0.2">
      <c r="B815" s="84"/>
      <c r="C815" s="84"/>
      <c r="D815" s="85"/>
      <c r="E815" s="84"/>
      <c r="F815" s="84"/>
      <c r="G815" s="84"/>
    </row>
    <row r="816" spans="2:7" x14ac:dyDescent="0.2">
      <c r="B816" s="84"/>
      <c r="C816" s="84"/>
      <c r="D816" s="85"/>
      <c r="E816" s="84"/>
      <c r="F816" s="84"/>
      <c r="G816" s="84"/>
    </row>
    <row r="817" spans="2:7" x14ac:dyDescent="0.2">
      <c r="B817" s="84"/>
      <c r="C817" s="84"/>
      <c r="D817" s="85"/>
      <c r="E817" s="84"/>
      <c r="F817" s="84"/>
      <c r="G817" s="84"/>
    </row>
    <row r="818" spans="2:7" x14ac:dyDescent="0.2">
      <c r="B818" s="84"/>
      <c r="C818" s="84"/>
      <c r="D818" s="85"/>
      <c r="E818" s="84"/>
      <c r="F818" s="84"/>
      <c r="G818" s="84"/>
    </row>
    <row r="819" spans="2:7" x14ac:dyDescent="0.2">
      <c r="B819" s="84"/>
      <c r="C819" s="84"/>
      <c r="D819" s="85"/>
      <c r="E819" s="84"/>
      <c r="F819" s="84"/>
      <c r="G819" s="84"/>
    </row>
    <row r="820" spans="2:7" x14ac:dyDescent="0.2">
      <c r="B820" s="84"/>
      <c r="C820" s="84"/>
      <c r="D820" s="85"/>
      <c r="E820" s="84"/>
      <c r="F820" s="84"/>
      <c r="G820" s="84"/>
    </row>
    <row r="821" spans="2:7" x14ac:dyDescent="0.2">
      <c r="B821" s="84"/>
      <c r="C821" s="84"/>
      <c r="D821" s="85"/>
      <c r="E821" s="84"/>
      <c r="F821" s="84"/>
      <c r="G821" s="84"/>
    </row>
    <row r="822" spans="2:7" x14ac:dyDescent="0.2">
      <c r="B822" s="84"/>
      <c r="C822" s="84"/>
      <c r="D822" s="85"/>
      <c r="E822" s="84"/>
      <c r="F822" s="84"/>
      <c r="G822" s="84"/>
    </row>
    <row r="823" spans="2:7" x14ac:dyDescent="0.2">
      <c r="B823" s="84"/>
      <c r="C823" s="84"/>
      <c r="D823" s="85"/>
      <c r="E823" s="84"/>
      <c r="F823" s="84"/>
      <c r="G823" s="84"/>
    </row>
    <row r="824" spans="2:7" x14ac:dyDescent="0.2">
      <c r="B824" s="84"/>
      <c r="C824" s="84"/>
      <c r="D824" s="85"/>
      <c r="E824" s="84"/>
      <c r="F824" s="84"/>
      <c r="G824" s="84"/>
    </row>
    <row r="825" spans="2:7" x14ac:dyDescent="0.2">
      <c r="B825" s="84"/>
      <c r="C825" s="84"/>
      <c r="D825" s="85"/>
      <c r="E825" s="84"/>
      <c r="F825" s="84"/>
      <c r="G825" s="84"/>
    </row>
    <row r="826" spans="2:7" x14ac:dyDescent="0.2">
      <c r="B826" s="84"/>
      <c r="C826" s="84"/>
      <c r="D826" s="85"/>
      <c r="E826" s="84"/>
      <c r="F826" s="84"/>
      <c r="G826" s="84"/>
    </row>
    <row r="827" spans="2:7" x14ac:dyDescent="0.2">
      <c r="B827" s="84"/>
      <c r="C827" s="84"/>
      <c r="D827" s="85"/>
      <c r="E827" s="84"/>
      <c r="F827" s="84"/>
      <c r="G827" s="84"/>
    </row>
    <row r="828" spans="2:7" x14ac:dyDescent="0.2">
      <c r="B828" s="84"/>
      <c r="C828" s="84"/>
      <c r="D828" s="85"/>
      <c r="E828" s="84"/>
      <c r="F828" s="84"/>
      <c r="G828" s="84"/>
    </row>
    <row r="829" spans="2:7" x14ac:dyDescent="0.2">
      <c r="B829" s="84"/>
      <c r="C829" s="84"/>
      <c r="D829" s="85"/>
      <c r="E829" s="84"/>
      <c r="F829" s="84"/>
      <c r="G829" s="84"/>
    </row>
    <row r="830" spans="2:7" x14ac:dyDescent="0.2">
      <c r="B830" s="84"/>
      <c r="C830" s="84"/>
      <c r="D830" s="85"/>
      <c r="E830" s="84"/>
      <c r="F830" s="84"/>
      <c r="G830" s="84"/>
    </row>
    <row r="831" spans="2:7" x14ac:dyDescent="0.2">
      <c r="B831" s="84"/>
      <c r="C831" s="84"/>
      <c r="D831" s="85"/>
      <c r="E831" s="84"/>
      <c r="F831" s="84"/>
      <c r="G831" s="84"/>
    </row>
    <row r="832" spans="2:7" x14ac:dyDescent="0.2">
      <c r="B832" s="84"/>
      <c r="C832" s="84"/>
      <c r="D832" s="85"/>
      <c r="E832" s="84"/>
      <c r="F832" s="84"/>
      <c r="G832" s="84"/>
    </row>
    <row r="833" spans="2:7" x14ac:dyDescent="0.2">
      <c r="B833" s="84"/>
      <c r="C833" s="84"/>
      <c r="D833" s="85"/>
      <c r="E833" s="84"/>
      <c r="F833" s="84"/>
      <c r="G833" s="84"/>
    </row>
    <row r="834" spans="2:7" x14ac:dyDescent="0.2">
      <c r="B834" s="84"/>
      <c r="C834" s="84"/>
      <c r="D834" s="85"/>
      <c r="E834" s="84"/>
      <c r="F834" s="84"/>
      <c r="G834" s="84"/>
    </row>
    <row r="835" spans="2:7" x14ac:dyDescent="0.2">
      <c r="B835" s="84"/>
      <c r="C835" s="84"/>
      <c r="D835" s="85"/>
      <c r="E835" s="84"/>
      <c r="F835" s="84"/>
      <c r="G835" s="84"/>
    </row>
    <row r="836" spans="2:7" x14ac:dyDescent="0.2">
      <c r="B836" s="84"/>
      <c r="C836" s="84"/>
      <c r="D836" s="85"/>
      <c r="E836" s="84"/>
      <c r="F836" s="84"/>
      <c r="G836" s="84"/>
    </row>
    <row r="837" spans="2:7" x14ac:dyDescent="0.2">
      <c r="B837" s="84"/>
      <c r="C837" s="84"/>
      <c r="D837" s="85"/>
      <c r="E837" s="84"/>
      <c r="F837" s="84"/>
      <c r="G837" s="84"/>
    </row>
    <row r="838" spans="2:7" x14ac:dyDescent="0.2">
      <c r="B838" s="84"/>
      <c r="C838" s="84"/>
      <c r="D838" s="85"/>
      <c r="E838" s="84"/>
      <c r="F838" s="84"/>
      <c r="G838" s="84"/>
    </row>
    <row r="839" spans="2:7" x14ac:dyDescent="0.2">
      <c r="B839" s="84"/>
      <c r="C839" s="84"/>
      <c r="D839" s="85"/>
      <c r="E839" s="84"/>
      <c r="F839" s="84"/>
      <c r="G839" s="84"/>
    </row>
    <row r="840" spans="2:7" x14ac:dyDescent="0.2">
      <c r="B840" s="84"/>
      <c r="C840" s="84"/>
      <c r="D840" s="85"/>
      <c r="E840" s="84"/>
      <c r="F840" s="84"/>
      <c r="G840" s="84"/>
    </row>
    <row r="841" spans="2:7" x14ac:dyDescent="0.2">
      <c r="B841" s="84"/>
      <c r="C841" s="84"/>
      <c r="D841" s="85"/>
      <c r="E841" s="84"/>
      <c r="F841" s="84"/>
      <c r="G841" s="84"/>
    </row>
    <row r="842" spans="2:7" x14ac:dyDescent="0.2">
      <c r="B842" s="84"/>
      <c r="C842" s="84"/>
      <c r="D842" s="85"/>
      <c r="E842" s="84"/>
      <c r="F842" s="84"/>
      <c r="G842" s="84"/>
    </row>
    <row r="843" spans="2:7" x14ac:dyDescent="0.2">
      <c r="B843" s="84"/>
      <c r="C843" s="84"/>
      <c r="D843" s="85"/>
      <c r="E843" s="84"/>
      <c r="F843" s="84"/>
      <c r="G843" s="84"/>
    </row>
    <row r="844" spans="2:7" x14ac:dyDescent="0.2">
      <c r="B844" s="84"/>
      <c r="C844" s="84"/>
      <c r="D844" s="85"/>
      <c r="E844" s="84"/>
      <c r="F844" s="84"/>
      <c r="G844" s="84"/>
    </row>
    <row r="845" spans="2:7" x14ac:dyDescent="0.2">
      <c r="B845" s="84"/>
      <c r="C845" s="84"/>
      <c r="D845" s="85"/>
      <c r="E845" s="84"/>
      <c r="F845" s="84"/>
      <c r="G845" s="84"/>
    </row>
    <row r="846" spans="2:7" x14ac:dyDescent="0.2">
      <c r="B846" s="84"/>
      <c r="C846" s="84"/>
      <c r="D846" s="85"/>
      <c r="E846" s="84"/>
      <c r="F846" s="84"/>
      <c r="G846" s="84"/>
    </row>
    <row r="847" spans="2:7" x14ac:dyDescent="0.2">
      <c r="B847" s="84"/>
      <c r="C847" s="84"/>
      <c r="D847" s="85"/>
      <c r="E847" s="84"/>
      <c r="F847" s="84"/>
      <c r="G847" s="84"/>
    </row>
    <row r="848" spans="2:7" x14ac:dyDescent="0.2">
      <c r="B848" s="84"/>
      <c r="C848" s="84"/>
      <c r="D848" s="85"/>
      <c r="E848" s="84"/>
      <c r="F848" s="84"/>
      <c r="G848" s="84"/>
    </row>
    <row r="849" spans="2:7" x14ac:dyDescent="0.2">
      <c r="B849" s="84"/>
      <c r="C849" s="84"/>
      <c r="D849" s="85"/>
      <c r="E849" s="84"/>
      <c r="F849" s="84"/>
      <c r="G849" s="84"/>
    </row>
    <row r="850" spans="2:7" x14ac:dyDescent="0.2">
      <c r="B850" s="84"/>
      <c r="C850" s="84"/>
      <c r="D850" s="85"/>
      <c r="E850" s="84"/>
      <c r="F850" s="84"/>
      <c r="G850" s="84"/>
    </row>
    <row r="851" spans="2:7" x14ac:dyDescent="0.2">
      <c r="B851" s="84"/>
      <c r="C851" s="84"/>
      <c r="D851" s="85"/>
      <c r="E851" s="84"/>
      <c r="F851" s="84"/>
      <c r="G851" s="84"/>
    </row>
    <row r="852" spans="2:7" x14ac:dyDescent="0.2">
      <c r="B852" s="84"/>
      <c r="C852" s="84"/>
      <c r="D852" s="85"/>
      <c r="E852" s="84"/>
      <c r="F852" s="84"/>
      <c r="G852" s="84"/>
    </row>
    <row r="853" spans="2:7" x14ac:dyDescent="0.2">
      <c r="B853" s="84"/>
      <c r="C853" s="84"/>
      <c r="D853" s="85"/>
      <c r="E853" s="84"/>
      <c r="F853" s="84"/>
      <c r="G853" s="84"/>
    </row>
    <row r="854" spans="2:7" x14ac:dyDescent="0.2">
      <c r="B854" s="84"/>
      <c r="C854" s="84"/>
      <c r="D854" s="85"/>
      <c r="E854" s="84"/>
      <c r="F854" s="84"/>
      <c r="G854" s="84"/>
    </row>
    <row r="855" spans="2:7" x14ac:dyDescent="0.2">
      <c r="B855" s="84"/>
      <c r="C855" s="84"/>
      <c r="D855" s="85"/>
      <c r="E855" s="84"/>
      <c r="F855" s="84"/>
      <c r="G855" s="84"/>
    </row>
    <row r="856" spans="2:7" x14ac:dyDescent="0.2">
      <c r="B856" s="84"/>
      <c r="C856" s="84"/>
      <c r="D856" s="85"/>
      <c r="E856" s="84"/>
      <c r="F856" s="84"/>
      <c r="G856" s="84"/>
    </row>
    <row r="857" spans="2:7" x14ac:dyDescent="0.2">
      <c r="B857" s="84"/>
      <c r="C857" s="84"/>
      <c r="D857" s="85"/>
      <c r="E857" s="84"/>
      <c r="F857" s="84"/>
      <c r="G857" s="84"/>
    </row>
    <row r="858" spans="2:7" x14ac:dyDescent="0.2">
      <c r="B858" s="84"/>
      <c r="C858" s="84"/>
      <c r="D858" s="85"/>
      <c r="E858" s="84"/>
      <c r="F858" s="84"/>
      <c r="G858" s="84"/>
    </row>
    <row r="859" spans="2:7" x14ac:dyDescent="0.2">
      <c r="B859" s="84"/>
      <c r="C859" s="84"/>
      <c r="D859" s="85"/>
      <c r="E859" s="84"/>
      <c r="F859" s="84"/>
      <c r="G859" s="84"/>
    </row>
    <row r="860" spans="2:7" x14ac:dyDescent="0.2">
      <c r="B860" s="84"/>
      <c r="C860" s="84"/>
      <c r="D860" s="85"/>
      <c r="E860" s="84"/>
      <c r="F860" s="84"/>
      <c r="G860" s="84"/>
    </row>
    <row r="861" spans="2:7" x14ac:dyDescent="0.2">
      <c r="B861" s="84"/>
      <c r="C861" s="84"/>
      <c r="D861" s="85"/>
      <c r="E861" s="84"/>
      <c r="F861" s="84"/>
      <c r="G861" s="84"/>
    </row>
    <row r="862" spans="2:7" x14ac:dyDescent="0.2">
      <c r="B862" s="84"/>
      <c r="C862" s="84"/>
      <c r="D862" s="85"/>
      <c r="E862" s="84"/>
      <c r="F862" s="84"/>
      <c r="G862" s="84"/>
    </row>
    <row r="863" spans="2:7" x14ac:dyDescent="0.2">
      <c r="B863" s="84"/>
      <c r="C863" s="84"/>
      <c r="D863" s="85"/>
      <c r="E863" s="84"/>
      <c r="F863" s="84"/>
      <c r="G863" s="84"/>
    </row>
    <row r="864" spans="2:7" x14ac:dyDescent="0.2">
      <c r="B864" s="84"/>
      <c r="C864" s="84"/>
      <c r="D864" s="85"/>
      <c r="E864" s="84"/>
      <c r="F864" s="84"/>
      <c r="G864" s="84"/>
    </row>
    <row r="865" spans="2:7" x14ac:dyDescent="0.2">
      <c r="B865" s="84"/>
      <c r="C865" s="84"/>
      <c r="D865" s="85"/>
      <c r="E865" s="84"/>
      <c r="F865" s="84"/>
      <c r="G865" s="84"/>
    </row>
    <row r="866" spans="2:7" x14ac:dyDescent="0.2">
      <c r="B866" s="84"/>
      <c r="C866" s="84"/>
      <c r="D866" s="85"/>
      <c r="E866" s="84"/>
      <c r="F866" s="84"/>
      <c r="G866" s="84"/>
    </row>
    <row r="867" spans="2:7" x14ac:dyDescent="0.2">
      <c r="B867" s="84"/>
      <c r="C867" s="84"/>
      <c r="D867" s="85"/>
      <c r="E867" s="84"/>
      <c r="F867" s="84"/>
      <c r="G867" s="84"/>
    </row>
    <row r="868" spans="2:7" x14ac:dyDescent="0.2">
      <c r="B868" s="84"/>
      <c r="C868" s="84"/>
      <c r="D868" s="85"/>
      <c r="E868" s="84"/>
      <c r="F868" s="84"/>
      <c r="G868" s="84"/>
    </row>
    <row r="869" spans="2:7" x14ac:dyDescent="0.2">
      <c r="B869" s="84"/>
      <c r="C869" s="84"/>
      <c r="D869" s="85"/>
      <c r="E869" s="84"/>
      <c r="F869" s="84"/>
      <c r="G869" s="84"/>
    </row>
    <row r="870" spans="2:7" x14ac:dyDescent="0.2">
      <c r="B870" s="84"/>
      <c r="C870" s="84"/>
      <c r="D870" s="85"/>
      <c r="E870" s="84"/>
      <c r="F870" s="84"/>
      <c r="G870" s="84"/>
    </row>
    <row r="871" spans="2:7" x14ac:dyDescent="0.2">
      <c r="B871" s="84"/>
      <c r="C871" s="84"/>
      <c r="D871" s="85"/>
      <c r="E871" s="84"/>
      <c r="F871" s="84"/>
      <c r="G871" s="84"/>
    </row>
    <row r="872" spans="2:7" x14ac:dyDescent="0.2">
      <c r="B872" s="84"/>
      <c r="C872" s="84"/>
      <c r="D872" s="85"/>
      <c r="E872" s="84"/>
      <c r="F872" s="84"/>
      <c r="G872" s="84"/>
    </row>
    <row r="873" spans="2:7" x14ac:dyDescent="0.2">
      <c r="B873" s="84"/>
      <c r="C873" s="84"/>
      <c r="D873" s="85"/>
      <c r="E873" s="84"/>
      <c r="F873" s="84"/>
      <c r="G873" s="84"/>
    </row>
    <row r="874" spans="2:7" x14ac:dyDescent="0.2">
      <c r="B874" s="84"/>
      <c r="C874" s="84"/>
      <c r="D874" s="85"/>
      <c r="E874" s="84"/>
      <c r="F874" s="84"/>
      <c r="G874" s="84"/>
    </row>
    <row r="875" spans="2:7" x14ac:dyDescent="0.2">
      <c r="B875" s="84"/>
      <c r="C875" s="84"/>
      <c r="D875" s="85"/>
      <c r="E875" s="84"/>
      <c r="F875" s="84"/>
      <c r="G875" s="84"/>
    </row>
    <row r="876" spans="2:7" x14ac:dyDescent="0.2">
      <c r="B876" s="84"/>
      <c r="C876" s="84"/>
      <c r="D876" s="85"/>
      <c r="E876" s="84"/>
      <c r="F876" s="84"/>
      <c r="G876" s="84"/>
    </row>
    <row r="877" spans="2:7" x14ac:dyDescent="0.2">
      <c r="B877" s="84"/>
      <c r="C877" s="84"/>
      <c r="D877" s="85"/>
      <c r="E877" s="84"/>
      <c r="F877" s="84"/>
      <c r="G877" s="84"/>
    </row>
    <row r="878" spans="2:7" x14ac:dyDescent="0.2">
      <c r="B878" s="84"/>
      <c r="C878" s="84"/>
      <c r="D878" s="85"/>
      <c r="E878" s="84"/>
      <c r="F878" s="84"/>
      <c r="G878" s="84"/>
    </row>
    <row r="879" spans="2:7" x14ac:dyDescent="0.2">
      <c r="B879" s="84"/>
      <c r="C879" s="84"/>
      <c r="D879" s="85"/>
      <c r="E879" s="84"/>
      <c r="F879" s="84"/>
      <c r="G879" s="84"/>
    </row>
    <row r="880" spans="2:7" x14ac:dyDescent="0.2">
      <c r="B880" s="84"/>
      <c r="C880" s="84"/>
      <c r="D880" s="85"/>
      <c r="E880" s="84"/>
      <c r="F880" s="84"/>
      <c r="G880" s="84"/>
    </row>
    <row r="881" spans="2:7" x14ac:dyDescent="0.2">
      <c r="B881" s="84"/>
      <c r="C881" s="84"/>
      <c r="D881" s="85"/>
      <c r="E881" s="84"/>
      <c r="F881" s="84"/>
      <c r="G881" s="84"/>
    </row>
    <row r="882" spans="2:7" x14ac:dyDescent="0.2">
      <c r="B882" s="84"/>
      <c r="C882" s="84"/>
      <c r="D882" s="85"/>
      <c r="E882" s="84"/>
      <c r="F882" s="84"/>
      <c r="G882" s="84"/>
    </row>
    <row r="883" spans="2:7" x14ac:dyDescent="0.2">
      <c r="B883" s="84"/>
      <c r="C883" s="84"/>
      <c r="D883" s="85"/>
      <c r="E883" s="84"/>
      <c r="F883" s="84"/>
      <c r="G883" s="84"/>
    </row>
    <row r="884" spans="2:7" x14ac:dyDescent="0.2">
      <c r="B884" s="84"/>
      <c r="C884" s="84"/>
      <c r="D884" s="85"/>
      <c r="E884" s="84"/>
      <c r="F884" s="84"/>
      <c r="G884" s="84"/>
    </row>
    <row r="885" spans="2:7" x14ac:dyDescent="0.2">
      <c r="B885" s="84"/>
      <c r="C885" s="84"/>
      <c r="D885" s="85"/>
      <c r="E885" s="84"/>
      <c r="F885" s="84"/>
      <c r="G885" s="84"/>
    </row>
    <row r="886" spans="2:7" x14ac:dyDescent="0.2">
      <c r="B886" s="84"/>
      <c r="C886" s="84"/>
      <c r="D886" s="85"/>
      <c r="E886" s="84"/>
      <c r="F886" s="84"/>
      <c r="G886" s="84"/>
    </row>
    <row r="887" spans="2:7" x14ac:dyDescent="0.2">
      <c r="B887" s="84"/>
      <c r="C887" s="84"/>
      <c r="D887" s="85"/>
      <c r="E887" s="84"/>
      <c r="F887" s="84"/>
      <c r="G887" s="84"/>
    </row>
    <row r="888" spans="2:7" x14ac:dyDescent="0.2">
      <c r="B888" s="84"/>
      <c r="C888" s="84"/>
      <c r="D888" s="85"/>
      <c r="E888" s="84"/>
      <c r="F888" s="84"/>
      <c r="G888" s="84"/>
    </row>
    <row r="889" spans="2:7" x14ac:dyDescent="0.2">
      <c r="B889" s="84"/>
      <c r="C889" s="84"/>
      <c r="D889" s="85"/>
      <c r="E889" s="84"/>
      <c r="F889" s="84"/>
      <c r="G889" s="84"/>
    </row>
    <row r="890" spans="2:7" x14ac:dyDescent="0.2">
      <c r="B890" s="84"/>
      <c r="C890" s="84"/>
      <c r="D890" s="85"/>
      <c r="E890" s="84"/>
      <c r="F890" s="84"/>
      <c r="G890" s="84"/>
    </row>
    <row r="891" spans="2:7" x14ac:dyDescent="0.2">
      <c r="B891" s="84"/>
      <c r="C891" s="84"/>
      <c r="D891" s="85"/>
      <c r="E891" s="84"/>
      <c r="F891" s="84"/>
      <c r="G891" s="84"/>
    </row>
    <row r="892" spans="2:7" x14ac:dyDescent="0.2">
      <c r="B892" s="84"/>
      <c r="C892" s="84"/>
      <c r="D892" s="85"/>
      <c r="E892" s="84"/>
      <c r="F892" s="84"/>
      <c r="G892" s="84"/>
    </row>
    <row r="893" spans="2:7" x14ac:dyDescent="0.2">
      <c r="B893" s="84"/>
      <c r="C893" s="84"/>
      <c r="D893" s="85"/>
      <c r="E893" s="84"/>
      <c r="F893" s="84"/>
      <c r="G893" s="84"/>
    </row>
    <row r="894" spans="2:7" x14ac:dyDescent="0.2">
      <c r="B894" s="84"/>
      <c r="C894" s="84"/>
      <c r="D894" s="85"/>
      <c r="E894" s="84"/>
      <c r="F894" s="84"/>
      <c r="G894" s="84"/>
    </row>
    <row r="895" spans="2:7" x14ac:dyDescent="0.2">
      <c r="B895" s="84"/>
      <c r="C895" s="84"/>
      <c r="D895" s="85"/>
      <c r="E895" s="84"/>
      <c r="F895" s="84"/>
      <c r="G895" s="84"/>
    </row>
    <row r="896" spans="2:7" x14ac:dyDescent="0.2">
      <c r="B896" s="84"/>
      <c r="C896" s="84"/>
      <c r="D896" s="85"/>
      <c r="E896" s="84"/>
      <c r="F896" s="84"/>
      <c r="G896" s="84"/>
    </row>
    <row r="897" spans="2:7" x14ac:dyDescent="0.2">
      <c r="B897" s="84"/>
      <c r="C897" s="84"/>
      <c r="D897" s="85"/>
      <c r="E897" s="84"/>
      <c r="F897" s="84"/>
      <c r="G897" s="84"/>
    </row>
    <row r="898" spans="2:7" x14ac:dyDescent="0.2">
      <c r="B898" s="84"/>
      <c r="C898" s="84"/>
      <c r="D898" s="85"/>
      <c r="E898" s="84"/>
      <c r="F898" s="84"/>
      <c r="G898" s="84"/>
    </row>
    <row r="899" spans="2:7" x14ac:dyDescent="0.2">
      <c r="B899" s="84"/>
      <c r="C899" s="84"/>
      <c r="D899" s="85"/>
      <c r="E899" s="84"/>
      <c r="F899" s="84"/>
      <c r="G899" s="84"/>
    </row>
    <row r="900" spans="2:7" x14ac:dyDescent="0.2">
      <c r="B900" s="84"/>
      <c r="C900" s="84"/>
      <c r="D900" s="85"/>
      <c r="E900" s="84"/>
      <c r="F900" s="84"/>
      <c r="G900" s="84"/>
    </row>
    <row r="901" spans="2:7" x14ac:dyDescent="0.2">
      <c r="B901" s="84"/>
      <c r="C901" s="84"/>
      <c r="D901" s="85"/>
      <c r="E901" s="84"/>
      <c r="F901" s="84"/>
      <c r="G901" s="84"/>
    </row>
    <row r="902" spans="2:7" x14ac:dyDescent="0.2">
      <c r="B902" s="84"/>
      <c r="C902" s="84"/>
      <c r="D902" s="85"/>
      <c r="E902" s="84"/>
      <c r="F902" s="84"/>
      <c r="G902" s="84"/>
    </row>
    <row r="903" spans="2:7" x14ac:dyDescent="0.2">
      <c r="B903" s="84"/>
      <c r="C903" s="84"/>
      <c r="D903" s="85"/>
      <c r="E903" s="84"/>
      <c r="F903" s="84"/>
      <c r="G903" s="84"/>
    </row>
    <row r="904" spans="2:7" x14ac:dyDescent="0.2">
      <c r="B904" s="84"/>
      <c r="C904" s="84"/>
      <c r="D904" s="85"/>
      <c r="E904" s="84"/>
      <c r="F904" s="84"/>
      <c r="G904" s="84"/>
    </row>
    <row r="905" spans="2:7" x14ac:dyDescent="0.2">
      <c r="B905" s="84"/>
      <c r="C905" s="84"/>
      <c r="D905" s="85"/>
      <c r="E905" s="84"/>
      <c r="F905" s="84"/>
      <c r="G905" s="84"/>
    </row>
    <row r="906" spans="2:7" x14ac:dyDescent="0.2">
      <c r="B906" s="84"/>
      <c r="C906" s="84"/>
      <c r="D906" s="85"/>
      <c r="E906" s="84"/>
      <c r="F906" s="84"/>
      <c r="G906" s="84"/>
    </row>
    <row r="907" spans="2:7" x14ac:dyDescent="0.2">
      <c r="B907" s="84"/>
      <c r="C907" s="84"/>
      <c r="D907" s="85"/>
      <c r="E907" s="84"/>
      <c r="F907" s="84"/>
      <c r="G907" s="84"/>
    </row>
    <row r="908" spans="2:7" x14ac:dyDescent="0.2">
      <c r="B908" s="84"/>
      <c r="C908" s="84"/>
      <c r="D908" s="85"/>
      <c r="E908" s="84"/>
      <c r="F908" s="84"/>
      <c r="G908" s="84"/>
    </row>
    <row r="909" spans="2:7" x14ac:dyDescent="0.2">
      <c r="B909" s="84"/>
      <c r="C909" s="84"/>
      <c r="D909" s="85"/>
      <c r="E909" s="84"/>
      <c r="F909" s="84"/>
      <c r="G909" s="84"/>
    </row>
    <row r="910" spans="2:7" x14ac:dyDescent="0.2">
      <c r="B910" s="84"/>
      <c r="C910" s="84"/>
      <c r="D910" s="85"/>
      <c r="E910" s="84"/>
      <c r="F910" s="84"/>
      <c r="G910" s="84"/>
    </row>
    <row r="911" spans="2:7" x14ac:dyDescent="0.2">
      <c r="B911" s="84"/>
      <c r="C911" s="84"/>
      <c r="D911" s="85"/>
      <c r="E911" s="84"/>
      <c r="F911" s="84"/>
      <c r="G911" s="84"/>
    </row>
    <row r="912" spans="2:7" x14ac:dyDescent="0.2">
      <c r="B912" s="84"/>
      <c r="C912" s="84"/>
      <c r="D912" s="85"/>
      <c r="E912" s="84"/>
      <c r="F912" s="84"/>
      <c r="G912" s="84"/>
    </row>
    <row r="913" spans="2:7" x14ac:dyDescent="0.2">
      <c r="B913" s="84"/>
      <c r="C913" s="84"/>
      <c r="D913" s="85"/>
      <c r="E913" s="84"/>
      <c r="F913" s="84"/>
      <c r="G913" s="84"/>
    </row>
    <row r="914" spans="2:7" x14ac:dyDescent="0.2">
      <c r="B914" s="84"/>
      <c r="C914" s="84"/>
      <c r="D914" s="85"/>
      <c r="E914" s="84"/>
      <c r="F914" s="84"/>
      <c r="G914" s="84"/>
    </row>
    <row r="915" spans="2:7" x14ac:dyDescent="0.2">
      <c r="B915" s="84"/>
      <c r="C915" s="84"/>
      <c r="D915" s="85"/>
      <c r="E915" s="84"/>
      <c r="F915" s="84"/>
      <c r="G915" s="84"/>
    </row>
    <row r="916" spans="2:7" x14ac:dyDescent="0.2">
      <c r="B916" s="84"/>
      <c r="C916" s="84"/>
      <c r="D916" s="85"/>
      <c r="E916" s="84"/>
      <c r="F916" s="84"/>
      <c r="G916" s="84"/>
    </row>
    <row r="917" spans="2:7" x14ac:dyDescent="0.2">
      <c r="B917" s="84"/>
      <c r="C917" s="84"/>
      <c r="D917" s="85"/>
      <c r="E917" s="84"/>
      <c r="F917" s="84"/>
      <c r="G917" s="84"/>
    </row>
    <row r="918" spans="2:7" x14ac:dyDescent="0.2">
      <c r="B918" s="84"/>
      <c r="C918" s="84"/>
      <c r="D918" s="85"/>
      <c r="E918" s="84"/>
      <c r="F918" s="84"/>
      <c r="G918" s="84"/>
    </row>
    <row r="919" spans="2:7" x14ac:dyDescent="0.2">
      <c r="B919" s="84"/>
      <c r="C919" s="84"/>
      <c r="D919" s="85"/>
      <c r="E919" s="84"/>
      <c r="F919" s="84"/>
      <c r="G919" s="84"/>
    </row>
    <row r="920" spans="2:7" x14ac:dyDescent="0.2">
      <c r="B920" s="84"/>
      <c r="C920" s="84"/>
      <c r="D920" s="85"/>
      <c r="E920" s="84"/>
      <c r="F920" s="84"/>
      <c r="G920" s="84"/>
    </row>
    <row r="921" spans="2:7" x14ac:dyDescent="0.2">
      <c r="B921" s="84"/>
      <c r="C921" s="84"/>
      <c r="D921" s="85"/>
      <c r="E921" s="84"/>
      <c r="F921" s="84"/>
      <c r="G921" s="84"/>
    </row>
    <row r="922" spans="2:7" x14ac:dyDescent="0.2">
      <c r="B922" s="84"/>
      <c r="C922" s="84"/>
      <c r="D922" s="85"/>
      <c r="E922" s="84"/>
      <c r="F922" s="84"/>
      <c r="G922" s="84"/>
    </row>
    <row r="923" spans="2:7" x14ac:dyDescent="0.2">
      <c r="B923" s="84"/>
      <c r="C923" s="84"/>
      <c r="D923" s="85"/>
      <c r="E923" s="84"/>
      <c r="F923" s="84"/>
      <c r="G923" s="84"/>
    </row>
    <row r="924" spans="2:7" x14ac:dyDescent="0.2">
      <c r="B924" s="84"/>
      <c r="C924" s="84"/>
      <c r="D924" s="85"/>
      <c r="E924" s="84"/>
      <c r="F924" s="84"/>
      <c r="G924" s="84"/>
    </row>
    <row r="925" spans="2:7" x14ac:dyDescent="0.2">
      <c r="B925" s="84"/>
      <c r="C925" s="84"/>
      <c r="D925" s="85"/>
      <c r="E925" s="84"/>
      <c r="F925" s="84"/>
      <c r="G925" s="84"/>
    </row>
    <row r="926" spans="2:7" x14ac:dyDescent="0.2">
      <c r="B926" s="84"/>
      <c r="C926" s="84"/>
      <c r="D926" s="85"/>
      <c r="E926" s="84"/>
      <c r="F926" s="84"/>
      <c r="G926" s="84"/>
    </row>
    <row r="927" spans="2:7" x14ac:dyDescent="0.2">
      <c r="B927" s="84"/>
      <c r="C927" s="84"/>
      <c r="D927" s="85"/>
      <c r="E927" s="84"/>
      <c r="F927" s="84"/>
      <c r="G927" s="84"/>
    </row>
    <row r="928" spans="2:7" x14ac:dyDescent="0.2">
      <c r="B928" s="84"/>
      <c r="C928" s="84"/>
      <c r="D928" s="85"/>
      <c r="E928" s="84"/>
      <c r="F928" s="84"/>
      <c r="G928" s="84"/>
    </row>
    <row r="929" spans="2:7" x14ac:dyDescent="0.2">
      <c r="B929" s="84"/>
      <c r="C929" s="84"/>
      <c r="D929" s="85"/>
      <c r="E929" s="84"/>
      <c r="F929" s="84"/>
      <c r="G929" s="84"/>
    </row>
    <row r="930" spans="2:7" x14ac:dyDescent="0.2">
      <c r="B930" s="84"/>
      <c r="C930" s="84"/>
      <c r="D930" s="85"/>
      <c r="E930" s="84"/>
      <c r="F930" s="84"/>
      <c r="G930" s="84"/>
    </row>
    <row r="931" spans="2:7" x14ac:dyDescent="0.2">
      <c r="B931" s="84"/>
      <c r="C931" s="84"/>
      <c r="D931" s="85"/>
      <c r="E931" s="84"/>
      <c r="F931" s="84"/>
      <c r="G931" s="84"/>
    </row>
    <row r="932" spans="2:7" x14ac:dyDescent="0.2">
      <c r="B932" s="84"/>
      <c r="C932" s="84"/>
      <c r="D932" s="85"/>
      <c r="E932" s="84"/>
      <c r="F932" s="84"/>
      <c r="G932" s="84"/>
    </row>
    <row r="933" spans="2:7" x14ac:dyDescent="0.2">
      <c r="B933" s="84"/>
      <c r="C933" s="84"/>
      <c r="D933" s="85"/>
      <c r="E933" s="84"/>
      <c r="F933" s="84"/>
      <c r="G933" s="84"/>
    </row>
    <row r="934" spans="2:7" x14ac:dyDescent="0.2">
      <c r="B934" s="84"/>
      <c r="C934" s="84"/>
      <c r="D934" s="85"/>
      <c r="E934" s="84"/>
      <c r="F934" s="84"/>
      <c r="G934" s="84"/>
    </row>
    <row r="935" spans="2:7" x14ac:dyDescent="0.2">
      <c r="B935" s="84"/>
      <c r="C935" s="84"/>
      <c r="D935" s="85"/>
      <c r="E935" s="84"/>
      <c r="F935" s="84"/>
      <c r="G935" s="84"/>
    </row>
    <row r="936" spans="2:7" x14ac:dyDescent="0.2">
      <c r="B936" s="84"/>
      <c r="C936" s="84"/>
      <c r="D936" s="85"/>
      <c r="E936" s="84"/>
      <c r="F936" s="84"/>
      <c r="G936" s="84"/>
    </row>
    <row r="937" spans="2:7" x14ac:dyDescent="0.2">
      <c r="B937" s="84"/>
      <c r="C937" s="84"/>
      <c r="D937" s="85"/>
      <c r="E937" s="84"/>
      <c r="F937" s="84"/>
      <c r="G937" s="84"/>
    </row>
    <row r="938" spans="2:7" x14ac:dyDescent="0.2">
      <c r="B938" s="84"/>
      <c r="C938" s="84"/>
      <c r="D938" s="85"/>
      <c r="E938" s="84"/>
      <c r="F938" s="84"/>
      <c r="G938" s="84"/>
    </row>
    <row r="939" spans="2:7" x14ac:dyDescent="0.2">
      <c r="B939" s="84"/>
      <c r="C939" s="84"/>
      <c r="D939" s="85"/>
      <c r="E939" s="84"/>
      <c r="F939" s="84"/>
      <c r="G939" s="84"/>
    </row>
    <row r="940" spans="2:7" x14ac:dyDescent="0.2">
      <c r="B940" s="84"/>
      <c r="C940" s="84"/>
      <c r="D940" s="85"/>
      <c r="E940" s="84"/>
      <c r="F940" s="84"/>
      <c r="G940" s="84"/>
    </row>
    <row r="941" spans="2:7" x14ac:dyDescent="0.2">
      <c r="B941" s="84"/>
      <c r="C941" s="84"/>
      <c r="D941" s="85"/>
      <c r="E941" s="84"/>
      <c r="F941" s="84"/>
      <c r="G941" s="84"/>
    </row>
    <row r="942" spans="2:7" x14ac:dyDescent="0.2">
      <c r="B942" s="84"/>
      <c r="C942" s="84"/>
      <c r="D942" s="85"/>
      <c r="E942" s="84"/>
      <c r="F942" s="84"/>
      <c r="G942" s="84"/>
    </row>
    <row r="943" spans="2:7" x14ac:dyDescent="0.2">
      <c r="B943" s="84"/>
      <c r="C943" s="84"/>
      <c r="D943" s="85"/>
      <c r="E943" s="84"/>
      <c r="F943" s="84"/>
      <c r="G943" s="84"/>
    </row>
    <row r="944" spans="2:7" x14ac:dyDescent="0.2">
      <c r="B944" s="84"/>
      <c r="C944" s="84"/>
      <c r="D944" s="85"/>
      <c r="E944" s="84"/>
      <c r="F944" s="84"/>
      <c r="G944" s="84"/>
    </row>
    <row r="945" spans="2:7" x14ac:dyDescent="0.2">
      <c r="B945" s="84"/>
      <c r="C945" s="84"/>
      <c r="D945" s="85"/>
      <c r="E945" s="84"/>
      <c r="F945" s="84"/>
      <c r="G945" s="84"/>
    </row>
    <row r="946" spans="2:7" x14ac:dyDescent="0.2">
      <c r="B946" s="84"/>
      <c r="C946" s="84"/>
      <c r="D946" s="85"/>
      <c r="E946" s="84"/>
      <c r="F946" s="84"/>
      <c r="G946" s="84"/>
    </row>
    <row r="947" spans="2:7" x14ac:dyDescent="0.2">
      <c r="B947" s="84"/>
      <c r="C947" s="84"/>
      <c r="D947" s="85"/>
      <c r="E947" s="84"/>
      <c r="F947" s="84"/>
      <c r="G947" s="84"/>
    </row>
    <row r="948" spans="2:7" x14ac:dyDescent="0.2">
      <c r="B948" s="84"/>
      <c r="C948" s="84"/>
      <c r="D948" s="85"/>
      <c r="E948" s="84"/>
      <c r="F948" s="84"/>
      <c r="G948" s="84"/>
    </row>
    <row r="949" spans="2:7" x14ac:dyDescent="0.2">
      <c r="B949" s="84"/>
      <c r="C949" s="84"/>
      <c r="D949" s="85"/>
      <c r="E949" s="84"/>
      <c r="F949" s="84"/>
      <c r="G949" s="84"/>
    </row>
    <row r="950" spans="2:7" x14ac:dyDescent="0.2">
      <c r="B950" s="84"/>
      <c r="C950" s="84"/>
      <c r="D950" s="85"/>
      <c r="E950" s="84"/>
      <c r="F950" s="84"/>
      <c r="G950" s="84"/>
    </row>
    <row r="951" spans="2:7" x14ac:dyDescent="0.2">
      <c r="B951" s="84"/>
      <c r="C951" s="84"/>
      <c r="D951" s="85"/>
      <c r="E951" s="84"/>
      <c r="F951" s="84"/>
      <c r="G951" s="84"/>
    </row>
    <row r="952" spans="2:7" x14ac:dyDescent="0.2">
      <c r="B952" s="84"/>
      <c r="C952" s="84"/>
      <c r="D952" s="85"/>
      <c r="E952" s="84"/>
      <c r="F952" s="84"/>
      <c r="G952" s="84"/>
    </row>
    <row r="953" spans="2:7" x14ac:dyDescent="0.2">
      <c r="B953" s="84"/>
      <c r="C953" s="84"/>
      <c r="D953" s="85"/>
      <c r="E953" s="84"/>
      <c r="F953" s="84"/>
      <c r="G953" s="84"/>
    </row>
    <row r="954" spans="2:7" x14ac:dyDescent="0.2">
      <c r="B954" s="84"/>
      <c r="C954" s="84"/>
      <c r="D954" s="85"/>
      <c r="E954" s="84"/>
      <c r="F954" s="84"/>
      <c r="G954" s="84"/>
    </row>
    <row r="955" spans="2:7" x14ac:dyDescent="0.2">
      <c r="B955" s="84"/>
      <c r="C955" s="84"/>
      <c r="D955" s="85"/>
      <c r="E955" s="84"/>
      <c r="F955" s="84"/>
      <c r="G955" s="84"/>
    </row>
    <row r="956" spans="2:7" x14ac:dyDescent="0.2">
      <c r="B956" s="84"/>
      <c r="C956" s="84"/>
      <c r="D956" s="85"/>
      <c r="E956" s="84"/>
      <c r="F956" s="84"/>
      <c r="G956" s="84"/>
    </row>
    <row r="957" spans="2:7" x14ac:dyDescent="0.2">
      <c r="B957" s="84"/>
      <c r="C957" s="84"/>
      <c r="D957" s="85"/>
      <c r="E957" s="84"/>
      <c r="F957" s="84"/>
      <c r="G957" s="84"/>
    </row>
    <row r="958" spans="2:7" x14ac:dyDescent="0.2">
      <c r="B958" s="84"/>
      <c r="C958" s="84"/>
      <c r="D958" s="85"/>
      <c r="E958" s="84"/>
      <c r="F958" s="84"/>
      <c r="G958" s="84"/>
    </row>
    <row r="959" spans="2:7" x14ac:dyDescent="0.2">
      <c r="B959" s="84"/>
      <c r="C959" s="84"/>
      <c r="D959" s="85"/>
      <c r="E959" s="84"/>
      <c r="F959" s="84"/>
      <c r="G959" s="84"/>
    </row>
    <row r="960" spans="2:7" x14ac:dyDescent="0.2">
      <c r="B960" s="84"/>
      <c r="C960" s="84"/>
      <c r="D960" s="85"/>
      <c r="E960" s="84"/>
      <c r="F960" s="84"/>
      <c r="G960" s="84"/>
    </row>
    <row r="961" spans="2:7" x14ac:dyDescent="0.2">
      <c r="B961" s="84"/>
      <c r="C961" s="84"/>
      <c r="D961" s="85"/>
      <c r="E961" s="84"/>
      <c r="F961" s="84"/>
      <c r="G961" s="84"/>
    </row>
    <row r="962" spans="2:7" x14ac:dyDescent="0.2">
      <c r="B962" s="84"/>
      <c r="C962" s="84"/>
      <c r="D962" s="85"/>
      <c r="E962" s="84"/>
      <c r="F962" s="84"/>
      <c r="G962" s="84"/>
    </row>
    <row r="963" spans="2:7" x14ac:dyDescent="0.2">
      <c r="B963" s="84"/>
      <c r="C963" s="84"/>
      <c r="D963" s="85"/>
      <c r="E963" s="84"/>
      <c r="F963" s="84"/>
      <c r="G963" s="84"/>
    </row>
    <row r="964" spans="2:7" x14ac:dyDescent="0.2">
      <c r="B964" s="84"/>
      <c r="C964" s="84"/>
      <c r="D964" s="85"/>
      <c r="E964" s="84"/>
      <c r="F964" s="84"/>
      <c r="G964" s="84"/>
    </row>
    <row r="965" spans="2:7" x14ac:dyDescent="0.2">
      <c r="B965" s="84"/>
      <c r="C965" s="84"/>
      <c r="D965" s="85"/>
      <c r="E965" s="84"/>
      <c r="F965" s="84"/>
      <c r="G965" s="84"/>
    </row>
    <row r="966" spans="2:7" x14ac:dyDescent="0.2">
      <c r="B966" s="84"/>
      <c r="C966" s="84"/>
      <c r="D966" s="85"/>
      <c r="E966" s="84"/>
      <c r="F966" s="84"/>
      <c r="G966" s="84"/>
    </row>
    <row r="967" spans="2:7" x14ac:dyDescent="0.2">
      <c r="B967" s="84"/>
      <c r="C967" s="84"/>
      <c r="D967" s="85"/>
      <c r="E967" s="84"/>
      <c r="F967" s="84"/>
      <c r="G967" s="84"/>
    </row>
    <row r="968" spans="2:7" x14ac:dyDescent="0.2">
      <c r="B968" s="84"/>
      <c r="C968" s="84"/>
      <c r="D968" s="85"/>
      <c r="E968" s="84"/>
      <c r="F968" s="84"/>
      <c r="G968" s="84"/>
    </row>
    <row r="969" spans="2:7" x14ac:dyDescent="0.2">
      <c r="B969" s="84"/>
      <c r="C969" s="84"/>
      <c r="D969" s="85"/>
      <c r="E969" s="84"/>
      <c r="F969" s="84"/>
      <c r="G969" s="84"/>
    </row>
    <row r="970" spans="2:7" x14ac:dyDescent="0.2">
      <c r="B970" s="84"/>
      <c r="C970" s="84"/>
      <c r="D970" s="85"/>
      <c r="E970" s="84"/>
      <c r="F970" s="84"/>
      <c r="G970" s="84"/>
    </row>
    <row r="971" spans="2:7" x14ac:dyDescent="0.2">
      <c r="B971" s="84"/>
      <c r="C971" s="84"/>
      <c r="D971" s="85"/>
      <c r="E971" s="84"/>
      <c r="F971" s="84"/>
      <c r="G971" s="84"/>
    </row>
    <row r="972" spans="2:7" x14ac:dyDescent="0.2">
      <c r="B972" s="84"/>
      <c r="C972" s="84"/>
      <c r="D972" s="85"/>
      <c r="E972" s="84"/>
      <c r="F972" s="84"/>
      <c r="G972" s="84"/>
    </row>
    <row r="973" spans="2:7" x14ac:dyDescent="0.2">
      <c r="B973" s="84"/>
      <c r="C973" s="84"/>
      <c r="D973" s="85"/>
      <c r="E973" s="84"/>
      <c r="F973" s="84"/>
      <c r="G973" s="84"/>
    </row>
    <row r="974" spans="2:7" x14ac:dyDescent="0.2">
      <c r="B974" s="84"/>
      <c r="C974" s="84"/>
      <c r="D974" s="85"/>
      <c r="E974" s="84"/>
      <c r="F974" s="84"/>
      <c r="G974" s="84"/>
    </row>
    <row r="975" spans="2:7" x14ac:dyDescent="0.2">
      <c r="B975" s="84"/>
      <c r="C975" s="84"/>
      <c r="D975" s="85"/>
      <c r="E975" s="84"/>
      <c r="F975" s="84"/>
      <c r="G975" s="84"/>
    </row>
    <row r="976" spans="2:7" x14ac:dyDescent="0.2">
      <c r="B976" s="84"/>
      <c r="C976" s="84"/>
      <c r="D976" s="85"/>
      <c r="E976" s="84"/>
      <c r="F976" s="84"/>
      <c r="G976" s="84"/>
    </row>
    <row r="977" spans="2:7" x14ac:dyDescent="0.2">
      <c r="B977" s="84"/>
      <c r="C977" s="84"/>
      <c r="D977" s="85"/>
      <c r="E977" s="84"/>
      <c r="F977" s="84"/>
      <c r="G977" s="84"/>
    </row>
    <row r="978" spans="2:7" x14ac:dyDescent="0.2">
      <c r="B978" s="84"/>
      <c r="C978" s="84"/>
      <c r="D978" s="85"/>
      <c r="E978" s="84"/>
      <c r="F978" s="84"/>
      <c r="G978" s="84"/>
    </row>
    <row r="979" spans="2:7" x14ac:dyDescent="0.2">
      <c r="B979" s="84"/>
      <c r="C979" s="84"/>
      <c r="D979" s="85"/>
      <c r="E979" s="84"/>
      <c r="F979" s="84"/>
      <c r="G979" s="84"/>
    </row>
    <row r="980" spans="2:7" x14ac:dyDescent="0.2">
      <c r="B980" s="84"/>
      <c r="C980" s="84"/>
      <c r="D980" s="85"/>
      <c r="E980" s="84"/>
      <c r="F980" s="84"/>
      <c r="G980" s="84"/>
    </row>
    <row r="981" spans="2:7" x14ac:dyDescent="0.2">
      <c r="B981" s="84"/>
      <c r="C981" s="84"/>
      <c r="D981" s="85"/>
      <c r="E981" s="84"/>
      <c r="F981" s="84"/>
      <c r="G981" s="84"/>
    </row>
    <row r="982" spans="2:7" x14ac:dyDescent="0.2">
      <c r="B982" s="84"/>
      <c r="C982" s="84"/>
      <c r="D982" s="85"/>
      <c r="E982" s="84"/>
      <c r="F982" s="84"/>
      <c r="G982" s="84"/>
    </row>
    <row r="983" spans="2:7" x14ac:dyDescent="0.2">
      <c r="B983" s="84"/>
      <c r="C983" s="84"/>
      <c r="D983" s="85"/>
      <c r="E983" s="84"/>
      <c r="F983" s="84"/>
      <c r="G983" s="84"/>
    </row>
    <row r="984" spans="2:7" x14ac:dyDescent="0.2">
      <c r="B984" s="84"/>
      <c r="C984" s="84"/>
      <c r="D984" s="85"/>
      <c r="E984" s="84"/>
      <c r="F984" s="84"/>
      <c r="G984" s="84"/>
    </row>
    <row r="985" spans="2:7" x14ac:dyDescent="0.2">
      <c r="B985" s="84"/>
      <c r="C985" s="84"/>
      <c r="D985" s="85"/>
      <c r="E985" s="84"/>
      <c r="F985" s="84"/>
      <c r="G985" s="84"/>
    </row>
    <row r="986" spans="2:7" x14ac:dyDescent="0.2">
      <c r="B986" s="84"/>
      <c r="C986" s="84"/>
      <c r="D986" s="85"/>
      <c r="E986" s="84"/>
      <c r="F986" s="84"/>
      <c r="G986" s="84"/>
    </row>
    <row r="987" spans="2:7" x14ac:dyDescent="0.2">
      <c r="B987" s="84"/>
      <c r="C987" s="84"/>
      <c r="D987" s="85"/>
      <c r="E987" s="84"/>
      <c r="F987" s="84"/>
      <c r="G987" s="84"/>
    </row>
    <row r="988" spans="2:7" x14ac:dyDescent="0.2">
      <c r="B988" s="84"/>
      <c r="C988" s="84"/>
      <c r="D988" s="85"/>
      <c r="E988" s="84"/>
      <c r="F988" s="84"/>
      <c r="G988" s="84"/>
    </row>
    <row r="989" spans="2:7" x14ac:dyDescent="0.2">
      <c r="B989" s="84"/>
      <c r="C989" s="84"/>
      <c r="D989" s="85"/>
      <c r="E989" s="84"/>
      <c r="F989" s="84"/>
      <c r="G989" s="84"/>
    </row>
    <row r="990" spans="2:7" x14ac:dyDescent="0.2">
      <c r="B990" s="84"/>
      <c r="C990" s="84"/>
      <c r="D990" s="85"/>
      <c r="E990" s="84"/>
      <c r="F990" s="84"/>
      <c r="G990" s="84"/>
    </row>
    <row r="991" spans="2:7" x14ac:dyDescent="0.2">
      <c r="B991" s="84"/>
      <c r="C991" s="84"/>
      <c r="D991" s="85"/>
      <c r="E991" s="84"/>
      <c r="F991" s="84"/>
      <c r="G991" s="84"/>
    </row>
    <row r="992" spans="2:7" x14ac:dyDescent="0.2">
      <c r="B992" s="84"/>
      <c r="C992" s="84"/>
      <c r="D992" s="85"/>
      <c r="E992" s="84"/>
      <c r="F992" s="84"/>
      <c r="G992" s="84"/>
    </row>
    <row r="993" spans="2:7" x14ac:dyDescent="0.2">
      <c r="B993" s="84"/>
      <c r="C993" s="84"/>
      <c r="D993" s="85"/>
      <c r="E993" s="84"/>
      <c r="F993" s="84"/>
      <c r="G993" s="84"/>
    </row>
    <row r="994" spans="2:7" x14ac:dyDescent="0.2">
      <c r="B994" s="84"/>
      <c r="C994" s="84"/>
      <c r="D994" s="85"/>
      <c r="E994" s="84"/>
      <c r="F994" s="84"/>
      <c r="G994" s="84"/>
    </row>
    <row r="995" spans="2:7" x14ac:dyDescent="0.2">
      <c r="B995" s="84"/>
      <c r="C995" s="84"/>
      <c r="D995" s="85"/>
      <c r="E995" s="84"/>
      <c r="F995" s="84"/>
      <c r="G995" s="84"/>
    </row>
    <row r="996" spans="2:7" x14ac:dyDescent="0.2">
      <c r="B996" s="84"/>
      <c r="C996" s="84"/>
      <c r="D996" s="85"/>
      <c r="E996" s="84"/>
      <c r="F996" s="84"/>
      <c r="G996" s="84"/>
    </row>
    <row r="997" spans="2:7" x14ac:dyDescent="0.2">
      <c r="B997" s="84"/>
      <c r="C997" s="84"/>
      <c r="D997" s="85"/>
      <c r="E997" s="84"/>
      <c r="F997" s="84"/>
      <c r="G997" s="84"/>
    </row>
    <row r="998" spans="2:7" x14ac:dyDescent="0.2">
      <c r="B998" s="84"/>
      <c r="C998" s="84"/>
      <c r="D998" s="85"/>
      <c r="E998" s="84"/>
      <c r="F998" s="84"/>
      <c r="G998" s="84"/>
    </row>
    <row r="999" spans="2:7" x14ac:dyDescent="0.2">
      <c r="B999" s="84"/>
      <c r="C999" s="84"/>
      <c r="D999" s="85"/>
      <c r="E999" s="84"/>
      <c r="F999" s="84"/>
      <c r="G999" s="84"/>
    </row>
    <row r="1000" spans="2:7" x14ac:dyDescent="0.2">
      <c r="B1000" s="84"/>
      <c r="C1000" s="84"/>
      <c r="D1000" s="85"/>
      <c r="E1000" s="84"/>
      <c r="F1000" s="84"/>
      <c r="G1000" s="84"/>
    </row>
    <row r="1001" spans="2:7" x14ac:dyDescent="0.2">
      <c r="B1001" s="84"/>
      <c r="C1001" s="84"/>
      <c r="D1001" s="85"/>
      <c r="E1001" s="84"/>
      <c r="F1001" s="84"/>
      <c r="G1001" s="84"/>
    </row>
    <row r="1002" spans="2:7" x14ac:dyDescent="0.2">
      <c r="B1002" s="84"/>
      <c r="C1002" s="84"/>
      <c r="D1002" s="85"/>
      <c r="E1002" s="84"/>
      <c r="F1002" s="84"/>
      <c r="G1002" s="84"/>
    </row>
    <row r="1003" spans="2:7" x14ac:dyDescent="0.2">
      <c r="B1003" s="84"/>
      <c r="C1003" s="84"/>
      <c r="D1003" s="85"/>
      <c r="E1003" s="84"/>
      <c r="F1003" s="84"/>
      <c r="G1003" s="84"/>
    </row>
    <row r="1004" spans="2:7" x14ac:dyDescent="0.2">
      <c r="B1004" s="84"/>
      <c r="C1004" s="84"/>
      <c r="D1004" s="85"/>
      <c r="E1004" s="84"/>
      <c r="F1004" s="84"/>
      <c r="G1004" s="84"/>
    </row>
    <row r="1005" spans="2:7" x14ac:dyDescent="0.2">
      <c r="B1005" s="84"/>
      <c r="C1005" s="84"/>
      <c r="D1005" s="85"/>
      <c r="E1005" s="84"/>
      <c r="F1005" s="84"/>
      <c r="G1005" s="84"/>
    </row>
    <row r="1006" spans="2:7" x14ac:dyDescent="0.2">
      <c r="B1006" s="84"/>
      <c r="C1006" s="84"/>
      <c r="D1006" s="85"/>
      <c r="E1006" s="84"/>
      <c r="F1006" s="84"/>
      <c r="G1006" s="84"/>
    </row>
    <row r="1007" spans="2:7" x14ac:dyDescent="0.2">
      <c r="B1007" s="84"/>
      <c r="C1007" s="84"/>
      <c r="D1007" s="85"/>
      <c r="E1007" s="84"/>
      <c r="F1007" s="84"/>
      <c r="G1007" s="84"/>
    </row>
    <row r="1008" spans="2:7" x14ac:dyDescent="0.2">
      <c r="B1008" s="84"/>
      <c r="C1008" s="84"/>
      <c r="D1008" s="85"/>
      <c r="E1008" s="84"/>
      <c r="F1008" s="84"/>
      <c r="G1008" s="84"/>
    </row>
    <row r="1009" spans="2:7" x14ac:dyDescent="0.2">
      <c r="B1009" s="84"/>
      <c r="C1009" s="84"/>
      <c r="D1009" s="85"/>
      <c r="E1009" s="84"/>
      <c r="F1009" s="84"/>
      <c r="G1009" s="84"/>
    </row>
    <row r="1010" spans="2:7" x14ac:dyDescent="0.2">
      <c r="B1010" s="84"/>
      <c r="C1010" s="84"/>
      <c r="D1010" s="85"/>
      <c r="E1010" s="84"/>
      <c r="F1010" s="84"/>
      <c r="G1010" s="84"/>
    </row>
    <row r="1011" spans="2:7" x14ac:dyDescent="0.2">
      <c r="B1011" s="84"/>
      <c r="C1011" s="84"/>
      <c r="D1011" s="85"/>
      <c r="E1011" s="84"/>
      <c r="F1011" s="84"/>
      <c r="G1011" s="84"/>
    </row>
    <row r="1012" spans="2:7" x14ac:dyDescent="0.2">
      <c r="B1012" s="84"/>
      <c r="C1012" s="84"/>
      <c r="D1012" s="85"/>
      <c r="E1012" s="84"/>
      <c r="F1012" s="84"/>
      <c r="G1012" s="84"/>
    </row>
    <row r="1013" spans="2:7" x14ac:dyDescent="0.2">
      <c r="B1013" s="84"/>
      <c r="C1013" s="84"/>
      <c r="D1013" s="85"/>
      <c r="E1013" s="84"/>
      <c r="F1013" s="84"/>
      <c r="G1013" s="84"/>
    </row>
    <row r="1014" spans="2:7" x14ac:dyDescent="0.2">
      <c r="B1014" s="84"/>
      <c r="C1014" s="84"/>
      <c r="D1014" s="85"/>
      <c r="E1014" s="84"/>
      <c r="F1014" s="84"/>
      <c r="G1014" s="84"/>
    </row>
    <row r="1015" spans="2:7" x14ac:dyDescent="0.2">
      <c r="B1015" s="84"/>
      <c r="C1015" s="84"/>
      <c r="D1015" s="85"/>
      <c r="E1015" s="84"/>
      <c r="F1015" s="84"/>
      <c r="G1015" s="84"/>
    </row>
    <row r="1016" spans="2:7" x14ac:dyDescent="0.2">
      <c r="B1016" s="84"/>
      <c r="C1016" s="84"/>
      <c r="D1016" s="85"/>
      <c r="E1016" s="84"/>
      <c r="F1016" s="84"/>
      <c r="G1016" s="84"/>
    </row>
    <row r="1017" spans="2:7" x14ac:dyDescent="0.2">
      <c r="B1017" s="84"/>
      <c r="C1017" s="84"/>
      <c r="D1017" s="85"/>
      <c r="E1017" s="84"/>
      <c r="F1017" s="84"/>
      <c r="G1017" s="84"/>
    </row>
    <row r="1018" spans="2:7" x14ac:dyDescent="0.2">
      <c r="B1018" s="84"/>
      <c r="C1018" s="84"/>
      <c r="D1018" s="85"/>
      <c r="E1018" s="84"/>
      <c r="F1018" s="84"/>
      <c r="G1018" s="84"/>
    </row>
    <row r="1019" spans="2:7" x14ac:dyDescent="0.2">
      <c r="B1019" s="84"/>
      <c r="C1019" s="84"/>
      <c r="D1019" s="85"/>
      <c r="E1019" s="84"/>
      <c r="F1019" s="84"/>
      <c r="G1019" s="84"/>
    </row>
    <row r="1020" spans="2:7" x14ac:dyDescent="0.2">
      <c r="B1020" s="84"/>
      <c r="C1020" s="84"/>
      <c r="D1020" s="85"/>
      <c r="E1020" s="84"/>
      <c r="F1020" s="84"/>
      <c r="G1020" s="84"/>
    </row>
    <row r="1021" spans="2:7" x14ac:dyDescent="0.2">
      <c r="B1021" s="84"/>
      <c r="C1021" s="84"/>
      <c r="D1021" s="85"/>
      <c r="E1021" s="84"/>
      <c r="F1021" s="84"/>
      <c r="G1021" s="84"/>
    </row>
    <row r="1022" spans="2:7" x14ac:dyDescent="0.2">
      <c r="B1022" s="84"/>
      <c r="C1022" s="84"/>
      <c r="D1022" s="85"/>
      <c r="E1022" s="84"/>
      <c r="F1022" s="84"/>
      <c r="G1022" s="84"/>
    </row>
    <row r="1023" spans="2:7" x14ac:dyDescent="0.2">
      <c r="B1023" s="84"/>
      <c r="C1023" s="84"/>
      <c r="D1023" s="85"/>
      <c r="E1023" s="84"/>
      <c r="F1023" s="84"/>
      <c r="G1023" s="84"/>
    </row>
    <row r="1024" spans="2:7" x14ac:dyDescent="0.2">
      <c r="B1024" s="84"/>
      <c r="C1024" s="84"/>
      <c r="D1024" s="85"/>
      <c r="E1024" s="84"/>
      <c r="F1024" s="84"/>
      <c r="G1024" s="84"/>
    </row>
    <row r="1025" spans="2:7" x14ac:dyDescent="0.2">
      <c r="B1025" s="84"/>
      <c r="C1025" s="84"/>
      <c r="D1025" s="85"/>
      <c r="E1025" s="84"/>
      <c r="F1025" s="84"/>
      <c r="G1025" s="84"/>
    </row>
    <row r="1026" spans="2:7" x14ac:dyDescent="0.2">
      <c r="B1026" s="84"/>
      <c r="C1026" s="84"/>
      <c r="D1026" s="85"/>
      <c r="E1026" s="84"/>
      <c r="F1026" s="84"/>
      <c r="G1026" s="84"/>
    </row>
    <row r="1027" spans="2:7" x14ac:dyDescent="0.2">
      <c r="B1027" s="84"/>
      <c r="C1027" s="84"/>
      <c r="D1027" s="85"/>
      <c r="E1027" s="84"/>
      <c r="F1027" s="84"/>
      <c r="G1027" s="84"/>
    </row>
    <row r="1028" spans="2:7" x14ac:dyDescent="0.2">
      <c r="B1028" s="84"/>
      <c r="C1028" s="84"/>
      <c r="D1028" s="85"/>
      <c r="E1028" s="84"/>
      <c r="F1028" s="84"/>
      <c r="G1028" s="84"/>
    </row>
    <row r="1029" spans="2:7" x14ac:dyDescent="0.2">
      <c r="B1029" s="84"/>
      <c r="C1029" s="84"/>
      <c r="D1029" s="85"/>
      <c r="E1029" s="84"/>
      <c r="F1029" s="84"/>
      <c r="G1029" s="84"/>
    </row>
    <row r="1030" spans="2:7" x14ac:dyDescent="0.2">
      <c r="B1030" s="84"/>
      <c r="C1030" s="84"/>
      <c r="D1030" s="85"/>
      <c r="E1030" s="84"/>
      <c r="F1030" s="84"/>
      <c r="G1030" s="84"/>
    </row>
    <row r="1031" spans="2:7" x14ac:dyDescent="0.2">
      <c r="B1031" s="84"/>
      <c r="C1031" s="84"/>
      <c r="D1031" s="85"/>
      <c r="E1031" s="84"/>
      <c r="F1031" s="84"/>
      <c r="G1031" s="84"/>
    </row>
    <row r="1032" spans="2:7" x14ac:dyDescent="0.2">
      <c r="B1032" s="84"/>
      <c r="C1032" s="84"/>
      <c r="D1032" s="85"/>
      <c r="E1032" s="84"/>
      <c r="F1032" s="84"/>
      <c r="G1032" s="84"/>
    </row>
    <row r="1033" spans="2:7" x14ac:dyDescent="0.2">
      <c r="B1033" s="84"/>
      <c r="C1033" s="84"/>
      <c r="D1033" s="85"/>
      <c r="E1033" s="84"/>
      <c r="F1033" s="84"/>
      <c r="G1033" s="84"/>
    </row>
    <row r="1034" spans="2:7" x14ac:dyDescent="0.2">
      <c r="B1034" s="84"/>
      <c r="C1034" s="84"/>
      <c r="D1034" s="85"/>
      <c r="E1034" s="84"/>
      <c r="F1034" s="84"/>
      <c r="G1034" s="84"/>
    </row>
    <row r="1035" spans="2:7" x14ac:dyDescent="0.2">
      <c r="B1035" s="84"/>
      <c r="C1035" s="84"/>
      <c r="D1035" s="85"/>
      <c r="E1035" s="84"/>
      <c r="F1035" s="84"/>
      <c r="G1035" s="84"/>
    </row>
    <row r="1036" spans="2:7" x14ac:dyDescent="0.2">
      <c r="B1036" s="84"/>
      <c r="C1036" s="84"/>
      <c r="D1036" s="85"/>
      <c r="E1036" s="84"/>
      <c r="F1036" s="84"/>
      <c r="G1036" s="84"/>
    </row>
    <row r="1037" spans="2:7" x14ac:dyDescent="0.2">
      <c r="B1037" s="84"/>
      <c r="C1037" s="84"/>
      <c r="D1037" s="85"/>
      <c r="E1037" s="84"/>
      <c r="F1037" s="84"/>
      <c r="G1037" s="84"/>
    </row>
    <row r="1038" spans="2:7" x14ac:dyDescent="0.2">
      <c r="B1038" s="84"/>
      <c r="C1038" s="84"/>
      <c r="D1038" s="85"/>
      <c r="E1038" s="84"/>
      <c r="F1038" s="84"/>
      <c r="G1038" s="84"/>
    </row>
    <row r="1039" spans="2:7" x14ac:dyDescent="0.2">
      <c r="B1039" s="84"/>
      <c r="C1039" s="84"/>
      <c r="D1039" s="85"/>
      <c r="E1039" s="84"/>
      <c r="F1039" s="84"/>
      <c r="G1039" s="84"/>
    </row>
    <row r="1040" spans="2:7" x14ac:dyDescent="0.2">
      <c r="B1040" s="84"/>
      <c r="C1040" s="84"/>
      <c r="D1040" s="85"/>
      <c r="E1040" s="84"/>
      <c r="F1040" s="84"/>
      <c r="G1040" s="84"/>
    </row>
    <row r="1041" spans="2:7" x14ac:dyDescent="0.2">
      <c r="B1041" s="84"/>
      <c r="C1041" s="84"/>
      <c r="D1041" s="85"/>
      <c r="E1041" s="84"/>
      <c r="F1041" s="84"/>
      <c r="G1041" s="84"/>
    </row>
    <row r="1042" spans="2:7" x14ac:dyDescent="0.2">
      <c r="B1042" s="84"/>
      <c r="C1042" s="84"/>
      <c r="D1042" s="85"/>
      <c r="E1042" s="84"/>
      <c r="F1042" s="84"/>
      <c r="G1042" s="84"/>
    </row>
    <row r="1043" spans="2:7" x14ac:dyDescent="0.2">
      <c r="B1043" s="84"/>
      <c r="C1043" s="84"/>
      <c r="D1043" s="85"/>
      <c r="E1043" s="84"/>
      <c r="F1043" s="84"/>
      <c r="G1043" s="84"/>
    </row>
    <row r="1044" spans="2:7" x14ac:dyDescent="0.2">
      <c r="B1044" s="84"/>
      <c r="C1044" s="84"/>
      <c r="D1044" s="85"/>
      <c r="E1044" s="84"/>
      <c r="F1044" s="84"/>
      <c r="G1044" s="84"/>
    </row>
    <row r="1045" spans="2:7" x14ac:dyDescent="0.2">
      <c r="B1045" s="84"/>
      <c r="C1045" s="84"/>
      <c r="D1045" s="85"/>
      <c r="E1045" s="84"/>
      <c r="F1045" s="84"/>
      <c r="G1045" s="84"/>
    </row>
    <row r="1046" spans="2:7" x14ac:dyDescent="0.2">
      <c r="B1046" s="84"/>
      <c r="C1046" s="84"/>
      <c r="D1046" s="85"/>
      <c r="E1046" s="84"/>
      <c r="F1046" s="84"/>
      <c r="G1046" s="84"/>
    </row>
    <row r="1047" spans="2:7" x14ac:dyDescent="0.2">
      <c r="B1047" s="84"/>
      <c r="C1047" s="84"/>
      <c r="D1047" s="85"/>
      <c r="E1047" s="84"/>
      <c r="F1047" s="84"/>
      <c r="G1047" s="84"/>
    </row>
    <row r="1048" spans="2:7" x14ac:dyDescent="0.2">
      <c r="B1048" s="84"/>
      <c r="C1048" s="84"/>
      <c r="D1048" s="85"/>
      <c r="E1048" s="84"/>
      <c r="F1048" s="84"/>
      <c r="G1048" s="84"/>
    </row>
    <row r="1049" spans="2:7" x14ac:dyDescent="0.2">
      <c r="B1049" s="84"/>
      <c r="C1049" s="84"/>
      <c r="D1049" s="85"/>
      <c r="E1049" s="84"/>
      <c r="F1049" s="84"/>
      <c r="G1049" s="84"/>
    </row>
    <row r="1050" spans="2:7" x14ac:dyDescent="0.2">
      <c r="B1050" s="84"/>
      <c r="C1050" s="84"/>
      <c r="D1050" s="85"/>
      <c r="E1050" s="84"/>
      <c r="F1050" s="84"/>
      <c r="G1050" s="84"/>
    </row>
    <row r="1051" spans="2:7" x14ac:dyDescent="0.2">
      <c r="B1051" s="84"/>
      <c r="C1051" s="84"/>
      <c r="D1051" s="85"/>
      <c r="E1051" s="84"/>
      <c r="F1051" s="84"/>
      <c r="G1051" s="84"/>
    </row>
    <row r="1052" spans="2:7" x14ac:dyDescent="0.2">
      <c r="B1052" s="84"/>
      <c r="C1052" s="84"/>
      <c r="D1052" s="85"/>
      <c r="E1052" s="84"/>
      <c r="F1052" s="84"/>
      <c r="G1052" s="84"/>
    </row>
    <row r="1053" spans="2:7" x14ac:dyDescent="0.2">
      <c r="B1053" s="84"/>
      <c r="C1053" s="84"/>
      <c r="D1053" s="85"/>
      <c r="E1053" s="84"/>
      <c r="F1053" s="84"/>
      <c r="G1053" s="84"/>
    </row>
    <row r="1054" spans="2:7" x14ac:dyDescent="0.2">
      <c r="B1054" s="84"/>
      <c r="C1054" s="84"/>
      <c r="D1054" s="85"/>
      <c r="E1054" s="84"/>
      <c r="F1054" s="84"/>
      <c r="G1054" s="84"/>
    </row>
    <row r="1055" spans="2:7" x14ac:dyDescent="0.2">
      <c r="B1055" s="84"/>
      <c r="C1055" s="84"/>
      <c r="D1055" s="85"/>
      <c r="E1055" s="84"/>
      <c r="F1055" s="84"/>
      <c r="G1055" s="84"/>
    </row>
    <row r="1056" spans="2:7" x14ac:dyDescent="0.2">
      <c r="B1056" s="84"/>
      <c r="C1056" s="84"/>
      <c r="D1056" s="85"/>
      <c r="E1056" s="84"/>
      <c r="F1056" s="84"/>
      <c r="G1056" s="84"/>
    </row>
    <row r="1057" spans="2:7" x14ac:dyDescent="0.2">
      <c r="B1057" s="84"/>
      <c r="C1057" s="84"/>
      <c r="D1057" s="85"/>
      <c r="E1057" s="84"/>
      <c r="F1057" s="84"/>
      <c r="G1057" s="84"/>
    </row>
    <row r="1058" spans="2:7" x14ac:dyDescent="0.2">
      <c r="B1058" s="84"/>
      <c r="C1058" s="84"/>
      <c r="D1058" s="85"/>
      <c r="E1058" s="84"/>
      <c r="F1058" s="84"/>
      <c r="G1058" s="84"/>
    </row>
    <row r="1059" spans="2:7" x14ac:dyDescent="0.2">
      <c r="B1059" s="84"/>
      <c r="C1059" s="84"/>
      <c r="D1059" s="85"/>
      <c r="E1059" s="84"/>
      <c r="F1059" s="84"/>
      <c r="G1059" s="84"/>
    </row>
    <row r="1060" spans="2:7" x14ac:dyDescent="0.2">
      <c r="B1060" s="84"/>
      <c r="C1060" s="84"/>
      <c r="D1060" s="85"/>
      <c r="E1060" s="84"/>
      <c r="F1060" s="84"/>
      <c r="G1060" s="84"/>
    </row>
    <row r="1061" spans="2:7" x14ac:dyDescent="0.2">
      <c r="B1061" s="84"/>
      <c r="C1061" s="84"/>
      <c r="D1061" s="85"/>
      <c r="E1061" s="84"/>
      <c r="F1061" s="84"/>
      <c r="G1061" s="84"/>
    </row>
    <row r="1062" spans="2:7" x14ac:dyDescent="0.2">
      <c r="B1062" s="84"/>
      <c r="C1062" s="84"/>
      <c r="D1062" s="85"/>
      <c r="E1062" s="84"/>
      <c r="F1062" s="84"/>
      <c r="G1062" s="84"/>
    </row>
    <row r="1063" spans="2:7" x14ac:dyDescent="0.2">
      <c r="B1063" s="84"/>
      <c r="C1063" s="84"/>
      <c r="D1063" s="85"/>
      <c r="E1063" s="84"/>
      <c r="F1063" s="84"/>
      <c r="G1063" s="84"/>
    </row>
    <row r="1064" spans="2:7" x14ac:dyDescent="0.2">
      <c r="B1064" s="84"/>
      <c r="C1064" s="84"/>
      <c r="D1064" s="85"/>
      <c r="E1064" s="84"/>
      <c r="F1064" s="84"/>
      <c r="G1064" s="84"/>
    </row>
    <row r="1065" spans="2:7" x14ac:dyDescent="0.2">
      <c r="B1065" s="84"/>
      <c r="C1065" s="84"/>
      <c r="D1065" s="85"/>
      <c r="E1065" s="84"/>
      <c r="F1065" s="84"/>
      <c r="G1065" s="84"/>
    </row>
    <row r="1066" spans="2:7" x14ac:dyDescent="0.2">
      <c r="B1066" s="84"/>
      <c r="C1066" s="84"/>
      <c r="D1066" s="85"/>
      <c r="E1066" s="84"/>
      <c r="F1066" s="84"/>
      <c r="G1066" s="84"/>
    </row>
    <row r="1067" spans="2:7" x14ac:dyDescent="0.2">
      <c r="B1067" s="84"/>
      <c r="C1067" s="84"/>
      <c r="D1067" s="85"/>
      <c r="E1067" s="84"/>
      <c r="F1067" s="84"/>
      <c r="G1067" s="84"/>
    </row>
    <row r="1068" spans="2:7" x14ac:dyDescent="0.2">
      <c r="B1068" s="84"/>
      <c r="C1068" s="84"/>
      <c r="D1068" s="85"/>
      <c r="E1068" s="84"/>
      <c r="F1068" s="84"/>
      <c r="G1068" s="84"/>
    </row>
    <row r="1069" spans="2:7" x14ac:dyDescent="0.2">
      <c r="B1069" s="84"/>
      <c r="C1069" s="84"/>
      <c r="D1069" s="85"/>
      <c r="E1069" s="84"/>
      <c r="F1069" s="84"/>
      <c r="G1069" s="84"/>
    </row>
    <row r="1070" spans="2:7" x14ac:dyDescent="0.2">
      <c r="B1070" s="84"/>
      <c r="C1070" s="84"/>
      <c r="D1070" s="85"/>
      <c r="E1070" s="84"/>
      <c r="F1070" s="84"/>
      <c r="G1070" s="84"/>
    </row>
    <row r="1071" spans="2:7" x14ac:dyDescent="0.2">
      <c r="B1071" s="84"/>
      <c r="C1071" s="84"/>
      <c r="D1071" s="85"/>
      <c r="E1071" s="84"/>
      <c r="F1071" s="84"/>
      <c r="G1071" s="84"/>
    </row>
    <row r="1072" spans="2:7" x14ac:dyDescent="0.2">
      <c r="B1072" s="84"/>
      <c r="C1072" s="84"/>
      <c r="D1072" s="85"/>
      <c r="E1072" s="84"/>
      <c r="F1072" s="84"/>
      <c r="G1072" s="84"/>
    </row>
    <row r="1073" spans="2:7" x14ac:dyDescent="0.2">
      <c r="B1073" s="84"/>
      <c r="C1073" s="84"/>
      <c r="D1073" s="85"/>
      <c r="E1073" s="84"/>
      <c r="F1073" s="84"/>
      <c r="G1073" s="84"/>
    </row>
    <row r="1074" spans="2:7" x14ac:dyDescent="0.2">
      <c r="B1074" s="84"/>
      <c r="C1074" s="84"/>
      <c r="D1074" s="85"/>
      <c r="E1074" s="84"/>
      <c r="F1074" s="84"/>
      <c r="G1074" s="84"/>
    </row>
    <row r="1075" spans="2:7" x14ac:dyDescent="0.2">
      <c r="B1075" s="84"/>
      <c r="C1075" s="84"/>
      <c r="D1075" s="85"/>
      <c r="E1075" s="84"/>
      <c r="F1075" s="84"/>
      <c r="G1075" s="84"/>
    </row>
    <row r="1076" spans="2:7" x14ac:dyDescent="0.2">
      <c r="B1076" s="84"/>
      <c r="C1076" s="84"/>
      <c r="D1076" s="85"/>
      <c r="E1076" s="84"/>
      <c r="F1076" s="84"/>
      <c r="G1076" s="84"/>
    </row>
    <row r="1077" spans="2:7" x14ac:dyDescent="0.2">
      <c r="B1077" s="84"/>
      <c r="C1077" s="84"/>
      <c r="D1077" s="85"/>
      <c r="E1077" s="84"/>
      <c r="F1077" s="84"/>
      <c r="G1077" s="84"/>
    </row>
    <row r="1078" spans="2:7" x14ac:dyDescent="0.2">
      <c r="B1078" s="84"/>
      <c r="C1078" s="84"/>
      <c r="D1078" s="85"/>
      <c r="E1078" s="84"/>
      <c r="F1078" s="84"/>
      <c r="G1078" s="84"/>
    </row>
    <row r="1079" spans="2:7" x14ac:dyDescent="0.2">
      <c r="B1079" s="84"/>
      <c r="C1079" s="84"/>
      <c r="D1079" s="85"/>
      <c r="E1079" s="84"/>
      <c r="F1079" s="84"/>
      <c r="G1079" s="84"/>
    </row>
    <row r="1080" spans="2:7" x14ac:dyDescent="0.2">
      <c r="B1080" s="84"/>
      <c r="C1080" s="84"/>
      <c r="D1080" s="85"/>
      <c r="E1080" s="84"/>
      <c r="F1080" s="84"/>
      <c r="G1080" s="84"/>
    </row>
    <row r="1081" spans="2:7" x14ac:dyDescent="0.2">
      <c r="B1081" s="84"/>
      <c r="C1081" s="84"/>
      <c r="D1081" s="85"/>
      <c r="E1081" s="84"/>
      <c r="F1081" s="84"/>
      <c r="G1081" s="84"/>
    </row>
    <row r="1082" spans="2:7" x14ac:dyDescent="0.2">
      <c r="B1082" s="84"/>
      <c r="C1082" s="84"/>
      <c r="D1082" s="85"/>
      <c r="E1082" s="84"/>
      <c r="F1082" s="84"/>
      <c r="G1082" s="84"/>
    </row>
    <row r="1083" spans="2:7" x14ac:dyDescent="0.2">
      <c r="B1083" s="84"/>
      <c r="C1083" s="84"/>
      <c r="D1083" s="85"/>
      <c r="E1083" s="84"/>
      <c r="F1083" s="84"/>
      <c r="G1083" s="84"/>
    </row>
    <row r="1084" spans="2:7" x14ac:dyDescent="0.2">
      <c r="B1084" s="84"/>
      <c r="C1084" s="84"/>
      <c r="D1084" s="85"/>
      <c r="E1084" s="84"/>
      <c r="F1084" s="84"/>
      <c r="G1084" s="84"/>
    </row>
    <row r="1085" spans="2:7" x14ac:dyDescent="0.2">
      <c r="B1085" s="84"/>
      <c r="C1085" s="84"/>
      <c r="D1085" s="85"/>
      <c r="E1085" s="84"/>
      <c r="F1085" s="84"/>
      <c r="G1085" s="84"/>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70F4-813B-4E00-A500-FAFD4EC0AD44}">
  <dimension ref="A1"/>
  <sheetViews>
    <sheetView workbookViewId="0">
      <selection activeCell="B2" sqref="B2"/>
    </sheetView>
  </sheetViews>
  <sheetFormatPr defaultRowHeight="12" x14ac:dyDescent="0.2"/>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통합목록</vt:lpstr>
      <vt:lpstr>관련법령</vt:lpstr>
      <vt:lpstr>기출빈도</vt:lpstr>
      <vt:lpstr>기출문제</vt:lpstr>
      <vt:lpstr>테스트</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2026-09-19T07:54:16Z</dcterms:modified>
</cp:coreProperties>
</file>