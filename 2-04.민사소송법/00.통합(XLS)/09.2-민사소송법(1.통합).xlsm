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4.민사소송법/00.통합(XLS)/"/>
    </mc:Choice>
  </mc:AlternateContent>
  <xr:revisionPtr revIDLastSave="112592" documentId="1_{9761EA50-ACCF-45F6-B173-7A6947A228BA}" xr6:coauthVersionLast="47" xr6:coauthVersionMax="47" xr10:uidLastSave="{E3DA04EA-91A5-4426-9445-634CE9D5AFB1}"/>
  <bookViews>
    <workbookView xWindow="-120" yWindow="-120" windowWidth="29040" windowHeight="15720" tabRatio="963" activeTab="3" xr2:uid="{4D92634D-11C4-4052-A5A5-28E583E4E652}"/>
  </bookViews>
  <sheets>
    <sheet name="설정" sheetId="77" r:id="rId1"/>
    <sheet name="기본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5" hidden="1">통합목록!$B$3:$Q$3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5" i="80" l="1"/>
  <c r="M105" i="80"/>
  <c r="N105" i="80"/>
  <c r="O105" i="80"/>
  <c r="L108" i="80"/>
  <c r="M108" i="80"/>
  <c r="N108" i="80"/>
  <c r="O108" i="80"/>
  <c r="L106" i="80"/>
  <c r="M106" i="80"/>
  <c r="N106" i="80"/>
  <c r="O106" i="80"/>
  <c r="L107" i="80"/>
  <c r="M107" i="80"/>
  <c r="N107" i="80"/>
  <c r="O107" i="80"/>
  <c r="L103" i="80"/>
  <c r="M103" i="80"/>
  <c r="N103" i="80"/>
  <c r="O103" i="80"/>
  <c r="L104" i="80"/>
  <c r="M104" i="80"/>
  <c r="N104" i="80"/>
  <c r="O104" i="80"/>
  <c r="L101" i="80"/>
  <c r="M101" i="80"/>
  <c r="N101" i="80"/>
  <c r="O101" i="80"/>
  <c r="L102" i="80"/>
  <c r="M102" i="80"/>
  <c r="N102" i="80"/>
  <c r="O102" i="80"/>
  <c r="L99" i="80"/>
  <c r="M99" i="80"/>
  <c r="N99" i="80"/>
  <c r="O99" i="80"/>
  <c r="L100" i="80"/>
  <c r="M100" i="80"/>
  <c r="N100" i="80"/>
  <c r="O100" i="80"/>
  <c r="L97" i="80"/>
  <c r="M97" i="80"/>
  <c r="N97" i="80"/>
  <c r="O97" i="80"/>
  <c r="L98" i="80"/>
  <c r="M98" i="80"/>
  <c r="N98" i="80"/>
  <c r="O98" i="80"/>
  <c r="L95" i="80"/>
  <c r="M95" i="80"/>
  <c r="N95" i="80"/>
  <c r="O95" i="80"/>
  <c r="L96" i="80"/>
  <c r="M96" i="80"/>
  <c r="N96" i="80"/>
  <c r="O96" i="80"/>
  <c r="L93" i="80"/>
  <c r="M93" i="80"/>
  <c r="N93" i="80"/>
  <c r="O93" i="80"/>
  <c r="L94" i="80"/>
  <c r="M94" i="80"/>
  <c r="N94" i="80"/>
  <c r="O94" i="80"/>
  <c r="L91" i="80"/>
  <c r="M91" i="80"/>
  <c r="N91" i="80"/>
  <c r="O91" i="80"/>
  <c r="L92" i="80"/>
  <c r="M92" i="80"/>
  <c r="N92" i="80"/>
  <c r="O92" i="80"/>
  <c r="L89" i="80"/>
  <c r="M89" i="80"/>
  <c r="N89" i="80"/>
  <c r="O89" i="80"/>
  <c r="L90" i="80"/>
  <c r="M90" i="80"/>
  <c r="N90" i="80"/>
  <c r="O90" i="80"/>
  <c r="L87" i="80"/>
  <c r="M87" i="80"/>
  <c r="N87" i="80"/>
  <c r="O87" i="80"/>
  <c r="L88" i="80"/>
  <c r="M88" i="80"/>
  <c r="N88" i="80"/>
  <c r="O88" i="80"/>
  <c r="L85" i="80"/>
  <c r="M85" i="80"/>
  <c r="N85" i="80"/>
  <c r="O85" i="80"/>
  <c r="L86" i="80"/>
  <c r="M86" i="80"/>
  <c r="N86" i="80"/>
  <c r="O86" i="80"/>
  <c r="L83" i="80"/>
  <c r="M83" i="80"/>
  <c r="N83" i="80"/>
  <c r="O83" i="80"/>
  <c r="L84" i="80"/>
  <c r="M84" i="80"/>
  <c r="N84" i="80"/>
  <c r="O84" i="80"/>
  <c r="L81" i="80"/>
  <c r="M81" i="80"/>
  <c r="N81" i="80"/>
  <c r="O81" i="80"/>
  <c r="L82" i="80"/>
  <c r="M82" i="80"/>
  <c r="N82" i="80"/>
  <c r="O82" i="80"/>
  <c r="L79" i="80"/>
  <c r="M79" i="80"/>
  <c r="N79" i="80"/>
  <c r="O79" i="80"/>
  <c r="L80" i="80"/>
  <c r="M80" i="80"/>
  <c r="N80" i="80"/>
  <c r="O80" i="80"/>
  <c r="L77" i="80"/>
  <c r="M77" i="80"/>
  <c r="N77" i="80"/>
  <c r="O77" i="80"/>
  <c r="L78" i="80"/>
  <c r="M78" i="80"/>
  <c r="N78" i="80"/>
  <c r="O78" i="80"/>
  <c r="L75" i="80"/>
  <c r="M75" i="80"/>
  <c r="N75" i="80"/>
  <c r="O75" i="80"/>
  <c r="L76" i="80"/>
  <c r="M76" i="80"/>
  <c r="N76" i="80"/>
  <c r="O76" i="80"/>
  <c r="L73" i="80"/>
  <c r="M73" i="80"/>
  <c r="N73" i="80"/>
  <c r="O73" i="80"/>
  <c r="L74" i="80"/>
  <c r="M74" i="80"/>
  <c r="N74" i="80"/>
  <c r="O74" i="80"/>
  <c r="L71" i="80"/>
  <c r="M71" i="80"/>
  <c r="N71" i="80"/>
  <c r="O71" i="80"/>
  <c r="L72" i="80"/>
  <c r="M72" i="80"/>
  <c r="N72" i="80"/>
  <c r="O72" i="80"/>
  <c r="L69" i="80"/>
  <c r="M69" i="80"/>
  <c r="N69" i="80"/>
  <c r="O69" i="80"/>
  <c r="L70" i="80"/>
  <c r="M70" i="80"/>
  <c r="N70" i="80"/>
  <c r="O70" i="80"/>
  <c r="B105" i="80" l="1"/>
  <c r="B108" i="80"/>
  <c r="B106" i="80"/>
  <c r="B107" i="80"/>
  <c r="B103" i="80"/>
  <c r="B104" i="80"/>
  <c r="B101" i="80"/>
  <c r="B102" i="80"/>
  <c r="B99" i="80"/>
  <c r="B100" i="80"/>
  <c r="B97" i="80"/>
  <c r="B98" i="80"/>
  <c r="B95" i="80"/>
  <c r="B96" i="80"/>
  <c r="B93" i="80"/>
  <c r="B94" i="80"/>
  <c r="B91" i="80"/>
  <c r="B92" i="80"/>
  <c r="B89" i="80"/>
  <c r="B90" i="80"/>
  <c r="B87" i="80"/>
  <c r="B88" i="80"/>
  <c r="B85" i="80"/>
  <c r="B86" i="80"/>
  <c r="B83" i="80"/>
  <c r="B84" i="80"/>
  <c r="B81" i="80"/>
  <c r="B82" i="80"/>
  <c r="B79" i="80"/>
  <c r="B80" i="80"/>
  <c r="B77" i="80"/>
  <c r="B78" i="80"/>
  <c r="B75" i="80"/>
  <c r="B76" i="80"/>
  <c r="B73" i="80"/>
  <c r="B74" i="80"/>
  <c r="B71" i="80"/>
  <c r="B72" i="80"/>
  <c r="B69" i="80"/>
  <c r="B70" i="80"/>
  <c r="B68" i="80"/>
  <c r="O68" i="80" l="1"/>
  <c r="N68" i="80"/>
  <c r="M68" i="80"/>
  <c r="L68" i="80"/>
  <c r="O67" i="80"/>
  <c r="N67" i="80"/>
  <c r="M67" i="80"/>
  <c r="L67" i="80"/>
  <c r="B67" i="80"/>
  <c r="O66" i="80"/>
  <c r="N66" i="80"/>
  <c r="M66" i="80"/>
  <c r="L66" i="80"/>
  <c r="B66" i="80"/>
  <c r="O65" i="80"/>
  <c r="N65" i="80"/>
  <c r="M65" i="80"/>
  <c r="L65" i="80"/>
  <c r="B65" i="80"/>
  <c r="O64" i="80"/>
  <c r="N64" i="80"/>
  <c r="M64" i="80"/>
  <c r="L64" i="80"/>
  <c r="B64" i="80"/>
  <c r="O63" i="80"/>
  <c r="N63" i="80"/>
  <c r="M63" i="80"/>
  <c r="L63" i="80"/>
  <c r="B63" i="80"/>
  <c r="O62" i="80"/>
  <c r="N62" i="80"/>
  <c r="M62" i="80"/>
  <c r="L62" i="80"/>
  <c r="B62" i="80"/>
  <c r="O61" i="80"/>
  <c r="N61" i="80"/>
  <c r="M61" i="80"/>
  <c r="L61" i="80"/>
  <c r="B61" i="80"/>
  <c r="O60" i="80"/>
  <c r="N60" i="80"/>
  <c r="M60" i="80"/>
  <c r="L60" i="80"/>
  <c r="B60" i="80"/>
  <c r="O59" i="80"/>
  <c r="N59" i="80"/>
  <c r="M59" i="80"/>
  <c r="L59" i="80"/>
  <c r="B59" i="80"/>
  <c r="O58" i="80"/>
  <c r="N58" i="80"/>
  <c r="M58" i="80"/>
  <c r="L58" i="80"/>
  <c r="B58" i="80"/>
  <c r="O57" i="80"/>
  <c r="N57" i="80"/>
  <c r="M57" i="80"/>
  <c r="L57" i="80"/>
  <c r="B57" i="80"/>
  <c r="O56" i="80"/>
  <c r="N56" i="80"/>
  <c r="M56" i="80"/>
  <c r="L56" i="80"/>
  <c r="B56" i="80"/>
  <c r="O55" i="80"/>
  <c r="N55" i="80"/>
  <c r="M55" i="80"/>
  <c r="L55" i="80"/>
  <c r="B55" i="80"/>
  <c r="O54" i="80"/>
  <c r="N54" i="80"/>
  <c r="M54" i="80"/>
  <c r="L54" i="80"/>
  <c r="B54" i="80"/>
  <c r="O53" i="80"/>
  <c r="N53" i="80"/>
  <c r="M53" i="80"/>
  <c r="L53" i="80"/>
  <c r="B53" i="80"/>
  <c r="O52" i="80"/>
  <c r="N52" i="80"/>
  <c r="M52" i="80"/>
  <c r="L52" i="80"/>
  <c r="B52" i="80"/>
  <c r="O51" i="80"/>
  <c r="N51" i="80"/>
  <c r="M51" i="80"/>
  <c r="L51" i="80"/>
  <c r="B51" i="80"/>
  <c r="O50" i="80"/>
  <c r="N50" i="80"/>
  <c r="M50" i="80"/>
  <c r="L50" i="80"/>
  <c r="B50" i="80"/>
  <c r="O49" i="80"/>
  <c r="N49" i="80"/>
  <c r="M49" i="80"/>
  <c r="L49" i="80"/>
  <c r="B49" i="80"/>
  <c r="O48" i="80"/>
  <c r="N48" i="80"/>
  <c r="M48" i="80"/>
  <c r="L48" i="80"/>
  <c r="B48" i="80"/>
  <c r="O47" i="80"/>
  <c r="N47" i="80"/>
  <c r="M47" i="80"/>
  <c r="L47" i="80"/>
  <c r="B47" i="80"/>
  <c r="O46" i="80"/>
  <c r="N46" i="80"/>
  <c r="M46" i="80"/>
  <c r="L46" i="80"/>
  <c r="B46" i="80"/>
  <c r="O45" i="80"/>
  <c r="N45" i="80"/>
  <c r="M45" i="80"/>
  <c r="L45" i="80"/>
  <c r="B45" i="80"/>
  <c r="O44" i="80"/>
  <c r="N44" i="80"/>
  <c r="M44" i="80"/>
  <c r="L44" i="80"/>
  <c r="B44" i="80"/>
  <c r="O43" i="80"/>
  <c r="N43" i="80"/>
  <c r="M43" i="80"/>
  <c r="L43" i="80"/>
  <c r="B43" i="80"/>
  <c r="O42" i="80"/>
  <c r="N42" i="80"/>
  <c r="M42" i="80"/>
  <c r="L42" i="80"/>
  <c r="B42" i="80"/>
  <c r="O41" i="80"/>
  <c r="N41" i="80"/>
  <c r="M41" i="80"/>
  <c r="L41" i="80"/>
  <c r="B41" i="80"/>
  <c r="O39" i="80"/>
  <c r="N39" i="80"/>
  <c r="M39" i="80"/>
  <c r="L39" i="80"/>
  <c r="B39" i="80"/>
  <c r="O40" i="80"/>
  <c r="N40" i="80"/>
  <c r="M40" i="80"/>
  <c r="L40" i="80"/>
  <c r="B40" i="80"/>
  <c r="O37" i="80"/>
  <c r="N37" i="80"/>
  <c r="M37" i="80"/>
  <c r="L37" i="80"/>
  <c r="B37" i="80"/>
  <c r="O38" i="80"/>
  <c r="N38" i="80"/>
  <c r="M38" i="80"/>
  <c r="L38" i="80"/>
  <c r="B38" i="80"/>
  <c r="O36" i="80"/>
  <c r="N36" i="80"/>
  <c r="M36" i="80"/>
  <c r="L36" i="80"/>
  <c r="B36" i="80"/>
  <c r="O35" i="80"/>
  <c r="N35" i="80"/>
  <c r="M35" i="80"/>
  <c r="L35" i="80"/>
  <c r="B35" i="80"/>
  <c r="O34" i="80"/>
  <c r="N34" i="80"/>
  <c r="M34" i="80"/>
  <c r="L34" i="80"/>
  <c r="B34" i="80"/>
  <c r="O33" i="80"/>
  <c r="N33" i="80"/>
  <c r="M33" i="80"/>
  <c r="L33" i="80"/>
  <c r="B33" i="80"/>
  <c r="O32" i="80"/>
  <c r="N32" i="80"/>
  <c r="M32" i="80"/>
  <c r="L32" i="80"/>
  <c r="B32" i="80"/>
  <c r="O31" i="80"/>
  <c r="N31" i="80"/>
  <c r="M31" i="80"/>
  <c r="L31" i="80"/>
  <c r="B31" i="80"/>
  <c r="O30" i="80"/>
  <c r="N30" i="80"/>
  <c r="M30" i="80"/>
  <c r="L30" i="80"/>
  <c r="B30" i="80"/>
  <c r="O29" i="80"/>
  <c r="N29" i="80"/>
  <c r="M29" i="80"/>
  <c r="L29" i="80"/>
  <c r="B29" i="80"/>
  <c r="O28" i="80"/>
  <c r="N28" i="80"/>
  <c r="M28" i="80"/>
  <c r="L28" i="80"/>
  <c r="B28" i="80"/>
  <c r="O27" i="80"/>
  <c r="N27" i="80"/>
  <c r="M27" i="80"/>
  <c r="L27" i="80"/>
  <c r="B27" i="80"/>
  <c r="O26" i="80"/>
  <c r="N26" i="80"/>
  <c r="M26" i="80"/>
  <c r="L26" i="80"/>
  <c r="B26" i="80"/>
  <c r="O25" i="80"/>
  <c r="N25" i="80"/>
  <c r="M25" i="80"/>
  <c r="L25" i="80"/>
  <c r="B25" i="80"/>
  <c r="O24" i="80"/>
  <c r="N24" i="80"/>
  <c r="M24" i="80"/>
  <c r="L24" i="80"/>
  <c r="B24" i="80"/>
  <c r="O23" i="80"/>
  <c r="N23" i="80"/>
  <c r="M23" i="80"/>
  <c r="L23" i="80"/>
  <c r="B23" i="80"/>
  <c r="O22" i="80"/>
  <c r="N22" i="80"/>
  <c r="M22" i="80"/>
  <c r="L22" i="80"/>
  <c r="B22" i="80"/>
  <c r="O21" i="80"/>
  <c r="N21" i="80"/>
  <c r="M21" i="80"/>
  <c r="L21" i="80"/>
  <c r="B21" i="80"/>
  <c r="O20" i="80"/>
  <c r="N20" i="80"/>
  <c r="M20" i="80"/>
  <c r="L20" i="80"/>
  <c r="B20" i="80"/>
  <c r="O19" i="80"/>
  <c r="N19" i="80"/>
  <c r="M19" i="80"/>
  <c r="L19" i="80"/>
  <c r="B19" i="80"/>
  <c r="O18" i="80"/>
  <c r="N18" i="80"/>
  <c r="M18" i="80"/>
  <c r="L18" i="80"/>
  <c r="B18" i="80"/>
  <c r="O17" i="80"/>
  <c r="N17" i="80"/>
  <c r="M17" i="80"/>
  <c r="L17" i="80"/>
  <c r="B17" i="80"/>
  <c r="O16" i="80"/>
  <c r="N16" i="80"/>
  <c r="M16" i="80"/>
  <c r="L16" i="80"/>
  <c r="B16" i="80"/>
  <c r="O15" i="80"/>
  <c r="N15" i="80"/>
  <c r="M15" i="80"/>
  <c r="L15" i="80"/>
  <c r="B15" i="80"/>
  <c r="O14" i="80"/>
  <c r="N14" i="80"/>
  <c r="M14" i="80"/>
  <c r="L14" i="80"/>
  <c r="B14" i="80"/>
  <c r="O13" i="80"/>
  <c r="N13" i="80"/>
  <c r="M13" i="80"/>
  <c r="L13" i="80"/>
  <c r="B13" i="80"/>
  <c r="O12" i="80"/>
  <c r="N12" i="80"/>
  <c r="M12" i="80"/>
  <c r="L12" i="80"/>
  <c r="B12" i="80"/>
  <c r="O11" i="80"/>
  <c r="N11" i="80"/>
  <c r="M11" i="80"/>
  <c r="L11" i="80"/>
  <c r="B11" i="80"/>
  <c r="O10" i="80"/>
  <c r="N10" i="80"/>
  <c r="M10" i="80"/>
  <c r="L10" i="80"/>
  <c r="B10" i="80"/>
  <c r="O9" i="80"/>
  <c r="N9" i="80"/>
  <c r="M9" i="80"/>
  <c r="L9" i="80"/>
  <c r="B9" i="80"/>
  <c r="O8" i="80"/>
  <c r="N8" i="80"/>
  <c r="M8" i="80"/>
  <c r="L8" i="80"/>
  <c r="B8" i="80"/>
  <c r="O7" i="80"/>
  <c r="N7" i="80"/>
  <c r="M7" i="80"/>
  <c r="L7" i="80"/>
  <c r="B7" i="80"/>
  <c r="O6" i="80"/>
  <c r="N6" i="80"/>
  <c r="M6" i="80"/>
  <c r="L6" i="80"/>
  <c r="B6" i="80"/>
  <c r="O5" i="80"/>
  <c r="N5" i="80"/>
  <c r="M5" i="80"/>
  <c r="L5" i="80"/>
  <c r="B5" i="80"/>
  <c r="O4" i="80"/>
  <c r="N4" i="80"/>
  <c r="M4" i="80"/>
  <c r="L4" i="80"/>
  <c r="B4" i="80"/>
</calcChain>
</file>

<file path=xl/sharedStrings.xml><?xml version="1.0" encoding="utf-8"?>
<sst xmlns="http://schemas.openxmlformats.org/spreadsheetml/2006/main" count="3483" uniqueCount="2221">
  <si>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</si>
  <si>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</si>
  <si>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</si>
  <si>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</si>
  <si>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</si>
  <si>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</si>
  <si>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</si>
  <si>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</si>
  <si>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</si>
  <si>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</si>
  <si>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</si>
  <si>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</si>
  <si>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</si>
  <si>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</si>
  <si>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</si>
  <si>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</si>
  <si>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</si>
  <si>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</si>
  <si>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</si>
  <si>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</si>
  <si>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</si>
  <si>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</si>
  <si>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</si>
  <si>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</si>
  <si>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</si>
  <si>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</si>
  <si>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</si>
  <si>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제1절 당사자의 확정</t>
    <phoneticPr fontId="3" type="noConversion"/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</si>
  <si>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</si>
  <si>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</si>
  <si>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</si>
  <si>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</si>
  <si>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</si>
  <si>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</si>
  <si>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</si>
  <si>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</si>
  <si>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</si>
  <si>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</si>
  <si>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</si>
  <si>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</si>
  <si>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</si>
  <si>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</si>
  <si>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</si>
  <si>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</si>
  <si>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</si>
  <si>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</si>
  <si>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</si>
  <si>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</si>
  <si>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</si>
  <si>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</si>
  <si>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</si>
  <si>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</si>
  <si>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</si>
  <si>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</si>
  <si>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</si>
  <si>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</si>
  <si>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</si>
  <si>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</si>
  <si>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</si>
  <si>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</si>
  <si>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</si>
  <si>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</si>
  <si>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</si>
  <si>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제1절 총설</t>
    <phoneticPr fontId="3" type="noConversion"/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</si>
  <si>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</si>
  <si>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</si>
  <si>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</si>
  <si>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</si>
  <si>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</si>
  <si>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</si>
  <si>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</si>
  <si>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</si>
  <si>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</si>
  <si>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</si>
  <si>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</si>
  <si>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</si>
  <si>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</si>
  <si>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</si>
  <si>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</si>
  <si>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</si>
  <si>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</si>
  <si>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</si>
  <si>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</si>
  <si>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</si>
  <si>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제1절 재판 개관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</si>
  <si>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</si>
  <si>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</si>
  <si>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</si>
  <si>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</si>
  <si>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</si>
  <si>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</si>
  <si>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</si>
  <si>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</si>
  <si>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</si>
  <si>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</si>
  <si>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</si>
  <si>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</si>
  <si>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</si>
  <si>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</si>
  <si>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</si>
  <si>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</si>
  <si>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</si>
  <si>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</si>
  <si>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</si>
  <si>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</si>
  <si>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</si>
  <si>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</si>
  <si>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</si>
  <si>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</si>
  <si>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</si>
  <si>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</si>
  <si>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</si>
  <si>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</si>
  <si>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</si>
  <si>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</si>
  <si>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</si>
  <si>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</si>
  <si>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</si>
  <si>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</si>
  <si>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</si>
  <si>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</si>
  <si>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</si>
  <si>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</si>
  <si>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</si>
  <si>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</si>
  <si>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</si>
  <si>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</si>
  <si>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</si>
  <si>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</si>
  <si>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</si>
  <si>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</si>
  <si>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</si>
  <si>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</si>
  <si>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</si>
  <si>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</si>
  <si>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</si>
  <si>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</si>
  <si>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</si>
  <si>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</si>
  <si>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</si>
  <si>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</si>
  <si>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</si>
  <si>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</si>
  <si>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</si>
  <si>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</si>
  <si>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</si>
  <si>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</si>
  <si>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</si>
  <si>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</si>
  <si>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</si>
  <si>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</si>
  <si>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</si>
  <si>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</si>
  <si>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</si>
  <si>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</si>
  <si>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</si>
  <si>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</si>
  <si>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</si>
  <si>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</si>
  <si>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</si>
  <si>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</si>
  <si>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</si>
  <si>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</si>
  <si>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</si>
  <si>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</si>
  <si>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</si>
  <si>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</si>
  <si>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</si>
  <si>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</si>
  <si>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</si>
  <si>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</si>
  <si>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</si>
  <si>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</si>
  <si>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</si>
  <si>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총설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</si>
  <si>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</si>
  <si>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</si>
  <si>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</si>
  <si>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</si>
  <si>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</si>
  <si>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</si>
  <si>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</si>
  <si>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</si>
  <si>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</si>
  <si>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</si>
  <si>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</si>
  <si>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</si>
  <si>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</si>
  <si>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</si>
  <si>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</si>
  <si>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</si>
  <si>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</si>
  <si>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</si>
  <si>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</si>
  <si>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</si>
  <si>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</si>
  <si>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</si>
  <si>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</si>
  <si>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</si>
  <si>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</si>
  <si>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</si>
  <si>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</si>
  <si>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</si>
  <si>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</si>
  <si>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</si>
  <si>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</si>
  <si>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제1절 재판 개관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</si>
  <si>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</si>
  <si>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</si>
  <si>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</si>
  <si>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열기2-04.민사소송법\01.요약(TXT)\제02장 총설-민사소송법.제01절 민사소송법의 의의와 성격.txt</t>
    <phoneticPr fontId="3" type="noConversion"/>
  </si>
  <si>
    <t>열기2-04.민사소송법\01.요약(TXT)\제02장 총설-민사소송법.제02절 민사소송법규의 종류.txt</t>
    <phoneticPr fontId="3" type="noConversion"/>
  </si>
  <si>
    <t>열기2-04.민사소송법\01.요약(TXT)\제03장 소송의 주체-법원.제01절 민사재판권.txt</t>
    <phoneticPr fontId="3" type="noConversion"/>
  </si>
  <si>
    <t>열기2-04.민사소송법\01.요약(TXT)\제03장 소송의 주체-법원.제03절 관할.txt</t>
    <phoneticPr fontId="3" type="noConversion"/>
  </si>
  <si>
    <t>열기2-04.민사소송법\01.요약(TXT)\제04장 소송의 주체-당사자.제02절 당사자의 자격.txt</t>
    <phoneticPr fontId="3" type="noConversion"/>
  </si>
  <si>
    <t>열기2-04.민사소송법\01.요약(TXT)\제04장 소송의 주체-당사자.제03절 소송상의 대리인.txt</t>
    <phoneticPr fontId="3" type="noConversion"/>
  </si>
  <si>
    <t>열기2-04.민사소송법\01.요약(TXT)\제08장 소송의 종료-총설.제01절 소송종료사유.txt</t>
  </si>
  <si>
    <t>열기2-04.민사소송법\01.요약(TXT)\제08장 소송의 종료-총설.제02절 소송종료선언.txt</t>
  </si>
  <si>
    <t>열기2-04.민사소송법\01.요약(TXT)\제10장 소송의 종료-종국판결에 의한 종료.제02절 판결.txt</t>
  </si>
  <si>
    <t>열기2-04.민사소송법\01.요약(TXT)\제13장 상소심절차-총설.제01절 상소의 의의.txt</t>
  </si>
  <si>
    <t>열기2-04.민사소송법\01.요약(TXT)\제13장 상소심절차-총설.제02절 상소의 적법요건.txt</t>
  </si>
  <si>
    <t>열기2-04.민사소송법\01.요약(TXT)\제13장 상소심절차-총설.제03절 상소의 효력.txt</t>
  </si>
  <si>
    <t>열기2-04.민사소송법\01.요약(TXT)\제14장 상소심절차-항소.제02절 항소의 제기.txt</t>
  </si>
  <si>
    <t>열기2-04.민사소송법\01.요약(TXT)\제14장 상소심절차-항소.제03절 항소심의 심리.txt</t>
  </si>
  <si>
    <t>열기2-04.민사소송법\01.요약(TXT)\제14장 상소심절차-항소.제04절 항소심의 종국재판.txt</t>
  </si>
  <si>
    <t>열기2-04.민사소송법\01.요약(TXT)\제15장 상소심절차-상고.제01절 상고의 의의.txt</t>
  </si>
  <si>
    <t>열기2-04.민사소송법\01.요약(TXT)\제15장 상소심절차-상고.제02절 상고이유.txt</t>
  </si>
  <si>
    <t>열기2-04.민사소송법\01.요약(TXT)\제15장 상소심절차-상고.제03절 상고심절차의 개시와 심리.txt</t>
  </si>
  <si>
    <t>열기2-04.민사소송법\01.요약(TXT)\제15장 상소심절차-상고.제04절 상고심의 종국재판.txt</t>
  </si>
  <si>
    <t>열기2-04.민사소송법\01.요약(TXT)\제16장 상소심절차-항고.제01절 항고의 의의.txt</t>
  </si>
  <si>
    <t>열기2-04.민사소송법\01.요약(TXT)\제16장 상소심절차-항고.제02절 항고의 절차.txt</t>
  </si>
  <si>
    <t>열기2-04.민사소송법\01.요약(TXT)\제17장 재심절차.제01절 재심의 개념.txt</t>
  </si>
  <si>
    <t>열기2-04.민사소송법\01.요약(TXT)\제17장 재심절차.제02절 재심의 소송물.txt</t>
  </si>
  <si>
    <t>열기2-04.민사소송법\01.요약(TXT)\제17장 재심절차.제03절 적법요건.txt</t>
  </si>
  <si>
    <t>열기2-04.민사소송법\01.요약(TXT)\제17장 재심절차.제04절 재심절차.txt</t>
  </si>
  <si>
    <t>열기2-04.민사소송법\01.요약(TXT)\제17장 재심절차.제05절 준재심.txt</t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</si>
  <si>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</si>
  <si>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</si>
  <si>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</si>
  <si>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열기2-04.민사소송법\01.요약(TXT)\제03장 소송의 주체-법원.제02절 법관의 제척・기피・회피.txt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</si>
  <si>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</si>
  <si>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</si>
  <si>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열기2-04.민사소송법\01.요약(TXT)\제01장 총설-민사소송.제01절 개관.txt</t>
    <phoneticPr fontId="3" type="noConversion"/>
  </si>
  <si>
    <t>열기2-04.민사소송법\01.요약(TXT)\제01장 총설-민사소송.제02절 민사소송의 의의와 목적.txt</t>
    <phoneticPr fontId="3" type="noConversion"/>
  </si>
  <si>
    <t>열기2-04.민사소송법\01.요약(TXT)\제01장 총설-민사소송.제03절 민사소송의 이상과 신의성실의 원칙.txt</t>
    <phoneticPr fontId="3" type="noConversion"/>
  </si>
  <si>
    <t>소송의 종료-당사자 행위에 의한 종료</t>
  </si>
  <si>
    <t>열기2-04.민사소송법\01.요약(TXT)\제09장 소송의 종료-당사자 행위에 의한 종료.제01절 소의 취하와 재소금지.txt</t>
  </si>
  <si>
    <t>열기2-04.민사소송법\01.요약(TXT)\제09장 소송의 종료-당사자 행위에 의한 종료.제02절 청구의 포기・인낙.txt</t>
  </si>
  <si>
    <t>열기2-04.민사소송법\01.요약(TXT)\제09장 소송의 종료-당사자 행위에 의한 종료.제03절 재판상 화해.txt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</si>
  <si>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</si>
  <si>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</si>
  <si>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</si>
  <si>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</si>
  <si>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</si>
  <si>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</si>
  <si>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</si>
  <si>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</si>
  <si>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</si>
  <si>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</si>
  <si>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</si>
  <si>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</si>
  <si>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</si>
  <si>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</si>
  <si>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</si>
  <si>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</si>
  <si>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</si>
  <si>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</si>
  <si>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</si>
  <si>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</si>
  <si>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</si>
  <si>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</si>
  <si>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</si>
  <si>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</si>
  <si>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</si>
  <si>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</si>
  <si>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</si>
  <si>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</si>
  <si>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</si>
  <si>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</si>
  <si>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</si>
  <si>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</si>
  <si>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</si>
  <si>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</si>
  <si>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</si>
  <si>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</si>
  <si>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</si>
  <si>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</si>
  <si>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</si>
  <si>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</si>
  <si>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</si>
  <si>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</si>
  <si>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</si>
  <si>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</si>
  <si>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</si>
  <si>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</si>
  <si>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</si>
  <si>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</si>
  <si>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</si>
  <si>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</si>
  <si>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</si>
  <si>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</si>
  <si>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</si>
  <si>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</si>
  <si>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</si>
  <si>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</si>
  <si>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</si>
  <si>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</si>
  <si>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</si>
  <si>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</si>
  <si>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</si>
  <si>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</si>
  <si>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</si>
  <si>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</si>
  <si>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</si>
  <si>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</si>
  <si>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</si>
  <si>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</si>
  <si>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</si>
  <si>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</si>
  <si>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</si>
  <si>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</si>
  <si>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</si>
  <si>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</si>
  <si>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</si>
  <si>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</si>
  <si>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</si>
  <si>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</si>
  <si>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</si>
  <si>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</si>
  <si>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</si>
  <si>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</si>
  <si>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</si>
  <si>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</si>
  <si>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</si>
  <si>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</si>
  <si>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</si>
  <si>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</si>
  <si>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</si>
  <si>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</si>
  <si>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</si>
  <si>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</si>
  <si>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</si>
  <si>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</si>
  <si>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</si>
  <si>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</si>
  <si>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</si>
  <si>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</si>
  <si>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</si>
  <si>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</si>
  <si>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</si>
  <si>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</si>
  <si>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</si>
  <si>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</si>
  <si>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</si>
  <si>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</si>
  <si>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</si>
  <si>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</si>
  <si>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</si>
  <si>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</si>
  <si>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</si>
  <si>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</si>
  <si>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</si>
  <si>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</si>
  <si>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</si>
  <si>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</si>
  <si>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</si>
  <si>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</si>
  <si>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</si>
  <si>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</si>
  <si>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</si>
  <si>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</si>
  <si>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</si>
  <si>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</si>
  <si>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</si>
  <si>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</si>
  <si>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</si>
  <si>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</si>
  <si>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</si>
  <si>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</si>
  <si>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</si>
  <si>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</si>
  <si>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</si>
  <si>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</si>
  <si>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</si>
  <si>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</si>
  <si>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</si>
  <si>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</si>
  <si>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</si>
  <si>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</si>
  <si>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</si>
  <si>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</si>
  <si>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</si>
  <si>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</si>
  <si>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</si>
  <si>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</si>
  <si>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</si>
  <si>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</si>
  <si>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</si>
  <si>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</si>
  <si>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</si>
  <si>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</si>
  <si>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</si>
  <si>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</si>
  <si>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</si>
  <si>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</si>
  <si>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</si>
  <si>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</si>
  <si>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</si>
  <si>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</si>
  <si>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</si>
  <si>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</si>
  <si>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</si>
  <si>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</si>
  <si>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</si>
  <si>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</si>
  <si>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</si>
  <si>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</si>
  <si>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</si>
  <si>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</si>
  <si>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</si>
  <si>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</si>
  <si>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</si>
  <si>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</si>
  <si>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</si>
  <si>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</si>
  <si>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</si>
  <si>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</si>
  <si>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</si>
  <si>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</si>
  <si>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</si>
  <si>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</si>
  <si>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</si>
  <si>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</si>
  <si>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</si>
  <si>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</si>
  <si>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</si>
  <si>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</si>
  <si>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</si>
  <si>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</si>
  <si>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</si>
  <si>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</si>
  <si>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</si>
  <si>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</si>
  <si>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</si>
  <si>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</si>
  <si>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</si>
  <si>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</si>
  <si>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</si>
  <si>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</si>
  <si>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</si>
  <si>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</si>
  <si>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</si>
  <si>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</si>
  <si>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</si>
  <si>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</si>
  <si>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</si>
  <si>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</si>
  <si>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열기2-04.민사소송법\01.요약(TXT)\제10장 소송의 종료-종국판결에 의한 종료.제01절 재판.txt</t>
    <phoneticPr fontId="3" type="noConversion"/>
  </si>
  <si>
    <t>재판</t>
    <phoneticPr fontId="3" type="noConversion"/>
  </si>
  <si>
    <t>열기2-04.민사소송법\01.요약(TXT)\제11장 병합소송-병합청구소송.제01절 청구의 원시적 병합.txt</t>
    <phoneticPr fontId="3" type="noConversion"/>
  </si>
  <si>
    <t>열기2-04.민사소송법\01.요약(TXT)\제11장 병합소송-병합청구소송.제02절 청구의 후발적 병합.txt</t>
    <phoneticPr fontId="3" type="noConversion"/>
  </si>
  <si>
    <t>열기2-04.민사소송법\01.요약(TXT)\제12장 병합소송-다수당사자소송.제01절 공동소송.txt</t>
    <phoneticPr fontId="3" type="noConversion"/>
  </si>
  <si>
    <t>열기2-04.민사소송법\01.요약(TXT)\제12장 병합소송-다수당사자소송.제02절 제3자의 소송참가.txt</t>
    <phoneticPr fontId="3" type="noConversion"/>
  </si>
  <si>
    <t>열기2-04.민사소송법\01.요약(TXT)\제12장 병합소송-다수당사자소송.제03절 당사자의 변경.txt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</si>
  <si>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</si>
  <si>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</si>
  <si>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</si>
  <si>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</si>
  <si>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</si>
  <si>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</si>
  <si>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</si>
  <si>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</si>
  <si>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</si>
  <si>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</si>
  <si>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</si>
  <si>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</si>
  <si>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</si>
  <si>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</si>
  <si>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</si>
  <si>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</si>
  <si>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</si>
  <si>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</si>
  <si>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</si>
  <si>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</si>
  <si>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</si>
  <si>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</si>
  <si>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</si>
  <si>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</si>
  <si>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</si>
  <si>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</si>
  <si>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</si>
  <si>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</si>
  <si>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</si>
  <si>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</si>
  <si>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</si>
  <si>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</si>
  <si>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</si>
  <si>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</si>
  <si>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</si>
  <si>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</si>
  <si>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</si>
  <si>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</si>
  <si>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</si>
  <si>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</si>
  <si>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</si>
  <si>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</si>
  <si>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</si>
  <si>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</si>
  <si>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</si>
  <si>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</si>
  <si>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</si>
  <si>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</si>
  <si>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</si>
  <si>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</si>
  <si>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</si>
  <si>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</si>
  <si>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</si>
  <si>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</si>
  <si>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</si>
  <si>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</si>
  <si>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</si>
  <si>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</si>
  <si>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</si>
  <si>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</si>
  <si>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</si>
  <si>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</si>
  <si>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</si>
  <si>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</si>
  <si>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</si>
  <si>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</si>
  <si>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</si>
  <si>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</si>
  <si>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</si>
  <si>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</si>
  <si>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</si>
  <si>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</si>
  <si>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</si>
  <si>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</si>
  <si>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</si>
  <si>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</si>
  <si>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</si>
  <si>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</si>
  <si>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</si>
  <si>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</si>
  <si>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</si>
  <si>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</si>
  <si>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</si>
  <si>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</si>
  <si>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</si>
  <si>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</si>
  <si>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</si>
  <si>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</si>
  <si>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</si>
  <si>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</si>
  <si>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</si>
  <si>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</si>
  <si>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</si>
  <si>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</si>
  <si>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</si>
  <si>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</si>
  <si>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</si>
  <si>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</si>
  <si>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</si>
  <si>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</si>
  <si>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</si>
  <si>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</si>
  <si>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</si>
  <si>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</si>
  <si>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</si>
  <si>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</si>
  <si>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</si>
  <si>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</si>
  <si>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</si>
  <si>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</si>
  <si>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</si>
  <si>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</si>
  <si>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</si>
  <si>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</si>
  <si>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</si>
  <si>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</si>
  <si>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</si>
  <si>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</si>
  <si>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</si>
  <si>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</si>
  <si>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</si>
  <si>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</si>
  <si>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</si>
  <si>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</si>
  <si>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</si>
  <si>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</si>
  <si>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</si>
  <si>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</si>
  <si>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</si>
  <si>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</si>
  <si>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</si>
  <si>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</si>
  <si>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</si>
  <si>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</si>
  <si>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</si>
  <si>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</si>
  <si>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</si>
  <si>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</si>
  <si>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</si>
  <si>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</si>
  <si>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</si>
  <si>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</si>
  <si>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</si>
  <si>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</si>
  <si>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</si>
  <si>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</si>
  <si>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</si>
  <si>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</si>
  <si>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</si>
  <si>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</si>
  <si>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</si>
  <si>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</si>
  <si>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</si>
  <si>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</si>
  <si>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</si>
  <si>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</si>
  <si>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</si>
  <si>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</si>
  <si>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</si>
  <si>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</si>
  <si>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</si>
  <si>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</si>
  <si>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</si>
  <si>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</si>
  <si>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</si>
  <si>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</si>
  <si>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</si>
  <si>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</si>
  <si>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</si>
  <si>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</si>
  <si>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</si>
  <si>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</si>
  <si>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</si>
  <si>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</si>
  <si>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</si>
  <si>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</si>
  <si>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</si>
  <si>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</si>
  <si>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</si>
  <si>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</si>
  <si>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</si>
  <si>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</si>
  <si>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</si>
  <si>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</si>
  <si>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</si>
  <si>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</si>
  <si>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</si>
  <si>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</si>
  <si>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</si>
  <si>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</si>
  <si>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</si>
  <si>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</si>
  <si>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</si>
  <si>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</si>
  <si>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</si>
  <si>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</si>
  <si>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</si>
  <si>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</si>
  <si>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</si>
  <si>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</si>
  <si>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</si>
  <si>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</si>
  <si>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</si>
  <si>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</si>
  <si>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</si>
  <si>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</si>
  <si>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</si>
  <si>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</si>
  <si>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</si>
  <si>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</si>
  <si>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</si>
  <si>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</si>
  <si>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</si>
  <si>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</si>
  <si>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</si>
  <si>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</si>
  <si>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</si>
  <si>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</si>
  <si>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</si>
  <si>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</si>
  <si>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</si>
  <si>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</si>
  <si>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</si>
  <si>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</si>
  <si>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</si>
  <si>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</si>
  <si>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</si>
  <si>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</si>
  <si>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</si>
  <si>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</si>
  <si>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</si>
  <si>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</si>
  <si>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</si>
  <si>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</si>
  <si>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</si>
  <si>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</si>
  <si>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</si>
  <si>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</si>
  <si>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</si>
  <si>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</si>
  <si>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</si>
  <si>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</si>
  <si>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</si>
  <si>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</si>
  <si>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</si>
  <si>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</si>
  <si>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</si>
  <si>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</si>
  <si>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</si>
  <si>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</si>
  <si>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</si>
  <si>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</si>
  <si>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</si>
  <si>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</si>
  <si>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</si>
  <si>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</si>
  <si>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</si>
  <si>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</si>
  <si>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</si>
  <si>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</si>
  <si>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</si>
  <si>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</si>
  <si>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</si>
  <si>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</si>
  <si>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</si>
  <si>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</si>
  <si>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</si>
  <si>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</si>
  <si>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</si>
  <si>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</si>
  <si>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</si>
  <si>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</si>
  <si>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</si>
  <si>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</si>
  <si>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</si>
  <si>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</si>
  <si>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</si>
  <si>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</si>
  <si>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</si>
  <si>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</si>
  <si>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</si>
  <si>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</si>
  <si>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</si>
  <si>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</si>
  <si>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</si>
  <si>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</si>
  <si>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</si>
  <si>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</si>
  <si>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</si>
  <si>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</si>
  <si>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</si>
  <si>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</si>
  <si>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</si>
  <si>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</si>
  <si>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</si>
  <si>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</si>
  <si>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</si>
  <si>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</si>
  <si>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</si>
  <si>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</si>
  <si>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</si>
  <si>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</si>
  <si>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</si>
  <si>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</si>
  <si>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</si>
  <si>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</si>
  <si>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</si>
  <si>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</si>
  <si>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</si>
  <si>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</si>
  <si>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</si>
  <si>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</si>
  <si>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</si>
  <si>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</si>
  <si>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</si>
  <si>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</si>
  <si>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</si>
  <si>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</si>
  <si>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</si>
  <si>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</si>
  <si>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</si>
  <si>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</si>
  <si>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</si>
  <si>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</si>
  <si>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</si>
  <si>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</si>
  <si>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</si>
  <si>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</si>
  <si>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</si>
  <si>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</si>
  <si>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</si>
  <si>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</si>
  <si>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</si>
  <si>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</si>
  <si>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</si>
  <si>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</si>
  <si>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</si>
  <si>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</si>
  <si>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</si>
  <si>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</si>
  <si>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</si>
  <si>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</si>
  <si>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</si>
  <si>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</si>
  <si>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</si>
  <si>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</si>
  <si>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</si>
  <si>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</si>
  <si>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</si>
  <si>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</si>
  <si>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</si>
  <si>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</si>
  <si>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</si>
  <si>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</si>
  <si>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</si>
  <si>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</si>
  <si>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</si>
  <si>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</si>
  <si>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</si>
  <si>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</si>
  <si>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</si>
  <si>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</si>
  <si>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</si>
  <si>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</si>
  <si>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</si>
  <si>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</si>
  <si>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</si>
  <si>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</si>
  <si>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</si>
  <si>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</si>
  <si>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</si>
  <si>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</si>
  <si>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</si>
  <si>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</si>
  <si>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</si>
  <si>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</si>
  <si>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</si>
  <si>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</si>
  <si>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</si>
  <si>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</si>
  <si>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</si>
  <si>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</si>
  <si>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</si>
  <si>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</si>
  <si>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</si>
  <si>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</si>
  <si>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</si>
  <si>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</si>
  <si>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</si>
  <si>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</si>
  <si>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</si>
  <si>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</si>
  <si>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</si>
  <si>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</si>
  <si>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</si>
  <si>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</si>
  <si>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</si>
  <si>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</si>
  <si>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</si>
  <si>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</si>
  <si>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</si>
  <si>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</si>
  <si>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</si>
  <si>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</si>
  <si>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</si>
  <si>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</si>
  <si>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</si>
  <si>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</si>
  <si>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</si>
  <si>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</si>
  <si>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</si>
  <si>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</si>
  <si>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</si>
  <si>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</si>
  <si>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</si>
  <si>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</si>
  <si>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</si>
  <si>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</si>
  <si>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</si>
  <si>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</si>
  <si>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</si>
  <si>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</si>
  <si>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</si>
  <si>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</si>
  <si>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</si>
  <si>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</si>
  <si>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</si>
  <si>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</si>
  <si>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</si>
  <si>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</si>
  <si>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</si>
  <si>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</si>
  <si>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</si>
  <si>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</si>
  <si>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</si>
  <si>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</si>
  <si>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</si>
  <si>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</si>
  <si>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</si>
  <si>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</si>
  <si>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</si>
  <si>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</si>
  <si>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</si>
  <si>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</si>
  <si>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</si>
  <si>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</si>
  <si>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</si>
  <si>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</si>
  <si>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</si>
  <si>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</si>
  <si>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</si>
  <si>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</si>
  <si>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</si>
  <si>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</si>
  <si>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</si>
  <si>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</si>
  <si>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</si>
  <si>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</si>
  <si>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</si>
  <si>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</si>
  <si>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</si>
  <si>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</si>
  <si>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</si>
  <si>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</si>
  <si>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</si>
  <si>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</si>
  <si>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</si>
  <si>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</si>
  <si>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</si>
  <si>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</si>
  <si>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</si>
  <si>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</si>
  <si>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</si>
  <si>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</si>
  <si>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</si>
  <si>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</si>
  <si>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</si>
  <si>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</si>
  <si>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</si>
  <si>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</si>
  <si>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</si>
  <si>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</si>
  <si>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</si>
  <si>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</si>
  <si>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</si>
  <si>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</si>
  <si>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</si>
  <si>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</si>
  <si>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</si>
  <si>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</si>
  <si>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</si>
  <si>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</si>
  <si>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</si>
  <si>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</si>
  <si>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</si>
  <si>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</si>
  <si>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</si>
  <si>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</si>
  <si>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</si>
  <si>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</si>
  <si>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</si>
  <si>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</si>
  <si>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</si>
  <si>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</si>
  <si>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</si>
  <si>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</si>
  <si>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</si>
  <si>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</si>
  <si>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</si>
  <si>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</si>
  <si>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</si>
  <si>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</si>
  <si>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</si>
  <si>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</si>
  <si>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</si>
  <si>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</si>
  <si>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</si>
  <si>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</si>
  <si>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</si>
  <si>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</si>
  <si>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</si>
  <si>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</si>
  <si>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</si>
  <si>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</si>
  <si>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</si>
  <si>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</si>
  <si>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</si>
  <si>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</si>
  <si>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</si>
  <si>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</si>
  <si>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</si>
  <si>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</si>
  <si>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</si>
  <si>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</si>
  <si>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</si>
  <si>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</si>
  <si>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</si>
  <si>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</si>
  <si>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</si>
  <si>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</si>
  <si>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</si>
  <si>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</si>
  <si>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</si>
  <si>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</si>
  <si>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</si>
  <si>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</si>
  <si>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</si>
  <si>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</si>
  <si>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</si>
  <si>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</si>
  <si>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</si>
  <si>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</si>
  <si>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</si>
  <si>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</si>
  <si>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</si>
  <si>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</si>
  <si>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</si>
  <si>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</si>
  <si>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</si>
  <si>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</si>
  <si>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</si>
  <si>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</si>
  <si>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</si>
  <si>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</si>
  <si>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</si>
  <si>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</si>
  <si>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</si>
  <si>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</si>
  <si>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</si>
  <si>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</si>
  <si>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</si>
  <si>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</si>
  <si>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</si>
  <si>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</si>
  <si>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</si>
  <si>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</si>
  <si>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</si>
  <si>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</si>
  <si>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</si>
  <si>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</si>
  <si>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</si>
  <si>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</si>
  <si>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</si>
  <si>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</si>
  <si>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</si>
  <si>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</si>
  <si>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</si>
  <si>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</si>
  <si>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</si>
  <si>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</si>
  <si>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</si>
  <si>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</si>
  <si>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</si>
  <si>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</si>
  <si>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</si>
  <si>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</si>
  <si>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</si>
  <si>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</si>
  <si>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</si>
  <si>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</si>
  <si>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</si>
  <si>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</si>
  <si>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</si>
  <si>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</si>
  <si>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</si>
  <si>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</si>
  <si>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</si>
  <si>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</si>
  <si>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</si>
  <si>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</si>
  <si>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</si>
  <si>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</si>
  <si>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</si>
  <si>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</si>
  <si>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</si>
  <si>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</si>
  <si>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</si>
  <si>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</si>
  <si>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</si>
  <si>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</si>
  <si>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</si>
  <si>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</si>
  <si>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</si>
  <si>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</si>
  <si>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</si>
  <si>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</si>
  <si>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</si>
  <si>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</si>
  <si>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</si>
  <si>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</si>
  <si>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</si>
  <si>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</si>
  <si>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</si>
  <si>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</si>
  <si>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</si>
  <si>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</si>
  <si>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</si>
  <si>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</si>
  <si>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</si>
  <si>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</si>
  <si>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</si>
  <si>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</si>
  <si>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</si>
  <si>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</si>
  <si>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</si>
  <si>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</si>
  <si>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</si>
  <si>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</si>
  <si>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</si>
  <si>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</si>
  <si>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</si>
  <si>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</si>
  <si>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</si>
  <si>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</si>
  <si>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</si>
  <si>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</si>
  <si>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</si>
  <si>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</si>
  <si>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</si>
  <si>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</si>
  <si>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</si>
  <si>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</si>
  <si>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</si>
  <si>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</si>
  <si>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</si>
  <si>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</si>
  <si>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</si>
  <si>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</si>
  <si>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</si>
  <si>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</si>
  <si>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</si>
  <si>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</si>
  <si>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</si>
  <si>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</si>
  <si>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</si>
  <si>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</si>
  <si>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</si>
  <si>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</si>
  <si>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</si>
  <si>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</si>
  <si>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</si>
  <si>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</si>
  <si>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</si>
  <si>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</si>
  <si>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</si>
  <si>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</si>
  <si>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</si>
  <si>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</si>
  <si>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</si>
  <si>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</si>
  <si>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</si>
  <si>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</si>
  <si>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</si>
  <si>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</si>
  <si>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</si>
  <si>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</si>
  <si>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</si>
  <si>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</si>
  <si>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</si>
  <si>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</si>
  <si>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</si>
  <si>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</si>
  <si>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</si>
  <si>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</si>
  <si>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</si>
  <si>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</si>
  <si>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</si>
  <si>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</si>
  <si>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</si>
  <si>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</si>
  <si>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</si>
  <si>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</si>
  <si>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</si>
  <si>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</si>
  <si>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</si>
  <si>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</si>
  <si>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</si>
  <si>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</si>
  <si>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</si>
  <si>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</si>
  <si>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</si>
  <si>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</si>
  <si>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</si>
  <si>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</si>
  <si>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</si>
  <si>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</si>
  <si>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</si>
  <si>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</si>
  <si>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</si>
  <si>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</si>
  <si>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</si>
  <si>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</si>
  <si>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</si>
  <si>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</si>
  <si>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</si>
  <si>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</si>
  <si>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</si>
  <si>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</si>
  <si>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</si>
  <si>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</si>
  <si>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</si>
  <si>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</si>
  <si>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</si>
  <si>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</si>
  <si>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</si>
  <si>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</si>
  <si>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</si>
  <si>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</si>
  <si>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</si>
  <si>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</si>
  <si>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</si>
  <si>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</si>
  <si>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</si>
  <si>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</si>
  <si>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</si>
  <si>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</si>
  <si>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</si>
  <si>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</si>
  <si>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</si>
  <si>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</si>
  <si>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</si>
  <si>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</si>
  <si>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</si>
  <si>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</si>
  <si>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</si>
  <si>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</si>
  <si>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</si>
  <si>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</si>
  <si>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</si>
  <si>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</si>
  <si>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</si>
  <si>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</si>
  <si>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</si>
  <si>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</si>
  <si>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</si>
  <si>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</si>
  <si>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</si>
  <si>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</si>
  <si>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</si>
  <si>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</si>
  <si>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</si>
  <si>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</si>
  <si>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</si>
  <si>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</si>
  <si>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</si>
  <si>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</si>
  <si>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</si>
  <si>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</si>
  <si>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</si>
  <si>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</si>
  <si>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</si>
  <si>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</si>
  <si>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</si>
  <si>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</si>
  <si>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</si>
  <si>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</si>
  <si>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</si>
  <si>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</si>
  <si>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</si>
  <si>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</si>
  <si>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</si>
  <si>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</si>
  <si>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</si>
  <si>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</si>
  <si>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</si>
  <si>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</si>
  <si>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</si>
  <si>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</si>
  <si>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</si>
  <si>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</si>
  <si>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</si>
  <si>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</si>
  <si>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</si>
  <si>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</si>
  <si>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</si>
  <si>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</si>
  <si>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</si>
  <si>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</si>
  <si>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</si>
  <si>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</si>
  <si>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</si>
  <si>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</si>
  <si>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</si>
  <si>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</si>
  <si>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</si>
  <si>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</si>
  <si>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</si>
  <si>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</si>
  <si>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</si>
  <si>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</si>
  <si>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</si>
  <si>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</si>
  <si>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</si>
  <si>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</si>
  <si>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</si>
  <si>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</si>
  <si>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</si>
  <si>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</si>
  <si>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</si>
  <si>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</si>
  <si>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</si>
  <si>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</si>
  <si>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</si>
  <si>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</si>
  <si>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</si>
  <si>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</si>
  <si>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</si>
  <si>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</si>
  <si>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</si>
  <si>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</si>
  <si>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</si>
  <si>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</si>
  <si>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</si>
  <si>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</si>
  <si>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</si>
  <si>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</si>
  <si>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</si>
  <si>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</si>
  <si>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</si>
  <si>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</si>
  <si>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</si>
  <si>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</si>
  <si>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</si>
  <si>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</si>
  <si>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</si>
  <si>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</si>
  <si>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</si>
  <si>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</si>
  <si>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</si>
  <si>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</si>
  <si>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</si>
  <si>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</si>
  <si>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</si>
  <si>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</si>
  <si>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</si>
  <si>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</si>
  <si>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</si>
  <si>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</si>
  <si>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</si>
  <si>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</si>
  <si>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</si>
  <si>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</si>
  <si>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</si>
  <si>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</si>
  <si>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</si>
  <si>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</si>
  <si>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</si>
  <si>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</si>
  <si>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</si>
  <si>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</si>
  <si>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</si>
  <si>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</si>
  <si>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</si>
  <si>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</si>
  <si>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</si>
  <si>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</si>
  <si>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</si>
  <si>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</si>
  <si>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</si>
  <si>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</si>
  <si>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</si>
  <si>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</si>
  <si>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</si>
  <si>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</si>
  <si>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</si>
  <si>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</si>
  <si>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</si>
  <si>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</si>
  <si>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</si>
  <si>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</si>
  <si>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</si>
  <si>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</si>
  <si>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</si>
  <si>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</si>
  <si>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</si>
  <si>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</si>
  <si>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</si>
  <si>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</si>
  <si>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</si>
  <si>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</si>
  <si>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</si>
  <si>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</si>
  <si>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</si>
  <si>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</si>
  <si>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</si>
  <si>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</si>
  <si>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</si>
  <si>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</si>
  <si>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</si>
  <si>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</si>
  <si>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</si>
  <si>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</si>
  <si>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</si>
  <si>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</si>
  <si>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</si>
  <si>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</si>
  <si>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</si>
  <si>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</si>
  <si>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</si>
  <si>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</si>
  <si>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</si>
  <si>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</si>
  <si>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</si>
  <si>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</si>
  <si>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</si>
  <si>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</si>
  <si>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</si>
  <si>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</si>
  <si>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</si>
  <si>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</si>
  <si>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</si>
  <si>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</si>
  <si>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</si>
  <si>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</si>
  <si>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</si>
  <si>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</si>
  <si>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</si>
  <si>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</si>
  <si>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</si>
  <si>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</si>
  <si>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</si>
  <si>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</si>
  <si>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</si>
  <si>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</si>
  <si>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</si>
  <si>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</si>
  <si>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</si>
  <si>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</si>
  <si>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</si>
  <si>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</si>
  <si>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</si>
  <si>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</si>
  <si>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</si>
  <si>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</si>
  <si>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</si>
  <si>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</si>
  <si>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</si>
  <si>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</si>
  <si>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</si>
  <si>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</si>
  <si>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</si>
  <si>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</si>
  <si>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</si>
  <si>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</si>
  <si>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</si>
  <si>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</si>
  <si>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</si>
  <si>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</si>
  <si>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</si>
  <si>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</si>
  <si>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</si>
  <si>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</si>
  <si>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</si>
  <si>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</si>
  <si>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</si>
  <si>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</si>
  <si>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</si>
  <si>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</si>
  <si>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</si>
  <si>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</si>
  <si>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</si>
  <si>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</si>
  <si>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</si>
  <si>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</si>
  <si>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</si>
  <si>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</si>
  <si>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</si>
  <si>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</si>
  <si>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</si>
  <si>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</si>
  <si>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</si>
  <si>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</si>
  <si>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</si>
  <si>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</si>
  <si>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</si>
  <si>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</si>
  <si>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</si>
  <si>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</si>
  <si>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</si>
  <si>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</si>
  <si>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</si>
  <si>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</si>
  <si>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</si>
  <si>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</si>
  <si>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</si>
  <si>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</si>
  <si>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</si>
  <si>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</si>
  <si>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</si>
  <si>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</si>
  <si>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</si>
  <si>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</si>
  <si>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</si>
  <si>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</si>
  <si>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</si>
  <si>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</si>
  <si>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</si>
  <si>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</si>
  <si>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</si>
  <si>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</si>
  <si>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</si>
  <si>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</si>
  <si>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</si>
  <si>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</si>
  <si>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</si>
  <si>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</si>
  <si>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</si>
  <si>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</si>
  <si>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</si>
  <si>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</si>
  <si>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</si>
  <si>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</si>
  <si>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</si>
  <si>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</si>
  <si>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</si>
  <si>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</si>
  <si>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</si>
  <si>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</si>
  <si>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</si>
  <si>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</si>
  <si>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</si>
  <si>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</si>
  <si>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</si>
  <si>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</si>
  <si>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</si>
  <si>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</si>
  <si>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</si>
  <si>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</si>
  <si>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</si>
  <si>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</si>
  <si>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</si>
  <si>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</si>
  <si>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</si>
  <si>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</si>
  <si>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</si>
  <si>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</si>
  <si>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</si>
  <si>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</si>
  <si>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</si>
  <si>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</si>
  <si>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</si>
  <si>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</si>
  <si>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</si>
  <si>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</si>
  <si>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</si>
  <si>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</si>
  <si>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</si>
  <si>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</si>
  <si>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</si>
  <si>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</si>
  <si>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</si>
  <si>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</si>
  <si>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</si>
  <si>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</si>
  <si>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</si>
  <si>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</si>
  <si>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</si>
  <si>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</si>
  <si>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</si>
  <si>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</si>
  <si>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</si>
  <si>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</si>
  <si>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</si>
  <si>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</si>
  <si>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</si>
  <si>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</si>
  <si>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</si>
  <si>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</si>
  <si>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</si>
  <si>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</si>
  <si>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</si>
  <si>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</si>
  <si>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</si>
  <si>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</si>
  <si>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</si>
  <si>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</si>
  <si>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</si>
  <si>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</si>
  <si>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</si>
  <si>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</si>
  <si>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</si>
  <si>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</si>
  <si>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</si>
  <si>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</si>
  <si>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</si>
  <si>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</si>
  <si>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</si>
  <si>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</si>
  <si>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</si>
  <si>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</si>
  <si>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</si>
  <si>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</si>
  <si>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</si>
  <si>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</si>
  <si>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</si>
  <si>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</si>
  <si>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</si>
  <si>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</si>
  <si>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</si>
  <si>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</si>
  <si>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</si>
  <si>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</si>
  <si>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</si>
  <si>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</si>
  <si>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</si>
  <si>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</si>
  <si>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</si>
  <si>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</si>
  <si>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</si>
  <si>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</si>
  <si>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</si>
  <si>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</si>
  <si>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</si>
  <si>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</si>
  <si>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</si>
  <si>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</si>
  <si>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</si>
  <si>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</si>
  <si>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</si>
  <si>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</si>
  <si>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</si>
  <si>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</si>
  <si>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</si>
  <si>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</si>
  <si>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</si>
  <si>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</si>
  <si>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</si>
  <si>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</si>
  <si>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</si>
  <si>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</si>
  <si>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</si>
  <si>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</si>
  <si>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</si>
  <si>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</si>
  <si>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</si>
  <si>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</si>
  <si>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</si>
  <si>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</si>
  <si>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</si>
  <si>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</si>
  <si>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</si>
  <si>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</si>
  <si>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</si>
  <si>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</si>
  <si>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</si>
  <si>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</si>
  <si>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</si>
  <si>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</si>
  <si>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</si>
  <si>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</si>
  <si>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</si>
  <si>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</si>
  <si>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</si>
  <si>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</si>
  <si>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</si>
  <si>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</si>
  <si>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</si>
  <si>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</si>
  <si>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</si>
  <si>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</si>
  <si>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</si>
  <si>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</si>
  <si>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</si>
  <si>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</si>
  <si>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</si>
  <si>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</si>
  <si>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</si>
  <si>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</si>
  <si>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</si>
  <si>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</si>
  <si>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</si>
  <si>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</si>
  <si>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</si>
  <si>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</si>
  <si>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</si>
  <si>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</si>
  <si>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</si>
  <si>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</si>
  <si>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</si>
  <si>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</si>
  <si>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</si>
  <si>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</si>
  <si>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</si>
  <si>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</si>
  <si>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</si>
  <si>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</si>
  <si>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</si>
  <si>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</si>
  <si>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</si>
  <si>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</si>
  <si>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</si>
  <si>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</si>
  <si>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</si>
  <si>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</si>
  <si>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</si>
  <si>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</si>
  <si>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</si>
  <si>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</si>
  <si>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</si>
  <si>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</si>
  <si>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</si>
  <si>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</si>
  <si>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</si>
  <si>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</si>
  <si>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</si>
  <si>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</si>
  <si>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</si>
  <si>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</si>
  <si>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</si>
  <si>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</si>
  <si>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</si>
  <si>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</si>
  <si>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</si>
  <si>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</si>
  <si>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</si>
  <si>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</si>
  <si>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</si>
  <si>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</si>
  <si>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</si>
  <si>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</si>
  <si>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</si>
  <si>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</si>
  <si>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</si>
  <si>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</si>
  <si>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</si>
  <si>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</si>
  <si>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</si>
  <si>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</si>
  <si>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</si>
  <si>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</si>
  <si>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</si>
  <si>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</si>
  <si>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</si>
  <si>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</si>
  <si>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</si>
  <si>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</si>
  <si>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</si>
  <si>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</si>
  <si>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</si>
  <si>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</si>
  <si>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</si>
  <si>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</si>
  <si>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</si>
  <si>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</si>
  <si>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</si>
  <si>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</si>
  <si>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</si>
  <si>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</si>
  <si>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</si>
  <si>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</si>
  <si>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</si>
  <si>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</si>
  <si>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</si>
  <si>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</si>
  <si>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</si>
  <si>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</si>
  <si>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</si>
  <si>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</si>
  <si>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</si>
  <si>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</si>
  <si>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</si>
  <si>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</si>
  <si>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</si>
  <si>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</si>
  <si>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</si>
  <si>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</si>
  <si>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</si>
  <si>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</si>
  <si>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</si>
  <si>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</si>
  <si>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</si>
  <si>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</si>
  <si>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</si>
  <si>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</si>
  <si>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</si>
  <si>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</si>
  <si>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제07장 제1심 소송절차-증거</t>
    <phoneticPr fontId="3" type="noConversion"/>
  </si>
  <si>
    <t>제01절 총설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</si>
  <si>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</si>
  <si>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</si>
  <si>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</si>
  <si>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</si>
  <si>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</si>
  <si>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</si>
  <si>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</si>
  <si>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</si>
  <si>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</si>
  <si>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제05장 제1심 소송절차-소송 개시와 심리 대상</t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</si>
  <si>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</si>
  <si>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</si>
  <si>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</si>
  <si>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제09장 소송의 종료-당사자 행위에 의한 종료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</si>
  <si>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</si>
  <si>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</si>
  <si>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</si>
  <si>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</si>
  <si>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</si>
  <si>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</si>
  <si>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제13장 상소심절차-총설</t>
    <phoneticPr fontId="3" type="noConversion"/>
  </si>
  <si>
    <t>제03절 상소의 효력</t>
    <phoneticPr fontId="3" type="noConversion"/>
  </si>
  <si>
    <t>제09장 소송의 종료-당사자 행위에 의한 종료</t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</si>
  <si>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</si>
  <si>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</si>
  <si>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</si>
  <si>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제06장 제1심 소송절차-변론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</si>
  <si>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</si>
  <si>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</si>
  <si>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</si>
  <si>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</si>
  <si>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</si>
  <si>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제10장 소송의 종료-종국판결에 의한 종료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</si>
  <si>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</si>
  <si>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</si>
  <si>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</si>
  <si>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제14장 상소심절차-항소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</si>
  <si>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</si>
  <si>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</si>
  <si>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</si>
  <si>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</si>
  <si>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</si>
  <si>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</si>
  <si>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</si>
  <si>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</si>
  <si>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</si>
  <si>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</si>
  <si>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</si>
  <si>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제04장 소송의 주체-당사자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</si>
  <si>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</si>
  <si>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</si>
  <si>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</si>
  <si>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</si>
  <si>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</si>
  <si>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제03장 소송의 주체-법원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</si>
  <si>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</si>
  <si>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</si>
  <si>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제01절 당사자의 확정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</si>
  <si>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</si>
  <si>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</si>
  <si>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</si>
  <si>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</si>
  <si>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</si>
  <si>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</si>
  <si>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</si>
  <si>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</si>
  <si>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</si>
  <si>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</si>
  <si>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</si>
  <si>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</si>
  <si>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</si>
  <si>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</si>
  <si>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</si>
  <si>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</si>
  <si>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</si>
  <si>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</si>
  <si>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</si>
  <si>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</si>
  <si>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</si>
  <si>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</si>
  <si>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</si>
  <si>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</si>
  <si>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</si>
  <si>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</si>
  <si>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</si>
  <si>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</si>
  <si>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</si>
  <si>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</si>
  <si>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</si>
  <si>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</si>
  <si>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</si>
  <si>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</si>
  <si>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</si>
  <si>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</si>
  <si>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</si>
  <si>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</si>
  <si>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</si>
  <si>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</si>
  <si>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</si>
  <si>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</si>
  <si>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</si>
  <si>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제01장 총설-민사소송</t>
    <phoneticPr fontId="3" type="noConversion"/>
  </si>
  <si>
    <t>제03절 민사소송의 이상과 신의성실의 원칙</t>
    <phoneticPr fontId="3" type="noConversion"/>
  </si>
  <si>
    <t>제05장 제1심 소송절차-소송 개시와 심리 대상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</si>
  <si>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</si>
  <si>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</si>
  <si>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</si>
  <si>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</si>
  <si>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</si>
  <si>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</si>
  <si>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</si>
  <si>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</si>
  <si>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</si>
  <si>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</si>
  <si>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</si>
  <si>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</si>
  <si>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</si>
  <si>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</si>
  <si>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</si>
  <si>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</si>
  <si>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</si>
  <si>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</si>
  <si>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</si>
  <si>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</si>
  <si>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</si>
  <si>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</si>
  <si>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</si>
  <si>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</si>
  <si>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</si>
  <si>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</si>
  <si>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</si>
  <si>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</si>
  <si>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</si>
  <si>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</si>
  <si>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</si>
  <si>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</si>
  <si>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</si>
  <si>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</si>
  <si>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</si>
  <si>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</si>
  <si>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</si>
  <si>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</si>
  <si>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</si>
  <si>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</si>
  <si>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</si>
  <si>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</si>
  <si>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</si>
  <si>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</si>
  <si>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</si>
  <si>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</si>
  <si>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</si>
  <si>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</si>
  <si>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</si>
  <si>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</si>
  <si>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</si>
  <si>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</si>
  <si>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</si>
  <si>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제15장 상소심절차-상고</t>
    <phoneticPr fontId="3" type="noConversion"/>
  </si>
  <si>
    <t>제16장 상소심절차-항고</t>
    <phoneticPr fontId="3" type="noConversion"/>
  </si>
  <si>
    <t>제17장 재심절차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</si>
  <si>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</si>
  <si>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</si>
  <si>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</si>
  <si>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</si>
  <si>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</si>
  <si>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</si>
  <si>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</si>
  <si>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</si>
  <si>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</si>
  <si>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</si>
  <si>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</si>
  <si>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</si>
  <si>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</si>
  <si>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</si>
  <si>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</si>
  <si>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</si>
  <si>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</si>
  <si>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</si>
  <si>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</si>
  <si>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</si>
  <si>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</si>
  <si>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</si>
  <si>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원고가 피고에 대하여 특정한 이행의무를 이행할 것을 구하는 소이다.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</si>
  <si>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</si>
  <si>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</si>
  <si>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</si>
  <si>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</si>
  <si>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</si>
  <si>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</si>
  <si>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</si>
  <si>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</si>
  <si>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</si>
  <si>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</si>
  <si>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</si>
  <si>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</si>
  <si>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</si>
  <si>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</si>
  <si>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</si>
  <si>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</si>
  <si>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</si>
  <si>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</si>
  <si>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</si>
  <si>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</si>
  <si>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</si>
  <si>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</si>
  <si>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</si>
  <si>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</si>
  <si>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</si>
  <si>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</si>
  <si>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</si>
  <si>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</si>
  <si>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</si>
  <si>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</si>
  <si>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</si>
  <si>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</si>
  <si>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</si>
  <si>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</si>
  <si>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</si>
  <si>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</si>
  <si>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</si>
  <si>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</si>
  <si>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</si>
  <si>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</si>
  <si>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</si>
  <si>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</si>
  <si>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</si>
  <si>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</si>
  <si>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</si>
  <si>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</si>
  <si>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</si>
  <si>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</si>
  <si>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</si>
  <si>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</si>
  <si>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</si>
  <si>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</si>
  <si>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</si>
  <si>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</si>
  <si>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</si>
  <si>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</si>
  <si>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</si>
  <si>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</si>
  <si>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</si>
  <si>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</si>
  <si>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제3편
제1심
소송절차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</si>
  <si>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</si>
  <si>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</si>
  <si>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</si>
  <si>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</si>
  <si>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</si>
  <si>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</si>
  <si>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</si>
  <si>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</si>
  <si>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</si>
  <si>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</si>
  <si>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</si>
  <si>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</si>
  <si>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</si>
  <si>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제7장
증거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</si>
  <si>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</si>
  <si>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</si>
  <si>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</si>
  <si>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</si>
  <si>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</si>
  <si>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</si>
  <si>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</si>
  <si>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</si>
  <si>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</si>
  <si>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</si>
  <si>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</si>
  <si>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</si>
  <si>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</si>
  <si>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</si>
  <si>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</si>
  <si>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</si>
  <si>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</si>
  <si>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</si>
  <si>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</si>
  <si>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</si>
  <si>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</si>
  <si>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</si>
  <si>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</si>
  <si>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</si>
  <si>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</si>
  <si>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확정된 판결의 내용 후행 소송을 구속하여 동일한 쟁점으로 다시 다투지 못하게 하는 힘이다.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</si>
  <si>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</si>
  <si>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</si>
  <si>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</si>
  <si>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</si>
  <si>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</si>
  <si>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</si>
  <si>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</si>
  <si>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</si>
  <si>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</si>
  <si>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</si>
  <si>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</si>
  <si>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</si>
  <si>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</si>
  <si>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</si>
  <si>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</si>
  <si>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</si>
  <si>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</si>
  <si>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</si>
  <si>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</si>
  <si>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</si>
  <si>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</si>
  <si>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</si>
  <si>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</si>
  <si>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</si>
  <si>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</si>
  <si>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</si>
  <si>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</si>
  <si>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</si>
  <si>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</si>
  <si>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</si>
  <si>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</si>
  <si>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</si>
  <si>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</si>
  <si>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</si>
  <si>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</si>
  <si>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</si>
  <si>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</si>
  <si>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</si>
  <si>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</si>
  <si>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</si>
  <si>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</si>
  <si>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</si>
  <si>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</si>
  <si>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</si>
  <si>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</si>
  <si>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</si>
  <si>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</si>
  <si>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</si>
  <si>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</si>
  <si>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</si>
  <si>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</si>
  <si>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</si>
  <si>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</si>
  <si>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</si>
  <si>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</si>
  <si>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</si>
  <si>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</si>
  <si>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</si>
  <si>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</si>
  <si>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</si>
  <si>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</si>
  <si>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</si>
  <si>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</si>
  <si>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</si>
  <si>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</si>
  <si>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</si>
  <si>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판결을 구하는 신청을 말한다. 즉, 절차의 시작을 의미한다. 소는 ‘제기’한다고 한다.</t>
    <phoneticPr fontId="3" type="noConversion"/>
  </si>
  <si>
    <t>소 제기 후 일련의 전체 절차를 의미한다. 소송은 ‘진행’한다고 한다.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</si>
  <si>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</si>
  <si>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</si>
  <si>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</si>
  <si>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</si>
  <si>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</si>
  <si>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</si>
  <si>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</si>
  <si>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</si>
  <si>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</si>
  <si>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</si>
  <si>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</si>
  <si>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열기2-04.민사소송법\01.요약(TXT)\제14장 상소심절차-항소.제01절 항소의 개관.txt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</si>
  <si>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</si>
  <si>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</si>
  <si>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</si>
  <si>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</si>
  <si>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</si>
  <si>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</si>
  <si>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</si>
  <si>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</si>
  <si>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</si>
  <si>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</si>
  <si>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</si>
  <si>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</si>
  <si>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</si>
  <si>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</si>
  <si>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</si>
  <si>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</si>
  <si>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</si>
  <si>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</si>
  <si>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</si>
  <si>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</si>
  <si>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</si>
  <si>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</si>
  <si>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</si>
  <si>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</si>
  <si>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</si>
  <si>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</si>
  <si>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</si>
  <si>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</si>
  <si>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</si>
  <si>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</si>
  <si>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</si>
  <si>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</si>
  <si>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</si>
  <si>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</si>
  <si>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</si>
  <si>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</si>
  <si>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</si>
  <si>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</si>
  <si>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</si>
  <si>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</si>
  <si>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열기2-04.민사소송법\01.요약(TXT)\제04장 소송의 주체-당사자.제01절 당사자의 개관.txt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</si>
  <si>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</si>
  <si>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</si>
  <si>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</si>
  <si>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</si>
  <si>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</si>
  <si>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</si>
  <si>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</si>
  <si>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</si>
  <si>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열기2-04.민사소송법\01.요약(TXT)\제05장 제1심의 소송절차-소송 개시와 심리 대상.제01절 소송의 개시.txt</t>
  </si>
  <si>
    <t>열기2-04.민사소송법\01.요약(TXT)\제05장 제1심의 소송절차-소송 개시와 심리 대상.제02절 소송요건.txt</t>
  </si>
  <si>
    <t>열기2-04.민사소송법\01.요약(TXT)\제05장 제1심의 소송절차-소송 개시와 심리 대상.제03절 소의 이익.txt</t>
  </si>
  <si>
    <t>열기2-04.민사소송법\01.요약(TXT)\제05장 제1심의 소송절차-소송 개시와 심리 대상.제04절 소송물.txt</t>
  </si>
  <si>
    <t>열기2-04.민사소송법\01.요약(TXT)\제05장 제1심의 소송절차-소송 개시와 심리 대상.제05절 소의 제기.txt</t>
  </si>
  <si>
    <t>열기2-04.민사소송법\01.요약(TXT)\제05장 제1심의 소송절차-소송 개시와 심리 대상.제06절 재판장의 소장심사와 그 후의 조치.txt</t>
  </si>
  <si>
    <t>열기2-04.민사소송법\01.요약(TXT)\제05장 제1심의 소송절차-소송 개시와 심리 대상.제07절 소제기의 효과.txt</t>
  </si>
  <si>
    <t>열기2-04.민사소송법\01.요약(TXT)\제05장 제1심의 소송절차-소송 개시와 심리 대상.제08절 채권자대위소송에 대한 주요 논점.txt</t>
  </si>
  <si>
    <t>열기2-04.민사소송법\01.요약(TXT)\제06장 제1심의 소송절차-변론.제01절 변론의 의의와 종류.txt</t>
  </si>
  <si>
    <t>열기2-04.민사소송법\01.요약(TXT)\제06장 제1심의 소송절차-변론.제02절 심리에 관한 제 원칙.txt</t>
  </si>
  <si>
    <t>열기2-04.민사소송법\01.요약(TXT)\제06장 제1심의 소송절차-변론.제03절 변론의 준비.txt</t>
  </si>
  <si>
    <t>열기2-04.민사소송법\01.요약(TXT)\제06장 제1심의 소송절차-변론.제04절 변론.txt</t>
  </si>
  <si>
    <t>열기2-04.민사소송법\01.요약(TXT)\제06장 제1심의 소송절차-변론.제05절 변론의 실시.txt</t>
  </si>
  <si>
    <t>열기2-04.민사소송법\01.요약(TXT)\제06장 제1심의 소송절차-변론.제06절 변론기일에서의 당사자의 결석.txt</t>
  </si>
  <si>
    <t>열기2-04.민사소송법\01.요약(TXT)\제06장 제1심의 소송절차-변론.제07절 기일・기간 및 송달.txt</t>
  </si>
  <si>
    <t>열기2-04.민사소송법\01.요약(TXT)\제06장 제1심의 소송절차-변론.제08절 소송절차의 정지.txt</t>
  </si>
  <si>
    <t>열기2-04.민사소송법\01.요약(TXT)\제07장 제1심의 소송절차-증거.제01절 총설.txt</t>
  </si>
  <si>
    <t>열기2-04.민사소송법\01.요약(TXT)\제07장 제1심의 소송절차-증거.제02절 증명의 대상.txt</t>
  </si>
  <si>
    <t>열기2-04.민사소송법\01.요약(TXT)\제07장 제1심의 소송절차-증거.제03절 불요증사실.txt</t>
  </si>
  <si>
    <t>열기2-04.민사소송법\01.요약(TXT)\제07장 제1심의 소송절차-증거.제04절 증거조사의 개시와 실시.txt</t>
  </si>
  <si>
    <t>열기2-04.민사소송법\01.요약(TXT)\제07장 제1심의 소송절차-증거.제05절 자유심증주의.txt</t>
  </si>
  <si>
    <t>열기2-04.민사소송법\01.요약(TXT)\제07장 제1심의 소송절차-증거.제06절 증명책임.txt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</si>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</sst>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9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56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9" xfId="0" applyFont="1" applyBorder="1" applyAlignment="1">
      <alignment horizontal="center" vertical="top"/>
    </xf>
    <xf numFmtId="0" fontId="4" fillId="0" borderId="1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4" fillId="0" borderId="80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5" fillId="0" borderId="52" xfId="0" applyFont="1" applyBorder="1" applyAlignment="1">
      <alignment horizontal="left" vertical="top"/>
    </xf>
    <xf numFmtId="0" fontId="5" fillId="0" borderId="91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75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2" borderId="12" xfId="0" applyFont="1" applyFill="1" applyBorder="1" applyAlignment="1">
      <alignment horizontal="left" vertical="top"/>
    </xf>
    <xf numFmtId="0" fontId="5" fillId="2" borderId="16" xfId="0" applyFont="1" applyFill="1" applyBorder="1" applyAlignment="1">
      <alignment horizontal="left" vertical="top"/>
    </xf>
    <xf numFmtId="0" fontId="5" fillId="2" borderId="20" xfId="0" applyFont="1" applyFill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7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177" fontId="6" fillId="0" borderId="89" xfId="3" applyNumberFormat="1" applyFont="1" applyBorder="1" applyAlignment="1">
      <alignment horizontal="left" vertical="top"/>
    </xf>
    <xf numFmtId="177" fontId="6" fillId="0" borderId="90" xfId="3" applyNumberFormat="1" applyFont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5" fillId="2" borderId="57" xfId="0" applyFont="1" applyFill="1" applyBorder="1" applyAlignment="1">
      <alignment horizontal="left" vertical="top"/>
    </xf>
    <xf numFmtId="0" fontId="5" fillId="2" borderId="93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4" borderId="8" xfId="0" applyFont="1" applyFill="1" applyBorder="1" applyAlignment="1">
      <alignment horizontal="left" vertical="top" wrapText="1"/>
    </xf>
    <xf numFmtId="0" fontId="5" fillId="4" borderId="17" xfId="0" applyFont="1" applyFill="1" applyBorder="1" applyAlignment="1">
      <alignment horizontal="left" vertical="top"/>
    </xf>
    <xf numFmtId="0" fontId="5" fillId="4" borderId="18" xfId="0" applyFont="1" applyFill="1" applyBorder="1" applyAlignment="1">
      <alignment horizontal="left" vertical="top"/>
    </xf>
    <xf numFmtId="0" fontId="5" fillId="4" borderId="96" xfId="0" applyFont="1" applyFill="1" applyBorder="1" applyAlignment="1">
      <alignment horizontal="left" vertical="top" wrapText="1"/>
    </xf>
    <xf numFmtId="0" fontId="5" fillId="2" borderId="94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vertical="center"/>
    </xf>
    <xf numFmtId="0" fontId="7" fillId="3" borderId="23" xfId="0" applyFont="1" applyFill="1" applyBorder="1" applyAlignment="1">
      <alignment vertical="center"/>
    </xf>
    <xf numFmtId="0" fontId="7" fillId="3" borderId="97" xfId="0" applyFont="1" applyFill="1" applyBorder="1" applyAlignment="1">
      <alignment vertical="center"/>
    </xf>
    <xf numFmtId="0" fontId="7" fillId="3" borderId="65" xfId="0" applyFont="1" applyFill="1" applyBorder="1" applyAlignment="1">
      <alignment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7C80"/>
      <color rgb="FFC1ECFB"/>
      <color rgb="FF8CDBF8"/>
      <color rgb="FFFFFFCC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464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1896" activePane="bottomLeft" state="frozen"/>
      <selection activeCell="X579" sqref="X579"/>
      <selection pane="bottomLeft" activeCell="D1902" sqref="D1902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5"/>
    <col min="53" max="53" width="2.5703125" style="99"/>
    <col min="54" max="54" width="0.5703125" style="100" customWidth="1"/>
    <col min="55" max="55" width="2.5703125" style="101" customWidth="1"/>
    <col min="56" max="58" width="2.5703125" style="101"/>
    <col min="59" max="59" width="2.5703125" style="101" customWidth="1"/>
    <col min="60" max="98" width="2.5703125" style="101"/>
    <col min="99" max="99" width="2.5703125" style="102"/>
    <col min="100" max="100" width="2.5703125" style="103"/>
    <col min="101" max="16384" width="2.5703125" style="95"/>
  </cols>
  <sheetData>
    <row r="1" spans="3:5" ht="19.5" customHeight="1" thickBot="1" x14ac:dyDescent="0.3"/>
    <row r="3" spans="3:5" ht="14.45" customHeight="1" thickBot="1" x14ac:dyDescent="0.3">
      <c r="C3" s="115" t="s">
        <v>736</v>
      </c>
      <c r="D3" s="115"/>
    </row>
    <row r="4" spans="3:5" ht="14.45" customHeight="1" outlineLevel="1" thickBot="1" x14ac:dyDescent="0.3">
      <c r="D4" s="116" t="s">
        <v>737</v>
      </c>
      <c r="E4" s="116"/>
    </row>
    <row r="5" spans="3:5" ht="14.45" customHeight="1" outlineLevel="2" thickBot="1" x14ac:dyDescent="0.3">
      <c r="E5" s="117" t="s">
        <v>738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7" t="s">
        <v>739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6" t="s">
        <v>740</v>
      </c>
      <c r="E12" s="116"/>
    </row>
    <row r="13" spans="3:5" ht="14.45" customHeight="1" outlineLevel="2" thickBot="1" x14ac:dyDescent="0.3">
      <c r="E13" s="117" t="s">
        <v>741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7" t="s">
        <v>742</v>
      </c>
    </row>
    <row r="17" spans="5:6" ht="14.45" customHeight="1" outlineLevel="3" thickBot="1" x14ac:dyDescent="0.3">
      <c r="F17" s="118" t="s">
        <v>743</v>
      </c>
    </row>
    <row r="18" spans="5:6" ht="14.45" customHeight="1" outlineLevel="4" thickBot="1" x14ac:dyDescent="0.3"/>
    <row r="19" spans="5:6" ht="14.45" customHeight="1" outlineLevel="3" thickBot="1" x14ac:dyDescent="0.3">
      <c r="F19" s="118" t="s">
        <v>744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7" t="s">
        <v>745</v>
      </c>
    </row>
    <row r="23" spans="5:6" ht="14.45" customHeight="1" outlineLevel="3" thickBot="1" x14ac:dyDescent="0.3">
      <c r="F23" s="118" t="s">
        <v>746</v>
      </c>
    </row>
    <row r="24" spans="5:6" ht="14.45" customHeight="1" outlineLevel="4" thickBot="1" x14ac:dyDescent="0.3"/>
    <row r="25" spans="5:6" ht="14.45" customHeight="1" outlineLevel="3" thickBot="1" x14ac:dyDescent="0.3">
      <c r="F25" s="118" t="s">
        <v>747</v>
      </c>
    </row>
    <row r="26" spans="5:6" ht="14.45" customHeight="1" outlineLevel="4" thickBot="1" x14ac:dyDescent="0.3"/>
    <row r="27" spans="5:6" ht="14.45" customHeight="1" outlineLevel="3" thickBot="1" x14ac:dyDescent="0.3">
      <c r="F27" s="118" t="s">
        <v>748</v>
      </c>
    </row>
    <row r="28" spans="5:6" ht="14.45" customHeight="1" outlineLevel="4" thickBot="1" x14ac:dyDescent="0.3"/>
    <row r="29" spans="5:6" ht="14.45" customHeight="1" outlineLevel="3" thickBot="1" x14ac:dyDescent="0.3">
      <c r="F29" s="118" t="s">
        <v>749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7" t="s">
        <v>750</v>
      </c>
    </row>
    <row r="33" spans="3:6" ht="14.45" customHeight="1" outlineLevel="3" thickBot="1" x14ac:dyDescent="0.3">
      <c r="F33" s="118" t="s">
        <v>751</v>
      </c>
    </row>
    <row r="34" spans="3:6" ht="14.45" customHeight="1" outlineLevel="4" thickBot="1" x14ac:dyDescent="0.3"/>
    <row r="35" spans="3:6" ht="14.45" customHeight="1" outlineLevel="3" thickBot="1" x14ac:dyDescent="0.3">
      <c r="F35" s="118" t="s">
        <v>752</v>
      </c>
    </row>
    <row r="36" spans="3:6" ht="14.45" customHeight="1" outlineLevel="4" thickBot="1" x14ac:dyDescent="0.3"/>
    <row r="37" spans="3:6" ht="14.45" customHeight="1" outlineLevel="3" thickBot="1" x14ac:dyDescent="0.3">
      <c r="F37" s="118" t="s">
        <v>753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5" t="s">
        <v>754</v>
      </c>
      <c r="D42" s="115"/>
    </row>
    <row r="43" spans="3:6" ht="14.45" customHeight="1" outlineLevel="1" thickBot="1" x14ac:dyDescent="0.3">
      <c r="D43" s="116" t="s">
        <v>16</v>
      </c>
      <c r="E43" s="116"/>
    </row>
    <row r="44" spans="3:6" ht="14.45" customHeight="1" outlineLevel="2" thickBot="1" x14ac:dyDescent="0.3"/>
    <row r="45" spans="3:6" ht="14.45" customHeight="1" outlineLevel="1" thickBot="1" x14ac:dyDescent="0.3">
      <c r="D45" s="116" t="s">
        <v>18</v>
      </c>
      <c r="E45" s="116"/>
    </row>
    <row r="46" spans="3:6" ht="14.45" customHeight="1" outlineLevel="2" thickBot="1" x14ac:dyDescent="0.3">
      <c r="E46" s="117" t="s">
        <v>755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7" t="s">
        <v>756</v>
      </c>
    </row>
    <row r="50" spans="3:6" ht="14.45" customHeight="1" outlineLevel="3" thickBot="1" x14ac:dyDescent="0.3">
      <c r="F50" s="118" t="s">
        <v>757</v>
      </c>
    </row>
    <row r="51" spans="3:6" ht="14.45" customHeight="1" outlineLevel="4" thickBot="1" x14ac:dyDescent="0.3"/>
    <row r="52" spans="3:6" ht="14.45" customHeight="1" outlineLevel="3" thickBot="1" x14ac:dyDescent="0.3">
      <c r="F52" s="118" t="s">
        <v>758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5" t="s">
        <v>759</v>
      </c>
      <c r="D57" s="115"/>
    </row>
    <row r="58" spans="3:6" ht="14.45" customHeight="1" outlineLevel="1" thickBot="1" x14ac:dyDescent="0.3">
      <c r="D58" s="116" t="s">
        <v>20</v>
      </c>
      <c r="E58" s="116"/>
    </row>
    <row r="59" spans="3:6" ht="14.45" customHeight="1" outlineLevel="2" thickBot="1" x14ac:dyDescent="0.3">
      <c r="E59" s="117" t="s">
        <v>760</v>
      </c>
    </row>
    <row r="60" spans="3:6" ht="14.45" customHeight="1" outlineLevel="3" thickBot="1" x14ac:dyDescent="0.3">
      <c r="F60" s="118" t="s">
        <v>761</v>
      </c>
    </row>
    <row r="61" spans="3:6" ht="14.45" customHeight="1" outlineLevel="4" thickBot="1" x14ac:dyDescent="0.3"/>
    <row r="62" spans="3:6" ht="14.45" customHeight="1" outlineLevel="3" thickBot="1" x14ac:dyDescent="0.3">
      <c r="F62" s="118" t="s">
        <v>762</v>
      </c>
    </row>
    <row r="63" spans="3:6" ht="14.45" customHeight="1" outlineLevel="4" thickBot="1" x14ac:dyDescent="0.3"/>
    <row r="64" spans="3:6" ht="14.45" customHeight="1" outlineLevel="3" thickBot="1" x14ac:dyDescent="0.3">
      <c r="F64" s="118" t="s">
        <v>763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7" t="s">
        <v>764</v>
      </c>
    </row>
    <row r="68" spans="5:6" ht="14.45" customHeight="1" outlineLevel="3" thickBot="1" x14ac:dyDescent="0.3">
      <c r="F68" s="118" t="s">
        <v>761</v>
      </c>
    </row>
    <row r="69" spans="5:6" ht="14.45" customHeight="1" outlineLevel="4" thickBot="1" x14ac:dyDescent="0.3"/>
    <row r="70" spans="5:6" ht="14.45" customHeight="1" outlineLevel="3" thickBot="1" x14ac:dyDescent="0.3">
      <c r="F70" s="118" t="s">
        <v>765</v>
      </c>
    </row>
    <row r="71" spans="5:6" ht="14.45" customHeight="1" outlineLevel="4" thickBot="1" x14ac:dyDescent="0.3"/>
    <row r="72" spans="5:6" ht="14.45" customHeight="1" outlineLevel="3" thickBot="1" x14ac:dyDescent="0.3">
      <c r="F72" s="118" t="s">
        <v>766</v>
      </c>
    </row>
    <row r="73" spans="5:6" ht="14.45" customHeight="1" outlineLevel="4" thickBot="1" x14ac:dyDescent="0.3"/>
    <row r="74" spans="5:6" ht="14.45" customHeight="1" outlineLevel="3" thickBot="1" x14ac:dyDescent="0.3">
      <c r="F74" s="118" t="s">
        <v>767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7" t="s">
        <v>768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7" t="s">
        <v>769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6" t="s">
        <v>22</v>
      </c>
      <c r="E84" s="116"/>
    </row>
    <row r="85" spans="4:6" ht="14.45" customHeight="1" outlineLevel="2" thickBot="1" x14ac:dyDescent="0.3">
      <c r="E85" s="117" t="s">
        <v>770</v>
      </c>
    </row>
    <row r="86" spans="4:6" ht="14.45" customHeight="1" outlineLevel="3" thickBot="1" x14ac:dyDescent="0.3">
      <c r="F86" s="118" t="s">
        <v>761</v>
      </c>
    </row>
    <row r="87" spans="4:6" ht="14.45" customHeight="1" outlineLevel="4" thickBot="1" x14ac:dyDescent="0.3"/>
    <row r="88" spans="4:6" ht="14.45" customHeight="1" outlineLevel="3" thickBot="1" x14ac:dyDescent="0.3">
      <c r="F88" s="118" t="s">
        <v>771</v>
      </c>
    </row>
    <row r="89" spans="4:6" ht="14.45" customHeight="1" outlineLevel="4" thickBot="1" x14ac:dyDescent="0.3"/>
    <row r="90" spans="4:6" ht="14.45" customHeight="1" outlineLevel="3" thickBot="1" x14ac:dyDescent="0.3">
      <c r="F90" s="118" t="s">
        <v>772</v>
      </c>
    </row>
    <row r="91" spans="4:6" ht="14.45" customHeight="1" outlineLevel="4" thickBot="1" x14ac:dyDescent="0.3"/>
    <row r="92" spans="4:6" ht="14.45" customHeight="1" outlineLevel="3" thickBot="1" x14ac:dyDescent="0.3">
      <c r="F92" s="118" t="s">
        <v>773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7" t="s">
        <v>774</v>
      </c>
    </row>
    <row r="96" spans="4:6" ht="14.45" customHeight="1" outlineLevel="3" thickBot="1" x14ac:dyDescent="0.3">
      <c r="F96" s="118" t="s">
        <v>761</v>
      </c>
    </row>
    <row r="97" spans="4:6" ht="14.45" customHeight="1" outlineLevel="4" thickBot="1" x14ac:dyDescent="0.3"/>
    <row r="98" spans="4:6" ht="14.45" customHeight="1" outlineLevel="3" thickBot="1" x14ac:dyDescent="0.3">
      <c r="F98" s="118" t="s">
        <v>775</v>
      </c>
    </row>
    <row r="99" spans="4:6" ht="14.45" customHeight="1" outlineLevel="4" thickBot="1" x14ac:dyDescent="0.3"/>
    <row r="100" spans="4:6" ht="14.45" customHeight="1" outlineLevel="3" thickBot="1" x14ac:dyDescent="0.3">
      <c r="F100" s="118" t="s">
        <v>776</v>
      </c>
    </row>
    <row r="101" spans="4:6" ht="14.45" customHeight="1" outlineLevel="4" thickBot="1" x14ac:dyDescent="0.3"/>
    <row r="102" spans="4:6" ht="14.45" customHeight="1" outlineLevel="3" thickBot="1" x14ac:dyDescent="0.3">
      <c r="F102" s="118" t="s">
        <v>777</v>
      </c>
    </row>
    <row r="103" spans="4:6" ht="14.45" customHeight="1" outlineLevel="4" thickBot="1" x14ac:dyDescent="0.3"/>
    <row r="104" spans="4:6" ht="14.45" customHeight="1" outlineLevel="3" thickBot="1" x14ac:dyDescent="0.3">
      <c r="F104" s="118" t="s">
        <v>778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7" t="s">
        <v>779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6" t="s">
        <v>24</v>
      </c>
      <c r="E111" s="116"/>
    </row>
    <row r="112" spans="4:6" ht="14.45" customHeight="1" outlineLevel="2" thickBot="1" x14ac:dyDescent="0.3">
      <c r="E112" s="117" t="s">
        <v>780</v>
      </c>
    </row>
    <row r="113" spans="5:7" ht="14.45" customHeight="1" outlineLevel="3" thickBot="1" x14ac:dyDescent="0.3">
      <c r="F113" s="118" t="s">
        <v>781</v>
      </c>
    </row>
    <row r="114" spans="5:7" ht="14.45" customHeight="1" outlineLevel="4" thickBot="1" x14ac:dyDescent="0.3"/>
    <row r="115" spans="5:7" ht="14.45" customHeight="1" outlineLevel="3" thickBot="1" x14ac:dyDescent="0.3">
      <c r="F115" s="118" t="s">
        <v>782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7" t="s">
        <v>783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7" t="s">
        <v>784</v>
      </c>
    </row>
    <row r="122" spans="5:7" ht="14.45" customHeight="1" outlineLevel="3" thickBot="1" x14ac:dyDescent="0.3">
      <c r="F122" s="118" t="s">
        <v>785</v>
      </c>
    </row>
    <row r="123" spans="5:7" ht="14.45" customHeight="1" outlineLevel="4" thickBot="1" x14ac:dyDescent="0.3"/>
    <row r="124" spans="5:7" ht="14.45" customHeight="1" outlineLevel="3" thickBot="1" x14ac:dyDescent="0.3">
      <c r="F124" s="118" t="s">
        <v>786</v>
      </c>
    </row>
    <row r="125" spans="5:7" ht="14.45" customHeight="1" outlineLevel="4" thickBot="1" x14ac:dyDescent="0.3">
      <c r="G125" s="96" t="s">
        <v>787</v>
      </c>
    </row>
    <row r="126" spans="5:7" ht="14.45" customHeight="1" outlineLevel="4" thickBot="1" x14ac:dyDescent="0.3">
      <c r="G126" s="96" t="s">
        <v>788</v>
      </c>
    </row>
    <row r="127" spans="5:7" ht="14.45" customHeight="1" outlineLevel="4" thickBot="1" x14ac:dyDescent="0.3">
      <c r="G127" s="96" t="s">
        <v>789</v>
      </c>
    </row>
    <row r="128" spans="5:7" ht="14.45" customHeight="1" outlineLevel="4" thickBot="1" x14ac:dyDescent="0.3">
      <c r="G128" s="96" t="s">
        <v>790</v>
      </c>
    </row>
    <row r="129" spans="5:7" ht="14.45" customHeight="1" outlineLevel="4" thickBot="1" x14ac:dyDescent="0.3">
      <c r="G129" s="96" t="s">
        <v>791</v>
      </c>
    </row>
    <row r="130" spans="5:7" ht="14.45" customHeight="1" outlineLevel="3" thickBot="1" x14ac:dyDescent="0.3">
      <c r="F130" s="118" t="s">
        <v>792</v>
      </c>
    </row>
    <row r="131" spans="5:7" ht="14.45" customHeight="1" outlineLevel="4" thickBot="1" x14ac:dyDescent="0.3">
      <c r="G131" s="96" t="s">
        <v>793</v>
      </c>
    </row>
    <row r="132" spans="5:7" ht="14.45" customHeight="1" outlineLevel="4" thickBot="1" x14ac:dyDescent="0.3">
      <c r="G132" s="96" t="s">
        <v>794</v>
      </c>
    </row>
    <row r="133" spans="5:7" ht="14.45" customHeight="1" outlineLevel="4" thickBot="1" x14ac:dyDescent="0.3">
      <c r="G133" s="96" t="s">
        <v>795</v>
      </c>
    </row>
    <row r="134" spans="5:7" ht="14.45" customHeight="1" outlineLevel="4" thickBot="1" x14ac:dyDescent="0.3">
      <c r="G134" s="96" t="s">
        <v>790</v>
      </c>
    </row>
    <row r="135" spans="5:7" ht="14.45" customHeight="1" outlineLevel="3" thickBot="1" x14ac:dyDescent="0.3">
      <c r="F135" s="118" t="s">
        <v>796</v>
      </c>
    </row>
    <row r="136" spans="5:7" ht="14.45" customHeight="1" outlineLevel="4" thickBot="1" x14ac:dyDescent="0.3">
      <c r="G136" s="96" t="s">
        <v>797</v>
      </c>
    </row>
    <row r="137" spans="5:7" ht="14.45" customHeight="1" outlineLevel="4" thickBot="1" x14ac:dyDescent="0.3">
      <c r="G137" s="96" t="s">
        <v>798</v>
      </c>
    </row>
    <row r="138" spans="5:7" ht="14.45" customHeight="1" outlineLevel="4" thickBot="1" x14ac:dyDescent="0.3">
      <c r="G138" s="96" t="s">
        <v>799</v>
      </c>
    </row>
    <row r="139" spans="5:7" ht="14.45" customHeight="1" outlineLevel="3" thickBot="1" x14ac:dyDescent="0.3"/>
    <row r="140" spans="5:7" ht="14.45" customHeight="1" outlineLevel="2" thickBot="1" x14ac:dyDescent="0.3">
      <c r="E140" s="117" t="s">
        <v>800</v>
      </c>
    </row>
    <row r="141" spans="5:7" ht="14.45" customHeight="1" outlineLevel="3" thickBot="1" x14ac:dyDescent="0.3">
      <c r="F141" s="118" t="s">
        <v>785</v>
      </c>
    </row>
    <row r="142" spans="5:7" ht="14.45" customHeight="1" outlineLevel="4" thickBot="1" x14ac:dyDescent="0.3"/>
    <row r="143" spans="5:7" ht="14.45" customHeight="1" outlineLevel="3" thickBot="1" x14ac:dyDescent="0.3">
      <c r="F143" s="118" t="s">
        <v>801</v>
      </c>
    </row>
    <row r="144" spans="5:7" ht="14.45" customHeight="1" outlineLevel="4" thickBot="1" x14ac:dyDescent="0.3">
      <c r="G144" s="96" t="s">
        <v>802</v>
      </c>
    </row>
    <row r="145" spans="5:7" ht="14.45" customHeight="1" outlineLevel="4" thickBot="1" x14ac:dyDescent="0.3">
      <c r="G145" s="96" t="s">
        <v>803</v>
      </c>
    </row>
    <row r="146" spans="5:7" ht="14.45" customHeight="1" outlineLevel="4" thickBot="1" x14ac:dyDescent="0.3">
      <c r="G146" s="96" t="s">
        <v>804</v>
      </c>
    </row>
    <row r="147" spans="5:7" ht="14.45" customHeight="1" outlineLevel="3" thickBot="1" x14ac:dyDescent="0.3"/>
    <row r="148" spans="5:7" ht="14.45" customHeight="1" outlineLevel="2" thickBot="1" x14ac:dyDescent="0.3">
      <c r="E148" s="117" t="s">
        <v>805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7" t="s">
        <v>806</v>
      </c>
    </row>
    <row r="152" spans="5:7" ht="14.45" customHeight="1" outlineLevel="3" thickBot="1" x14ac:dyDescent="0.3">
      <c r="F152" s="118" t="s">
        <v>807</v>
      </c>
    </row>
    <row r="153" spans="5:7" ht="14.45" customHeight="1" outlineLevel="4" thickBot="1" x14ac:dyDescent="0.3"/>
    <row r="154" spans="5:7" ht="14.45" customHeight="1" outlineLevel="3" thickBot="1" x14ac:dyDescent="0.3">
      <c r="F154" s="118" t="s">
        <v>808</v>
      </c>
    </row>
    <row r="155" spans="5:7" ht="14.45" customHeight="1" outlineLevel="4" thickBot="1" x14ac:dyDescent="0.3"/>
    <row r="156" spans="5:7" ht="14.45" customHeight="1" outlineLevel="3" thickBot="1" x14ac:dyDescent="0.3">
      <c r="F156" s="118" t="s">
        <v>809</v>
      </c>
    </row>
    <row r="157" spans="5:7" ht="14.45" customHeight="1" outlineLevel="4" thickBot="1" x14ac:dyDescent="0.3">
      <c r="G157" s="96" t="s">
        <v>810</v>
      </c>
    </row>
    <row r="158" spans="5:7" ht="14.45" customHeight="1" outlineLevel="4" thickBot="1" x14ac:dyDescent="0.3">
      <c r="G158" s="96" t="s">
        <v>811</v>
      </c>
    </row>
    <row r="159" spans="5:7" ht="14.45" customHeight="1" outlineLevel="4" thickBot="1" x14ac:dyDescent="0.3">
      <c r="G159" s="96" t="s">
        <v>812</v>
      </c>
    </row>
    <row r="160" spans="5:7" ht="14.45" customHeight="1" outlineLevel="4" thickBot="1" x14ac:dyDescent="0.3">
      <c r="G160" s="96" t="s">
        <v>813</v>
      </c>
    </row>
    <row r="161" spans="5:7" ht="14.45" customHeight="1" outlineLevel="4" thickBot="1" x14ac:dyDescent="0.3">
      <c r="G161" s="96" t="s">
        <v>814</v>
      </c>
    </row>
    <row r="162" spans="5:7" ht="14.45" customHeight="1" outlineLevel="3" thickBot="1" x14ac:dyDescent="0.3">
      <c r="F162" s="118" t="s">
        <v>815</v>
      </c>
    </row>
    <row r="163" spans="5:7" ht="14.45" customHeight="1" outlineLevel="4" thickBot="1" x14ac:dyDescent="0.3">
      <c r="G163" s="96" t="s">
        <v>816</v>
      </c>
    </row>
    <row r="164" spans="5:7" ht="14.45" customHeight="1" outlineLevel="4" thickBot="1" x14ac:dyDescent="0.3">
      <c r="G164" s="96" t="s">
        <v>817</v>
      </c>
    </row>
    <row r="165" spans="5:7" ht="14.45" customHeight="1" outlineLevel="4" thickBot="1" x14ac:dyDescent="0.3">
      <c r="G165" s="96" t="s">
        <v>818</v>
      </c>
    </row>
    <row r="166" spans="5:7" ht="14.45" customHeight="1" outlineLevel="4" thickBot="1" x14ac:dyDescent="0.3">
      <c r="G166" s="96" t="s">
        <v>819</v>
      </c>
    </row>
    <row r="167" spans="5:7" ht="14.45" customHeight="1" outlineLevel="3" thickBot="1" x14ac:dyDescent="0.3">
      <c r="F167" s="118" t="s">
        <v>820</v>
      </c>
    </row>
    <row r="168" spans="5:7" ht="14.45" customHeight="1" outlineLevel="4" thickBot="1" x14ac:dyDescent="0.3">
      <c r="G168" s="96" t="s">
        <v>821</v>
      </c>
    </row>
    <row r="169" spans="5:7" ht="14.45" customHeight="1" outlineLevel="4" thickBot="1" x14ac:dyDescent="0.3">
      <c r="G169" s="96" t="s">
        <v>822</v>
      </c>
    </row>
    <row r="170" spans="5:7" ht="14.45" customHeight="1" outlineLevel="3" thickBot="1" x14ac:dyDescent="0.3"/>
    <row r="171" spans="5:7" ht="14.45" customHeight="1" outlineLevel="2" thickBot="1" x14ac:dyDescent="0.3">
      <c r="E171" s="117" t="s">
        <v>823</v>
      </c>
    </row>
    <row r="172" spans="5:7" ht="14.45" customHeight="1" outlineLevel="3" thickBot="1" x14ac:dyDescent="0.3">
      <c r="F172" s="118" t="s">
        <v>824</v>
      </c>
    </row>
    <row r="173" spans="5:7" ht="14.45" customHeight="1" outlineLevel="4" thickBot="1" x14ac:dyDescent="0.3"/>
    <row r="174" spans="5:7" ht="14.45" customHeight="1" outlineLevel="3" thickBot="1" x14ac:dyDescent="0.3">
      <c r="F174" s="118" t="s">
        <v>825</v>
      </c>
    </row>
    <row r="175" spans="5:7" ht="14.45" customHeight="1" outlineLevel="4" thickBot="1" x14ac:dyDescent="0.3">
      <c r="G175" s="96" t="s">
        <v>826</v>
      </c>
    </row>
    <row r="176" spans="5:7" ht="14.45" customHeight="1" outlineLevel="4" thickBot="1" x14ac:dyDescent="0.3">
      <c r="G176" s="96" t="s">
        <v>827</v>
      </c>
    </row>
    <row r="177" spans="5:7" ht="14.45" customHeight="1" outlineLevel="4" thickBot="1" x14ac:dyDescent="0.3">
      <c r="G177" s="96" t="s">
        <v>828</v>
      </c>
    </row>
    <row r="178" spans="5:7" ht="14.45" customHeight="1" outlineLevel="3" thickBot="1" x14ac:dyDescent="0.3">
      <c r="F178" s="118" t="s">
        <v>829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7" t="s">
        <v>830</v>
      </c>
    </row>
    <row r="182" spans="5:7" ht="14.45" customHeight="1" outlineLevel="3" thickBot="1" x14ac:dyDescent="0.3">
      <c r="F182" s="118" t="s">
        <v>831</v>
      </c>
    </row>
    <row r="183" spans="5:7" ht="14.45" customHeight="1" outlineLevel="4" thickBot="1" x14ac:dyDescent="0.3">
      <c r="G183" s="96" t="s">
        <v>832</v>
      </c>
    </row>
    <row r="184" spans="5:7" ht="14.45" customHeight="1" outlineLevel="4" thickBot="1" x14ac:dyDescent="0.3">
      <c r="G184" s="96" t="s">
        <v>833</v>
      </c>
    </row>
    <row r="185" spans="5:7" ht="14.45" customHeight="1" outlineLevel="3" thickBot="1" x14ac:dyDescent="0.3">
      <c r="F185" s="118" t="s">
        <v>834</v>
      </c>
    </row>
    <row r="186" spans="5:7" ht="14.45" customHeight="1" outlineLevel="4" thickBot="1" x14ac:dyDescent="0.3">
      <c r="G186" s="96" t="s">
        <v>835</v>
      </c>
    </row>
    <row r="187" spans="5:7" ht="14.45" customHeight="1" outlineLevel="4" thickBot="1" x14ac:dyDescent="0.3">
      <c r="G187" s="96" t="s">
        <v>836</v>
      </c>
    </row>
    <row r="188" spans="5:7" ht="14.45" customHeight="1" outlineLevel="4" thickBot="1" x14ac:dyDescent="0.3">
      <c r="G188" s="96" t="s">
        <v>837</v>
      </c>
    </row>
    <row r="189" spans="5:7" ht="14.45" customHeight="1" outlineLevel="3" thickBot="1" x14ac:dyDescent="0.3">
      <c r="F189" s="118" t="s">
        <v>838</v>
      </c>
    </row>
    <row r="190" spans="5:7" ht="14.45" customHeight="1" outlineLevel="4" thickBot="1" x14ac:dyDescent="0.3"/>
    <row r="191" spans="5:7" ht="14.45" customHeight="1" outlineLevel="3" thickBot="1" x14ac:dyDescent="0.3">
      <c r="F191" s="118" t="s">
        <v>839</v>
      </c>
    </row>
    <row r="192" spans="5:7" ht="14.45" customHeight="1" outlineLevel="4" thickBot="1" x14ac:dyDescent="0.3">
      <c r="G192" s="96" t="s">
        <v>840</v>
      </c>
    </row>
    <row r="193" spans="3:7" ht="14.45" customHeight="1" outlineLevel="4" thickBot="1" x14ac:dyDescent="0.3">
      <c r="G193" s="96" t="s">
        <v>841</v>
      </c>
    </row>
    <row r="194" spans="3:7" ht="14.45" customHeight="1" outlineLevel="4" thickBot="1" x14ac:dyDescent="0.3">
      <c r="G194" s="96" t="s">
        <v>842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5" t="s">
        <v>843</v>
      </c>
      <c r="D198" s="115"/>
    </row>
    <row r="199" spans="3:7" ht="14.45" customHeight="1" outlineLevel="1" thickBot="1" x14ac:dyDescent="0.3">
      <c r="D199" s="116" t="s">
        <v>26</v>
      </c>
      <c r="E199" s="116"/>
    </row>
    <row r="200" spans="3:7" ht="14.45" customHeight="1" outlineLevel="2" thickBot="1" x14ac:dyDescent="0.3">
      <c r="E200" s="117" t="s">
        <v>844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7" t="s">
        <v>845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7" t="s">
        <v>846</v>
      </c>
    </row>
    <row r="207" spans="3:7" ht="14.45" customHeight="1" outlineLevel="3" thickBot="1" x14ac:dyDescent="0.3">
      <c r="F207" s="118" t="s">
        <v>847</v>
      </c>
    </row>
    <row r="208" spans="3:7" ht="14.45" customHeight="1" outlineLevel="4" thickBot="1" x14ac:dyDescent="0.3"/>
    <row r="209" spans="5:6" ht="14.45" customHeight="1" outlineLevel="3" thickBot="1" x14ac:dyDescent="0.3">
      <c r="F209" s="118" t="s">
        <v>848</v>
      </c>
    </row>
    <row r="210" spans="5:6" ht="14.45" customHeight="1" outlineLevel="4" thickBot="1" x14ac:dyDescent="0.3"/>
    <row r="211" spans="5:6" ht="14.45" customHeight="1" outlineLevel="3" thickBot="1" x14ac:dyDescent="0.3">
      <c r="F211" s="118" t="s">
        <v>849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7" t="s">
        <v>850</v>
      </c>
    </row>
    <row r="215" spans="5:6" ht="14.45" customHeight="1" outlineLevel="3" thickBot="1" x14ac:dyDescent="0.3">
      <c r="F215" s="118" t="s">
        <v>851</v>
      </c>
    </row>
    <row r="216" spans="5:6" ht="14.45" customHeight="1" outlineLevel="4" thickBot="1" x14ac:dyDescent="0.3"/>
    <row r="217" spans="5:6" ht="14.45" customHeight="1" outlineLevel="3" thickBot="1" x14ac:dyDescent="0.3">
      <c r="F217" s="118" t="s">
        <v>852</v>
      </c>
    </row>
    <row r="218" spans="5:6" ht="14.45" customHeight="1" outlineLevel="4" thickBot="1" x14ac:dyDescent="0.3"/>
    <row r="219" spans="5:6" ht="14.45" customHeight="1" outlineLevel="3" thickBot="1" x14ac:dyDescent="0.3">
      <c r="F219" s="118" t="s">
        <v>853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7" t="s">
        <v>854</v>
      </c>
    </row>
    <row r="223" spans="5:6" ht="14.45" customHeight="1" outlineLevel="3" thickBot="1" x14ac:dyDescent="0.3">
      <c r="F223" s="118" t="s">
        <v>785</v>
      </c>
    </row>
    <row r="224" spans="5:6" ht="14.45" customHeight="1" outlineLevel="4" thickBot="1" x14ac:dyDescent="0.3"/>
    <row r="225" spans="5:6" ht="14.45" customHeight="1" outlineLevel="3" thickBot="1" x14ac:dyDescent="0.3">
      <c r="F225" s="118" t="s">
        <v>855</v>
      </c>
    </row>
    <row r="226" spans="5:6" ht="14.45" customHeight="1" outlineLevel="4" thickBot="1" x14ac:dyDescent="0.3"/>
    <row r="227" spans="5:6" ht="14.45" customHeight="1" outlineLevel="3" thickBot="1" x14ac:dyDescent="0.3">
      <c r="F227" s="118" t="s">
        <v>856</v>
      </c>
    </row>
    <row r="228" spans="5:6" ht="14.45" customHeight="1" outlineLevel="4" thickBot="1" x14ac:dyDescent="0.3"/>
    <row r="229" spans="5:6" ht="14.45" customHeight="1" outlineLevel="3" thickBot="1" x14ac:dyDescent="0.3">
      <c r="F229" s="118" t="s">
        <v>857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7" t="s">
        <v>858</v>
      </c>
    </row>
    <row r="233" spans="5:6" ht="14.45" customHeight="1" outlineLevel="3" thickBot="1" x14ac:dyDescent="0.3">
      <c r="F233" s="118" t="s">
        <v>785</v>
      </c>
    </row>
    <row r="234" spans="5:6" ht="14.45" customHeight="1" outlineLevel="4" thickBot="1" x14ac:dyDescent="0.3"/>
    <row r="235" spans="5:6" ht="14.45" customHeight="1" outlineLevel="3" thickBot="1" x14ac:dyDescent="0.3">
      <c r="F235" s="118" t="s">
        <v>859</v>
      </c>
    </row>
    <row r="236" spans="5:6" ht="14.45" customHeight="1" outlineLevel="4" thickBot="1" x14ac:dyDescent="0.3"/>
    <row r="237" spans="5:6" ht="14.45" customHeight="1" outlineLevel="3" thickBot="1" x14ac:dyDescent="0.3">
      <c r="F237" s="118" t="s">
        <v>860</v>
      </c>
    </row>
    <row r="238" spans="5:6" ht="14.45" customHeight="1" outlineLevel="4" thickBot="1" x14ac:dyDescent="0.3"/>
    <row r="239" spans="5:6" ht="14.45" customHeight="1" outlineLevel="3" thickBot="1" x14ac:dyDescent="0.3">
      <c r="F239" s="118" t="s">
        <v>861</v>
      </c>
    </row>
    <row r="240" spans="5:6" ht="14.45" customHeight="1" outlineLevel="4" thickBot="1" x14ac:dyDescent="0.3"/>
    <row r="241" spans="5:6" ht="14.45" customHeight="1" outlineLevel="3" thickBot="1" x14ac:dyDescent="0.3">
      <c r="F241" s="118" t="s">
        <v>862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7" t="s">
        <v>863</v>
      </c>
    </row>
    <row r="245" spans="5:6" ht="14.45" customHeight="1" outlineLevel="3" thickBot="1" x14ac:dyDescent="0.3">
      <c r="F245" s="118" t="s">
        <v>864</v>
      </c>
    </row>
    <row r="246" spans="5:6" ht="14.45" customHeight="1" outlineLevel="4" thickBot="1" x14ac:dyDescent="0.3"/>
    <row r="247" spans="5:6" ht="14.45" customHeight="1" outlineLevel="3" thickBot="1" x14ac:dyDescent="0.3">
      <c r="F247" s="118" t="s">
        <v>865</v>
      </c>
    </row>
    <row r="248" spans="5:6" ht="14.45" customHeight="1" outlineLevel="4" thickBot="1" x14ac:dyDescent="0.3"/>
    <row r="249" spans="5:6" ht="14.45" customHeight="1" outlineLevel="3" thickBot="1" x14ac:dyDescent="0.3">
      <c r="F249" s="118" t="s">
        <v>866</v>
      </c>
    </row>
    <row r="250" spans="5:6" ht="14.45" customHeight="1" outlineLevel="4" thickBot="1" x14ac:dyDescent="0.3"/>
    <row r="251" spans="5:6" ht="14.45" customHeight="1" outlineLevel="3" thickBot="1" x14ac:dyDescent="0.3">
      <c r="F251" s="118" t="s">
        <v>867</v>
      </c>
    </row>
    <row r="252" spans="5:6" ht="14.45" customHeight="1" outlineLevel="4" thickBot="1" x14ac:dyDescent="0.3"/>
    <row r="253" spans="5:6" ht="14.45" customHeight="1" outlineLevel="3" thickBot="1" x14ac:dyDescent="0.3">
      <c r="F253" s="118" t="s">
        <v>868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7" t="s">
        <v>869</v>
      </c>
    </row>
    <row r="257" spans="4:7" ht="14.45" customHeight="1" outlineLevel="3" thickBot="1" x14ac:dyDescent="0.3">
      <c r="F257" s="118" t="s">
        <v>870</v>
      </c>
    </row>
    <row r="258" spans="4:7" ht="14.45" customHeight="1" outlineLevel="4" thickBot="1" x14ac:dyDescent="0.3"/>
    <row r="259" spans="4:7" ht="14.45" customHeight="1" outlineLevel="3" thickBot="1" x14ac:dyDescent="0.3">
      <c r="F259" s="118" t="s">
        <v>871</v>
      </c>
    </row>
    <row r="260" spans="4:7" ht="14.45" customHeight="1" outlineLevel="4" thickBot="1" x14ac:dyDescent="0.3"/>
    <row r="261" spans="4:7" ht="14.45" customHeight="1" outlineLevel="3" thickBot="1" x14ac:dyDescent="0.3">
      <c r="F261" s="118" t="s">
        <v>872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6" t="s">
        <v>29</v>
      </c>
      <c r="E265" s="116"/>
    </row>
    <row r="266" spans="4:7" ht="14.45" customHeight="1" outlineLevel="2" thickBot="1" x14ac:dyDescent="0.3">
      <c r="E266" s="117" t="s">
        <v>873</v>
      </c>
    </row>
    <row r="267" spans="4:7" ht="14.45" customHeight="1" outlineLevel="3" thickBot="1" x14ac:dyDescent="0.3">
      <c r="F267" s="118" t="s">
        <v>831</v>
      </c>
    </row>
    <row r="268" spans="4:7" ht="14.45" customHeight="1" outlineLevel="4" thickBot="1" x14ac:dyDescent="0.3">
      <c r="G268" s="96" t="s">
        <v>832</v>
      </c>
    </row>
    <row r="269" spans="4:7" ht="14.45" customHeight="1" outlineLevel="4" thickBot="1" x14ac:dyDescent="0.3">
      <c r="G269" s="96" t="s">
        <v>833</v>
      </c>
    </row>
    <row r="270" spans="4:7" ht="14.45" customHeight="1" outlineLevel="3" thickBot="1" x14ac:dyDescent="0.3">
      <c r="F270" s="118" t="s">
        <v>874</v>
      </c>
    </row>
    <row r="271" spans="4:7" ht="14.45" customHeight="1" outlineLevel="4" thickBot="1" x14ac:dyDescent="0.3"/>
    <row r="272" spans="4:7" ht="14.45" customHeight="1" outlineLevel="3" thickBot="1" x14ac:dyDescent="0.3">
      <c r="F272" s="118" t="s">
        <v>875</v>
      </c>
    </row>
    <row r="273" spans="5:7" ht="14.45" customHeight="1" outlineLevel="4" thickBot="1" x14ac:dyDescent="0.3">
      <c r="G273" s="96" t="s">
        <v>876</v>
      </c>
    </row>
    <row r="274" spans="5:7" ht="14.45" customHeight="1" outlineLevel="4" thickBot="1" x14ac:dyDescent="0.3">
      <c r="G274" s="96" t="s">
        <v>877</v>
      </c>
    </row>
    <row r="275" spans="5:7" ht="14.45" customHeight="1" outlineLevel="3" thickBot="1" x14ac:dyDescent="0.3">
      <c r="F275" s="118" t="s">
        <v>878</v>
      </c>
    </row>
    <row r="276" spans="5:7" ht="14.45" customHeight="1" outlineLevel="4" thickBot="1" x14ac:dyDescent="0.3">
      <c r="G276" s="96" t="s">
        <v>879</v>
      </c>
    </row>
    <row r="277" spans="5:7" ht="14.45" customHeight="1" outlineLevel="4" thickBot="1" x14ac:dyDescent="0.3">
      <c r="G277" s="96" t="s">
        <v>880</v>
      </c>
    </row>
    <row r="278" spans="5:7" ht="14.45" customHeight="1" outlineLevel="4" thickBot="1" x14ac:dyDescent="0.3">
      <c r="G278" s="96" t="s">
        <v>881</v>
      </c>
    </row>
    <row r="279" spans="5:7" ht="14.45" customHeight="1" outlineLevel="4" thickBot="1" x14ac:dyDescent="0.3">
      <c r="G279" s="96" t="s">
        <v>882</v>
      </c>
    </row>
    <row r="280" spans="5:7" ht="14.45" customHeight="1" outlineLevel="3" thickBot="1" x14ac:dyDescent="0.3"/>
    <row r="281" spans="5:7" ht="14.45" customHeight="1" outlineLevel="2" thickBot="1" x14ac:dyDescent="0.3">
      <c r="E281" s="117" t="s">
        <v>883</v>
      </c>
    </row>
    <row r="282" spans="5:7" ht="14.45" customHeight="1" outlineLevel="3" thickBot="1" x14ac:dyDescent="0.3">
      <c r="F282" s="118" t="s">
        <v>785</v>
      </c>
    </row>
    <row r="283" spans="5:7" ht="14.45" customHeight="1" outlineLevel="4" thickBot="1" x14ac:dyDescent="0.3"/>
    <row r="284" spans="5:7" ht="14.45" customHeight="1" outlineLevel="3" thickBot="1" x14ac:dyDescent="0.3">
      <c r="F284" s="118" t="s">
        <v>884</v>
      </c>
    </row>
    <row r="285" spans="5:7" ht="14.45" customHeight="1" outlineLevel="4" thickBot="1" x14ac:dyDescent="0.3">
      <c r="G285" s="96" t="s">
        <v>885</v>
      </c>
    </row>
    <row r="286" spans="5:7" ht="14.45" customHeight="1" outlineLevel="4" thickBot="1" x14ac:dyDescent="0.3">
      <c r="G286" s="96" t="s">
        <v>886</v>
      </c>
    </row>
    <row r="287" spans="5:7" ht="14.45" customHeight="1" outlineLevel="4" thickBot="1" x14ac:dyDescent="0.3">
      <c r="G287" s="96" t="s">
        <v>887</v>
      </c>
    </row>
    <row r="288" spans="5:7" ht="14.45" customHeight="1" outlineLevel="4" thickBot="1" x14ac:dyDescent="0.3">
      <c r="G288" s="96" t="s">
        <v>888</v>
      </c>
    </row>
    <row r="289" spans="5:7" ht="14.45" customHeight="1" outlineLevel="3" thickBot="1" x14ac:dyDescent="0.3">
      <c r="F289" s="118" t="s">
        <v>889</v>
      </c>
    </row>
    <row r="290" spans="5:7" ht="14.45" customHeight="1" outlineLevel="4" thickBot="1" x14ac:dyDescent="0.3">
      <c r="G290" s="96" t="s">
        <v>832</v>
      </c>
    </row>
    <row r="291" spans="5:7" ht="14.45" customHeight="1" outlineLevel="4" thickBot="1" x14ac:dyDescent="0.3">
      <c r="G291" s="96" t="s">
        <v>890</v>
      </c>
    </row>
    <row r="292" spans="5:7" ht="14.45" customHeight="1" outlineLevel="4" thickBot="1" x14ac:dyDescent="0.3">
      <c r="G292" s="96" t="s">
        <v>891</v>
      </c>
    </row>
    <row r="293" spans="5:7" ht="14.45" customHeight="1" outlineLevel="4" thickBot="1" x14ac:dyDescent="0.3">
      <c r="G293" s="96" t="s">
        <v>892</v>
      </c>
    </row>
    <row r="294" spans="5:7" ht="14.45" customHeight="1" outlineLevel="3" thickBot="1" x14ac:dyDescent="0.3">
      <c r="F294" s="118" t="s">
        <v>893</v>
      </c>
    </row>
    <row r="295" spans="5:7" ht="14.45" customHeight="1" outlineLevel="4" thickBot="1" x14ac:dyDescent="0.3">
      <c r="G295" s="96" t="s">
        <v>894</v>
      </c>
    </row>
    <row r="296" spans="5:7" ht="14.45" customHeight="1" outlineLevel="4" thickBot="1" x14ac:dyDescent="0.3">
      <c r="G296" s="96" t="s">
        <v>880</v>
      </c>
    </row>
    <row r="297" spans="5:7" ht="14.45" customHeight="1" outlineLevel="4" thickBot="1" x14ac:dyDescent="0.3">
      <c r="G297" s="96" t="s">
        <v>895</v>
      </c>
    </row>
    <row r="298" spans="5:7" ht="14.45" customHeight="1" outlineLevel="4" thickBot="1" x14ac:dyDescent="0.3">
      <c r="G298" s="96" t="s">
        <v>882</v>
      </c>
    </row>
    <row r="299" spans="5:7" ht="14.45" customHeight="1" outlineLevel="3" thickBot="1" x14ac:dyDescent="0.3"/>
    <row r="300" spans="5:7" ht="14.45" customHeight="1" outlineLevel="2" thickBot="1" x14ac:dyDescent="0.3">
      <c r="E300" s="117" t="s">
        <v>896</v>
      </c>
    </row>
    <row r="301" spans="5:7" ht="14.45" customHeight="1" outlineLevel="3" thickBot="1" x14ac:dyDescent="0.3">
      <c r="F301" s="118" t="s">
        <v>831</v>
      </c>
    </row>
    <row r="302" spans="5:7" ht="14.45" customHeight="1" outlineLevel="4" thickBot="1" x14ac:dyDescent="0.3">
      <c r="G302" s="96" t="s">
        <v>832</v>
      </c>
    </row>
    <row r="303" spans="5:7" ht="14.45" customHeight="1" outlineLevel="4" thickBot="1" x14ac:dyDescent="0.3">
      <c r="G303" s="96" t="s">
        <v>897</v>
      </c>
    </row>
    <row r="304" spans="5:7" ht="14.45" customHeight="1" outlineLevel="3" thickBot="1" x14ac:dyDescent="0.3">
      <c r="F304" s="118" t="s">
        <v>898</v>
      </c>
    </row>
    <row r="305" spans="5:7" ht="14.45" customHeight="1" outlineLevel="4" thickBot="1" x14ac:dyDescent="0.3">
      <c r="G305" s="96" t="s">
        <v>899</v>
      </c>
    </row>
    <row r="306" spans="5:7" ht="14.45" customHeight="1" outlineLevel="4" thickBot="1" x14ac:dyDescent="0.3">
      <c r="G306" s="96" t="s">
        <v>900</v>
      </c>
    </row>
    <row r="307" spans="5:7" ht="14.45" customHeight="1" outlineLevel="3" thickBot="1" x14ac:dyDescent="0.3">
      <c r="F307" s="118" t="s">
        <v>901</v>
      </c>
    </row>
    <row r="308" spans="5:7" ht="14.45" customHeight="1" outlineLevel="4" thickBot="1" x14ac:dyDescent="0.3">
      <c r="G308" s="96" t="s">
        <v>902</v>
      </c>
    </row>
    <row r="309" spans="5:7" ht="14.45" customHeight="1" outlineLevel="4" thickBot="1" x14ac:dyDescent="0.3">
      <c r="G309" s="96" t="s">
        <v>903</v>
      </c>
    </row>
    <row r="310" spans="5:7" ht="14.45" customHeight="1" outlineLevel="3" thickBot="1" x14ac:dyDescent="0.3"/>
    <row r="311" spans="5:7" ht="14.45" customHeight="1" outlineLevel="2" thickBot="1" x14ac:dyDescent="0.3">
      <c r="E311" s="117" t="s">
        <v>904</v>
      </c>
    </row>
    <row r="312" spans="5:7" ht="14.45" customHeight="1" outlineLevel="3" thickBot="1" x14ac:dyDescent="0.3">
      <c r="F312" s="118" t="s">
        <v>785</v>
      </c>
    </row>
    <row r="313" spans="5:7" ht="14.45" customHeight="1" outlineLevel="4" thickBot="1" x14ac:dyDescent="0.3"/>
    <row r="314" spans="5:7" ht="14.45" customHeight="1" outlineLevel="3" thickBot="1" x14ac:dyDescent="0.3">
      <c r="F314" s="118" t="s">
        <v>905</v>
      </c>
    </row>
    <row r="315" spans="5:7" ht="14.45" customHeight="1" outlineLevel="4" thickBot="1" x14ac:dyDescent="0.3"/>
    <row r="316" spans="5:7" ht="14.45" customHeight="1" outlineLevel="3" thickBot="1" x14ac:dyDescent="0.3">
      <c r="F316" s="118" t="s">
        <v>906</v>
      </c>
    </row>
    <row r="317" spans="5:7" ht="14.45" customHeight="1" outlineLevel="4" thickBot="1" x14ac:dyDescent="0.3">
      <c r="G317" s="96" t="s">
        <v>902</v>
      </c>
    </row>
    <row r="318" spans="5:7" ht="14.45" customHeight="1" outlineLevel="4" thickBot="1" x14ac:dyDescent="0.3">
      <c r="G318" s="96" t="s">
        <v>907</v>
      </c>
    </row>
    <row r="319" spans="5:7" ht="14.45" customHeight="1" outlineLevel="4" thickBot="1" x14ac:dyDescent="0.3">
      <c r="G319" s="96" t="s">
        <v>908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6" t="s">
        <v>31</v>
      </c>
      <c r="E322" s="116"/>
    </row>
    <row r="323" spans="4:7" ht="14.45" customHeight="1" outlineLevel="2" thickBot="1" x14ac:dyDescent="0.3">
      <c r="E323" s="117" t="s">
        <v>909</v>
      </c>
    </row>
    <row r="324" spans="4:7" ht="14.45" customHeight="1" outlineLevel="3" thickBot="1" x14ac:dyDescent="0.3">
      <c r="F324" s="118" t="s">
        <v>910</v>
      </c>
    </row>
    <row r="325" spans="4:7" ht="14.45" customHeight="1" outlineLevel="4" thickBot="1" x14ac:dyDescent="0.3"/>
    <row r="326" spans="4:7" ht="14.45" customHeight="1" outlineLevel="3" thickBot="1" x14ac:dyDescent="0.3">
      <c r="F326" s="118" t="s">
        <v>911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7" t="s">
        <v>912</v>
      </c>
    </row>
    <row r="330" spans="4:7" ht="14.45" customHeight="1" outlineLevel="3" thickBot="1" x14ac:dyDescent="0.3">
      <c r="F330" s="118" t="s">
        <v>785</v>
      </c>
    </row>
    <row r="331" spans="4:7" ht="14.45" customHeight="1" outlineLevel="4" thickBot="1" x14ac:dyDescent="0.3"/>
    <row r="332" spans="4:7" ht="14.45" customHeight="1" outlineLevel="3" thickBot="1" x14ac:dyDescent="0.3">
      <c r="F332" s="118" t="s">
        <v>913</v>
      </c>
    </row>
    <row r="333" spans="4:7" ht="14.45" customHeight="1" outlineLevel="4" thickBot="1" x14ac:dyDescent="0.3">
      <c r="G333" s="96" t="s">
        <v>914</v>
      </c>
    </row>
    <row r="334" spans="4:7" ht="14.45" customHeight="1" outlineLevel="4" thickBot="1" x14ac:dyDescent="0.3">
      <c r="G334" s="96" t="s">
        <v>915</v>
      </c>
    </row>
    <row r="335" spans="4:7" ht="14.45" customHeight="1" outlineLevel="4" thickBot="1" x14ac:dyDescent="0.3">
      <c r="G335" s="96" t="s">
        <v>916</v>
      </c>
    </row>
    <row r="336" spans="4:7" ht="14.45" customHeight="1" outlineLevel="3" thickBot="1" x14ac:dyDescent="0.3">
      <c r="F336" s="118" t="s">
        <v>917</v>
      </c>
    </row>
    <row r="337" spans="5:7" ht="14.45" customHeight="1" outlineLevel="4" thickBot="1" x14ac:dyDescent="0.3">
      <c r="G337" s="96" t="s">
        <v>914</v>
      </c>
    </row>
    <row r="338" spans="5:7" ht="14.45" customHeight="1" outlineLevel="4" thickBot="1" x14ac:dyDescent="0.3">
      <c r="G338" s="96" t="s">
        <v>915</v>
      </c>
    </row>
    <row r="339" spans="5:7" ht="14.45" customHeight="1" outlineLevel="4" thickBot="1" x14ac:dyDescent="0.3">
      <c r="G339" s="96" t="s">
        <v>918</v>
      </c>
    </row>
    <row r="340" spans="5:7" ht="14.45" customHeight="1" outlineLevel="4" thickBot="1" x14ac:dyDescent="0.3">
      <c r="G340" s="96" t="s">
        <v>919</v>
      </c>
    </row>
    <row r="341" spans="5:7" ht="14.45" customHeight="1" outlineLevel="3" thickBot="1" x14ac:dyDescent="0.3">
      <c r="F341" s="118" t="s">
        <v>920</v>
      </c>
    </row>
    <row r="342" spans="5:7" ht="14.45" customHeight="1" outlineLevel="4" thickBot="1" x14ac:dyDescent="0.3">
      <c r="G342" s="96" t="s">
        <v>921</v>
      </c>
    </row>
    <row r="343" spans="5:7" ht="14.45" customHeight="1" outlineLevel="4" thickBot="1" x14ac:dyDescent="0.3">
      <c r="G343" s="96" t="s">
        <v>922</v>
      </c>
    </row>
    <row r="344" spans="5:7" ht="14.45" customHeight="1" outlineLevel="3" thickBot="1" x14ac:dyDescent="0.3">
      <c r="F344" s="118" t="s">
        <v>923</v>
      </c>
    </row>
    <row r="345" spans="5:7" ht="14.45" customHeight="1" outlineLevel="4" thickBot="1" x14ac:dyDescent="0.3">
      <c r="G345" s="96" t="s">
        <v>924</v>
      </c>
    </row>
    <row r="346" spans="5:7" ht="14.45" customHeight="1" outlineLevel="4" thickBot="1" x14ac:dyDescent="0.3">
      <c r="G346" s="96" t="s">
        <v>925</v>
      </c>
    </row>
    <row r="347" spans="5:7" ht="14.45" customHeight="1" outlineLevel="3" thickBot="1" x14ac:dyDescent="0.3"/>
    <row r="348" spans="5:7" ht="14.45" customHeight="1" outlineLevel="2" thickBot="1" x14ac:dyDescent="0.3">
      <c r="E348" s="117" t="s">
        <v>926</v>
      </c>
    </row>
    <row r="349" spans="5:7" ht="14.45" customHeight="1" outlineLevel="3" thickBot="1" x14ac:dyDescent="0.3">
      <c r="F349" s="118" t="s">
        <v>785</v>
      </c>
    </row>
    <row r="350" spans="5:7" ht="14.45" customHeight="1" outlineLevel="4" thickBot="1" x14ac:dyDescent="0.3"/>
    <row r="351" spans="5:7" ht="14.45" customHeight="1" outlineLevel="3" thickBot="1" x14ac:dyDescent="0.3">
      <c r="F351" s="118" t="s">
        <v>927</v>
      </c>
    </row>
    <row r="352" spans="5:7" ht="14.45" customHeight="1" outlineLevel="4" thickBot="1" x14ac:dyDescent="0.3"/>
    <row r="353" spans="5:7" ht="14.45" customHeight="1" outlineLevel="3" thickBot="1" x14ac:dyDescent="0.3">
      <c r="F353" s="118" t="s">
        <v>928</v>
      </c>
    </row>
    <row r="354" spans="5:7" ht="14.45" customHeight="1" outlineLevel="4" thickBot="1" x14ac:dyDescent="0.3">
      <c r="G354" s="96" t="s">
        <v>832</v>
      </c>
    </row>
    <row r="355" spans="5:7" ht="14.45" customHeight="1" outlineLevel="4" thickBot="1" x14ac:dyDescent="0.3">
      <c r="G355" s="96" t="s">
        <v>929</v>
      </c>
    </row>
    <row r="356" spans="5:7" ht="14.45" customHeight="1" outlineLevel="4" thickBot="1" x14ac:dyDescent="0.3">
      <c r="G356" s="96" t="s">
        <v>930</v>
      </c>
    </row>
    <row r="357" spans="5:7" ht="14.45" customHeight="1" outlineLevel="4" thickBot="1" x14ac:dyDescent="0.3">
      <c r="G357" s="96" t="s">
        <v>931</v>
      </c>
    </row>
    <row r="358" spans="5:7" ht="14.45" customHeight="1" outlineLevel="4" thickBot="1" x14ac:dyDescent="0.3">
      <c r="G358" s="96" t="s">
        <v>932</v>
      </c>
    </row>
    <row r="359" spans="5:7" ht="14.45" customHeight="1" outlineLevel="4" thickBot="1" x14ac:dyDescent="0.3">
      <c r="G359" s="96" t="s">
        <v>933</v>
      </c>
    </row>
    <row r="360" spans="5:7" ht="14.45" customHeight="1" outlineLevel="3" thickBot="1" x14ac:dyDescent="0.3"/>
    <row r="361" spans="5:7" ht="14.45" customHeight="1" outlineLevel="2" thickBot="1" x14ac:dyDescent="0.3">
      <c r="E361" s="117" t="s">
        <v>934</v>
      </c>
    </row>
    <row r="362" spans="5:7" ht="14.45" customHeight="1" outlineLevel="3" thickBot="1" x14ac:dyDescent="0.3">
      <c r="F362" s="118" t="s">
        <v>785</v>
      </c>
    </row>
    <row r="363" spans="5:7" ht="14.45" customHeight="1" outlineLevel="4" thickBot="1" x14ac:dyDescent="0.3"/>
    <row r="364" spans="5:7" ht="14.45" customHeight="1" outlineLevel="3" thickBot="1" x14ac:dyDescent="0.3">
      <c r="F364" s="118" t="s">
        <v>935</v>
      </c>
    </row>
    <row r="365" spans="5:7" ht="14.45" customHeight="1" outlineLevel="4" thickBot="1" x14ac:dyDescent="0.3">
      <c r="G365" s="96" t="s">
        <v>936</v>
      </c>
    </row>
    <row r="366" spans="5:7" ht="14.45" customHeight="1" outlineLevel="4" thickBot="1" x14ac:dyDescent="0.3">
      <c r="G366" s="96" t="s">
        <v>937</v>
      </c>
    </row>
    <row r="367" spans="5:7" ht="14.45" customHeight="1" outlineLevel="3" thickBot="1" x14ac:dyDescent="0.3">
      <c r="F367" s="118" t="s">
        <v>938</v>
      </c>
    </row>
    <row r="368" spans="5:7" ht="14.45" customHeight="1" outlineLevel="4" thickBot="1" x14ac:dyDescent="0.3">
      <c r="G368" s="96" t="s">
        <v>939</v>
      </c>
    </row>
    <row r="369" spans="3:7" ht="14.45" customHeight="1" outlineLevel="4" thickBot="1" x14ac:dyDescent="0.3">
      <c r="G369" s="96" t="s">
        <v>940</v>
      </c>
    </row>
    <row r="370" spans="3:7" ht="14.45" customHeight="1" outlineLevel="3" thickBot="1" x14ac:dyDescent="0.3">
      <c r="F370" s="118" t="s">
        <v>941</v>
      </c>
    </row>
    <row r="371" spans="3:7" ht="14.45" customHeight="1" outlineLevel="4" thickBot="1" x14ac:dyDescent="0.3">
      <c r="G371" s="96" t="s">
        <v>942</v>
      </c>
    </row>
    <row r="372" spans="3:7" ht="14.45" customHeight="1" outlineLevel="4" thickBot="1" x14ac:dyDescent="0.3">
      <c r="G372" s="96" t="s">
        <v>943</v>
      </c>
    </row>
    <row r="373" spans="3:7" ht="14.45" customHeight="1" outlineLevel="4" thickBot="1" x14ac:dyDescent="0.3">
      <c r="G373" s="96" t="s">
        <v>944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5" t="s">
        <v>945</v>
      </c>
      <c r="D377" s="115"/>
    </row>
    <row r="378" spans="3:7" ht="14.45" customHeight="1" outlineLevel="1" thickBot="1" x14ac:dyDescent="0.3">
      <c r="D378" s="116" t="s">
        <v>32</v>
      </c>
      <c r="E378" s="116"/>
    </row>
    <row r="379" spans="3:7" ht="14.45" customHeight="1" outlineLevel="2" thickBot="1" x14ac:dyDescent="0.3">
      <c r="E379" s="117" t="s">
        <v>946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7" t="s">
        <v>947</v>
      </c>
    </row>
    <row r="383" spans="3:7" ht="14.45" customHeight="1" outlineLevel="3" thickBot="1" x14ac:dyDescent="0.3">
      <c r="F383" s="118" t="s">
        <v>948</v>
      </c>
    </row>
    <row r="384" spans="3:7" ht="14.45" customHeight="1" outlineLevel="4" thickBot="1" x14ac:dyDescent="0.3"/>
    <row r="385" spans="4:6" ht="14.45" customHeight="1" outlineLevel="3" thickBot="1" x14ac:dyDescent="0.3">
      <c r="F385" s="118" t="s">
        <v>949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6" t="s">
        <v>34</v>
      </c>
      <c r="E389" s="116"/>
    </row>
    <row r="390" spans="4:6" ht="14.45" customHeight="1" outlineLevel="2" thickBot="1" x14ac:dyDescent="0.3">
      <c r="E390" s="117" t="s">
        <v>950</v>
      </c>
    </row>
    <row r="391" spans="4:6" ht="14.45" customHeight="1" outlineLevel="3" thickBot="1" x14ac:dyDescent="0.3">
      <c r="F391" s="118" t="s">
        <v>951</v>
      </c>
    </row>
    <row r="392" spans="4:6" ht="14.45" customHeight="1" outlineLevel="4" thickBot="1" x14ac:dyDescent="0.3"/>
    <row r="393" spans="4:6" ht="14.45" customHeight="1" outlineLevel="3" thickBot="1" x14ac:dyDescent="0.3">
      <c r="F393" s="118" t="s">
        <v>952</v>
      </c>
    </row>
    <row r="394" spans="4:6" ht="14.45" customHeight="1" outlineLevel="4" thickBot="1" x14ac:dyDescent="0.3"/>
    <row r="395" spans="4:6" ht="14.45" customHeight="1" outlineLevel="3" thickBot="1" x14ac:dyDescent="0.3">
      <c r="F395" s="118" t="s">
        <v>953</v>
      </c>
    </row>
    <row r="396" spans="4:6" ht="14.45" customHeight="1" outlineLevel="4" thickBot="1" x14ac:dyDescent="0.3"/>
    <row r="397" spans="4:6" ht="14.45" customHeight="1" outlineLevel="3" thickBot="1" x14ac:dyDescent="0.3">
      <c r="F397" s="118" t="s">
        <v>954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7" t="s">
        <v>955</v>
      </c>
    </row>
    <row r="401" spans="6:7" ht="14.45" customHeight="1" outlineLevel="3" thickBot="1" x14ac:dyDescent="0.3">
      <c r="F401" s="118" t="s">
        <v>956</v>
      </c>
    </row>
    <row r="402" spans="6:7" ht="14.45" customHeight="1" outlineLevel="4" thickBot="1" x14ac:dyDescent="0.3"/>
    <row r="403" spans="6:7" ht="14.45" customHeight="1" outlineLevel="3" thickBot="1" x14ac:dyDescent="0.3">
      <c r="F403" s="118" t="s">
        <v>957</v>
      </c>
    </row>
    <row r="404" spans="6:7" ht="14.45" customHeight="1" outlineLevel="4" thickBot="1" x14ac:dyDescent="0.3">
      <c r="G404" s="96" t="s">
        <v>958</v>
      </c>
    </row>
    <row r="405" spans="6:7" ht="14.45" customHeight="1" outlineLevel="4" thickBot="1" x14ac:dyDescent="0.3">
      <c r="G405" s="96" t="s">
        <v>959</v>
      </c>
    </row>
    <row r="406" spans="6:7" ht="14.45" customHeight="1" outlineLevel="4" thickBot="1" x14ac:dyDescent="0.3">
      <c r="G406" s="96" t="s">
        <v>960</v>
      </c>
    </row>
    <row r="407" spans="6:7" ht="14.45" customHeight="1" outlineLevel="4" thickBot="1" x14ac:dyDescent="0.3">
      <c r="G407" s="96" t="s">
        <v>961</v>
      </c>
    </row>
    <row r="408" spans="6:7" ht="14.45" customHeight="1" outlineLevel="3" thickBot="1" x14ac:dyDescent="0.3">
      <c r="F408" s="118" t="s">
        <v>962</v>
      </c>
    </row>
    <row r="409" spans="6:7" ht="14.45" customHeight="1" outlineLevel="4" thickBot="1" x14ac:dyDescent="0.3">
      <c r="G409" s="96" t="s">
        <v>963</v>
      </c>
    </row>
    <row r="410" spans="6:7" ht="14.45" customHeight="1" outlineLevel="4" thickBot="1" x14ac:dyDescent="0.3">
      <c r="G410" s="96" t="s">
        <v>964</v>
      </c>
    </row>
    <row r="411" spans="6:7" ht="14.45" customHeight="1" outlineLevel="3" thickBot="1" x14ac:dyDescent="0.3">
      <c r="F411" s="118" t="s">
        <v>965</v>
      </c>
    </row>
    <row r="412" spans="6:7" ht="14.45" customHeight="1" outlineLevel="4" thickBot="1" x14ac:dyDescent="0.3">
      <c r="G412" s="96" t="s">
        <v>966</v>
      </c>
    </row>
    <row r="413" spans="6:7" ht="14.45" customHeight="1" outlineLevel="4" thickBot="1" x14ac:dyDescent="0.3">
      <c r="G413" s="96" t="s">
        <v>967</v>
      </c>
    </row>
    <row r="414" spans="6:7" ht="14.45" customHeight="1" outlineLevel="3" thickBot="1" x14ac:dyDescent="0.3">
      <c r="F414" s="118" t="s">
        <v>968</v>
      </c>
    </row>
    <row r="415" spans="6:7" ht="14.45" customHeight="1" outlineLevel="4" thickBot="1" x14ac:dyDescent="0.3">
      <c r="G415" s="96" t="s">
        <v>969</v>
      </c>
    </row>
    <row r="416" spans="6:7" ht="14.45" customHeight="1" outlineLevel="4" thickBot="1" x14ac:dyDescent="0.3">
      <c r="G416" s="96" t="s">
        <v>970</v>
      </c>
    </row>
    <row r="417" spans="4:7" ht="14.45" customHeight="1" outlineLevel="4" thickBot="1" x14ac:dyDescent="0.3">
      <c r="G417" s="96" t="s">
        <v>971</v>
      </c>
    </row>
    <row r="418" spans="4:7" ht="14.45" customHeight="1" outlineLevel="3" thickBot="1" x14ac:dyDescent="0.3">
      <c r="F418" s="118" t="s">
        <v>972</v>
      </c>
    </row>
    <row r="419" spans="4:7" ht="14.45" customHeight="1" outlineLevel="4" thickBot="1" x14ac:dyDescent="0.3">
      <c r="G419" s="96" t="s">
        <v>816</v>
      </c>
    </row>
    <row r="420" spans="4:7" ht="14.45" customHeight="1" outlineLevel="4" thickBot="1" x14ac:dyDescent="0.3">
      <c r="G420" s="96" t="s">
        <v>817</v>
      </c>
    </row>
    <row r="421" spans="4:7" ht="14.45" customHeight="1" outlineLevel="4" thickBot="1" x14ac:dyDescent="0.3">
      <c r="G421" s="96" t="s">
        <v>973</v>
      </c>
    </row>
    <row r="422" spans="4:7" ht="14.45" customHeight="1" outlineLevel="4" thickBot="1" x14ac:dyDescent="0.3">
      <c r="G422" s="96" t="s">
        <v>819</v>
      </c>
    </row>
    <row r="423" spans="4:7" ht="14.45" customHeight="1" outlineLevel="3" thickBot="1" x14ac:dyDescent="0.3">
      <c r="F423" s="118" t="s">
        <v>974</v>
      </c>
    </row>
    <row r="424" spans="4:7" ht="14.45" customHeight="1" outlineLevel="4" thickBot="1" x14ac:dyDescent="0.3">
      <c r="G424" s="96" t="s">
        <v>975</v>
      </c>
    </row>
    <row r="425" spans="4:7" ht="14.45" customHeight="1" outlineLevel="4" thickBot="1" x14ac:dyDescent="0.3">
      <c r="G425" s="96" t="s">
        <v>976</v>
      </c>
    </row>
    <row r="426" spans="4:7" ht="14.45" customHeight="1" outlineLevel="4" thickBot="1" x14ac:dyDescent="0.3">
      <c r="G426" s="96" t="s">
        <v>977</v>
      </c>
    </row>
    <row r="427" spans="4:7" ht="14.45" customHeight="1" outlineLevel="4" thickBot="1" x14ac:dyDescent="0.3">
      <c r="G427" s="96" t="s">
        <v>978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6" t="s">
        <v>37</v>
      </c>
      <c r="E430" s="116"/>
    </row>
    <row r="431" spans="4:7" ht="14.45" customHeight="1" outlineLevel="2" thickBot="1" x14ac:dyDescent="0.3">
      <c r="E431" s="117" t="s">
        <v>979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7" t="s">
        <v>980</v>
      </c>
    </row>
    <row r="435" spans="5:7" ht="14.45" customHeight="1" outlineLevel="3" thickBot="1" x14ac:dyDescent="0.3">
      <c r="F435" s="118" t="s">
        <v>981</v>
      </c>
    </row>
    <row r="436" spans="5:7" ht="14.45" customHeight="1" outlineLevel="4" thickBot="1" x14ac:dyDescent="0.3">
      <c r="G436" s="96" t="s">
        <v>982</v>
      </c>
    </row>
    <row r="437" spans="5:7" ht="14.45" customHeight="1" outlineLevel="4" thickBot="1" x14ac:dyDescent="0.3">
      <c r="G437" s="96" t="s">
        <v>983</v>
      </c>
    </row>
    <row r="438" spans="5:7" ht="14.45" customHeight="1" outlineLevel="4" thickBot="1" x14ac:dyDescent="0.3">
      <c r="G438" s="96" t="s">
        <v>984</v>
      </c>
    </row>
    <row r="439" spans="5:7" ht="14.45" customHeight="1" outlineLevel="3" thickBot="1" x14ac:dyDescent="0.3">
      <c r="F439" s="118" t="s">
        <v>985</v>
      </c>
    </row>
    <row r="440" spans="5:7" ht="14.45" customHeight="1" outlineLevel="4" thickBot="1" x14ac:dyDescent="0.3">
      <c r="G440" s="96" t="s">
        <v>986</v>
      </c>
    </row>
    <row r="441" spans="5:7" ht="14.45" customHeight="1" outlineLevel="4" thickBot="1" x14ac:dyDescent="0.3">
      <c r="G441" s="96" t="s">
        <v>987</v>
      </c>
    </row>
    <row r="442" spans="5:7" ht="14.45" customHeight="1" outlineLevel="3" thickBot="1" x14ac:dyDescent="0.3">
      <c r="F442" s="118" t="s">
        <v>988</v>
      </c>
    </row>
    <row r="443" spans="5:7" ht="14.45" customHeight="1" outlineLevel="4" thickBot="1" x14ac:dyDescent="0.3">
      <c r="G443" s="96" t="s">
        <v>989</v>
      </c>
    </row>
    <row r="444" spans="5:7" ht="14.45" customHeight="1" outlineLevel="4" thickBot="1" x14ac:dyDescent="0.3">
      <c r="G444" s="96" t="s">
        <v>990</v>
      </c>
    </row>
    <row r="445" spans="5:7" ht="14.45" customHeight="1" outlineLevel="3" thickBot="1" x14ac:dyDescent="0.3">
      <c r="F445" s="118" t="s">
        <v>991</v>
      </c>
    </row>
    <row r="446" spans="5:7" ht="14.45" customHeight="1" outlineLevel="4" thickBot="1" x14ac:dyDescent="0.3">
      <c r="G446" s="96" t="s">
        <v>992</v>
      </c>
    </row>
    <row r="447" spans="5:7" ht="14.45" customHeight="1" outlineLevel="4" thickBot="1" x14ac:dyDescent="0.3">
      <c r="G447" s="96" t="s">
        <v>993</v>
      </c>
    </row>
    <row r="448" spans="5:7" ht="14.45" customHeight="1" outlineLevel="3" thickBot="1" x14ac:dyDescent="0.3">
      <c r="F448" s="118" t="s">
        <v>994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7" t="s">
        <v>995</v>
      </c>
    </row>
    <row r="452" spans="4:7" ht="14.45" customHeight="1" outlineLevel="3" thickBot="1" x14ac:dyDescent="0.3">
      <c r="F452" s="118" t="s">
        <v>996</v>
      </c>
    </row>
    <row r="453" spans="4:7" ht="14.45" customHeight="1" outlineLevel="4" thickBot="1" x14ac:dyDescent="0.3">
      <c r="G453" s="96" t="s">
        <v>997</v>
      </c>
    </row>
    <row r="454" spans="4:7" ht="14.45" customHeight="1" outlineLevel="4" thickBot="1" x14ac:dyDescent="0.3">
      <c r="G454" s="96" t="s">
        <v>998</v>
      </c>
    </row>
    <row r="455" spans="4:7" ht="14.45" customHeight="1" outlineLevel="3" thickBot="1" x14ac:dyDescent="0.3">
      <c r="F455" s="118" t="s">
        <v>999</v>
      </c>
    </row>
    <row r="456" spans="4:7" ht="14.45" customHeight="1" outlineLevel="4" thickBot="1" x14ac:dyDescent="0.3">
      <c r="G456" s="96" t="s">
        <v>1000</v>
      </c>
    </row>
    <row r="457" spans="4:7" ht="14.45" customHeight="1" outlineLevel="4" thickBot="1" x14ac:dyDescent="0.3">
      <c r="G457" s="96" t="s">
        <v>1001</v>
      </c>
    </row>
    <row r="458" spans="4:7" ht="14.45" customHeight="1" outlineLevel="4" thickBot="1" x14ac:dyDescent="0.3">
      <c r="G458" s="96" t="s">
        <v>1002</v>
      </c>
    </row>
    <row r="459" spans="4:7" ht="14.45" customHeight="1" outlineLevel="4" thickBot="1" x14ac:dyDescent="0.3">
      <c r="G459" s="96" t="s">
        <v>1003</v>
      </c>
    </row>
    <row r="460" spans="4:7" ht="14.45" customHeight="1" outlineLevel="3" thickBot="1" x14ac:dyDescent="0.3">
      <c r="F460" s="118" t="s">
        <v>1004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6" t="s">
        <v>38</v>
      </c>
      <c r="E464" s="116"/>
    </row>
    <row r="465" spans="5:7" ht="14.45" customHeight="1" outlineLevel="2" thickBot="1" x14ac:dyDescent="0.3">
      <c r="E465" s="117" t="s">
        <v>1005</v>
      </c>
    </row>
    <row r="466" spans="5:7" ht="14.45" customHeight="1" outlineLevel="3" thickBot="1" x14ac:dyDescent="0.3">
      <c r="F466" s="118" t="s">
        <v>831</v>
      </c>
    </row>
    <row r="467" spans="5:7" ht="14.45" customHeight="1" outlineLevel="4" thickBot="1" x14ac:dyDescent="0.3">
      <c r="G467" s="96" t="s">
        <v>1006</v>
      </c>
    </row>
    <row r="468" spans="5:7" ht="14.45" customHeight="1" outlineLevel="4" thickBot="1" x14ac:dyDescent="0.3">
      <c r="G468" s="96" t="s">
        <v>1007</v>
      </c>
    </row>
    <row r="469" spans="5:7" ht="14.45" customHeight="1" outlineLevel="3" thickBot="1" x14ac:dyDescent="0.3">
      <c r="F469" s="118" t="s">
        <v>1008</v>
      </c>
    </row>
    <row r="470" spans="5:7" ht="14.45" customHeight="1" outlineLevel="4" thickBot="1" x14ac:dyDescent="0.3">
      <c r="G470" s="96" t="s">
        <v>885</v>
      </c>
    </row>
    <row r="471" spans="5:7" ht="14.45" customHeight="1" outlineLevel="4" thickBot="1" x14ac:dyDescent="0.3">
      <c r="G471" s="96" t="s">
        <v>886</v>
      </c>
    </row>
    <row r="472" spans="5:7" ht="14.45" customHeight="1" outlineLevel="4" thickBot="1" x14ac:dyDescent="0.3">
      <c r="G472" s="96" t="s">
        <v>887</v>
      </c>
    </row>
    <row r="473" spans="5:7" ht="14.45" customHeight="1" outlineLevel="3" thickBot="1" x14ac:dyDescent="0.3"/>
    <row r="474" spans="5:7" ht="14.45" customHeight="1" outlineLevel="2" thickBot="1" x14ac:dyDescent="0.3">
      <c r="E474" s="117" t="s">
        <v>1009</v>
      </c>
    </row>
    <row r="475" spans="5:7" ht="14.45" customHeight="1" outlineLevel="3" thickBot="1" x14ac:dyDescent="0.3">
      <c r="F475" s="118" t="s">
        <v>1010</v>
      </c>
    </row>
    <row r="476" spans="5:7" ht="14.45" customHeight="1" outlineLevel="4" thickBot="1" x14ac:dyDescent="0.3"/>
    <row r="477" spans="5:7" ht="14.45" customHeight="1" outlineLevel="3" thickBot="1" x14ac:dyDescent="0.3">
      <c r="F477" s="118" t="s">
        <v>1011</v>
      </c>
    </row>
    <row r="478" spans="5:7" ht="14.45" customHeight="1" outlineLevel="4" thickBot="1" x14ac:dyDescent="0.3">
      <c r="G478" s="96" t="s">
        <v>942</v>
      </c>
    </row>
    <row r="479" spans="5:7" ht="14.45" customHeight="1" outlineLevel="4" thickBot="1" x14ac:dyDescent="0.3">
      <c r="G479" s="96" t="s">
        <v>943</v>
      </c>
    </row>
    <row r="480" spans="5:7" ht="14.45" customHeight="1" outlineLevel="4" thickBot="1" x14ac:dyDescent="0.3">
      <c r="G480" s="96" t="s">
        <v>944</v>
      </c>
    </row>
    <row r="481" spans="6:7" ht="14.45" customHeight="1" outlineLevel="3" thickBot="1" x14ac:dyDescent="0.3">
      <c r="F481" s="118" t="s">
        <v>1012</v>
      </c>
    </row>
    <row r="482" spans="6:7" ht="14.45" customHeight="1" outlineLevel="4" thickBot="1" x14ac:dyDescent="0.3"/>
    <row r="483" spans="6:7" ht="14.45" customHeight="1" outlineLevel="3" thickBot="1" x14ac:dyDescent="0.3">
      <c r="F483" s="118" t="s">
        <v>1013</v>
      </c>
    </row>
    <row r="484" spans="6:7" ht="14.45" customHeight="1" outlineLevel="4" thickBot="1" x14ac:dyDescent="0.3">
      <c r="G484" s="96" t="s">
        <v>816</v>
      </c>
    </row>
    <row r="485" spans="6:7" ht="14.45" customHeight="1" outlineLevel="4" thickBot="1" x14ac:dyDescent="0.3">
      <c r="G485" s="96" t="s">
        <v>817</v>
      </c>
    </row>
    <row r="486" spans="6:7" ht="14.45" customHeight="1" outlineLevel="4" thickBot="1" x14ac:dyDescent="0.3">
      <c r="G486" s="96" t="s">
        <v>818</v>
      </c>
    </row>
    <row r="487" spans="6:7" ht="14.45" customHeight="1" outlineLevel="4" thickBot="1" x14ac:dyDescent="0.3">
      <c r="G487" s="96" t="s">
        <v>819</v>
      </c>
    </row>
    <row r="488" spans="6:7" ht="14.45" customHeight="1" outlineLevel="3" thickBot="1" x14ac:dyDescent="0.3">
      <c r="F488" s="118" t="s">
        <v>1014</v>
      </c>
    </row>
    <row r="489" spans="6:7" ht="14.45" customHeight="1" outlineLevel="4" thickBot="1" x14ac:dyDescent="0.3">
      <c r="G489" s="96" t="s">
        <v>816</v>
      </c>
    </row>
    <row r="490" spans="6:7" ht="14.45" customHeight="1" outlineLevel="4" thickBot="1" x14ac:dyDescent="0.3">
      <c r="G490" s="96" t="s">
        <v>817</v>
      </c>
    </row>
    <row r="491" spans="6:7" ht="14.45" customHeight="1" outlineLevel="4" thickBot="1" x14ac:dyDescent="0.3">
      <c r="G491" s="96" t="s">
        <v>818</v>
      </c>
    </row>
    <row r="492" spans="6:7" ht="14.45" customHeight="1" outlineLevel="4" thickBot="1" x14ac:dyDescent="0.3">
      <c r="G492" s="96" t="s">
        <v>819</v>
      </c>
    </row>
    <row r="493" spans="6:7" ht="14.45" customHeight="1" outlineLevel="3" thickBot="1" x14ac:dyDescent="0.3">
      <c r="F493" s="118" t="s">
        <v>1015</v>
      </c>
    </row>
    <row r="494" spans="6:7" ht="14.45" customHeight="1" outlineLevel="4" thickBot="1" x14ac:dyDescent="0.3">
      <c r="G494" s="96" t="s">
        <v>816</v>
      </c>
    </row>
    <row r="495" spans="6:7" ht="14.45" customHeight="1" outlineLevel="4" thickBot="1" x14ac:dyDescent="0.3">
      <c r="G495" s="96" t="s">
        <v>817</v>
      </c>
    </row>
    <row r="496" spans="6:7" ht="14.45" customHeight="1" outlineLevel="4" thickBot="1" x14ac:dyDescent="0.3">
      <c r="G496" s="96" t="s">
        <v>818</v>
      </c>
    </row>
    <row r="497" spans="4:7" ht="14.45" customHeight="1" outlineLevel="4" thickBot="1" x14ac:dyDescent="0.3">
      <c r="G497" s="96" t="s">
        <v>819</v>
      </c>
    </row>
    <row r="498" spans="4:7" ht="14.45" customHeight="1" outlineLevel="3" thickBot="1" x14ac:dyDescent="0.3">
      <c r="F498" s="118" t="s">
        <v>1016</v>
      </c>
    </row>
    <row r="499" spans="4:7" ht="14.45" customHeight="1" outlineLevel="4" thickBot="1" x14ac:dyDescent="0.3">
      <c r="G499" s="96" t="s">
        <v>816</v>
      </c>
    </row>
    <row r="500" spans="4:7" ht="14.45" customHeight="1" outlineLevel="4" thickBot="1" x14ac:dyDescent="0.3">
      <c r="G500" s="96" t="s">
        <v>817</v>
      </c>
    </row>
    <row r="501" spans="4:7" ht="14.45" customHeight="1" outlineLevel="4" thickBot="1" x14ac:dyDescent="0.3">
      <c r="G501" s="96" t="s">
        <v>818</v>
      </c>
    </row>
    <row r="502" spans="4:7" ht="14.45" customHeight="1" outlineLevel="4" thickBot="1" x14ac:dyDescent="0.3">
      <c r="G502" s="96" t="s">
        <v>819</v>
      </c>
    </row>
    <row r="503" spans="4:7" ht="14.45" customHeight="1" outlineLevel="3" thickBot="1" x14ac:dyDescent="0.3">
      <c r="F503" s="118" t="s">
        <v>1017</v>
      </c>
    </row>
    <row r="504" spans="4:7" ht="14.45" customHeight="1" outlineLevel="4" thickBot="1" x14ac:dyDescent="0.3"/>
    <row r="505" spans="4:7" ht="14.45" customHeight="1" outlineLevel="3" thickBot="1" x14ac:dyDescent="0.3">
      <c r="F505" s="118" t="s">
        <v>1018</v>
      </c>
    </row>
    <row r="506" spans="4:7" ht="14.45" customHeight="1" outlineLevel="4" thickBot="1" x14ac:dyDescent="0.3">
      <c r="G506" s="96" t="s">
        <v>816</v>
      </c>
    </row>
    <row r="507" spans="4:7" ht="14.45" customHeight="1" outlineLevel="4" thickBot="1" x14ac:dyDescent="0.3">
      <c r="G507" s="96" t="s">
        <v>817</v>
      </c>
    </row>
    <row r="508" spans="4:7" ht="14.45" customHeight="1" outlineLevel="4" thickBot="1" x14ac:dyDescent="0.3">
      <c r="G508" s="96" t="s">
        <v>818</v>
      </c>
    </row>
    <row r="509" spans="4:7" ht="14.45" customHeight="1" outlineLevel="4" thickBot="1" x14ac:dyDescent="0.3">
      <c r="G509" s="96" t="s">
        <v>819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6" t="s">
        <v>40</v>
      </c>
      <c r="E512" s="116"/>
    </row>
    <row r="513" spans="4:6" ht="14.45" customHeight="1" outlineLevel="2" thickBot="1" x14ac:dyDescent="0.3">
      <c r="E513" s="117" t="s">
        <v>1019</v>
      </c>
    </row>
    <row r="514" spans="4:6" ht="14.45" customHeight="1" outlineLevel="3" thickBot="1" x14ac:dyDescent="0.3">
      <c r="F514" s="118" t="s">
        <v>1020</v>
      </c>
    </row>
    <row r="515" spans="4:6" ht="14.45" customHeight="1" outlineLevel="4" thickBot="1" x14ac:dyDescent="0.3"/>
    <row r="516" spans="4:6" ht="14.45" customHeight="1" outlineLevel="3" thickBot="1" x14ac:dyDescent="0.3">
      <c r="F516" s="118" t="s">
        <v>1021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7" t="s">
        <v>1022</v>
      </c>
    </row>
    <row r="520" spans="4:6" ht="14.45" customHeight="1" outlineLevel="3" thickBot="1" x14ac:dyDescent="0.3">
      <c r="F520" s="118" t="s">
        <v>1023</v>
      </c>
    </row>
    <row r="521" spans="4:6" ht="14.45" customHeight="1" outlineLevel="4" thickBot="1" x14ac:dyDescent="0.3"/>
    <row r="522" spans="4:6" ht="14.45" customHeight="1" outlineLevel="3" thickBot="1" x14ac:dyDescent="0.3">
      <c r="F522" s="118" t="s">
        <v>1024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6" t="s">
        <v>42</v>
      </c>
      <c r="E526" s="116"/>
    </row>
    <row r="527" spans="4:6" ht="14.45" customHeight="1" outlineLevel="2" thickBot="1" x14ac:dyDescent="0.3">
      <c r="E527" s="117" t="s">
        <v>1025</v>
      </c>
    </row>
    <row r="528" spans="4:6" ht="14.45" customHeight="1" outlineLevel="3" thickBot="1" x14ac:dyDescent="0.3">
      <c r="F528" s="118" t="s">
        <v>785</v>
      </c>
    </row>
    <row r="529" spans="5:6" ht="14.45" customHeight="1" outlineLevel="4" thickBot="1" x14ac:dyDescent="0.3"/>
    <row r="530" spans="5:6" ht="14.45" customHeight="1" outlineLevel="3" thickBot="1" x14ac:dyDescent="0.3">
      <c r="F530" s="118" t="s">
        <v>1026</v>
      </c>
    </row>
    <row r="531" spans="5:6" ht="14.45" customHeight="1" outlineLevel="4" thickBot="1" x14ac:dyDescent="0.3"/>
    <row r="532" spans="5:6" ht="14.45" customHeight="1" outlineLevel="3" thickBot="1" x14ac:dyDescent="0.3">
      <c r="F532" s="118" t="s">
        <v>1027</v>
      </c>
    </row>
    <row r="533" spans="5:6" ht="14.45" customHeight="1" outlineLevel="4" thickBot="1" x14ac:dyDescent="0.3"/>
    <row r="534" spans="5:6" ht="14.45" customHeight="1" outlineLevel="3" thickBot="1" x14ac:dyDescent="0.3">
      <c r="F534" s="118" t="s">
        <v>1028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7" t="s">
        <v>1029</v>
      </c>
    </row>
    <row r="538" spans="5:6" ht="14.45" customHeight="1" outlineLevel="3" thickBot="1" x14ac:dyDescent="0.3">
      <c r="F538" s="118" t="s">
        <v>1030</v>
      </c>
    </row>
    <row r="539" spans="5:6" ht="14.45" customHeight="1" outlineLevel="4" thickBot="1" x14ac:dyDescent="0.3"/>
    <row r="540" spans="5:6" ht="14.45" customHeight="1" outlineLevel="3" thickBot="1" x14ac:dyDescent="0.3">
      <c r="F540" s="118" t="s">
        <v>1031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7" t="s">
        <v>1032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6" t="s">
        <v>45</v>
      </c>
      <c r="E547" s="116"/>
    </row>
    <row r="548" spans="4:7" ht="14.45" customHeight="1" outlineLevel="2" thickBot="1" x14ac:dyDescent="0.3">
      <c r="E548" s="117" t="s">
        <v>1033</v>
      </c>
    </row>
    <row r="549" spans="4:7" ht="14.45" customHeight="1" outlineLevel="3" thickBot="1" x14ac:dyDescent="0.3">
      <c r="F549" s="118" t="s">
        <v>785</v>
      </c>
    </row>
    <row r="550" spans="4:7" ht="14.45" customHeight="1" outlineLevel="4" thickBot="1" x14ac:dyDescent="0.3"/>
    <row r="551" spans="4:7" ht="14.45" customHeight="1" outlineLevel="3" thickBot="1" x14ac:dyDescent="0.3">
      <c r="F551" s="118" t="s">
        <v>1034</v>
      </c>
    </row>
    <row r="552" spans="4:7" ht="14.45" customHeight="1" outlineLevel="4" thickBot="1" x14ac:dyDescent="0.3"/>
    <row r="553" spans="4:7" ht="14.45" customHeight="1" outlineLevel="3" thickBot="1" x14ac:dyDescent="0.3">
      <c r="F553" s="118" t="s">
        <v>1035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7" t="s">
        <v>1036</v>
      </c>
    </row>
    <row r="557" spans="4:7" ht="14.45" customHeight="1" outlineLevel="3" thickBot="1" x14ac:dyDescent="0.3">
      <c r="F557" s="118" t="s">
        <v>1037</v>
      </c>
    </row>
    <row r="558" spans="4:7" ht="14.45" customHeight="1" outlineLevel="4" thickBot="1" x14ac:dyDescent="0.3"/>
    <row r="559" spans="4:7" ht="14.45" customHeight="1" outlineLevel="3" thickBot="1" x14ac:dyDescent="0.3">
      <c r="F559" s="118" t="s">
        <v>1038</v>
      </c>
    </row>
    <row r="560" spans="4:7" ht="14.45" customHeight="1" outlineLevel="4" thickBot="1" x14ac:dyDescent="0.3">
      <c r="G560" s="96" t="s">
        <v>1039</v>
      </c>
    </row>
    <row r="561" spans="5:7" ht="14.45" customHeight="1" outlineLevel="4" thickBot="1" x14ac:dyDescent="0.3">
      <c r="G561" s="96" t="s">
        <v>1040</v>
      </c>
    </row>
    <row r="562" spans="5:7" ht="14.45" customHeight="1" outlineLevel="4" thickBot="1" x14ac:dyDescent="0.3">
      <c r="G562" s="96" t="s">
        <v>1041</v>
      </c>
    </row>
    <row r="563" spans="5:7" ht="14.45" customHeight="1" outlineLevel="3" thickBot="1" x14ac:dyDescent="0.3">
      <c r="F563" s="118" t="s">
        <v>1042</v>
      </c>
    </row>
    <row r="564" spans="5:7" ht="14.45" customHeight="1" outlineLevel="4" thickBot="1" x14ac:dyDescent="0.3">
      <c r="G564" s="96" t="s">
        <v>1043</v>
      </c>
    </row>
    <row r="565" spans="5:7" ht="14.45" customHeight="1" outlineLevel="4" thickBot="1" x14ac:dyDescent="0.3">
      <c r="G565" s="96" t="s">
        <v>1044</v>
      </c>
    </row>
    <row r="566" spans="5:7" ht="14.45" customHeight="1" outlineLevel="3" thickBot="1" x14ac:dyDescent="0.3">
      <c r="F566" s="118" t="s">
        <v>1045</v>
      </c>
    </row>
    <row r="567" spans="5:7" ht="14.45" customHeight="1" outlineLevel="4" thickBot="1" x14ac:dyDescent="0.3">
      <c r="G567" s="96" t="s">
        <v>816</v>
      </c>
    </row>
    <row r="568" spans="5:7" ht="14.45" customHeight="1" outlineLevel="4" thickBot="1" x14ac:dyDescent="0.3">
      <c r="G568" s="96" t="s">
        <v>1046</v>
      </c>
    </row>
    <row r="569" spans="5:7" ht="14.45" customHeight="1" outlineLevel="4" thickBot="1" x14ac:dyDescent="0.3">
      <c r="G569" s="96" t="s">
        <v>1047</v>
      </c>
    </row>
    <row r="570" spans="5:7" ht="14.45" customHeight="1" outlineLevel="3" thickBot="1" x14ac:dyDescent="0.3"/>
    <row r="571" spans="5:7" ht="14.45" customHeight="1" outlineLevel="2" thickBot="1" x14ac:dyDescent="0.3">
      <c r="E571" s="117" t="s">
        <v>1048</v>
      </c>
    </row>
    <row r="572" spans="5:7" ht="14.45" customHeight="1" outlineLevel="3" thickBot="1" x14ac:dyDescent="0.3">
      <c r="F572" s="118" t="s">
        <v>785</v>
      </c>
    </row>
    <row r="573" spans="5:7" ht="14.45" customHeight="1" outlineLevel="4" thickBot="1" x14ac:dyDescent="0.3"/>
    <row r="574" spans="5:7" ht="14.45" customHeight="1" outlineLevel="3" thickBot="1" x14ac:dyDescent="0.3">
      <c r="F574" s="118" t="s">
        <v>1049</v>
      </c>
    </row>
    <row r="575" spans="5:7" ht="14.45" customHeight="1" outlineLevel="4" thickBot="1" x14ac:dyDescent="0.3">
      <c r="G575" s="96" t="s">
        <v>1050</v>
      </c>
    </row>
    <row r="576" spans="5:7" ht="14.45" customHeight="1" outlineLevel="4" thickBot="1" x14ac:dyDescent="0.3">
      <c r="G576" s="96" t="s">
        <v>1051</v>
      </c>
    </row>
    <row r="577" spans="4:7" ht="14.45" customHeight="1" outlineLevel="4" thickBot="1" x14ac:dyDescent="0.3">
      <c r="G577" s="96" t="s">
        <v>1052</v>
      </c>
    </row>
    <row r="578" spans="4:7" ht="14.45" customHeight="1" outlineLevel="3" thickBot="1" x14ac:dyDescent="0.3">
      <c r="F578" s="118" t="s">
        <v>1053</v>
      </c>
    </row>
    <row r="579" spans="4:7" ht="14.45" customHeight="1" outlineLevel="4" thickBot="1" x14ac:dyDescent="0.3">
      <c r="G579" s="96" t="s">
        <v>832</v>
      </c>
    </row>
    <row r="580" spans="4:7" ht="14.45" customHeight="1" outlineLevel="4" thickBot="1" x14ac:dyDescent="0.3">
      <c r="G580" s="96" t="s">
        <v>1054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6" t="s">
        <v>47</v>
      </c>
      <c r="E583" s="116"/>
    </row>
    <row r="584" spans="4:7" ht="14.45" customHeight="1" outlineLevel="2" thickBot="1" x14ac:dyDescent="0.3">
      <c r="E584" s="117" t="s">
        <v>741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7" t="s">
        <v>1055</v>
      </c>
    </row>
    <row r="588" spans="4:7" ht="14.45" customHeight="1" outlineLevel="3" thickBot="1" x14ac:dyDescent="0.3">
      <c r="F588" s="118" t="s">
        <v>1056</v>
      </c>
    </row>
    <row r="589" spans="4:7" ht="14.45" customHeight="1" outlineLevel="4" thickBot="1" x14ac:dyDescent="0.3"/>
    <row r="590" spans="4:7" ht="14.45" customHeight="1" outlineLevel="3" thickBot="1" x14ac:dyDescent="0.3">
      <c r="F590" s="118" t="s">
        <v>1057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7" t="s">
        <v>1058</v>
      </c>
    </row>
    <row r="594" spans="5:6" ht="14.45" customHeight="1" outlineLevel="3" thickBot="1" x14ac:dyDescent="0.3">
      <c r="F594" s="118" t="s">
        <v>1059</v>
      </c>
    </row>
    <row r="595" spans="5:6" ht="14.45" customHeight="1" outlineLevel="4" thickBot="1" x14ac:dyDescent="0.3"/>
    <row r="596" spans="5:6" ht="14.45" customHeight="1" outlineLevel="3" thickBot="1" x14ac:dyDescent="0.3">
      <c r="F596" s="118" t="s">
        <v>1060</v>
      </c>
    </row>
    <row r="597" spans="5:6" ht="14.45" customHeight="1" outlineLevel="4" thickBot="1" x14ac:dyDescent="0.3"/>
    <row r="598" spans="5:6" ht="14.45" customHeight="1" outlineLevel="3" thickBot="1" x14ac:dyDescent="0.3">
      <c r="F598" s="118" t="s">
        <v>1061</v>
      </c>
    </row>
    <row r="599" spans="5:6" ht="14.45" customHeight="1" outlineLevel="4" thickBot="1" x14ac:dyDescent="0.3"/>
    <row r="600" spans="5:6" ht="14.45" customHeight="1" outlineLevel="3" thickBot="1" x14ac:dyDescent="0.3">
      <c r="F600" s="118" t="s">
        <v>1062</v>
      </c>
    </row>
    <row r="601" spans="5:6" ht="14.45" customHeight="1" outlineLevel="4" thickBot="1" x14ac:dyDescent="0.3"/>
    <row r="602" spans="5:6" ht="14.45" customHeight="1" outlineLevel="3" thickBot="1" x14ac:dyDescent="0.3">
      <c r="F602" s="118" t="s">
        <v>1063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7" t="s">
        <v>1064</v>
      </c>
    </row>
    <row r="606" spans="5:6" ht="14.45" customHeight="1" outlineLevel="3" thickBot="1" x14ac:dyDescent="0.3">
      <c r="F606" s="118" t="s">
        <v>1065</v>
      </c>
    </row>
    <row r="607" spans="5:6" ht="14.45" customHeight="1" outlineLevel="4" thickBot="1" x14ac:dyDescent="0.3"/>
    <row r="608" spans="5:6" ht="14.45" customHeight="1" outlineLevel="3" thickBot="1" x14ac:dyDescent="0.3">
      <c r="F608" s="118" t="s">
        <v>1066</v>
      </c>
    </row>
    <row r="609" spans="5:6" ht="14.45" customHeight="1" outlineLevel="4" thickBot="1" x14ac:dyDescent="0.3"/>
    <row r="610" spans="5:6" ht="14.45" customHeight="1" outlineLevel="3" thickBot="1" x14ac:dyDescent="0.3">
      <c r="F610" s="118" t="s">
        <v>1067</v>
      </c>
    </row>
    <row r="611" spans="5:6" ht="14.45" customHeight="1" outlineLevel="4" thickBot="1" x14ac:dyDescent="0.3"/>
    <row r="612" spans="5:6" ht="14.45" customHeight="1" outlineLevel="3" thickBot="1" x14ac:dyDescent="0.3">
      <c r="F612" s="118" t="s">
        <v>1068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7" t="s">
        <v>1069</v>
      </c>
    </row>
    <row r="616" spans="5:6" ht="14.45" customHeight="1" outlineLevel="3" thickBot="1" x14ac:dyDescent="0.3">
      <c r="F616" s="118" t="s">
        <v>1070</v>
      </c>
    </row>
    <row r="617" spans="5:6" ht="14.45" customHeight="1" outlineLevel="4" thickBot="1" x14ac:dyDescent="0.3"/>
    <row r="618" spans="5:6" ht="14.45" customHeight="1" outlineLevel="3" thickBot="1" x14ac:dyDescent="0.3">
      <c r="F618" s="118" t="s">
        <v>1071</v>
      </c>
    </row>
    <row r="619" spans="5:6" ht="14.45" customHeight="1" outlineLevel="4" thickBot="1" x14ac:dyDescent="0.3"/>
    <row r="620" spans="5:6" ht="14.45" customHeight="1" outlineLevel="3" thickBot="1" x14ac:dyDescent="0.3">
      <c r="F620" s="118" t="s">
        <v>1072</v>
      </c>
    </row>
    <row r="621" spans="5:6" ht="14.45" customHeight="1" outlineLevel="4" thickBot="1" x14ac:dyDescent="0.3"/>
    <row r="622" spans="5:6" ht="14.45" customHeight="1" outlineLevel="3" thickBot="1" x14ac:dyDescent="0.3">
      <c r="F622" s="118" t="s">
        <v>1073</v>
      </c>
    </row>
    <row r="623" spans="5:6" ht="14.45" customHeight="1" outlineLevel="4" thickBot="1" x14ac:dyDescent="0.3"/>
    <row r="624" spans="5:6" ht="14.45" customHeight="1" outlineLevel="3" thickBot="1" x14ac:dyDescent="0.3">
      <c r="F624" s="118" t="s">
        <v>1074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7" t="s">
        <v>1075</v>
      </c>
    </row>
    <row r="628" spans="5:6" ht="14.45" customHeight="1" outlineLevel="3" thickBot="1" x14ac:dyDescent="0.3">
      <c r="F628" s="118" t="s">
        <v>1076</v>
      </c>
    </row>
    <row r="629" spans="5:6" ht="14.45" customHeight="1" outlineLevel="4" thickBot="1" x14ac:dyDescent="0.3"/>
    <row r="630" spans="5:6" ht="14.45" customHeight="1" outlineLevel="3" thickBot="1" x14ac:dyDescent="0.3">
      <c r="F630" s="118" t="s">
        <v>1077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7" t="s">
        <v>1078</v>
      </c>
    </row>
    <row r="634" spans="5:6" ht="14.45" customHeight="1" outlineLevel="3" thickBot="1" x14ac:dyDescent="0.3">
      <c r="F634" s="118" t="s">
        <v>1079</v>
      </c>
    </row>
    <row r="635" spans="5:6" ht="14.45" customHeight="1" outlineLevel="4" thickBot="1" x14ac:dyDescent="0.3"/>
    <row r="636" spans="5:6" ht="14.45" customHeight="1" outlineLevel="3" thickBot="1" x14ac:dyDescent="0.3">
      <c r="F636" s="118" t="s">
        <v>1080</v>
      </c>
    </row>
    <row r="637" spans="5:6" ht="14.45" customHeight="1" outlineLevel="4" thickBot="1" x14ac:dyDescent="0.3"/>
    <row r="638" spans="5:6" ht="14.45" customHeight="1" outlineLevel="3" thickBot="1" x14ac:dyDescent="0.3">
      <c r="F638" s="118" t="s">
        <v>1081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5" t="s">
        <v>1082</v>
      </c>
      <c r="D643" s="115"/>
    </row>
    <row r="644" spans="3:5" ht="14.45" customHeight="1" outlineLevel="1" thickBot="1" x14ac:dyDescent="0.3">
      <c r="D644" s="116" t="s">
        <v>48</v>
      </c>
      <c r="E644" s="116"/>
    </row>
    <row r="645" spans="3:5" ht="14.45" customHeight="1" outlineLevel="2" thickBot="1" x14ac:dyDescent="0.3">
      <c r="E645" s="117" t="s">
        <v>741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7" t="s">
        <v>1083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7" t="s">
        <v>1084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6" t="s">
        <v>51</v>
      </c>
      <c r="E655" s="116"/>
    </row>
    <row r="656" spans="3:5" ht="14.45" customHeight="1" outlineLevel="2" thickBot="1" x14ac:dyDescent="0.3">
      <c r="E656" s="117" t="s">
        <v>1085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7" t="s">
        <v>1086</v>
      </c>
    </row>
    <row r="660" spans="5:7" ht="14.45" customHeight="1" outlineLevel="3" thickBot="1" x14ac:dyDescent="0.3">
      <c r="F660" s="118" t="s">
        <v>1087</v>
      </c>
    </row>
    <row r="661" spans="5:7" ht="14.45" customHeight="1" outlineLevel="4" thickBot="1" x14ac:dyDescent="0.3"/>
    <row r="662" spans="5:7" ht="14.45" customHeight="1" outlineLevel="3" thickBot="1" x14ac:dyDescent="0.3">
      <c r="F662" s="118" t="s">
        <v>1088</v>
      </c>
    </row>
    <row r="663" spans="5:7" ht="14.45" customHeight="1" outlineLevel="4" thickBot="1" x14ac:dyDescent="0.3"/>
    <row r="664" spans="5:7" ht="14.45" customHeight="1" outlineLevel="3" thickBot="1" x14ac:dyDescent="0.3">
      <c r="F664" s="118" t="s">
        <v>1089</v>
      </c>
    </row>
    <row r="665" spans="5:7" ht="14.45" customHeight="1" outlineLevel="4" thickBot="1" x14ac:dyDescent="0.3">
      <c r="G665" s="96" t="s">
        <v>1090</v>
      </c>
    </row>
    <row r="666" spans="5:7" ht="14.45" customHeight="1" outlineLevel="4" thickBot="1" x14ac:dyDescent="0.3">
      <c r="G666" s="96" t="s">
        <v>1091</v>
      </c>
    </row>
    <row r="667" spans="5:7" ht="14.45" customHeight="1" outlineLevel="4" thickBot="1" x14ac:dyDescent="0.3">
      <c r="G667" s="96" t="s">
        <v>1092</v>
      </c>
    </row>
    <row r="668" spans="5:7" ht="14.45" customHeight="1" outlineLevel="3" thickBot="1" x14ac:dyDescent="0.3">
      <c r="F668" s="118" t="s">
        <v>1093</v>
      </c>
    </row>
    <row r="669" spans="5:7" ht="14.45" customHeight="1" outlineLevel="4" thickBot="1" x14ac:dyDescent="0.3">
      <c r="G669" s="96" t="s">
        <v>1090</v>
      </c>
    </row>
    <row r="670" spans="5:7" ht="14.45" customHeight="1" outlineLevel="4" thickBot="1" x14ac:dyDescent="0.3">
      <c r="G670" s="96" t="s">
        <v>1094</v>
      </c>
    </row>
    <row r="671" spans="5:7" ht="14.45" customHeight="1" outlineLevel="3" thickBot="1" x14ac:dyDescent="0.3">
      <c r="F671" s="118" t="s">
        <v>1095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7" t="s">
        <v>1096</v>
      </c>
    </row>
    <row r="675" spans="5:7" ht="14.45" customHeight="1" outlineLevel="3" thickBot="1" x14ac:dyDescent="0.3">
      <c r="F675" s="118" t="s">
        <v>785</v>
      </c>
    </row>
    <row r="676" spans="5:7" ht="14.45" customHeight="1" outlineLevel="4" thickBot="1" x14ac:dyDescent="0.3"/>
    <row r="677" spans="5:7" ht="14.45" customHeight="1" outlineLevel="3" thickBot="1" x14ac:dyDescent="0.3">
      <c r="F677" s="118" t="s">
        <v>1097</v>
      </c>
    </row>
    <row r="678" spans="5:7" ht="14.45" customHeight="1" outlineLevel="4" thickBot="1" x14ac:dyDescent="0.3">
      <c r="G678" s="96" t="s">
        <v>1098</v>
      </c>
    </row>
    <row r="679" spans="5:7" ht="14.45" customHeight="1" outlineLevel="4" thickBot="1" x14ac:dyDescent="0.3">
      <c r="G679" s="96" t="s">
        <v>1099</v>
      </c>
    </row>
    <row r="680" spans="5:7" ht="14.45" customHeight="1" outlineLevel="4" thickBot="1" x14ac:dyDescent="0.3">
      <c r="G680" s="96" t="s">
        <v>1100</v>
      </c>
    </row>
    <row r="681" spans="5:7" ht="14.45" customHeight="1" outlineLevel="3" thickBot="1" x14ac:dyDescent="0.3">
      <c r="F681" s="118" t="s">
        <v>1101</v>
      </c>
    </row>
    <row r="682" spans="5:7" ht="14.45" customHeight="1" outlineLevel="4" thickBot="1" x14ac:dyDescent="0.3">
      <c r="G682" s="96" t="s">
        <v>1102</v>
      </c>
    </row>
    <row r="683" spans="5:7" ht="14.45" customHeight="1" outlineLevel="4" thickBot="1" x14ac:dyDescent="0.3">
      <c r="G683" s="96" t="s">
        <v>1103</v>
      </c>
    </row>
    <row r="684" spans="5:7" ht="14.45" customHeight="1" outlineLevel="3" thickBot="1" x14ac:dyDescent="0.3">
      <c r="F684" s="118" t="s">
        <v>1104</v>
      </c>
    </row>
    <row r="685" spans="5:7" ht="14.45" customHeight="1" outlineLevel="4" thickBot="1" x14ac:dyDescent="0.3">
      <c r="G685" s="96" t="s">
        <v>1105</v>
      </c>
    </row>
    <row r="686" spans="5:7" ht="14.45" customHeight="1" outlineLevel="4" thickBot="1" x14ac:dyDescent="0.3">
      <c r="G686" s="96" t="s">
        <v>1106</v>
      </c>
    </row>
    <row r="687" spans="5:7" ht="14.45" customHeight="1" outlineLevel="3" thickBot="1" x14ac:dyDescent="0.3">
      <c r="F687" s="118" t="s">
        <v>1107</v>
      </c>
    </row>
    <row r="688" spans="5:7" ht="14.45" customHeight="1" outlineLevel="4" thickBot="1" x14ac:dyDescent="0.3">
      <c r="G688" s="96" t="s">
        <v>1108</v>
      </c>
    </row>
    <row r="689" spans="5:7" ht="14.45" customHeight="1" outlineLevel="4" thickBot="1" x14ac:dyDescent="0.3">
      <c r="G689" s="96" t="s">
        <v>1109</v>
      </c>
    </row>
    <row r="690" spans="5:7" ht="14.45" customHeight="1" outlineLevel="3" thickBot="1" x14ac:dyDescent="0.3">
      <c r="F690" s="118" t="s">
        <v>1110</v>
      </c>
    </row>
    <row r="691" spans="5:7" ht="14.45" customHeight="1" outlineLevel="4" thickBot="1" x14ac:dyDescent="0.3">
      <c r="G691" s="96" t="s">
        <v>1111</v>
      </c>
    </row>
    <row r="692" spans="5:7" ht="14.45" customHeight="1" outlineLevel="4" thickBot="1" x14ac:dyDescent="0.3">
      <c r="G692" s="96" t="s">
        <v>1112</v>
      </c>
    </row>
    <row r="693" spans="5:7" ht="14.45" customHeight="1" outlineLevel="4" thickBot="1" x14ac:dyDescent="0.3">
      <c r="G693" s="96" t="s">
        <v>1113</v>
      </c>
    </row>
    <row r="694" spans="5:7" ht="14.45" customHeight="1" outlineLevel="4" thickBot="1" x14ac:dyDescent="0.3">
      <c r="G694" s="96" t="s">
        <v>1114</v>
      </c>
    </row>
    <row r="695" spans="5:7" ht="14.45" customHeight="1" outlineLevel="4" thickBot="1" x14ac:dyDescent="0.3">
      <c r="G695" s="96" t="s">
        <v>1115</v>
      </c>
    </row>
    <row r="696" spans="5:7" ht="14.45" customHeight="1" outlineLevel="4" thickBot="1" x14ac:dyDescent="0.3">
      <c r="G696" s="96" t="s">
        <v>1116</v>
      </c>
    </row>
    <row r="697" spans="5:7" ht="14.45" customHeight="1" outlineLevel="3" thickBot="1" x14ac:dyDescent="0.3"/>
    <row r="698" spans="5:7" ht="14.45" customHeight="1" outlineLevel="2" thickBot="1" x14ac:dyDescent="0.3">
      <c r="E698" s="117" t="s">
        <v>1117</v>
      </c>
    </row>
    <row r="699" spans="5:7" ht="14.45" customHeight="1" outlineLevel="3" thickBot="1" x14ac:dyDescent="0.3">
      <c r="F699" s="118" t="s">
        <v>1118</v>
      </c>
    </row>
    <row r="700" spans="5:7" ht="14.45" customHeight="1" outlineLevel="4" thickBot="1" x14ac:dyDescent="0.3"/>
    <row r="701" spans="5:7" ht="14.45" customHeight="1" outlineLevel="3" thickBot="1" x14ac:dyDescent="0.3">
      <c r="F701" s="118" t="s">
        <v>1119</v>
      </c>
    </row>
    <row r="702" spans="5:7" ht="14.45" customHeight="1" outlineLevel="4" thickBot="1" x14ac:dyDescent="0.3">
      <c r="G702" s="96" t="s">
        <v>1120</v>
      </c>
    </row>
    <row r="703" spans="5:7" ht="14.45" customHeight="1" outlineLevel="4" thickBot="1" x14ac:dyDescent="0.3">
      <c r="G703" s="96" t="s">
        <v>1121</v>
      </c>
    </row>
    <row r="704" spans="5:7" ht="14.45" customHeight="1" outlineLevel="4" thickBot="1" x14ac:dyDescent="0.3">
      <c r="G704" s="96" t="s">
        <v>1122</v>
      </c>
    </row>
    <row r="705" spans="4:7" ht="14.45" customHeight="1" outlineLevel="3" thickBot="1" x14ac:dyDescent="0.3">
      <c r="F705" s="118" t="s">
        <v>1123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6" t="s">
        <v>53</v>
      </c>
      <c r="E709" s="116"/>
    </row>
    <row r="710" spans="4:7" ht="14.45" customHeight="1" outlineLevel="2" thickBot="1" x14ac:dyDescent="0.3">
      <c r="E710" s="117" t="s">
        <v>1124</v>
      </c>
    </row>
    <row r="711" spans="4:7" ht="14.45" customHeight="1" outlineLevel="3" thickBot="1" x14ac:dyDescent="0.3">
      <c r="F711" s="118" t="s">
        <v>785</v>
      </c>
    </row>
    <row r="712" spans="4:7" ht="14.45" customHeight="1" outlineLevel="4" thickBot="1" x14ac:dyDescent="0.3"/>
    <row r="713" spans="4:7" ht="14.45" customHeight="1" outlineLevel="3" thickBot="1" x14ac:dyDescent="0.3">
      <c r="F713" s="118" t="s">
        <v>1125</v>
      </c>
    </row>
    <row r="714" spans="4:7" ht="14.45" customHeight="1" outlineLevel="4" thickBot="1" x14ac:dyDescent="0.3"/>
    <row r="715" spans="4:7" ht="14.45" customHeight="1" outlineLevel="3" thickBot="1" x14ac:dyDescent="0.3">
      <c r="F715" s="118" t="s">
        <v>1126</v>
      </c>
    </row>
    <row r="716" spans="4:7" ht="14.45" customHeight="1" outlineLevel="4" thickBot="1" x14ac:dyDescent="0.3"/>
    <row r="717" spans="4:7" ht="14.45" customHeight="1" outlineLevel="3" thickBot="1" x14ac:dyDescent="0.3">
      <c r="F717" s="118" t="s">
        <v>1127</v>
      </c>
    </row>
    <row r="718" spans="4:7" ht="14.45" customHeight="1" outlineLevel="4" thickBot="1" x14ac:dyDescent="0.3"/>
    <row r="719" spans="4:7" ht="14.45" customHeight="1" outlineLevel="3" thickBot="1" x14ac:dyDescent="0.3">
      <c r="F719" s="118" t="s">
        <v>1128</v>
      </c>
    </row>
    <row r="720" spans="4:7" ht="14.45" customHeight="1" outlineLevel="4" thickBot="1" x14ac:dyDescent="0.3">
      <c r="G720" s="96" t="s">
        <v>1129</v>
      </c>
    </row>
    <row r="721" spans="4:7" ht="14.45" customHeight="1" outlineLevel="4" thickBot="1" x14ac:dyDescent="0.3">
      <c r="G721" s="96" t="s">
        <v>1130</v>
      </c>
    </row>
    <row r="722" spans="4:7" ht="14.45" customHeight="1" outlineLevel="3" thickBot="1" x14ac:dyDescent="0.3"/>
    <row r="723" spans="4:7" ht="14.45" customHeight="1" outlineLevel="2" thickBot="1" x14ac:dyDescent="0.3">
      <c r="E723" s="117" t="s">
        <v>1131</v>
      </c>
    </row>
    <row r="724" spans="4:7" ht="14.45" customHeight="1" outlineLevel="3" thickBot="1" x14ac:dyDescent="0.3">
      <c r="F724" s="118" t="s">
        <v>785</v>
      </c>
    </row>
    <row r="725" spans="4:7" ht="14.45" customHeight="1" outlineLevel="4" thickBot="1" x14ac:dyDescent="0.3"/>
    <row r="726" spans="4:7" ht="14.45" customHeight="1" outlineLevel="3" thickBot="1" x14ac:dyDescent="0.3">
      <c r="F726" s="118" t="s">
        <v>1132</v>
      </c>
    </row>
    <row r="727" spans="4:7" ht="14.45" customHeight="1" outlineLevel="4" thickBot="1" x14ac:dyDescent="0.3"/>
    <row r="728" spans="4:7" ht="14.45" customHeight="1" outlineLevel="3" thickBot="1" x14ac:dyDescent="0.3">
      <c r="F728" s="118" t="s">
        <v>1133</v>
      </c>
    </row>
    <row r="729" spans="4:7" ht="14.45" customHeight="1" outlineLevel="4" thickBot="1" x14ac:dyDescent="0.3">
      <c r="G729" s="96" t="s">
        <v>1134</v>
      </c>
    </row>
    <row r="730" spans="4:7" ht="14.45" customHeight="1" outlineLevel="4" thickBot="1" x14ac:dyDescent="0.3">
      <c r="G730" s="96" t="s">
        <v>1135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6" t="s">
        <v>54</v>
      </c>
      <c r="E733" s="116"/>
    </row>
    <row r="734" spans="4:7" ht="14.45" customHeight="1" outlineLevel="2" thickBot="1" x14ac:dyDescent="0.3">
      <c r="E734" s="117" t="s">
        <v>1136</v>
      </c>
    </row>
    <row r="735" spans="4:7" ht="14.45" customHeight="1" outlineLevel="3" thickBot="1" x14ac:dyDescent="0.3">
      <c r="F735" s="118" t="s">
        <v>1137</v>
      </c>
    </row>
    <row r="736" spans="4:7" ht="14.45" customHeight="1" outlineLevel="4" thickBot="1" x14ac:dyDescent="0.3">
      <c r="G736" s="96" t="s">
        <v>832</v>
      </c>
    </row>
    <row r="737" spans="6:7" ht="14.45" customHeight="1" outlineLevel="4" thickBot="1" x14ac:dyDescent="0.3">
      <c r="G737" s="96" t="s">
        <v>1138</v>
      </c>
    </row>
    <row r="738" spans="6:7" ht="14.45" customHeight="1" outlineLevel="3" thickBot="1" x14ac:dyDescent="0.3">
      <c r="F738" s="118" t="s">
        <v>1139</v>
      </c>
    </row>
    <row r="739" spans="6:7" ht="14.45" customHeight="1" outlineLevel="4" thickBot="1" x14ac:dyDescent="0.3">
      <c r="G739" s="96" t="s">
        <v>832</v>
      </c>
    </row>
    <row r="740" spans="6:7" ht="14.45" customHeight="1" outlineLevel="4" thickBot="1" x14ac:dyDescent="0.3">
      <c r="G740" s="96" t="s">
        <v>1140</v>
      </c>
    </row>
    <row r="741" spans="6:7" ht="14.45" customHeight="1" outlineLevel="3" thickBot="1" x14ac:dyDescent="0.3">
      <c r="F741" s="118" t="s">
        <v>1141</v>
      </c>
    </row>
    <row r="742" spans="6:7" ht="14.45" customHeight="1" outlineLevel="4" thickBot="1" x14ac:dyDescent="0.3">
      <c r="G742" s="96" t="s">
        <v>832</v>
      </c>
    </row>
    <row r="743" spans="6:7" ht="14.45" customHeight="1" outlineLevel="4" thickBot="1" x14ac:dyDescent="0.3">
      <c r="G743" s="96" t="s">
        <v>1142</v>
      </c>
    </row>
    <row r="744" spans="6:7" ht="14.45" customHeight="1" outlineLevel="3" thickBot="1" x14ac:dyDescent="0.3">
      <c r="F744" s="118" t="s">
        <v>1143</v>
      </c>
    </row>
    <row r="745" spans="6:7" ht="14.45" customHeight="1" outlineLevel="4" thickBot="1" x14ac:dyDescent="0.3">
      <c r="G745" s="96" t="s">
        <v>1144</v>
      </c>
    </row>
    <row r="746" spans="6:7" ht="14.45" customHeight="1" outlineLevel="4" thickBot="1" x14ac:dyDescent="0.3">
      <c r="G746" s="96" t="s">
        <v>1145</v>
      </c>
    </row>
    <row r="747" spans="6:7" ht="14.45" customHeight="1" outlineLevel="4" thickBot="1" x14ac:dyDescent="0.3">
      <c r="G747" s="96" t="s">
        <v>1146</v>
      </c>
    </row>
    <row r="748" spans="6:7" ht="14.45" customHeight="1" outlineLevel="3" thickBot="1" x14ac:dyDescent="0.3">
      <c r="F748" s="118" t="s">
        <v>1147</v>
      </c>
    </row>
    <row r="749" spans="6:7" ht="14.45" customHeight="1" outlineLevel="4" thickBot="1" x14ac:dyDescent="0.3">
      <c r="G749" s="96" t="s">
        <v>1148</v>
      </c>
    </row>
    <row r="750" spans="6:7" ht="14.45" customHeight="1" outlineLevel="4" thickBot="1" x14ac:dyDescent="0.3">
      <c r="G750" s="96" t="s">
        <v>1149</v>
      </c>
    </row>
    <row r="751" spans="6:7" ht="14.45" customHeight="1" outlineLevel="4" thickBot="1" x14ac:dyDescent="0.3">
      <c r="G751" s="96" t="s">
        <v>1150</v>
      </c>
    </row>
    <row r="752" spans="6:7" ht="14.45" customHeight="1" outlineLevel="4" thickBot="1" x14ac:dyDescent="0.3">
      <c r="G752" s="96" t="s">
        <v>1151</v>
      </c>
    </row>
    <row r="753" spans="5:7" ht="14.45" customHeight="1" outlineLevel="3" thickBot="1" x14ac:dyDescent="0.3">
      <c r="F753" s="118" t="s">
        <v>1152</v>
      </c>
    </row>
    <row r="754" spans="5:7" ht="14.45" customHeight="1" outlineLevel="4" thickBot="1" x14ac:dyDescent="0.3">
      <c r="G754" s="96" t="s">
        <v>832</v>
      </c>
    </row>
    <row r="755" spans="5:7" ht="14.45" customHeight="1" outlineLevel="4" thickBot="1" x14ac:dyDescent="0.3">
      <c r="G755" s="96" t="s">
        <v>817</v>
      </c>
    </row>
    <row r="756" spans="5:7" ht="14.45" customHeight="1" outlineLevel="4" thickBot="1" x14ac:dyDescent="0.3">
      <c r="G756" s="96" t="s">
        <v>818</v>
      </c>
    </row>
    <row r="757" spans="5:7" ht="14.45" customHeight="1" outlineLevel="4" thickBot="1" x14ac:dyDescent="0.3">
      <c r="G757" s="96" t="s">
        <v>819</v>
      </c>
    </row>
    <row r="758" spans="5:7" ht="14.45" customHeight="1" outlineLevel="3" thickBot="1" x14ac:dyDescent="0.3">
      <c r="F758" s="118" t="s">
        <v>1153</v>
      </c>
    </row>
    <row r="759" spans="5:7" ht="14.45" customHeight="1" outlineLevel="4" thickBot="1" x14ac:dyDescent="0.3">
      <c r="G759" s="96" t="s">
        <v>816</v>
      </c>
    </row>
    <row r="760" spans="5:7" ht="14.45" customHeight="1" outlineLevel="4" thickBot="1" x14ac:dyDescent="0.3">
      <c r="G760" s="96" t="s">
        <v>1154</v>
      </c>
    </row>
    <row r="761" spans="5:7" ht="14.45" customHeight="1" outlineLevel="3" thickBot="1" x14ac:dyDescent="0.3"/>
    <row r="762" spans="5:7" ht="14.45" customHeight="1" outlineLevel="2" thickBot="1" x14ac:dyDescent="0.3">
      <c r="E762" s="117" t="s">
        <v>1155</v>
      </c>
    </row>
    <row r="763" spans="5:7" ht="14.45" customHeight="1" outlineLevel="3" thickBot="1" x14ac:dyDescent="0.3">
      <c r="F763" s="118" t="s">
        <v>1156</v>
      </c>
    </row>
    <row r="764" spans="5:7" ht="14.45" customHeight="1" outlineLevel="4" thickBot="1" x14ac:dyDescent="0.3"/>
    <row r="765" spans="5:7" ht="14.45" customHeight="1" outlineLevel="3" thickBot="1" x14ac:dyDescent="0.3">
      <c r="F765" s="118" t="s">
        <v>1157</v>
      </c>
    </row>
    <row r="766" spans="5:7" ht="14.45" customHeight="1" outlineLevel="4" thickBot="1" x14ac:dyDescent="0.3">
      <c r="G766" s="96" t="s">
        <v>1158</v>
      </c>
    </row>
    <row r="767" spans="5:7" ht="14.45" customHeight="1" outlineLevel="4" thickBot="1" x14ac:dyDescent="0.3">
      <c r="G767" s="96" t="s">
        <v>1159</v>
      </c>
    </row>
    <row r="768" spans="5:7" ht="14.45" customHeight="1" outlineLevel="4" thickBot="1" x14ac:dyDescent="0.3">
      <c r="G768" s="96" t="s">
        <v>1160</v>
      </c>
    </row>
    <row r="769" spans="4:7" ht="14.45" customHeight="1" outlineLevel="4" thickBot="1" x14ac:dyDescent="0.3">
      <c r="G769" s="96" t="s">
        <v>1161</v>
      </c>
    </row>
    <row r="770" spans="4:7" ht="14.45" customHeight="1" outlineLevel="4" thickBot="1" x14ac:dyDescent="0.3">
      <c r="G770" s="96" t="s">
        <v>1162</v>
      </c>
    </row>
    <row r="771" spans="4:7" ht="14.45" customHeight="1" outlineLevel="3" thickBot="1" x14ac:dyDescent="0.3">
      <c r="F771" s="118" t="s">
        <v>1163</v>
      </c>
    </row>
    <row r="772" spans="4:7" ht="14.45" customHeight="1" outlineLevel="4" thickBot="1" x14ac:dyDescent="0.3">
      <c r="G772" s="96" t="s">
        <v>1164</v>
      </c>
    </row>
    <row r="773" spans="4:7" ht="14.45" customHeight="1" outlineLevel="4" thickBot="1" x14ac:dyDescent="0.3">
      <c r="G773" s="96" t="s">
        <v>1165</v>
      </c>
    </row>
    <row r="774" spans="4:7" ht="14.45" customHeight="1" outlineLevel="4" thickBot="1" x14ac:dyDescent="0.3">
      <c r="G774" s="96" t="s">
        <v>1166</v>
      </c>
    </row>
    <row r="775" spans="4:7" ht="14.45" customHeight="1" outlineLevel="3" thickBot="1" x14ac:dyDescent="0.3">
      <c r="F775" s="118" t="s">
        <v>1167</v>
      </c>
    </row>
    <row r="776" spans="4:7" ht="14.45" customHeight="1" outlineLevel="4" thickBot="1" x14ac:dyDescent="0.3">
      <c r="G776" s="96" t="s">
        <v>1168</v>
      </c>
    </row>
    <row r="777" spans="4:7" ht="14.45" customHeight="1" outlineLevel="4" thickBot="1" x14ac:dyDescent="0.3">
      <c r="G777" s="96" t="s">
        <v>1169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6" t="s">
        <v>56</v>
      </c>
      <c r="E780" s="116"/>
    </row>
    <row r="781" spans="4:7" ht="14.45" customHeight="1" outlineLevel="2" thickBot="1" x14ac:dyDescent="0.3">
      <c r="E781" s="117" t="s">
        <v>1170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7" t="s">
        <v>1171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7" t="s">
        <v>1172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6" t="s">
        <v>204</v>
      </c>
      <c r="E791" s="116"/>
    </row>
    <row r="792" spans="4:6" ht="14.45" customHeight="1" outlineLevel="2" thickBot="1" x14ac:dyDescent="0.3">
      <c r="E792" s="117" t="s">
        <v>1173</v>
      </c>
    </row>
    <row r="793" spans="4:6" ht="14.45" customHeight="1" outlineLevel="3" thickBot="1" x14ac:dyDescent="0.3">
      <c r="F793" s="118" t="s">
        <v>1174</v>
      </c>
    </row>
    <row r="794" spans="4:6" ht="14.45" customHeight="1" outlineLevel="4" thickBot="1" x14ac:dyDescent="0.3"/>
    <row r="795" spans="4:6" ht="14.45" customHeight="1" outlineLevel="3" thickBot="1" x14ac:dyDescent="0.3">
      <c r="F795" s="118" t="s">
        <v>1175</v>
      </c>
    </row>
    <row r="796" spans="4:6" ht="14.45" customHeight="1" outlineLevel="4" thickBot="1" x14ac:dyDescent="0.3"/>
    <row r="797" spans="4:6" ht="14.45" customHeight="1" outlineLevel="3" thickBot="1" x14ac:dyDescent="0.3">
      <c r="F797" s="118" t="s">
        <v>1176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7" t="s">
        <v>1177</v>
      </c>
    </row>
    <row r="801" spans="5:6" ht="14.45" customHeight="1" outlineLevel="3" thickBot="1" x14ac:dyDescent="0.3">
      <c r="F801" s="118" t="s">
        <v>1178</v>
      </c>
    </row>
    <row r="802" spans="5:6" ht="14.45" customHeight="1" outlineLevel="4" thickBot="1" x14ac:dyDescent="0.3"/>
    <row r="803" spans="5:6" ht="14.45" customHeight="1" outlineLevel="3" thickBot="1" x14ac:dyDescent="0.3">
      <c r="F803" s="118" t="s">
        <v>1179</v>
      </c>
    </row>
    <row r="804" spans="5:6" ht="14.45" customHeight="1" outlineLevel="4" thickBot="1" x14ac:dyDescent="0.3"/>
    <row r="805" spans="5:6" ht="14.45" customHeight="1" outlineLevel="3" thickBot="1" x14ac:dyDescent="0.3">
      <c r="F805" s="118" t="s">
        <v>1180</v>
      </c>
    </row>
    <row r="806" spans="5:6" ht="14.45" customHeight="1" outlineLevel="4" thickBot="1" x14ac:dyDescent="0.3"/>
    <row r="807" spans="5:6" ht="14.45" customHeight="1" outlineLevel="3" thickBot="1" x14ac:dyDescent="0.3">
      <c r="F807" s="118" t="s">
        <v>1181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7" t="s">
        <v>1182</v>
      </c>
    </row>
    <row r="811" spans="5:6" ht="14.45" customHeight="1" outlineLevel="3" thickBot="1" x14ac:dyDescent="0.3">
      <c r="F811" s="118" t="s">
        <v>785</v>
      </c>
    </row>
    <row r="812" spans="5:6" ht="14.45" customHeight="1" outlineLevel="4" thickBot="1" x14ac:dyDescent="0.3"/>
    <row r="813" spans="5:6" ht="14.45" customHeight="1" outlineLevel="3" thickBot="1" x14ac:dyDescent="0.3">
      <c r="F813" s="118" t="s">
        <v>1183</v>
      </c>
    </row>
    <row r="814" spans="5:6" ht="14.45" customHeight="1" outlineLevel="4" thickBot="1" x14ac:dyDescent="0.3"/>
    <row r="815" spans="5:6" ht="14.45" customHeight="1" outlineLevel="3" thickBot="1" x14ac:dyDescent="0.3">
      <c r="F815" s="118" t="s">
        <v>1184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6" t="s">
        <v>58</v>
      </c>
      <c r="E819" s="116"/>
    </row>
    <row r="820" spans="4:7" ht="14.45" customHeight="1" outlineLevel="2" thickBot="1" x14ac:dyDescent="0.3">
      <c r="E820" s="117" t="s">
        <v>1185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7" t="s">
        <v>1186</v>
      </c>
    </row>
    <row r="824" spans="4:7" ht="14.45" customHeight="1" outlineLevel="3" thickBot="1" x14ac:dyDescent="0.3">
      <c r="F824" s="118" t="s">
        <v>785</v>
      </c>
    </row>
    <row r="825" spans="4:7" ht="14.45" customHeight="1" outlineLevel="4" thickBot="1" x14ac:dyDescent="0.3"/>
    <row r="826" spans="4:7" ht="14.45" customHeight="1" outlineLevel="3" thickBot="1" x14ac:dyDescent="0.3">
      <c r="F826" s="118" t="s">
        <v>1187</v>
      </c>
    </row>
    <row r="827" spans="4:7" ht="14.45" customHeight="1" outlineLevel="4" thickBot="1" x14ac:dyDescent="0.3"/>
    <row r="828" spans="4:7" ht="14.45" customHeight="1" outlineLevel="3" thickBot="1" x14ac:dyDescent="0.3">
      <c r="F828" s="118" t="s">
        <v>1188</v>
      </c>
    </row>
    <row r="829" spans="4:7" ht="14.45" customHeight="1" outlineLevel="4" thickBot="1" x14ac:dyDescent="0.3">
      <c r="G829" s="96" t="s">
        <v>832</v>
      </c>
    </row>
    <row r="830" spans="4:7" ht="14.45" customHeight="1" outlineLevel="4" thickBot="1" x14ac:dyDescent="0.3">
      <c r="G830" s="96" t="s">
        <v>1189</v>
      </c>
    </row>
    <row r="831" spans="4:7" ht="14.45" customHeight="1" outlineLevel="3" thickBot="1" x14ac:dyDescent="0.3"/>
    <row r="832" spans="4:7" ht="14.45" customHeight="1" outlineLevel="2" thickBot="1" x14ac:dyDescent="0.3">
      <c r="E832" s="117" t="s">
        <v>1190</v>
      </c>
    </row>
    <row r="833" spans="6:7" ht="14.45" customHeight="1" outlineLevel="3" thickBot="1" x14ac:dyDescent="0.3">
      <c r="F833" s="118" t="s">
        <v>1191</v>
      </c>
    </row>
    <row r="834" spans="6:7" ht="14.45" customHeight="1" outlineLevel="4" thickBot="1" x14ac:dyDescent="0.3"/>
    <row r="835" spans="6:7" ht="14.45" customHeight="1" outlineLevel="3" thickBot="1" x14ac:dyDescent="0.3">
      <c r="F835" s="118" t="s">
        <v>1192</v>
      </c>
    </row>
    <row r="836" spans="6:7" ht="14.45" customHeight="1" outlineLevel="4" thickBot="1" x14ac:dyDescent="0.3">
      <c r="G836" s="96" t="s">
        <v>1193</v>
      </c>
    </row>
    <row r="837" spans="6:7" ht="14.45" customHeight="1" outlineLevel="4" thickBot="1" x14ac:dyDescent="0.3">
      <c r="G837" s="96" t="s">
        <v>1194</v>
      </c>
    </row>
    <row r="838" spans="6:7" ht="14.45" customHeight="1" outlineLevel="4" thickBot="1" x14ac:dyDescent="0.3">
      <c r="G838" s="96" t="s">
        <v>1195</v>
      </c>
    </row>
    <row r="839" spans="6:7" ht="14.45" customHeight="1" outlineLevel="3" thickBot="1" x14ac:dyDescent="0.3">
      <c r="F839" s="118" t="s">
        <v>1196</v>
      </c>
    </row>
    <row r="840" spans="6:7" ht="14.45" customHeight="1" outlineLevel="4" thickBot="1" x14ac:dyDescent="0.3">
      <c r="G840" s="96" t="s">
        <v>1197</v>
      </c>
    </row>
    <row r="841" spans="6:7" ht="14.45" customHeight="1" outlineLevel="4" thickBot="1" x14ac:dyDescent="0.3">
      <c r="G841" s="96" t="s">
        <v>1198</v>
      </c>
    </row>
    <row r="842" spans="6:7" ht="14.45" customHeight="1" outlineLevel="4" thickBot="1" x14ac:dyDescent="0.3">
      <c r="G842" s="96" t="s">
        <v>1199</v>
      </c>
    </row>
    <row r="843" spans="6:7" ht="14.45" customHeight="1" outlineLevel="3" thickBot="1" x14ac:dyDescent="0.3">
      <c r="F843" s="118" t="s">
        <v>1200</v>
      </c>
    </row>
    <row r="844" spans="6:7" ht="14.45" customHeight="1" outlineLevel="4" thickBot="1" x14ac:dyDescent="0.3">
      <c r="G844" s="96" t="s">
        <v>1201</v>
      </c>
    </row>
    <row r="845" spans="6:7" ht="14.45" customHeight="1" outlineLevel="4" thickBot="1" x14ac:dyDescent="0.3">
      <c r="G845" s="96" t="s">
        <v>1202</v>
      </c>
    </row>
    <row r="846" spans="6:7" ht="14.45" customHeight="1" outlineLevel="3" thickBot="1" x14ac:dyDescent="0.3">
      <c r="F846" s="118" t="s">
        <v>1203</v>
      </c>
    </row>
    <row r="847" spans="6:7" ht="14.45" customHeight="1" outlineLevel="4" thickBot="1" x14ac:dyDescent="0.3">
      <c r="G847" s="96" t="s">
        <v>1204</v>
      </c>
    </row>
    <row r="848" spans="6:7" ht="14.45" customHeight="1" outlineLevel="4" thickBot="1" x14ac:dyDescent="0.3">
      <c r="G848" s="96" t="s">
        <v>1205</v>
      </c>
    </row>
    <row r="849" spans="5:7" ht="14.45" customHeight="1" outlineLevel="3" thickBot="1" x14ac:dyDescent="0.3"/>
    <row r="850" spans="5:7" ht="14.45" customHeight="1" outlineLevel="2" thickBot="1" x14ac:dyDescent="0.3">
      <c r="E850" s="117" t="s">
        <v>1206</v>
      </c>
    </row>
    <row r="851" spans="5:7" ht="14.45" customHeight="1" outlineLevel="3" thickBot="1" x14ac:dyDescent="0.3">
      <c r="F851" s="118" t="s">
        <v>785</v>
      </c>
    </row>
    <row r="852" spans="5:7" ht="14.45" customHeight="1" outlineLevel="4" thickBot="1" x14ac:dyDescent="0.3"/>
    <row r="853" spans="5:7" ht="14.45" customHeight="1" outlineLevel="3" thickBot="1" x14ac:dyDescent="0.3">
      <c r="F853" s="118" t="s">
        <v>1207</v>
      </c>
    </row>
    <row r="854" spans="5:7" ht="14.45" customHeight="1" outlineLevel="4" thickBot="1" x14ac:dyDescent="0.3">
      <c r="G854" s="96" t="s">
        <v>1208</v>
      </c>
    </row>
    <row r="855" spans="5:7" ht="14.45" customHeight="1" outlineLevel="4" thickBot="1" x14ac:dyDescent="0.3">
      <c r="G855" s="96" t="s">
        <v>1209</v>
      </c>
    </row>
    <row r="856" spans="5:7" ht="14.45" customHeight="1" outlineLevel="4" thickBot="1" x14ac:dyDescent="0.3">
      <c r="G856" s="96" t="s">
        <v>1210</v>
      </c>
    </row>
    <row r="857" spans="5:7" ht="14.45" customHeight="1" outlineLevel="3" thickBot="1" x14ac:dyDescent="0.3">
      <c r="F857" s="118" t="s">
        <v>1211</v>
      </c>
    </row>
    <row r="858" spans="5:7" ht="14.45" customHeight="1" outlineLevel="4" thickBot="1" x14ac:dyDescent="0.3"/>
    <row r="859" spans="5:7" ht="14.45" customHeight="1" outlineLevel="3" thickBot="1" x14ac:dyDescent="0.3">
      <c r="F859" s="118" t="s">
        <v>1212</v>
      </c>
    </row>
    <row r="860" spans="5:7" ht="14.45" customHeight="1" outlineLevel="4" thickBot="1" x14ac:dyDescent="0.3">
      <c r="G860" s="96" t="s">
        <v>1213</v>
      </c>
    </row>
    <row r="861" spans="5:7" ht="14.45" customHeight="1" outlineLevel="4" thickBot="1" x14ac:dyDescent="0.3">
      <c r="G861" s="96" t="s">
        <v>1214</v>
      </c>
    </row>
    <row r="862" spans="5:7" ht="14.45" customHeight="1" outlineLevel="4" thickBot="1" x14ac:dyDescent="0.3">
      <c r="G862" s="96" t="s">
        <v>1215</v>
      </c>
    </row>
    <row r="863" spans="5:7" ht="14.45" customHeight="1" outlineLevel="4" thickBot="1" x14ac:dyDescent="0.3">
      <c r="G863" s="96" t="s">
        <v>1216</v>
      </c>
    </row>
    <row r="864" spans="5:7" ht="14.45" customHeight="1" outlineLevel="3" thickBot="1" x14ac:dyDescent="0.3">
      <c r="F864" s="118" t="s">
        <v>1217</v>
      </c>
    </row>
    <row r="865" spans="4:7" ht="14.45" customHeight="1" outlineLevel="4" thickBot="1" x14ac:dyDescent="0.3">
      <c r="G865" s="96" t="s">
        <v>1218</v>
      </c>
    </row>
    <row r="866" spans="4:7" ht="14.45" customHeight="1" outlineLevel="4" thickBot="1" x14ac:dyDescent="0.3">
      <c r="G866" s="96" t="s">
        <v>1219</v>
      </c>
    </row>
    <row r="867" spans="4:7" ht="14.45" customHeight="1" outlineLevel="4" thickBot="1" x14ac:dyDescent="0.3">
      <c r="G867" s="96" t="s">
        <v>1220</v>
      </c>
    </row>
    <row r="868" spans="4:7" ht="14.45" customHeight="1" outlineLevel="4" thickBot="1" x14ac:dyDescent="0.3">
      <c r="G868" s="96" t="s">
        <v>1221</v>
      </c>
    </row>
    <row r="869" spans="4:7" ht="14.45" customHeight="1" outlineLevel="3" thickBot="1" x14ac:dyDescent="0.3">
      <c r="F869" s="118" t="s">
        <v>1222</v>
      </c>
    </row>
    <row r="870" spans="4:7" ht="14.45" customHeight="1" outlineLevel="4" thickBot="1" x14ac:dyDescent="0.3">
      <c r="G870" s="96" t="s">
        <v>1223</v>
      </c>
    </row>
    <row r="871" spans="4:7" ht="14.45" customHeight="1" outlineLevel="4" thickBot="1" x14ac:dyDescent="0.3">
      <c r="G871" s="96" t="s">
        <v>1169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6" t="s">
        <v>60</v>
      </c>
      <c r="E874" s="116"/>
    </row>
    <row r="875" spans="4:7" ht="14.45" customHeight="1" outlineLevel="2" thickBot="1" x14ac:dyDescent="0.3">
      <c r="E875" s="117" t="s">
        <v>1224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7" t="s">
        <v>1225</v>
      </c>
    </row>
    <row r="879" spans="4:7" ht="14.45" customHeight="1" outlineLevel="3" thickBot="1" x14ac:dyDescent="0.3">
      <c r="F879" s="118" t="s">
        <v>785</v>
      </c>
    </row>
    <row r="880" spans="4:7" ht="14.45" customHeight="1" outlineLevel="4" thickBot="1" x14ac:dyDescent="0.3"/>
    <row r="881" spans="6:7" ht="14.45" customHeight="1" outlineLevel="3" thickBot="1" x14ac:dyDescent="0.3">
      <c r="F881" s="118" t="s">
        <v>1226</v>
      </c>
    </row>
    <row r="882" spans="6:7" ht="14.45" customHeight="1" outlineLevel="4" thickBot="1" x14ac:dyDescent="0.3">
      <c r="G882" s="96" t="s">
        <v>1227</v>
      </c>
    </row>
    <row r="883" spans="6:7" ht="14.45" customHeight="1" outlineLevel="4" thickBot="1" x14ac:dyDescent="0.3">
      <c r="G883" s="96" t="s">
        <v>1228</v>
      </c>
    </row>
    <row r="884" spans="6:7" ht="14.45" customHeight="1" outlineLevel="4" thickBot="1" x14ac:dyDescent="0.3">
      <c r="G884" s="96" t="s">
        <v>1229</v>
      </c>
    </row>
    <row r="885" spans="6:7" ht="14.45" customHeight="1" outlineLevel="4" thickBot="1" x14ac:dyDescent="0.3">
      <c r="G885" s="96" t="s">
        <v>1230</v>
      </c>
    </row>
    <row r="886" spans="6:7" ht="14.45" customHeight="1" outlineLevel="3" thickBot="1" x14ac:dyDescent="0.3">
      <c r="F886" s="118" t="s">
        <v>1231</v>
      </c>
    </row>
    <row r="887" spans="6:7" ht="14.45" customHeight="1" outlineLevel="4" thickBot="1" x14ac:dyDescent="0.3">
      <c r="G887" s="96" t="s">
        <v>1232</v>
      </c>
    </row>
    <row r="888" spans="6:7" ht="14.45" customHeight="1" outlineLevel="4" thickBot="1" x14ac:dyDescent="0.3">
      <c r="G888" s="96" t="s">
        <v>1233</v>
      </c>
    </row>
    <row r="889" spans="6:7" ht="14.45" customHeight="1" outlineLevel="4" thickBot="1" x14ac:dyDescent="0.3">
      <c r="G889" s="96" t="s">
        <v>1234</v>
      </c>
    </row>
    <row r="890" spans="6:7" ht="14.45" customHeight="1" outlineLevel="3" thickBot="1" x14ac:dyDescent="0.3">
      <c r="F890" s="118" t="s">
        <v>1235</v>
      </c>
    </row>
    <row r="891" spans="6:7" ht="14.45" customHeight="1" outlineLevel="4" thickBot="1" x14ac:dyDescent="0.3">
      <c r="G891" s="96" t="s">
        <v>1236</v>
      </c>
    </row>
    <row r="892" spans="6:7" ht="14.45" customHeight="1" outlineLevel="4" thickBot="1" x14ac:dyDescent="0.3">
      <c r="G892" s="96" t="s">
        <v>1237</v>
      </c>
    </row>
    <row r="893" spans="6:7" ht="14.45" customHeight="1" outlineLevel="3" thickBot="1" x14ac:dyDescent="0.3">
      <c r="F893" s="118" t="s">
        <v>1238</v>
      </c>
    </row>
    <row r="894" spans="6:7" ht="14.45" customHeight="1" outlineLevel="4" thickBot="1" x14ac:dyDescent="0.3">
      <c r="G894" s="96" t="s">
        <v>1239</v>
      </c>
    </row>
    <row r="895" spans="6:7" ht="14.45" customHeight="1" outlineLevel="4" thickBot="1" x14ac:dyDescent="0.3">
      <c r="G895" s="96" t="s">
        <v>1240</v>
      </c>
    </row>
    <row r="896" spans="6:7" ht="14.45" customHeight="1" outlineLevel="3" thickBot="1" x14ac:dyDescent="0.3"/>
    <row r="897" spans="3:6" ht="14.45" customHeight="1" outlineLevel="2" thickBot="1" x14ac:dyDescent="0.3">
      <c r="E897" s="117" t="s">
        <v>1241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5" t="s">
        <v>1242</v>
      </c>
      <c r="D902" s="115"/>
    </row>
    <row r="903" spans="3:6" ht="14.45" customHeight="1" outlineLevel="1" thickBot="1" x14ac:dyDescent="0.3">
      <c r="D903" s="116" t="s">
        <v>62</v>
      </c>
      <c r="E903" s="116"/>
    </row>
    <row r="904" spans="3:6" ht="14.45" customHeight="1" outlineLevel="2" thickBot="1" x14ac:dyDescent="0.3">
      <c r="E904" s="117" t="s">
        <v>1243</v>
      </c>
    </row>
    <row r="905" spans="3:6" ht="14.45" customHeight="1" outlineLevel="3" thickBot="1" x14ac:dyDescent="0.3">
      <c r="F905" s="118" t="s">
        <v>1244</v>
      </c>
    </row>
    <row r="906" spans="3:6" ht="14.45" customHeight="1" outlineLevel="4" thickBot="1" x14ac:dyDescent="0.3"/>
    <row r="907" spans="3:6" ht="14.45" customHeight="1" outlineLevel="3" thickBot="1" x14ac:dyDescent="0.3">
      <c r="F907" s="118" t="s">
        <v>1245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7" t="s">
        <v>1246</v>
      </c>
    </row>
    <row r="911" spans="3:6" ht="14.45" customHeight="1" outlineLevel="3" thickBot="1" x14ac:dyDescent="0.3">
      <c r="F911" s="118" t="s">
        <v>1247</v>
      </c>
    </row>
    <row r="912" spans="3:6" ht="14.45" customHeight="1" outlineLevel="4" thickBot="1" x14ac:dyDescent="0.3"/>
    <row r="913" spans="5:6" ht="14.45" customHeight="1" outlineLevel="3" thickBot="1" x14ac:dyDescent="0.3">
      <c r="F913" s="118" t="s">
        <v>1248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7" t="s">
        <v>1249</v>
      </c>
    </row>
    <row r="917" spans="5:6" ht="14.45" customHeight="1" outlineLevel="3" thickBot="1" x14ac:dyDescent="0.3">
      <c r="F917" s="118" t="s">
        <v>1250</v>
      </c>
    </row>
    <row r="918" spans="5:6" ht="14.45" customHeight="1" outlineLevel="4" thickBot="1" x14ac:dyDescent="0.3"/>
    <row r="919" spans="5:6" ht="14.45" customHeight="1" outlineLevel="3" thickBot="1" x14ac:dyDescent="0.3">
      <c r="F919" s="118" t="s">
        <v>1251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7" t="s">
        <v>1252</v>
      </c>
    </row>
    <row r="923" spans="5:6" ht="14.45" customHeight="1" outlineLevel="3" thickBot="1" x14ac:dyDescent="0.3">
      <c r="F923" s="118" t="s">
        <v>1253</v>
      </c>
    </row>
    <row r="924" spans="5:6" ht="14.45" customHeight="1" outlineLevel="4" thickBot="1" x14ac:dyDescent="0.3"/>
    <row r="925" spans="5:6" ht="14.45" customHeight="1" outlineLevel="3" thickBot="1" x14ac:dyDescent="0.3">
      <c r="F925" s="118" t="s">
        <v>1254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6" t="s">
        <v>64</v>
      </c>
      <c r="E929" s="116"/>
    </row>
    <row r="930" spans="4:6" ht="14.45" customHeight="1" outlineLevel="2" thickBot="1" x14ac:dyDescent="0.3">
      <c r="E930" s="117" t="s">
        <v>1255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7" t="s">
        <v>1256</v>
      </c>
    </row>
    <row r="934" spans="4:6" ht="14.45" customHeight="1" outlineLevel="3" thickBot="1" x14ac:dyDescent="0.3">
      <c r="F934" s="118" t="s">
        <v>785</v>
      </c>
    </row>
    <row r="935" spans="4:6" ht="14.45" customHeight="1" outlineLevel="4" thickBot="1" x14ac:dyDescent="0.3"/>
    <row r="936" spans="4:6" ht="14.45" customHeight="1" outlineLevel="3" thickBot="1" x14ac:dyDescent="0.3">
      <c r="F936" s="118" t="s">
        <v>1257</v>
      </c>
    </row>
    <row r="937" spans="4:6" ht="14.45" customHeight="1" outlineLevel="4" thickBot="1" x14ac:dyDescent="0.3"/>
    <row r="938" spans="4:6" ht="14.45" customHeight="1" outlineLevel="3" thickBot="1" x14ac:dyDescent="0.3">
      <c r="F938" s="118" t="s">
        <v>1258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7" t="s">
        <v>1259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6" t="s">
        <v>67</v>
      </c>
      <c r="E945" s="116"/>
    </row>
    <row r="946" spans="4:6" ht="14.45" customHeight="1" outlineLevel="2" thickBot="1" x14ac:dyDescent="0.3">
      <c r="E946" s="117" t="s">
        <v>1260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7" t="s">
        <v>1261</v>
      </c>
    </row>
    <row r="950" spans="4:6" ht="14.45" customHeight="1" outlineLevel="3" thickBot="1" x14ac:dyDescent="0.3">
      <c r="F950" s="118" t="s">
        <v>1262</v>
      </c>
    </row>
    <row r="951" spans="4:6" ht="14.45" customHeight="1" outlineLevel="4" thickBot="1" x14ac:dyDescent="0.3"/>
    <row r="952" spans="4:6" ht="14.45" customHeight="1" outlineLevel="3" thickBot="1" x14ac:dyDescent="0.3">
      <c r="F952" s="118" t="s">
        <v>1263</v>
      </c>
    </row>
    <row r="953" spans="4:6" ht="14.45" customHeight="1" outlineLevel="4" thickBot="1" x14ac:dyDescent="0.3"/>
    <row r="954" spans="4:6" ht="14.45" customHeight="1" outlineLevel="3" thickBot="1" x14ac:dyDescent="0.3">
      <c r="F954" s="118" t="s">
        <v>1264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7" t="s">
        <v>1265</v>
      </c>
    </row>
    <row r="958" spans="4:6" ht="14.45" customHeight="1" outlineLevel="3" thickBot="1" x14ac:dyDescent="0.3">
      <c r="F958" s="118" t="s">
        <v>1266</v>
      </c>
    </row>
    <row r="959" spans="4:6" ht="14.45" customHeight="1" outlineLevel="4" thickBot="1" x14ac:dyDescent="0.3"/>
    <row r="960" spans="4:6" ht="14.45" customHeight="1" outlineLevel="3" thickBot="1" x14ac:dyDescent="0.3">
      <c r="F960" s="118" t="s">
        <v>1267</v>
      </c>
    </row>
    <row r="961" spans="4:6" ht="14.45" customHeight="1" outlineLevel="4" thickBot="1" x14ac:dyDescent="0.3"/>
    <row r="962" spans="4:6" ht="14.45" customHeight="1" outlineLevel="3" thickBot="1" x14ac:dyDescent="0.3">
      <c r="F962" s="118" t="s">
        <v>1268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7" t="s">
        <v>1269</v>
      </c>
    </row>
    <row r="966" spans="4:6" ht="14.45" customHeight="1" outlineLevel="3" thickBot="1" x14ac:dyDescent="0.3">
      <c r="F966" s="118" t="s">
        <v>1270</v>
      </c>
    </row>
    <row r="967" spans="4:6" ht="14.45" customHeight="1" outlineLevel="4" thickBot="1" x14ac:dyDescent="0.3"/>
    <row r="968" spans="4:6" ht="14.45" customHeight="1" outlineLevel="3" thickBot="1" x14ac:dyDescent="0.3">
      <c r="F968" s="118" t="s">
        <v>1271</v>
      </c>
    </row>
    <row r="969" spans="4:6" ht="14.45" customHeight="1" outlineLevel="4" thickBot="1" x14ac:dyDescent="0.3"/>
    <row r="970" spans="4:6" ht="14.45" customHeight="1" outlineLevel="3" thickBot="1" x14ac:dyDescent="0.3">
      <c r="F970" s="118" t="s">
        <v>901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6" t="s">
        <v>69</v>
      </c>
      <c r="E974" s="116"/>
    </row>
    <row r="975" spans="4:6" ht="14.45" customHeight="1" outlineLevel="2" thickBot="1" x14ac:dyDescent="0.3">
      <c r="E975" s="117" t="s">
        <v>1272</v>
      </c>
    </row>
    <row r="976" spans="4:6" ht="14.45" customHeight="1" outlineLevel="3" thickBot="1" x14ac:dyDescent="0.3">
      <c r="F976" s="118" t="s">
        <v>1273</v>
      </c>
    </row>
    <row r="977" spans="5:7" ht="14.45" customHeight="1" outlineLevel="4" thickBot="1" x14ac:dyDescent="0.3">
      <c r="G977" s="96" t="s">
        <v>1274</v>
      </c>
    </row>
    <row r="978" spans="5:7" ht="14.45" customHeight="1" outlineLevel="4" thickBot="1" x14ac:dyDescent="0.3">
      <c r="G978" s="96" t="s">
        <v>1275</v>
      </c>
    </row>
    <row r="979" spans="5:7" ht="14.45" customHeight="1" outlineLevel="4" thickBot="1" x14ac:dyDescent="0.3">
      <c r="G979" s="96" t="s">
        <v>1276</v>
      </c>
    </row>
    <row r="980" spans="5:7" ht="14.45" customHeight="1" outlineLevel="3" thickBot="1" x14ac:dyDescent="0.3">
      <c r="F980" s="118" t="s">
        <v>1277</v>
      </c>
    </row>
    <row r="981" spans="5:7" ht="14.45" customHeight="1" outlineLevel="4" thickBot="1" x14ac:dyDescent="0.3">
      <c r="G981" s="96" t="s">
        <v>1278</v>
      </c>
    </row>
    <row r="982" spans="5:7" ht="14.45" customHeight="1" outlineLevel="4" thickBot="1" x14ac:dyDescent="0.3">
      <c r="G982" s="96" t="s">
        <v>1279</v>
      </c>
    </row>
    <row r="983" spans="5:7" ht="14.45" customHeight="1" outlineLevel="4" thickBot="1" x14ac:dyDescent="0.3">
      <c r="G983" s="96" t="s">
        <v>1280</v>
      </c>
    </row>
    <row r="984" spans="5:7" ht="14.45" customHeight="1" outlineLevel="3" thickBot="1" x14ac:dyDescent="0.3">
      <c r="F984" s="118" t="s">
        <v>1281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7" t="s">
        <v>1282</v>
      </c>
    </row>
    <row r="988" spans="5:7" ht="14.45" customHeight="1" outlineLevel="3" thickBot="1" x14ac:dyDescent="0.3">
      <c r="F988" s="118" t="s">
        <v>785</v>
      </c>
    </row>
    <row r="989" spans="5:7" ht="14.45" customHeight="1" outlineLevel="4" thickBot="1" x14ac:dyDescent="0.3"/>
    <row r="990" spans="5:7" ht="14.45" customHeight="1" outlineLevel="3" thickBot="1" x14ac:dyDescent="0.3">
      <c r="F990" s="118" t="s">
        <v>1283</v>
      </c>
    </row>
    <row r="991" spans="5:7" ht="14.45" customHeight="1" outlineLevel="4" thickBot="1" x14ac:dyDescent="0.3">
      <c r="G991" s="96" t="s">
        <v>832</v>
      </c>
    </row>
    <row r="992" spans="5:7" ht="14.45" customHeight="1" outlineLevel="4" thickBot="1" x14ac:dyDescent="0.3">
      <c r="G992" s="96" t="s">
        <v>1284</v>
      </c>
    </row>
    <row r="993" spans="6:7" ht="14.45" customHeight="1" outlineLevel="4" thickBot="1" x14ac:dyDescent="0.3">
      <c r="G993" s="96" t="s">
        <v>1285</v>
      </c>
    </row>
    <row r="994" spans="6:7" ht="14.45" customHeight="1" outlineLevel="4" thickBot="1" x14ac:dyDescent="0.3">
      <c r="G994" s="96" t="s">
        <v>1286</v>
      </c>
    </row>
    <row r="995" spans="6:7" ht="14.45" customHeight="1" outlineLevel="4" thickBot="1" x14ac:dyDescent="0.3">
      <c r="G995" s="96" t="s">
        <v>1287</v>
      </c>
    </row>
    <row r="996" spans="6:7" ht="14.45" customHeight="1" outlineLevel="4" thickBot="1" x14ac:dyDescent="0.3">
      <c r="G996" s="96" t="s">
        <v>1288</v>
      </c>
    </row>
    <row r="997" spans="6:7" ht="14.45" customHeight="1" outlineLevel="3" thickBot="1" x14ac:dyDescent="0.3">
      <c r="F997" s="118" t="s">
        <v>1289</v>
      </c>
    </row>
    <row r="998" spans="6:7" ht="14.45" customHeight="1" outlineLevel="4" thickBot="1" x14ac:dyDescent="0.3">
      <c r="G998" s="96" t="s">
        <v>832</v>
      </c>
    </row>
    <row r="999" spans="6:7" ht="14.45" customHeight="1" outlineLevel="4" thickBot="1" x14ac:dyDescent="0.3">
      <c r="G999" s="96" t="s">
        <v>1290</v>
      </c>
    </row>
    <row r="1000" spans="6:7" ht="14.45" customHeight="1" outlineLevel="4" thickBot="1" x14ac:dyDescent="0.3">
      <c r="G1000" s="96" t="s">
        <v>1291</v>
      </c>
    </row>
    <row r="1001" spans="6:7" ht="14.45" customHeight="1" outlineLevel="3" thickBot="1" x14ac:dyDescent="0.3">
      <c r="F1001" s="118" t="s">
        <v>1292</v>
      </c>
    </row>
    <row r="1002" spans="6:7" ht="14.45" customHeight="1" outlineLevel="4" thickBot="1" x14ac:dyDescent="0.3">
      <c r="G1002" s="96" t="s">
        <v>832</v>
      </c>
    </row>
    <row r="1003" spans="6:7" ht="14.45" customHeight="1" outlineLevel="4" thickBot="1" x14ac:dyDescent="0.3">
      <c r="G1003" s="96" t="s">
        <v>1293</v>
      </c>
    </row>
    <row r="1004" spans="6:7" ht="14.45" customHeight="1" outlineLevel="4" thickBot="1" x14ac:dyDescent="0.3">
      <c r="G1004" s="96" t="s">
        <v>1294</v>
      </c>
    </row>
    <row r="1005" spans="6:7" ht="14.45" customHeight="1" outlineLevel="4" thickBot="1" x14ac:dyDescent="0.3">
      <c r="G1005" s="96" t="s">
        <v>1295</v>
      </c>
    </row>
    <row r="1006" spans="6:7" ht="14.45" customHeight="1" outlineLevel="4" thickBot="1" x14ac:dyDescent="0.3">
      <c r="G1006" s="96" t="s">
        <v>1296</v>
      </c>
    </row>
    <row r="1007" spans="6:7" ht="14.45" customHeight="1" outlineLevel="3" thickBot="1" x14ac:dyDescent="0.3">
      <c r="F1007" s="118" t="s">
        <v>1297</v>
      </c>
    </row>
    <row r="1008" spans="6:7" ht="14.45" customHeight="1" outlineLevel="4" thickBot="1" x14ac:dyDescent="0.3">
      <c r="G1008" s="96" t="s">
        <v>1000</v>
      </c>
    </row>
    <row r="1009" spans="4:7" ht="14.45" customHeight="1" outlineLevel="4" thickBot="1" x14ac:dyDescent="0.3">
      <c r="G1009" s="96" t="s">
        <v>1298</v>
      </c>
    </row>
    <row r="1010" spans="4:7" ht="14.45" customHeight="1" outlineLevel="4" thickBot="1" x14ac:dyDescent="0.3">
      <c r="G1010" s="96" t="s">
        <v>1299</v>
      </c>
    </row>
    <row r="1011" spans="4:7" ht="14.45" customHeight="1" outlineLevel="4" thickBot="1" x14ac:dyDescent="0.3">
      <c r="G1011" s="96" t="s">
        <v>1300</v>
      </c>
    </row>
    <row r="1012" spans="4:7" ht="14.45" customHeight="1" outlineLevel="3" thickBot="1" x14ac:dyDescent="0.3">
      <c r="F1012" s="118" t="s">
        <v>1301</v>
      </c>
    </row>
    <row r="1013" spans="4:7" ht="14.45" customHeight="1" outlineLevel="4" thickBot="1" x14ac:dyDescent="0.3">
      <c r="G1013" s="96" t="s">
        <v>832</v>
      </c>
    </row>
    <row r="1014" spans="4:7" ht="14.45" customHeight="1" outlineLevel="4" thickBot="1" x14ac:dyDescent="0.3">
      <c r="G1014" s="96" t="s">
        <v>1302</v>
      </c>
    </row>
    <row r="1015" spans="4:7" ht="14.45" customHeight="1" outlineLevel="3" thickBot="1" x14ac:dyDescent="0.3">
      <c r="F1015" s="118" t="s">
        <v>1303</v>
      </c>
    </row>
    <row r="1016" spans="4:7" ht="14.45" customHeight="1" outlineLevel="4" thickBot="1" x14ac:dyDescent="0.3">
      <c r="G1016" s="96" t="s">
        <v>1304</v>
      </c>
    </row>
    <row r="1017" spans="4:7" ht="14.45" customHeight="1" outlineLevel="4" thickBot="1" x14ac:dyDescent="0.3">
      <c r="G1017" s="96" t="s">
        <v>1305</v>
      </c>
    </row>
    <row r="1018" spans="4:7" ht="14.45" customHeight="1" outlineLevel="4" thickBot="1" x14ac:dyDescent="0.3">
      <c r="G1018" s="96" t="s">
        <v>1306</v>
      </c>
    </row>
    <row r="1019" spans="4:7" ht="14.45" customHeight="1" outlineLevel="4" thickBot="1" x14ac:dyDescent="0.3">
      <c r="G1019" s="96" t="s">
        <v>1307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6" t="s">
        <v>71</v>
      </c>
      <c r="E1022" s="116"/>
    </row>
    <row r="1023" spans="4:7" ht="14.45" customHeight="1" outlineLevel="2" thickBot="1" x14ac:dyDescent="0.3">
      <c r="E1023" s="117" t="s">
        <v>1308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7" t="s">
        <v>1309</v>
      </c>
    </row>
    <row r="1027" spans="5:6" ht="14.45" customHeight="1" outlineLevel="3" thickBot="1" x14ac:dyDescent="0.3">
      <c r="F1027" s="118" t="s">
        <v>1310</v>
      </c>
    </row>
    <row r="1028" spans="5:6" ht="14.45" customHeight="1" outlineLevel="4" thickBot="1" x14ac:dyDescent="0.3"/>
    <row r="1029" spans="5:6" ht="14.45" customHeight="1" outlineLevel="3" thickBot="1" x14ac:dyDescent="0.3">
      <c r="F1029" s="118" t="s">
        <v>1311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7" t="s">
        <v>1312</v>
      </c>
    </row>
    <row r="1033" spans="5:6" ht="14.45" customHeight="1" outlineLevel="3" thickBot="1" x14ac:dyDescent="0.3">
      <c r="F1033" s="118" t="s">
        <v>1313</v>
      </c>
    </row>
    <row r="1034" spans="5:6" ht="14.45" customHeight="1" outlineLevel="4" thickBot="1" x14ac:dyDescent="0.3"/>
    <row r="1035" spans="5:6" ht="14.45" customHeight="1" outlineLevel="3" thickBot="1" x14ac:dyDescent="0.3">
      <c r="F1035" s="118" t="s">
        <v>1314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7" t="s">
        <v>1315</v>
      </c>
    </row>
    <row r="1039" spans="5:6" ht="14.45" customHeight="1" outlineLevel="3" thickBot="1" x14ac:dyDescent="0.3">
      <c r="F1039" s="118" t="s">
        <v>1316</v>
      </c>
    </row>
    <row r="1040" spans="5:6" ht="14.45" customHeight="1" outlineLevel="4" thickBot="1" x14ac:dyDescent="0.3"/>
    <row r="1041" spans="4:6" ht="14.45" customHeight="1" outlineLevel="3" thickBot="1" x14ac:dyDescent="0.3">
      <c r="F1041" s="118" t="s">
        <v>1317</v>
      </c>
    </row>
    <row r="1042" spans="4:6" ht="14.45" customHeight="1" outlineLevel="4" thickBot="1" x14ac:dyDescent="0.3"/>
    <row r="1043" spans="4:6" ht="14.45" customHeight="1" outlineLevel="3" thickBot="1" x14ac:dyDescent="0.3">
      <c r="F1043" s="118" t="s">
        <v>1318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7" t="s">
        <v>1319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6" t="s">
        <v>72</v>
      </c>
      <c r="E1050" s="116"/>
    </row>
    <row r="1051" spans="4:6" ht="14.45" customHeight="1" outlineLevel="2" thickBot="1" x14ac:dyDescent="0.3">
      <c r="E1051" s="117" t="s">
        <v>1320</v>
      </c>
    </row>
    <row r="1052" spans="4:6" ht="14.45" customHeight="1" outlineLevel="3" thickBot="1" x14ac:dyDescent="0.3">
      <c r="F1052" s="118" t="s">
        <v>1244</v>
      </c>
    </row>
    <row r="1053" spans="4:6" ht="14.45" customHeight="1" outlineLevel="4" thickBot="1" x14ac:dyDescent="0.3"/>
    <row r="1054" spans="4:6" ht="14.45" customHeight="1" outlineLevel="3" thickBot="1" x14ac:dyDescent="0.3">
      <c r="F1054" s="118" t="s">
        <v>1321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7" t="s">
        <v>1322</v>
      </c>
    </row>
    <row r="1058" spans="5:6" ht="14.45" customHeight="1" outlineLevel="3" thickBot="1" x14ac:dyDescent="0.3">
      <c r="F1058" s="118" t="s">
        <v>1323</v>
      </c>
    </row>
    <row r="1059" spans="5:6" ht="14.45" customHeight="1" outlineLevel="4" thickBot="1" x14ac:dyDescent="0.3"/>
    <row r="1060" spans="5:6" ht="14.45" customHeight="1" outlineLevel="3" thickBot="1" x14ac:dyDescent="0.3">
      <c r="F1060" s="118" t="s">
        <v>1324</v>
      </c>
    </row>
    <row r="1061" spans="5:6" ht="14.45" customHeight="1" outlineLevel="4" thickBot="1" x14ac:dyDescent="0.3"/>
    <row r="1062" spans="5:6" ht="14.45" customHeight="1" outlineLevel="3" thickBot="1" x14ac:dyDescent="0.3">
      <c r="F1062" s="118" t="s">
        <v>1325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7" t="s">
        <v>1326</v>
      </c>
    </row>
    <row r="1066" spans="5:6" ht="14.45" customHeight="1" outlineLevel="3" thickBot="1" x14ac:dyDescent="0.3">
      <c r="F1066" s="118" t="s">
        <v>1327</v>
      </c>
    </row>
    <row r="1067" spans="5:6" ht="14.45" customHeight="1" outlineLevel="4" thickBot="1" x14ac:dyDescent="0.3"/>
    <row r="1068" spans="5:6" ht="14.45" customHeight="1" outlineLevel="3" thickBot="1" x14ac:dyDescent="0.3">
      <c r="F1068" s="118" t="s">
        <v>1328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7" t="s">
        <v>1329</v>
      </c>
    </row>
    <row r="1072" spans="5:6" ht="14.45" customHeight="1" outlineLevel="3" thickBot="1" x14ac:dyDescent="0.3">
      <c r="F1072" s="118" t="s">
        <v>1330</v>
      </c>
    </row>
    <row r="1073" spans="5:6" ht="14.45" customHeight="1" outlineLevel="4" thickBot="1" x14ac:dyDescent="0.3"/>
    <row r="1074" spans="5:6" ht="14.45" customHeight="1" outlineLevel="3" thickBot="1" x14ac:dyDescent="0.3">
      <c r="F1074" s="118" t="s">
        <v>1331</v>
      </c>
    </row>
    <row r="1075" spans="5:6" ht="14.45" customHeight="1" outlineLevel="4" thickBot="1" x14ac:dyDescent="0.3"/>
    <row r="1076" spans="5:6" ht="14.45" customHeight="1" outlineLevel="3" thickBot="1" x14ac:dyDescent="0.3">
      <c r="F1076" s="118" t="s">
        <v>1332</v>
      </c>
    </row>
    <row r="1077" spans="5:6" ht="14.45" customHeight="1" outlineLevel="4" thickBot="1" x14ac:dyDescent="0.3"/>
    <row r="1078" spans="5:6" ht="14.45" customHeight="1" outlineLevel="3" thickBot="1" x14ac:dyDescent="0.3">
      <c r="F1078" s="118" t="s">
        <v>1333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7" t="s">
        <v>1334</v>
      </c>
    </row>
    <row r="1082" spans="5:6" ht="14.45" customHeight="1" outlineLevel="3" thickBot="1" x14ac:dyDescent="0.3">
      <c r="F1082" s="118" t="s">
        <v>1335</v>
      </c>
    </row>
    <row r="1083" spans="5:6" ht="14.45" customHeight="1" outlineLevel="4" thickBot="1" x14ac:dyDescent="0.3"/>
    <row r="1084" spans="5:6" ht="14.45" customHeight="1" outlineLevel="3" thickBot="1" x14ac:dyDescent="0.3">
      <c r="F1084" s="118" t="s">
        <v>1336</v>
      </c>
    </row>
    <row r="1085" spans="5:6" ht="14.45" customHeight="1" outlineLevel="4" thickBot="1" x14ac:dyDescent="0.3"/>
    <row r="1086" spans="5:6" ht="14.45" customHeight="1" outlineLevel="3" thickBot="1" x14ac:dyDescent="0.3">
      <c r="F1086" s="118" t="s">
        <v>1337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5" t="s">
        <v>1338</v>
      </c>
      <c r="D1091" s="115"/>
    </row>
    <row r="1092" spans="3:6" ht="14.45" customHeight="1" outlineLevel="1" thickBot="1" x14ac:dyDescent="0.3">
      <c r="D1092" s="116" t="s">
        <v>74</v>
      </c>
      <c r="E1092" s="11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6" t="s">
        <v>76</v>
      </c>
      <c r="E1096" s="116"/>
    </row>
    <row r="1097" spans="3:6" ht="14.45" customHeight="1" outlineLevel="2" thickBot="1" x14ac:dyDescent="0.3">
      <c r="E1097" s="117" t="s">
        <v>741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7" t="s">
        <v>1339</v>
      </c>
    </row>
    <row r="1101" spans="3:6" ht="14.45" customHeight="1" outlineLevel="3" thickBot="1" x14ac:dyDescent="0.3">
      <c r="F1101" s="118" t="s">
        <v>1340</v>
      </c>
    </row>
    <row r="1102" spans="3:6" ht="14.45" customHeight="1" outlineLevel="4" thickBot="1" x14ac:dyDescent="0.3"/>
    <row r="1103" spans="3:6" ht="14.45" customHeight="1" outlineLevel="3" thickBot="1" x14ac:dyDescent="0.3">
      <c r="F1103" s="118" t="s">
        <v>1341</v>
      </c>
    </row>
    <row r="1104" spans="3:6" ht="14.45" customHeight="1" outlineLevel="4" thickBot="1" x14ac:dyDescent="0.3"/>
    <row r="1105" spans="3:7" ht="14.45" customHeight="1" outlineLevel="3" thickBot="1" x14ac:dyDescent="0.3">
      <c r="F1105" s="118" t="s">
        <v>1342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7" t="s">
        <v>1343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5" t="s">
        <v>1344</v>
      </c>
      <c r="D1113" s="115"/>
    </row>
    <row r="1114" spans="3:7" ht="14.45" customHeight="1" outlineLevel="1" thickBot="1" x14ac:dyDescent="0.3">
      <c r="D1114" s="116" t="s">
        <v>79</v>
      </c>
      <c r="E1114" s="116"/>
    </row>
    <row r="1115" spans="3:7" ht="14.45" customHeight="1" outlineLevel="2" thickBot="1" x14ac:dyDescent="0.3">
      <c r="E1115" s="117" t="s">
        <v>1345</v>
      </c>
    </row>
    <row r="1116" spans="3:7" ht="14.45" customHeight="1" outlineLevel="3" thickBot="1" x14ac:dyDescent="0.3">
      <c r="F1116" s="118" t="s">
        <v>831</v>
      </c>
    </row>
    <row r="1117" spans="3:7" ht="14.45" customHeight="1" outlineLevel="4" thickBot="1" x14ac:dyDescent="0.3">
      <c r="G1117" s="96" t="s">
        <v>832</v>
      </c>
    </row>
    <row r="1118" spans="3:7" ht="14.45" customHeight="1" outlineLevel="4" thickBot="1" x14ac:dyDescent="0.3">
      <c r="G1118" s="96" t="s">
        <v>833</v>
      </c>
    </row>
    <row r="1119" spans="3:7" ht="14.45" customHeight="1" outlineLevel="3" thickBot="1" x14ac:dyDescent="0.3">
      <c r="F1119" s="118" t="s">
        <v>1963</v>
      </c>
    </row>
    <row r="1120" spans="3:7" ht="14.45" customHeight="1" outlineLevel="4" thickBot="1" x14ac:dyDescent="0.3">
      <c r="G1120" s="96" t="s">
        <v>1346</v>
      </c>
    </row>
    <row r="1121" spans="5:7" ht="14.45" customHeight="1" outlineLevel="4" thickBot="1" x14ac:dyDescent="0.3">
      <c r="G1121" s="96" t="s">
        <v>1347</v>
      </c>
    </row>
    <row r="1122" spans="5:7" ht="14.45" customHeight="1" outlineLevel="4" thickBot="1" x14ac:dyDescent="0.3">
      <c r="G1122" s="96" t="s">
        <v>1348</v>
      </c>
    </row>
    <row r="1123" spans="5:7" ht="14.45" customHeight="1" outlineLevel="4" thickBot="1" x14ac:dyDescent="0.3">
      <c r="G1123" s="96" t="s">
        <v>1349</v>
      </c>
    </row>
    <row r="1124" spans="5:7" ht="14.45" customHeight="1" outlineLevel="4" thickBot="1" x14ac:dyDescent="0.3">
      <c r="G1124" s="96" t="s">
        <v>1350</v>
      </c>
    </row>
    <row r="1125" spans="5:7" ht="14.45" customHeight="1" outlineLevel="3" thickBot="1" x14ac:dyDescent="0.3">
      <c r="F1125" s="118" t="s">
        <v>1351</v>
      </c>
    </row>
    <row r="1126" spans="5:7" ht="14.45" customHeight="1" outlineLevel="4" thickBot="1" x14ac:dyDescent="0.3">
      <c r="G1126" s="96" t="s">
        <v>1352</v>
      </c>
    </row>
    <row r="1127" spans="5:7" ht="14.45" customHeight="1" outlineLevel="4" thickBot="1" x14ac:dyDescent="0.3">
      <c r="G1127" s="96" t="s">
        <v>1353</v>
      </c>
    </row>
    <row r="1128" spans="5:7" ht="14.45" customHeight="1" outlineLevel="3" thickBot="1" x14ac:dyDescent="0.3">
      <c r="F1128" s="118" t="s">
        <v>1354</v>
      </c>
    </row>
    <row r="1129" spans="5:7" ht="14.45" customHeight="1" outlineLevel="4" thickBot="1" x14ac:dyDescent="0.3"/>
    <row r="1130" spans="5:7" ht="14.45" customHeight="1" outlineLevel="3" thickBot="1" x14ac:dyDescent="0.3">
      <c r="F1130" s="118" t="s">
        <v>1355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7" t="s">
        <v>1356</v>
      </c>
    </row>
    <row r="1134" spans="5:7" ht="14.45" customHeight="1" outlineLevel="3" thickBot="1" x14ac:dyDescent="0.3">
      <c r="F1134" s="118" t="s">
        <v>831</v>
      </c>
    </row>
    <row r="1135" spans="5:7" ht="14.45" customHeight="1" outlineLevel="4" thickBot="1" x14ac:dyDescent="0.3">
      <c r="G1135" s="96" t="s">
        <v>832</v>
      </c>
    </row>
    <row r="1136" spans="5:7" ht="14.45" customHeight="1" outlineLevel="4" thickBot="1" x14ac:dyDescent="0.3">
      <c r="G1136" s="96" t="s">
        <v>1357</v>
      </c>
    </row>
    <row r="1137" spans="4:7" ht="14.45" customHeight="1" outlineLevel="3" thickBot="1" x14ac:dyDescent="0.3">
      <c r="F1137" s="118" t="s">
        <v>1358</v>
      </c>
    </row>
    <row r="1138" spans="4:7" ht="14.45" customHeight="1" outlineLevel="4" thickBot="1" x14ac:dyDescent="0.3">
      <c r="G1138" s="96" t="s">
        <v>1359</v>
      </c>
    </row>
    <row r="1139" spans="4:7" ht="14.45" customHeight="1" outlineLevel="4" thickBot="1" x14ac:dyDescent="0.3">
      <c r="G1139" s="96" t="s">
        <v>1360</v>
      </c>
    </row>
    <row r="1140" spans="4:7" ht="14.45" customHeight="1" outlineLevel="4" thickBot="1" x14ac:dyDescent="0.3">
      <c r="G1140" s="96" t="s">
        <v>1361</v>
      </c>
    </row>
    <row r="1141" spans="4:7" ht="14.45" customHeight="1" outlineLevel="4" thickBot="1" x14ac:dyDescent="0.3">
      <c r="G1141" s="96" t="s">
        <v>1362</v>
      </c>
    </row>
    <row r="1142" spans="4:7" ht="14.45" customHeight="1" outlineLevel="3" thickBot="1" x14ac:dyDescent="0.3">
      <c r="F1142" s="118" t="s">
        <v>1363</v>
      </c>
    </row>
    <row r="1143" spans="4:7" ht="14.45" customHeight="1" outlineLevel="4" thickBot="1" x14ac:dyDescent="0.3">
      <c r="G1143" s="96" t="s">
        <v>1352</v>
      </c>
    </row>
    <row r="1144" spans="4:7" ht="14.45" customHeight="1" outlineLevel="4" thickBot="1" x14ac:dyDescent="0.3">
      <c r="G1144" s="96" t="s">
        <v>1364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6" t="s">
        <v>80</v>
      </c>
      <c r="E1147" s="116"/>
    </row>
    <row r="1148" spans="4:7" ht="14.45" customHeight="1" outlineLevel="2" thickBot="1" x14ac:dyDescent="0.3">
      <c r="E1148" s="117" t="s">
        <v>1365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7" t="s">
        <v>1366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7" t="s">
        <v>1367</v>
      </c>
    </row>
    <row r="1155" spans="5:6" ht="14.45" customHeight="1" outlineLevel="3" thickBot="1" x14ac:dyDescent="0.3">
      <c r="F1155" s="118" t="s">
        <v>1368</v>
      </c>
    </row>
    <row r="1156" spans="5:6" ht="14.45" customHeight="1" outlineLevel="4" thickBot="1" x14ac:dyDescent="0.3"/>
    <row r="1157" spans="5:6" ht="14.45" customHeight="1" outlineLevel="3" thickBot="1" x14ac:dyDescent="0.3">
      <c r="F1157" s="118" t="s">
        <v>1369</v>
      </c>
    </row>
    <row r="1158" spans="5:6" ht="14.45" customHeight="1" outlineLevel="4" thickBot="1" x14ac:dyDescent="0.3"/>
    <row r="1159" spans="5:6" ht="14.45" customHeight="1" outlineLevel="3" thickBot="1" x14ac:dyDescent="0.3">
      <c r="F1159" s="118" t="s">
        <v>1370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7" t="s">
        <v>1371</v>
      </c>
    </row>
    <row r="1163" spans="5:6" ht="14.45" customHeight="1" outlineLevel="3" thickBot="1" x14ac:dyDescent="0.3">
      <c r="F1163" s="118" t="s">
        <v>1372</v>
      </c>
    </row>
    <row r="1164" spans="5:6" ht="14.45" customHeight="1" outlineLevel="4" thickBot="1" x14ac:dyDescent="0.3"/>
    <row r="1165" spans="5:6" ht="14.45" customHeight="1" outlineLevel="3" thickBot="1" x14ac:dyDescent="0.3">
      <c r="F1165" s="118" t="s">
        <v>1373</v>
      </c>
    </row>
    <row r="1166" spans="5:6" ht="14.45" customHeight="1" outlineLevel="4" thickBot="1" x14ac:dyDescent="0.3"/>
    <row r="1167" spans="5:6" ht="14.45" customHeight="1" outlineLevel="3" thickBot="1" x14ac:dyDescent="0.3">
      <c r="F1167" s="118" t="s">
        <v>1374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7" t="s">
        <v>1375</v>
      </c>
    </row>
    <row r="1171" spans="4:7" ht="14.45" customHeight="1" outlineLevel="3" thickBot="1" x14ac:dyDescent="0.3">
      <c r="F1171" s="118" t="s">
        <v>1376</v>
      </c>
    </row>
    <row r="1172" spans="4:7" ht="14.45" customHeight="1" outlineLevel="4" thickBot="1" x14ac:dyDescent="0.3"/>
    <row r="1173" spans="4:7" ht="14.45" customHeight="1" outlineLevel="3" thickBot="1" x14ac:dyDescent="0.3">
      <c r="F1173" s="118" t="s">
        <v>1377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6" t="s">
        <v>83</v>
      </c>
      <c r="E1177" s="116"/>
    </row>
    <row r="1178" spans="4:7" ht="14.45" customHeight="1" outlineLevel="2" thickBot="1" x14ac:dyDescent="0.3">
      <c r="E1178" s="117" t="s">
        <v>1378</v>
      </c>
    </row>
    <row r="1179" spans="4:7" ht="14.45" customHeight="1" outlineLevel="3" thickBot="1" x14ac:dyDescent="0.3">
      <c r="F1179" s="118" t="s">
        <v>785</v>
      </c>
    </row>
    <row r="1180" spans="4:7" ht="14.45" customHeight="1" outlineLevel="4" thickBot="1" x14ac:dyDescent="0.3"/>
    <row r="1181" spans="4:7" ht="14.45" customHeight="1" outlineLevel="3" thickBot="1" x14ac:dyDescent="0.3">
      <c r="F1181" s="118" t="s">
        <v>1379</v>
      </c>
    </row>
    <row r="1182" spans="4:7" ht="14.45" customHeight="1" outlineLevel="4" thickBot="1" x14ac:dyDescent="0.3">
      <c r="G1182" s="96" t="s">
        <v>942</v>
      </c>
    </row>
    <row r="1183" spans="4:7" ht="14.45" customHeight="1" outlineLevel="4" thickBot="1" x14ac:dyDescent="0.3">
      <c r="G1183" s="96" t="s">
        <v>943</v>
      </c>
    </row>
    <row r="1184" spans="4:7" ht="14.45" customHeight="1" outlineLevel="4" thickBot="1" x14ac:dyDescent="0.3">
      <c r="G1184" s="96" t="s">
        <v>944</v>
      </c>
    </row>
    <row r="1185" spans="6:7" ht="14.45" customHeight="1" outlineLevel="4" thickBot="1" x14ac:dyDescent="0.3">
      <c r="G1185" s="96" t="s">
        <v>1380</v>
      </c>
    </row>
    <row r="1186" spans="6:7" ht="14.45" customHeight="1" outlineLevel="3" thickBot="1" x14ac:dyDescent="0.3">
      <c r="F1186" s="118" t="s">
        <v>1381</v>
      </c>
    </row>
    <row r="1187" spans="6:7" ht="14.45" customHeight="1" outlineLevel="4" thickBot="1" x14ac:dyDescent="0.3">
      <c r="G1187" s="96" t="s">
        <v>1346</v>
      </c>
    </row>
    <row r="1188" spans="6:7" ht="14.45" customHeight="1" outlineLevel="4" thickBot="1" x14ac:dyDescent="0.3">
      <c r="G1188" s="96" t="s">
        <v>1347</v>
      </c>
    </row>
    <row r="1189" spans="6:7" ht="14.45" customHeight="1" outlineLevel="4" thickBot="1" x14ac:dyDescent="0.3">
      <c r="G1189" s="96" t="s">
        <v>1348</v>
      </c>
    </row>
    <row r="1190" spans="6:7" ht="14.45" customHeight="1" outlineLevel="4" thickBot="1" x14ac:dyDescent="0.3">
      <c r="G1190" s="96" t="s">
        <v>1349</v>
      </c>
    </row>
    <row r="1191" spans="6:7" ht="14.45" customHeight="1" outlineLevel="3" thickBot="1" x14ac:dyDescent="0.3">
      <c r="F1191" s="118" t="s">
        <v>1382</v>
      </c>
    </row>
    <row r="1192" spans="6:7" ht="14.45" customHeight="1" outlineLevel="4" thickBot="1" x14ac:dyDescent="0.3">
      <c r="G1192" s="96" t="s">
        <v>1383</v>
      </c>
    </row>
    <row r="1193" spans="6:7" ht="14.45" customHeight="1" outlineLevel="4" thickBot="1" x14ac:dyDescent="0.3">
      <c r="G1193" s="96" t="s">
        <v>1384</v>
      </c>
    </row>
    <row r="1194" spans="6:7" ht="14.45" customHeight="1" outlineLevel="4" thickBot="1" x14ac:dyDescent="0.3">
      <c r="G1194" s="96" t="s">
        <v>1385</v>
      </c>
    </row>
    <row r="1195" spans="6:7" ht="14.45" customHeight="1" outlineLevel="4" thickBot="1" x14ac:dyDescent="0.3">
      <c r="G1195" s="96" t="s">
        <v>1386</v>
      </c>
    </row>
    <row r="1196" spans="6:7" ht="14.45" customHeight="1" outlineLevel="3" thickBot="1" x14ac:dyDescent="0.3">
      <c r="F1196" s="118" t="s">
        <v>1387</v>
      </c>
    </row>
    <row r="1197" spans="6:7" ht="14.45" customHeight="1" outlineLevel="4" thickBot="1" x14ac:dyDescent="0.3">
      <c r="G1197" s="96" t="s">
        <v>1388</v>
      </c>
    </row>
    <row r="1198" spans="6:7" ht="14.45" customHeight="1" outlineLevel="4" thickBot="1" x14ac:dyDescent="0.3">
      <c r="G1198" s="96" t="s">
        <v>1389</v>
      </c>
    </row>
    <row r="1199" spans="6:7" ht="14.45" customHeight="1" outlineLevel="4" thickBot="1" x14ac:dyDescent="0.3">
      <c r="G1199" s="96" t="s">
        <v>1390</v>
      </c>
    </row>
    <row r="1200" spans="6:7" ht="14.45" customHeight="1" outlineLevel="3" thickBot="1" x14ac:dyDescent="0.3">
      <c r="F1200" s="118" t="s">
        <v>1391</v>
      </c>
    </row>
    <row r="1201" spans="5:7" ht="14.45" customHeight="1" outlineLevel="4" thickBot="1" x14ac:dyDescent="0.3">
      <c r="G1201" s="96" t="s">
        <v>832</v>
      </c>
    </row>
    <row r="1202" spans="5:7" ht="14.45" customHeight="1" outlineLevel="4" thickBot="1" x14ac:dyDescent="0.3">
      <c r="G1202" s="96" t="s">
        <v>1392</v>
      </c>
    </row>
    <row r="1203" spans="5:7" ht="14.45" customHeight="1" outlineLevel="4" thickBot="1" x14ac:dyDescent="0.3">
      <c r="G1203" s="96" t="s">
        <v>1393</v>
      </c>
    </row>
    <row r="1204" spans="5:7" ht="14.45" customHeight="1" outlineLevel="4" thickBot="1" x14ac:dyDescent="0.3">
      <c r="G1204" s="96" t="s">
        <v>1394</v>
      </c>
    </row>
    <row r="1205" spans="5:7" ht="14.45" customHeight="1" outlineLevel="3" thickBot="1" x14ac:dyDescent="0.3"/>
    <row r="1206" spans="5:7" ht="14.45" customHeight="1" outlineLevel="2" thickBot="1" x14ac:dyDescent="0.3">
      <c r="E1206" s="117" t="s">
        <v>1395</v>
      </c>
    </row>
    <row r="1207" spans="5:7" ht="14.45" customHeight="1" outlineLevel="3" thickBot="1" x14ac:dyDescent="0.3">
      <c r="F1207" s="118" t="s">
        <v>785</v>
      </c>
    </row>
    <row r="1208" spans="5:7" ht="14.45" customHeight="1" outlineLevel="4" thickBot="1" x14ac:dyDescent="0.3"/>
    <row r="1209" spans="5:7" ht="14.45" customHeight="1" outlineLevel="3" thickBot="1" x14ac:dyDescent="0.3">
      <c r="F1209" s="118" t="s">
        <v>1379</v>
      </c>
    </row>
    <row r="1210" spans="5:7" ht="14.45" customHeight="1" outlineLevel="4" thickBot="1" x14ac:dyDescent="0.3">
      <c r="G1210" s="96" t="s">
        <v>942</v>
      </c>
    </row>
    <row r="1211" spans="5:7" ht="14.45" customHeight="1" outlineLevel="4" thickBot="1" x14ac:dyDescent="0.3">
      <c r="G1211" s="96" t="s">
        <v>943</v>
      </c>
    </row>
    <row r="1212" spans="5:7" ht="14.45" customHeight="1" outlineLevel="4" thickBot="1" x14ac:dyDescent="0.3">
      <c r="G1212" s="96" t="s">
        <v>944</v>
      </c>
    </row>
    <row r="1213" spans="5:7" ht="14.45" customHeight="1" outlineLevel="3" thickBot="1" x14ac:dyDescent="0.3">
      <c r="F1213" s="118" t="s">
        <v>1381</v>
      </c>
    </row>
    <row r="1214" spans="5:7" ht="14.45" customHeight="1" outlineLevel="4" thickBot="1" x14ac:dyDescent="0.3"/>
    <row r="1215" spans="5:7" ht="14.45" customHeight="1" outlineLevel="3" thickBot="1" x14ac:dyDescent="0.3">
      <c r="F1215" s="118" t="s">
        <v>1396</v>
      </c>
    </row>
    <row r="1216" spans="5:7" ht="14.45" customHeight="1" outlineLevel="4" thickBot="1" x14ac:dyDescent="0.3"/>
    <row r="1217" spans="3:7" ht="14.45" customHeight="1" outlineLevel="3" thickBot="1" x14ac:dyDescent="0.3">
      <c r="F1217" s="118" t="s">
        <v>1397</v>
      </c>
    </row>
    <row r="1218" spans="3:7" ht="14.45" customHeight="1" outlineLevel="4" thickBot="1" x14ac:dyDescent="0.3">
      <c r="G1218" s="96" t="s">
        <v>942</v>
      </c>
    </row>
    <row r="1219" spans="3:7" ht="14.45" customHeight="1" outlineLevel="4" thickBot="1" x14ac:dyDescent="0.3">
      <c r="G1219" s="96" t="s">
        <v>943</v>
      </c>
    </row>
    <row r="1220" spans="3:7" ht="14.45" customHeight="1" outlineLevel="4" thickBot="1" x14ac:dyDescent="0.3">
      <c r="G1220" s="96" t="s">
        <v>944</v>
      </c>
    </row>
    <row r="1221" spans="3:7" ht="14.45" customHeight="1" outlineLevel="3" thickBot="1" x14ac:dyDescent="0.3">
      <c r="F1221" s="118" t="s">
        <v>1398</v>
      </c>
    </row>
    <row r="1222" spans="3:7" ht="14.45" customHeight="1" outlineLevel="4" thickBot="1" x14ac:dyDescent="0.3"/>
    <row r="1223" spans="3:7" ht="14.45" customHeight="1" outlineLevel="3" thickBot="1" x14ac:dyDescent="0.3">
      <c r="F1223" s="118" t="s">
        <v>1399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5" t="s">
        <v>1400</v>
      </c>
      <c r="D1228" s="115"/>
    </row>
    <row r="1229" spans="3:7" ht="14.45" customHeight="1" outlineLevel="1" thickBot="1" x14ac:dyDescent="0.3">
      <c r="D1229" s="116" t="s">
        <v>1401</v>
      </c>
      <c r="E1229" s="116"/>
    </row>
    <row r="1230" spans="3:7" ht="14.45" customHeight="1" outlineLevel="2" thickBot="1" x14ac:dyDescent="0.3">
      <c r="E1230" s="117" t="s">
        <v>1402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7" t="s">
        <v>1403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6" t="s">
        <v>85</v>
      </c>
      <c r="E1237" s="116"/>
    </row>
    <row r="1238" spans="4:7" ht="14.45" customHeight="1" outlineLevel="2" thickBot="1" x14ac:dyDescent="0.3">
      <c r="E1238" s="117" t="s">
        <v>1404</v>
      </c>
    </row>
    <row r="1239" spans="4:7" ht="14.45" customHeight="1" outlineLevel="3" thickBot="1" x14ac:dyDescent="0.3">
      <c r="F1239" s="118" t="s">
        <v>1405</v>
      </c>
    </row>
    <row r="1240" spans="4:7" ht="14.45" customHeight="1" outlineLevel="4" thickBot="1" x14ac:dyDescent="0.3">
      <c r="G1240" s="96" t="s">
        <v>832</v>
      </c>
    </row>
    <row r="1241" spans="4:7" ht="14.45" customHeight="1" outlineLevel="4" thickBot="1" x14ac:dyDescent="0.3">
      <c r="G1241" s="96" t="s">
        <v>1406</v>
      </c>
    </row>
    <row r="1242" spans="4:7" ht="14.45" customHeight="1" outlineLevel="3" thickBot="1" x14ac:dyDescent="0.3">
      <c r="F1242" s="118" t="s">
        <v>1407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7" t="s">
        <v>1408</v>
      </c>
    </row>
    <row r="1246" spans="4:7" ht="14.45" customHeight="1" outlineLevel="3" thickBot="1" x14ac:dyDescent="0.3">
      <c r="F1246" s="118" t="s">
        <v>831</v>
      </c>
    </row>
    <row r="1247" spans="4:7" ht="14.45" customHeight="1" outlineLevel="4" thickBot="1" x14ac:dyDescent="0.3">
      <c r="G1247" s="96" t="s">
        <v>1409</v>
      </c>
    </row>
    <row r="1248" spans="4:7" ht="14.45" customHeight="1" outlineLevel="4" thickBot="1" x14ac:dyDescent="0.3">
      <c r="G1248" s="96" t="s">
        <v>1410</v>
      </c>
    </row>
    <row r="1249" spans="5:7" ht="14.45" customHeight="1" outlineLevel="4" thickBot="1" x14ac:dyDescent="0.3">
      <c r="G1249" s="96" t="s">
        <v>1411</v>
      </c>
    </row>
    <row r="1250" spans="5:7" ht="14.45" customHeight="1" outlineLevel="3" thickBot="1" x14ac:dyDescent="0.3">
      <c r="F1250" s="118" t="s">
        <v>1412</v>
      </c>
    </row>
    <row r="1251" spans="5:7" ht="14.45" customHeight="1" outlineLevel="4" thickBot="1" x14ac:dyDescent="0.3">
      <c r="G1251" s="96" t="s">
        <v>1413</v>
      </c>
    </row>
    <row r="1252" spans="5:7" ht="14.45" customHeight="1" outlineLevel="4" thickBot="1" x14ac:dyDescent="0.3">
      <c r="G1252" s="96" t="s">
        <v>1414</v>
      </c>
    </row>
    <row r="1253" spans="5:7" ht="14.45" customHeight="1" outlineLevel="4" thickBot="1" x14ac:dyDescent="0.3">
      <c r="G1253" s="96" t="s">
        <v>1415</v>
      </c>
    </row>
    <row r="1254" spans="5:7" ht="14.45" customHeight="1" outlineLevel="4" thickBot="1" x14ac:dyDescent="0.3">
      <c r="G1254" s="96" t="s">
        <v>1416</v>
      </c>
    </row>
    <row r="1255" spans="5:7" ht="14.45" customHeight="1" outlineLevel="4" thickBot="1" x14ac:dyDescent="0.3">
      <c r="G1255" s="96" t="s">
        <v>1417</v>
      </c>
    </row>
    <row r="1256" spans="5:7" ht="14.45" customHeight="1" outlineLevel="3" thickBot="1" x14ac:dyDescent="0.3">
      <c r="F1256" s="118" t="s">
        <v>1418</v>
      </c>
    </row>
    <row r="1257" spans="5:7" ht="14.45" customHeight="1" outlineLevel="4" thickBot="1" x14ac:dyDescent="0.3">
      <c r="G1257" s="96" t="s">
        <v>942</v>
      </c>
    </row>
    <row r="1258" spans="5:7" ht="14.45" customHeight="1" outlineLevel="4" thickBot="1" x14ac:dyDescent="0.3">
      <c r="G1258" s="96" t="s">
        <v>943</v>
      </c>
    </row>
    <row r="1259" spans="5:7" ht="14.45" customHeight="1" outlineLevel="4" thickBot="1" x14ac:dyDescent="0.3">
      <c r="G1259" s="96" t="s">
        <v>944</v>
      </c>
    </row>
    <row r="1260" spans="5:7" ht="14.45" customHeight="1" outlineLevel="3" thickBot="1" x14ac:dyDescent="0.3"/>
    <row r="1261" spans="5:7" ht="14.45" customHeight="1" outlineLevel="2" thickBot="1" x14ac:dyDescent="0.3">
      <c r="E1261" s="117" t="s">
        <v>1419</v>
      </c>
    </row>
    <row r="1262" spans="5:7" ht="14.45" customHeight="1" outlineLevel="3" thickBot="1" x14ac:dyDescent="0.3">
      <c r="F1262" s="118" t="s">
        <v>1420</v>
      </c>
    </row>
    <row r="1263" spans="5:7" ht="14.45" customHeight="1" outlineLevel="4" thickBot="1" x14ac:dyDescent="0.3">
      <c r="G1263" s="96" t="s">
        <v>1421</v>
      </c>
    </row>
    <row r="1264" spans="5:7" ht="14.45" customHeight="1" outlineLevel="4" thickBot="1" x14ac:dyDescent="0.3">
      <c r="G1264" s="96" t="s">
        <v>1422</v>
      </c>
    </row>
    <row r="1265" spans="5:7" ht="14.45" customHeight="1" outlineLevel="4" thickBot="1" x14ac:dyDescent="0.3">
      <c r="G1265" s="96" t="s">
        <v>1423</v>
      </c>
    </row>
    <row r="1266" spans="5:7" ht="14.45" customHeight="1" outlineLevel="3" thickBot="1" x14ac:dyDescent="0.3">
      <c r="F1266" s="118" t="s">
        <v>1424</v>
      </c>
    </row>
    <row r="1267" spans="5:7" ht="14.45" customHeight="1" outlineLevel="4" thickBot="1" x14ac:dyDescent="0.3">
      <c r="G1267" s="96" t="s">
        <v>1425</v>
      </c>
    </row>
    <row r="1268" spans="5:7" ht="14.45" customHeight="1" outlineLevel="4" thickBot="1" x14ac:dyDescent="0.3">
      <c r="G1268" s="96" t="s">
        <v>1426</v>
      </c>
    </row>
    <row r="1269" spans="5:7" ht="14.45" customHeight="1" outlineLevel="3" thickBot="1" x14ac:dyDescent="0.3">
      <c r="F1269" s="118" t="s">
        <v>1427</v>
      </c>
    </row>
    <row r="1270" spans="5:7" ht="14.45" customHeight="1" outlineLevel="4" thickBot="1" x14ac:dyDescent="0.3">
      <c r="G1270" s="96" t="s">
        <v>1428</v>
      </c>
    </row>
    <row r="1271" spans="5:7" ht="14.45" customHeight="1" outlineLevel="4" thickBot="1" x14ac:dyDescent="0.3">
      <c r="G1271" s="96" t="s">
        <v>1429</v>
      </c>
    </row>
    <row r="1272" spans="5:7" ht="14.45" customHeight="1" outlineLevel="4" thickBot="1" x14ac:dyDescent="0.3">
      <c r="G1272" s="96" t="s">
        <v>1430</v>
      </c>
    </row>
    <row r="1273" spans="5:7" ht="14.45" customHeight="1" outlineLevel="4" thickBot="1" x14ac:dyDescent="0.3">
      <c r="G1273" s="96" t="s">
        <v>1431</v>
      </c>
    </row>
    <row r="1274" spans="5:7" ht="14.45" customHeight="1" outlineLevel="4" thickBot="1" x14ac:dyDescent="0.3">
      <c r="G1274" s="96" t="s">
        <v>1432</v>
      </c>
    </row>
    <row r="1275" spans="5:7" ht="14.45" customHeight="1" outlineLevel="3" thickBot="1" x14ac:dyDescent="0.3"/>
    <row r="1276" spans="5:7" ht="14.45" customHeight="1" outlineLevel="2" thickBot="1" x14ac:dyDescent="0.3">
      <c r="E1276" s="117" t="s">
        <v>1433</v>
      </c>
    </row>
    <row r="1277" spans="5:7" ht="14.45" customHeight="1" outlineLevel="3" thickBot="1" x14ac:dyDescent="0.3">
      <c r="F1277" s="118" t="s">
        <v>1434</v>
      </c>
    </row>
    <row r="1278" spans="5:7" ht="14.45" customHeight="1" outlineLevel="4" thickBot="1" x14ac:dyDescent="0.3"/>
    <row r="1279" spans="5:7" ht="14.45" customHeight="1" outlineLevel="3" thickBot="1" x14ac:dyDescent="0.3">
      <c r="F1279" s="118" t="s">
        <v>1435</v>
      </c>
    </row>
    <row r="1280" spans="5:7" ht="14.45" customHeight="1" outlineLevel="4" thickBot="1" x14ac:dyDescent="0.3"/>
    <row r="1281" spans="6:7" ht="14.45" customHeight="1" outlineLevel="3" thickBot="1" x14ac:dyDescent="0.3">
      <c r="F1281" s="118" t="s">
        <v>1436</v>
      </c>
    </row>
    <row r="1282" spans="6:7" ht="14.45" customHeight="1" outlineLevel="4" thickBot="1" x14ac:dyDescent="0.3"/>
    <row r="1283" spans="6:7" ht="14.45" customHeight="1" outlineLevel="3" thickBot="1" x14ac:dyDescent="0.3">
      <c r="F1283" s="118" t="s">
        <v>1437</v>
      </c>
    </row>
    <row r="1284" spans="6:7" ht="14.45" customHeight="1" outlineLevel="4" thickBot="1" x14ac:dyDescent="0.3">
      <c r="G1284" s="96" t="s">
        <v>1438</v>
      </c>
    </row>
    <row r="1285" spans="6:7" ht="14.45" customHeight="1" outlineLevel="4" thickBot="1" x14ac:dyDescent="0.3">
      <c r="G1285" s="96" t="s">
        <v>1439</v>
      </c>
    </row>
    <row r="1286" spans="6:7" ht="14.45" customHeight="1" outlineLevel="3" thickBot="1" x14ac:dyDescent="0.3">
      <c r="F1286" s="118" t="s">
        <v>1440</v>
      </c>
    </row>
    <row r="1287" spans="6:7" ht="14.45" customHeight="1" outlineLevel="4" thickBot="1" x14ac:dyDescent="0.3">
      <c r="G1287" s="96" t="s">
        <v>1441</v>
      </c>
    </row>
    <row r="1288" spans="6:7" ht="14.45" customHeight="1" outlineLevel="4" thickBot="1" x14ac:dyDescent="0.3">
      <c r="G1288" s="96" t="s">
        <v>1442</v>
      </c>
    </row>
    <row r="1289" spans="6:7" ht="14.45" customHeight="1" outlineLevel="4" thickBot="1" x14ac:dyDescent="0.3">
      <c r="G1289" s="96" t="s">
        <v>1443</v>
      </c>
    </row>
    <row r="1290" spans="6:7" ht="14.45" customHeight="1" outlineLevel="4" thickBot="1" x14ac:dyDescent="0.3">
      <c r="G1290" s="96" t="s">
        <v>1444</v>
      </c>
    </row>
    <row r="1291" spans="6:7" ht="14.45" customHeight="1" outlineLevel="4" thickBot="1" x14ac:dyDescent="0.3">
      <c r="G1291" s="96" t="s">
        <v>1445</v>
      </c>
    </row>
    <row r="1292" spans="6:7" ht="14.45" customHeight="1" outlineLevel="3" thickBot="1" x14ac:dyDescent="0.3">
      <c r="F1292" s="118" t="s">
        <v>1446</v>
      </c>
    </row>
    <row r="1293" spans="6:7" ht="14.45" customHeight="1" outlineLevel="4" thickBot="1" x14ac:dyDescent="0.3">
      <c r="G1293" s="96" t="s">
        <v>1447</v>
      </c>
    </row>
    <row r="1294" spans="6:7" ht="14.45" customHeight="1" outlineLevel="4" thickBot="1" x14ac:dyDescent="0.3">
      <c r="G1294" s="96" t="s">
        <v>1448</v>
      </c>
    </row>
    <row r="1295" spans="6:7" ht="14.45" customHeight="1" outlineLevel="4" thickBot="1" x14ac:dyDescent="0.3">
      <c r="G1295" s="96" t="s">
        <v>1449</v>
      </c>
    </row>
    <row r="1296" spans="6:7" ht="14.45" customHeight="1" outlineLevel="3" thickBot="1" x14ac:dyDescent="0.3"/>
    <row r="1297" spans="3:7" ht="14.45" customHeight="1" outlineLevel="2" thickBot="1" x14ac:dyDescent="0.3">
      <c r="E1297" s="117" t="s">
        <v>1450</v>
      </c>
    </row>
    <row r="1298" spans="3:7" ht="14.45" customHeight="1" outlineLevel="3" thickBot="1" x14ac:dyDescent="0.3">
      <c r="F1298" s="118" t="s">
        <v>1451</v>
      </c>
    </row>
    <row r="1299" spans="3:7" ht="14.45" customHeight="1" outlineLevel="4" thickBot="1" x14ac:dyDescent="0.3"/>
    <row r="1300" spans="3:7" ht="14.45" customHeight="1" outlineLevel="3" thickBot="1" x14ac:dyDescent="0.3">
      <c r="F1300" s="118" t="s">
        <v>1452</v>
      </c>
    </row>
    <row r="1301" spans="3:7" ht="14.45" customHeight="1" outlineLevel="4" thickBot="1" x14ac:dyDescent="0.3">
      <c r="G1301" s="96" t="s">
        <v>832</v>
      </c>
    </row>
    <row r="1302" spans="3:7" ht="14.45" customHeight="1" outlineLevel="4" thickBot="1" x14ac:dyDescent="0.3">
      <c r="G1302" s="96" t="s">
        <v>1453</v>
      </c>
    </row>
    <row r="1303" spans="3:7" ht="14.45" customHeight="1" outlineLevel="4" thickBot="1" x14ac:dyDescent="0.3">
      <c r="G1303" s="96" t="s">
        <v>1454</v>
      </c>
    </row>
    <row r="1304" spans="3:7" ht="14.45" customHeight="1" outlineLevel="3" thickBot="1" x14ac:dyDescent="0.3">
      <c r="F1304" s="118" t="s">
        <v>1455</v>
      </c>
    </row>
    <row r="1305" spans="3:7" ht="14.45" customHeight="1" outlineLevel="4" thickBot="1" x14ac:dyDescent="0.3">
      <c r="G1305" s="96" t="s">
        <v>1456</v>
      </c>
    </row>
    <row r="1306" spans="3:7" ht="14.45" customHeight="1" outlineLevel="4" thickBot="1" x14ac:dyDescent="0.3">
      <c r="G1306" s="96" t="s">
        <v>1457</v>
      </c>
    </row>
    <row r="1307" spans="3:7" ht="14.45" customHeight="1" outlineLevel="4" thickBot="1" x14ac:dyDescent="0.3">
      <c r="G1307" s="96" t="s">
        <v>1458</v>
      </c>
    </row>
    <row r="1308" spans="3:7" ht="14.45" customHeight="1" outlineLevel="4" thickBot="1" x14ac:dyDescent="0.3">
      <c r="G1308" s="96" t="s">
        <v>1459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5" t="s">
        <v>1460</v>
      </c>
      <c r="D1312" s="115"/>
    </row>
    <row r="1313" spans="4:7" ht="14.45" customHeight="1" outlineLevel="1" thickBot="1" x14ac:dyDescent="0.3">
      <c r="D1313" s="116" t="s">
        <v>87</v>
      </c>
      <c r="E1313" s="116"/>
    </row>
    <row r="1314" spans="4:7" ht="14.45" customHeight="1" outlineLevel="2" thickBot="1" x14ac:dyDescent="0.3">
      <c r="E1314" s="117" t="s">
        <v>1461</v>
      </c>
    </row>
    <row r="1315" spans="4:7" ht="14.45" customHeight="1" outlineLevel="3" thickBot="1" x14ac:dyDescent="0.3">
      <c r="F1315" s="118" t="s">
        <v>831</v>
      </c>
    </row>
    <row r="1316" spans="4:7" ht="14.45" customHeight="1" outlineLevel="4" thickBot="1" x14ac:dyDescent="0.3">
      <c r="G1316" s="96" t="s">
        <v>1462</v>
      </c>
    </row>
    <row r="1317" spans="4:7" ht="14.45" customHeight="1" outlineLevel="4" thickBot="1" x14ac:dyDescent="0.3">
      <c r="G1317" s="96" t="s">
        <v>1463</v>
      </c>
    </row>
    <row r="1318" spans="4:7" ht="14.45" customHeight="1" outlineLevel="3" thickBot="1" x14ac:dyDescent="0.3">
      <c r="F1318" s="118" t="s">
        <v>1464</v>
      </c>
    </row>
    <row r="1319" spans="4:7" ht="14.45" customHeight="1" outlineLevel="4" thickBot="1" x14ac:dyDescent="0.3">
      <c r="G1319" s="96" t="s">
        <v>1465</v>
      </c>
    </row>
    <row r="1320" spans="4:7" ht="14.45" customHeight="1" outlineLevel="4" thickBot="1" x14ac:dyDescent="0.3">
      <c r="G1320" s="96" t="s">
        <v>1466</v>
      </c>
    </row>
    <row r="1321" spans="4:7" ht="14.45" customHeight="1" outlineLevel="4" thickBot="1" x14ac:dyDescent="0.3">
      <c r="G1321" s="96" t="s">
        <v>1467</v>
      </c>
    </row>
    <row r="1322" spans="4:7" ht="14.45" customHeight="1" outlineLevel="3" thickBot="1" x14ac:dyDescent="0.3"/>
    <row r="1323" spans="4:7" ht="14.45" customHeight="1" outlineLevel="2" thickBot="1" x14ac:dyDescent="0.3">
      <c r="E1323" s="117" t="s">
        <v>1468</v>
      </c>
    </row>
    <row r="1324" spans="4:7" ht="14.45" customHeight="1" outlineLevel="3" thickBot="1" x14ac:dyDescent="0.3">
      <c r="F1324" s="118" t="s">
        <v>1469</v>
      </c>
    </row>
    <row r="1325" spans="4:7" ht="14.45" customHeight="1" outlineLevel="4" thickBot="1" x14ac:dyDescent="0.3">
      <c r="G1325" s="96" t="s">
        <v>832</v>
      </c>
    </row>
    <row r="1326" spans="4:7" ht="14.45" customHeight="1" outlineLevel="4" thickBot="1" x14ac:dyDescent="0.3">
      <c r="G1326" s="96" t="s">
        <v>1392</v>
      </c>
    </row>
    <row r="1327" spans="4:7" ht="14.45" customHeight="1" outlineLevel="4" thickBot="1" x14ac:dyDescent="0.3">
      <c r="G1327" s="96" t="s">
        <v>1470</v>
      </c>
    </row>
    <row r="1328" spans="4:7" ht="14.45" customHeight="1" outlineLevel="4" thickBot="1" x14ac:dyDescent="0.3">
      <c r="G1328" s="96" t="s">
        <v>1471</v>
      </c>
    </row>
    <row r="1329" spans="6:7" ht="14.45" customHeight="1" outlineLevel="4" thickBot="1" x14ac:dyDescent="0.3">
      <c r="G1329" s="96" t="s">
        <v>1296</v>
      </c>
    </row>
    <row r="1330" spans="6:7" ht="14.45" customHeight="1" outlineLevel="3" thickBot="1" x14ac:dyDescent="0.3">
      <c r="F1330" s="118" t="s">
        <v>1472</v>
      </c>
    </row>
    <row r="1331" spans="6:7" ht="14.45" customHeight="1" outlineLevel="4" thickBot="1" x14ac:dyDescent="0.3">
      <c r="G1331" s="96" t="s">
        <v>832</v>
      </c>
    </row>
    <row r="1332" spans="6:7" ht="14.45" customHeight="1" outlineLevel="4" thickBot="1" x14ac:dyDescent="0.3">
      <c r="G1332" s="96" t="s">
        <v>1392</v>
      </c>
    </row>
    <row r="1333" spans="6:7" ht="14.45" customHeight="1" outlineLevel="4" thickBot="1" x14ac:dyDescent="0.3">
      <c r="G1333" s="96" t="s">
        <v>1470</v>
      </c>
    </row>
    <row r="1334" spans="6:7" ht="14.45" customHeight="1" outlineLevel="4" thickBot="1" x14ac:dyDescent="0.3">
      <c r="G1334" s="96" t="s">
        <v>1471</v>
      </c>
    </row>
    <row r="1335" spans="6:7" ht="14.45" customHeight="1" outlineLevel="3" thickBot="1" x14ac:dyDescent="0.3">
      <c r="F1335" s="118" t="s">
        <v>1473</v>
      </c>
    </row>
    <row r="1336" spans="6:7" ht="14.45" customHeight="1" outlineLevel="4" thickBot="1" x14ac:dyDescent="0.3">
      <c r="G1336" s="96" t="s">
        <v>832</v>
      </c>
    </row>
    <row r="1337" spans="6:7" ht="14.45" customHeight="1" outlineLevel="4" thickBot="1" x14ac:dyDescent="0.3">
      <c r="G1337" s="96" t="s">
        <v>1392</v>
      </c>
    </row>
    <row r="1338" spans="6:7" ht="14.45" customHeight="1" outlineLevel="4" thickBot="1" x14ac:dyDescent="0.3">
      <c r="G1338" s="96" t="s">
        <v>1470</v>
      </c>
    </row>
    <row r="1339" spans="6:7" ht="14.45" customHeight="1" outlineLevel="4" thickBot="1" x14ac:dyDescent="0.3">
      <c r="G1339" s="96" t="s">
        <v>1471</v>
      </c>
    </row>
    <row r="1340" spans="6:7" ht="14.45" customHeight="1" outlineLevel="3" thickBot="1" x14ac:dyDescent="0.3">
      <c r="F1340" s="118" t="s">
        <v>1474</v>
      </c>
    </row>
    <row r="1341" spans="6:7" ht="14.45" customHeight="1" outlineLevel="4" thickBot="1" x14ac:dyDescent="0.3">
      <c r="G1341" s="96" t="s">
        <v>832</v>
      </c>
    </row>
    <row r="1342" spans="6:7" ht="14.45" customHeight="1" outlineLevel="4" thickBot="1" x14ac:dyDescent="0.3">
      <c r="G1342" s="96" t="s">
        <v>1475</v>
      </c>
    </row>
    <row r="1343" spans="6:7" ht="14.45" customHeight="1" outlineLevel="4" thickBot="1" x14ac:dyDescent="0.3">
      <c r="G1343" s="96" t="s">
        <v>1476</v>
      </c>
    </row>
    <row r="1344" spans="6:7" ht="14.45" customHeight="1" outlineLevel="4" thickBot="1" x14ac:dyDescent="0.3">
      <c r="G1344" s="96" t="s">
        <v>1477</v>
      </c>
    </row>
    <row r="1345" spans="4:7" ht="14.45" customHeight="1" outlineLevel="4" thickBot="1" x14ac:dyDescent="0.3">
      <c r="G1345" s="96" t="s">
        <v>1478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6" t="s">
        <v>90</v>
      </c>
      <c r="E1348" s="116"/>
    </row>
    <row r="1349" spans="4:7" ht="14.45" customHeight="1" outlineLevel="2" thickBot="1" x14ac:dyDescent="0.3">
      <c r="E1349" s="117" t="s">
        <v>1479</v>
      </c>
    </row>
    <row r="1350" spans="4:7" ht="14.45" customHeight="1" outlineLevel="3" thickBot="1" x14ac:dyDescent="0.3">
      <c r="F1350" s="118" t="s">
        <v>1480</v>
      </c>
    </row>
    <row r="1351" spans="4:7" ht="14.45" customHeight="1" outlineLevel="4" thickBot="1" x14ac:dyDescent="0.3"/>
    <row r="1352" spans="4:7" ht="14.45" customHeight="1" outlineLevel="3" thickBot="1" x14ac:dyDescent="0.3">
      <c r="F1352" s="118" t="s">
        <v>1481</v>
      </c>
    </row>
    <row r="1353" spans="4:7" ht="14.45" customHeight="1" outlineLevel="4" thickBot="1" x14ac:dyDescent="0.3">
      <c r="G1353" s="96" t="s">
        <v>1482</v>
      </c>
    </row>
    <row r="1354" spans="4:7" ht="14.45" customHeight="1" outlineLevel="4" thickBot="1" x14ac:dyDescent="0.3">
      <c r="G1354" s="96" t="s">
        <v>1483</v>
      </c>
    </row>
    <row r="1355" spans="4:7" ht="14.45" customHeight="1" outlineLevel="4" thickBot="1" x14ac:dyDescent="0.3">
      <c r="G1355" s="96" t="s">
        <v>1484</v>
      </c>
    </row>
    <row r="1356" spans="4:7" ht="14.45" customHeight="1" outlineLevel="3" thickBot="1" x14ac:dyDescent="0.3">
      <c r="F1356" s="118" t="s">
        <v>1485</v>
      </c>
    </row>
    <row r="1357" spans="4:7" ht="14.45" customHeight="1" outlineLevel="4" thickBot="1" x14ac:dyDescent="0.3">
      <c r="G1357" s="96" t="s">
        <v>1486</v>
      </c>
    </row>
    <row r="1358" spans="4:7" ht="14.45" customHeight="1" outlineLevel="4" thickBot="1" x14ac:dyDescent="0.3">
      <c r="G1358" s="96" t="s">
        <v>1487</v>
      </c>
    </row>
    <row r="1359" spans="4:7" ht="14.45" customHeight="1" outlineLevel="4" thickBot="1" x14ac:dyDescent="0.3">
      <c r="G1359" s="96" t="s">
        <v>1488</v>
      </c>
    </row>
    <row r="1360" spans="4:7" ht="14.45" customHeight="1" outlineLevel="3" thickBot="1" x14ac:dyDescent="0.3">
      <c r="F1360" s="118" t="s">
        <v>1489</v>
      </c>
    </row>
    <row r="1361" spans="5:7" ht="14.45" customHeight="1" outlineLevel="4" thickBot="1" x14ac:dyDescent="0.3">
      <c r="G1361" s="96" t="s">
        <v>1490</v>
      </c>
    </row>
    <row r="1362" spans="5:7" ht="14.45" customHeight="1" outlineLevel="4" thickBot="1" x14ac:dyDescent="0.3">
      <c r="G1362" s="96" t="s">
        <v>1491</v>
      </c>
    </row>
    <row r="1363" spans="5:7" ht="14.45" customHeight="1" outlineLevel="4" thickBot="1" x14ac:dyDescent="0.3">
      <c r="G1363" s="96" t="s">
        <v>1492</v>
      </c>
    </row>
    <row r="1364" spans="5:7" ht="14.45" customHeight="1" outlineLevel="4" thickBot="1" x14ac:dyDescent="0.3">
      <c r="G1364" s="96" t="s">
        <v>1493</v>
      </c>
    </row>
    <row r="1365" spans="5:7" ht="14.45" customHeight="1" outlineLevel="4" thickBot="1" x14ac:dyDescent="0.3">
      <c r="G1365" s="96" t="s">
        <v>1494</v>
      </c>
    </row>
    <row r="1366" spans="5:7" ht="14.45" customHeight="1" outlineLevel="3" thickBot="1" x14ac:dyDescent="0.3">
      <c r="F1366" s="118" t="s">
        <v>1495</v>
      </c>
    </row>
    <row r="1367" spans="5:7" ht="14.45" customHeight="1" outlineLevel="4" thickBot="1" x14ac:dyDescent="0.3"/>
    <row r="1368" spans="5:7" ht="14.45" customHeight="1" outlineLevel="3" thickBot="1" x14ac:dyDescent="0.3">
      <c r="F1368" s="118" t="s">
        <v>1496</v>
      </c>
    </row>
    <row r="1369" spans="5:7" ht="14.45" customHeight="1" outlineLevel="4" thickBot="1" x14ac:dyDescent="0.3">
      <c r="G1369" s="96" t="s">
        <v>1497</v>
      </c>
    </row>
    <row r="1370" spans="5:7" ht="14.45" customHeight="1" outlineLevel="4" thickBot="1" x14ac:dyDescent="0.3">
      <c r="G1370" s="96" t="s">
        <v>1498</v>
      </c>
    </row>
    <row r="1371" spans="5:7" ht="14.45" customHeight="1" outlineLevel="4" thickBot="1" x14ac:dyDescent="0.3">
      <c r="G1371" s="96" t="s">
        <v>1499</v>
      </c>
    </row>
    <row r="1372" spans="5:7" ht="14.45" customHeight="1" outlineLevel="3" thickBot="1" x14ac:dyDescent="0.3"/>
    <row r="1373" spans="5:7" ht="14.45" customHeight="1" outlineLevel="2" thickBot="1" x14ac:dyDescent="0.3">
      <c r="E1373" s="117" t="s">
        <v>1500</v>
      </c>
    </row>
    <row r="1374" spans="5:7" ht="14.45" customHeight="1" outlineLevel="3" thickBot="1" x14ac:dyDescent="0.3">
      <c r="F1374" s="118" t="s">
        <v>1501</v>
      </c>
    </row>
    <row r="1375" spans="5:7" ht="14.45" customHeight="1" outlineLevel="4" thickBot="1" x14ac:dyDescent="0.3"/>
    <row r="1376" spans="5:7" ht="14.45" customHeight="1" outlineLevel="3" thickBot="1" x14ac:dyDescent="0.3">
      <c r="F1376" s="118" t="s">
        <v>855</v>
      </c>
    </row>
    <row r="1377" spans="5:7" ht="14.45" customHeight="1" outlineLevel="4" thickBot="1" x14ac:dyDescent="0.3">
      <c r="G1377" s="96" t="s">
        <v>1490</v>
      </c>
    </row>
    <row r="1378" spans="5:7" ht="14.45" customHeight="1" outlineLevel="4" thickBot="1" x14ac:dyDescent="0.3">
      <c r="G1378" s="96" t="s">
        <v>1491</v>
      </c>
    </row>
    <row r="1379" spans="5:7" ht="14.45" customHeight="1" outlineLevel="4" thickBot="1" x14ac:dyDescent="0.3">
      <c r="G1379" s="96" t="s">
        <v>1502</v>
      </c>
    </row>
    <row r="1380" spans="5:7" ht="14.45" customHeight="1" outlineLevel="4" thickBot="1" x14ac:dyDescent="0.3">
      <c r="G1380" s="96" t="s">
        <v>1503</v>
      </c>
    </row>
    <row r="1381" spans="5:7" ht="14.45" customHeight="1" outlineLevel="4" thickBot="1" x14ac:dyDescent="0.3">
      <c r="G1381" s="96" t="s">
        <v>1504</v>
      </c>
    </row>
    <row r="1382" spans="5:7" ht="14.45" customHeight="1" outlineLevel="3" thickBot="1" x14ac:dyDescent="0.3">
      <c r="F1382" s="118" t="s">
        <v>856</v>
      </c>
    </row>
    <row r="1383" spans="5:7" ht="14.45" customHeight="1" outlineLevel="4" thickBot="1" x14ac:dyDescent="0.3"/>
    <row r="1384" spans="5:7" ht="14.45" customHeight="1" outlineLevel="3" thickBot="1" x14ac:dyDescent="0.3">
      <c r="F1384" s="118" t="s">
        <v>1505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7" t="s">
        <v>1506</v>
      </c>
    </row>
    <row r="1388" spans="5:7" ht="14.45" customHeight="1" outlineLevel="3" thickBot="1" x14ac:dyDescent="0.3">
      <c r="F1388" s="118" t="s">
        <v>1507</v>
      </c>
    </row>
    <row r="1389" spans="5:7" ht="14.45" customHeight="1" outlineLevel="4" thickBot="1" x14ac:dyDescent="0.3">
      <c r="G1389" s="96" t="s">
        <v>1508</v>
      </c>
    </row>
    <row r="1390" spans="5:7" ht="14.45" customHeight="1" outlineLevel="4" thickBot="1" x14ac:dyDescent="0.3">
      <c r="G1390" s="96" t="s">
        <v>1509</v>
      </c>
    </row>
    <row r="1391" spans="5:7" ht="14.45" customHeight="1" outlineLevel="3" thickBot="1" x14ac:dyDescent="0.3">
      <c r="F1391" s="118" t="s">
        <v>1510</v>
      </c>
    </row>
    <row r="1392" spans="5:7" ht="14.45" customHeight="1" outlineLevel="4" thickBot="1" x14ac:dyDescent="0.3">
      <c r="G1392" s="96" t="s">
        <v>1511</v>
      </c>
    </row>
    <row r="1393" spans="6:7" ht="14.45" customHeight="1" outlineLevel="4" thickBot="1" x14ac:dyDescent="0.3">
      <c r="G1393" s="96" t="s">
        <v>1512</v>
      </c>
    </row>
    <row r="1394" spans="6:7" ht="14.45" customHeight="1" outlineLevel="3" thickBot="1" x14ac:dyDescent="0.3">
      <c r="F1394" s="118" t="s">
        <v>1513</v>
      </c>
    </row>
    <row r="1395" spans="6:7" ht="14.45" customHeight="1" outlineLevel="4" thickBot="1" x14ac:dyDescent="0.3">
      <c r="G1395" s="96" t="s">
        <v>1514</v>
      </c>
    </row>
    <row r="1396" spans="6:7" ht="14.45" customHeight="1" outlineLevel="4" thickBot="1" x14ac:dyDescent="0.3">
      <c r="G1396" s="96" t="s">
        <v>1515</v>
      </c>
    </row>
    <row r="1397" spans="6:7" ht="14.45" customHeight="1" outlineLevel="3" thickBot="1" x14ac:dyDescent="0.3">
      <c r="F1397" s="118" t="s">
        <v>1516</v>
      </c>
    </row>
    <row r="1398" spans="6:7" ht="14.45" customHeight="1" outlineLevel="4" thickBot="1" x14ac:dyDescent="0.3">
      <c r="G1398" s="96" t="s">
        <v>1490</v>
      </c>
    </row>
    <row r="1399" spans="6:7" ht="14.45" customHeight="1" outlineLevel="4" thickBot="1" x14ac:dyDescent="0.3">
      <c r="G1399" s="96" t="s">
        <v>1517</v>
      </c>
    </row>
    <row r="1400" spans="6:7" ht="14.45" customHeight="1" outlineLevel="4" thickBot="1" x14ac:dyDescent="0.3">
      <c r="G1400" s="96" t="s">
        <v>1518</v>
      </c>
    </row>
    <row r="1401" spans="6:7" ht="14.45" customHeight="1" outlineLevel="4" thickBot="1" x14ac:dyDescent="0.3">
      <c r="G1401" s="96" t="s">
        <v>1519</v>
      </c>
    </row>
    <row r="1402" spans="6:7" ht="14.45" customHeight="1" outlineLevel="4" thickBot="1" x14ac:dyDescent="0.3">
      <c r="G1402" s="96" t="s">
        <v>1520</v>
      </c>
    </row>
    <row r="1403" spans="6:7" ht="14.45" customHeight="1" outlineLevel="3" thickBot="1" x14ac:dyDescent="0.3">
      <c r="F1403" s="118" t="s">
        <v>1521</v>
      </c>
    </row>
    <row r="1404" spans="6:7" ht="14.45" customHeight="1" outlineLevel="4" thickBot="1" x14ac:dyDescent="0.3">
      <c r="G1404" s="96" t="s">
        <v>1522</v>
      </c>
    </row>
    <row r="1405" spans="6:7" ht="14.45" customHeight="1" outlineLevel="4" thickBot="1" x14ac:dyDescent="0.3">
      <c r="G1405" s="96" t="s">
        <v>1523</v>
      </c>
    </row>
    <row r="1406" spans="6:7" ht="14.45" customHeight="1" outlineLevel="3" thickBot="1" x14ac:dyDescent="0.3">
      <c r="F1406" s="118" t="s">
        <v>1524</v>
      </c>
    </row>
    <row r="1407" spans="6:7" ht="14.45" customHeight="1" outlineLevel="4" thickBot="1" x14ac:dyDescent="0.3">
      <c r="G1407" s="96" t="s">
        <v>1525</v>
      </c>
    </row>
    <row r="1408" spans="6:7" ht="14.45" customHeight="1" outlineLevel="4" thickBot="1" x14ac:dyDescent="0.3">
      <c r="G1408" s="96" t="s">
        <v>1526</v>
      </c>
    </row>
    <row r="1409" spans="3:7" ht="14.45" customHeight="1" outlineLevel="4" thickBot="1" x14ac:dyDescent="0.3">
      <c r="G1409" s="96" t="s">
        <v>1527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5" t="s">
        <v>1528</v>
      </c>
      <c r="D1413" s="115"/>
    </row>
    <row r="1414" spans="3:7" ht="14.45" customHeight="1" outlineLevel="1" thickBot="1" x14ac:dyDescent="0.3">
      <c r="D1414" s="116" t="s">
        <v>92</v>
      </c>
      <c r="E1414" s="116"/>
    </row>
    <row r="1415" spans="3:7" ht="14.45" customHeight="1" outlineLevel="2" thickBot="1" x14ac:dyDescent="0.3">
      <c r="E1415" s="117" t="s">
        <v>1529</v>
      </c>
    </row>
    <row r="1416" spans="3:7" ht="14.45" customHeight="1" outlineLevel="3" thickBot="1" x14ac:dyDescent="0.3">
      <c r="F1416" s="118" t="s">
        <v>785</v>
      </c>
    </row>
    <row r="1417" spans="3:7" ht="14.45" customHeight="1" outlineLevel="4" thickBot="1" x14ac:dyDescent="0.3">
      <c r="G1417" s="96" t="s">
        <v>1530</v>
      </c>
    </row>
    <row r="1418" spans="3:7" ht="14.45" customHeight="1" outlineLevel="4" thickBot="1" x14ac:dyDescent="0.3">
      <c r="G1418" s="96" t="s">
        <v>1509</v>
      </c>
    </row>
    <row r="1419" spans="3:7" ht="14.45" customHeight="1" outlineLevel="4" thickBot="1" x14ac:dyDescent="0.3">
      <c r="G1419" s="96" t="s">
        <v>1531</v>
      </c>
    </row>
    <row r="1420" spans="3:7" ht="14.45" customHeight="1" outlineLevel="3" thickBot="1" x14ac:dyDescent="0.3">
      <c r="F1420" s="118" t="s">
        <v>1532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7" t="s">
        <v>1533</v>
      </c>
    </row>
    <row r="1424" spans="3:7" ht="14.45" customHeight="1" outlineLevel="3" thickBot="1" x14ac:dyDescent="0.3">
      <c r="F1424" s="118" t="s">
        <v>1534</v>
      </c>
    </row>
    <row r="1425" spans="5:7" ht="14.45" customHeight="1" outlineLevel="4" thickBot="1" x14ac:dyDescent="0.3"/>
    <row r="1426" spans="5:7" ht="14.45" customHeight="1" outlineLevel="3" thickBot="1" x14ac:dyDescent="0.3">
      <c r="F1426" s="118" t="s">
        <v>1535</v>
      </c>
    </row>
    <row r="1427" spans="5:7" ht="14.45" customHeight="1" outlineLevel="4" thickBot="1" x14ac:dyDescent="0.3">
      <c r="G1427" s="96" t="s">
        <v>832</v>
      </c>
    </row>
    <row r="1428" spans="5:7" ht="14.45" customHeight="1" outlineLevel="4" thickBot="1" x14ac:dyDescent="0.3">
      <c r="G1428" s="96" t="s">
        <v>1536</v>
      </c>
    </row>
    <row r="1429" spans="5:7" ht="14.45" customHeight="1" outlineLevel="3" thickBot="1" x14ac:dyDescent="0.3">
      <c r="F1429" s="118" t="s">
        <v>1537</v>
      </c>
    </row>
    <row r="1430" spans="5:7" ht="14.45" customHeight="1" outlineLevel="4" thickBot="1" x14ac:dyDescent="0.3">
      <c r="G1430" s="96" t="s">
        <v>1538</v>
      </c>
    </row>
    <row r="1431" spans="5:7" ht="14.45" customHeight="1" outlineLevel="4" thickBot="1" x14ac:dyDescent="0.3">
      <c r="G1431" s="96" t="s">
        <v>1539</v>
      </c>
    </row>
    <row r="1432" spans="5:7" ht="14.45" customHeight="1" outlineLevel="4" thickBot="1" x14ac:dyDescent="0.3">
      <c r="G1432" s="96" t="s">
        <v>1540</v>
      </c>
    </row>
    <row r="1433" spans="5:7" ht="14.45" customHeight="1" outlineLevel="3" thickBot="1" x14ac:dyDescent="0.3"/>
    <row r="1434" spans="5:7" ht="14.45" customHeight="1" outlineLevel="2" thickBot="1" x14ac:dyDescent="0.3">
      <c r="E1434" s="117" t="s">
        <v>1541</v>
      </c>
    </row>
    <row r="1435" spans="5:7" ht="14.45" customHeight="1" outlineLevel="3" thickBot="1" x14ac:dyDescent="0.3">
      <c r="F1435" s="118" t="s">
        <v>785</v>
      </c>
    </row>
    <row r="1436" spans="5:7" ht="14.45" customHeight="1" outlineLevel="4" thickBot="1" x14ac:dyDescent="0.3"/>
    <row r="1437" spans="5:7" ht="14.45" customHeight="1" outlineLevel="3" thickBot="1" x14ac:dyDescent="0.3">
      <c r="F1437" s="118" t="s">
        <v>1542</v>
      </c>
    </row>
    <row r="1438" spans="5:7" ht="14.45" customHeight="1" outlineLevel="4" thickBot="1" x14ac:dyDescent="0.3">
      <c r="G1438" s="96" t="s">
        <v>832</v>
      </c>
    </row>
    <row r="1439" spans="5:7" ht="14.45" customHeight="1" outlineLevel="4" thickBot="1" x14ac:dyDescent="0.3">
      <c r="G1439" s="96" t="s">
        <v>1543</v>
      </c>
    </row>
    <row r="1440" spans="5:7" ht="14.45" customHeight="1" outlineLevel="4" thickBot="1" x14ac:dyDescent="0.3">
      <c r="G1440" s="96" t="s">
        <v>1544</v>
      </c>
    </row>
    <row r="1441" spans="5:7" ht="14.45" customHeight="1" outlineLevel="3" thickBot="1" x14ac:dyDescent="0.3">
      <c r="F1441" s="118" t="s">
        <v>1545</v>
      </c>
    </row>
    <row r="1442" spans="5:7" ht="14.45" customHeight="1" outlineLevel="4" thickBot="1" x14ac:dyDescent="0.3">
      <c r="G1442" s="96" t="s">
        <v>832</v>
      </c>
    </row>
    <row r="1443" spans="5:7" ht="14.45" customHeight="1" outlineLevel="4" thickBot="1" x14ac:dyDescent="0.3">
      <c r="G1443" s="96" t="s">
        <v>1543</v>
      </c>
    </row>
    <row r="1444" spans="5:7" ht="14.45" customHeight="1" outlineLevel="4" thickBot="1" x14ac:dyDescent="0.3">
      <c r="G1444" s="96" t="s">
        <v>1544</v>
      </c>
    </row>
    <row r="1445" spans="5:7" ht="14.45" customHeight="1" outlineLevel="3" thickBot="1" x14ac:dyDescent="0.3"/>
    <row r="1446" spans="5:7" ht="14.45" customHeight="1" outlineLevel="2" thickBot="1" x14ac:dyDescent="0.3">
      <c r="E1446" s="117" t="s">
        <v>1546</v>
      </c>
    </row>
    <row r="1447" spans="5:7" ht="14.45" customHeight="1" outlineLevel="3" thickBot="1" x14ac:dyDescent="0.3">
      <c r="F1447" s="118" t="s">
        <v>785</v>
      </c>
    </row>
    <row r="1448" spans="5:7" ht="14.45" customHeight="1" outlineLevel="4" thickBot="1" x14ac:dyDescent="0.3">
      <c r="G1448" s="96" t="s">
        <v>1547</v>
      </c>
    </row>
    <row r="1449" spans="5:7" ht="14.45" customHeight="1" outlineLevel="4" thickBot="1" x14ac:dyDescent="0.3">
      <c r="G1449" s="96" t="s">
        <v>1509</v>
      </c>
    </row>
    <row r="1450" spans="5:7" ht="14.45" customHeight="1" outlineLevel="3" thickBot="1" x14ac:dyDescent="0.3">
      <c r="F1450" s="118" t="s">
        <v>1548</v>
      </c>
    </row>
    <row r="1451" spans="5:7" ht="14.45" customHeight="1" outlineLevel="4" thickBot="1" x14ac:dyDescent="0.3">
      <c r="G1451" s="96" t="s">
        <v>1549</v>
      </c>
    </row>
    <row r="1452" spans="5:7" ht="14.45" customHeight="1" outlineLevel="4" thickBot="1" x14ac:dyDescent="0.3">
      <c r="G1452" s="96" t="s">
        <v>1550</v>
      </c>
    </row>
    <row r="1453" spans="5:7" ht="14.45" customHeight="1" outlineLevel="4" thickBot="1" x14ac:dyDescent="0.3">
      <c r="G1453" s="96" t="s">
        <v>1551</v>
      </c>
    </row>
    <row r="1454" spans="5:7" ht="14.45" customHeight="1" outlineLevel="3" thickBot="1" x14ac:dyDescent="0.3">
      <c r="F1454" s="118" t="s">
        <v>1552</v>
      </c>
    </row>
    <row r="1455" spans="5:7" ht="14.45" customHeight="1" outlineLevel="4" thickBot="1" x14ac:dyDescent="0.3">
      <c r="G1455" s="96" t="s">
        <v>1553</v>
      </c>
    </row>
    <row r="1456" spans="5:7" ht="14.45" customHeight="1" outlineLevel="4" thickBot="1" x14ac:dyDescent="0.3">
      <c r="G1456" s="96" t="s">
        <v>1554</v>
      </c>
    </row>
    <row r="1457" spans="5:7" ht="14.45" customHeight="1" outlineLevel="3" thickBot="1" x14ac:dyDescent="0.3">
      <c r="F1457" s="118" t="s">
        <v>1555</v>
      </c>
    </row>
    <row r="1458" spans="5:7" ht="14.45" customHeight="1" outlineLevel="4" thickBot="1" x14ac:dyDescent="0.3">
      <c r="G1458" s="96" t="s">
        <v>1556</v>
      </c>
    </row>
    <row r="1459" spans="5:7" ht="14.45" customHeight="1" outlineLevel="4" thickBot="1" x14ac:dyDescent="0.3">
      <c r="G1459" s="96" t="s">
        <v>1557</v>
      </c>
    </row>
    <row r="1460" spans="5:7" ht="14.45" customHeight="1" outlineLevel="4" thickBot="1" x14ac:dyDescent="0.3">
      <c r="G1460" s="96" t="s">
        <v>1558</v>
      </c>
    </row>
    <row r="1461" spans="5:7" ht="14.45" customHeight="1" outlineLevel="4" thickBot="1" x14ac:dyDescent="0.3">
      <c r="G1461" s="96" t="s">
        <v>1559</v>
      </c>
    </row>
    <row r="1462" spans="5:7" ht="14.45" customHeight="1" outlineLevel="4" thickBot="1" x14ac:dyDescent="0.3">
      <c r="G1462" s="96" t="s">
        <v>1560</v>
      </c>
    </row>
    <row r="1463" spans="5:7" ht="14.45" customHeight="1" outlineLevel="3" thickBot="1" x14ac:dyDescent="0.3"/>
    <row r="1464" spans="5:7" ht="14.45" customHeight="1" outlineLevel="2" thickBot="1" x14ac:dyDescent="0.3">
      <c r="E1464" s="117" t="s">
        <v>1561</v>
      </c>
    </row>
    <row r="1465" spans="5:7" ht="14.45" customHeight="1" outlineLevel="3" thickBot="1" x14ac:dyDescent="0.3">
      <c r="F1465" s="118" t="s">
        <v>785</v>
      </c>
    </row>
    <row r="1466" spans="5:7" ht="14.45" customHeight="1" outlineLevel="4" thickBot="1" x14ac:dyDescent="0.3"/>
    <row r="1467" spans="5:7" ht="14.45" customHeight="1" outlineLevel="3" thickBot="1" x14ac:dyDescent="0.3">
      <c r="F1467" s="118" t="s">
        <v>1562</v>
      </c>
    </row>
    <row r="1468" spans="5:7" ht="14.45" customHeight="1" outlineLevel="4" thickBot="1" x14ac:dyDescent="0.3">
      <c r="G1468" s="96" t="s">
        <v>942</v>
      </c>
    </row>
    <row r="1469" spans="5:7" ht="14.45" customHeight="1" outlineLevel="4" thickBot="1" x14ac:dyDescent="0.3">
      <c r="G1469" s="96" t="s">
        <v>943</v>
      </c>
    </row>
    <row r="1470" spans="5:7" ht="14.45" customHeight="1" outlineLevel="4" thickBot="1" x14ac:dyDescent="0.3">
      <c r="G1470" s="96" t="s">
        <v>944</v>
      </c>
    </row>
    <row r="1471" spans="5:7" ht="14.45" customHeight="1" outlineLevel="3" thickBot="1" x14ac:dyDescent="0.3"/>
    <row r="1472" spans="5:7" ht="14.45" customHeight="1" outlineLevel="2" thickBot="1" x14ac:dyDescent="0.3">
      <c r="E1472" s="117" t="s">
        <v>1563</v>
      </c>
    </row>
    <row r="1473" spans="6:7" ht="14.45" customHeight="1" outlineLevel="3" thickBot="1" x14ac:dyDescent="0.3">
      <c r="F1473" s="118" t="s">
        <v>1564</v>
      </c>
    </row>
    <row r="1474" spans="6:7" ht="14.45" customHeight="1" outlineLevel="4" thickBot="1" x14ac:dyDescent="0.3">
      <c r="G1474" s="96" t="s">
        <v>1530</v>
      </c>
    </row>
    <row r="1475" spans="6:7" ht="14.45" customHeight="1" outlineLevel="4" thickBot="1" x14ac:dyDescent="0.3">
      <c r="G1475" s="96" t="s">
        <v>1509</v>
      </c>
    </row>
    <row r="1476" spans="6:7" ht="14.45" customHeight="1" outlineLevel="3" thickBot="1" x14ac:dyDescent="0.3">
      <c r="F1476" s="118" t="s">
        <v>1565</v>
      </c>
    </row>
    <row r="1477" spans="6:7" ht="14.45" customHeight="1" outlineLevel="4" thickBot="1" x14ac:dyDescent="0.3">
      <c r="G1477" s="96" t="s">
        <v>1566</v>
      </c>
    </row>
    <row r="1478" spans="6:7" ht="14.45" customHeight="1" outlineLevel="4" thickBot="1" x14ac:dyDescent="0.3">
      <c r="G1478" s="96" t="s">
        <v>1567</v>
      </c>
    </row>
    <row r="1479" spans="6:7" ht="14.45" customHeight="1" outlineLevel="4" thickBot="1" x14ac:dyDescent="0.3">
      <c r="G1479" s="96" t="s">
        <v>1568</v>
      </c>
    </row>
    <row r="1480" spans="6:7" ht="14.45" customHeight="1" outlineLevel="3" thickBot="1" x14ac:dyDescent="0.3">
      <c r="F1480" s="118" t="s">
        <v>1569</v>
      </c>
    </row>
    <row r="1481" spans="6:7" ht="14.45" customHeight="1" outlineLevel="4" thickBot="1" x14ac:dyDescent="0.3">
      <c r="G1481" s="96" t="s">
        <v>832</v>
      </c>
    </row>
    <row r="1482" spans="6:7" ht="14.45" customHeight="1" outlineLevel="4" thickBot="1" x14ac:dyDescent="0.3">
      <c r="G1482" s="96" t="s">
        <v>1570</v>
      </c>
    </row>
    <row r="1483" spans="6:7" ht="14.45" customHeight="1" outlineLevel="3" thickBot="1" x14ac:dyDescent="0.3">
      <c r="F1483" s="118" t="s">
        <v>1571</v>
      </c>
    </row>
    <row r="1484" spans="6:7" ht="14.45" customHeight="1" outlineLevel="4" thickBot="1" x14ac:dyDescent="0.3">
      <c r="G1484" s="96" t="s">
        <v>1572</v>
      </c>
    </row>
    <row r="1485" spans="6:7" ht="14.45" customHeight="1" outlineLevel="4" thickBot="1" x14ac:dyDescent="0.3">
      <c r="G1485" s="96" t="s">
        <v>1573</v>
      </c>
    </row>
    <row r="1486" spans="6:7" ht="14.45" customHeight="1" outlineLevel="3" thickBot="1" x14ac:dyDescent="0.3">
      <c r="F1486" s="118" t="s">
        <v>1574</v>
      </c>
    </row>
    <row r="1487" spans="6:7" ht="14.45" customHeight="1" outlineLevel="4" thickBot="1" x14ac:dyDescent="0.3">
      <c r="G1487" s="96" t="s">
        <v>936</v>
      </c>
    </row>
    <row r="1488" spans="6:7" ht="14.45" customHeight="1" outlineLevel="4" thickBot="1" x14ac:dyDescent="0.3">
      <c r="G1488" s="96" t="s">
        <v>1575</v>
      </c>
    </row>
    <row r="1489" spans="4:7" ht="14.45" customHeight="1" outlineLevel="3" thickBot="1" x14ac:dyDescent="0.3">
      <c r="F1489" s="118" t="s">
        <v>1576</v>
      </c>
    </row>
    <row r="1490" spans="4:7" ht="14.45" customHeight="1" outlineLevel="4" thickBot="1" x14ac:dyDescent="0.3">
      <c r="G1490" s="96" t="s">
        <v>1577</v>
      </c>
    </row>
    <row r="1491" spans="4:7" ht="14.45" customHeight="1" outlineLevel="4" thickBot="1" x14ac:dyDescent="0.3">
      <c r="G1491" s="96" t="s">
        <v>1578</v>
      </c>
    </row>
    <row r="1492" spans="4:7" ht="14.45" customHeight="1" outlineLevel="4" thickBot="1" x14ac:dyDescent="0.3">
      <c r="G1492" s="96" t="s">
        <v>1579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6" t="s">
        <v>94</v>
      </c>
      <c r="E1495" s="116"/>
    </row>
    <row r="1496" spans="4:7" ht="14.45" customHeight="1" outlineLevel="2" thickBot="1" x14ac:dyDescent="0.3">
      <c r="E1496" s="117" t="s">
        <v>1580</v>
      </c>
    </row>
    <row r="1497" spans="4:7" ht="14.45" customHeight="1" outlineLevel="3" thickBot="1" x14ac:dyDescent="0.3">
      <c r="F1497" s="118" t="s">
        <v>1581</v>
      </c>
    </row>
    <row r="1498" spans="4:7" ht="14.45" customHeight="1" outlineLevel="4" thickBot="1" x14ac:dyDescent="0.3">
      <c r="G1498" s="96" t="s">
        <v>1530</v>
      </c>
    </row>
    <row r="1499" spans="4:7" ht="14.45" customHeight="1" outlineLevel="4" thickBot="1" x14ac:dyDescent="0.3">
      <c r="G1499" s="96" t="s">
        <v>1509</v>
      </c>
    </row>
    <row r="1500" spans="4:7" ht="14.45" customHeight="1" outlineLevel="3" thickBot="1" x14ac:dyDescent="0.3">
      <c r="F1500" s="118" t="s">
        <v>855</v>
      </c>
    </row>
    <row r="1501" spans="4:7" ht="14.45" customHeight="1" outlineLevel="4" thickBot="1" x14ac:dyDescent="0.3">
      <c r="G1501" s="96" t="s">
        <v>1582</v>
      </c>
    </row>
    <row r="1502" spans="4:7" ht="14.45" customHeight="1" outlineLevel="4" thickBot="1" x14ac:dyDescent="0.3">
      <c r="G1502" s="96" t="s">
        <v>1583</v>
      </c>
    </row>
    <row r="1503" spans="4:7" ht="14.45" customHeight="1" outlineLevel="4" thickBot="1" x14ac:dyDescent="0.3">
      <c r="G1503" s="96" t="s">
        <v>1584</v>
      </c>
    </row>
    <row r="1504" spans="4:7" ht="14.45" customHeight="1" outlineLevel="4" thickBot="1" x14ac:dyDescent="0.3">
      <c r="G1504" s="96" t="s">
        <v>1585</v>
      </c>
    </row>
    <row r="1505" spans="5:7" ht="14.45" customHeight="1" outlineLevel="4" thickBot="1" x14ac:dyDescent="0.3">
      <c r="G1505" s="96" t="s">
        <v>1586</v>
      </c>
    </row>
    <row r="1506" spans="5:7" ht="14.45" customHeight="1" outlineLevel="3" thickBot="1" x14ac:dyDescent="0.3">
      <c r="F1506" s="118" t="s">
        <v>1587</v>
      </c>
    </row>
    <row r="1507" spans="5:7" ht="14.45" customHeight="1" outlineLevel="4" thickBot="1" x14ac:dyDescent="0.3">
      <c r="G1507" s="96" t="s">
        <v>1588</v>
      </c>
    </row>
    <row r="1508" spans="5:7" ht="14.45" customHeight="1" outlineLevel="4" thickBot="1" x14ac:dyDescent="0.3">
      <c r="G1508" s="96" t="s">
        <v>1589</v>
      </c>
    </row>
    <row r="1509" spans="5:7" ht="14.45" customHeight="1" outlineLevel="4" thickBot="1" x14ac:dyDescent="0.3">
      <c r="G1509" s="96" t="s">
        <v>1590</v>
      </c>
    </row>
    <row r="1510" spans="5:7" ht="14.45" customHeight="1" outlineLevel="3" thickBot="1" x14ac:dyDescent="0.3">
      <c r="F1510" s="118" t="s">
        <v>1591</v>
      </c>
    </row>
    <row r="1511" spans="5:7" ht="14.45" customHeight="1" outlineLevel="4" thickBot="1" x14ac:dyDescent="0.3">
      <c r="G1511" s="96" t="s">
        <v>1592</v>
      </c>
    </row>
    <row r="1512" spans="5:7" ht="14.45" customHeight="1" outlineLevel="4" thickBot="1" x14ac:dyDescent="0.3">
      <c r="G1512" s="96" t="s">
        <v>1593</v>
      </c>
    </row>
    <row r="1513" spans="5:7" ht="14.45" customHeight="1" outlineLevel="3" thickBot="1" x14ac:dyDescent="0.3">
      <c r="F1513" s="118" t="s">
        <v>1594</v>
      </c>
    </row>
    <row r="1514" spans="5:7" ht="14.45" customHeight="1" outlineLevel="4" thickBot="1" x14ac:dyDescent="0.3">
      <c r="G1514" s="96" t="s">
        <v>832</v>
      </c>
    </row>
    <row r="1515" spans="5:7" ht="14.45" customHeight="1" outlineLevel="4" thickBot="1" x14ac:dyDescent="0.3">
      <c r="G1515" s="96" t="s">
        <v>1595</v>
      </c>
    </row>
    <row r="1516" spans="5:7" ht="14.45" customHeight="1" outlineLevel="4" thickBot="1" x14ac:dyDescent="0.3">
      <c r="G1516" s="96" t="s">
        <v>1596</v>
      </c>
    </row>
    <row r="1517" spans="5:7" ht="14.45" customHeight="1" outlineLevel="4" thickBot="1" x14ac:dyDescent="0.3">
      <c r="G1517" s="96" t="s">
        <v>1597</v>
      </c>
    </row>
    <row r="1518" spans="5:7" ht="14.45" customHeight="1" outlineLevel="3" thickBot="1" x14ac:dyDescent="0.3"/>
    <row r="1519" spans="5:7" ht="14.45" customHeight="1" outlineLevel="2" thickBot="1" x14ac:dyDescent="0.3">
      <c r="E1519" s="117" t="s">
        <v>1598</v>
      </c>
    </row>
    <row r="1520" spans="5:7" ht="14.45" customHeight="1" outlineLevel="3" thickBot="1" x14ac:dyDescent="0.3">
      <c r="F1520" s="118" t="s">
        <v>1599</v>
      </c>
    </row>
    <row r="1521" spans="5:7" ht="14.45" customHeight="1" outlineLevel="4" thickBot="1" x14ac:dyDescent="0.3">
      <c r="G1521" s="96" t="s">
        <v>1530</v>
      </c>
    </row>
    <row r="1522" spans="5:7" ht="14.45" customHeight="1" outlineLevel="4" thickBot="1" x14ac:dyDescent="0.3">
      <c r="G1522" s="96" t="s">
        <v>1509</v>
      </c>
    </row>
    <row r="1523" spans="5:7" ht="14.45" customHeight="1" outlineLevel="3" thickBot="1" x14ac:dyDescent="0.3">
      <c r="F1523" s="118" t="s">
        <v>1600</v>
      </c>
    </row>
    <row r="1524" spans="5:7" ht="14.45" customHeight="1" outlineLevel="4" thickBot="1" x14ac:dyDescent="0.3"/>
    <row r="1525" spans="5:7" ht="14.45" customHeight="1" outlineLevel="3" thickBot="1" x14ac:dyDescent="0.3">
      <c r="F1525" s="118" t="s">
        <v>1601</v>
      </c>
    </row>
    <row r="1526" spans="5:7" ht="14.45" customHeight="1" outlineLevel="4" thickBot="1" x14ac:dyDescent="0.3">
      <c r="G1526" s="96" t="s">
        <v>1602</v>
      </c>
    </row>
    <row r="1527" spans="5:7" ht="14.45" customHeight="1" outlineLevel="4" thickBot="1" x14ac:dyDescent="0.3">
      <c r="G1527" s="96" t="s">
        <v>1364</v>
      </c>
    </row>
    <row r="1528" spans="5:7" ht="14.45" customHeight="1" outlineLevel="3" thickBot="1" x14ac:dyDescent="0.3"/>
    <row r="1529" spans="5:7" ht="14.45" customHeight="1" outlineLevel="2" thickBot="1" x14ac:dyDescent="0.3">
      <c r="E1529" s="117" t="s">
        <v>1603</v>
      </c>
    </row>
    <row r="1530" spans="5:7" ht="14.45" customHeight="1" outlineLevel="3" thickBot="1" x14ac:dyDescent="0.3">
      <c r="F1530" s="118" t="s">
        <v>1604</v>
      </c>
    </row>
    <row r="1531" spans="5:7" ht="14.45" customHeight="1" outlineLevel="4" thickBot="1" x14ac:dyDescent="0.3">
      <c r="G1531" s="96" t="s">
        <v>1530</v>
      </c>
    </row>
    <row r="1532" spans="5:7" ht="14.45" customHeight="1" outlineLevel="4" thickBot="1" x14ac:dyDescent="0.3">
      <c r="G1532" s="96" t="s">
        <v>1509</v>
      </c>
    </row>
    <row r="1533" spans="5:7" ht="14.45" customHeight="1" outlineLevel="3" thickBot="1" x14ac:dyDescent="0.3">
      <c r="F1533" s="118" t="s">
        <v>855</v>
      </c>
    </row>
    <row r="1534" spans="5:7" ht="14.45" customHeight="1" outlineLevel="4" thickBot="1" x14ac:dyDescent="0.3">
      <c r="G1534" s="96" t="s">
        <v>1582</v>
      </c>
    </row>
    <row r="1535" spans="5:7" ht="14.45" customHeight="1" outlineLevel="4" thickBot="1" x14ac:dyDescent="0.3">
      <c r="G1535" s="96" t="s">
        <v>1605</v>
      </c>
    </row>
    <row r="1536" spans="5:7" ht="14.45" customHeight="1" outlineLevel="4" thickBot="1" x14ac:dyDescent="0.3">
      <c r="G1536" s="96" t="s">
        <v>1606</v>
      </c>
    </row>
    <row r="1537" spans="5:7" ht="14.45" customHeight="1" outlineLevel="3" thickBot="1" x14ac:dyDescent="0.3">
      <c r="F1537" s="118" t="s">
        <v>1607</v>
      </c>
    </row>
    <row r="1538" spans="5:7" ht="14.45" customHeight="1" outlineLevel="4" thickBot="1" x14ac:dyDescent="0.3"/>
    <row r="1539" spans="5:7" ht="14.45" customHeight="1" outlineLevel="3" thickBot="1" x14ac:dyDescent="0.3">
      <c r="F1539" s="118" t="s">
        <v>1591</v>
      </c>
    </row>
    <row r="1540" spans="5:7" ht="14.45" customHeight="1" outlineLevel="4" thickBot="1" x14ac:dyDescent="0.3">
      <c r="G1540" s="96" t="s">
        <v>1608</v>
      </c>
    </row>
    <row r="1541" spans="5:7" ht="14.45" customHeight="1" outlineLevel="4" thickBot="1" x14ac:dyDescent="0.3">
      <c r="G1541" s="96" t="s">
        <v>1593</v>
      </c>
    </row>
    <row r="1542" spans="5:7" ht="14.45" customHeight="1" outlineLevel="4" thickBot="1" x14ac:dyDescent="0.3">
      <c r="G1542" s="96" t="s">
        <v>1609</v>
      </c>
    </row>
    <row r="1543" spans="5:7" ht="14.45" customHeight="1" outlineLevel="3" thickBot="1" x14ac:dyDescent="0.3">
      <c r="F1543" s="118" t="s">
        <v>1610</v>
      </c>
    </row>
    <row r="1544" spans="5:7" ht="14.45" customHeight="1" outlineLevel="4" thickBot="1" x14ac:dyDescent="0.3">
      <c r="G1544" s="96" t="s">
        <v>1611</v>
      </c>
    </row>
    <row r="1545" spans="5:7" ht="14.45" customHeight="1" outlineLevel="4" thickBot="1" x14ac:dyDescent="0.3">
      <c r="G1545" s="96" t="s">
        <v>1612</v>
      </c>
    </row>
    <row r="1546" spans="5:7" ht="14.45" customHeight="1" outlineLevel="4" thickBot="1" x14ac:dyDescent="0.3">
      <c r="G1546" s="96" t="s">
        <v>1613</v>
      </c>
    </row>
    <row r="1547" spans="5:7" ht="14.45" customHeight="1" outlineLevel="3" thickBot="1" x14ac:dyDescent="0.3">
      <c r="F1547" s="118" t="s">
        <v>1614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7" t="s">
        <v>1615</v>
      </c>
    </row>
    <row r="1551" spans="5:7" ht="14.45" customHeight="1" outlineLevel="3" thickBot="1" x14ac:dyDescent="0.3">
      <c r="F1551" s="118" t="s">
        <v>1616</v>
      </c>
    </row>
    <row r="1552" spans="5:7" ht="14.45" customHeight="1" outlineLevel="4" thickBot="1" x14ac:dyDescent="0.3">
      <c r="G1552" s="96" t="s">
        <v>1530</v>
      </c>
    </row>
    <row r="1553" spans="5:7" ht="14.45" customHeight="1" outlineLevel="4" thickBot="1" x14ac:dyDescent="0.3">
      <c r="G1553" s="96" t="s">
        <v>1509</v>
      </c>
    </row>
    <row r="1554" spans="5:7" ht="14.45" customHeight="1" outlineLevel="3" thickBot="1" x14ac:dyDescent="0.3">
      <c r="F1554" s="118" t="s">
        <v>855</v>
      </c>
    </row>
    <row r="1555" spans="5:7" ht="14.45" customHeight="1" outlineLevel="4" thickBot="1" x14ac:dyDescent="0.3">
      <c r="G1555" s="96" t="s">
        <v>1582</v>
      </c>
    </row>
    <row r="1556" spans="5:7" ht="14.45" customHeight="1" outlineLevel="4" thickBot="1" x14ac:dyDescent="0.3">
      <c r="G1556" s="96" t="s">
        <v>1617</v>
      </c>
    </row>
    <row r="1557" spans="5:7" ht="14.45" customHeight="1" outlineLevel="4" thickBot="1" x14ac:dyDescent="0.3">
      <c r="G1557" s="96" t="s">
        <v>1618</v>
      </c>
    </row>
    <row r="1558" spans="5:7" ht="14.45" customHeight="1" outlineLevel="3" thickBot="1" x14ac:dyDescent="0.3">
      <c r="F1558" s="118" t="s">
        <v>1607</v>
      </c>
    </row>
    <row r="1559" spans="5:7" ht="14.45" customHeight="1" outlineLevel="4" thickBot="1" x14ac:dyDescent="0.3"/>
    <row r="1560" spans="5:7" ht="14.45" customHeight="1" outlineLevel="3" thickBot="1" x14ac:dyDescent="0.3">
      <c r="F1560" s="118" t="s">
        <v>1591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7" t="s">
        <v>1619</v>
      </c>
    </row>
    <row r="1564" spans="5:7" ht="14.45" customHeight="1" outlineLevel="3" thickBot="1" x14ac:dyDescent="0.3">
      <c r="F1564" s="118" t="s">
        <v>1620</v>
      </c>
    </row>
    <row r="1565" spans="5:7" ht="14.45" customHeight="1" outlineLevel="4" thickBot="1" x14ac:dyDescent="0.3">
      <c r="G1565" s="96" t="s">
        <v>1530</v>
      </c>
    </row>
    <row r="1566" spans="5:7" ht="14.45" customHeight="1" outlineLevel="4" thickBot="1" x14ac:dyDescent="0.3">
      <c r="G1566" s="96" t="s">
        <v>1509</v>
      </c>
    </row>
    <row r="1567" spans="5:7" ht="14.45" customHeight="1" outlineLevel="3" thickBot="1" x14ac:dyDescent="0.3">
      <c r="F1567" s="118" t="s">
        <v>1621</v>
      </c>
    </row>
    <row r="1568" spans="5:7" ht="14.45" customHeight="1" outlineLevel="4" thickBot="1" x14ac:dyDescent="0.3"/>
    <row r="1569" spans="6:7" ht="14.45" customHeight="1" outlineLevel="3" thickBot="1" x14ac:dyDescent="0.3">
      <c r="F1569" s="118" t="s">
        <v>1622</v>
      </c>
    </row>
    <row r="1570" spans="6:7" ht="14.45" customHeight="1" outlineLevel="4" thickBot="1" x14ac:dyDescent="0.3">
      <c r="G1570" s="96" t="s">
        <v>1582</v>
      </c>
    </row>
    <row r="1571" spans="6:7" ht="14.45" customHeight="1" outlineLevel="4" thickBot="1" x14ac:dyDescent="0.3">
      <c r="G1571" s="96" t="s">
        <v>1623</v>
      </c>
    </row>
    <row r="1572" spans="6:7" ht="14.45" customHeight="1" outlineLevel="4" thickBot="1" x14ac:dyDescent="0.3">
      <c r="G1572" s="96" t="s">
        <v>1624</v>
      </c>
    </row>
    <row r="1573" spans="6:7" ht="14.45" customHeight="1" outlineLevel="4" thickBot="1" x14ac:dyDescent="0.3">
      <c r="G1573" s="96" t="s">
        <v>1625</v>
      </c>
    </row>
    <row r="1574" spans="6:7" ht="14.45" customHeight="1" outlineLevel="3" thickBot="1" x14ac:dyDescent="0.3">
      <c r="F1574" s="118" t="s">
        <v>1626</v>
      </c>
    </row>
    <row r="1575" spans="6:7" ht="14.45" customHeight="1" outlineLevel="4" thickBot="1" x14ac:dyDescent="0.3">
      <c r="G1575" s="96" t="s">
        <v>1588</v>
      </c>
    </row>
    <row r="1576" spans="6:7" ht="14.45" customHeight="1" outlineLevel="4" thickBot="1" x14ac:dyDescent="0.3">
      <c r="G1576" s="96" t="s">
        <v>1627</v>
      </c>
    </row>
    <row r="1577" spans="6:7" ht="14.45" customHeight="1" outlineLevel="4" thickBot="1" x14ac:dyDescent="0.3">
      <c r="G1577" s="96" t="s">
        <v>1628</v>
      </c>
    </row>
    <row r="1578" spans="6:7" ht="14.45" customHeight="1" outlineLevel="3" thickBot="1" x14ac:dyDescent="0.3">
      <c r="F1578" s="118" t="s">
        <v>1629</v>
      </c>
    </row>
    <row r="1579" spans="6:7" ht="14.45" customHeight="1" outlineLevel="4" thickBot="1" x14ac:dyDescent="0.3">
      <c r="G1579" s="96" t="s">
        <v>1630</v>
      </c>
    </row>
    <row r="1580" spans="6:7" ht="14.45" customHeight="1" outlineLevel="4" thickBot="1" x14ac:dyDescent="0.3">
      <c r="G1580" s="96" t="s">
        <v>1631</v>
      </c>
    </row>
    <row r="1581" spans="6:7" ht="14.45" customHeight="1" outlineLevel="4" thickBot="1" x14ac:dyDescent="0.3">
      <c r="G1581" s="96" t="s">
        <v>1632</v>
      </c>
    </row>
    <row r="1582" spans="6:7" ht="14.45" customHeight="1" outlineLevel="4" thickBot="1" x14ac:dyDescent="0.3">
      <c r="G1582" s="96" t="s">
        <v>1633</v>
      </c>
    </row>
    <row r="1583" spans="6:7" ht="14.45" customHeight="1" outlineLevel="3" thickBot="1" x14ac:dyDescent="0.3">
      <c r="F1583" s="118" t="s">
        <v>1634</v>
      </c>
    </row>
    <row r="1584" spans="6:7" ht="14.45" customHeight="1" outlineLevel="4" thickBot="1" x14ac:dyDescent="0.3">
      <c r="G1584" s="96" t="s">
        <v>1635</v>
      </c>
    </row>
    <row r="1585" spans="4:7" ht="14.45" customHeight="1" outlineLevel="4" thickBot="1" x14ac:dyDescent="0.3">
      <c r="G1585" s="96" t="s">
        <v>1636</v>
      </c>
    </row>
    <row r="1586" spans="4:7" ht="14.45" customHeight="1" outlineLevel="4" thickBot="1" x14ac:dyDescent="0.3">
      <c r="G1586" s="96" t="s">
        <v>1637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6" t="s">
        <v>95</v>
      </c>
      <c r="E1589" s="116"/>
    </row>
    <row r="1590" spans="4:7" ht="14.45" customHeight="1" outlineLevel="2" thickBot="1" x14ac:dyDescent="0.3">
      <c r="E1590" s="117" t="s">
        <v>1638</v>
      </c>
    </row>
    <row r="1591" spans="4:7" ht="14.45" customHeight="1" outlineLevel="3" thickBot="1" x14ac:dyDescent="0.3">
      <c r="F1591" s="118" t="s">
        <v>831</v>
      </c>
    </row>
    <row r="1592" spans="4:7" ht="14.45" customHeight="1" outlineLevel="4" thickBot="1" x14ac:dyDescent="0.3">
      <c r="G1592" s="96" t="s">
        <v>832</v>
      </c>
    </row>
    <row r="1593" spans="4:7" ht="14.45" customHeight="1" outlineLevel="4" thickBot="1" x14ac:dyDescent="0.3">
      <c r="G1593" s="96" t="s">
        <v>833</v>
      </c>
    </row>
    <row r="1594" spans="4:7" ht="14.45" customHeight="1" outlineLevel="3" thickBot="1" x14ac:dyDescent="0.3">
      <c r="F1594" s="118" t="s">
        <v>1639</v>
      </c>
    </row>
    <row r="1595" spans="4:7" ht="14.45" customHeight="1" outlineLevel="4" thickBot="1" x14ac:dyDescent="0.3">
      <c r="G1595" s="96" t="s">
        <v>942</v>
      </c>
    </row>
    <row r="1596" spans="4:7" ht="14.45" customHeight="1" outlineLevel="4" thickBot="1" x14ac:dyDescent="0.3">
      <c r="G1596" s="96" t="s">
        <v>943</v>
      </c>
    </row>
    <row r="1597" spans="4:7" ht="14.45" customHeight="1" outlineLevel="4" thickBot="1" x14ac:dyDescent="0.3">
      <c r="G1597" s="96" t="s">
        <v>944</v>
      </c>
    </row>
    <row r="1598" spans="4:7" ht="14.45" customHeight="1" outlineLevel="3" thickBot="1" x14ac:dyDescent="0.3">
      <c r="F1598" s="118" t="s">
        <v>1640</v>
      </c>
    </row>
    <row r="1599" spans="4:7" ht="14.45" customHeight="1" outlineLevel="4" thickBot="1" x14ac:dyDescent="0.3"/>
    <row r="1600" spans="4:7" ht="14.45" customHeight="1" outlineLevel="3" thickBot="1" x14ac:dyDescent="0.3">
      <c r="F1600" s="118" t="s">
        <v>1641</v>
      </c>
    </row>
    <row r="1601" spans="5:7" ht="14.45" customHeight="1" outlineLevel="4" thickBot="1" x14ac:dyDescent="0.3">
      <c r="G1601" s="96" t="s">
        <v>1642</v>
      </c>
    </row>
    <row r="1602" spans="5:7" ht="14.45" customHeight="1" outlineLevel="4" thickBot="1" x14ac:dyDescent="0.3">
      <c r="G1602" s="96" t="s">
        <v>1643</v>
      </c>
    </row>
    <row r="1603" spans="5:7" ht="14.45" customHeight="1" outlineLevel="3" thickBot="1" x14ac:dyDescent="0.3"/>
    <row r="1604" spans="5:7" ht="14.45" customHeight="1" outlineLevel="2" thickBot="1" x14ac:dyDescent="0.3">
      <c r="E1604" s="117" t="s">
        <v>1644</v>
      </c>
    </row>
    <row r="1605" spans="5:7" ht="14.45" customHeight="1" outlineLevel="3" thickBot="1" x14ac:dyDescent="0.3">
      <c r="F1605" s="118" t="s">
        <v>831</v>
      </c>
    </row>
    <row r="1606" spans="5:7" ht="14.45" customHeight="1" outlineLevel="4" thickBot="1" x14ac:dyDescent="0.3">
      <c r="G1606" s="96" t="s">
        <v>832</v>
      </c>
    </row>
    <row r="1607" spans="5:7" ht="14.45" customHeight="1" outlineLevel="4" thickBot="1" x14ac:dyDescent="0.3">
      <c r="G1607" s="96" t="s">
        <v>833</v>
      </c>
    </row>
    <row r="1608" spans="5:7" ht="14.45" customHeight="1" outlineLevel="4" thickBot="1" x14ac:dyDescent="0.3">
      <c r="G1608" s="96" t="s">
        <v>1645</v>
      </c>
    </row>
    <row r="1609" spans="5:7" ht="14.45" customHeight="1" outlineLevel="3" thickBot="1" x14ac:dyDescent="0.3">
      <c r="F1609" s="118" t="s">
        <v>1646</v>
      </c>
    </row>
    <row r="1610" spans="5:7" ht="14.45" customHeight="1" outlineLevel="4" thickBot="1" x14ac:dyDescent="0.3">
      <c r="G1610" s="96" t="s">
        <v>832</v>
      </c>
    </row>
    <row r="1611" spans="5:7" ht="14.45" customHeight="1" outlineLevel="4" thickBot="1" x14ac:dyDescent="0.3">
      <c r="G1611" s="96" t="s">
        <v>1543</v>
      </c>
    </row>
    <row r="1612" spans="5:7" ht="14.45" customHeight="1" outlineLevel="4" thickBot="1" x14ac:dyDescent="0.3">
      <c r="G1612" s="96" t="s">
        <v>1647</v>
      </c>
    </row>
    <row r="1613" spans="5:7" ht="14.45" customHeight="1" outlineLevel="4" thickBot="1" x14ac:dyDescent="0.3">
      <c r="G1613" s="96" t="s">
        <v>1648</v>
      </c>
    </row>
    <row r="1614" spans="5:7" ht="14.45" customHeight="1" outlineLevel="3" thickBot="1" x14ac:dyDescent="0.3">
      <c r="F1614" s="118" t="s">
        <v>1649</v>
      </c>
    </row>
    <row r="1615" spans="5:7" ht="14.45" customHeight="1" outlineLevel="4" thickBot="1" x14ac:dyDescent="0.3">
      <c r="G1615" s="96" t="s">
        <v>832</v>
      </c>
    </row>
    <row r="1616" spans="5:7" ht="14.45" customHeight="1" outlineLevel="4" thickBot="1" x14ac:dyDescent="0.3">
      <c r="G1616" s="96" t="s">
        <v>1189</v>
      </c>
    </row>
    <row r="1617" spans="3:7" ht="14.45" customHeight="1" outlineLevel="4" thickBot="1" x14ac:dyDescent="0.3">
      <c r="G1617" s="96" t="s">
        <v>1650</v>
      </c>
    </row>
    <row r="1618" spans="3:7" ht="14.45" customHeight="1" outlineLevel="4" thickBot="1" x14ac:dyDescent="0.3">
      <c r="G1618" s="96" t="s">
        <v>1651</v>
      </c>
    </row>
    <row r="1619" spans="3:7" ht="14.45" customHeight="1" outlineLevel="3" thickBot="1" x14ac:dyDescent="0.3">
      <c r="F1619" s="118" t="s">
        <v>1652</v>
      </c>
    </row>
    <row r="1620" spans="3:7" ht="14.45" customHeight="1" outlineLevel="4" thickBot="1" x14ac:dyDescent="0.3">
      <c r="G1620" s="96" t="s">
        <v>1653</v>
      </c>
    </row>
    <row r="1621" spans="3:7" ht="14.45" customHeight="1" outlineLevel="4" thickBot="1" x14ac:dyDescent="0.3">
      <c r="G1621" s="96" t="s">
        <v>1654</v>
      </c>
    </row>
    <row r="1622" spans="3:7" ht="14.45" customHeight="1" outlineLevel="4" thickBot="1" x14ac:dyDescent="0.3">
      <c r="G1622" s="96" t="s">
        <v>1655</v>
      </c>
    </row>
    <row r="1623" spans="3:7" ht="14.45" customHeight="1" outlineLevel="4" thickBot="1" x14ac:dyDescent="0.3">
      <c r="G1623" s="96" t="s">
        <v>1656</v>
      </c>
    </row>
    <row r="1624" spans="3:7" ht="14.45" customHeight="1" outlineLevel="3" thickBot="1" x14ac:dyDescent="0.3">
      <c r="F1624" s="118" t="s">
        <v>1657</v>
      </c>
    </row>
    <row r="1625" spans="3:7" ht="14.45" customHeight="1" outlineLevel="4" thickBot="1" x14ac:dyDescent="0.3">
      <c r="G1625" s="96" t="s">
        <v>1658</v>
      </c>
    </row>
    <row r="1626" spans="3:7" ht="14.45" customHeight="1" outlineLevel="4" thickBot="1" x14ac:dyDescent="0.3">
      <c r="G1626" s="96" t="s">
        <v>1659</v>
      </c>
    </row>
    <row r="1627" spans="3:7" ht="14.45" customHeight="1" outlineLevel="4" thickBot="1" x14ac:dyDescent="0.3">
      <c r="G1627" s="96" t="s">
        <v>1660</v>
      </c>
    </row>
    <row r="1628" spans="3:7" ht="14.45" customHeight="1" outlineLevel="4" thickBot="1" x14ac:dyDescent="0.3">
      <c r="G1628" s="96" t="s">
        <v>1661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5" t="s">
        <v>1662</v>
      </c>
      <c r="D1632" s="115"/>
    </row>
    <row r="1633" spans="4:6" ht="14.45" customHeight="1" outlineLevel="1" thickBot="1" x14ac:dyDescent="0.3">
      <c r="D1633" s="116" t="s">
        <v>97</v>
      </c>
      <c r="E1633" s="116"/>
    </row>
    <row r="1634" spans="4:6" ht="14.45" customHeight="1" outlineLevel="2" thickBot="1" x14ac:dyDescent="0.3">
      <c r="E1634" s="117" t="s">
        <v>1663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7" t="s">
        <v>1664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6" t="s">
        <v>99</v>
      </c>
      <c r="E1641" s="116"/>
    </row>
    <row r="1642" spans="4:6" ht="14.45" customHeight="1" outlineLevel="2" thickBot="1" x14ac:dyDescent="0.3">
      <c r="E1642" s="117" t="s">
        <v>1665</v>
      </c>
    </row>
    <row r="1643" spans="4:6" ht="14.45" customHeight="1" outlineLevel="3" thickBot="1" x14ac:dyDescent="0.3">
      <c r="F1643" s="118" t="s">
        <v>1666</v>
      </c>
    </row>
    <row r="1644" spans="4:6" ht="14.45" customHeight="1" outlineLevel="4" thickBot="1" x14ac:dyDescent="0.3"/>
    <row r="1645" spans="4:6" ht="14.45" customHeight="1" outlineLevel="3" thickBot="1" x14ac:dyDescent="0.3">
      <c r="F1645" s="118" t="s">
        <v>1667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7" t="s">
        <v>1668</v>
      </c>
    </row>
    <row r="1649" spans="5:6" ht="14.45" customHeight="1" outlineLevel="3" thickBot="1" x14ac:dyDescent="0.3">
      <c r="F1649" s="118" t="s">
        <v>1669</v>
      </c>
    </row>
    <row r="1650" spans="5:6" ht="14.45" customHeight="1" outlineLevel="4" thickBot="1" x14ac:dyDescent="0.3"/>
    <row r="1651" spans="5:6" ht="14.45" customHeight="1" outlineLevel="3" thickBot="1" x14ac:dyDescent="0.3">
      <c r="F1651" s="118" t="s">
        <v>1670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7" t="s">
        <v>1671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7" t="s">
        <v>1672</v>
      </c>
    </row>
    <row r="1658" spans="5:6" ht="14.45" customHeight="1" outlineLevel="3" thickBot="1" x14ac:dyDescent="0.3">
      <c r="F1658" s="118" t="s">
        <v>785</v>
      </c>
    </row>
    <row r="1659" spans="5:6" ht="14.45" customHeight="1" outlineLevel="4" thickBot="1" x14ac:dyDescent="0.3"/>
    <row r="1660" spans="5:6" ht="14.45" customHeight="1" outlineLevel="3" thickBot="1" x14ac:dyDescent="0.3">
      <c r="F1660" s="118" t="s">
        <v>1673</v>
      </c>
    </row>
    <row r="1661" spans="5:6" ht="14.45" customHeight="1" outlineLevel="4" thickBot="1" x14ac:dyDescent="0.3"/>
    <row r="1662" spans="5:6" ht="14.45" customHeight="1" outlineLevel="3" thickBot="1" x14ac:dyDescent="0.3">
      <c r="F1662" s="118" t="s">
        <v>1674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7" t="s">
        <v>1675</v>
      </c>
    </row>
    <row r="1666" spans="4:6" ht="14.45" customHeight="1" outlineLevel="3" thickBot="1" x14ac:dyDescent="0.3">
      <c r="F1666" s="118" t="s">
        <v>1676</v>
      </c>
    </row>
    <row r="1667" spans="4:6" ht="14.45" customHeight="1" outlineLevel="4" thickBot="1" x14ac:dyDescent="0.3"/>
    <row r="1668" spans="4:6" ht="14.45" customHeight="1" outlineLevel="3" thickBot="1" x14ac:dyDescent="0.3">
      <c r="F1668" s="118" t="s">
        <v>1677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7" t="s">
        <v>1678</v>
      </c>
    </row>
    <row r="1672" spans="4:6" ht="14.45" customHeight="1" outlineLevel="3" thickBot="1" x14ac:dyDescent="0.3">
      <c r="F1672" s="118" t="s">
        <v>1679</v>
      </c>
    </row>
    <row r="1673" spans="4:6" ht="14.45" customHeight="1" outlineLevel="4" thickBot="1" x14ac:dyDescent="0.3"/>
    <row r="1674" spans="4:6" ht="14.45" customHeight="1" outlineLevel="3" thickBot="1" x14ac:dyDescent="0.3">
      <c r="F1674" s="118" t="s">
        <v>1680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6" t="s">
        <v>102</v>
      </c>
      <c r="E1678" s="116"/>
    </row>
    <row r="1679" spans="4:6" ht="14.45" customHeight="1" outlineLevel="2" thickBot="1" x14ac:dyDescent="0.3">
      <c r="E1679" s="117" t="s">
        <v>1681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7" t="s">
        <v>1682</v>
      </c>
    </row>
    <row r="1683" spans="5:6" ht="14.45" customHeight="1" outlineLevel="3" thickBot="1" x14ac:dyDescent="0.3">
      <c r="F1683" s="118" t="s">
        <v>785</v>
      </c>
    </row>
    <row r="1684" spans="5:6" ht="14.45" customHeight="1" outlineLevel="4" thickBot="1" x14ac:dyDescent="0.3"/>
    <row r="1685" spans="5:6" ht="14.45" customHeight="1" outlineLevel="3" thickBot="1" x14ac:dyDescent="0.3">
      <c r="F1685" s="118" t="s">
        <v>1683</v>
      </c>
    </row>
    <row r="1686" spans="5:6" ht="14.45" customHeight="1" outlineLevel="4" thickBot="1" x14ac:dyDescent="0.3"/>
    <row r="1687" spans="5:6" ht="14.45" customHeight="1" outlineLevel="3" thickBot="1" x14ac:dyDescent="0.3">
      <c r="F1687" s="118" t="s">
        <v>1684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7" t="s">
        <v>1685</v>
      </c>
    </row>
    <row r="1691" spans="5:6" ht="14.45" customHeight="1" outlineLevel="3" thickBot="1" x14ac:dyDescent="0.3">
      <c r="F1691" s="118" t="s">
        <v>785</v>
      </c>
    </row>
    <row r="1692" spans="5:6" ht="14.45" customHeight="1" outlineLevel="4" thickBot="1" x14ac:dyDescent="0.3"/>
    <row r="1693" spans="5:6" ht="14.45" customHeight="1" outlineLevel="3" thickBot="1" x14ac:dyDescent="0.3">
      <c r="F1693" s="118" t="s">
        <v>1686</v>
      </c>
    </row>
    <row r="1694" spans="5:6" ht="14.45" customHeight="1" outlineLevel="4" thickBot="1" x14ac:dyDescent="0.3"/>
    <row r="1695" spans="5:6" ht="14.45" customHeight="1" outlineLevel="3" thickBot="1" x14ac:dyDescent="0.3">
      <c r="F1695" s="118" t="s">
        <v>1687</v>
      </c>
    </row>
    <row r="1696" spans="5:6" ht="14.45" customHeight="1" outlineLevel="4" thickBot="1" x14ac:dyDescent="0.3"/>
    <row r="1697" spans="3:6" ht="14.45" customHeight="1" outlineLevel="3" thickBot="1" x14ac:dyDescent="0.3">
      <c r="F1697" s="118" t="s">
        <v>1688</v>
      </c>
    </row>
    <row r="1698" spans="3:6" ht="14.45" customHeight="1" outlineLevel="4" thickBot="1" x14ac:dyDescent="0.3"/>
    <row r="1699" spans="3:6" ht="14.45" customHeight="1" outlineLevel="3" thickBot="1" x14ac:dyDescent="0.3">
      <c r="F1699" s="118" t="s">
        <v>1689</v>
      </c>
    </row>
    <row r="1700" spans="3:6" ht="14.45" customHeight="1" outlineLevel="4" thickBot="1" x14ac:dyDescent="0.3"/>
    <row r="1701" spans="3:6" ht="14.45" customHeight="1" outlineLevel="3" thickBot="1" x14ac:dyDescent="0.3">
      <c r="F1701" s="118" t="s">
        <v>1690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5" t="s">
        <v>1691</v>
      </c>
      <c r="D1706" s="115"/>
    </row>
    <row r="1707" spans="3:6" ht="14.45" customHeight="1" outlineLevel="1" thickBot="1" x14ac:dyDescent="0.3">
      <c r="D1707" s="116" t="s">
        <v>103</v>
      </c>
      <c r="E1707" s="116"/>
    </row>
    <row r="1708" spans="3:6" ht="14.45" customHeight="1" outlineLevel="2" thickBot="1" x14ac:dyDescent="0.3">
      <c r="E1708" s="117" t="s">
        <v>1692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7" t="s">
        <v>1693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6" t="s">
        <v>105</v>
      </c>
      <c r="E1715" s="116"/>
    </row>
    <row r="1716" spans="4:6" ht="14.45" customHeight="1" outlineLevel="2" thickBot="1" x14ac:dyDescent="0.3">
      <c r="E1716" s="117" t="s">
        <v>1694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7" t="s">
        <v>1695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7" t="s">
        <v>1696</v>
      </c>
    </row>
    <row r="1723" spans="4:6" ht="14.45" customHeight="1" outlineLevel="3" thickBot="1" x14ac:dyDescent="0.3">
      <c r="F1723" s="118" t="s">
        <v>1697</v>
      </c>
    </row>
    <row r="1724" spans="4:6" ht="14.45" customHeight="1" outlineLevel="4" thickBot="1" x14ac:dyDescent="0.3"/>
    <row r="1725" spans="4:6" ht="14.45" customHeight="1" outlineLevel="3" thickBot="1" x14ac:dyDescent="0.3">
      <c r="F1725" s="118" t="s">
        <v>855</v>
      </c>
    </row>
    <row r="1726" spans="4:6" ht="14.45" customHeight="1" outlineLevel="4" thickBot="1" x14ac:dyDescent="0.3"/>
    <row r="1727" spans="4:6" ht="14.45" customHeight="1" outlineLevel="3" thickBot="1" x14ac:dyDescent="0.3">
      <c r="F1727" s="118" t="s">
        <v>1035</v>
      </c>
    </row>
    <row r="1728" spans="4:6" ht="14.45" customHeight="1" outlineLevel="4" thickBot="1" x14ac:dyDescent="0.3"/>
    <row r="1729" spans="5:6" ht="14.45" customHeight="1" outlineLevel="3" thickBot="1" x14ac:dyDescent="0.3">
      <c r="F1729" s="118" t="s">
        <v>1698</v>
      </c>
    </row>
    <row r="1730" spans="5:6" ht="14.45" customHeight="1" outlineLevel="4" thickBot="1" x14ac:dyDescent="0.3"/>
    <row r="1731" spans="5:6" ht="14.45" customHeight="1" outlineLevel="3" thickBot="1" x14ac:dyDescent="0.3">
      <c r="F1731" s="118" t="s">
        <v>1699</v>
      </c>
    </row>
    <row r="1732" spans="5:6" ht="14.45" customHeight="1" outlineLevel="4" thickBot="1" x14ac:dyDescent="0.3"/>
    <row r="1733" spans="5:6" ht="14.45" customHeight="1" outlineLevel="3" thickBot="1" x14ac:dyDescent="0.3">
      <c r="F1733" s="118" t="s">
        <v>1700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7" t="s">
        <v>1701</v>
      </c>
    </row>
    <row r="1737" spans="5:6" ht="14.45" customHeight="1" outlineLevel="3" thickBot="1" x14ac:dyDescent="0.3">
      <c r="F1737" s="118" t="s">
        <v>1702</v>
      </c>
    </row>
    <row r="1738" spans="5:6" ht="14.45" customHeight="1" outlineLevel="4" thickBot="1" x14ac:dyDescent="0.3"/>
    <row r="1739" spans="5:6" ht="14.45" customHeight="1" outlineLevel="3" thickBot="1" x14ac:dyDescent="0.3">
      <c r="F1739" s="118" t="s">
        <v>1703</v>
      </c>
    </row>
    <row r="1740" spans="5:6" ht="14.45" customHeight="1" outlineLevel="4" thickBot="1" x14ac:dyDescent="0.3"/>
    <row r="1741" spans="5:6" ht="14.45" customHeight="1" outlineLevel="3" thickBot="1" x14ac:dyDescent="0.3">
      <c r="F1741" s="118" t="s">
        <v>1704</v>
      </c>
    </row>
    <row r="1742" spans="5:6" ht="14.45" customHeight="1" outlineLevel="4" thickBot="1" x14ac:dyDescent="0.3"/>
    <row r="1743" spans="5:6" ht="14.45" customHeight="1" outlineLevel="3" thickBot="1" x14ac:dyDescent="0.3">
      <c r="F1743" s="118" t="s">
        <v>1705</v>
      </c>
    </row>
    <row r="1744" spans="5:6" ht="14.45" customHeight="1" outlineLevel="4" thickBot="1" x14ac:dyDescent="0.3"/>
    <row r="1745" spans="4:6" ht="14.45" customHeight="1" outlineLevel="3" thickBot="1" x14ac:dyDescent="0.3">
      <c r="F1745" s="118" t="s">
        <v>1706</v>
      </c>
    </row>
    <row r="1746" spans="4:6" ht="14.45" customHeight="1" outlineLevel="4" thickBot="1" x14ac:dyDescent="0.3"/>
    <row r="1747" spans="4:6" ht="14.45" customHeight="1" outlineLevel="3" thickBot="1" x14ac:dyDescent="0.3">
      <c r="F1747" s="118" t="s">
        <v>1707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6" t="s">
        <v>107</v>
      </c>
      <c r="E1751" s="116"/>
    </row>
    <row r="1752" spans="4:6" ht="14.45" customHeight="1" outlineLevel="2" thickBot="1" x14ac:dyDescent="0.3">
      <c r="E1752" s="117" t="s">
        <v>1708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7" t="s">
        <v>1709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6" t="s">
        <v>109</v>
      </c>
      <c r="E1759" s="116"/>
    </row>
    <row r="1760" spans="4:6" ht="14.45" customHeight="1" outlineLevel="2" thickBot="1" x14ac:dyDescent="0.3">
      <c r="E1760" s="117" t="s">
        <v>1710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7" t="s">
        <v>1711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7" t="s">
        <v>1712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7" t="s">
        <v>1713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7" t="s">
        <v>1714</v>
      </c>
    </row>
    <row r="1773" spans="5:6" ht="14.45" customHeight="1" outlineLevel="3" thickBot="1" x14ac:dyDescent="0.3">
      <c r="F1773" s="118" t="s">
        <v>1715</v>
      </c>
    </row>
    <row r="1774" spans="5:6" ht="14.45" customHeight="1" outlineLevel="4" thickBot="1" x14ac:dyDescent="0.3"/>
    <row r="1775" spans="5:6" ht="14.45" customHeight="1" outlineLevel="3" thickBot="1" x14ac:dyDescent="0.3">
      <c r="F1775" s="118" t="s">
        <v>1716</v>
      </c>
    </row>
    <row r="1776" spans="5:6" ht="14.45" customHeight="1" outlineLevel="4" thickBot="1" x14ac:dyDescent="0.3"/>
    <row r="1777" spans="3:6" ht="14.45" customHeight="1" outlineLevel="3" thickBot="1" x14ac:dyDescent="0.3">
      <c r="F1777" s="118" t="s">
        <v>1717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5" t="s">
        <v>1718</v>
      </c>
      <c r="D1782" s="115"/>
    </row>
    <row r="1783" spans="3:6" ht="14.45" customHeight="1" outlineLevel="1" thickBot="1" x14ac:dyDescent="0.3">
      <c r="D1783" s="116" t="s">
        <v>111</v>
      </c>
      <c r="E1783" s="116"/>
    </row>
    <row r="1784" spans="3:6" ht="14.45" customHeight="1" outlineLevel="2" thickBot="1" x14ac:dyDescent="0.3">
      <c r="E1784" s="117" t="s">
        <v>1663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7" t="s">
        <v>1719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6" t="s">
        <v>113</v>
      </c>
      <c r="E1791" s="116"/>
    </row>
    <row r="1792" spans="3:6" ht="14.45" customHeight="1" outlineLevel="2" thickBot="1" x14ac:dyDescent="0.3">
      <c r="E1792" s="117" t="s">
        <v>1720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7" t="s">
        <v>1721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7" t="s">
        <v>1722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6" t="s">
        <v>1723</v>
      </c>
      <c r="E1802" s="11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6" t="s">
        <v>115</v>
      </c>
      <c r="E1806" s="116"/>
    </row>
    <row r="1807" spans="4:5" ht="14.45" customHeight="1" outlineLevel="2" thickBot="1" x14ac:dyDescent="0.3">
      <c r="E1807" s="117" t="s">
        <v>1724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7" t="s">
        <v>1725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7" t="s">
        <v>1726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7" t="s">
        <v>1727</v>
      </c>
    </row>
    <row r="1817" spans="5:6" ht="14.45" customHeight="1" outlineLevel="3" thickBot="1" x14ac:dyDescent="0.3">
      <c r="F1817" s="118" t="s">
        <v>1728</v>
      </c>
    </row>
    <row r="1818" spans="5:6" ht="14.45" customHeight="1" outlineLevel="4" thickBot="1" x14ac:dyDescent="0.3"/>
    <row r="1819" spans="5:6" ht="14.45" customHeight="1" outlineLevel="3" thickBot="1" x14ac:dyDescent="0.3">
      <c r="F1819" s="118" t="s">
        <v>1729</v>
      </c>
    </row>
    <row r="1820" spans="5:6" ht="14.45" customHeight="1" outlineLevel="4" thickBot="1" x14ac:dyDescent="0.3"/>
    <row r="1821" spans="5:6" ht="14.45" customHeight="1" outlineLevel="3" thickBot="1" x14ac:dyDescent="0.3">
      <c r="F1821" s="118" t="s">
        <v>1730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5" t="s">
        <v>1731</v>
      </c>
      <c r="D1826" s="115"/>
    </row>
    <row r="1827" spans="3:6" ht="14.45" customHeight="1" outlineLevel="1" thickBot="1" x14ac:dyDescent="0.3">
      <c r="D1827" s="116" t="s">
        <v>117</v>
      </c>
      <c r="E1827" s="116"/>
    </row>
    <row r="1828" spans="3:6" ht="14.45" customHeight="1" outlineLevel="2" thickBot="1" x14ac:dyDescent="0.3">
      <c r="E1828" s="117" t="s">
        <v>1732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7" t="s">
        <v>1733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7" t="s">
        <v>1734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6" t="s">
        <v>119</v>
      </c>
      <c r="E1838" s="116"/>
    </row>
    <row r="1839" spans="3:6" ht="14.45" customHeight="1" outlineLevel="2" thickBot="1" x14ac:dyDescent="0.3">
      <c r="E1839" s="117" t="s">
        <v>1735</v>
      </c>
    </row>
    <row r="1840" spans="3:6" ht="14.45" customHeight="1" outlineLevel="3" thickBot="1" x14ac:dyDescent="0.3">
      <c r="F1840" s="118" t="s">
        <v>1736</v>
      </c>
    </row>
    <row r="1841" spans="3:6" ht="14.45" customHeight="1" outlineLevel="4" thickBot="1" x14ac:dyDescent="0.3"/>
    <row r="1842" spans="3:6" ht="14.45" customHeight="1" outlineLevel="3" thickBot="1" x14ac:dyDescent="0.3">
      <c r="F1842" s="118" t="s">
        <v>1737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7" t="s">
        <v>1738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7" t="s">
        <v>1739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5" t="s">
        <v>1740</v>
      </c>
      <c r="D1853" s="115"/>
    </row>
    <row r="1854" spans="3:6" ht="14.45" customHeight="1" outlineLevel="1" thickBot="1" x14ac:dyDescent="0.3">
      <c r="D1854" s="116" t="s">
        <v>121</v>
      </c>
      <c r="E1854" s="116"/>
    </row>
    <row r="1855" spans="3:6" ht="14.45" customHeight="1" outlineLevel="2" thickBot="1" x14ac:dyDescent="0.3">
      <c r="E1855" s="117" t="s">
        <v>1741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7" t="s">
        <v>1742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6" t="s">
        <v>123</v>
      </c>
      <c r="E1862" s="116"/>
    </row>
    <row r="1863" spans="4:6" ht="14.45" customHeight="1" outlineLevel="2" thickBot="1" x14ac:dyDescent="0.3">
      <c r="E1863" s="117" t="s">
        <v>1743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7" t="s">
        <v>1744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6" t="s">
        <v>125</v>
      </c>
      <c r="E1870" s="116"/>
    </row>
    <row r="1871" spans="4:6" ht="14.45" customHeight="1" outlineLevel="2" thickBot="1" x14ac:dyDescent="0.3">
      <c r="E1871" s="117" t="s">
        <v>1745</v>
      </c>
    </row>
    <row r="1872" spans="4:6" ht="14.45" customHeight="1" outlineLevel="3" thickBot="1" x14ac:dyDescent="0.3">
      <c r="F1872" s="118" t="s">
        <v>1746</v>
      </c>
    </row>
    <row r="1873" spans="5:6" ht="14.45" customHeight="1" outlineLevel="4" thickBot="1" x14ac:dyDescent="0.3"/>
    <row r="1874" spans="5:6" ht="14.45" customHeight="1" outlineLevel="3" thickBot="1" x14ac:dyDescent="0.3">
      <c r="F1874" s="118" t="s">
        <v>1747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7" t="s">
        <v>1748</v>
      </c>
    </row>
    <row r="1878" spans="5:6" ht="14.45" customHeight="1" outlineLevel="3" thickBot="1" x14ac:dyDescent="0.3">
      <c r="F1878" s="118" t="s">
        <v>1749</v>
      </c>
    </row>
    <row r="1879" spans="5:6" ht="14.45" customHeight="1" outlineLevel="4" thickBot="1" x14ac:dyDescent="0.3"/>
    <row r="1880" spans="5:6" ht="14.45" customHeight="1" outlineLevel="3" thickBot="1" x14ac:dyDescent="0.3">
      <c r="F1880" s="118" t="s">
        <v>1750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7" t="s">
        <v>1751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7" t="s">
        <v>1752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7" t="s">
        <v>1753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7" t="s">
        <v>1754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7" t="s">
        <v>1755</v>
      </c>
    </row>
    <row r="1896" spans="4:6" ht="14.45" customHeight="1" outlineLevel="3" thickBot="1" x14ac:dyDescent="0.3">
      <c r="F1896" s="118" t="s">
        <v>761</v>
      </c>
    </row>
    <row r="1897" spans="4:6" ht="14.45" customHeight="1" outlineLevel="4" thickBot="1" x14ac:dyDescent="0.3"/>
    <row r="1898" spans="4:6" ht="14.45" customHeight="1" outlineLevel="3" thickBot="1" x14ac:dyDescent="0.3">
      <c r="F1898" s="118" t="s">
        <v>1756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6" t="s">
        <v>127</v>
      </c>
      <c r="E1902" s="116"/>
    </row>
    <row r="1903" spans="4:6" ht="14.45" customHeight="1" outlineLevel="2" thickBot="1" x14ac:dyDescent="0.3">
      <c r="E1903" s="117" t="s">
        <v>1757</v>
      </c>
    </row>
    <row r="1904" spans="4:6" ht="14.45" customHeight="1" outlineLevel="3" thickBot="1" x14ac:dyDescent="0.3">
      <c r="F1904" s="118" t="s">
        <v>1758</v>
      </c>
    </row>
    <row r="1905" spans="5:6" ht="14.45" customHeight="1" outlineLevel="4" thickBot="1" x14ac:dyDescent="0.3"/>
    <row r="1906" spans="5:6" ht="14.45" customHeight="1" outlineLevel="3" thickBot="1" x14ac:dyDescent="0.3">
      <c r="F1906" s="118" t="s">
        <v>1759</v>
      </c>
    </row>
    <row r="1907" spans="5:6" ht="14.45" customHeight="1" outlineLevel="4" thickBot="1" x14ac:dyDescent="0.3"/>
    <row r="1908" spans="5:6" ht="14.45" customHeight="1" outlineLevel="3" thickBot="1" x14ac:dyDescent="0.3">
      <c r="F1908" s="118" t="s">
        <v>1760</v>
      </c>
    </row>
    <row r="1909" spans="5:6" ht="14.45" customHeight="1" outlineLevel="4" thickBot="1" x14ac:dyDescent="0.3"/>
    <row r="1910" spans="5:6" ht="14.45" customHeight="1" outlineLevel="3" thickBot="1" x14ac:dyDescent="0.3">
      <c r="F1910" s="118" t="s">
        <v>1761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7" t="s">
        <v>1762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7" t="s">
        <v>1763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7" t="s">
        <v>1764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6" t="s">
        <v>129</v>
      </c>
      <c r="E1923" s="116"/>
    </row>
    <row r="1924" spans="4:5" ht="14.45" customHeight="1" outlineLevel="2" thickBot="1" x14ac:dyDescent="0.3">
      <c r="E1924" s="117" t="s">
        <v>1765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7" t="s">
        <v>1766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A4" sqref="A4:XFD4"/>
    </sheetView>
  </sheetViews>
  <sheetFormatPr defaultRowHeight="14.45" customHeight="1" x14ac:dyDescent="0.2"/>
  <cols>
    <col min="1" max="1" width="1.7109375" style="105" customWidth="1"/>
    <col min="2" max="2" width="3.7109375" style="111" customWidth="1"/>
    <col min="3" max="3" width="5.7109375" style="112" customWidth="1"/>
    <col min="4" max="4" width="6.7109375" style="112" customWidth="1"/>
    <col min="5" max="5" width="3.7109375" style="112" customWidth="1"/>
    <col min="6" max="6" width="40.7109375" style="105" customWidth="1"/>
    <col min="7" max="7" width="3.7109375" style="105" customWidth="1"/>
    <col min="8" max="8" width="42.7109375" style="105" customWidth="1"/>
    <col min="9" max="9" width="3.7109375" style="105" customWidth="1"/>
    <col min="10" max="10" width="90.7109375" style="105" customWidth="1"/>
    <col min="11" max="11" width="25.7109375" style="105" customWidth="1"/>
    <col min="12" max="15" width="8.7109375" style="105" customWidth="1"/>
    <col min="16" max="16" width="2.7109375" style="105" customWidth="1"/>
    <col min="17" max="16384" width="9.140625" style="105"/>
  </cols>
  <sheetData>
    <row r="1" spans="2:16" ht="14.45" customHeight="1" x14ac:dyDescent="0.2">
      <c r="B1" s="3"/>
      <c r="C1" s="104"/>
      <c r="D1" s="104"/>
      <c r="E1" s="104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34" t="s">
        <v>1767</v>
      </c>
      <c r="C2" s="235" t="s">
        <v>1768</v>
      </c>
      <c r="D2" s="235" t="s">
        <v>1769</v>
      </c>
      <c r="E2" s="235"/>
      <c r="F2" s="234" t="s">
        <v>2</v>
      </c>
      <c r="G2" s="234"/>
      <c r="H2" s="234"/>
      <c r="I2" s="234"/>
      <c r="J2" s="234" t="s">
        <v>1770</v>
      </c>
      <c r="K2" s="234" t="s">
        <v>1771</v>
      </c>
      <c r="L2" s="234" t="s">
        <v>1772</v>
      </c>
      <c r="M2" s="234"/>
      <c r="N2" s="234"/>
      <c r="O2" s="234"/>
      <c r="P2" s="234"/>
    </row>
    <row r="3" spans="2:16" ht="14.45" customHeight="1" x14ac:dyDescent="0.2">
      <c r="B3" s="234"/>
      <c r="C3" s="235"/>
      <c r="D3" s="235"/>
      <c r="E3" s="235"/>
      <c r="F3" s="234" t="s">
        <v>0</v>
      </c>
      <c r="G3" s="234"/>
      <c r="H3" s="234" t="s">
        <v>1</v>
      </c>
      <c r="I3" s="234"/>
      <c r="J3" s="234"/>
      <c r="K3" s="234"/>
      <c r="L3" s="106" t="s">
        <v>1773</v>
      </c>
      <c r="M3" s="106" t="s">
        <v>1774</v>
      </c>
      <c r="N3" s="106" t="s">
        <v>1775</v>
      </c>
      <c r="O3" s="106" t="s">
        <v>1776</v>
      </c>
      <c r="P3" s="107"/>
    </row>
    <row r="4" spans="2:16" ht="14.45" customHeight="1" x14ac:dyDescent="0.2">
      <c r="B4" s="114">
        <f t="shared" ref="B4:B35" si="0">ROW()-3</f>
        <v>1</v>
      </c>
      <c r="C4" s="108" t="s">
        <v>1777</v>
      </c>
      <c r="D4" s="108" t="s">
        <v>1778</v>
      </c>
      <c r="E4" s="108" t="s">
        <v>1779</v>
      </c>
      <c r="F4" s="109" t="s">
        <v>1780</v>
      </c>
      <c r="G4" s="108" t="s">
        <v>1782</v>
      </c>
      <c r="H4" s="110" t="s">
        <v>1781</v>
      </c>
      <c r="I4" s="108" t="s">
        <v>1782</v>
      </c>
      <c r="J4" s="109" t="s">
        <v>309</v>
      </c>
      <c r="K4" s="109"/>
      <c r="L4" s="109" t="str">
        <f t="shared" ref="L4:L35" si="1">F4&amp;"&gt;"&amp;G4&amp;"&gt;"&amp;D4&amp;"&gt;"&amp;K4</f>
        <v>제07장 제1심 소송절차-증거&gt;01&gt;1-1&gt;</v>
      </c>
      <c r="M4" s="109" t="str">
        <f t="shared" ref="M4:M35" si="2">F4&amp;"&gt;"&amp;H4&amp;"&gt;"&amp;I4</f>
        <v>제07장 제1심 소송절차-증거&gt;제01절 총설&gt;01</v>
      </c>
      <c r="N4" s="109" t="str">
        <f t="shared" ref="N4:N35" si="3">C4&amp;"&gt;"&amp;E4</f>
        <v>2025&gt;5</v>
      </c>
      <c r="O4" s="109" t="str">
        <f t="shared" ref="O4:O35" si="4">C4&amp;"&gt;"&amp;D4</f>
        <v>2025&gt;1-1</v>
      </c>
      <c r="P4" s="109" t="s">
        <v>1783</v>
      </c>
    </row>
    <row r="5" spans="2:16" ht="14.45" customHeight="1" x14ac:dyDescent="0.2">
      <c r="B5" s="114">
        <f t="shared" si="0"/>
        <v>2</v>
      </c>
      <c r="C5" s="108" t="s">
        <v>1777</v>
      </c>
      <c r="D5" s="108" t="s">
        <v>1778</v>
      </c>
      <c r="E5" s="108" t="s">
        <v>1784</v>
      </c>
      <c r="F5" s="109" t="s">
        <v>1780</v>
      </c>
      <c r="G5" s="108" t="s">
        <v>1805</v>
      </c>
      <c r="H5" s="110" t="s">
        <v>1785</v>
      </c>
      <c r="I5" s="108" t="s">
        <v>1782</v>
      </c>
      <c r="J5" s="109" t="s">
        <v>309</v>
      </c>
      <c r="K5" s="109"/>
      <c r="L5" s="109" t="str">
        <f t="shared" si="1"/>
        <v>제07장 제1심 소송절차-증거&gt;02&gt;1-1&gt;</v>
      </c>
      <c r="M5" s="109" t="str">
        <f t="shared" si="2"/>
        <v>제07장 제1심 소송절차-증거&gt;제06절 증명책임&gt;01</v>
      </c>
      <c r="N5" s="109" t="str">
        <f t="shared" si="3"/>
        <v>2025&gt;4</v>
      </c>
      <c r="O5" s="109" t="str">
        <f t="shared" si="4"/>
        <v>2025&gt;1-1</v>
      </c>
      <c r="P5" s="109" t="s">
        <v>1783</v>
      </c>
    </row>
    <row r="6" spans="2:16" ht="14.45" customHeight="1" x14ac:dyDescent="0.2">
      <c r="B6" s="114">
        <f t="shared" si="0"/>
        <v>3</v>
      </c>
      <c r="C6" s="108" t="s">
        <v>1777</v>
      </c>
      <c r="D6" s="108" t="s">
        <v>1786</v>
      </c>
      <c r="E6" s="108" t="s">
        <v>1787</v>
      </c>
      <c r="F6" s="109" t="s">
        <v>1460</v>
      </c>
      <c r="G6" s="108" t="s">
        <v>1782</v>
      </c>
      <c r="H6" s="110" t="s">
        <v>1788</v>
      </c>
      <c r="I6" s="108" t="s">
        <v>1782</v>
      </c>
      <c r="J6" s="109" t="s">
        <v>1789</v>
      </c>
      <c r="K6" s="109"/>
      <c r="L6" s="109" t="str">
        <f t="shared" si="1"/>
        <v>제11장 병합소송-병합청구소송&gt;01&gt;1-2&gt;</v>
      </c>
      <c r="M6" s="109" t="str">
        <f t="shared" si="2"/>
        <v>제11장 병합소송-병합청구소송&gt;제01절 청구의 원시적 병합&gt;01</v>
      </c>
      <c r="N6" s="109" t="str">
        <f t="shared" si="3"/>
        <v>2025&gt;3</v>
      </c>
      <c r="O6" s="109" t="str">
        <f t="shared" si="4"/>
        <v>2025&gt;1-2</v>
      </c>
      <c r="P6" s="109" t="s">
        <v>1783</v>
      </c>
    </row>
    <row r="7" spans="2:16" ht="14.45" customHeight="1" x14ac:dyDescent="0.2">
      <c r="B7" s="114">
        <f t="shared" si="0"/>
        <v>4</v>
      </c>
      <c r="C7" s="108" t="s">
        <v>1777</v>
      </c>
      <c r="D7" s="108" t="s">
        <v>1790</v>
      </c>
      <c r="E7" s="108" t="s">
        <v>1790</v>
      </c>
      <c r="F7" s="109" t="s">
        <v>1791</v>
      </c>
      <c r="G7" s="108" t="s">
        <v>1782</v>
      </c>
      <c r="H7" s="110" t="s">
        <v>1792</v>
      </c>
      <c r="I7" s="108" t="s">
        <v>1782</v>
      </c>
      <c r="J7" s="109" t="s">
        <v>1793</v>
      </c>
      <c r="K7" s="109"/>
      <c r="L7" s="109" t="str">
        <f t="shared" si="1"/>
        <v>제05장 제1심 소송절차-소송 개시와 심리 대상&gt;01&gt;2&gt;</v>
      </c>
      <c r="M7" s="109" t="str">
        <f t="shared" si="2"/>
        <v>제05장 제1심 소송절차-소송 개시와 심리 대상&gt;제03절 소의 이익&gt;01</v>
      </c>
      <c r="N7" s="109" t="str">
        <f t="shared" si="3"/>
        <v>2025&gt;2</v>
      </c>
      <c r="O7" s="109" t="str">
        <f t="shared" si="4"/>
        <v>2025&gt;2</v>
      </c>
      <c r="P7" s="109"/>
    </row>
    <row r="8" spans="2:16" ht="14.45" customHeight="1" x14ac:dyDescent="0.2">
      <c r="B8" s="114">
        <f t="shared" si="0"/>
        <v>5</v>
      </c>
      <c r="C8" s="108" t="s">
        <v>1777</v>
      </c>
      <c r="D8" s="108" t="s">
        <v>1787</v>
      </c>
      <c r="E8" s="108" t="s">
        <v>1794</v>
      </c>
      <c r="F8" s="109" t="s">
        <v>1795</v>
      </c>
      <c r="G8" s="108" t="s">
        <v>1782</v>
      </c>
      <c r="H8" s="110" t="s">
        <v>1796</v>
      </c>
      <c r="I8" s="108" t="s">
        <v>1782</v>
      </c>
      <c r="J8" s="109" t="s">
        <v>1797</v>
      </c>
      <c r="K8" s="109"/>
      <c r="L8" s="109" t="str">
        <f t="shared" si="1"/>
        <v>제09장 소송의 종료-당사자 행위에 의한 종료&gt;01&gt;3&gt;</v>
      </c>
      <c r="M8" s="109" t="str">
        <f t="shared" si="2"/>
        <v>제09장 소송의 종료-당사자 행위에 의한 종료&gt;제01절 소의 취하와 재소금지&gt;01</v>
      </c>
      <c r="N8" s="109" t="str">
        <f t="shared" si="3"/>
        <v>2025&gt;1</v>
      </c>
      <c r="O8" s="109" t="str">
        <f t="shared" si="4"/>
        <v>2025&gt;3</v>
      </c>
      <c r="P8" s="109" t="s">
        <v>1798</v>
      </c>
    </row>
    <row r="9" spans="2:16" ht="14.45" customHeight="1" x14ac:dyDescent="0.2">
      <c r="B9" s="114">
        <f t="shared" si="0"/>
        <v>6</v>
      </c>
      <c r="C9" s="108" t="s">
        <v>1799</v>
      </c>
      <c r="D9" s="108" t="s">
        <v>1778</v>
      </c>
      <c r="E9" s="108" t="s">
        <v>1784</v>
      </c>
      <c r="F9" s="109" t="s">
        <v>1528</v>
      </c>
      <c r="G9" s="108" t="s">
        <v>1782</v>
      </c>
      <c r="H9" s="110" t="s">
        <v>1800</v>
      </c>
      <c r="I9" s="108" t="s">
        <v>1782</v>
      </c>
      <c r="J9" s="109" t="s">
        <v>1801</v>
      </c>
      <c r="K9" s="109"/>
      <c r="L9" s="109" t="str">
        <f t="shared" si="1"/>
        <v>제12장 병합소송-다수당사자소송&gt;01&gt;1-1&gt;</v>
      </c>
      <c r="M9" s="109" t="str">
        <f t="shared" si="2"/>
        <v>제12장 병합소송-다수당사자소송&gt;제01절 공동소송&gt;01</v>
      </c>
      <c r="N9" s="109" t="str">
        <f t="shared" si="3"/>
        <v>2024&gt;4</v>
      </c>
      <c r="O9" s="109" t="str">
        <f t="shared" si="4"/>
        <v>2024&gt;1-1</v>
      </c>
      <c r="P9" s="109" t="s">
        <v>1798</v>
      </c>
    </row>
    <row r="10" spans="2:16" ht="14.45" customHeight="1" x14ac:dyDescent="0.2">
      <c r="B10" s="114">
        <f t="shared" si="0"/>
        <v>7</v>
      </c>
      <c r="C10" s="108" t="s">
        <v>1799</v>
      </c>
      <c r="D10" s="108" t="s">
        <v>1786</v>
      </c>
      <c r="E10" s="108" t="s">
        <v>1787</v>
      </c>
      <c r="F10" s="109" t="s">
        <v>1802</v>
      </c>
      <c r="G10" s="108" t="s">
        <v>1782</v>
      </c>
      <c r="H10" s="110" t="s">
        <v>1803</v>
      </c>
      <c r="I10" s="108" t="s">
        <v>1782</v>
      </c>
      <c r="J10" s="109" t="s">
        <v>368</v>
      </c>
      <c r="K10" s="109"/>
      <c r="L10" s="109" t="str">
        <f t="shared" si="1"/>
        <v>제13장 상소심절차-총설&gt;01&gt;1-2&gt;</v>
      </c>
      <c r="M10" s="109" t="str">
        <f t="shared" si="2"/>
        <v>제13장 상소심절차-총설&gt;제03절 상소의 효력&gt;01</v>
      </c>
      <c r="N10" s="109" t="str">
        <f t="shared" si="3"/>
        <v>2024&gt;3</v>
      </c>
      <c r="O10" s="109" t="str">
        <f t="shared" si="4"/>
        <v>2024&gt;1-2</v>
      </c>
      <c r="P10" s="109" t="s">
        <v>1798</v>
      </c>
    </row>
    <row r="11" spans="2:16" ht="14.45" customHeight="1" x14ac:dyDescent="0.2">
      <c r="B11" s="114">
        <f t="shared" si="0"/>
        <v>8</v>
      </c>
      <c r="C11" s="108" t="s">
        <v>1799</v>
      </c>
      <c r="D11" s="108" t="s">
        <v>1790</v>
      </c>
      <c r="E11" s="108" t="s">
        <v>1790</v>
      </c>
      <c r="F11" s="109" t="s">
        <v>1804</v>
      </c>
      <c r="G11" s="108" t="s">
        <v>1805</v>
      </c>
      <c r="H11" s="110" t="s">
        <v>1796</v>
      </c>
      <c r="I11" s="108" t="s">
        <v>1805</v>
      </c>
      <c r="J11" s="109" t="s">
        <v>1806</v>
      </c>
      <c r="K11" s="109" t="s">
        <v>1807</v>
      </c>
      <c r="L11" s="109" t="str">
        <f t="shared" si="1"/>
        <v>제09장 소송의 종료-당사자 행위에 의한 종료&gt;02&gt;2&gt;여러 다른 카테고리 확인 요망</v>
      </c>
      <c r="M11" s="109" t="str">
        <f t="shared" si="2"/>
        <v>제09장 소송의 종료-당사자 행위에 의한 종료&gt;제01절 소의 취하와 재소금지&gt;02</v>
      </c>
      <c r="N11" s="109" t="str">
        <f t="shared" si="3"/>
        <v>2024&gt;2</v>
      </c>
      <c r="O11" s="109" t="str">
        <f t="shared" si="4"/>
        <v>2024&gt;2</v>
      </c>
      <c r="P11" s="109" t="s">
        <v>1798</v>
      </c>
    </row>
    <row r="12" spans="2:16" ht="14.45" customHeight="1" x14ac:dyDescent="0.2">
      <c r="B12" s="114">
        <f t="shared" si="0"/>
        <v>9</v>
      </c>
      <c r="C12" s="108" t="s">
        <v>1799</v>
      </c>
      <c r="D12" s="108" t="s">
        <v>1787</v>
      </c>
      <c r="E12" s="108" t="s">
        <v>1794</v>
      </c>
      <c r="F12" s="109" t="s">
        <v>1808</v>
      </c>
      <c r="G12" s="108" t="s">
        <v>1782</v>
      </c>
      <c r="H12" s="110" t="s">
        <v>1809</v>
      </c>
      <c r="I12" s="108" t="s">
        <v>1782</v>
      </c>
      <c r="J12" s="109" t="s">
        <v>1810</v>
      </c>
      <c r="K12" s="109"/>
      <c r="L12" s="109" t="str">
        <f t="shared" si="1"/>
        <v>제06장 제1심 소송절차-변론&gt;01&gt;3&gt;</v>
      </c>
      <c r="M12" s="109" t="str">
        <f t="shared" si="2"/>
        <v>제06장 제1심 소송절차-변론&gt;제07절 기일・기간 및 송달&gt;01</v>
      </c>
      <c r="N12" s="109" t="str">
        <f t="shared" si="3"/>
        <v>2024&gt;1</v>
      </c>
      <c r="O12" s="109" t="str">
        <f t="shared" si="4"/>
        <v>2024&gt;3</v>
      </c>
      <c r="P12" s="109" t="s">
        <v>1798</v>
      </c>
    </row>
    <row r="13" spans="2:16" ht="14.45" customHeight="1" x14ac:dyDescent="0.2">
      <c r="B13" s="114">
        <f t="shared" si="0"/>
        <v>10</v>
      </c>
      <c r="C13" s="108" t="s">
        <v>1811</v>
      </c>
      <c r="D13" s="108" t="s">
        <v>1778</v>
      </c>
      <c r="E13" s="108" t="s">
        <v>1784</v>
      </c>
      <c r="F13" s="109" t="s">
        <v>1791</v>
      </c>
      <c r="G13" s="108" t="s">
        <v>1805</v>
      </c>
      <c r="H13" s="110" t="s">
        <v>1812</v>
      </c>
      <c r="I13" s="108" t="s">
        <v>1782</v>
      </c>
      <c r="J13" s="109" t="s">
        <v>1813</v>
      </c>
      <c r="K13" s="109"/>
      <c r="L13" s="109" t="str">
        <f t="shared" si="1"/>
        <v>제05장 제1심 소송절차-소송 개시와 심리 대상&gt;02&gt;1-1&gt;</v>
      </c>
      <c r="M13" s="109" t="str">
        <f t="shared" si="2"/>
        <v>제05장 제1심 소송절차-소송 개시와 심리 대상&gt;제07절 소제기의 효과&gt;01</v>
      </c>
      <c r="N13" s="109" t="str">
        <f t="shared" si="3"/>
        <v>2023&gt;4</v>
      </c>
      <c r="O13" s="109" t="str">
        <f t="shared" si="4"/>
        <v>2023&gt;1-1</v>
      </c>
      <c r="P13" s="109" t="s">
        <v>1798</v>
      </c>
    </row>
    <row r="14" spans="2:16" ht="14.45" customHeight="1" x14ac:dyDescent="0.2">
      <c r="B14" s="114">
        <f t="shared" si="0"/>
        <v>11</v>
      </c>
      <c r="C14" s="108" t="s">
        <v>1811</v>
      </c>
      <c r="D14" s="108" t="s">
        <v>1786</v>
      </c>
      <c r="E14" s="108" t="s">
        <v>1787</v>
      </c>
      <c r="F14" s="109" t="s">
        <v>1814</v>
      </c>
      <c r="G14" s="108" t="s">
        <v>1782</v>
      </c>
      <c r="H14" s="110" t="s">
        <v>1815</v>
      </c>
      <c r="I14" s="108" t="s">
        <v>1782</v>
      </c>
      <c r="J14" s="109" t="s">
        <v>1816</v>
      </c>
      <c r="K14" s="109"/>
      <c r="L14" s="109" t="str">
        <f t="shared" si="1"/>
        <v>제10장 소송의 종료-종국판결에 의한 종료&gt;01&gt;1-2&gt;</v>
      </c>
      <c r="M14" s="109" t="str">
        <f t="shared" si="2"/>
        <v>제10장 소송의 종료-종국판결에 의한 종료&gt;제02절 판결&gt;01</v>
      </c>
      <c r="N14" s="109" t="str">
        <f t="shared" si="3"/>
        <v>2023&gt;3</v>
      </c>
      <c r="O14" s="109" t="str">
        <f t="shared" si="4"/>
        <v>2023&gt;1-2</v>
      </c>
      <c r="P14" s="109" t="s">
        <v>1798</v>
      </c>
    </row>
    <row r="15" spans="2:16" ht="14.45" customHeight="1" x14ac:dyDescent="0.2">
      <c r="B15" s="114">
        <f t="shared" si="0"/>
        <v>12</v>
      </c>
      <c r="C15" s="108" t="s">
        <v>1811</v>
      </c>
      <c r="D15" s="108" t="s">
        <v>1790</v>
      </c>
      <c r="E15" s="108" t="s">
        <v>1790</v>
      </c>
      <c r="F15" s="109" t="s">
        <v>1791</v>
      </c>
      <c r="G15" s="108" t="s">
        <v>1828</v>
      </c>
      <c r="H15" s="110" t="s">
        <v>1792</v>
      </c>
      <c r="I15" s="108" t="s">
        <v>1805</v>
      </c>
      <c r="J15" s="109" t="s">
        <v>1817</v>
      </c>
      <c r="K15" s="109"/>
      <c r="L15" s="109" t="str">
        <f t="shared" si="1"/>
        <v>제05장 제1심 소송절차-소송 개시와 심리 대상&gt;03&gt;2&gt;</v>
      </c>
      <c r="M15" s="109" t="str">
        <f t="shared" si="2"/>
        <v>제05장 제1심 소송절차-소송 개시와 심리 대상&gt;제03절 소의 이익&gt;02</v>
      </c>
      <c r="N15" s="109" t="str">
        <f t="shared" si="3"/>
        <v>2023&gt;2</v>
      </c>
      <c r="O15" s="109" t="str">
        <f t="shared" si="4"/>
        <v>2023&gt;2</v>
      </c>
      <c r="P15" s="109" t="s">
        <v>1798</v>
      </c>
    </row>
    <row r="16" spans="2:16" ht="14.45" customHeight="1" x14ac:dyDescent="0.2">
      <c r="B16" s="114">
        <f t="shared" si="0"/>
        <v>13</v>
      </c>
      <c r="C16" s="108" t="s">
        <v>1811</v>
      </c>
      <c r="D16" s="108" t="s">
        <v>1787</v>
      </c>
      <c r="E16" s="108" t="s">
        <v>1794</v>
      </c>
      <c r="F16" s="109" t="s">
        <v>1818</v>
      </c>
      <c r="G16" s="108" t="s">
        <v>1782</v>
      </c>
      <c r="H16" s="110" t="s">
        <v>1819</v>
      </c>
      <c r="I16" s="108" t="s">
        <v>1782</v>
      </c>
      <c r="J16" s="109" t="s">
        <v>371</v>
      </c>
      <c r="K16" s="109"/>
      <c r="L16" s="109" t="str">
        <f t="shared" si="1"/>
        <v>제14장 상소심절차-항소&gt;01&gt;3&gt;</v>
      </c>
      <c r="M16" s="109" t="str">
        <f t="shared" si="2"/>
        <v>제14장 상소심절차-항소&gt;제02절 항소의 제기&gt;01</v>
      </c>
      <c r="N16" s="109" t="str">
        <f t="shared" si="3"/>
        <v>2023&gt;1</v>
      </c>
      <c r="O16" s="109" t="str">
        <f t="shared" si="4"/>
        <v>2023&gt;3</v>
      </c>
      <c r="P16" s="109" t="s">
        <v>1798</v>
      </c>
    </row>
    <row r="17" spans="2:16" ht="14.45" customHeight="1" x14ac:dyDescent="0.2">
      <c r="B17" s="114">
        <f t="shared" si="0"/>
        <v>14</v>
      </c>
      <c r="C17" s="108" t="s">
        <v>1820</v>
      </c>
      <c r="D17" s="108" t="s">
        <v>1778</v>
      </c>
      <c r="E17" s="108" t="s">
        <v>1784</v>
      </c>
      <c r="F17" s="109" t="s">
        <v>1460</v>
      </c>
      <c r="G17" s="108" t="s">
        <v>1805</v>
      </c>
      <c r="H17" s="110" t="s">
        <v>1788</v>
      </c>
      <c r="I17" s="108" t="s">
        <v>1805</v>
      </c>
      <c r="J17" s="109" t="s">
        <v>1821</v>
      </c>
      <c r="K17" s="109"/>
      <c r="L17" s="109" t="str">
        <f t="shared" si="1"/>
        <v>제11장 병합소송-병합청구소송&gt;02&gt;1-1&gt;</v>
      </c>
      <c r="M17" s="109" t="str">
        <f t="shared" si="2"/>
        <v>제11장 병합소송-병합청구소송&gt;제01절 청구의 원시적 병합&gt;02</v>
      </c>
      <c r="N17" s="109" t="str">
        <f t="shared" si="3"/>
        <v>2022&gt;4</v>
      </c>
      <c r="O17" s="109" t="str">
        <f t="shared" si="4"/>
        <v>2022&gt;1-1</v>
      </c>
      <c r="P17" s="109" t="s">
        <v>1798</v>
      </c>
    </row>
    <row r="18" spans="2:16" ht="14.45" customHeight="1" x14ac:dyDescent="0.2">
      <c r="B18" s="114">
        <f t="shared" si="0"/>
        <v>15</v>
      </c>
      <c r="C18" s="108" t="s">
        <v>1820</v>
      </c>
      <c r="D18" s="108" t="s">
        <v>1786</v>
      </c>
      <c r="E18" s="108" t="s">
        <v>1787</v>
      </c>
      <c r="F18" s="109" t="s">
        <v>1528</v>
      </c>
      <c r="G18" s="108" t="s">
        <v>1805</v>
      </c>
      <c r="H18" s="110" t="s">
        <v>1800</v>
      </c>
      <c r="I18" s="108" t="s">
        <v>1805</v>
      </c>
      <c r="J18" s="109" t="s">
        <v>1822</v>
      </c>
      <c r="K18" s="109"/>
      <c r="L18" s="109" t="str">
        <f t="shared" si="1"/>
        <v>제12장 병합소송-다수당사자소송&gt;02&gt;1-2&gt;</v>
      </c>
      <c r="M18" s="109" t="str">
        <f t="shared" si="2"/>
        <v>제12장 병합소송-다수당사자소송&gt;제01절 공동소송&gt;02</v>
      </c>
      <c r="N18" s="109" t="str">
        <f t="shared" si="3"/>
        <v>2022&gt;3</v>
      </c>
      <c r="O18" s="109" t="str">
        <f t="shared" si="4"/>
        <v>2022&gt;1-2</v>
      </c>
      <c r="P18" s="109" t="s">
        <v>1798</v>
      </c>
    </row>
    <row r="19" spans="2:16" ht="14.45" customHeight="1" x14ac:dyDescent="0.2">
      <c r="B19" s="114">
        <f t="shared" si="0"/>
        <v>16</v>
      </c>
      <c r="C19" s="108" t="s">
        <v>1820</v>
      </c>
      <c r="D19" s="108" t="s">
        <v>1790</v>
      </c>
      <c r="E19" s="108" t="s">
        <v>1790</v>
      </c>
      <c r="F19" s="109" t="s">
        <v>1808</v>
      </c>
      <c r="G19" s="108" t="s">
        <v>1805</v>
      </c>
      <c r="H19" s="110" t="s">
        <v>1823</v>
      </c>
      <c r="I19" s="108" t="s">
        <v>1782</v>
      </c>
      <c r="J19" s="109" t="s">
        <v>298</v>
      </c>
      <c r="K19" s="109"/>
      <c r="L19" s="109" t="str">
        <f t="shared" si="1"/>
        <v>제06장 제1심 소송절차-변론&gt;02&gt;2&gt;</v>
      </c>
      <c r="M19" s="109" t="str">
        <f t="shared" si="2"/>
        <v>제06장 제1심 소송절차-변론&gt;제04절 변론&gt;01</v>
      </c>
      <c r="N19" s="109" t="str">
        <f t="shared" si="3"/>
        <v>2022&gt;2</v>
      </c>
      <c r="O19" s="109" t="str">
        <f t="shared" si="4"/>
        <v>2022&gt;2</v>
      </c>
      <c r="P19" s="109" t="s">
        <v>1798</v>
      </c>
    </row>
    <row r="20" spans="2:16" ht="14.45" customHeight="1" x14ac:dyDescent="0.2">
      <c r="B20" s="114">
        <f t="shared" si="0"/>
        <v>17</v>
      </c>
      <c r="C20" s="108" t="s">
        <v>1820</v>
      </c>
      <c r="D20" s="108" t="s">
        <v>1787</v>
      </c>
      <c r="E20" s="108" t="s">
        <v>1794</v>
      </c>
      <c r="F20" s="109" t="s">
        <v>1814</v>
      </c>
      <c r="G20" s="108" t="s">
        <v>1805</v>
      </c>
      <c r="H20" s="110" t="s">
        <v>1815</v>
      </c>
      <c r="I20" s="108" t="s">
        <v>1805</v>
      </c>
      <c r="J20" s="109" t="s">
        <v>1824</v>
      </c>
      <c r="K20" s="109"/>
      <c r="L20" s="109" t="str">
        <f t="shared" si="1"/>
        <v>제10장 소송의 종료-종국판결에 의한 종료&gt;02&gt;3&gt;</v>
      </c>
      <c r="M20" s="109" t="str">
        <f t="shared" si="2"/>
        <v>제10장 소송의 종료-종국판결에 의한 종료&gt;제02절 판결&gt;02</v>
      </c>
      <c r="N20" s="109" t="str">
        <f t="shared" si="3"/>
        <v>2022&gt;1</v>
      </c>
      <c r="O20" s="109" t="str">
        <f t="shared" si="4"/>
        <v>2022&gt;3</v>
      </c>
      <c r="P20" s="109" t="s">
        <v>1798</v>
      </c>
    </row>
    <row r="21" spans="2:16" ht="14.45" customHeight="1" x14ac:dyDescent="0.2">
      <c r="B21" s="114">
        <f t="shared" si="0"/>
        <v>18</v>
      </c>
      <c r="C21" s="108" t="s">
        <v>1825</v>
      </c>
      <c r="D21" s="108" t="s">
        <v>1778</v>
      </c>
      <c r="E21" s="108" t="s">
        <v>1784</v>
      </c>
      <c r="F21" s="109" t="s">
        <v>1780</v>
      </c>
      <c r="G21" s="108" t="s">
        <v>1828</v>
      </c>
      <c r="H21" s="110" t="s">
        <v>1826</v>
      </c>
      <c r="I21" s="108" t="s">
        <v>1782</v>
      </c>
      <c r="J21" s="109" t="s">
        <v>1827</v>
      </c>
      <c r="K21" s="109"/>
      <c r="L21" s="109" t="str">
        <f t="shared" si="1"/>
        <v>제07장 제1심 소송절차-증거&gt;03&gt;1-1&gt;</v>
      </c>
      <c r="M21" s="109" t="str">
        <f t="shared" si="2"/>
        <v>제07장 제1심 소송절차-증거&gt;제03절 불요증사실&gt;01</v>
      </c>
      <c r="N21" s="109" t="str">
        <f t="shared" si="3"/>
        <v>2021&gt;4</v>
      </c>
      <c r="O21" s="109" t="str">
        <f t="shared" si="4"/>
        <v>2021&gt;1-1</v>
      </c>
      <c r="P21" s="109" t="s">
        <v>1798</v>
      </c>
    </row>
    <row r="22" spans="2:16" ht="14.45" customHeight="1" x14ac:dyDescent="0.2">
      <c r="B22" s="114">
        <f t="shared" si="0"/>
        <v>19</v>
      </c>
      <c r="C22" s="108" t="s">
        <v>1825</v>
      </c>
      <c r="D22" s="108" t="s">
        <v>1786</v>
      </c>
      <c r="E22" s="108" t="s">
        <v>1787</v>
      </c>
      <c r="F22" s="109" t="s">
        <v>1528</v>
      </c>
      <c r="G22" s="108" t="s">
        <v>1828</v>
      </c>
      <c r="H22" s="110" t="s">
        <v>1800</v>
      </c>
      <c r="I22" s="108" t="s">
        <v>1828</v>
      </c>
      <c r="J22" s="109" t="s">
        <v>1829</v>
      </c>
      <c r="K22" s="109"/>
      <c r="L22" s="109" t="str">
        <f t="shared" si="1"/>
        <v>제12장 병합소송-다수당사자소송&gt;03&gt;1-2&gt;</v>
      </c>
      <c r="M22" s="109" t="str">
        <f t="shared" si="2"/>
        <v>제12장 병합소송-다수당사자소송&gt;제01절 공동소송&gt;03</v>
      </c>
      <c r="N22" s="109" t="str">
        <f t="shared" si="3"/>
        <v>2021&gt;3</v>
      </c>
      <c r="O22" s="109" t="str">
        <f t="shared" si="4"/>
        <v>2021&gt;1-2</v>
      </c>
      <c r="P22" s="109" t="s">
        <v>1798</v>
      </c>
    </row>
    <row r="23" spans="2:16" ht="14.45" customHeight="1" x14ac:dyDescent="0.2">
      <c r="B23" s="114">
        <f t="shared" si="0"/>
        <v>20</v>
      </c>
      <c r="C23" s="108" t="s">
        <v>1825</v>
      </c>
      <c r="D23" s="108" t="s">
        <v>1790</v>
      </c>
      <c r="E23" s="108" t="s">
        <v>1790</v>
      </c>
      <c r="F23" s="109" t="s">
        <v>1830</v>
      </c>
      <c r="G23" s="108" t="s">
        <v>1782</v>
      </c>
      <c r="H23" s="110" t="s">
        <v>1831</v>
      </c>
      <c r="I23" s="108" t="s">
        <v>1782</v>
      </c>
      <c r="J23" s="109" t="s">
        <v>1832</v>
      </c>
      <c r="K23" s="109"/>
      <c r="L23" s="109" t="str">
        <f t="shared" si="1"/>
        <v>제04장 소송의 주체-당사자&gt;01&gt;2&gt;</v>
      </c>
      <c r="M23" s="109" t="str">
        <f t="shared" si="2"/>
        <v>제04장 소송의 주체-당사자&gt;제02절 당사자의 자격&gt;01</v>
      </c>
      <c r="N23" s="109" t="str">
        <f t="shared" si="3"/>
        <v>2021&gt;2</v>
      </c>
      <c r="O23" s="109" t="str">
        <f t="shared" si="4"/>
        <v>2021&gt;2</v>
      </c>
      <c r="P23" s="109" t="s">
        <v>1798</v>
      </c>
    </row>
    <row r="24" spans="2:16" ht="14.45" customHeight="1" x14ac:dyDescent="0.2">
      <c r="B24" s="114">
        <f t="shared" si="0"/>
        <v>21</v>
      </c>
      <c r="C24" s="108" t="s">
        <v>1825</v>
      </c>
      <c r="D24" s="108" t="s">
        <v>1787</v>
      </c>
      <c r="E24" s="108" t="s">
        <v>1794</v>
      </c>
      <c r="F24" s="109" t="s">
        <v>1460</v>
      </c>
      <c r="G24" s="108" t="s">
        <v>1828</v>
      </c>
      <c r="H24" s="110" t="s">
        <v>1833</v>
      </c>
      <c r="I24" s="108" t="s">
        <v>1782</v>
      </c>
      <c r="J24" s="109" t="s">
        <v>1834</v>
      </c>
      <c r="K24" s="109"/>
      <c r="L24" s="109" t="str">
        <f t="shared" si="1"/>
        <v>제11장 병합소송-병합청구소송&gt;03&gt;3&gt;</v>
      </c>
      <c r="M24" s="109" t="str">
        <f t="shared" si="2"/>
        <v>제11장 병합소송-병합청구소송&gt;제02절 청구의 후발적 병합&gt;01</v>
      </c>
      <c r="N24" s="109" t="str">
        <f t="shared" si="3"/>
        <v>2021&gt;1</v>
      </c>
      <c r="O24" s="109" t="str">
        <f t="shared" si="4"/>
        <v>2021&gt;3</v>
      </c>
      <c r="P24" s="109" t="s">
        <v>1798</v>
      </c>
    </row>
    <row r="25" spans="2:16" ht="14.45" customHeight="1" x14ac:dyDescent="0.2">
      <c r="B25" s="114">
        <f t="shared" si="0"/>
        <v>22</v>
      </c>
      <c r="C25" s="108" t="s">
        <v>1835</v>
      </c>
      <c r="D25" s="108" t="s">
        <v>1778</v>
      </c>
      <c r="E25" s="108" t="s">
        <v>1784</v>
      </c>
      <c r="F25" s="109" t="s">
        <v>1836</v>
      </c>
      <c r="G25" s="108" t="s">
        <v>1782</v>
      </c>
      <c r="H25" s="110" t="s">
        <v>1837</v>
      </c>
      <c r="I25" s="108" t="s">
        <v>1782</v>
      </c>
      <c r="J25" s="109" t="s">
        <v>1838</v>
      </c>
      <c r="K25" s="109"/>
      <c r="L25" s="109" t="str">
        <f t="shared" si="1"/>
        <v>제03장 소송의 주체-법원&gt;01&gt;1-1&gt;</v>
      </c>
      <c r="M25" s="109" t="str">
        <f t="shared" si="2"/>
        <v>제03장 소송의 주체-법원&gt;제03절 관할&gt;01</v>
      </c>
      <c r="N25" s="109" t="str">
        <f t="shared" si="3"/>
        <v>2020&gt;4</v>
      </c>
      <c r="O25" s="109" t="str">
        <f t="shared" si="4"/>
        <v>2020&gt;1-1</v>
      </c>
      <c r="P25" s="109" t="s">
        <v>1798</v>
      </c>
    </row>
    <row r="26" spans="2:16" ht="14.45" customHeight="1" x14ac:dyDescent="0.2">
      <c r="B26" s="114">
        <f t="shared" si="0"/>
        <v>23</v>
      </c>
      <c r="C26" s="108" t="s">
        <v>1835</v>
      </c>
      <c r="D26" s="108" t="s">
        <v>1786</v>
      </c>
      <c r="E26" s="108" t="s">
        <v>1787</v>
      </c>
      <c r="F26" s="109" t="s">
        <v>1830</v>
      </c>
      <c r="G26" s="108" t="s">
        <v>1805</v>
      </c>
      <c r="H26" s="110" t="s">
        <v>1839</v>
      </c>
      <c r="I26" s="108" t="s">
        <v>1782</v>
      </c>
      <c r="J26" s="109" t="s">
        <v>258</v>
      </c>
      <c r="K26" s="109"/>
      <c r="L26" s="109" t="str">
        <f t="shared" si="1"/>
        <v>제04장 소송의 주체-당사자&gt;02&gt;1-2&gt;</v>
      </c>
      <c r="M26" s="109" t="str">
        <f t="shared" si="2"/>
        <v>제04장 소송의 주체-당사자&gt;제01절 당사자의 확정&gt;01</v>
      </c>
      <c r="N26" s="109" t="str">
        <f t="shared" si="3"/>
        <v>2020&gt;3</v>
      </c>
      <c r="O26" s="109" t="str">
        <f t="shared" si="4"/>
        <v>2020&gt;1-2</v>
      </c>
      <c r="P26" s="109" t="s">
        <v>1798</v>
      </c>
    </row>
    <row r="27" spans="2:16" ht="14.45" customHeight="1" x14ac:dyDescent="0.2">
      <c r="B27" s="114">
        <f t="shared" si="0"/>
        <v>24</v>
      </c>
      <c r="C27" s="108" t="s">
        <v>1835</v>
      </c>
      <c r="D27" s="108" t="s">
        <v>1790</v>
      </c>
      <c r="E27" s="108" t="s">
        <v>1790</v>
      </c>
      <c r="F27" s="109" t="s">
        <v>1808</v>
      </c>
      <c r="G27" s="108" t="s">
        <v>1828</v>
      </c>
      <c r="H27" s="110" t="s">
        <v>1840</v>
      </c>
      <c r="I27" s="108" t="s">
        <v>1782</v>
      </c>
      <c r="J27" s="109" t="s">
        <v>1841</v>
      </c>
      <c r="K27" s="109"/>
      <c r="L27" s="109" t="str">
        <f t="shared" si="1"/>
        <v>제06장 제1심 소송절차-변론&gt;03&gt;2&gt;</v>
      </c>
      <c r="M27" s="109" t="str">
        <f t="shared" si="2"/>
        <v>제06장 제1심 소송절차-변론&gt;제02절 심리에 관한 제 원칙&gt;01</v>
      </c>
      <c r="N27" s="109" t="str">
        <f t="shared" si="3"/>
        <v>2020&gt;2</v>
      </c>
      <c r="O27" s="109" t="str">
        <f t="shared" si="4"/>
        <v>2020&gt;2</v>
      </c>
      <c r="P27" s="109"/>
    </row>
    <row r="28" spans="2:16" ht="14.45" customHeight="1" x14ac:dyDescent="0.2">
      <c r="B28" s="114">
        <f t="shared" si="0"/>
        <v>25</v>
      </c>
      <c r="C28" s="108" t="s">
        <v>1835</v>
      </c>
      <c r="D28" s="108" t="s">
        <v>1787</v>
      </c>
      <c r="E28" s="108" t="s">
        <v>1794</v>
      </c>
      <c r="F28" s="109" t="s">
        <v>1528</v>
      </c>
      <c r="G28" s="108" t="s">
        <v>1842</v>
      </c>
      <c r="H28" s="110" t="s">
        <v>1800</v>
      </c>
      <c r="I28" s="108" t="s">
        <v>1842</v>
      </c>
      <c r="J28" s="109" t="s">
        <v>1843</v>
      </c>
      <c r="K28" s="109"/>
      <c r="L28" s="109" t="str">
        <f t="shared" si="1"/>
        <v>제12장 병합소송-다수당사자소송&gt;04&gt;3&gt;</v>
      </c>
      <c r="M28" s="109" t="str">
        <f t="shared" si="2"/>
        <v>제12장 병합소송-다수당사자소송&gt;제01절 공동소송&gt;04</v>
      </c>
      <c r="N28" s="109" t="str">
        <f t="shared" si="3"/>
        <v>2020&gt;1</v>
      </c>
      <c r="O28" s="109" t="str">
        <f t="shared" si="4"/>
        <v>2020&gt;3</v>
      </c>
      <c r="P28" s="109"/>
    </row>
    <row r="29" spans="2:16" ht="14.45" customHeight="1" x14ac:dyDescent="0.2">
      <c r="B29" s="114">
        <f t="shared" si="0"/>
        <v>26</v>
      </c>
      <c r="C29" s="108" t="s">
        <v>1844</v>
      </c>
      <c r="D29" s="108" t="s">
        <v>1778</v>
      </c>
      <c r="E29" s="108" t="s">
        <v>1784</v>
      </c>
      <c r="F29" s="109" t="s">
        <v>1808</v>
      </c>
      <c r="G29" s="108" t="s">
        <v>1842</v>
      </c>
      <c r="H29" s="110" t="s">
        <v>1840</v>
      </c>
      <c r="I29" s="108" t="s">
        <v>1805</v>
      </c>
      <c r="J29" s="109" t="s">
        <v>1845</v>
      </c>
      <c r="K29" s="109"/>
      <c r="L29" s="109" t="str">
        <f t="shared" si="1"/>
        <v>제06장 제1심 소송절차-변론&gt;04&gt;1-1&gt;</v>
      </c>
      <c r="M29" s="109" t="str">
        <f t="shared" si="2"/>
        <v>제06장 제1심 소송절차-변론&gt;제02절 심리에 관한 제 원칙&gt;02</v>
      </c>
      <c r="N29" s="109" t="str">
        <f t="shared" si="3"/>
        <v>2019&gt;4</v>
      </c>
      <c r="O29" s="109" t="str">
        <f t="shared" si="4"/>
        <v>2019&gt;1-1</v>
      </c>
      <c r="P29" s="109" t="s">
        <v>1798</v>
      </c>
    </row>
    <row r="30" spans="2:16" ht="14.45" customHeight="1" x14ac:dyDescent="0.2">
      <c r="B30" s="114">
        <f t="shared" si="0"/>
        <v>27</v>
      </c>
      <c r="C30" s="108" t="s">
        <v>1844</v>
      </c>
      <c r="D30" s="108" t="s">
        <v>1786</v>
      </c>
      <c r="E30" s="108" t="s">
        <v>1787</v>
      </c>
      <c r="F30" s="109" t="s">
        <v>1814</v>
      </c>
      <c r="G30" s="108" t="s">
        <v>1828</v>
      </c>
      <c r="H30" s="110" t="s">
        <v>1815</v>
      </c>
      <c r="I30" s="108" t="s">
        <v>1828</v>
      </c>
      <c r="J30" s="109" t="s">
        <v>1846</v>
      </c>
      <c r="K30" s="109"/>
      <c r="L30" s="109" t="str">
        <f t="shared" si="1"/>
        <v>제10장 소송의 종료-종국판결에 의한 종료&gt;03&gt;1-2&gt;</v>
      </c>
      <c r="M30" s="109" t="str">
        <f t="shared" si="2"/>
        <v>제10장 소송의 종료-종국판결에 의한 종료&gt;제02절 판결&gt;03</v>
      </c>
      <c r="N30" s="109" t="str">
        <f t="shared" si="3"/>
        <v>2019&gt;3</v>
      </c>
      <c r="O30" s="109" t="str">
        <f t="shared" si="4"/>
        <v>2019&gt;1-2</v>
      </c>
      <c r="P30" s="109" t="s">
        <v>1798</v>
      </c>
    </row>
    <row r="31" spans="2:16" ht="14.45" customHeight="1" x14ac:dyDescent="0.2">
      <c r="B31" s="114">
        <f t="shared" si="0"/>
        <v>28</v>
      </c>
      <c r="C31" s="108" t="s">
        <v>1844</v>
      </c>
      <c r="D31" s="108" t="s">
        <v>1790</v>
      </c>
      <c r="E31" s="108" t="s">
        <v>1790</v>
      </c>
      <c r="F31" s="109" t="s">
        <v>1836</v>
      </c>
      <c r="G31" s="108" t="s">
        <v>1805</v>
      </c>
      <c r="H31" s="110" t="s">
        <v>1837</v>
      </c>
      <c r="I31" s="108" t="s">
        <v>1805</v>
      </c>
      <c r="J31" s="109" t="s">
        <v>1847</v>
      </c>
      <c r="K31" s="109"/>
      <c r="L31" s="109" t="str">
        <f t="shared" si="1"/>
        <v>제03장 소송의 주체-법원&gt;02&gt;2&gt;</v>
      </c>
      <c r="M31" s="109" t="str">
        <f t="shared" si="2"/>
        <v>제03장 소송의 주체-법원&gt;제03절 관할&gt;02</v>
      </c>
      <c r="N31" s="109" t="str">
        <f t="shared" si="3"/>
        <v>2019&gt;2</v>
      </c>
      <c r="O31" s="109" t="str">
        <f t="shared" si="4"/>
        <v>2019&gt;2</v>
      </c>
      <c r="P31" s="109"/>
    </row>
    <row r="32" spans="2:16" ht="14.45" customHeight="1" x14ac:dyDescent="0.2">
      <c r="B32" s="114">
        <f t="shared" si="0"/>
        <v>29</v>
      </c>
      <c r="C32" s="108" t="s">
        <v>1844</v>
      </c>
      <c r="D32" s="108" t="s">
        <v>1787</v>
      </c>
      <c r="E32" s="108" t="s">
        <v>1794</v>
      </c>
      <c r="F32" s="109" t="s">
        <v>1528</v>
      </c>
      <c r="G32" s="108" t="s">
        <v>1870</v>
      </c>
      <c r="H32" s="110" t="s">
        <v>1848</v>
      </c>
      <c r="I32" s="108" t="s">
        <v>1782</v>
      </c>
      <c r="J32" s="109" t="s">
        <v>1849</v>
      </c>
      <c r="K32" s="109"/>
      <c r="L32" s="109" t="str">
        <f t="shared" si="1"/>
        <v>제12장 병합소송-다수당사자소송&gt;05&gt;3&gt;</v>
      </c>
      <c r="M32" s="109" t="str">
        <f t="shared" si="2"/>
        <v>제12장 병합소송-다수당사자소송&gt;제02절 제3자의 소송참가&gt;01</v>
      </c>
      <c r="N32" s="109" t="str">
        <f t="shared" si="3"/>
        <v>2019&gt;1</v>
      </c>
      <c r="O32" s="109" t="str">
        <f t="shared" si="4"/>
        <v>2019&gt;3</v>
      </c>
      <c r="P32" s="109"/>
    </row>
    <row r="33" spans="2:16" ht="14.45" customHeight="1" x14ac:dyDescent="0.2">
      <c r="B33" s="114">
        <f t="shared" si="0"/>
        <v>30</v>
      </c>
      <c r="C33" s="108" t="s">
        <v>1850</v>
      </c>
      <c r="D33" s="108" t="s">
        <v>1778</v>
      </c>
      <c r="E33" s="108" t="s">
        <v>1784</v>
      </c>
      <c r="F33" s="109" t="s">
        <v>1791</v>
      </c>
      <c r="G33" s="108" t="s">
        <v>1842</v>
      </c>
      <c r="H33" s="110" t="s">
        <v>1792</v>
      </c>
      <c r="I33" s="108" t="s">
        <v>1828</v>
      </c>
      <c r="J33" s="109" t="s">
        <v>1851</v>
      </c>
      <c r="K33" s="109"/>
      <c r="L33" s="109" t="str">
        <f t="shared" si="1"/>
        <v>제05장 제1심 소송절차-소송 개시와 심리 대상&gt;04&gt;1-1&gt;</v>
      </c>
      <c r="M33" s="109" t="str">
        <f t="shared" si="2"/>
        <v>제05장 제1심 소송절차-소송 개시와 심리 대상&gt;제03절 소의 이익&gt;03</v>
      </c>
      <c r="N33" s="109" t="str">
        <f t="shared" si="3"/>
        <v>2018&gt;4</v>
      </c>
      <c r="O33" s="109" t="str">
        <f t="shared" si="4"/>
        <v>2018&gt;1-1</v>
      </c>
      <c r="P33" s="109" t="s">
        <v>1798</v>
      </c>
    </row>
    <row r="34" spans="2:16" ht="14.45" customHeight="1" x14ac:dyDescent="0.2">
      <c r="B34" s="114">
        <f t="shared" si="0"/>
        <v>31</v>
      </c>
      <c r="C34" s="108" t="s">
        <v>1850</v>
      </c>
      <c r="D34" s="108" t="s">
        <v>1786</v>
      </c>
      <c r="E34" s="108" t="s">
        <v>1787</v>
      </c>
      <c r="F34" s="109" t="s">
        <v>1830</v>
      </c>
      <c r="G34" s="108" t="s">
        <v>1828</v>
      </c>
      <c r="H34" s="110" t="s">
        <v>1852</v>
      </c>
      <c r="I34" s="108" t="s">
        <v>1782</v>
      </c>
      <c r="J34" s="109" t="s">
        <v>1853</v>
      </c>
      <c r="K34" s="109"/>
      <c r="L34" s="109" t="str">
        <f t="shared" si="1"/>
        <v>제04장 소송의 주체-당사자&gt;03&gt;1-2&gt;</v>
      </c>
      <c r="M34" s="109" t="str">
        <f t="shared" si="2"/>
        <v>제04장 소송의 주체-당사자&gt;제03절 소송상의 대리인&gt;01</v>
      </c>
      <c r="N34" s="109" t="str">
        <f t="shared" si="3"/>
        <v>2018&gt;3</v>
      </c>
      <c r="O34" s="109" t="str">
        <f t="shared" si="4"/>
        <v>2018&gt;1-2</v>
      </c>
      <c r="P34" s="109" t="s">
        <v>1798</v>
      </c>
    </row>
    <row r="35" spans="2:16" ht="14.45" customHeight="1" x14ac:dyDescent="0.2">
      <c r="B35" s="114">
        <f t="shared" si="0"/>
        <v>32</v>
      </c>
      <c r="C35" s="108" t="s">
        <v>1850</v>
      </c>
      <c r="D35" s="108" t="s">
        <v>1790</v>
      </c>
      <c r="E35" s="108" t="s">
        <v>1790</v>
      </c>
      <c r="F35" s="109" t="s">
        <v>1528</v>
      </c>
      <c r="G35" s="108" t="s">
        <v>1889</v>
      </c>
      <c r="H35" s="110" t="s">
        <v>1848</v>
      </c>
      <c r="I35" s="108" t="s">
        <v>1805</v>
      </c>
      <c r="J35" s="109" t="s">
        <v>1854</v>
      </c>
      <c r="K35" s="109"/>
      <c r="L35" s="109" t="str">
        <f t="shared" si="1"/>
        <v>제12장 병합소송-다수당사자소송&gt;06&gt;2&gt;</v>
      </c>
      <c r="M35" s="109" t="str">
        <f t="shared" si="2"/>
        <v>제12장 병합소송-다수당사자소송&gt;제02절 제3자의 소송참가&gt;02</v>
      </c>
      <c r="N35" s="109" t="str">
        <f t="shared" si="3"/>
        <v>2018&gt;2</v>
      </c>
      <c r="O35" s="109" t="str">
        <f t="shared" si="4"/>
        <v>2018&gt;2</v>
      </c>
      <c r="P35" s="109" t="s">
        <v>1798</v>
      </c>
    </row>
    <row r="36" spans="2:16" ht="14.45" customHeight="1" x14ac:dyDescent="0.2">
      <c r="B36" s="114">
        <f t="shared" ref="B36:B67" si="5">ROW()-3</f>
        <v>33</v>
      </c>
      <c r="C36" s="108" t="s">
        <v>1850</v>
      </c>
      <c r="D36" s="108" t="s">
        <v>1787</v>
      </c>
      <c r="E36" s="108" t="s">
        <v>1794</v>
      </c>
      <c r="F36" s="109" t="s">
        <v>1780</v>
      </c>
      <c r="G36" s="108" t="s">
        <v>1842</v>
      </c>
      <c r="H36" s="110" t="s">
        <v>1855</v>
      </c>
      <c r="I36" s="108" t="s">
        <v>1782</v>
      </c>
      <c r="J36" s="109" t="s">
        <v>1856</v>
      </c>
      <c r="K36" s="109"/>
      <c r="L36" s="109" t="str">
        <f t="shared" ref="L36:L67" si="6">F36&amp;"&gt;"&amp;G36&amp;"&gt;"&amp;D36&amp;"&gt;"&amp;K36</f>
        <v>제07장 제1심 소송절차-증거&gt;04&gt;3&gt;</v>
      </c>
      <c r="M36" s="109" t="str">
        <f t="shared" ref="M36:M67" si="7">F36&amp;"&gt;"&amp;H36&amp;"&gt;"&amp;I36</f>
        <v>제07장 제1심 소송절차-증거&gt;제04절 증거조사의 개시와 실시&gt;01</v>
      </c>
      <c r="N36" s="109" t="str">
        <f t="shared" ref="N36:N67" si="8">C36&amp;"&gt;"&amp;E36</f>
        <v>2018&gt;1</v>
      </c>
      <c r="O36" s="109" t="str">
        <f t="shared" ref="O36:O67" si="9">C36&amp;"&gt;"&amp;D36</f>
        <v>2018&gt;3</v>
      </c>
      <c r="P36" s="109" t="s">
        <v>1798</v>
      </c>
    </row>
    <row r="37" spans="2:16" ht="14.45" customHeight="1" x14ac:dyDescent="0.2">
      <c r="B37" s="114">
        <f t="shared" si="5"/>
        <v>34</v>
      </c>
      <c r="C37" s="108" t="s">
        <v>1857</v>
      </c>
      <c r="D37" s="108" t="s">
        <v>1786</v>
      </c>
      <c r="E37" s="108" t="s">
        <v>1784</v>
      </c>
      <c r="F37" s="109" t="s">
        <v>1830</v>
      </c>
      <c r="G37" s="108" t="s">
        <v>1842</v>
      </c>
      <c r="H37" s="110" t="s">
        <v>1831</v>
      </c>
      <c r="I37" s="108" t="s">
        <v>1805</v>
      </c>
      <c r="J37" s="109" t="s">
        <v>1859</v>
      </c>
      <c r="K37" s="109"/>
      <c r="L37" s="109" t="str">
        <f t="shared" si="6"/>
        <v>제04장 소송의 주체-당사자&gt;04&gt;1-2&gt;</v>
      </c>
      <c r="M37" s="109" t="str">
        <f t="shared" si="7"/>
        <v>제04장 소송의 주체-당사자&gt;제02절 당사자의 자격&gt;02</v>
      </c>
      <c r="N37" s="109" t="str">
        <f t="shared" si="8"/>
        <v>2017&gt;4</v>
      </c>
      <c r="O37" s="109" t="str">
        <f t="shared" si="9"/>
        <v>2017&gt;1-2</v>
      </c>
      <c r="P37" s="109" t="s">
        <v>1798</v>
      </c>
    </row>
    <row r="38" spans="2:16" ht="14.45" customHeight="1" x14ac:dyDescent="0.2">
      <c r="B38" s="114">
        <f t="shared" si="5"/>
        <v>35</v>
      </c>
      <c r="C38" s="108" t="s">
        <v>1857</v>
      </c>
      <c r="D38" s="108" t="s">
        <v>1778</v>
      </c>
      <c r="E38" s="108" t="s">
        <v>1784</v>
      </c>
      <c r="F38" s="109" t="s">
        <v>1528</v>
      </c>
      <c r="G38" s="108" t="s">
        <v>1891</v>
      </c>
      <c r="H38" s="110" t="s">
        <v>1848</v>
      </c>
      <c r="I38" s="108" t="s">
        <v>1828</v>
      </c>
      <c r="J38" s="109" t="s">
        <v>1858</v>
      </c>
      <c r="K38" s="109"/>
      <c r="L38" s="109" t="str">
        <f t="shared" si="6"/>
        <v>제12장 병합소송-다수당사자소송&gt;07&gt;1-1&gt;</v>
      </c>
      <c r="M38" s="109" t="str">
        <f t="shared" si="7"/>
        <v>제12장 병합소송-다수당사자소송&gt;제02절 제3자의 소송참가&gt;03</v>
      </c>
      <c r="N38" s="109" t="str">
        <f t="shared" si="8"/>
        <v>2017&gt;4</v>
      </c>
      <c r="O38" s="109" t="str">
        <f t="shared" si="9"/>
        <v>2017&gt;1-1</v>
      </c>
      <c r="P38" s="109" t="s">
        <v>1798</v>
      </c>
    </row>
    <row r="39" spans="2:16" ht="14.45" customHeight="1" x14ac:dyDescent="0.2">
      <c r="B39" s="114">
        <f t="shared" si="5"/>
        <v>36</v>
      </c>
      <c r="C39" s="108" t="s">
        <v>1857</v>
      </c>
      <c r="D39" s="108" t="s">
        <v>1790</v>
      </c>
      <c r="E39" s="108" t="s">
        <v>1787</v>
      </c>
      <c r="F39" s="109" t="s">
        <v>1808</v>
      </c>
      <c r="G39" s="108" t="s">
        <v>1870</v>
      </c>
      <c r="H39" s="110" t="s">
        <v>1861</v>
      </c>
      <c r="I39" s="108" t="s">
        <v>1782</v>
      </c>
      <c r="J39" s="109" t="s">
        <v>300</v>
      </c>
      <c r="K39" s="109"/>
      <c r="L39" s="109" t="str">
        <f t="shared" si="6"/>
        <v>제06장 제1심 소송절차-변론&gt;05&gt;2&gt;</v>
      </c>
      <c r="M39" s="109" t="str">
        <f t="shared" si="7"/>
        <v>제06장 제1심 소송절차-변론&gt;제06절 변론기일에서의 당사자의 결석&gt;01</v>
      </c>
      <c r="N39" s="109" t="str">
        <f t="shared" si="8"/>
        <v>2017&gt;3</v>
      </c>
      <c r="O39" s="109" t="str">
        <f t="shared" si="9"/>
        <v>2017&gt;2</v>
      </c>
      <c r="P39" s="109" t="s">
        <v>1798</v>
      </c>
    </row>
    <row r="40" spans="2:16" ht="14.45" customHeight="1" x14ac:dyDescent="0.2">
      <c r="B40" s="114">
        <f t="shared" si="5"/>
        <v>37</v>
      </c>
      <c r="C40" s="108" t="s">
        <v>1857</v>
      </c>
      <c r="D40" s="108" t="s">
        <v>1786</v>
      </c>
      <c r="E40" s="108" t="s">
        <v>1787</v>
      </c>
      <c r="F40" s="109" t="s">
        <v>1528</v>
      </c>
      <c r="G40" s="108" t="s">
        <v>1909</v>
      </c>
      <c r="H40" s="110" t="s">
        <v>1860</v>
      </c>
      <c r="I40" s="108" t="s">
        <v>1782</v>
      </c>
      <c r="J40" s="109" t="s">
        <v>1859</v>
      </c>
      <c r="K40" s="109"/>
      <c r="L40" s="109" t="str">
        <f t="shared" si="6"/>
        <v>제12장 병합소송-다수당사자소송&gt;08&gt;1-2&gt;</v>
      </c>
      <c r="M40" s="109" t="str">
        <f t="shared" si="7"/>
        <v>제12장 병합소송-다수당사자소송&gt;제03절 당사자의 변경&gt;01</v>
      </c>
      <c r="N40" s="109" t="str">
        <f t="shared" si="8"/>
        <v>2017&gt;3</v>
      </c>
      <c r="O40" s="109" t="str">
        <f t="shared" si="9"/>
        <v>2017&gt;1-2</v>
      </c>
      <c r="P40" s="109" t="s">
        <v>1798</v>
      </c>
    </row>
    <row r="41" spans="2:16" ht="14.45" customHeight="1" x14ac:dyDescent="0.2">
      <c r="B41" s="114">
        <f t="shared" si="5"/>
        <v>38</v>
      </c>
      <c r="C41" s="108" t="s">
        <v>1857</v>
      </c>
      <c r="D41" s="108" t="s">
        <v>1790</v>
      </c>
      <c r="E41" s="108" t="s">
        <v>1790</v>
      </c>
      <c r="F41" s="109" t="s">
        <v>1780</v>
      </c>
      <c r="G41" s="108" t="s">
        <v>1870</v>
      </c>
      <c r="H41" s="110" t="s">
        <v>1826</v>
      </c>
      <c r="I41" s="108" t="s">
        <v>1805</v>
      </c>
      <c r="J41" s="109" t="s">
        <v>300</v>
      </c>
      <c r="K41" s="109"/>
      <c r="L41" s="109" t="str">
        <f t="shared" si="6"/>
        <v>제07장 제1심 소송절차-증거&gt;05&gt;2&gt;</v>
      </c>
      <c r="M41" s="109" t="str">
        <f t="shared" si="7"/>
        <v>제07장 제1심 소송절차-증거&gt;제03절 불요증사실&gt;02</v>
      </c>
      <c r="N41" s="109" t="str">
        <f t="shared" si="8"/>
        <v>2017&gt;2</v>
      </c>
      <c r="O41" s="109" t="str">
        <f t="shared" si="9"/>
        <v>2017&gt;2</v>
      </c>
      <c r="P41" s="109" t="s">
        <v>1798</v>
      </c>
    </row>
    <row r="42" spans="2:16" ht="14.45" customHeight="1" x14ac:dyDescent="0.2">
      <c r="B42" s="114">
        <f t="shared" si="5"/>
        <v>39</v>
      </c>
      <c r="C42" s="108" t="s">
        <v>1857</v>
      </c>
      <c r="D42" s="108" t="s">
        <v>1787</v>
      </c>
      <c r="E42" s="108" t="s">
        <v>1794</v>
      </c>
      <c r="F42" s="109" t="s">
        <v>1814</v>
      </c>
      <c r="G42" s="108" t="s">
        <v>1842</v>
      </c>
      <c r="H42" s="110" t="s">
        <v>1815</v>
      </c>
      <c r="I42" s="108" t="s">
        <v>1842</v>
      </c>
      <c r="J42" s="109" t="s">
        <v>1862</v>
      </c>
      <c r="K42" s="109"/>
      <c r="L42" s="109" t="str">
        <f t="shared" si="6"/>
        <v>제10장 소송의 종료-종국판결에 의한 종료&gt;04&gt;3&gt;</v>
      </c>
      <c r="M42" s="109" t="str">
        <f t="shared" si="7"/>
        <v>제10장 소송의 종료-종국판결에 의한 종료&gt;제02절 판결&gt;04</v>
      </c>
      <c r="N42" s="109" t="str">
        <f t="shared" si="8"/>
        <v>2017&gt;1</v>
      </c>
      <c r="O42" s="109" t="str">
        <f t="shared" si="9"/>
        <v>2017&gt;3</v>
      </c>
      <c r="P42" s="109"/>
    </row>
    <row r="43" spans="2:16" ht="14.45" customHeight="1" x14ac:dyDescent="0.2">
      <c r="B43" s="114">
        <f t="shared" si="5"/>
        <v>40</v>
      </c>
      <c r="C43" s="108" t="s">
        <v>1863</v>
      </c>
      <c r="D43" s="108" t="s">
        <v>1778</v>
      </c>
      <c r="E43" s="108" t="s">
        <v>1784</v>
      </c>
      <c r="F43" s="109" t="s">
        <v>1830</v>
      </c>
      <c r="G43" s="108" t="s">
        <v>1870</v>
      </c>
      <c r="H43" s="110" t="s">
        <v>1831</v>
      </c>
      <c r="I43" s="108" t="s">
        <v>1828</v>
      </c>
      <c r="J43" s="109" t="s">
        <v>1864</v>
      </c>
      <c r="K43" s="109"/>
      <c r="L43" s="109" t="str">
        <f t="shared" si="6"/>
        <v>제04장 소송의 주체-당사자&gt;05&gt;1-1&gt;</v>
      </c>
      <c r="M43" s="109" t="str">
        <f t="shared" si="7"/>
        <v>제04장 소송의 주체-당사자&gt;제02절 당사자의 자격&gt;03</v>
      </c>
      <c r="N43" s="109" t="str">
        <f t="shared" si="8"/>
        <v>2016&gt;4</v>
      </c>
      <c r="O43" s="109" t="str">
        <f t="shared" si="9"/>
        <v>2016&gt;1-1</v>
      </c>
      <c r="P43" s="109" t="s">
        <v>1798</v>
      </c>
    </row>
    <row r="44" spans="2:16" ht="14.45" customHeight="1" x14ac:dyDescent="0.2">
      <c r="B44" s="114">
        <f t="shared" si="5"/>
        <v>41</v>
      </c>
      <c r="C44" s="108" t="s">
        <v>1863</v>
      </c>
      <c r="D44" s="108" t="s">
        <v>1786</v>
      </c>
      <c r="E44" s="108" t="s">
        <v>1787</v>
      </c>
      <c r="F44" s="109" t="s">
        <v>1830</v>
      </c>
      <c r="G44" s="108" t="s">
        <v>1889</v>
      </c>
      <c r="H44" s="110" t="s">
        <v>1852</v>
      </c>
      <c r="I44" s="108" t="s">
        <v>1805</v>
      </c>
      <c r="J44" s="109" t="s">
        <v>1865</v>
      </c>
      <c r="K44" s="109"/>
      <c r="L44" s="109" t="str">
        <f t="shared" si="6"/>
        <v>제04장 소송의 주체-당사자&gt;06&gt;1-2&gt;</v>
      </c>
      <c r="M44" s="109" t="str">
        <f t="shared" si="7"/>
        <v>제04장 소송의 주체-당사자&gt;제03절 소송상의 대리인&gt;02</v>
      </c>
      <c r="N44" s="109" t="str">
        <f t="shared" si="8"/>
        <v>2016&gt;3</v>
      </c>
      <c r="O44" s="109" t="str">
        <f t="shared" si="9"/>
        <v>2016&gt;1-2</v>
      </c>
      <c r="P44" s="109" t="s">
        <v>1798</v>
      </c>
    </row>
    <row r="45" spans="2:16" ht="14.45" customHeight="1" x14ac:dyDescent="0.2">
      <c r="B45" s="114">
        <f t="shared" si="5"/>
        <v>42</v>
      </c>
      <c r="C45" s="108" t="s">
        <v>1863</v>
      </c>
      <c r="D45" s="108" t="s">
        <v>1790</v>
      </c>
      <c r="E45" s="108" t="s">
        <v>1790</v>
      </c>
      <c r="F45" s="109" t="s">
        <v>1808</v>
      </c>
      <c r="G45" s="108" t="s">
        <v>1889</v>
      </c>
      <c r="H45" s="110" t="s">
        <v>1809</v>
      </c>
      <c r="I45" s="108" t="s">
        <v>1805</v>
      </c>
      <c r="J45" s="109" t="s">
        <v>1866</v>
      </c>
      <c r="K45" s="109"/>
      <c r="L45" s="109" t="str">
        <f t="shared" si="6"/>
        <v>제06장 제1심 소송절차-변론&gt;06&gt;2&gt;</v>
      </c>
      <c r="M45" s="109" t="str">
        <f t="shared" si="7"/>
        <v>제06장 제1심 소송절차-변론&gt;제07절 기일・기간 및 송달&gt;02</v>
      </c>
      <c r="N45" s="109" t="str">
        <f t="shared" si="8"/>
        <v>2016&gt;2</v>
      </c>
      <c r="O45" s="109" t="str">
        <f t="shared" si="9"/>
        <v>2016&gt;2</v>
      </c>
      <c r="P45" s="109" t="s">
        <v>1798</v>
      </c>
    </row>
    <row r="46" spans="2:16" ht="14.45" customHeight="1" x14ac:dyDescent="0.2">
      <c r="B46" s="114">
        <f t="shared" si="5"/>
        <v>43</v>
      </c>
      <c r="C46" s="108" t="s">
        <v>1863</v>
      </c>
      <c r="D46" s="108" t="s">
        <v>1787</v>
      </c>
      <c r="E46" s="108" t="s">
        <v>1794</v>
      </c>
      <c r="F46" s="109" t="s">
        <v>1460</v>
      </c>
      <c r="G46" s="108" t="s">
        <v>1842</v>
      </c>
      <c r="H46" s="110" t="s">
        <v>1788</v>
      </c>
      <c r="I46" s="108" t="s">
        <v>1828</v>
      </c>
      <c r="J46" s="109" t="s">
        <v>1867</v>
      </c>
      <c r="K46" s="109"/>
      <c r="L46" s="109" t="str">
        <f t="shared" si="6"/>
        <v>제11장 병합소송-병합청구소송&gt;04&gt;3&gt;</v>
      </c>
      <c r="M46" s="109" t="str">
        <f t="shared" si="7"/>
        <v>제11장 병합소송-병합청구소송&gt;제01절 청구의 원시적 병합&gt;03</v>
      </c>
      <c r="N46" s="109" t="str">
        <f t="shared" si="8"/>
        <v>2016&gt;1</v>
      </c>
      <c r="O46" s="109" t="str">
        <f t="shared" si="9"/>
        <v>2016&gt;3</v>
      </c>
      <c r="P46" s="109" t="s">
        <v>1798</v>
      </c>
    </row>
    <row r="47" spans="2:16" ht="14.45" customHeight="1" x14ac:dyDescent="0.2">
      <c r="B47" s="114">
        <f t="shared" si="5"/>
        <v>44</v>
      </c>
      <c r="C47" s="108" t="s">
        <v>1868</v>
      </c>
      <c r="D47" s="108" t="s">
        <v>1869</v>
      </c>
      <c r="E47" s="108" t="s">
        <v>1784</v>
      </c>
      <c r="F47" s="109" t="s">
        <v>1528</v>
      </c>
      <c r="G47" s="108" t="s">
        <v>1957</v>
      </c>
      <c r="H47" s="110" t="s">
        <v>1800</v>
      </c>
      <c r="I47" s="108" t="s">
        <v>1870</v>
      </c>
      <c r="J47" s="109" t="s">
        <v>1871</v>
      </c>
      <c r="K47" s="109"/>
      <c r="L47" s="109" t="str">
        <f t="shared" si="6"/>
        <v>제12장 병합소송-다수당사자소송&gt;09&gt;1-1&gt;</v>
      </c>
      <c r="M47" s="109" t="str">
        <f t="shared" si="7"/>
        <v>제12장 병합소송-다수당사자소송&gt;제01절 공동소송&gt;05</v>
      </c>
      <c r="N47" s="109" t="str">
        <f t="shared" si="8"/>
        <v>2015&gt;4</v>
      </c>
      <c r="O47" s="109" t="str">
        <f t="shared" si="9"/>
        <v>2015&gt;1-1</v>
      </c>
      <c r="P47" s="109" t="s">
        <v>1798</v>
      </c>
    </row>
    <row r="48" spans="2:16" ht="14.45" customHeight="1" x14ac:dyDescent="0.2">
      <c r="B48" s="114">
        <f t="shared" si="5"/>
        <v>45</v>
      </c>
      <c r="C48" s="108" t="s">
        <v>1872</v>
      </c>
      <c r="D48" s="108" t="s">
        <v>1873</v>
      </c>
      <c r="E48" s="108" t="s">
        <v>1787</v>
      </c>
      <c r="F48" s="109" t="s">
        <v>1808</v>
      </c>
      <c r="G48" s="108" t="s">
        <v>1891</v>
      </c>
      <c r="H48" s="110" t="s">
        <v>1809</v>
      </c>
      <c r="I48" s="108" t="s">
        <v>1828</v>
      </c>
      <c r="J48" s="109" t="s">
        <v>1874</v>
      </c>
      <c r="K48" s="109"/>
      <c r="L48" s="109" t="str">
        <f t="shared" si="6"/>
        <v>제06장 제1심 소송절차-변론&gt;07&gt;1-2&gt;</v>
      </c>
      <c r="M48" s="109" t="str">
        <f t="shared" si="7"/>
        <v>제06장 제1심 소송절차-변론&gt;제07절 기일・기간 및 송달&gt;03</v>
      </c>
      <c r="N48" s="109" t="str">
        <f t="shared" si="8"/>
        <v>2015&gt;3</v>
      </c>
      <c r="O48" s="109" t="str">
        <f t="shared" si="9"/>
        <v>2015&gt;1-2</v>
      </c>
      <c r="P48" s="109" t="s">
        <v>1798</v>
      </c>
    </row>
    <row r="49" spans="2:16" ht="14.45" customHeight="1" x14ac:dyDescent="0.2">
      <c r="B49" s="114">
        <f t="shared" si="5"/>
        <v>46</v>
      </c>
      <c r="C49" s="108" t="s">
        <v>1872</v>
      </c>
      <c r="D49" s="108" t="s">
        <v>1875</v>
      </c>
      <c r="E49" s="108" t="s">
        <v>1790</v>
      </c>
      <c r="F49" s="109" t="s">
        <v>1836</v>
      </c>
      <c r="G49" s="108" t="s">
        <v>1828</v>
      </c>
      <c r="H49" s="110" t="s">
        <v>1837</v>
      </c>
      <c r="I49" s="108" t="s">
        <v>1828</v>
      </c>
      <c r="J49" s="109" t="s">
        <v>1876</v>
      </c>
      <c r="K49" s="109"/>
      <c r="L49" s="109" t="str">
        <f t="shared" si="6"/>
        <v>제03장 소송의 주체-법원&gt;03&gt;2&gt;</v>
      </c>
      <c r="M49" s="109" t="str">
        <f t="shared" si="7"/>
        <v>제03장 소송의 주체-법원&gt;제03절 관할&gt;03</v>
      </c>
      <c r="N49" s="109" t="str">
        <f t="shared" si="8"/>
        <v>2015&gt;2</v>
      </c>
      <c r="O49" s="109" t="str">
        <f t="shared" si="9"/>
        <v>2015&gt;2</v>
      </c>
      <c r="P49" s="109"/>
    </row>
    <row r="50" spans="2:16" ht="14.45" customHeight="1" x14ac:dyDescent="0.2">
      <c r="B50" s="114">
        <f t="shared" si="5"/>
        <v>47</v>
      </c>
      <c r="C50" s="108" t="s">
        <v>1872</v>
      </c>
      <c r="D50" s="108" t="s">
        <v>1877</v>
      </c>
      <c r="E50" s="108" t="s">
        <v>1794</v>
      </c>
      <c r="F50" s="109" t="s">
        <v>1804</v>
      </c>
      <c r="G50" s="108" t="s">
        <v>1828</v>
      </c>
      <c r="H50" s="110" t="s">
        <v>1796</v>
      </c>
      <c r="I50" s="108" t="s">
        <v>1828</v>
      </c>
      <c r="J50" s="109" t="s">
        <v>1878</v>
      </c>
      <c r="K50" s="109"/>
      <c r="L50" s="109" t="str">
        <f t="shared" si="6"/>
        <v>제09장 소송의 종료-당사자 행위에 의한 종료&gt;03&gt;3&gt;</v>
      </c>
      <c r="M50" s="109" t="str">
        <f t="shared" si="7"/>
        <v>제09장 소송의 종료-당사자 행위에 의한 종료&gt;제01절 소의 취하와 재소금지&gt;03</v>
      </c>
      <c r="N50" s="109" t="str">
        <f t="shared" si="8"/>
        <v>2015&gt;1</v>
      </c>
      <c r="O50" s="109" t="str">
        <f t="shared" si="9"/>
        <v>2015&gt;3</v>
      </c>
      <c r="P50" s="109"/>
    </row>
    <row r="51" spans="2:16" ht="14.45" customHeight="1" x14ac:dyDescent="0.2">
      <c r="B51" s="114">
        <f t="shared" si="5"/>
        <v>48</v>
      </c>
      <c r="C51" s="108" t="s">
        <v>1879</v>
      </c>
      <c r="D51" s="108" t="s">
        <v>1869</v>
      </c>
      <c r="E51" s="108" t="s">
        <v>1784</v>
      </c>
      <c r="F51" s="109" t="s">
        <v>1830</v>
      </c>
      <c r="G51" s="108" t="s">
        <v>1891</v>
      </c>
      <c r="H51" s="110" t="s">
        <v>1831</v>
      </c>
      <c r="I51" s="108" t="s">
        <v>1842</v>
      </c>
      <c r="J51" s="109" t="s">
        <v>1880</v>
      </c>
      <c r="K51" s="109"/>
      <c r="L51" s="109" t="str">
        <f t="shared" si="6"/>
        <v>제04장 소송의 주체-당사자&gt;07&gt;1-1&gt;</v>
      </c>
      <c r="M51" s="109" t="str">
        <f t="shared" si="7"/>
        <v>제04장 소송의 주체-당사자&gt;제02절 당사자의 자격&gt;04</v>
      </c>
      <c r="N51" s="109" t="str">
        <f t="shared" si="8"/>
        <v>2014&gt;4</v>
      </c>
      <c r="O51" s="109" t="str">
        <f t="shared" si="9"/>
        <v>2014&gt;1-1</v>
      </c>
      <c r="P51" s="109"/>
    </row>
    <row r="52" spans="2:16" ht="14.45" customHeight="1" x14ac:dyDescent="0.2">
      <c r="B52" s="114">
        <f t="shared" si="5"/>
        <v>49</v>
      </c>
      <c r="C52" s="108" t="s">
        <v>1881</v>
      </c>
      <c r="D52" s="108" t="s">
        <v>1873</v>
      </c>
      <c r="E52" s="108" t="s">
        <v>1787</v>
      </c>
      <c r="F52" s="109" t="s">
        <v>1808</v>
      </c>
      <c r="G52" s="108" t="s">
        <v>1909</v>
      </c>
      <c r="H52" s="110" t="s">
        <v>1840</v>
      </c>
      <c r="I52" s="108" t="s">
        <v>1828</v>
      </c>
      <c r="J52" s="109" t="s">
        <v>1882</v>
      </c>
      <c r="K52" s="109"/>
      <c r="L52" s="109" t="str">
        <f t="shared" si="6"/>
        <v>제06장 제1심 소송절차-변론&gt;08&gt;1-2&gt;</v>
      </c>
      <c r="M52" s="109" t="str">
        <f t="shared" si="7"/>
        <v>제06장 제1심 소송절차-변론&gt;제02절 심리에 관한 제 원칙&gt;03</v>
      </c>
      <c r="N52" s="109" t="str">
        <f t="shared" si="8"/>
        <v>2014&gt;3</v>
      </c>
      <c r="O52" s="109" t="str">
        <f t="shared" si="9"/>
        <v>2014&gt;1-2</v>
      </c>
      <c r="P52" s="109"/>
    </row>
    <row r="53" spans="2:16" ht="14.45" customHeight="1" x14ac:dyDescent="0.2">
      <c r="B53" s="114">
        <f t="shared" si="5"/>
        <v>50</v>
      </c>
      <c r="C53" s="108" t="s">
        <v>1881</v>
      </c>
      <c r="D53" s="108" t="s">
        <v>1875</v>
      </c>
      <c r="E53" s="108" t="s">
        <v>1790</v>
      </c>
      <c r="F53" s="109" t="s">
        <v>1883</v>
      </c>
      <c r="G53" s="108" t="s">
        <v>1782</v>
      </c>
      <c r="H53" s="110" t="s">
        <v>1884</v>
      </c>
      <c r="I53" s="108" t="s">
        <v>1782</v>
      </c>
      <c r="J53" s="109" t="s">
        <v>251</v>
      </c>
      <c r="K53" s="109"/>
      <c r="L53" s="109" t="str">
        <f t="shared" si="6"/>
        <v>제01장 총설-민사소송&gt;01&gt;2&gt;</v>
      </c>
      <c r="M53" s="109" t="str">
        <f t="shared" si="7"/>
        <v>제01장 총설-민사소송&gt;제03절 민사소송의 이상과 신의성실의 원칙&gt;01</v>
      </c>
      <c r="N53" s="109" t="str">
        <f t="shared" si="8"/>
        <v>2014&gt;2</v>
      </c>
      <c r="O53" s="109" t="str">
        <f t="shared" si="9"/>
        <v>2014&gt;2</v>
      </c>
      <c r="P53" s="109"/>
    </row>
    <row r="54" spans="2:16" ht="14.45" customHeight="1" x14ac:dyDescent="0.2">
      <c r="B54" s="114">
        <f t="shared" si="5"/>
        <v>51</v>
      </c>
      <c r="C54" s="108" t="s">
        <v>1881</v>
      </c>
      <c r="D54" s="108" t="s">
        <v>1877</v>
      </c>
      <c r="E54" s="108" t="s">
        <v>1794</v>
      </c>
      <c r="F54" s="109" t="s">
        <v>1885</v>
      </c>
      <c r="G54" s="108" t="s">
        <v>1870</v>
      </c>
      <c r="H54" s="110" t="s">
        <v>1812</v>
      </c>
      <c r="I54" s="108" t="s">
        <v>1805</v>
      </c>
      <c r="J54" s="109" t="s">
        <v>1886</v>
      </c>
      <c r="K54" s="109"/>
      <c r="L54" s="109" t="str">
        <f t="shared" si="6"/>
        <v>제05장 제1심 소송절차-소송 개시와 심리 대상&gt;05&gt;3&gt;</v>
      </c>
      <c r="M54" s="109" t="str">
        <f t="shared" si="7"/>
        <v>제05장 제1심 소송절차-소송 개시와 심리 대상&gt;제07절 소제기의 효과&gt;02</v>
      </c>
      <c r="N54" s="109" t="str">
        <f t="shared" si="8"/>
        <v>2014&gt;1</v>
      </c>
      <c r="O54" s="109" t="str">
        <f t="shared" si="9"/>
        <v>2014&gt;3</v>
      </c>
      <c r="P54" s="109"/>
    </row>
    <row r="55" spans="2:16" ht="14.45" customHeight="1" x14ac:dyDescent="0.2">
      <c r="B55" s="114">
        <f t="shared" si="5"/>
        <v>52</v>
      </c>
      <c r="C55" s="108" t="s">
        <v>1887</v>
      </c>
      <c r="D55" s="108" t="s">
        <v>1869</v>
      </c>
      <c r="E55" s="108" t="s">
        <v>1779</v>
      </c>
      <c r="F55" s="109" t="s">
        <v>1830</v>
      </c>
      <c r="G55" s="108" t="s">
        <v>1909</v>
      </c>
      <c r="H55" s="110" t="s">
        <v>1852</v>
      </c>
      <c r="I55" s="108" t="s">
        <v>1828</v>
      </c>
      <c r="J55" s="109" t="s">
        <v>1888</v>
      </c>
      <c r="K55" s="109"/>
      <c r="L55" s="109" t="str">
        <f t="shared" si="6"/>
        <v>제04장 소송의 주체-당사자&gt;08&gt;1-1&gt;</v>
      </c>
      <c r="M55" s="109" t="str">
        <f t="shared" si="7"/>
        <v>제04장 소송의 주체-당사자&gt;제03절 소송상의 대리인&gt;03</v>
      </c>
      <c r="N55" s="109" t="str">
        <f t="shared" si="8"/>
        <v>2013&gt;5</v>
      </c>
      <c r="O55" s="109" t="str">
        <f t="shared" si="9"/>
        <v>2013&gt;1-1</v>
      </c>
      <c r="P55" s="109" t="s">
        <v>1798</v>
      </c>
    </row>
    <row r="56" spans="2:16" ht="14.45" customHeight="1" x14ac:dyDescent="0.2">
      <c r="B56" s="114">
        <f t="shared" si="5"/>
        <v>53</v>
      </c>
      <c r="C56" s="108" t="s">
        <v>1887</v>
      </c>
      <c r="D56" s="108" t="s">
        <v>1869</v>
      </c>
      <c r="E56" s="108" t="s">
        <v>1784</v>
      </c>
      <c r="F56" s="109" t="s">
        <v>1528</v>
      </c>
      <c r="G56" s="108" t="s">
        <v>1958</v>
      </c>
      <c r="H56" s="110" t="s">
        <v>1800</v>
      </c>
      <c r="I56" s="108" t="s">
        <v>1889</v>
      </c>
      <c r="J56" s="109" t="s">
        <v>1888</v>
      </c>
      <c r="K56" s="109"/>
      <c r="L56" s="109" t="str">
        <f t="shared" si="6"/>
        <v>제12장 병합소송-다수당사자소송&gt;10&gt;1-1&gt;</v>
      </c>
      <c r="M56" s="109" t="str">
        <f t="shared" si="7"/>
        <v>제12장 병합소송-다수당사자소송&gt;제01절 공동소송&gt;06</v>
      </c>
      <c r="N56" s="109" t="str">
        <f t="shared" si="8"/>
        <v>2013&gt;4</v>
      </c>
      <c r="O56" s="109" t="str">
        <f t="shared" si="9"/>
        <v>2013&gt;1-1</v>
      </c>
      <c r="P56" s="109" t="s">
        <v>1798</v>
      </c>
    </row>
    <row r="57" spans="2:16" ht="14.45" customHeight="1" x14ac:dyDescent="0.2">
      <c r="B57" s="114">
        <f t="shared" si="5"/>
        <v>54</v>
      </c>
      <c r="C57" s="108" t="s">
        <v>1890</v>
      </c>
      <c r="D57" s="108" t="s">
        <v>1873</v>
      </c>
      <c r="E57" s="108" t="s">
        <v>1787</v>
      </c>
      <c r="F57" s="109" t="s">
        <v>1528</v>
      </c>
      <c r="G57" s="108" t="s">
        <v>1959</v>
      </c>
      <c r="H57" s="110" t="s">
        <v>1800</v>
      </c>
      <c r="I57" s="108" t="s">
        <v>1891</v>
      </c>
      <c r="J57" s="109" t="s">
        <v>1892</v>
      </c>
      <c r="K57" s="109"/>
      <c r="L57" s="109" t="str">
        <f t="shared" si="6"/>
        <v>제12장 병합소송-다수당사자소송&gt;11&gt;1-2&gt;</v>
      </c>
      <c r="M57" s="109" t="str">
        <f t="shared" si="7"/>
        <v>제12장 병합소송-다수당사자소송&gt;제01절 공동소송&gt;07</v>
      </c>
      <c r="N57" s="109" t="str">
        <f t="shared" si="8"/>
        <v>2013&gt;3</v>
      </c>
      <c r="O57" s="109" t="str">
        <f t="shared" si="9"/>
        <v>2013&gt;1-2</v>
      </c>
      <c r="P57" s="109" t="s">
        <v>1798</v>
      </c>
    </row>
    <row r="58" spans="2:16" ht="14.45" customHeight="1" x14ac:dyDescent="0.2">
      <c r="B58" s="114">
        <f t="shared" si="5"/>
        <v>55</v>
      </c>
      <c r="C58" s="108" t="s">
        <v>1890</v>
      </c>
      <c r="D58" s="108" t="s">
        <v>1875</v>
      </c>
      <c r="E58" s="108" t="s">
        <v>1790</v>
      </c>
      <c r="F58" s="109" t="s">
        <v>1795</v>
      </c>
      <c r="G58" s="108" t="s">
        <v>1842</v>
      </c>
      <c r="H58" s="110" t="s">
        <v>1893</v>
      </c>
      <c r="I58" s="108" t="s">
        <v>1782</v>
      </c>
      <c r="J58" s="109" t="s">
        <v>328</v>
      </c>
      <c r="K58" s="109"/>
      <c r="L58" s="109" t="str">
        <f t="shared" si="6"/>
        <v>제09장 소송의 종료-당사자 행위에 의한 종료&gt;04&gt;2&gt;</v>
      </c>
      <c r="M58" s="109" t="str">
        <f t="shared" si="7"/>
        <v>제09장 소송의 종료-당사자 행위에 의한 종료&gt;제03절 재판상 화해&gt;01</v>
      </c>
      <c r="N58" s="109" t="str">
        <f t="shared" si="8"/>
        <v>2013&gt;2</v>
      </c>
      <c r="O58" s="109" t="str">
        <f t="shared" si="9"/>
        <v>2013&gt;2</v>
      </c>
      <c r="P58" s="109" t="s">
        <v>1798</v>
      </c>
    </row>
    <row r="59" spans="2:16" ht="14.45" customHeight="1" x14ac:dyDescent="0.2">
      <c r="B59" s="114">
        <f t="shared" si="5"/>
        <v>56</v>
      </c>
      <c r="C59" s="108" t="s">
        <v>1890</v>
      </c>
      <c r="D59" s="108" t="s">
        <v>1877</v>
      </c>
      <c r="E59" s="108" t="s">
        <v>1794</v>
      </c>
      <c r="F59" s="109" t="s">
        <v>1780</v>
      </c>
      <c r="G59" s="108" t="s">
        <v>1889</v>
      </c>
      <c r="H59" s="110" t="s">
        <v>1855</v>
      </c>
      <c r="I59" s="108" t="s">
        <v>1805</v>
      </c>
      <c r="J59" s="109" t="s">
        <v>1894</v>
      </c>
      <c r="K59" s="109"/>
      <c r="L59" s="109" t="str">
        <f t="shared" si="6"/>
        <v>제07장 제1심 소송절차-증거&gt;06&gt;3&gt;</v>
      </c>
      <c r="M59" s="109" t="str">
        <f t="shared" si="7"/>
        <v>제07장 제1심 소송절차-증거&gt;제04절 증거조사의 개시와 실시&gt;02</v>
      </c>
      <c r="N59" s="109" t="str">
        <f t="shared" si="8"/>
        <v>2013&gt;1</v>
      </c>
      <c r="O59" s="109" t="str">
        <f t="shared" si="9"/>
        <v>2013&gt;3</v>
      </c>
      <c r="P59" s="109" t="s">
        <v>1798</v>
      </c>
    </row>
    <row r="60" spans="2:16" ht="14.45" customHeight="1" x14ac:dyDescent="0.2">
      <c r="B60" s="114">
        <f t="shared" si="5"/>
        <v>57</v>
      </c>
      <c r="C60" s="108" t="s">
        <v>1895</v>
      </c>
      <c r="D60" s="108" t="s">
        <v>1794</v>
      </c>
      <c r="E60" s="108" t="s">
        <v>1787</v>
      </c>
      <c r="F60" s="109" t="s">
        <v>1885</v>
      </c>
      <c r="G60" s="108" t="s">
        <v>1889</v>
      </c>
      <c r="H60" s="110" t="s">
        <v>1896</v>
      </c>
      <c r="I60" s="108" t="s">
        <v>1782</v>
      </c>
      <c r="J60" s="109" t="s">
        <v>288</v>
      </c>
      <c r="K60" s="109"/>
      <c r="L60" s="109" t="str">
        <f t="shared" si="6"/>
        <v>제05장 제1심 소송절차-소송 개시와 심리 대상&gt;06&gt;1&gt;</v>
      </c>
      <c r="M60" s="109" t="str">
        <f t="shared" si="7"/>
        <v>제05장 제1심 소송절차-소송 개시와 심리 대상&gt;제08절 채권자대위소송에 대한 주요논점&gt;01</v>
      </c>
      <c r="N60" s="109" t="str">
        <f t="shared" si="8"/>
        <v>2012&gt;3</v>
      </c>
      <c r="O60" s="109" t="str">
        <f t="shared" si="9"/>
        <v>2012&gt;1</v>
      </c>
      <c r="P60" s="109" t="s">
        <v>1798</v>
      </c>
    </row>
    <row r="61" spans="2:16" ht="14.45" customHeight="1" x14ac:dyDescent="0.2">
      <c r="B61" s="114">
        <f t="shared" si="5"/>
        <v>58</v>
      </c>
      <c r="C61" s="108" t="s">
        <v>1897</v>
      </c>
      <c r="D61" s="108" t="s">
        <v>1790</v>
      </c>
      <c r="E61" s="108" t="s">
        <v>1790</v>
      </c>
      <c r="F61" s="109" t="s">
        <v>1808</v>
      </c>
      <c r="G61" s="108" t="s">
        <v>1957</v>
      </c>
      <c r="H61" s="110" t="s">
        <v>1898</v>
      </c>
      <c r="I61" s="108" t="s">
        <v>1782</v>
      </c>
      <c r="J61" s="109" t="s">
        <v>296</v>
      </c>
      <c r="K61" s="109"/>
      <c r="L61" s="109" t="str">
        <f t="shared" si="6"/>
        <v>제06장 제1심 소송절차-변론&gt;09&gt;2&gt;</v>
      </c>
      <c r="M61" s="109" t="str">
        <f t="shared" si="7"/>
        <v>제06장 제1심 소송절차-변론&gt;제03절 변론의 준비&gt;01</v>
      </c>
      <c r="N61" s="109" t="str">
        <f t="shared" si="8"/>
        <v>2012&gt;2</v>
      </c>
      <c r="O61" s="109" t="str">
        <f t="shared" si="9"/>
        <v>2012&gt;2</v>
      </c>
      <c r="P61" s="109" t="s">
        <v>1798</v>
      </c>
    </row>
    <row r="62" spans="2:16" ht="14.45" customHeight="1" x14ac:dyDescent="0.2">
      <c r="B62" s="114">
        <f t="shared" si="5"/>
        <v>59</v>
      </c>
      <c r="C62" s="108" t="s">
        <v>1897</v>
      </c>
      <c r="D62" s="108" t="s">
        <v>1787</v>
      </c>
      <c r="E62" s="108" t="s">
        <v>1794</v>
      </c>
      <c r="F62" s="109" t="s">
        <v>1460</v>
      </c>
      <c r="G62" s="108" t="s">
        <v>1870</v>
      </c>
      <c r="H62" s="110" t="s">
        <v>1833</v>
      </c>
      <c r="I62" s="108" t="s">
        <v>1805</v>
      </c>
      <c r="J62" s="109" t="s">
        <v>1899</v>
      </c>
      <c r="K62" s="109"/>
      <c r="L62" s="109" t="str">
        <f t="shared" si="6"/>
        <v>제11장 병합소송-병합청구소송&gt;05&gt;3&gt;</v>
      </c>
      <c r="M62" s="109" t="str">
        <f t="shared" si="7"/>
        <v>제11장 병합소송-병합청구소송&gt;제02절 청구의 후발적 병합&gt;02</v>
      </c>
      <c r="N62" s="109" t="str">
        <f t="shared" si="8"/>
        <v>2012&gt;1</v>
      </c>
      <c r="O62" s="109" t="str">
        <f t="shared" si="9"/>
        <v>2012&gt;3</v>
      </c>
      <c r="P62" s="109" t="s">
        <v>1798</v>
      </c>
    </row>
    <row r="63" spans="2:16" ht="14.45" customHeight="1" x14ac:dyDescent="0.2">
      <c r="B63" s="114">
        <f t="shared" si="5"/>
        <v>60</v>
      </c>
      <c r="C63" s="108" t="s">
        <v>1900</v>
      </c>
      <c r="D63" s="108" t="s">
        <v>1794</v>
      </c>
      <c r="E63" s="108" t="s">
        <v>1787</v>
      </c>
      <c r="F63" s="109" t="s">
        <v>1808</v>
      </c>
      <c r="G63" s="108" t="s">
        <v>1958</v>
      </c>
      <c r="H63" s="110" t="s">
        <v>1840</v>
      </c>
      <c r="I63" s="108" t="s">
        <v>1842</v>
      </c>
      <c r="J63" s="109" t="s">
        <v>1901</v>
      </c>
      <c r="K63" s="109"/>
      <c r="L63" s="109" t="str">
        <f t="shared" si="6"/>
        <v>제06장 제1심 소송절차-변론&gt;10&gt;1&gt;</v>
      </c>
      <c r="M63" s="109" t="str">
        <f t="shared" si="7"/>
        <v>제06장 제1심 소송절차-변론&gt;제02절 심리에 관한 제 원칙&gt;04</v>
      </c>
      <c r="N63" s="109" t="str">
        <f t="shared" si="8"/>
        <v>2011&gt;3</v>
      </c>
      <c r="O63" s="109" t="str">
        <f t="shared" si="9"/>
        <v>2011&gt;1</v>
      </c>
      <c r="P63" s="109"/>
    </row>
    <row r="64" spans="2:16" ht="14.45" customHeight="1" x14ac:dyDescent="0.2">
      <c r="B64" s="114">
        <f t="shared" si="5"/>
        <v>61</v>
      </c>
      <c r="C64" s="108" t="s">
        <v>1900</v>
      </c>
      <c r="D64" s="108" t="s">
        <v>1902</v>
      </c>
      <c r="E64" s="108" t="s">
        <v>1790</v>
      </c>
      <c r="F64" s="109" t="s">
        <v>1528</v>
      </c>
      <c r="G64" s="108" t="s">
        <v>1960</v>
      </c>
      <c r="H64" s="110" t="s">
        <v>1848</v>
      </c>
      <c r="I64" s="108" t="s">
        <v>1842</v>
      </c>
      <c r="J64" s="109" t="s">
        <v>1903</v>
      </c>
      <c r="K64" s="109"/>
      <c r="L64" s="109" t="str">
        <f t="shared" si="6"/>
        <v>제12장 병합소송-다수당사자소송&gt;12&gt;2-1&gt;</v>
      </c>
      <c r="M64" s="109" t="str">
        <f t="shared" si="7"/>
        <v>제12장 병합소송-다수당사자소송&gt;제02절 제3자의 소송참가&gt;04</v>
      </c>
      <c r="N64" s="109" t="str">
        <f t="shared" si="8"/>
        <v>2011&gt;2</v>
      </c>
      <c r="O64" s="109" t="str">
        <f t="shared" si="9"/>
        <v>2011&gt;2-1</v>
      </c>
      <c r="P64" s="109"/>
    </row>
    <row r="65" spans="2:16" ht="14.45" customHeight="1" x14ac:dyDescent="0.2">
      <c r="B65" s="114">
        <f t="shared" si="5"/>
        <v>62</v>
      </c>
      <c r="C65" s="108" t="s">
        <v>1900</v>
      </c>
      <c r="D65" s="108" t="s">
        <v>1904</v>
      </c>
      <c r="E65" s="108" t="s">
        <v>1794</v>
      </c>
      <c r="F65" s="109" t="s">
        <v>1780</v>
      </c>
      <c r="G65" s="108" t="s">
        <v>1891</v>
      </c>
      <c r="H65" s="110" t="s">
        <v>1826</v>
      </c>
      <c r="I65" s="108" t="s">
        <v>1828</v>
      </c>
      <c r="J65" s="109" t="s">
        <v>1905</v>
      </c>
      <c r="K65" s="109"/>
      <c r="L65" s="109" t="str">
        <f t="shared" si="6"/>
        <v>제07장 제1심 소송절차-증거&gt;07&gt;2-2&gt;</v>
      </c>
      <c r="M65" s="109" t="str">
        <f t="shared" si="7"/>
        <v>제07장 제1심 소송절차-증거&gt;제03절 불요증사실&gt;03</v>
      </c>
      <c r="N65" s="109" t="str">
        <f t="shared" si="8"/>
        <v>2011&gt;1</v>
      </c>
      <c r="O65" s="109" t="str">
        <f t="shared" si="9"/>
        <v>2011&gt;2-2</v>
      </c>
      <c r="P65" s="109" t="s">
        <v>1798</v>
      </c>
    </row>
    <row r="66" spans="2:16" ht="14.45" customHeight="1" x14ac:dyDescent="0.2">
      <c r="B66" s="114">
        <f t="shared" si="5"/>
        <v>63</v>
      </c>
      <c r="C66" s="108" t="s">
        <v>1906</v>
      </c>
      <c r="D66" s="108" t="s">
        <v>1794</v>
      </c>
      <c r="E66" s="108" t="s">
        <v>1787</v>
      </c>
      <c r="F66" s="109" t="s">
        <v>1780</v>
      </c>
      <c r="G66" s="108" t="s">
        <v>1909</v>
      </c>
      <c r="H66" s="110" t="s">
        <v>1907</v>
      </c>
      <c r="I66" s="108" t="s">
        <v>1782</v>
      </c>
      <c r="J66" s="109" t="s">
        <v>320</v>
      </c>
      <c r="K66" s="109"/>
      <c r="L66" s="109" t="str">
        <f t="shared" si="6"/>
        <v>제07장 제1심 소송절차-증거&gt;08&gt;1&gt;</v>
      </c>
      <c r="M66" s="109" t="str">
        <f t="shared" si="7"/>
        <v>제07장 제1심 소송절차-증거&gt;제05절 자유심증주의&gt;01</v>
      </c>
      <c r="N66" s="109" t="str">
        <f t="shared" si="8"/>
        <v>2010&gt;3</v>
      </c>
      <c r="O66" s="109" t="str">
        <f t="shared" si="9"/>
        <v>2010&gt;1</v>
      </c>
      <c r="P66" s="109" t="s">
        <v>1798</v>
      </c>
    </row>
    <row r="67" spans="2:16" ht="14.45" customHeight="1" x14ac:dyDescent="0.2">
      <c r="B67" s="114">
        <f t="shared" si="5"/>
        <v>64</v>
      </c>
      <c r="C67" s="108" t="s">
        <v>1906</v>
      </c>
      <c r="D67" s="108" t="s">
        <v>1902</v>
      </c>
      <c r="E67" s="108" t="s">
        <v>1790</v>
      </c>
      <c r="F67" s="109" t="s">
        <v>1830</v>
      </c>
      <c r="G67" s="108" t="s">
        <v>1957</v>
      </c>
      <c r="H67" s="110" t="s">
        <v>1831</v>
      </c>
      <c r="I67" s="108" t="s">
        <v>1870</v>
      </c>
      <c r="J67" s="109" t="s">
        <v>1908</v>
      </c>
      <c r="K67" s="109"/>
      <c r="L67" s="109" t="str">
        <f t="shared" si="6"/>
        <v>제04장 소송의 주체-당사자&gt;09&gt;2-1&gt;</v>
      </c>
      <c r="M67" s="109" t="str">
        <f t="shared" si="7"/>
        <v>제04장 소송의 주체-당사자&gt;제02절 당사자의 자격&gt;05</v>
      </c>
      <c r="N67" s="109" t="str">
        <f t="shared" si="8"/>
        <v>2010&gt;2</v>
      </c>
      <c r="O67" s="109" t="str">
        <f t="shared" si="9"/>
        <v>2010&gt;2-1</v>
      </c>
      <c r="P67" s="109" t="s">
        <v>1798</v>
      </c>
    </row>
    <row r="68" spans="2:16" ht="14.45" customHeight="1" x14ac:dyDescent="0.2">
      <c r="B68" s="114">
        <f t="shared" ref="B68:B99" si="10">ROW()-3</f>
        <v>65</v>
      </c>
      <c r="C68" s="108" t="s">
        <v>1906</v>
      </c>
      <c r="D68" s="108" t="s">
        <v>1904</v>
      </c>
      <c r="E68" s="108" t="s">
        <v>1794</v>
      </c>
      <c r="F68" s="109" t="s">
        <v>1528</v>
      </c>
      <c r="G68" s="108" t="s">
        <v>1961</v>
      </c>
      <c r="H68" s="110" t="s">
        <v>1800</v>
      </c>
      <c r="I68" s="108" t="s">
        <v>1909</v>
      </c>
      <c r="J68" s="109" t="s">
        <v>1910</v>
      </c>
      <c r="K68" s="109"/>
      <c r="L68" s="109" t="str">
        <f t="shared" ref="L68:L99" si="11">F68&amp;"&gt;"&amp;G68&amp;"&gt;"&amp;D68&amp;"&gt;"&amp;K68</f>
        <v>제12장 병합소송-다수당사자소송&gt;13&gt;2-2&gt;</v>
      </c>
      <c r="M68" s="109" t="str">
        <f t="shared" ref="M68:M99" si="12">F68&amp;"&gt;"&amp;H68&amp;"&gt;"&amp;I68</f>
        <v>제12장 병합소송-다수당사자소송&gt;제01절 공동소송&gt;08</v>
      </c>
      <c r="N68" s="109" t="str">
        <f t="shared" ref="N68:N99" si="13">C68&amp;"&gt;"&amp;E68</f>
        <v>2010&gt;1</v>
      </c>
      <c r="O68" s="109" t="str">
        <f t="shared" ref="O68:O99" si="14">C68&amp;"&gt;"&amp;D68</f>
        <v>2010&gt;2-2</v>
      </c>
      <c r="P68" s="109" t="s">
        <v>1798</v>
      </c>
    </row>
    <row r="69" spans="2:16" ht="14.45" customHeight="1" x14ac:dyDescent="0.2">
      <c r="B69" s="114">
        <f t="shared" si="10"/>
        <v>66</v>
      </c>
      <c r="C69" s="108" t="s">
        <v>1915</v>
      </c>
      <c r="D69" s="108" t="s">
        <v>1913</v>
      </c>
      <c r="E69" s="108" t="s">
        <v>1790</v>
      </c>
      <c r="F69" s="109" t="s">
        <v>1941</v>
      </c>
      <c r="G69" s="108" t="s">
        <v>1891</v>
      </c>
      <c r="H69" s="110" t="s">
        <v>1956</v>
      </c>
      <c r="I69" s="108" t="s">
        <v>1782</v>
      </c>
      <c r="J69" s="113" t="s">
        <v>455</v>
      </c>
      <c r="K69" s="109"/>
      <c r="L69" s="109" t="str">
        <f t="shared" si="11"/>
        <v>제17장 재심절차&gt;07&gt;1&gt;</v>
      </c>
      <c r="M69" s="109" t="str">
        <f t="shared" si="12"/>
        <v>제17장 재심절차&gt;제05절 준재심&gt;01</v>
      </c>
      <c r="N69" s="109" t="str">
        <f t="shared" si="13"/>
        <v>17.05&gt;2</v>
      </c>
      <c r="O69" s="109" t="str">
        <f t="shared" si="14"/>
        <v>17.05&gt;1</v>
      </c>
      <c r="P69" s="109" t="s">
        <v>1798</v>
      </c>
    </row>
    <row r="70" spans="2:16" ht="14.45" customHeight="1" x14ac:dyDescent="0.2">
      <c r="B70" s="114">
        <f t="shared" si="10"/>
        <v>67</v>
      </c>
      <c r="C70" s="108" t="s">
        <v>1915</v>
      </c>
      <c r="D70" s="108" t="s">
        <v>1875</v>
      </c>
      <c r="E70" s="108" t="s">
        <v>1794</v>
      </c>
      <c r="F70" s="109" t="s">
        <v>1941</v>
      </c>
      <c r="G70" s="108" t="s">
        <v>1909</v>
      </c>
      <c r="H70" s="110" t="s">
        <v>1956</v>
      </c>
      <c r="I70" s="108" t="s">
        <v>1805</v>
      </c>
      <c r="J70" s="113" t="s">
        <v>1933</v>
      </c>
      <c r="K70" s="109"/>
      <c r="L70" s="109" t="str">
        <f t="shared" si="11"/>
        <v>제17장 재심절차&gt;08&gt;2&gt;</v>
      </c>
      <c r="M70" s="109" t="str">
        <f t="shared" si="12"/>
        <v>제17장 재심절차&gt;제05절 준재심&gt;02</v>
      </c>
      <c r="N70" s="109" t="str">
        <f t="shared" si="13"/>
        <v>17.05&gt;1</v>
      </c>
      <c r="O70" s="109" t="str">
        <f t="shared" si="14"/>
        <v>17.05&gt;2</v>
      </c>
      <c r="P70" s="109" t="s">
        <v>1798</v>
      </c>
    </row>
    <row r="71" spans="2:16" ht="14.45" customHeight="1" x14ac:dyDescent="0.2">
      <c r="B71" s="114">
        <f t="shared" si="10"/>
        <v>68</v>
      </c>
      <c r="C71" s="108" t="s">
        <v>1932</v>
      </c>
      <c r="D71" s="108" t="s">
        <v>1913</v>
      </c>
      <c r="E71" s="108" t="s">
        <v>1790</v>
      </c>
      <c r="F71" s="109" t="s">
        <v>1941</v>
      </c>
      <c r="G71" s="108" t="s">
        <v>1870</v>
      </c>
      <c r="H71" s="110" t="s">
        <v>1955</v>
      </c>
      <c r="I71" s="108" t="s">
        <v>1782</v>
      </c>
      <c r="J71" s="113" t="s">
        <v>453</v>
      </c>
      <c r="K71" s="109"/>
      <c r="L71" s="109" t="str">
        <f t="shared" si="11"/>
        <v>제17장 재심절차&gt;05&gt;1&gt;</v>
      </c>
      <c r="M71" s="109" t="str">
        <f t="shared" si="12"/>
        <v>제17장 재심절차&gt;제04절 재심절차&gt;01</v>
      </c>
      <c r="N71" s="109" t="str">
        <f t="shared" si="13"/>
        <v>17.04&gt;2</v>
      </c>
      <c r="O71" s="109" t="str">
        <f t="shared" si="14"/>
        <v>17.04&gt;1</v>
      </c>
      <c r="P71" s="109" t="s">
        <v>1798</v>
      </c>
    </row>
    <row r="72" spans="2:16" ht="14.45" customHeight="1" x14ac:dyDescent="0.2">
      <c r="B72" s="114">
        <f t="shared" si="10"/>
        <v>69</v>
      </c>
      <c r="C72" s="108" t="s">
        <v>1932</v>
      </c>
      <c r="D72" s="108" t="s">
        <v>1875</v>
      </c>
      <c r="E72" s="108" t="s">
        <v>1794</v>
      </c>
      <c r="F72" s="109" t="s">
        <v>1941</v>
      </c>
      <c r="G72" s="108" t="s">
        <v>1889</v>
      </c>
      <c r="H72" s="110" t="s">
        <v>1955</v>
      </c>
      <c r="I72" s="108" t="s">
        <v>1805</v>
      </c>
      <c r="J72" s="113" t="s">
        <v>454</v>
      </c>
      <c r="K72" s="109"/>
      <c r="L72" s="109" t="str">
        <f t="shared" si="11"/>
        <v>제17장 재심절차&gt;06&gt;2&gt;</v>
      </c>
      <c r="M72" s="109" t="str">
        <f t="shared" si="12"/>
        <v>제17장 재심절차&gt;제04절 재심절차&gt;02</v>
      </c>
      <c r="N72" s="109" t="str">
        <f t="shared" si="13"/>
        <v>17.04&gt;1</v>
      </c>
      <c r="O72" s="109" t="str">
        <f t="shared" si="14"/>
        <v>17.04&gt;2</v>
      </c>
      <c r="P72" s="109" t="s">
        <v>1798</v>
      </c>
    </row>
    <row r="73" spans="2:16" ht="14.45" customHeight="1" x14ac:dyDescent="0.2">
      <c r="B73" s="114">
        <f t="shared" si="10"/>
        <v>70</v>
      </c>
      <c r="C73" s="108" t="s">
        <v>1931</v>
      </c>
      <c r="D73" s="108" t="s">
        <v>1913</v>
      </c>
      <c r="E73" s="108" t="s">
        <v>1790</v>
      </c>
      <c r="F73" s="109" t="s">
        <v>1941</v>
      </c>
      <c r="G73" s="108" t="s">
        <v>1828</v>
      </c>
      <c r="H73" s="110" t="s">
        <v>1954</v>
      </c>
      <c r="I73" s="108" t="s">
        <v>1782</v>
      </c>
      <c r="J73" s="113" t="s">
        <v>451</v>
      </c>
      <c r="K73" s="109"/>
      <c r="L73" s="109" t="str">
        <f t="shared" si="11"/>
        <v>제17장 재심절차&gt;03&gt;1&gt;</v>
      </c>
      <c r="M73" s="109" t="str">
        <f t="shared" si="12"/>
        <v>제17장 재심절차&gt;제03절 적법요건&gt;01</v>
      </c>
      <c r="N73" s="109" t="str">
        <f t="shared" si="13"/>
        <v>17.03&gt;2</v>
      </c>
      <c r="O73" s="109" t="str">
        <f t="shared" si="14"/>
        <v>17.03&gt;1</v>
      </c>
      <c r="P73" s="109" t="s">
        <v>1798</v>
      </c>
    </row>
    <row r="74" spans="2:16" ht="14.45" customHeight="1" x14ac:dyDescent="0.2">
      <c r="B74" s="114">
        <f t="shared" si="10"/>
        <v>71</v>
      </c>
      <c r="C74" s="108" t="s">
        <v>1931</v>
      </c>
      <c r="D74" s="108" t="s">
        <v>1875</v>
      </c>
      <c r="E74" s="108" t="s">
        <v>1794</v>
      </c>
      <c r="F74" s="109" t="s">
        <v>1941</v>
      </c>
      <c r="G74" s="108" t="s">
        <v>1842</v>
      </c>
      <c r="H74" s="110" t="s">
        <v>1954</v>
      </c>
      <c r="I74" s="108" t="s">
        <v>1805</v>
      </c>
      <c r="J74" s="113" t="s">
        <v>452</v>
      </c>
      <c r="K74" s="109"/>
      <c r="L74" s="109" t="str">
        <f t="shared" si="11"/>
        <v>제17장 재심절차&gt;04&gt;2&gt;</v>
      </c>
      <c r="M74" s="109" t="str">
        <f t="shared" si="12"/>
        <v>제17장 재심절차&gt;제03절 적법요건&gt;02</v>
      </c>
      <c r="N74" s="109" t="str">
        <f t="shared" si="13"/>
        <v>17.03&gt;1</v>
      </c>
      <c r="O74" s="109" t="str">
        <f t="shared" si="14"/>
        <v>17.03&gt;2</v>
      </c>
      <c r="P74" s="109" t="s">
        <v>1798</v>
      </c>
    </row>
    <row r="75" spans="2:16" ht="14.45" customHeight="1" x14ac:dyDescent="0.2">
      <c r="B75" s="114">
        <f t="shared" si="10"/>
        <v>72</v>
      </c>
      <c r="C75" s="108" t="s">
        <v>1930</v>
      </c>
      <c r="D75" s="108" t="s">
        <v>1913</v>
      </c>
      <c r="E75" s="108" t="s">
        <v>1790</v>
      </c>
      <c r="F75" s="109" t="s">
        <v>1941</v>
      </c>
      <c r="G75" s="108" t="s">
        <v>1782</v>
      </c>
      <c r="H75" s="110" t="s">
        <v>1953</v>
      </c>
      <c r="I75" s="108" t="s">
        <v>1782</v>
      </c>
      <c r="J75" s="113" t="s">
        <v>449</v>
      </c>
      <c r="K75" s="109"/>
      <c r="L75" s="109" t="str">
        <f t="shared" si="11"/>
        <v>제17장 재심절차&gt;01&gt;1&gt;</v>
      </c>
      <c r="M75" s="109" t="str">
        <f t="shared" si="12"/>
        <v>제17장 재심절차&gt;제02절 재심의 소송물&gt;01</v>
      </c>
      <c r="N75" s="109" t="str">
        <f t="shared" si="13"/>
        <v>17.02&gt;2</v>
      </c>
      <c r="O75" s="109" t="str">
        <f t="shared" si="14"/>
        <v>17.02&gt;1</v>
      </c>
      <c r="P75" s="109" t="s">
        <v>1798</v>
      </c>
    </row>
    <row r="76" spans="2:16" ht="14.45" customHeight="1" x14ac:dyDescent="0.2">
      <c r="B76" s="114">
        <f t="shared" si="10"/>
        <v>73</v>
      </c>
      <c r="C76" s="108" t="s">
        <v>1930</v>
      </c>
      <c r="D76" s="108" t="s">
        <v>1875</v>
      </c>
      <c r="E76" s="108" t="s">
        <v>1794</v>
      </c>
      <c r="F76" s="109" t="s">
        <v>1941</v>
      </c>
      <c r="G76" s="108" t="s">
        <v>1805</v>
      </c>
      <c r="H76" s="110" t="s">
        <v>1953</v>
      </c>
      <c r="I76" s="108" t="s">
        <v>1805</v>
      </c>
      <c r="J76" s="113" t="s">
        <v>450</v>
      </c>
      <c r="K76" s="109"/>
      <c r="L76" s="109" t="str">
        <f t="shared" si="11"/>
        <v>제17장 재심절차&gt;02&gt;2&gt;</v>
      </c>
      <c r="M76" s="109" t="str">
        <f t="shared" si="12"/>
        <v>제17장 재심절차&gt;제02절 재심의 소송물&gt;02</v>
      </c>
      <c r="N76" s="109" t="str">
        <f t="shared" si="13"/>
        <v>17.02&gt;1</v>
      </c>
      <c r="O76" s="109" t="str">
        <f t="shared" si="14"/>
        <v>17.02&gt;2</v>
      </c>
      <c r="P76" s="109" t="s">
        <v>1798</v>
      </c>
    </row>
    <row r="77" spans="2:16" ht="14.45" customHeight="1" x14ac:dyDescent="0.2">
      <c r="B77" s="114">
        <f t="shared" si="10"/>
        <v>74</v>
      </c>
      <c r="C77" s="108" t="s">
        <v>1929</v>
      </c>
      <c r="D77" s="108" t="s">
        <v>1913</v>
      </c>
      <c r="E77" s="108" t="s">
        <v>1790</v>
      </c>
      <c r="F77" s="109" t="s">
        <v>1940</v>
      </c>
      <c r="G77" s="108" t="s">
        <v>1782</v>
      </c>
      <c r="H77" s="110" t="s">
        <v>1952</v>
      </c>
      <c r="I77" s="108" t="s">
        <v>1782</v>
      </c>
      <c r="J77" s="113" t="s">
        <v>447</v>
      </c>
      <c r="K77" s="109"/>
      <c r="L77" s="109" t="str">
        <f t="shared" si="11"/>
        <v>제16장 상소심절차-항고&gt;01&gt;1&gt;</v>
      </c>
      <c r="M77" s="109" t="str">
        <f t="shared" si="12"/>
        <v>제16장 상소심절차-항고&gt;제02절 항고의 절차&gt;01</v>
      </c>
      <c r="N77" s="109" t="str">
        <f t="shared" si="13"/>
        <v>16.02&gt;2</v>
      </c>
      <c r="O77" s="109" t="str">
        <f t="shared" si="14"/>
        <v>16.02&gt;1</v>
      </c>
      <c r="P77" s="109" t="s">
        <v>1798</v>
      </c>
    </row>
    <row r="78" spans="2:16" ht="14.45" customHeight="1" x14ac:dyDescent="0.2">
      <c r="B78" s="114">
        <f t="shared" si="10"/>
        <v>75</v>
      </c>
      <c r="C78" s="108" t="s">
        <v>1929</v>
      </c>
      <c r="D78" s="108" t="s">
        <v>1875</v>
      </c>
      <c r="E78" s="108" t="s">
        <v>1794</v>
      </c>
      <c r="F78" s="109" t="s">
        <v>1940</v>
      </c>
      <c r="G78" s="108" t="s">
        <v>1805</v>
      </c>
      <c r="H78" s="110" t="s">
        <v>1952</v>
      </c>
      <c r="I78" s="108" t="s">
        <v>1805</v>
      </c>
      <c r="J78" s="113" t="s">
        <v>448</v>
      </c>
      <c r="K78" s="109"/>
      <c r="L78" s="109" t="str">
        <f t="shared" si="11"/>
        <v>제16장 상소심절차-항고&gt;02&gt;2&gt;</v>
      </c>
      <c r="M78" s="109" t="str">
        <f t="shared" si="12"/>
        <v>제16장 상소심절차-항고&gt;제02절 항고의 절차&gt;02</v>
      </c>
      <c r="N78" s="109" t="str">
        <f t="shared" si="13"/>
        <v>16.02&gt;1</v>
      </c>
      <c r="O78" s="109" t="str">
        <f t="shared" si="14"/>
        <v>16.02&gt;2</v>
      </c>
      <c r="P78" s="109" t="s">
        <v>1798</v>
      </c>
    </row>
    <row r="79" spans="2:16" ht="14.45" customHeight="1" x14ac:dyDescent="0.2">
      <c r="B79" s="114">
        <f t="shared" si="10"/>
        <v>76</v>
      </c>
      <c r="C79" s="108" t="s">
        <v>1928</v>
      </c>
      <c r="D79" s="108" t="s">
        <v>1913</v>
      </c>
      <c r="E79" s="108" t="s">
        <v>1790</v>
      </c>
      <c r="F79" s="109" t="s">
        <v>1939</v>
      </c>
      <c r="G79" s="108" t="s">
        <v>1870</v>
      </c>
      <c r="H79" s="110" t="s">
        <v>1951</v>
      </c>
      <c r="I79" s="108" t="s">
        <v>1782</v>
      </c>
      <c r="J79" s="113" t="s">
        <v>445</v>
      </c>
      <c r="K79" s="109"/>
      <c r="L79" s="109" t="str">
        <f t="shared" si="11"/>
        <v>제15장 상소심절차-상고&gt;05&gt;1&gt;</v>
      </c>
      <c r="M79" s="109" t="str">
        <f t="shared" si="12"/>
        <v>제15장 상소심절차-상고&gt;제04절 상고심의 종국재판&gt;01</v>
      </c>
      <c r="N79" s="109" t="str">
        <f t="shared" si="13"/>
        <v>15.04&gt;2</v>
      </c>
      <c r="O79" s="109" t="str">
        <f t="shared" si="14"/>
        <v>15.04&gt;1</v>
      </c>
      <c r="P79" s="109" t="s">
        <v>1798</v>
      </c>
    </row>
    <row r="80" spans="2:16" ht="14.45" customHeight="1" x14ac:dyDescent="0.2">
      <c r="B80" s="114">
        <f t="shared" si="10"/>
        <v>77</v>
      </c>
      <c r="C80" s="108" t="s">
        <v>1928</v>
      </c>
      <c r="D80" s="108" t="s">
        <v>1875</v>
      </c>
      <c r="E80" s="108" t="s">
        <v>1794</v>
      </c>
      <c r="F80" s="109" t="s">
        <v>1939</v>
      </c>
      <c r="G80" s="108" t="s">
        <v>1889</v>
      </c>
      <c r="H80" s="110" t="s">
        <v>1951</v>
      </c>
      <c r="I80" s="108" t="s">
        <v>1805</v>
      </c>
      <c r="J80" s="113" t="s">
        <v>446</v>
      </c>
      <c r="K80" s="109"/>
      <c r="L80" s="109" t="str">
        <f t="shared" si="11"/>
        <v>제15장 상소심절차-상고&gt;06&gt;2&gt;</v>
      </c>
      <c r="M80" s="109" t="str">
        <f t="shared" si="12"/>
        <v>제15장 상소심절차-상고&gt;제04절 상고심의 종국재판&gt;02</v>
      </c>
      <c r="N80" s="109" t="str">
        <f t="shared" si="13"/>
        <v>15.04&gt;1</v>
      </c>
      <c r="O80" s="109" t="str">
        <f t="shared" si="14"/>
        <v>15.04&gt;2</v>
      </c>
      <c r="P80" s="109" t="s">
        <v>1798</v>
      </c>
    </row>
    <row r="81" spans="2:16" ht="14.45" customHeight="1" x14ac:dyDescent="0.2">
      <c r="B81" s="114">
        <f t="shared" si="10"/>
        <v>78</v>
      </c>
      <c r="C81" s="108" t="s">
        <v>1927</v>
      </c>
      <c r="D81" s="108" t="s">
        <v>1913</v>
      </c>
      <c r="E81" s="108" t="s">
        <v>1790</v>
      </c>
      <c r="F81" s="109" t="s">
        <v>1939</v>
      </c>
      <c r="G81" s="108" t="s">
        <v>1828</v>
      </c>
      <c r="H81" s="110" t="s">
        <v>1950</v>
      </c>
      <c r="I81" s="108" t="s">
        <v>1782</v>
      </c>
      <c r="J81" s="113" t="s">
        <v>443</v>
      </c>
      <c r="K81" s="109"/>
      <c r="L81" s="109" t="str">
        <f t="shared" si="11"/>
        <v>제15장 상소심절차-상고&gt;03&gt;1&gt;</v>
      </c>
      <c r="M81" s="109" t="str">
        <f t="shared" si="12"/>
        <v>제15장 상소심절차-상고&gt;제03절 상고심절차의 개시와 심리&gt;01</v>
      </c>
      <c r="N81" s="109" t="str">
        <f t="shared" si="13"/>
        <v>15.03&gt;2</v>
      </c>
      <c r="O81" s="109" t="str">
        <f t="shared" si="14"/>
        <v>15.03&gt;1</v>
      </c>
      <c r="P81" s="109" t="s">
        <v>1798</v>
      </c>
    </row>
    <row r="82" spans="2:16" ht="14.45" customHeight="1" x14ac:dyDescent="0.2">
      <c r="B82" s="114">
        <f t="shared" si="10"/>
        <v>79</v>
      </c>
      <c r="C82" s="108" t="s">
        <v>1927</v>
      </c>
      <c r="D82" s="108" t="s">
        <v>1875</v>
      </c>
      <c r="E82" s="108" t="s">
        <v>1794</v>
      </c>
      <c r="F82" s="109" t="s">
        <v>1939</v>
      </c>
      <c r="G82" s="108" t="s">
        <v>1842</v>
      </c>
      <c r="H82" s="110" t="s">
        <v>1950</v>
      </c>
      <c r="I82" s="108" t="s">
        <v>1805</v>
      </c>
      <c r="J82" s="113" t="s">
        <v>444</v>
      </c>
      <c r="K82" s="109"/>
      <c r="L82" s="109" t="str">
        <f t="shared" si="11"/>
        <v>제15장 상소심절차-상고&gt;04&gt;2&gt;</v>
      </c>
      <c r="M82" s="109" t="str">
        <f t="shared" si="12"/>
        <v>제15장 상소심절차-상고&gt;제03절 상고심절차의 개시와 심리&gt;02</v>
      </c>
      <c r="N82" s="109" t="str">
        <f t="shared" si="13"/>
        <v>15.03&gt;1</v>
      </c>
      <c r="O82" s="109" t="str">
        <f t="shared" si="14"/>
        <v>15.03&gt;2</v>
      </c>
      <c r="P82" s="109" t="s">
        <v>1798</v>
      </c>
    </row>
    <row r="83" spans="2:16" ht="14.45" customHeight="1" x14ac:dyDescent="0.2">
      <c r="B83" s="114">
        <f t="shared" si="10"/>
        <v>80</v>
      </c>
      <c r="C83" s="108" t="s">
        <v>1926</v>
      </c>
      <c r="D83" s="108" t="s">
        <v>1913</v>
      </c>
      <c r="E83" s="108" t="s">
        <v>1790</v>
      </c>
      <c r="F83" s="109" t="s">
        <v>1939</v>
      </c>
      <c r="G83" s="108" t="s">
        <v>1782</v>
      </c>
      <c r="H83" s="110" t="s">
        <v>1949</v>
      </c>
      <c r="I83" s="108" t="s">
        <v>1782</v>
      </c>
      <c r="J83" s="113" t="s">
        <v>441</v>
      </c>
      <c r="K83" s="109"/>
      <c r="L83" s="109" t="str">
        <f t="shared" si="11"/>
        <v>제15장 상소심절차-상고&gt;01&gt;1&gt;</v>
      </c>
      <c r="M83" s="109" t="str">
        <f t="shared" si="12"/>
        <v>제15장 상소심절차-상고&gt;제02절 상고이유&gt;01</v>
      </c>
      <c r="N83" s="109" t="str">
        <f t="shared" si="13"/>
        <v>15.02&gt;2</v>
      </c>
      <c r="O83" s="109" t="str">
        <f t="shared" si="14"/>
        <v>15.02&gt;1</v>
      </c>
      <c r="P83" s="109" t="s">
        <v>1798</v>
      </c>
    </row>
    <row r="84" spans="2:16" ht="14.45" customHeight="1" x14ac:dyDescent="0.2">
      <c r="B84" s="114">
        <f t="shared" si="10"/>
        <v>81</v>
      </c>
      <c r="C84" s="108" t="s">
        <v>1926</v>
      </c>
      <c r="D84" s="108" t="s">
        <v>1875</v>
      </c>
      <c r="E84" s="108" t="s">
        <v>1794</v>
      </c>
      <c r="F84" s="109" t="s">
        <v>1939</v>
      </c>
      <c r="G84" s="108" t="s">
        <v>1805</v>
      </c>
      <c r="H84" s="110" t="s">
        <v>1949</v>
      </c>
      <c r="I84" s="108" t="s">
        <v>1805</v>
      </c>
      <c r="J84" s="113" t="s">
        <v>442</v>
      </c>
      <c r="K84" s="109"/>
      <c r="L84" s="109" t="str">
        <f t="shared" si="11"/>
        <v>제15장 상소심절차-상고&gt;02&gt;2&gt;</v>
      </c>
      <c r="M84" s="109" t="str">
        <f t="shared" si="12"/>
        <v>제15장 상소심절차-상고&gt;제02절 상고이유&gt;02</v>
      </c>
      <c r="N84" s="109" t="str">
        <f t="shared" si="13"/>
        <v>15.02&gt;1</v>
      </c>
      <c r="O84" s="109" t="str">
        <f t="shared" si="14"/>
        <v>15.02&gt;2</v>
      </c>
      <c r="P84" s="109" t="s">
        <v>1798</v>
      </c>
    </row>
    <row r="85" spans="2:16" ht="14.45" customHeight="1" x14ac:dyDescent="0.2">
      <c r="B85" s="114">
        <f t="shared" si="10"/>
        <v>82</v>
      </c>
      <c r="C85" s="108" t="s">
        <v>1925</v>
      </c>
      <c r="D85" s="108" t="s">
        <v>1913</v>
      </c>
      <c r="E85" s="108" t="s">
        <v>1790</v>
      </c>
      <c r="F85" s="109" t="s">
        <v>1818</v>
      </c>
      <c r="G85" s="108" t="s">
        <v>1842</v>
      </c>
      <c r="H85" s="110" t="s">
        <v>1948</v>
      </c>
      <c r="I85" s="108" t="s">
        <v>1782</v>
      </c>
      <c r="J85" s="113" t="s">
        <v>439</v>
      </c>
      <c r="K85" s="109"/>
      <c r="L85" s="109" t="str">
        <f t="shared" si="11"/>
        <v>제14장 상소심절차-항소&gt;04&gt;1&gt;</v>
      </c>
      <c r="M85" s="109" t="str">
        <f t="shared" si="12"/>
        <v>제14장 상소심절차-항소&gt;제04절 항소심의 종국재판&gt;01</v>
      </c>
      <c r="N85" s="109" t="str">
        <f t="shared" si="13"/>
        <v>14.04&gt;2</v>
      </c>
      <c r="O85" s="109" t="str">
        <f t="shared" si="14"/>
        <v>14.04&gt;1</v>
      </c>
      <c r="P85" s="109" t="s">
        <v>1798</v>
      </c>
    </row>
    <row r="86" spans="2:16" ht="14.45" customHeight="1" x14ac:dyDescent="0.2">
      <c r="B86" s="114">
        <f t="shared" si="10"/>
        <v>83</v>
      </c>
      <c r="C86" s="108" t="s">
        <v>1925</v>
      </c>
      <c r="D86" s="108" t="s">
        <v>1875</v>
      </c>
      <c r="E86" s="108" t="s">
        <v>1794</v>
      </c>
      <c r="F86" s="109" t="s">
        <v>1818</v>
      </c>
      <c r="G86" s="108" t="s">
        <v>1870</v>
      </c>
      <c r="H86" s="110" t="s">
        <v>1948</v>
      </c>
      <c r="I86" s="108" t="s">
        <v>1805</v>
      </c>
      <c r="J86" s="113" t="s">
        <v>440</v>
      </c>
      <c r="K86" s="109"/>
      <c r="L86" s="109" t="str">
        <f t="shared" si="11"/>
        <v>제14장 상소심절차-항소&gt;05&gt;2&gt;</v>
      </c>
      <c r="M86" s="109" t="str">
        <f t="shared" si="12"/>
        <v>제14장 상소심절차-항소&gt;제04절 항소심의 종국재판&gt;02</v>
      </c>
      <c r="N86" s="109" t="str">
        <f t="shared" si="13"/>
        <v>14.04&gt;1</v>
      </c>
      <c r="O86" s="109" t="str">
        <f t="shared" si="14"/>
        <v>14.04&gt;2</v>
      </c>
      <c r="P86" s="109" t="s">
        <v>1798</v>
      </c>
    </row>
    <row r="87" spans="2:16" ht="14.45" customHeight="1" x14ac:dyDescent="0.2">
      <c r="B87" s="114">
        <f t="shared" si="10"/>
        <v>84</v>
      </c>
      <c r="C87" s="108" t="s">
        <v>1924</v>
      </c>
      <c r="D87" s="108" t="s">
        <v>1913</v>
      </c>
      <c r="E87" s="108" t="s">
        <v>1790</v>
      </c>
      <c r="F87" s="109" t="s">
        <v>1818</v>
      </c>
      <c r="G87" s="108" t="s">
        <v>1805</v>
      </c>
      <c r="H87" s="110" t="s">
        <v>1947</v>
      </c>
      <c r="I87" s="108" t="s">
        <v>1782</v>
      </c>
      <c r="J87" s="113" t="s">
        <v>437</v>
      </c>
      <c r="K87" s="109"/>
      <c r="L87" s="109" t="str">
        <f t="shared" si="11"/>
        <v>제14장 상소심절차-항소&gt;02&gt;1&gt;</v>
      </c>
      <c r="M87" s="109" t="str">
        <f t="shared" si="12"/>
        <v>제14장 상소심절차-항소&gt;제03절 항소심의 심리&gt;01</v>
      </c>
      <c r="N87" s="109" t="str">
        <f t="shared" si="13"/>
        <v>14.03&gt;2</v>
      </c>
      <c r="O87" s="109" t="str">
        <f t="shared" si="14"/>
        <v>14.03&gt;1</v>
      </c>
      <c r="P87" s="109" t="s">
        <v>1798</v>
      </c>
    </row>
    <row r="88" spans="2:16" ht="14.45" customHeight="1" x14ac:dyDescent="0.2">
      <c r="B88" s="114">
        <f t="shared" si="10"/>
        <v>85</v>
      </c>
      <c r="C88" s="108" t="s">
        <v>1924</v>
      </c>
      <c r="D88" s="108" t="s">
        <v>1875</v>
      </c>
      <c r="E88" s="108" t="s">
        <v>1794</v>
      </c>
      <c r="F88" s="109" t="s">
        <v>1818</v>
      </c>
      <c r="G88" s="108" t="s">
        <v>1828</v>
      </c>
      <c r="H88" s="110" t="s">
        <v>1947</v>
      </c>
      <c r="I88" s="108" t="s">
        <v>1805</v>
      </c>
      <c r="J88" s="113" t="s">
        <v>438</v>
      </c>
      <c r="K88" s="109"/>
      <c r="L88" s="109" t="str">
        <f t="shared" si="11"/>
        <v>제14장 상소심절차-항소&gt;03&gt;2&gt;</v>
      </c>
      <c r="M88" s="109" t="str">
        <f t="shared" si="12"/>
        <v>제14장 상소심절차-항소&gt;제03절 항소심의 심리&gt;02</v>
      </c>
      <c r="N88" s="109" t="str">
        <f t="shared" si="13"/>
        <v>14.03&gt;1</v>
      </c>
      <c r="O88" s="109" t="str">
        <f t="shared" si="14"/>
        <v>14.03&gt;2</v>
      </c>
      <c r="P88" s="109" t="s">
        <v>1798</v>
      </c>
    </row>
    <row r="89" spans="2:16" ht="14.45" customHeight="1" x14ac:dyDescent="0.2">
      <c r="B89" s="114">
        <f t="shared" si="10"/>
        <v>86</v>
      </c>
      <c r="C89" s="108" t="s">
        <v>1923</v>
      </c>
      <c r="D89" s="108" t="s">
        <v>1913</v>
      </c>
      <c r="E89" s="108" t="s">
        <v>1790</v>
      </c>
      <c r="F89" s="109" t="s">
        <v>1802</v>
      </c>
      <c r="G89" s="108" t="s">
        <v>1805</v>
      </c>
      <c r="H89" s="110" t="s">
        <v>1946</v>
      </c>
      <c r="I89" s="108" t="s">
        <v>1782</v>
      </c>
      <c r="J89" s="113" t="s">
        <v>435</v>
      </c>
      <c r="K89" s="109"/>
      <c r="L89" s="109" t="str">
        <f t="shared" si="11"/>
        <v>제13장 상소심절차-총설&gt;02&gt;1&gt;</v>
      </c>
      <c r="M89" s="109" t="str">
        <f t="shared" si="12"/>
        <v>제13장 상소심절차-총설&gt;제02절 상소의 적법요건&gt;01</v>
      </c>
      <c r="N89" s="109" t="str">
        <f t="shared" si="13"/>
        <v>13.02&gt;2</v>
      </c>
      <c r="O89" s="109" t="str">
        <f t="shared" si="14"/>
        <v>13.02&gt;1</v>
      </c>
      <c r="P89" s="109" t="s">
        <v>1798</v>
      </c>
    </row>
    <row r="90" spans="2:16" ht="14.45" customHeight="1" x14ac:dyDescent="0.2">
      <c r="B90" s="114">
        <f t="shared" si="10"/>
        <v>87</v>
      </c>
      <c r="C90" s="108" t="s">
        <v>1923</v>
      </c>
      <c r="D90" s="108" t="s">
        <v>1875</v>
      </c>
      <c r="E90" s="108" t="s">
        <v>1794</v>
      </c>
      <c r="F90" s="109" t="s">
        <v>1802</v>
      </c>
      <c r="G90" s="108" t="s">
        <v>1828</v>
      </c>
      <c r="H90" s="110" t="s">
        <v>1946</v>
      </c>
      <c r="I90" s="108" t="s">
        <v>1805</v>
      </c>
      <c r="J90" s="113" t="s">
        <v>436</v>
      </c>
      <c r="K90" s="109"/>
      <c r="L90" s="109" t="str">
        <f t="shared" si="11"/>
        <v>제13장 상소심절차-총설&gt;03&gt;2&gt;</v>
      </c>
      <c r="M90" s="109" t="str">
        <f t="shared" si="12"/>
        <v>제13장 상소심절차-총설&gt;제02절 상소의 적법요건&gt;02</v>
      </c>
      <c r="N90" s="109" t="str">
        <f t="shared" si="13"/>
        <v>13.02&gt;1</v>
      </c>
      <c r="O90" s="109" t="str">
        <f t="shared" si="14"/>
        <v>13.02&gt;2</v>
      </c>
      <c r="P90" s="109" t="s">
        <v>1798</v>
      </c>
    </row>
    <row r="91" spans="2:16" ht="14.45" customHeight="1" x14ac:dyDescent="0.2">
      <c r="B91" s="114">
        <f t="shared" si="10"/>
        <v>88</v>
      </c>
      <c r="C91" s="108" t="s">
        <v>1922</v>
      </c>
      <c r="D91" s="108" t="s">
        <v>1913</v>
      </c>
      <c r="E91" s="108" t="s">
        <v>1790</v>
      </c>
      <c r="F91" s="109" t="s">
        <v>1795</v>
      </c>
      <c r="G91" s="108" t="s">
        <v>1870</v>
      </c>
      <c r="H91" s="110" t="s">
        <v>1945</v>
      </c>
      <c r="I91" s="108" t="s">
        <v>1782</v>
      </c>
      <c r="J91" s="113" t="s">
        <v>433</v>
      </c>
      <c r="K91" s="109"/>
      <c r="L91" s="109" t="str">
        <f t="shared" si="11"/>
        <v>제09장 소송의 종료-당사자 행위에 의한 종료&gt;05&gt;1&gt;</v>
      </c>
      <c r="M91" s="109" t="str">
        <f t="shared" si="12"/>
        <v>제09장 소송의 종료-당사자 행위에 의한 종료&gt;제02절 청구의 포기・인낙&gt;01</v>
      </c>
      <c r="N91" s="109" t="str">
        <f t="shared" si="13"/>
        <v>09.02&gt;2</v>
      </c>
      <c r="O91" s="109" t="str">
        <f t="shared" si="14"/>
        <v>09.02&gt;1</v>
      </c>
      <c r="P91" s="109" t="s">
        <v>1798</v>
      </c>
    </row>
    <row r="92" spans="2:16" ht="14.45" customHeight="1" x14ac:dyDescent="0.2">
      <c r="B92" s="114">
        <f t="shared" si="10"/>
        <v>89</v>
      </c>
      <c r="C92" s="108" t="s">
        <v>1922</v>
      </c>
      <c r="D92" s="108" t="s">
        <v>1875</v>
      </c>
      <c r="E92" s="108" t="s">
        <v>1794</v>
      </c>
      <c r="F92" s="109" t="s">
        <v>1795</v>
      </c>
      <c r="G92" s="108" t="s">
        <v>1889</v>
      </c>
      <c r="H92" s="110" t="s">
        <v>1945</v>
      </c>
      <c r="I92" s="108" t="s">
        <v>1805</v>
      </c>
      <c r="J92" s="113" t="s">
        <v>434</v>
      </c>
      <c r="K92" s="109"/>
      <c r="L92" s="109" t="str">
        <f t="shared" si="11"/>
        <v>제09장 소송의 종료-당사자 행위에 의한 종료&gt;06&gt;2&gt;</v>
      </c>
      <c r="M92" s="109" t="str">
        <f t="shared" si="12"/>
        <v>제09장 소송의 종료-당사자 행위에 의한 종료&gt;제02절 청구의 포기・인낙&gt;02</v>
      </c>
      <c r="N92" s="109" t="str">
        <f t="shared" si="13"/>
        <v>09.02&gt;1</v>
      </c>
      <c r="O92" s="109" t="str">
        <f t="shared" si="14"/>
        <v>09.02&gt;2</v>
      </c>
      <c r="P92" s="109" t="s">
        <v>1798</v>
      </c>
    </row>
    <row r="93" spans="2:16" ht="14.45" customHeight="1" x14ac:dyDescent="0.2">
      <c r="B93" s="114">
        <f t="shared" si="10"/>
        <v>90</v>
      </c>
      <c r="C93" s="108" t="s">
        <v>1921</v>
      </c>
      <c r="D93" s="108" t="s">
        <v>1913</v>
      </c>
      <c r="E93" s="108" t="s">
        <v>1790</v>
      </c>
      <c r="F93" s="109" t="s">
        <v>1780</v>
      </c>
      <c r="G93" s="108" t="s">
        <v>1957</v>
      </c>
      <c r="H93" s="110" t="s">
        <v>1944</v>
      </c>
      <c r="I93" s="108" t="s">
        <v>1782</v>
      </c>
      <c r="J93" s="113" t="s">
        <v>430</v>
      </c>
      <c r="K93" s="109"/>
      <c r="L93" s="109" t="str">
        <f t="shared" si="11"/>
        <v>제07장 제1심 소송절차-증거&gt;09&gt;1&gt;</v>
      </c>
      <c r="M93" s="109" t="str">
        <f t="shared" si="12"/>
        <v>제07장 제1심 소송절차-증거&gt;제02절 증명의 대상&gt;01</v>
      </c>
      <c r="N93" s="109" t="str">
        <f t="shared" si="13"/>
        <v>07.02&gt;2</v>
      </c>
      <c r="O93" s="109" t="str">
        <f t="shared" si="14"/>
        <v>07.02&gt;1</v>
      </c>
      <c r="P93" s="109" t="s">
        <v>1798</v>
      </c>
    </row>
    <row r="94" spans="2:16" ht="14.45" customHeight="1" x14ac:dyDescent="0.2">
      <c r="B94" s="114">
        <f t="shared" si="10"/>
        <v>91</v>
      </c>
      <c r="C94" s="108" t="s">
        <v>1921</v>
      </c>
      <c r="D94" s="108" t="s">
        <v>1875</v>
      </c>
      <c r="E94" s="108" t="s">
        <v>1794</v>
      </c>
      <c r="F94" s="109" t="s">
        <v>1780</v>
      </c>
      <c r="G94" s="108" t="s">
        <v>1958</v>
      </c>
      <c r="H94" s="110" t="s">
        <v>1944</v>
      </c>
      <c r="I94" s="108" t="s">
        <v>1805</v>
      </c>
      <c r="J94" s="113" t="s">
        <v>431</v>
      </c>
      <c r="K94" s="109"/>
      <c r="L94" s="109" t="str">
        <f t="shared" si="11"/>
        <v>제07장 제1심 소송절차-증거&gt;10&gt;2&gt;</v>
      </c>
      <c r="M94" s="109" t="str">
        <f t="shared" si="12"/>
        <v>제07장 제1심 소송절차-증거&gt;제02절 증명의 대상&gt;02</v>
      </c>
      <c r="N94" s="109" t="str">
        <f t="shared" si="13"/>
        <v>07.02&gt;1</v>
      </c>
      <c r="O94" s="109" t="str">
        <f t="shared" si="14"/>
        <v>07.02&gt;2</v>
      </c>
      <c r="P94" s="109" t="s">
        <v>1798</v>
      </c>
    </row>
    <row r="95" spans="2:16" ht="14.45" customHeight="1" x14ac:dyDescent="0.2">
      <c r="B95" s="114">
        <f t="shared" si="10"/>
        <v>92</v>
      </c>
      <c r="C95" s="108" t="s">
        <v>1920</v>
      </c>
      <c r="D95" s="108" t="s">
        <v>1913</v>
      </c>
      <c r="E95" s="108" t="s">
        <v>1790</v>
      </c>
      <c r="F95" s="109" t="s">
        <v>1808</v>
      </c>
      <c r="G95" s="108" t="s">
        <v>1959</v>
      </c>
      <c r="H95" s="110" t="s">
        <v>1943</v>
      </c>
      <c r="I95" s="108" t="s">
        <v>1782</v>
      </c>
      <c r="J95" s="113" t="s">
        <v>428</v>
      </c>
      <c r="K95" s="109"/>
      <c r="L95" s="109" t="str">
        <f t="shared" si="11"/>
        <v>제06장 제1심 소송절차-변론&gt;11&gt;1&gt;</v>
      </c>
      <c r="M95" s="109" t="str">
        <f t="shared" si="12"/>
        <v>제06장 제1심 소송절차-변론&gt;제08절 소송절차의 정지&gt;01</v>
      </c>
      <c r="N95" s="109" t="str">
        <f t="shared" si="13"/>
        <v>06.08&gt;2</v>
      </c>
      <c r="O95" s="109" t="str">
        <f t="shared" si="14"/>
        <v>06.08&gt;1</v>
      </c>
      <c r="P95" s="109" t="s">
        <v>1798</v>
      </c>
    </row>
    <row r="96" spans="2:16" ht="14.45" customHeight="1" x14ac:dyDescent="0.2">
      <c r="B96" s="114">
        <f t="shared" si="10"/>
        <v>93</v>
      </c>
      <c r="C96" s="108" t="s">
        <v>1920</v>
      </c>
      <c r="D96" s="108" t="s">
        <v>1875</v>
      </c>
      <c r="E96" s="108" t="s">
        <v>1794</v>
      </c>
      <c r="F96" s="109" t="s">
        <v>1808</v>
      </c>
      <c r="G96" s="108" t="s">
        <v>1960</v>
      </c>
      <c r="H96" s="110" t="s">
        <v>1943</v>
      </c>
      <c r="I96" s="108" t="s">
        <v>1805</v>
      </c>
      <c r="J96" s="113" t="s">
        <v>429</v>
      </c>
      <c r="K96" s="109"/>
      <c r="L96" s="109" t="str">
        <f t="shared" si="11"/>
        <v>제06장 제1심 소송절차-변론&gt;12&gt;2&gt;</v>
      </c>
      <c r="M96" s="109" t="str">
        <f t="shared" si="12"/>
        <v>제06장 제1심 소송절차-변론&gt;제08절 소송절차의 정지&gt;02</v>
      </c>
      <c r="N96" s="109" t="str">
        <f t="shared" si="13"/>
        <v>06.08&gt;1</v>
      </c>
      <c r="O96" s="109" t="str">
        <f t="shared" si="14"/>
        <v>06.08&gt;2</v>
      </c>
      <c r="P96" s="109" t="s">
        <v>1798</v>
      </c>
    </row>
    <row r="97" spans="2:16" ht="14.45" customHeight="1" x14ac:dyDescent="0.2">
      <c r="B97" s="114">
        <f t="shared" si="10"/>
        <v>94</v>
      </c>
      <c r="C97" s="108" t="s">
        <v>1919</v>
      </c>
      <c r="D97" s="108" t="s">
        <v>1913</v>
      </c>
      <c r="E97" s="108" t="s">
        <v>1790</v>
      </c>
      <c r="F97" s="109" t="s">
        <v>1885</v>
      </c>
      <c r="G97" s="108" t="s">
        <v>1961</v>
      </c>
      <c r="H97" s="110" t="s">
        <v>1942</v>
      </c>
      <c r="I97" s="108" t="s">
        <v>1782</v>
      </c>
      <c r="J97" s="113" t="s">
        <v>426</v>
      </c>
      <c r="K97" s="109"/>
      <c r="L97" s="109" t="str">
        <f t="shared" si="11"/>
        <v>제05장 제1심 소송절차-소송 개시와 심리 대상&gt;13&gt;1&gt;</v>
      </c>
      <c r="M97" s="109" t="str">
        <f t="shared" si="12"/>
        <v>제05장 제1심 소송절차-소송 개시와 심리 대상&gt;제06절 재판장의 소장심사와 그 후의 조치&gt;01</v>
      </c>
      <c r="N97" s="109" t="str">
        <f t="shared" si="13"/>
        <v>05.06&gt;2</v>
      </c>
      <c r="O97" s="109" t="str">
        <f t="shared" si="14"/>
        <v>05.06&gt;1</v>
      </c>
      <c r="P97" s="109" t="s">
        <v>1798</v>
      </c>
    </row>
    <row r="98" spans="2:16" ht="14.45" customHeight="1" x14ac:dyDescent="0.2">
      <c r="B98" s="114">
        <f t="shared" si="10"/>
        <v>95</v>
      </c>
      <c r="C98" s="108" t="s">
        <v>1919</v>
      </c>
      <c r="D98" s="108" t="s">
        <v>1875</v>
      </c>
      <c r="E98" s="108" t="s">
        <v>1794</v>
      </c>
      <c r="F98" s="109" t="s">
        <v>1885</v>
      </c>
      <c r="G98" s="108" t="s">
        <v>1962</v>
      </c>
      <c r="H98" s="110" t="s">
        <v>1942</v>
      </c>
      <c r="I98" s="108" t="s">
        <v>1805</v>
      </c>
      <c r="J98" s="113" t="s">
        <v>427</v>
      </c>
      <c r="K98" s="109"/>
      <c r="L98" s="109" t="str">
        <f t="shared" si="11"/>
        <v>제05장 제1심 소송절차-소송 개시와 심리 대상&gt;14&gt;2&gt;</v>
      </c>
      <c r="M98" s="109" t="str">
        <f t="shared" si="12"/>
        <v>제05장 제1심 소송절차-소송 개시와 심리 대상&gt;제06절 재판장의 소장심사와 그 후의 조치&gt;02</v>
      </c>
      <c r="N98" s="109" t="str">
        <f t="shared" si="13"/>
        <v>05.06&gt;1</v>
      </c>
      <c r="O98" s="109" t="str">
        <f t="shared" si="14"/>
        <v>05.06&gt;2</v>
      </c>
      <c r="P98" s="109" t="s">
        <v>1798</v>
      </c>
    </row>
    <row r="99" spans="2:16" ht="14.45" customHeight="1" x14ac:dyDescent="0.2">
      <c r="B99" s="114">
        <f t="shared" si="10"/>
        <v>96</v>
      </c>
      <c r="C99" s="108" t="s">
        <v>1918</v>
      </c>
      <c r="D99" s="108" t="s">
        <v>1913</v>
      </c>
      <c r="E99" s="108" t="s">
        <v>1790</v>
      </c>
      <c r="F99" s="109" t="s">
        <v>1885</v>
      </c>
      <c r="G99" s="108" t="s">
        <v>1959</v>
      </c>
      <c r="H99" s="110" t="s">
        <v>1938</v>
      </c>
      <c r="I99" s="108" t="s">
        <v>1782</v>
      </c>
      <c r="J99" s="113" t="s">
        <v>424</v>
      </c>
      <c r="K99" s="109"/>
      <c r="L99" s="109" t="str">
        <f t="shared" si="11"/>
        <v>제05장 제1심 소송절차-소송 개시와 심리 대상&gt;11&gt;1&gt;</v>
      </c>
      <c r="M99" s="109" t="str">
        <f t="shared" si="12"/>
        <v>제05장 제1심 소송절차-소송 개시와 심리 대상&gt;제05절 소의 제기&gt;01</v>
      </c>
      <c r="N99" s="109" t="str">
        <f t="shared" si="13"/>
        <v>05.05&gt;2</v>
      </c>
      <c r="O99" s="109" t="str">
        <f t="shared" si="14"/>
        <v>05.05&gt;1</v>
      </c>
      <c r="P99" s="109" t="s">
        <v>1798</v>
      </c>
    </row>
    <row r="100" spans="2:16" ht="14.45" customHeight="1" x14ac:dyDescent="0.2">
      <c r="B100" s="114">
        <f t="shared" ref="B100:B108" si="15">ROW()-3</f>
        <v>97</v>
      </c>
      <c r="C100" s="108" t="s">
        <v>1918</v>
      </c>
      <c r="D100" s="108" t="s">
        <v>1875</v>
      </c>
      <c r="E100" s="108" t="s">
        <v>1794</v>
      </c>
      <c r="F100" s="109" t="s">
        <v>1885</v>
      </c>
      <c r="G100" s="108" t="s">
        <v>1960</v>
      </c>
      <c r="H100" s="110" t="s">
        <v>1938</v>
      </c>
      <c r="I100" s="108" t="s">
        <v>1805</v>
      </c>
      <c r="J100" s="113" t="s">
        <v>425</v>
      </c>
      <c r="K100" s="109"/>
      <c r="L100" s="109" t="str">
        <f t="shared" ref="L100:L108" si="16">F100&amp;"&gt;"&amp;G100&amp;"&gt;"&amp;D100&amp;"&gt;"&amp;K100</f>
        <v>제05장 제1심 소송절차-소송 개시와 심리 대상&gt;12&gt;2&gt;</v>
      </c>
      <c r="M100" s="109" t="str">
        <f t="shared" ref="M100:M108" si="17">F100&amp;"&gt;"&amp;H100&amp;"&gt;"&amp;I100</f>
        <v>제05장 제1심 소송절차-소송 개시와 심리 대상&gt;제05절 소의 제기&gt;02</v>
      </c>
      <c r="N100" s="109" t="str">
        <f t="shared" ref="N100:N108" si="18">C100&amp;"&gt;"&amp;E100</f>
        <v>05.05&gt;1</v>
      </c>
      <c r="O100" s="109" t="str">
        <f t="shared" ref="O100:O108" si="19">C100&amp;"&gt;"&amp;D100</f>
        <v>05.05&gt;2</v>
      </c>
      <c r="P100" s="109" t="s">
        <v>1798</v>
      </c>
    </row>
    <row r="101" spans="2:16" ht="14.45" customHeight="1" x14ac:dyDescent="0.2">
      <c r="B101" s="114">
        <f t="shared" si="15"/>
        <v>98</v>
      </c>
      <c r="C101" s="108" t="s">
        <v>1917</v>
      </c>
      <c r="D101" s="108" t="s">
        <v>1913</v>
      </c>
      <c r="E101" s="108" t="s">
        <v>1790</v>
      </c>
      <c r="F101" s="109" t="s">
        <v>1885</v>
      </c>
      <c r="G101" s="108" t="s">
        <v>1957</v>
      </c>
      <c r="H101" s="110" t="s">
        <v>1937</v>
      </c>
      <c r="I101" s="108" t="s">
        <v>1782</v>
      </c>
      <c r="J101" s="113" t="s">
        <v>422</v>
      </c>
      <c r="K101" s="109"/>
      <c r="L101" s="109" t="str">
        <f t="shared" si="16"/>
        <v>제05장 제1심 소송절차-소송 개시와 심리 대상&gt;09&gt;1&gt;</v>
      </c>
      <c r="M101" s="109" t="str">
        <f t="shared" si="17"/>
        <v>제05장 제1심 소송절차-소송 개시와 심리 대상&gt;제05절 소송물&gt;01</v>
      </c>
      <c r="N101" s="109" t="str">
        <f t="shared" si="18"/>
        <v>05.04&gt;2</v>
      </c>
      <c r="O101" s="109" t="str">
        <f t="shared" si="19"/>
        <v>05.04&gt;1</v>
      </c>
      <c r="P101" s="109" t="s">
        <v>1798</v>
      </c>
    </row>
    <row r="102" spans="2:16" ht="14.45" customHeight="1" x14ac:dyDescent="0.2">
      <c r="B102" s="114">
        <f t="shared" si="15"/>
        <v>99</v>
      </c>
      <c r="C102" s="108" t="s">
        <v>1917</v>
      </c>
      <c r="D102" s="108" t="s">
        <v>1875</v>
      </c>
      <c r="E102" s="108" t="s">
        <v>1794</v>
      </c>
      <c r="F102" s="109" t="s">
        <v>1885</v>
      </c>
      <c r="G102" s="108" t="s">
        <v>1958</v>
      </c>
      <c r="H102" s="110" t="s">
        <v>1937</v>
      </c>
      <c r="I102" s="108" t="s">
        <v>1805</v>
      </c>
      <c r="J102" s="113" t="s">
        <v>423</v>
      </c>
      <c r="K102" s="109"/>
      <c r="L102" s="109" t="str">
        <f t="shared" si="16"/>
        <v>제05장 제1심 소송절차-소송 개시와 심리 대상&gt;10&gt;2&gt;</v>
      </c>
      <c r="M102" s="109" t="str">
        <f t="shared" si="17"/>
        <v>제05장 제1심 소송절차-소송 개시와 심리 대상&gt;제05절 소송물&gt;02</v>
      </c>
      <c r="N102" s="109" t="str">
        <f t="shared" si="18"/>
        <v>05.04&gt;1</v>
      </c>
      <c r="O102" s="109" t="str">
        <f t="shared" si="19"/>
        <v>05.04&gt;2</v>
      </c>
      <c r="P102" s="109" t="s">
        <v>1798</v>
      </c>
    </row>
    <row r="103" spans="2:16" ht="14.45" customHeight="1" x14ac:dyDescent="0.2">
      <c r="B103" s="114">
        <f t="shared" si="15"/>
        <v>100</v>
      </c>
      <c r="C103" s="108" t="s">
        <v>1916</v>
      </c>
      <c r="D103" s="108" t="s">
        <v>1913</v>
      </c>
      <c r="E103" s="108" t="s">
        <v>1790</v>
      </c>
      <c r="F103" s="109" t="s">
        <v>1885</v>
      </c>
      <c r="G103" s="108" t="s">
        <v>1891</v>
      </c>
      <c r="H103" s="110" t="s">
        <v>1936</v>
      </c>
      <c r="I103" s="108" t="s">
        <v>1782</v>
      </c>
      <c r="J103" s="113" t="s">
        <v>420</v>
      </c>
      <c r="K103" s="109"/>
      <c r="L103" s="109" t="str">
        <f t="shared" si="16"/>
        <v>제05장 제1심 소송절차-소송 개시와 심리 대상&gt;07&gt;1&gt;</v>
      </c>
      <c r="M103" s="109" t="str">
        <f t="shared" si="17"/>
        <v>제05장 제1심 소송절차-소송 개시와 심리 대상&gt;제02절 소송요건&gt;01</v>
      </c>
      <c r="N103" s="109" t="str">
        <f t="shared" si="18"/>
        <v>05.02&gt;2</v>
      </c>
      <c r="O103" s="109" t="str">
        <f t="shared" si="19"/>
        <v>05.02&gt;1</v>
      </c>
      <c r="P103" s="109" t="s">
        <v>1798</v>
      </c>
    </row>
    <row r="104" spans="2:16" ht="14.45" customHeight="1" x14ac:dyDescent="0.2">
      <c r="B104" s="114">
        <f t="shared" si="15"/>
        <v>101</v>
      </c>
      <c r="C104" s="108" t="s">
        <v>1916</v>
      </c>
      <c r="D104" s="108" t="s">
        <v>1875</v>
      </c>
      <c r="E104" s="108" t="s">
        <v>1794</v>
      </c>
      <c r="F104" s="109" t="s">
        <v>1885</v>
      </c>
      <c r="G104" s="108" t="s">
        <v>1909</v>
      </c>
      <c r="H104" s="110" t="s">
        <v>1936</v>
      </c>
      <c r="I104" s="108" t="s">
        <v>1805</v>
      </c>
      <c r="J104" s="113" t="s">
        <v>421</v>
      </c>
      <c r="K104" s="109"/>
      <c r="L104" s="109" t="str">
        <f t="shared" si="16"/>
        <v>제05장 제1심 소송절차-소송 개시와 심리 대상&gt;08&gt;2&gt;</v>
      </c>
      <c r="M104" s="109" t="str">
        <f t="shared" si="17"/>
        <v>제05장 제1심 소송절차-소송 개시와 심리 대상&gt;제02절 소송요건&gt;02</v>
      </c>
      <c r="N104" s="109" t="str">
        <f t="shared" si="18"/>
        <v>05.02&gt;1</v>
      </c>
      <c r="O104" s="109" t="str">
        <f t="shared" si="19"/>
        <v>05.02&gt;2</v>
      </c>
      <c r="P104" s="109" t="s">
        <v>1798</v>
      </c>
    </row>
    <row r="105" spans="2:16" ht="14.45" customHeight="1" x14ac:dyDescent="0.2">
      <c r="B105" s="114">
        <f t="shared" si="15"/>
        <v>102</v>
      </c>
      <c r="C105" s="108" t="s">
        <v>1914</v>
      </c>
      <c r="D105" s="108" t="s">
        <v>1913</v>
      </c>
      <c r="E105" s="108" t="s">
        <v>1787</v>
      </c>
      <c r="F105" s="109" t="s">
        <v>1836</v>
      </c>
      <c r="G105" s="108" t="s">
        <v>1842</v>
      </c>
      <c r="H105" s="110" t="s">
        <v>1935</v>
      </c>
      <c r="I105" s="108" t="s">
        <v>1782</v>
      </c>
      <c r="J105" s="113" t="s">
        <v>417</v>
      </c>
      <c r="K105" s="109"/>
      <c r="L105" s="109" t="str">
        <f t="shared" si="16"/>
        <v>제03장 소송의 주체-법원&gt;04&gt;1&gt;</v>
      </c>
      <c r="M105" s="109" t="str">
        <f t="shared" si="17"/>
        <v>제03장 소송의 주체-법원&gt;제02절 법관의 제척・기피・회피&gt;01</v>
      </c>
      <c r="N105" s="109" t="str">
        <f t="shared" si="18"/>
        <v>03.02&gt;3</v>
      </c>
      <c r="O105" s="109" t="str">
        <f t="shared" si="19"/>
        <v>03.02&gt;1</v>
      </c>
      <c r="P105" s="109" t="s">
        <v>1798</v>
      </c>
    </row>
    <row r="106" spans="2:16" ht="14.45" customHeight="1" x14ac:dyDescent="0.2">
      <c r="B106" s="114">
        <f t="shared" si="15"/>
        <v>103</v>
      </c>
      <c r="C106" s="108" t="s">
        <v>1914</v>
      </c>
      <c r="D106" s="108" t="s">
        <v>1875</v>
      </c>
      <c r="E106" s="108" t="s">
        <v>1790</v>
      </c>
      <c r="F106" s="109" t="s">
        <v>1836</v>
      </c>
      <c r="G106" s="108" t="s">
        <v>1870</v>
      </c>
      <c r="H106" s="110" t="s">
        <v>1934</v>
      </c>
      <c r="I106" s="108" t="s">
        <v>1805</v>
      </c>
      <c r="J106" s="113" t="s">
        <v>418</v>
      </c>
      <c r="K106" s="109"/>
      <c r="L106" s="109" t="str">
        <f t="shared" si="16"/>
        <v>제03장 소송의 주체-법원&gt;05&gt;2&gt;</v>
      </c>
      <c r="M106" s="109" t="str">
        <f t="shared" si="17"/>
        <v>제03장 소송의 주체-법원&gt;제02절 법관의 제척・기피・회피&gt;02</v>
      </c>
      <c r="N106" s="109" t="str">
        <f t="shared" si="18"/>
        <v>03.02&gt;2</v>
      </c>
      <c r="O106" s="109" t="str">
        <f t="shared" si="19"/>
        <v>03.02&gt;2</v>
      </c>
      <c r="P106" s="109" t="s">
        <v>1798</v>
      </c>
    </row>
    <row r="107" spans="2:16" ht="14.45" customHeight="1" x14ac:dyDescent="0.2">
      <c r="B107" s="114">
        <f t="shared" si="15"/>
        <v>104</v>
      </c>
      <c r="C107" s="108" t="s">
        <v>1914</v>
      </c>
      <c r="D107" s="108" t="s">
        <v>1877</v>
      </c>
      <c r="E107" s="108" t="s">
        <v>1794</v>
      </c>
      <c r="F107" s="109" t="s">
        <v>1836</v>
      </c>
      <c r="G107" s="108" t="s">
        <v>1889</v>
      </c>
      <c r="H107" s="110" t="s">
        <v>1934</v>
      </c>
      <c r="I107" s="108" t="s">
        <v>1828</v>
      </c>
      <c r="J107" s="113" t="s">
        <v>419</v>
      </c>
      <c r="K107" s="109"/>
      <c r="L107" s="109" t="str">
        <f t="shared" si="16"/>
        <v>제03장 소송의 주체-법원&gt;06&gt;3&gt;</v>
      </c>
      <c r="M107" s="109" t="str">
        <f t="shared" si="17"/>
        <v>제03장 소송의 주체-법원&gt;제02절 법관의 제척・기피・회피&gt;03</v>
      </c>
      <c r="N107" s="109" t="str">
        <f t="shared" si="18"/>
        <v>03.02&gt;1</v>
      </c>
      <c r="O107" s="109" t="str">
        <f t="shared" si="19"/>
        <v>03.02&gt;3</v>
      </c>
      <c r="P107" s="109" t="s">
        <v>1798</v>
      </c>
    </row>
    <row r="108" spans="2:16" ht="14.45" customHeight="1" x14ac:dyDescent="0.2">
      <c r="B108" s="114">
        <f t="shared" si="15"/>
        <v>105</v>
      </c>
      <c r="C108" s="108" t="s">
        <v>1911</v>
      </c>
      <c r="D108" s="108">
        <v>1</v>
      </c>
      <c r="E108" s="108" t="s">
        <v>1794</v>
      </c>
      <c r="F108" s="109" t="s">
        <v>1883</v>
      </c>
      <c r="G108" s="108" t="s">
        <v>1805</v>
      </c>
      <c r="H108" s="110" t="s">
        <v>1912</v>
      </c>
      <c r="I108" s="108" t="s">
        <v>1782</v>
      </c>
      <c r="J108" s="113" t="s">
        <v>634</v>
      </c>
      <c r="K108" s="109"/>
      <c r="L108" s="109" t="str">
        <f t="shared" si="16"/>
        <v>제01장 총설-민사소송&gt;02&gt;1&gt;</v>
      </c>
      <c r="M108" s="109" t="str">
        <f t="shared" si="17"/>
        <v>제01장 총설-민사소송&gt;제01절 개관&gt;01</v>
      </c>
      <c r="N108" s="109" t="str">
        <f t="shared" si="18"/>
        <v>01.01&gt;1</v>
      </c>
      <c r="O108" s="109" t="str">
        <f t="shared" si="19"/>
        <v>01.01&gt;1</v>
      </c>
      <c r="P108" s="109" t="s">
        <v>1798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descending="1" ref="N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tabSelected="1" zoomScaleNormal="100" workbookViewId="0">
      <pane ySplit="2" topLeftCell="A3" activePane="bottomLeft" state="frozen"/>
      <selection pane="bottomLeft" activeCell="H36" sqref="H36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9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4" ht="14.45" customHeight="1" thickBot="1" x14ac:dyDescent="0.25"/>
    <row r="2" spans="2:4" ht="14.45" customHeight="1" thickBot="1" x14ac:dyDescent="0.25">
      <c r="B2" s="236" t="s">
        <v>1968</v>
      </c>
      <c r="C2" s="237"/>
      <c r="D2" s="120" t="s">
        <v>1969</v>
      </c>
    </row>
    <row r="3" spans="2:4" ht="14.45" customHeight="1" thickBot="1" x14ac:dyDescent="0.3">
      <c r="B3" s="182" t="s">
        <v>1971</v>
      </c>
      <c r="C3" s="183" t="s">
        <v>1970</v>
      </c>
      <c r="D3" s="186" t="s">
        <v>1972</v>
      </c>
    </row>
    <row r="4" spans="2:4" ht="14.45" customHeight="1" x14ac:dyDescent="0.25">
      <c r="B4" s="238" t="s">
        <v>2178</v>
      </c>
      <c r="C4" s="184" t="s">
        <v>1970</v>
      </c>
      <c r="D4" s="187" t="s">
        <v>2189</v>
      </c>
    </row>
    <row r="5" spans="2:4" ht="14.45" customHeight="1" thickBot="1" x14ac:dyDescent="0.3">
      <c r="B5" s="239"/>
      <c r="C5" s="185" t="s">
        <v>2179</v>
      </c>
      <c r="D5" s="188" t="s">
        <v>2190</v>
      </c>
    </row>
    <row r="12" spans="2:4" ht="14.45" customHeight="1" x14ac:dyDescent="0.2">
      <c r="B12" s="10"/>
    </row>
    <row r="26" spans="2:2" ht="14.45" customHeight="1" x14ac:dyDescent="0.2">
      <c r="B26" s="121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187"/>
  <sheetViews>
    <sheetView showGridLines="0" workbookViewId="0">
      <pane ySplit="3" topLeftCell="A67" activePane="bottomLeft" state="frozen"/>
      <selection pane="bottomLeft" activeCell="G70" sqref="G70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40" t="s">
        <v>2</v>
      </c>
      <c r="C2" s="218"/>
      <c r="D2" s="222"/>
      <c r="E2" s="180" t="s">
        <v>3</v>
      </c>
      <c r="F2" s="253"/>
      <c r="G2" s="181" t="s">
        <v>4</v>
      </c>
    </row>
    <row r="3" spans="2:7" ht="14.45" customHeight="1" thickBot="1" x14ac:dyDescent="0.25">
      <c r="B3" s="179" t="s">
        <v>2142</v>
      </c>
      <c r="C3" s="129" t="s">
        <v>0</v>
      </c>
      <c r="D3" s="92" t="s">
        <v>1</v>
      </c>
      <c r="E3" s="254"/>
      <c r="F3" s="255"/>
      <c r="G3" s="252"/>
    </row>
    <row r="4" spans="2:7" ht="14.45" customHeight="1" x14ac:dyDescent="0.2">
      <c r="B4" s="226" t="s">
        <v>2014</v>
      </c>
      <c r="C4" s="243" t="s">
        <v>2015</v>
      </c>
      <c r="D4" s="210" t="s">
        <v>104</v>
      </c>
      <c r="E4" s="158" t="s">
        <v>1973</v>
      </c>
      <c r="F4" s="18"/>
      <c r="G4" s="19" t="s">
        <v>2007</v>
      </c>
    </row>
    <row r="5" spans="2:7" ht="14.45" customHeight="1" x14ac:dyDescent="0.2">
      <c r="B5" s="227"/>
      <c r="C5" s="244"/>
      <c r="D5" s="211"/>
      <c r="E5" s="159" t="s">
        <v>2008</v>
      </c>
      <c r="F5" s="54"/>
      <c r="G5" s="55" t="s">
        <v>2009</v>
      </c>
    </row>
    <row r="6" spans="2:7" ht="14.45" customHeight="1" x14ac:dyDescent="0.2">
      <c r="B6" s="227"/>
      <c r="C6" s="244"/>
      <c r="D6" s="211"/>
      <c r="E6" s="159" t="s">
        <v>2011</v>
      </c>
      <c r="F6" s="54"/>
      <c r="G6" s="55" t="s">
        <v>2010</v>
      </c>
    </row>
    <row r="7" spans="2:7" ht="14.45" customHeight="1" x14ac:dyDescent="0.2">
      <c r="B7" s="227"/>
      <c r="C7" s="244"/>
      <c r="D7" s="211"/>
      <c r="E7" s="160" t="s">
        <v>1974</v>
      </c>
      <c r="F7" s="93"/>
      <c r="G7" s="94" t="s">
        <v>2012</v>
      </c>
    </row>
    <row r="8" spans="2:7" ht="14.45" customHeight="1" x14ac:dyDescent="0.2">
      <c r="B8" s="227"/>
      <c r="C8" s="244"/>
      <c r="D8" s="211"/>
      <c r="E8" s="160" t="s">
        <v>2013</v>
      </c>
      <c r="F8" s="93"/>
      <c r="G8" s="94" t="s">
        <v>2042</v>
      </c>
    </row>
    <row r="9" spans="2:7" ht="14.45" customHeight="1" x14ac:dyDescent="0.2">
      <c r="B9" s="227"/>
      <c r="C9" s="244"/>
      <c r="D9" s="211"/>
      <c r="E9" s="160" t="s">
        <v>1975</v>
      </c>
      <c r="F9" s="93"/>
      <c r="G9" s="94" t="s">
        <v>2043</v>
      </c>
    </row>
    <row r="10" spans="2:7" ht="14.45" customHeight="1" x14ac:dyDescent="0.2">
      <c r="B10" s="227"/>
      <c r="C10" s="244"/>
      <c r="D10" s="211"/>
      <c r="E10" s="160" t="s">
        <v>1976</v>
      </c>
      <c r="F10" s="93"/>
      <c r="G10" s="94" t="s">
        <v>2044</v>
      </c>
    </row>
    <row r="11" spans="2:7" ht="14.45" customHeight="1" x14ac:dyDescent="0.2">
      <c r="B11" s="227"/>
      <c r="C11" s="244"/>
      <c r="D11" s="211"/>
      <c r="E11" s="160" t="s">
        <v>1977</v>
      </c>
      <c r="F11" s="93"/>
      <c r="G11" s="94" t="s">
        <v>2045</v>
      </c>
    </row>
    <row r="12" spans="2:7" ht="14.45" customHeight="1" x14ac:dyDescent="0.2">
      <c r="B12" s="227"/>
      <c r="C12" s="244"/>
      <c r="D12" s="211"/>
      <c r="E12" s="160" t="s">
        <v>1978</v>
      </c>
      <c r="F12" s="93"/>
      <c r="G12" s="94" t="s">
        <v>2046</v>
      </c>
    </row>
    <row r="13" spans="2:7" ht="14.45" customHeight="1" x14ac:dyDescent="0.2">
      <c r="B13" s="227"/>
      <c r="C13" s="244"/>
      <c r="D13" s="211"/>
      <c r="E13" s="160" t="s">
        <v>1979</v>
      </c>
      <c r="F13" s="93"/>
      <c r="G13" s="94" t="s">
        <v>2047</v>
      </c>
    </row>
    <row r="14" spans="2:7" ht="14.45" customHeight="1" x14ac:dyDescent="0.2">
      <c r="B14" s="227"/>
      <c r="C14" s="244"/>
      <c r="D14" s="211"/>
      <c r="E14" s="160" t="s">
        <v>1980</v>
      </c>
      <c r="F14" s="93"/>
      <c r="G14" s="94" t="s">
        <v>2053</v>
      </c>
    </row>
    <row r="15" spans="2:7" ht="14.45" customHeight="1" x14ac:dyDescent="0.2">
      <c r="B15" s="227"/>
      <c r="C15" s="244"/>
      <c r="D15" s="211"/>
      <c r="E15" s="160" t="s">
        <v>1981</v>
      </c>
      <c r="F15" s="93"/>
      <c r="G15" s="94" t="s">
        <v>2054</v>
      </c>
    </row>
    <row r="16" spans="2:7" ht="14.45" customHeight="1" x14ac:dyDescent="0.2">
      <c r="B16" s="227"/>
      <c r="C16" s="244"/>
      <c r="D16" s="211"/>
      <c r="E16" s="160" t="s">
        <v>1982</v>
      </c>
      <c r="F16" s="93"/>
      <c r="G16" s="94" t="s">
        <v>2055</v>
      </c>
    </row>
    <row r="17" spans="2:7" ht="14.45" customHeight="1" x14ac:dyDescent="0.2">
      <c r="B17" s="227"/>
      <c r="C17" s="244"/>
      <c r="D17" s="211"/>
      <c r="E17" s="160" t="s">
        <v>2128</v>
      </c>
      <c r="F17" s="93"/>
      <c r="G17" s="94" t="s">
        <v>2132</v>
      </c>
    </row>
    <row r="18" spans="2:7" ht="14.45" customHeight="1" x14ac:dyDescent="0.2">
      <c r="B18" s="227"/>
      <c r="C18" s="244"/>
      <c r="D18" s="211"/>
      <c r="E18" s="160" t="s">
        <v>2130</v>
      </c>
      <c r="F18" s="93"/>
      <c r="G18" s="94" t="s">
        <v>2129</v>
      </c>
    </row>
    <row r="19" spans="2:7" ht="14.45" customHeight="1" x14ac:dyDescent="0.2">
      <c r="B19" s="227"/>
      <c r="C19" s="244"/>
      <c r="D19" s="211"/>
      <c r="E19" s="160" t="s">
        <v>2131</v>
      </c>
      <c r="F19" s="93"/>
      <c r="G19" s="94" t="s">
        <v>2133</v>
      </c>
    </row>
    <row r="20" spans="2:7" ht="14.45" customHeight="1" x14ac:dyDescent="0.2">
      <c r="B20" s="227"/>
      <c r="C20" s="244"/>
      <c r="D20" s="211"/>
      <c r="E20" s="160" t="s">
        <v>2134</v>
      </c>
      <c r="F20" s="93"/>
      <c r="G20" s="94" t="s">
        <v>2135</v>
      </c>
    </row>
    <row r="21" spans="2:7" ht="14.45" customHeight="1" x14ac:dyDescent="0.2">
      <c r="B21" s="227"/>
      <c r="C21" s="244"/>
      <c r="D21" s="211"/>
      <c r="E21" s="160" t="s">
        <v>2136</v>
      </c>
      <c r="F21" s="93"/>
      <c r="G21" s="94" t="s">
        <v>2137</v>
      </c>
    </row>
    <row r="22" spans="2:7" ht="14.45" customHeight="1" x14ac:dyDescent="0.2">
      <c r="B22" s="227"/>
      <c r="C22" s="244"/>
      <c r="D22" s="211"/>
      <c r="E22" s="160" t="s">
        <v>2138</v>
      </c>
      <c r="F22" s="93"/>
      <c r="G22" s="94" t="s">
        <v>2140</v>
      </c>
    </row>
    <row r="23" spans="2:7" ht="14.45" customHeight="1" x14ac:dyDescent="0.2">
      <c r="B23" s="227"/>
      <c r="C23" s="244"/>
      <c r="D23" s="211"/>
      <c r="E23" s="160" t="s">
        <v>2139</v>
      </c>
      <c r="F23" s="93"/>
      <c r="G23" s="94" t="s">
        <v>2141</v>
      </c>
    </row>
    <row r="24" spans="2:7" ht="14.45" customHeight="1" x14ac:dyDescent="0.2">
      <c r="B24" s="227"/>
      <c r="C24" s="244"/>
      <c r="D24" s="211"/>
      <c r="E24" s="160" t="s">
        <v>1983</v>
      </c>
      <c r="F24" s="93"/>
      <c r="G24" s="94" t="s">
        <v>2056</v>
      </c>
    </row>
    <row r="25" spans="2:7" ht="14.45" customHeight="1" x14ac:dyDescent="0.2">
      <c r="B25" s="227"/>
      <c r="C25" s="244"/>
      <c r="D25" s="211"/>
      <c r="E25" s="160" t="s">
        <v>1984</v>
      </c>
      <c r="F25" s="93"/>
      <c r="G25" s="94" t="s">
        <v>2057</v>
      </c>
    </row>
    <row r="26" spans="2:7" ht="14.45" customHeight="1" x14ac:dyDescent="0.2">
      <c r="B26" s="227"/>
      <c r="C26" s="244"/>
      <c r="D26" s="211"/>
      <c r="E26" s="160" t="s">
        <v>1985</v>
      </c>
      <c r="F26" s="93"/>
      <c r="G26" s="94" t="s">
        <v>2058</v>
      </c>
    </row>
    <row r="27" spans="2:7" ht="14.45" customHeight="1" x14ac:dyDescent="0.2">
      <c r="B27" s="227"/>
      <c r="C27" s="244"/>
      <c r="D27" s="211"/>
      <c r="E27" s="160" t="s">
        <v>1986</v>
      </c>
      <c r="F27" s="93"/>
      <c r="G27" s="94" t="s">
        <v>2059</v>
      </c>
    </row>
    <row r="28" spans="2:7" ht="14.45" customHeight="1" x14ac:dyDescent="0.2">
      <c r="B28" s="227"/>
      <c r="C28" s="244"/>
      <c r="D28" s="211"/>
      <c r="E28" s="160" t="s">
        <v>1987</v>
      </c>
      <c r="F28" s="93"/>
      <c r="G28" s="94" t="s">
        <v>2060</v>
      </c>
    </row>
    <row r="29" spans="2:7" ht="14.45" customHeight="1" x14ac:dyDescent="0.2">
      <c r="B29" s="227"/>
      <c r="C29" s="244"/>
      <c r="D29" s="211"/>
      <c r="E29" s="160" t="s">
        <v>1988</v>
      </c>
      <c r="F29" s="93"/>
      <c r="G29" s="94" t="s">
        <v>2061</v>
      </c>
    </row>
    <row r="30" spans="2:7" ht="14.45" customHeight="1" x14ac:dyDescent="0.2">
      <c r="B30" s="227"/>
      <c r="C30" s="244"/>
      <c r="D30" s="211"/>
      <c r="E30" s="160" t="s">
        <v>1989</v>
      </c>
      <c r="F30" s="93"/>
      <c r="G30" s="94" t="s">
        <v>2062</v>
      </c>
    </row>
    <row r="31" spans="2:7" ht="14.45" customHeight="1" x14ac:dyDescent="0.2">
      <c r="B31" s="227"/>
      <c r="C31" s="244"/>
      <c r="D31" s="211"/>
      <c r="E31" s="160" t="s">
        <v>1990</v>
      </c>
      <c r="F31" s="93"/>
      <c r="G31" s="94" t="s">
        <v>2063</v>
      </c>
    </row>
    <row r="32" spans="2:7" ht="14.45" customHeight="1" x14ac:dyDescent="0.2">
      <c r="B32" s="227"/>
      <c r="C32" s="244"/>
      <c r="D32" s="211"/>
      <c r="E32" s="160" t="s">
        <v>1991</v>
      </c>
      <c r="F32" s="93"/>
      <c r="G32" s="94" t="s">
        <v>2064</v>
      </c>
    </row>
    <row r="33" spans="2:7" ht="14.45" customHeight="1" x14ac:dyDescent="0.2">
      <c r="B33" s="227"/>
      <c r="C33" s="244"/>
      <c r="D33" s="211"/>
      <c r="E33" s="160" t="s">
        <v>1992</v>
      </c>
      <c r="F33" s="93"/>
      <c r="G33" s="94" t="s">
        <v>2065</v>
      </c>
    </row>
    <row r="34" spans="2:7" ht="14.45" customHeight="1" x14ac:dyDescent="0.2">
      <c r="B34" s="227"/>
      <c r="C34" s="244"/>
      <c r="D34" s="211"/>
      <c r="E34" s="160" t="s">
        <v>1993</v>
      </c>
      <c r="F34" s="93"/>
      <c r="G34" s="94" t="s">
        <v>2066</v>
      </c>
    </row>
    <row r="35" spans="2:7" ht="14.45" customHeight="1" x14ac:dyDescent="0.2">
      <c r="B35" s="227"/>
      <c r="C35" s="244"/>
      <c r="D35" s="211"/>
      <c r="E35" s="160" t="s">
        <v>1994</v>
      </c>
      <c r="F35" s="93"/>
      <c r="G35" s="94" t="s">
        <v>2067</v>
      </c>
    </row>
    <row r="36" spans="2:7" ht="14.45" customHeight="1" x14ac:dyDescent="0.2">
      <c r="B36" s="227"/>
      <c r="C36" s="244"/>
      <c r="D36" s="211"/>
      <c r="E36" s="160" t="s">
        <v>1995</v>
      </c>
      <c r="F36" s="93"/>
      <c r="G36" s="94" t="s">
        <v>2068</v>
      </c>
    </row>
    <row r="37" spans="2:7" ht="14.45" customHeight="1" x14ac:dyDescent="0.2">
      <c r="B37" s="227"/>
      <c r="C37" s="244"/>
      <c r="D37" s="211"/>
      <c r="E37" s="160" t="s">
        <v>1996</v>
      </c>
      <c r="F37" s="93"/>
      <c r="G37" s="94" t="s">
        <v>2069</v>
      </c>
    </row>
    <row r="38" spans="2:7" ht="14.45" customHeight="1" x14ac:dyDescent="0.2">
      <c r="B38" s="227"/>
      <c r="C38" s="244"/>
      <c r="D38" s="211"/>
      <c r="E38" s="160" t="s">
        <v>1997</v>
      </c>
      <c r="F38" s="93"/>
      <c r="G38" s="94" t="s">
        <v>2070</v>
      </c>
    </row>
    <row r="39" spans="2:7" ht="14.45" customHeight="1" x14ac:dyDescent="0.2">
      <c r="B39" s="227"/>
      <c r="C39" s="244"/>
      <c r="D39" s="211"/>
      <c r="E39" s="160" t="s">
        <v>1998</v>
      </c>
      <c r="F39" s="93"/>
      <c r="G39" s="94" t="s">
        <v>2071</v>
      </c>
    </row>
    <row r="40" spans="2:7" ht="14.45" customHeight="1" x14ac:dyDescent="0.2">
      <c r="B40" s="227"/>
      <c r="C40" s="244"/>
      <c r="D40" s="211"/>
      <c r="E40" s="160" t="s">
        <v>1999</v>
      </c>
      <c r="F40" s="93"/>
      <c r="G40" s="94" t="s">
        <v>2072</v>
      </c>
    </row>
    <row r="41" spans="2:7" ht="14.45" customHeight="1" x14ac:dyDescent="0.2">
      <c r="B41" s="227"/>
      <c r="C41" s="244"/>
      <c r="D41" s="211"/>
      <c r="E41" s="160" t="s">
        <v>2000</v>
      </c>
      <c r="F41" s="93"/>
      <c r="G41" s="94" t="s">
        <v>2073</v>
      </c>
    </row>
    <row r="42" spans="2:7" ht="14.45" customHeight="1" x14ac:dyDescent="0.2">
      <c r="B42" s="227"/>
      <c r="C42" s="244"/>
      <c r="D42" s="212"/>
      <c r="E42" s="161" t="s">
        <v>2001</v>
      </c>
      <c r="F42" s="70"/>
      <c r="G42" s="71" t="s">
        <v>2074</v>
      </c>
    </row>
    <row r="43" spans="2:7" ht="14.45" customHeight="1" x14ac:dyDescent="0.2">
      <c r="B43" s="227"/>
      <c r="C43" s="244"/>
      <c r="D43" s="241" t="s">
        <v>240</v>
      </c>
      <c r="E43" s="159" t="s">
        <v>2002</v>
      </c>
      <c r="F43" s="54"/>
      <c r="G43" s="55" t="s">
        <v>2075</v>
      </c>
    </row>
    <row r="44" spans="2:7" ht="14.45" customHeight="1" x14ac:dyDescent="0.2">
      <c r="B44" s="227"/>
      <c r="C44" s="244"/>
      <c r="D44" s="211"/>
      <c r="E44" s="159" t="s">
        <v>2003</v>
      </c>
      <c r="F44" s="54"/>
      <c r="G44" s="55" t="s">
        <v>2076</v>
      </c>
    </row>
    <row r="45" spans="2:7" ht="14.45" customHeight="1" x14ac:dyDescent="0.2">
      <c r="B45" s="227"/>
      <c r="C45" s="244"/>
      <c r="D45" s="211"/>
      <c r="E45" s="159" t="s">
        <v>2004</v>
      </c>
      <c r="F45" s="54"/>
      <c r="G45" s="55" t="s">
        <v>2077</v>
      </c>
    </row>
    <row r="46" spans="2:7" ht="14.45" customHeight="1" x14ac:dyDescent="0.2">
      <c r="B46" s="227"/>
      <c r="C46" s="244"/>
      <c r="D46" s="211"/>
      <c r="E46" s="159" t="s">
        <v>2079</v>
      </c>
      <c r="F46" s="54"/>
      <c r="G46" s="55" t="s">
        <v>2078</v>
      </c>
    </row>
    <row r="47" spans="2:7" ht="14.45" customHeight="1" x14ac:dyDescent="0.2">
      <c r="B47" s="227"/>
      <c r="C47" s="244"/>
      <c r="D47" s="211"/>
      <c r="E47" s="159" t="s">
        <v>2083</v>
      </c>
      <c r="F47" s="54"/>
      <c r="G47" s="55" t="s">
        <v>2084</v>
      </c>
    </row>
    <row r="48" spans="2:7" ht="14.45" customHeight="1" x14ac:dyDescent="0.2">
      <c r="B48" s="227"/>
      <c r="C48" s="244"/>
      <c r="D48" s="211"/>
      <c r="E48" s="159" t="s">
        <v>2082</v>
      </c>
      <c r="F48" s="54"/>
      <c r="G48" s="55" t="s">
        <v>2085</v>
      </c>
    </row>
    <row r="49" spans="2:7" ht="14.45" customHeight="1" x14ac:dyDescent="0.2">
      <c r="B49" s="227"/>
      <c r="C49" s="244"/>
      <c r="D49" s="211"/>
      <c r="E49" s="159" t="s">
        <v>2005</v>
      </c>
      <c r="F49" s="54"/>
      <c r="G49" s="55" t="s">
        <v>2080</v>
      </c>
    </row>
    <row r="50" spans="2:7" ht="14.45" customHeight="1" x14ac:dyDescent="0.2">
      <c r="B50" s="227"/>
      <c r="C50" s="244"/>
      <c r="D50" s="212"/>
      <c r="E50" s="159" t="s">
        <v>2006</v>
      </c>
      <c r="F50" s="54"/>
      <c r="G50" s="55" t="s">
        <v>2081</v>
      </c>
    </row>
    <row r="51" spans="2:7" ht="14.45" customHeight="1" x14ac:dyDescent="0.2">
      <c r="B51" s="227"/>
      <c r="C51" s="244"/>
      <c r="D51" s="241" t="s">
        <v>241</v>
      </c>
      <c r="E51" s="162" t="s">
        <v>2048</v>
      </c>
      <c r="F51" s="4"/>
      <c r="G51" s="12"/>
    </row>
    <row r="52" spans="2:7" ht="14.45" customHeight="1" x14ac:dyDescent="0.2">
      <c r="B52" s="227"/>
      <c r="C52" s="244"/>
      <c r="D52" s="211"/>
      <c r="E52" s="159" t="s">
        <v>2008</v>
      </c>
      <c r="F52" s="54"/>
      <c r="G52" s="55"/>
    </row>
    <row r="53" spans="2:7" ht="14.45" customHeight="1" x14ac:dyDescent="0.2">
      <c r="B53" s="227"/>
      <c r="C53" s="244"/>
      <c r="D53" s="211"/>
      <c r="E53" s="159" t="s">
        <v>2049</v>
      </c>
      <c r="F53" s="54"/>
      <c r="G53" s="55"/>
    </row>
    <row r="54" spans="2:7" ht="14.45" customHeight="1" x14ac:dyDescent="0.2">
      <c r="B54" s="227"/>
      <c r="C54" s="244"/>
      <c r="D54" s="211"/>
      <c r="E54" s="159" t="s">
        <v>2050</v>
      </c>
      <c r="F54" s="54"/>
      <c r="G54" s="55"/>
    </row>
    <row r="55" spans="2:7" ht="14.45" customHeight="1" x14ac:dyDescent="0.2">
      <c r="B55" s="227"/>
      <c r="C55" s="244"/>
      <c r="D55" s="211"/>
      <c r="E55" s="159" t="s">
        <v>2051</v>
      </c>
      <c r="F55" s="54"/>
      <c r="G55" s="55"/>
    </row>
    <row r="56" spans="2:7" ht="14.45" customHeight="1" thickBot="1" x14ac:dyDescent="0.25">
      <c r="B56" s="227"/>
      <c r="C56" s="245"/>
      <c r="D56" s="242"/>
      <c r="E56" s="159" t="s">
        <v>2052</v>
      </c>
      <c r="F56" s="54"/>
      <c r="G56" s="55"/>
    </row>
    <row r="57" spans="2:7" ht="14.45" customHeight="1" x14ac:dyDescent="0.2">
      <c r="B57" s="227"/>
      <c r="C57" s="243" t="s">
        <v>2016</v>
      </c>
      <c r="D57" s="168" t="s">
        <v>17</v>
      </c>
      <c r="E57" s="158" t="s">
        <v>1971</v>
      </c>
      <c r="F57" s="18"/>
      <c r="G57" s="19"/>
    </row>
    <row r="58" spans="2:7" ht="14.45" customHeight="1" x14ac:dyDescent="0.2">
      <c r="B58" s="227"/>
      <c r="C58" s="244"/>
      <c r="D58" s="241" t="s">
        <v>19</v>
      </c>
      <c r="E58" s="162" t="s">
        <v>2086</v>
      </c>
      <c r="F58" s="4"/>
      <c r="G58" s="12"/>
    </row>
    <row r="59" spans="2:7" ht="14.45" customHeight="1" x14ac:dyDescent="0.2">
      <c r="B59" s="227"/>
      <c r="C59" s="244"/>
      <c r="D59" s="211"/>
      <c r="E59" s="159" t="s">
        <v>2087</v>
      </c>
      <c r="F59" s="54"/>
      <c r="G59" s="55"/>
    </row>
    <row r="60" spans="2:7" ht="14.45" customHeight="1" x14ac:dyDescent="0.2">
      <c r="B60" s="227"/>
      <c r="C60" s="244"/>
      <c r="D60" s="211"/>
      <c r="E60" s="159" t="s">
        <v>2088</v>
      </c>
      <c r="F60" s="54"/>
      <c r="G60" s="55"/>
    </row>
    <row r="61" spans="2:7" ht="14.45" customHeight="1" x14ac:dyDescent="0.2">
      <c r="B61" s="227"/>
      <c r="C61" s="244"/>
      <c r="D61" s="211"/>
      <c r="E61" s="159" t="s">
        <v>2089</v>
      </c>
      <c r="F61" s="54"/>
      <c r="G61" s="55"/>
    </row>
    <row r="62" spans="2:7" ht="14.45" customHeight="1" thickBot="1" x14ac:dyDescent="0.25">
      <c r="B62" s="228"/>
      <c r="C62" s="245"/>
      <c r="D62" s="242"/>
      <c r="E62" s="159" t="s">
        <v>2090</v>
      </c>
      <c r="F62" s="54"/>
      <c r="G62" s="55"/>
    </row>
    <row r="63" spans="2:7" ht="14.45" customHeight="1" x14ac:dyDescent="0.2">
      <c r="B63" s="226" t="s">
        <v>2019</v>
      </c>
      <c r="C63" s="243" t="s">
        <v>2017</v>
      </c>
      <c r="D63" s="210" t="s">
        <v>21</v>
      </c>
      <c r="E63" s="158" t="s">
        <v>2091</v>
      </c>
      <c r="F63" s="18"/>
      <c r="G63" s="19"/>
    </row>
    <row r="64" spans="2:7" ht="14.45" customHeight="1" x14ac:dyDescent="0.2">
      <c r="B64" s="227"/>
      <c r="C64" s="244"/>
      <c r="D64" s="211"/>
      <c r="E64" s="160" t="s">
        <v>2092</v>
      </c>
      <c r="F64" s="93"/>
      <c r="G64" s="94"/>
    </row>
    <row r="65" spans="2:7" ht="14.45" customHeight="1" x14ac:dyDescent="0.2">
      <c r="B65" s="227"/>
      <c r="C65" s="244"/>
      <c r="D65" s="212"/>
      <c r="E65" s="161" t="s">
        <v>2093</v>
      </c>
      <c r="F65" s="70"/>
      <c r="G65" s="71"/>
    </row>
    <row r="66" spans="2:7" ht="14.45" customHeight="1" x14ac:dyDescent="0.2">
      <c r="B66" s="227"/>
      <c r="C66" s="244"/>
      <c r="D66" s="241" t="s">
        <v>23</v>
      </c>
      <c r="E66" s="162" t="s">
        <v>2094</v>
      </c>
      <c r="F66" s="4"/>
      <c r="G66" s="12"/>
    </row>
    <row r="67" spans="2:7" ht="14.45" customHeight="1" x14ac:dyDescent="0.2">
      <c r="B67" s="227"/>
      <c r="C67" s="244"/>
      <c r="D67" s="211"/>
      <c r="E67" s="163" t="s">
        <v>2095</v>
      </c>
      <c r="F67" s="56"/>
      <c r="G67" s="57"/>
    </row>
    <row r="68" spans="2:7" ht="14.45" customHeight="1" x14ac:dyDescent="0.2">
      <c r="B68" s="227"/>
      <c r="C68" s="244"/>
      <c r="D68" s="211"/>
      <c r="E68" s="163" t="s">
        <v>2097</v>
      </c>
      <c r="F68" s="56"/>
      <c r="G68" s="57"/>
    </row>
    <row r="69" spans="2:7" ht="14.45" customHeight="1" x14ac:dyDescent="0.2">
      <c r="B69" s="227"/>
      <c r="C69" s="244"/>
      <c r="D69" s="212"/>
      <c r="E69" s="161" t="s">
        <v>2096</v>
      </c>
      <c r="F69" s="70"/>
      <c r="G69" s="71"/>
    </row>
    <row r="70" spans="2:7" ht="14.45" customHeight="1" x14ac:dyDescent="0.2">
      <c r="B70" s="227"/>
      <c r="C70" s="244"/>
      <c r="D70" s="241" t="s">
        <v>25</v>
      </c>
      <c r="E70" s="162" t="s">
        <v>2011</v>
      </c>
      <c r="F70" s="4"/>
      <c r="G70" s="12" t="s">
        <v>2110</v>
      </c>
    </row>
    <row r="71" spans="2:7" ht="14.45" customHeight="1" x14ac:dyDescent="0.2">
      <c r="B71" s="227"/>
      <c r="C71" s="244"/>
      <c r="D71" s="211"/>
      <c r="E71" s="159" t="s">
        <v>1974</v>
      </c>
      <c r="F71" s="54"/>
      <c r="G71" s="55" t="s">
        <v>2112</v>
      </c>
    </row>
    <row r="72" spans="2:7" ht="14.45" customHeight="1" x14ac:dyDescent="0.2">
      <c r="B72" s="227"/>
      <c r="C72" s="244"/>
      <c r="D72" s="211"/>
      <c r="E72" s="159" t="s">
        <v>2098</v>
      </c>
      <c r="F72" s="54"/>
      <c r="G72" s="55" t="s">
        <v>2111</v>
      </c>
    </row>
    <row r="73" spans="2:7" ht="14.45" customHeight="1" x14ac:dyDescent="0.2">
      <c r="B73" s="227"/>
      <c r="C73" s="244"/>
      <c r="D73" s="211"/>
      <c r="E73" s="159" t="s">
        <v>2099</v>
      </c>
      <c r="F73" s="54"/>
      <c r="G73" s="55" t="s">
        <v>2113</v>
      </c>
    </row>
    <row r="74" spans="2:7" ht="14.45" customHeight="1" x14ac:dyDescent="0.2">
      <c r="B74" s="227"/>
      <c r="C74" s="244"/>
      <c r="D74" s="211"/>
      <c r="E74" s="159" t="s">
        <v>2100</v>
      </c>
      <c r="F74" s="54"/>
      <c r="G74" s="55" t="s">
        <v>2114</v>
      </c>
    </row>
    <row r="75" spans="2:7" ht="14.45" customHeight="1" x14ac:dyDescent="0.2">
      <c r="B75" s="227"/>
      <c r="C75" s="244"/>
      <c r="D75" s="211"/>
      <c r="E75" s="159" t="s">
        <v>2107</v>
      </c>
      <c r="F75" s="54"/>
      <c r="G75" s="55" t="s">
        <v>2108</v>
      </c>
    </row>
    <row r="76" spans="2:7" ht="14.45" customHeight="1" x14ac:dyDescent="0.2">
      <c r="B76" s="227"/>
      <c r="C76" s="244"/>
      <c r="D76" s="211"/>
      <c r="E76" s="159" t="s">
        <v>2115</v>
      </c>
      <c r="F76" s="54"/>
      <c r="G76" s="55" t="s">
        <v>2116</v>
      </c>
    </row>
    <row r="77" spans="2:7" ht="14.45" customHeight="1" x14ac:dyDescent="0.2">
      <c r="B77" s="227"/>
      <c r="C77" s="244"/>
      <c r="D77" s="211"/>
      <c r="E77" s="159" t="s">
        <v>2104</v>
      </c>
      <c r="F77" s="54"/>
      <c r="G77" s="55" t="s">
        <v>2117</v>
      </c>
    </row>
    <row r="78" spans="2:7" ht="14.45" customHeight="1" x14ac:dyDescent="0.2">
      <c r="B78" s="227"/>
      <c r="C78" s="244"/>
      <c r="D78" s="211"/>
      <c r="E78" s="159" t="s">
        <v>2105</v>
      </c>
      <c r="F78" s="54"/>
      <c r="G78" s="55"/>
    </row>
    <row r="79" spans="2:7" ht="14.45" customHeight="1" x14ac:dyDescent="0.2">
      <c r="B79" s="227"/>
      <c r="C79" s="244"/>
      <c r="D79" s="211"/>
      <c r="E79" s="159" t="s">
        <v>2013</v>
      </c>
      <c r="F79" s="54"/>
      <c r="G79" s="55" t="s">
        <v>2118</v>
      </c>
    </row>
    <row r="80" spans="2:7" ht="14.45" customHeight="1" x14ac:dyDescent="0.2">
      <c r="B80" s="227"/>
      <c r="C80" s="244"/>
      <c r="D80" s="211"/>
      <c r="E80" s="159" t="s">
        <v>2106</v>
      </c>
      <c r="F80" s="54"/>
      <c r="G80" s="55" t="s">
        <v>2123</v>
      </c>
    </row>
    <row r="81" spans="2:7" ht="14.45" customHeight="1" x14ac:dyDescent="0.2">
      <c r="B81" s="227"/>
      <c r="C81" s="244"/>
      <c r="D81" s="211"/>
      <c r="E81" s="159" t="s">
        <v>2101</v>
      </c>
      <c r="F81" s="54"/>
      <c r="G81" s="55" t="s">
        <v>2122</v>
      </c>
    </row>
    <row r="82" spans="2:7" ht="14.45" customHeight="1" x14ac:dyDescent="0.2">
      <c r="B82" s="227"/>
      <c r="C82" s="244"/>
      <c r="D82" s="211"/>
      <c r="E82" s="159" t="s">
        <v>2119</v>
      </c>
      <c r="F82" s="54"/>
      <c r="G82" s="55" t="s">
        <v>2124</v>
      </c>
    </row>
    <row r="83" spans="2:7" ht="14.45" customHeight="1" x14ac:dyDescent="0.2">
      <c r="B83" s="227"/>
      <c r="C83" s="244"/>
      <c r="D83" s="211"/>
      <c r="E83" s="159" t="s">
        <v>2120</v>
      </c>
      <c r="F83" s="54"/>
      <c r="G83" s="55" t="s">
        <v>2125</v>
      </c>
    </row>
    <row r="84" spans="2:7" ht="14.45" customHeight="1" x14ac:dyDescent="0.2">
      <c r="B84" s="227"/>
      <c r="C84" s="244"/>
      <c r="D84" s="211"/>
      <c r="E84" s="159" t="s">
        <v>2109</v>
      </c>
      <c r="F84" s="54"/>
      <c r="G84" s="55" t="s">
        <v>2121</v>
      </c>
    </row>
    <row r="85" spans="2:7" ht="14.45" customHeight="1" x14ac:dyDescent="0.2">
      <c r="B85" s="227"/>
      <c r="C85" s="244"/>
      <c r="D85" s="211"/>
      <c r="E85" s="159" t="s">
        <v>2102</v>
      </c>
      <c r="F85" s="54"/>
      <c r="G85" s="55" t="s">
        <v>2127</v>
      </c>
    </row>
    <row r="86" spans="2:7" ht="14.45" customHeight="1" thickBot="1" x14ac:dyDescent="0.25">
      <c r="B86" s="227"/>
      <c r="C86" s="244"/>
      <c r="D86" s="211"/>
      <c r="E86" s="159" t="s">
        <v>2103</v>
      </c>
      <c r="F86" s="54"/>
      <c r="G86" s="55" t="s">
        <v>2126</v>
      </c>
    </row>
    <row r="87" spans="2:7" ht="14.45" customHeight="1" x14ac:dyDescent="0.2">
      <c r="B87" s="227"/>
      <c r="C87" s="243" t="s">
        <v>2020</v>
      </c>
      <c r="D87" s="210" t="s">
        <v>27</v>
      </c>
      <c r="E87" s="158"/>
      <c r="F87" s="18"/>
      <c r="G87" s="19"/>
    </row>
    <row r="88" spans="2:7" ht="14.45" customHeight="1" x14ac:dyDescent="0.2">
      <c r="B88" s="227"/>
      <c r="C88" s="244"/>
      <c r="D88" s="212"/>
      <c r="E88" s="159"/>
      <c r="F88" s="54"/>
      <c r="G88" s="55"/>
    </row>
    <row r="89" spans="2:7" ht="14.45" customHeight="1" x14ac:dyDescent="0.2">
      <c r="B89" s="227"/>
      <c r="C89" s="244"/>
      <c r="D89" s="241" t="s">
        <v>29</v>
      </c>
      <c r="E89" s="162"/>
      <c r="F89" s="4"/>
      <c r="G89" s="12"/>
    </row>
    <row r="90" spans="2:7" ht="14.45" customHeight="1" x14ac:dyDescent="0.2">
      <c r="B90" s="227"/>
      <c r="C90" s="244"/>
      <c r="D90" s="212"/>
      <c r="E90" s="161"/>
      <c r="F90" s="70"/>
      <c r="G90" s="71"/>
    </row>
    <row r="91" spans="2:7" ht="14.45" customHeight="1" x14ac:dyDescent="0.2">
      <c r="B91" s="227"/>
      <c r="C91" s="244"/>
      <c r="D91" s="241" t="s">
        <v>31</v>
      </c>
      <c r="E91" s="162"/>
      <c r="F91" s="4"/>
      <c r="G91" s="12"/>
    </row>
    <row r="92" spans="2:7" ht="14.45" customHeight="1" thickBot="1" x14ac:dyDescent="0.25">
      <c r="B92" s="228"/>
      <c r="C92" s="245"/>
      <c r="D92" s="242"/>
      <c r="E92" s="159"/>
      <c r="F92" s="54"/>
      <c r="G92" s="55"/>
    </row>
    <row r="93" spans="2:7" ht="14.45" customHeight="1" x14ac:dyDescent="0.2">
      <c r="B93" s="226" t="s">
        <v>2025</v>
      </c>
      <c r="C93" s="243" t="s">
        <v>2026</v>
      </c>
      <c r="D93" s="210" t="s">
        <v>33</v>
      </c>
      <c r="E93" s="158" t="s">
        <v>382</v>
      </c>
      <c r="F93" s="18" t="s">
        <v>1967</v>
      </c>
      <c r="G93" s="19" t="s">
        <v>1964</v>
      </c>
    </row>
    <row r="94" spans="2:7" ht="14.45" customHeight="1" x14ac:dyDescent="0.2">
      <c r="B94" s="227"/>
      <c r="C94" s="244"/>
      <c r="D94" s="211"/>
      <c r="E94" s="159" t="s">
        <v>383</v>
      </c>
      <c r="F94" s="54" t="s">
        <v>1967</v>
      </c>
      <c r="G94" s="55" t="s">
        <v>1965</v>
      </c>
    </row>
    <row r="95" spans="2:7" ht="14.45" customHeight="1" x14ac:dyDescent="0.2">
      <c r="B95" s="227"/>
      <c r="C95" s="244"/>
      <c r="D95" s="212"/>
      <c r="E95" s="159" t="s">
        <v>384</v>
      </c>
      <c r="F95" s="54" t="s">
        <v>1967</v>
      </c>
      <c r="G95" s="55" t="s">
        <v>1966</v>
      </c>
    </row>
    <row r="96" spans="2:7" ht="14.45" customHeight="1" x14ac:dyDescent="0.2">
      <c r="B96" s="227"/>
      <c r="C96" s="244"/>
      <c r="D96" s="241" t="s">
        <v>35</v>
      </c>
      <c r="E96" s="162"/>
      <c r="F96" s="4"/>
      <c r="G96" s="12"/>
    </row>
    <row r="97" spans="2:7" ht="14.45" customHeight="1" x14ac:dyDescent="0.2">
      <c r="B97" s="227"/>
      <c r="C97" s="244"/>
      <c r="D97" s="212"/>
      <c r="E97" s="161"/>
      <c r="F97" s="70"/>
      <c r="G97" s="71"/>
    </row>
    <row r="98" spans="2:7" ht="14.45" customHeight="1" x14ac:dyDescent="0.2">
      <c r="B98" s="227"/>
      <c r="C98" s="244"/>
      <c r="D98" s="241" t="s">
        <v>37</v>
      </c>
      <c r="E98" s="162"/>
      <c r="F98" s="4"/>
      <c r="G98" s="12"/>
    </row>
    <row r="99" spans="2:7" ht="14.45" customHeight="1" x14ac:dyDescent="0.2">
      <c r="B99" s="227"/>
      <c r="C99" s="244"/>
      <c r="D99" s="212"/>
      <c r="E99" s="161"/>
      <c r="F99" s="70"/>
      <c r="G99" s="71"/>
    </row>
    <row r="100" spans="2:7" ht="14.45" customHeight="1" x14ac:dyDescent="0.2">
      <c r="B100" s="227"/>
      <c r="C100" s="244"/>
      <c r="D100" s="241" t="s">
        <v>39</v>
      </c>
      <c r="E100" s="162"/>
      <c r="F100" s="4"/>
      <c r="G100" s="12"/>
    </row>
    <row r="101" spans="2:7" ht="14.45" customHeight="1" x14ac:dyDescent="0.2">
      <c r="B101" s="227"/>
      <c r="C101" s="244"/>
      <c r="D101" s="212"/>
      <c r="E101" s="161"/>
      <c r="F101" s="70"/>
      <c r="G101" s="71"/>
    </row>
    <row r="102" spans="2:7" ht="14.45" customHeight="1" x14ac:dyDescent="0.2">
      <c r="B102" s="227"/>
      <c r="C102" s="244"/>
      <c r="D102" s="241" t="s">
        <v>41</v>
      </c>
      <c r="E102" s="162"/>
      <c r="F102" s="4"/>
      <c r="G102" s="12"/>
    </row>
    <row r="103" spans="2:7" ht="14.45" customHeight="1" x14ac:dyDescent="0.2">
      <c r="B103" s="227"/>
      <c r="C103" s="244"/>
      <c r="D103" s="212"/>
      <c r="E103" s="161"/>
      <c r="F103" s="70"/>
      <c r="G103" s="71"/>
    </row>
    <row r="104" spans="2:7" ht="14.45" customHeight="1" x14ac:dyDescent="0.2">
      <c r="B104" s="227"/>
      <c r="C104" s="244"/>
      <c r="D104" s="241" t="s">
        <v>43</v>
      </c>
      <c r="E104" s="162"/>
      <c r="F104" s="4"/>
      <c r="G104" s="12"/>
    </row>
    <row r="105" spans="2:7" ht="14.45" customHeight="1" x14ac:dyDescent="0.2">
      <c r="B105" s="227"/>
      <c r="C105" s="244"/>
      <c r="D105" s="212"/>
      <c r="E105" s="161"/>
      <c r="F105" s="70"/>
      <c r="G105" s="71"/>
    </row>
    <row r="106" spans="2:7" ht="14.45" customHeight="1" x14ac:dyDescent="0.2">
      <c r="B106" s="227"/>
      <c r="C106" s="244"/>
      <c r="D106" s="241" t="s">
        <v>45</v>
      </c>
      <c r="E106" s="162"/>
      <c r="F106" s="4"/>
      <c r="G106" s="12"/>
    </row>
    <row r="107" spans="2:7" ht="14.45" customHeight="1" x14ac:dyDescent="0.2">
      <c r="B107" s="227"/>
      <c r="C107" s="244"/>
      <c r="D107" s="212"/>
      <c r="E107" s="161"/>
      <c r="F107" s="70"/>
      <c r="G107" s="71"/>
    </row>
    <row r="108" spans="2:7" ht="14.45" customHeight="1" x14ac:dyDescent="0.2">
      <c r="B108" s="227"/>
      <c r="C108" s="244"/>
      <c r="D108" s="241" t="s">
        <v>47</v>
      </c>
      <c r="E108" s="162"/>
      <c r="F108" s="4"/>
      <c r="G108" s="12"/>
    </row>
    <row r="109" spans="2:7" ht="14.45" customHeight="1" thickBot="1" x14ac:dyDescent="0.25">
      <c r="B109" s="227"/>
      <c r="C109" s="245"/>
      <c r="D109" s="242"/>
      <c r="E109" s="159"/>
      <c r="F109" s="54"/>
      <c r="G109" s="55"/>
    </row>
    <row r="110" spans="2:7" ht="14.45" customHeight="1" x14ac:dyDescent="0.2">
      <c r="B110" s="227"/>
      <c r="C110" s="243" t="s">
        <v>2038</v>
      </c>
      <c r="D110" s="168" t="s">
        <v>49</v>
      </c>
      <c r="E110" s="158"/>
      <c r="F110" s="18"/>
      <c r="G110" s="19"/>
    </row>
    <row r="111" spans="2:7" ht="14.45" customHeight="1" x14ac:dyDescent="0.2">
      <c r="B111" s="227"/>
      <c r="C111" s="244"/>
      <c r="D111" s="169" t="s">
        <v>51</v>
      </c>
      <c r="E111" s="162"/>
      <c r="F111" s="4"/>
      <c r="G111" s="12"/>
    </row>
    <row r="112" spans="2:7" ht="14.45" customHeight="1" x14ac:dyDescent="0.2">
      <c r="B112" s="227"/>
      <c r="C112" s="244"/>
      <c r="D112" s="169" t="s">
        <v>53</v>
      </c>
      <c r="E112" s="162"/>
      <c r="F112" s="4"/>
      <c r="G112" s="12"/>
    </row>
    <row r="113" spans="2:7" ht="14.45" customHeight="1" x14ac:dyDescent="0.2">
      <c r="B113" s="227"/>
      <c r="C113" s="244"/>
      <c r="D113" s="169" t="s">
        <v>55</v>
      </c>
      <c r="E113" s="162"/>
      <c r="F113" s="4"/>
      <c r="G113" s="12"/>
    </row>
    <row r="114" spans="2:7" ht="14.45" customHeight="1" x14ac:dyDescent="0.2">
      <c r="B114" s="227"/>
      <c r="C114" s="244"/>
      <c r="D114" s="169" t="s">
        <v>57</v>
      </c>
      <c r="E114" s="162"/>
      <c r="F114" s="4"/>
      <c r="G114" s="12"/>
    </row>
    <row r="115" spans="2:7" ht="14.45" customHeight="1" x14ac:dyDescent="0.2">
      <c r="B115" s="227"/>
      <c r="C115" s="244"/>
      <c r="D115" s="169" t="s">
        <v>204</v>
      </c>
      <c r="E115" s="162"/>
      <c r="F115" s="4"/>
      <c r="G115" s="12"/>
    </row>
    <row r="116" spans="2:7" ht="14.45" customHeight="1" x14ac:dyDescent="0.2">
      <c r="B116" s="227"/>
      <c r="C116" s="244"/>
      <c r="D116" s="169" t="s">
        <v>59</v>
      </c>
      <c r="E116" s="162"/>
      <c r="F116" s="4"/>
      <c r="G116" s="12"/>
    </row>
    <row r="117" spans="2:7" ht="14.45" customHeight="1" thickBot="1" x14ac:dyDescent="0.25">
      <c r="B117" s="227"/>
      <c r="C117" s="244"/>
      <c r="D117" s="169" t="s">
        <v>61</v>
      </c>
      <c r="E117" s="162"/>
      <c r="F117" s="4"/>
      <c r="G117" s="12"/>
    </row>
    <row r="118" spans="2:7" ht="14.45" customHeight="1" x14ac:dyDescent="0.2">
      <c r="B118" s="227"/>
      <c r="C118" s="243" t="s">
        <v>2039</v>
      </c>
      <c r="D118" s="168" t="s">
        <v>63</v>
      </c>
      <c r="E118" s="158"/>
      <c r="F118" s="18"/>
      <c r="G118" s="19"/>
    </row>
    <row r="119" spans="2:7" ht="14.45" customHeight="1" x14ac:dyDescent="0.2">
      <c r="B119" s="227"/>
      <c r="C119" s="244"/>
      <c r="D119" s="169" t="s">
        <v>65</v>
      </c>
      <c r="E119" s="162"/>
      <c r="F119" s="4"/>
      <c r="G119" s="12"/>
    </row>
    <row r="120" spans="2:7" ht="14.45" customHeight="1" x14ac:dyDescent="0.2">
      <c r="B120" s="227"/>
      <c r="C120" s="244"/>
      <c r="D120" s="169" t="s">
        <v>67</v>
      </c>
      <c r="E120" s="162"/>
      <c r="F120" s="4"/>
      <c r="G120" s="12"/>
    </row>
    <row r="121" spans="2:7" ht="14.45" customHeight="1" x14ac:dyDescent="0.2">
      <c r="B121" s="227"/>
      <c r="C121" s="244"/>
      <c r="D121" s="169" t="s">
        <v>69</v>
      </c>
      <c r="E121" s="162"/>
      <c r="F121" s="4"/>
      <c r="G121" s="12"/>
    </row>
    <row r="122" spans="2:7" ht="14.45" customHeight="1" x14ac:dyDescent="0.2">
      <c r="B122" s="227"/>
      <c r="C122" s="244"/>
      <c r="D122" s="169" t="s">
        <v>71</v>
      </c>
      <c r="E122" s="162"/>
      <c r="F122" s="4"/>
      <c r="G122" s="12"/>
    </row>
    <row r="123" spans="2:7" ht="14.45" customHeight="1" thickBot="1" x14ac:dyDescent="0.25">
      <c r="B123" s="228"/>
      <c r="C123" s="244"/>
      <c r="D123" s="169" t="s">
        <v>73</v>
      </c>
      <c r="E123" s="162"/>
      <c r="F123" s="4"/>
      <c r="G123" s="12"/>
    </row>
    <row r="124" spans="2:7" ht="14.45" customHeight="1" x14ac:dyDescent="0.2">
      <c r="B124" s="226" t="s">
        <v>2021</v>
      </c>
      <c r="C124" s="243" t="s">
        <v>2029</v>
      </c>
      <c r="D124" s="168" t="s">
        <v>75</v>
      </c>
      <c r="E124" s="158"/>
      <c r="F124" s="18"/>
      <c r="G124" s="19"/>
    </row>
    <row r="125" spans="2:7" ht="14.45" customHeight="1" thickBot="1" x14ac:dyDescent="0.25">
      <c r="B125" s="227"/>
      <c r="C125" s="244"/>
      <c r="D125" s="169" t="s">
        <v>77</v>
      </c>
      <c r="E125" s="162"/>
      <c r="F125" s="4"/>
      <c r="G125" s="12"/>
    </row>
    <row r="126" spans="2:7" ht="14.45" customHeight="1" x14ac:dyDescent="0.2">
      <c r="B126" s="227"/>
      <c r="C126" s="246" t="s">
        <v>2040</v>
      </c>
      <c r="D126" s="170" t="s">
        <v>79</v>
      </c>
      <c r="E126" s="164"/>
      <c r="F126" s="16"/>
      <c r="G126" s="17"/>
    </row>
    <row r="127" spans="2:7" ht="14.45" customHeight="1" x14ac:dyDescent="0.2">
      <c r="B127" s="227"/>
      <c r="C127" s="247"/>
      <c r="D127" s="171" t="s">
        <v>81</v>
      </c>
      <c r="E127" s="165"/>
      <c r="F127" s="5"/>
      <c r="G127" s="13"/>
    </row>
    <row r="128" spans="2:7" ht="14.45" customHeight="1" thickBot="1" x14ac:dyDescent="0.25">
      <c r="B128" s="227"/>
      <c r="C128" s="248"/>
      <c r="D128" s="172" t="s">
        <v>83</v>
      </c>
      <c r="E128" s="166"/>
      <c r="F128" s="14"/>
      <c r="G128" s="15"/>
    </row>
    <row r="129" spans="2:7" ht="14.45" customHeight="1" x14ac:dyDescent="0.2">
      <c r="B129" s="227"/>
      <c r="C129" s="246" t="s">
        <v>2031</v>
      </c>
      <c r="D129" s="210" t="s">
        <v>84</v>
      </c>
      <c r="E129" s="173"/>
      <c r="F129" s="18"/>
      <c r="G129" s="19"/>
    </row>
    <row r="130" spans="2:7" ht="14.45" customHeight="1" x14ac:dyDescent="0.2">
      <c r="B130" s="227"/>
      <c r="C130" s="249"/>
      <c r="D130" s="211"/>
      <c r="E130" s="174"/>
      <c r="F130" s="93"/>
      <c r="G130" s="94"/>
    </row>
    <row r="131" spans="2:7" ht="14.45" customHeight="1" x14ac:dyDescent="0.2">
      <c r="B131" s="227"/>
      <c r="C131" s="249"/>
      <c r="D131" s="211"/>
      <c r="E131" s="174"/>
      <c r="F131" s="93"/>
      <c r="G131" s="94"/>
    </row>
    <row r="132" spans="2:7" ht="14.45" customHeight="1" x14ac:dyDescent="0.2">
      <c r="B132" s="227"/>
      <c r="C132" s="249"/>
      <c r="D132" s="212"/>
      <c r="E132" s="175"/>
      <c r="F132" s="70"/>
      <c r="G132" s="71"/>
    </row>
    <row r="133" spans="2:7" ht="14.45" customHeight="1" thickBot="1" x14ac:dyDescent="0.25">
      <c r="B133" s="228"/>
      <c r="C133" s="247"/>
      <c r="D133" s="171" t="s">
        <v>86</v>
      </c>
      <c r="E133" s="165"/>
      <c r="F133" s="5"/>
      <c r="G133" s="13"/>
    </row>
    <row r="134" spans="2:7" ht="14.45" customHeight="1" x14ac:dyDescent="0.2">
      <c r="B134" s="226" t="s">
        <v>2022</v>
      </c>
      <c r="C134" s="243" t="s">
        <v>2032</v>
      </c>
      <c r="D134" s="168" t="s">
        <v>88</v>
      </c>
      <c r="E134" s="158"/>
      <c r="F134" s="18"/>
      <c r="G134" s="19"/>
    </row>
    <row r="135" spans="2:7" ht="14.45" customHeight="1" thickBot="1" x14ac:dyDescent="0.25">
      <c r="B135" s="227"/>
      <c r="C135" s="244"/>
      <c r="D135" s="169" t="s">
        <v>90</v>
      </c>
      <c r="E135" s="162"/>
      <c r="F135" s="4"/>
      <c r="G135" s="12"/>
    </row>
    <row r="136" spans="2:7" ht="14.45" customHeight="1" x14ac:dyDescent="0.2">
      <c r="B136" s="227"/>
      <c r="C136" s="246" t="s">
        <v>2041</v>
      </c>
      <c r="D136" s="170" t="s">
        <v>92</v>
      </c>
      <c r="E136" s="164"/>
      <c r="F136" s="16"/>
      <c r="G136" s="17"/>
    </row>
    <row r="137" spans="2:7" ht="14.45" customHeight="1" x14ac:dyDescent="0.2">
      <c r="B137" s="227"/>
      <c r="C137" s="247"/>
      <c r="D137" s="171" t="s">
        <v>94</v>
      </c>
      <c r="E137" s="165"/>
      <c r="F137" s="5"/>
      <c r="G137" s="13"/>
    </row>
    <row r="138" spans="2:7" ht="14.45" customHeight="1" thickBot="1" x14ac:dyDescent="0.25">
      <c r="B138" s="228"/>
      <c r="C138" s="248"/>
      <c r="D138" s="172" t="s">
        <v>96</v>
      </c>
      <c r="E138" s="166"/>
      <c r="F138" s="14"/>
      <c r="G138" s="15"/>
    </row>
    <row r="139" spans="2:7" ht="14.45" customHeight="1" x14ac:dyDescent="0.2">
      <c r="B139" s="226" t="s">
        <v>2023</v>
      </c>
      <c r="C139" s="246" t="s">
        <v>2034</v>
      </c>
      <c r="D139" s="170" t="s">
        <v>98</v>
      </c>
      <c r="E139" s="164"/>
      <c r="F139" s="16"/>
      <c r="G139" s="17"/>
    </row>
    <row r="140" spans="2:7" ht="14.45" customHeight="1" x14ac:dyDescent="0.2">
      <c r="B140" s="227"/>
      <c r="C140" s="247"/>
      <c r="D140" s="171" t="s">
        <v>100</v>
      </c>
      <c r="E140" s="165"/>
      <c r="F140" s="5"/>
      <c r="G140" s="13"/>
    </row>
    <row r="141" spans="2:7" ht="14.45" customHeight="1" thickBot="1" x14ac:dyDescent="0.25">
      <c r="B141" s="227"/>
      <c r="C141" s="248"/>
      <c r="D141" s="172" t="s">
        <v>102</v>
      </c>
      <c r="E141" s="166"/>
      <c r="F141" s="14"/>
      <c r="G141" s="15"/>
    </row>
    <row r="142" spans="2:7" ht="14.45" customHeight="1" x14ac:dyDescent="0.2">
      <c r="B142" s="227"/>
      <c r="C142" s="243" t="s">
        <v>2035</v>
      </c>
      <c r="D142" s="210" t="s">
        <v>2143</v>
      </c>
      <c r="E142" s="158" t="s">
        <v>2146</v>
      </c>
      <c r="F142" s="18"/>
      <c r="G142" s="19"/>
    </row>
    <row r="143" spans="2:7" ht="14.45" customHeight="1" x14ac:dyDescent="0.2">
      <c r="B143" s="227"/>
      <c r="C143" s="244"/>
      <c r="D143" s="211"/>
      <c r="E143" s="160" t="s">
        <v>2147</v>
      </c>
      <c r="F143" s="93"/>
      <c r="G143" s="94"/>
    </row>
    <row r="144" spans="2:7" ht="14.45" customHeight="1" x14ac:dyDescent="0.2">
      <c r="B144" s="227"/>
      <c r="C144" s="244"/>
      <c r="D144" s="211"/>
      <c r="E144" s="160" t="s">
        <v>2148</v>
      </c>
      <c r="F144" s="93"/>
      <c r="G144" s="94"/>
    </row>
    <row r="145" spans="2:7" ht="14.45" customHeight="1" x14ac:dyDescent="0.2">
      <c r="B145" s="227"/>
      <c r="C145" s="244"/>
      <c r="D145" s="211"/>
      <c r="E145" s="160" t="s">
        <v>2149</v>
      </c>
      <c r="F145" s="93"/>
      <c r="G145" s="94"/>
    </row>
    <row r="146" spans="2:7" ht="14.45" customHeight="1" x14ac:dyDescent="0.2">
      <c r="B146" s="227"/>
      <c r="C146" s="244"/>
      <c r="D146" s="211"/>
      <c r="E146" s="160" t="s">
        <v>2150</v>
      </c>
      <c r="F146" s="93"/>
      <c r="G146" s="94"/>
    </row>
    <row r="147" spans="2:7" ht="14.45" customHeight="1" x14ac:dyDescent="0.2">
      <c r="B147" s="227"/>
      <c r="C147" s="244"/>
      <c r="D147" s="212"/>
      <c r="E147" s="161" t="s">
        <v>2151</v>
      </c>
      <c r="F147" s="70"/>
      <c r="G147" s="71"/>
    </row>
    <row r="148" spans="2:7" ht="14.45" customHeight="1" x14ac:dyDescent="0.2">
      <c r="B148" s="227"/>
      <c r="C148" s="244"/>
      <c r="D148" s="241" t="s">
        <v>106</v>
      </c>
      <c r="E148" s="162" t="s">
        <v>2152</v>
      </c>
      <c r="F148" s="4"/>
      <c r="G148" s="12"/>
    </row>
    <row r="149" spans="2:7" ht="14.45" customHeight="1" x14ac:dyDescent="0.2">
      <c r="B149" s="227"/>
      <c r="C149" s="244"/>
      <c r="D149" s="211"/>
      <c r="E149" s="160" t="s">
        <v>2153</v>
      </c>
      <c r="F149" s="93"/>
      <c r="G149" s="94"/>
    </row>
    <row r="150" spans="2:7" ht="14.45" customHeight="1" x14ac:dyDescent="0.2">
      <c r="B150" s="227"/>
      <c r="C150" s="244"/>
      <c r="D150" s="212"/>
      <c r="E150" s="161" t="s">
        <v>2154</v>
      </c>
      <c r="F150" s="70"/>
      <c r="G150" s="71"/>
    </row>
    <row r="151" spans="2:7" ht="14.45" customHeight="1" x14ac:dyDescent="0.2">
      <c r="B151" s="227"/>
      <c r="C151" s="244"/>
      <c r="D151" s="241" t="s">
        <v>108</v>
      </c>
      <c r="E151" s="162" t="s">
        <v>2155</v>
      </c>
      <c r="F151" s="4"/>
      <c r="G151" s="12"/>
    </row>
    <row r="152" spans="2:7" ht="14.45" customHeight="1" x14ac:dyDescent="0.2">
      <c r="B152" s="227"/>
      <c r="C152" s="244"/>
      <c r="D152" s="211"/>
      <c r="E152" s="160" t="s">
        <v>2156</v>
      </c>
      <c r="F152" s="93"/>
      <c r="G152" s="94"/>
    </row>
    <row r="153" spans="2:7" ht="14.45" customHeight="1" x14ac:dyDescent="0.2">
      <c r="B153" s="227"/>
      <c r="C153" s="244"/>
      <c r="D153" s="212"/>
      <c r="E153" s="161" t="s">
        <v>2157</v>
      </c>
      <c r="F153" s="70"/>
      <c r="G153" s="71"/>
    </row>
    <row r="154" spans="2:7" ht="14.45" customHeight="1" x14ac:dyDescent="0.2">
      <c r="B154" s="227"/>
      <c r="C154" s="244"/>
      <c r="D154" s="241" t="s">
        <v>110</v>
      </c>
      <c r="E154" s="162" t="s">
        <v>2170</v>
      </c>
      <c r="F154" s="4"/>
      <c r="G154" s="12"/>
    </row>
    <row r="155" spans="2:7" ht="14.45" customHeight="1" x14ac:dyDescent="0.2">
      <c r="B155" s="227"/>
      <c r="C155" s="244"/>
      <c r="D155" s="211"/>
      <c r="E155" s="160" t="s">
        <v>2158</v>
      </c>
      <c r="F155" s="93"/>
      <c r="G155" s="94"/>
    </row>
    <row r="156" spans="2:7" ht="14.45" customHeight="1" x14ac:dyDescent="0.2">
      <c r="B156" s="227"/>
      <c r="C156" s="244"/>
      <c r="D156" s="211"/>
      <c r="E156" s="160" t="s">
        <v>2159</v>
      </c>
      <c r="F156" s="93"/>
      <c r="G156" s="94"/>
    </row>
    <row r="157" spans="2:7" ht="14.45" customHeight="1" x14ac:dyDescent="0.2">
      <c r="B157" s="227"/>
      <c r="C157" s="244"/>
      <c r="D157" s="211"/>
      <c r="E157" s="160" t="s">
        <v>2160</v>
      </c>
      <c r="F157" s="93"/>
      <c r="G157" s="94"/>
    </row>
    <row r="158" spans="2:7" ht="14.45" customHeight="1" x14ac:dyDescent="0.2">
      <c r="B158" s="227"/>
      <c r="C158" s="244"/>
      <c r="D158" s="211"/>
      <c r="E158" s="160" t="s">
        <v>2161</v>
      </c>
      <c r="F158" s="93"/>
      <c r="G158" s="94"/>
    </row>
    <row r="159" spans="2:7" ht="14.45" customHeight="1" thickBot="1" x14ac:dyDescent="0.25">
      <c r="B159" s="227"/>
      <c r="C159" s="245"/>
      <c r="D159" s="242"/>
      <c r="E159" s="167" t="s">
        <v>2162</v>
      </c>
      <c r="F159" s="155"/>
      <c r="G159" s="147"/>
    </row>
    <row r="160" spans="2:7" ht="14.45" customHeight="1" x14ac:dyDescent="0.2">
      <c r="B160" s="227"/>
      <c r="C160" s="243" t="s">
        <v>2036</v>
      </c>
      <c r="D160" s="210" t="s">
        <v>112</v>
      </c>
      <c r="E160" s="158" t="s">
        <v>2163</v>
      </c>
      <c r="F160" s="18"/>
      <c r="G160" s="19"/>
    </row>
    <row r="161" spans="2:7" ht="14.45" customHeight="1" x14ac:dyDescent="0.2">
      <c r="B161" s="227"/>
      <c r="C161" s="244"/>
      <c r="D161" s="211"/>
      <c r="E161" s="160" t="s">
        <v>2164</v>
      </c>
      <c r="F161" s="93"/>
      <c r="G161" s="94" t="s">
        <v>2165</v>
      </c>
    </row>
    <row r="162" spans="2:7" ht="14.45" customHeight="1" x14ac:dyDescent="0.2">
      <c r="B162" s="227"/>
      <c r="C162" s="244"/>
      <c r="D162" s="212"/>
      <c r="E162" s="161" t="s">
        <v>2166</v>
      </c>
      <c r="F162" s="70"/>
      <c r="G162" s="71"/>
    </row>
    <row r="163" spans="2:7" ht="14.45" customHeight="1" x14ac:dyDescent="0.2">
      <c r="B163" s="227"/>
      <c r="C163" s="244"/>
      <c r="D163" s="241" t="s">
        <v>114</v>
      </c>
      <c r="E163" s="162" t="s">
        <v>2167</v>
      </c>
      <c r="F163" s="4"/>
      <c r="G163" s="12"/>
    </row>
    <row r="164" spans="2:7" ht="14.45" customHeight="1" x14ac:dyDescent="0.2">
      <c r="B164" s="227"/>
      <c r="C164" s="244"/>
      <c r="D164" s="212"/>
      <c r="E164" s="161" t="s">
        <v>2168</v>
      </c>
      <c r="F164" s="70"/>
      <c r="G164" s="71"/>
    </row>
    <row r="165" spans="2:7" ht="14.45" customHeight="1" x14ac:dyDescent="0.2">
      <c r="B165" s="227"/>
      <c r="C165" s="244"/>
      <c r="D165" s="171" t="s">
        <v>236</v>
      </c>
      <c r="E165" s="165"/>
      <c r="F165" s="5"/>
      <c r="G165" s="13"/>
    </row>
    <row r="166" spans="2:7" ht="14.45" customHeight="1" x14ac:dyDescent="0.2">
      <c r="B166" s="227"/>
      <c r="C166" s="244"/>
      <c r="D166" s="241" t="s">
        <v>116</v>
      </c>
      <c r="E166" s="162" t="s">
        <v>2169</v>
      </c>
      <c r="F166" s="4"/>
      <c r="G166" s="12"/>
    </row>
    <row r="167" spans="2:7" ht="14.45" customHeight="1" x14ac:dyDescent="0.2">
      <c r="B167" s="227"/>
      <c r="C167" s="244"/>
      <c r="D167" s="211"/>
      <c r="E167" s="160" t="s">
        <v>2171</v>
      </c>
      <c r="F167" s="93"/>
      <c r="G167" s="94"/>
    </row>
    <row r="168" spans="2:7" ht="14.45" customHeight="1" x14ac:dyDescent="0.2">
      <c r="B168" s="227"/>
      <c r="C168" s="244"/>
      <c r="D168" s="211"/>
      <c r="E168" s="160" t="s">
        <v>2172</v>
      </c>
      <c r="F168" s="93"/>
      <c r="G168" s="94"/>
    </row>
    <row r="169" spans="2:7" ht="14.45" customHeight="1" x14ac:dyDescent="0.2">
      <c r="B169" s="227"/>
      <c r="C169" s="244"/>
      <c r="D169" s="211"/>
      <c r="E169" s="160" t="s">
        <v>2173</v>
      </c>
      <c r="F169" s="93"/>
      <c r="G169" s="94"/>
    </row>
    <row r="170" spans="2:7" ht="14.45" customHeight="1" x14ac:dyDescent="0.2">
      <c r="B170" s="227"/>
      <c r="C170" s="244"/>
      <c r="D170" s="211"/>
      <c r="E170" s="160" t="s">
        <v>2174</v>
      </c>
      <c r="F170" s="93"/>
      <c r="G170" s="94"/>
    </row>
    <row r="171" spans="2:7" ht="14.45" customHeight="1" x14ac:dyDescent="0.2">
      <c r="B171" s="227"/>
      <c r="C171" s="244"/>
      <c r="D171" s="211"/>
      <c r="E171" s="160" t="s">
        <v>2175</v>
      </c>
      <c r="F171" s="93"/>
      <c r="G171" s="94"/>
    </row>
    <row r="172" spans="2:7" ht="14.45" customHeight="1" x14ac:dyDescent="0.2">
      <c r="B172" s="227"/>
      <c r="C172" s="244"/>
      <c r="D172" s="211"/>
      <c r="E172" s="160" t="s">
        <v>2176</v>
      </c>
      <c r="F172" s="93"/>
      <c r="G172" s="94"/>
    </row>
    <row r="173" spans="2:7" ht="14.45" customHeight="1" thickBot="1" x14ac:dyDescent="0.25">
      <c r="B173" s="227"/>
      <c r="C173" s="245"/>
      <c r="D173" s="242"/>
      <c r="E173" s="167" t="s">
        <v>2177</v>
      </c>
      <c r="F173" s="155"/>
      <c r="G173" s="147"/>
    </row>
    <row r="174" spans="2:7" ht="14.45" customHeight="1" x14ac:dyDescent="0.2">
      <c r="B174" s="227"/>
      <c r="C174" s="243" t="s">
        <v>2037</v>
      </c>
      <c r="D174" s="210" t="s">
        <v>118</v>
      </c>
      <c r="E174" s="158"/>
      <c r="F174" s="18"/>
      <c r="G174" s="19"/>
    </row>
    <row r="175" spans="2:7" ht="14.45" customHeight="1" x14ac:dyDescent="0.2">
      <c r="B175" s="227"/>
      <c r="C175" s="244"/>
      <c r="D175" s="212"/>
      <c r="E175" s="161"/>
      <c r="F175" s="70"/>
      <c r="G175" s="71"/>
    </row>
    <row r="176" spans="2:7" ht="14.45" customHeight="1" x14ac:dyDescent="0.2">
      <c r="B176" s="227"/>
      <c r="C176" s="244"/>
      <c r="D176" s="241" t="s">
        <v>120</v>
      </c>
      <c r="E176" s="162" t="s">
        <v>2181</v>
      </c>
      <c r="F176" s="4"/>
      <c r="G176" s="12" t="s">
        <v>2182</v>
      </c>
    </row>
    <row r="177" spans="2:7" ht="14.45" customHeight="1" thickBot="1" x14ac:dyDescent="0.25">
      <c r="B177" s="228"/>
      <c r="C177" s="245"/>
      <c r="D177" s="242"/>
      <c r="E177" s="167" t="s">
        <v>2180</v>
      </c>
      <c r="F177" s="155"/>
      <c r="G177" s="147" t="s">
        <v>2183</v>
      </c>
    </row>
    <row r="178" spans="2:7" ht="14.45" customHeight="1" x14ac:dyDescent="0.2">
      <c r="B178" s="226" t="s">
        <v>2024</v>
      </c>
      <c r="C178" s="206" t="s">
        <v>131</v>
      </c>
      <c r="D178" s="210" t="s">
        <v>122</v>
      </c>
      <c r="E178" s="158"/>
      <c r="F178" s="18"/>
      <c r="G178" s="19"/>
    </row>
    <row r="179" spans="2:7" ht="14.45" customHeight="1" x14ac:dyDescent="0.2">
      <c r="B179" s="227"/>
      <c r="C179" s="207"/>
      <c r="D179" s="212"/>
      <c r="E179" s="161"/>
      <c r="F179" s="70"/>
      <c r="G179" s="71"/>
    </row>
    <row r="180" spans="2:7" ht="14.45" customHeight="1" x14ac:dyDescent="0.2">
      <c r="B180" s="227"/>
      <c r="C180" s="207"/>
      <c r="D180" s="241" t="s">
        <v>124</v>
      </c>
      <c r="E180" s="162"/>
      <c r="F180" s="4"/>
      <c r="G180" s="12"/>
    </row>
    <row r="181" spans="2:7" ht="14.45" customHeight="1" x14ac:dyDescent="0.2">
      <c r="B181" s="227"/>
      <c r="C181" s="207"/>
      <c r="D181" s="212"/>
      <c r="E181" s="161"/>
      <c r="F181" s="70"/>
      <c r="G181" s="71"/>
    </row>
    <row r="182" spans="2:7" ht="14.45" customHeight="1" x14ac:dyDescent="0.2">
      <c r="B182" s="227"/>
      <c r="C182" s="207"/>
      <c r="D182" s="241" t="s">
        <v>126</v>
      </c>
      <c r="E182" s="162"/>
      <c r="F182" s="4"/>
      <c r="G182" s="12"/>
    </row>
    <row r="183" spans="2:7" ht="14.45" customHeight="1" x14ac:dyDescent="0.2">
      <c r="B183" s="227"/>
      <c r="C183" s="207"/>
      <c r="D183" s="212"/>
      <c r="E183" s="161"/>
      <c r="F183" s="70"/>
      <c r="G183" s="71"/>
    </row>
    <row r="184" spans="2:7" ht="14.45" customHeight="1" x14ac:dyDescent="0.2">
      <c r="B184" s="227"/>
      <c r="C184" s="207"/>
      <c r="D184" s="241" t="s">
        <v>128</v>
      </c>
      <c r="E184" s="162"/>
      <c r="F184" s="4"/>
      <c r="G184" s="12"/>
    </row>
    <row r="185" spans="2:7" ht="14.45" customHeight="1" x14ac:dyDescent="0.2">
      <c r="B185" s="227"/>
      <c r="C185" s="207"/>
      <c r="D185" s="212"/>
      <c r="E185" s="161"/>
      <c r="F185" s="70"/>
      <c r="G185" s="71"/>
    </row>
    <row r="186" spans="2:7" ht="14.45" customHeight="1" x14ac:dyDescent="0.2">
      <c r="B186" s="227"/>
      <c r="C186" s="207"/>
      <c r="D186" s="250" t="s">
        <v>130</v>
      </c>
      <c r="E186" s="162"/>
      <c r="F186" s="4"/>
      <c r="G186" s="157"/>
    </row>
    <row r="187" spans="2:7" ht="14.45" customHeight="1" thickBot="1" x14ac:dyDescent="0.25">
      <c r="B187" s="228"/>
      <c r="C187" s="208"/>
      <c r="D187" s="251"/>
      <c r="E187" s="167"/>
      <c r="F187" s="155"/>
      <c r="G187" s="156"/>
    </row>
  </sheetData>
  <mergeCells count="58">
    <mergeCell ref="D160:D162"/>
    <mergeCell ref="D163:D164"/>
    <mergeCell ref="C160:C173"/>
    <mergeCell ref="D166:D173"/>
    <mergeCell ref="B178:B187"/>
    <mergeCell ref="C178:C187"/>
    <mergeCell ref="D186:D187"/>
    <mergeCell ref="C174:C177"/>
    <mergeCell ref="B139:B177"/>
    <mergeCell ref="D174:D175"/>
    <mergeCell ref="D176:D177"/>
    <mergeCell ref="D178:D179"/>
    <mergeCell ref="D180:D181"/>
    <mergeCell ref="D182:D183"/>
    <mergeCell ref="D184:D185"/>
    <mergeCell ref="D142:D147"/>
    <mergeCell ref="B4:B62"/>
    <mergeCell ref="B63:B92"/>
    <mergeCell ref="B93:B123"/>
    <mergeCell ref="B124:B133"/>
    <mergeCell ref="B134:B138"/>
    <mergeCell ref="C110:C117"/>
    <mergeCell ref="C118:C123"/>
    <mergeCell ref="C124:C125"/>
    <mergeCell ref="C129:C133"/>
    <mergeCell ref="D129:D132"/>
    <mergeCell ref="C126:C128"/>
    <mergeCell ref="D148:D150"/>
    <mergeCell ref="D151:D153"/>
    <mergeCell ref="C142:C159"/>
    <mergeCell ref="D154:D159"/>
    <mergeCell ref="C134:C135"/>
    <mergeCell ref="C136:C138"/>
    <mergeCell ref="C139:C141"/>
    <mergeCell ref="C4:C56"/>
    <mergeCell ref="C57:C62"/>
    <mergeCell ref="C63:C86"/>
    <mergeCell ref="C87:C92"/>
    <mergeCell ref="C93:C109"/>
    <mergeCell ref="D63:D65"/>
    <mergeCell ref="D66:D69"/>
    <mergeCell ref="D70:D86"/>
    <mergeCell ref="D87:D88"/>
    <mergeCell ref="D89:D90"/>
    <mergeCell ref="B2:D2"/>
    <mergeCell ref="D108:D109"/>
    <mergeCell ref="D98:D99"/>
    <mergeCell ref="D100:D101"/>
    <mergeCell ref="D102:D103"/>
    <mergeCell ref="D104:D105"/>
    <mergeCell ref="D106:D107"/>
    <mergeCell ref="D43:D50"/>
    <mergeCell ref="D91:D92"/>
    <mergeCell ref="D96:D97"/>
    <mergeCell ref="D93:D95"/>
    <mergeCell ref="D4:D42"/>
    <mergeCell ref="D51:D56"/>
    <mergeCell ref="D58:D62"/>
  </mergeCells>
  <phoneticPr fontId="3" type="noConversion"/>
  <conditionalFormatting sqref="E4:G187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Q172"/>
  <sheetViews>
    <sheetView showGridLines="0" zoomScaleNormal="100" workbookViewId="0">
      <pane ySplit="3" topLeftCell="A68" activePane="bottomLeft" state="frozen"/>
      <selection pane="bottomLeft" activeCell="G109" sqref="G109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02" t="s">
        <v>2018</v>
      </c>
      <c r="C2" s="203"/>
      <c r="D2" s="204"/>
      <c r="E2" s="219" t="s">
        <v>5</v>
      </c>
      <c r="F2" s="220"/>
      <c r="G2" s="221"/>
      <c r="H2" s="223" t="s">
        <v>465</v>
      </c>
      <c r="I2" s="224"/>
      <c r="J2" s="225"/>
      <c r="K2" s="202" t="s">
        <v>8</v>
      </c>
      <c r="L2" s="218"/>
      <c r="M2" s="218" t="s">
        <v>9</v>
      </c>
      <c r="N2" s="218"/>
      <c r="O2" s="218" t="s">
        <v>10</v>
      </c>
      <c r="P2" s="222"/>
      <c r="Q2" s="176" t="s">
        <v>1771</v>
      </c>
    </row>
    <row r="3" spans="2:17" ht="14.45" customHeight="1" thickBot="1" x14ac:dyDescent="0.25">
      <c r="B3" s="20" t="s">
        <v>2142</v>
      </c>
      <c r="C3" s="20" t="s">
        <v>0</v>
      </c>
      <c r="D3" s="122" t="s">
        <v>1</v>
      </c>
      <c r="E3" s="20" t="s">
        <v>6</v>
      </c>
      <c r="F3" s="178" t="s">
        <v>2187</v>
      </c>
      <c r="G3" s="81" t="s">
        <v>2188</v>
      </c>
      <c r="H3" s="129" t="s">
        <v>466</v>
      </c>
      <c r="I3" s="91" t="s">
        <v>467</v>
      </c>
      <c r="J3" s="92" t="s">
        <v>468</v>
      </c>
      <c r="K3" s="20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81" t="s">
        <v>12</v>
      </c>
      <c r="Q3" s="177"/>
    </row>
    <row r="4" spans="2:17" ht="14.45" customHeight="1" x14ac:dyDescent="0.2">
      <c r="B4" s="226" t="s">
        <v>2014</v>
      </c>
      <c r="C4" s="206" t="s">
        <v>2015</v>
      </c>
      <c r="D4" s="205" t="s">
        <v>104</v>
      </c>
      <c r="E4" s="139" t="s">
        <v>7</v>
      </c>
      <c r="F4" s="45" t="s">
        <v>237</v>
      </c>
      <c r="G4" s="140" t="s">
        <v>238</v>
      </c>
      <c r="H4" s="130" t="s">
        <v>242</v>
      </c>
      <c r="I4" s="76" t="s">
        <v>469</v>
      </c>
      <c r="J4" s="27">
        <v>5360</v>
      </c>
      <c r="K4" s="31">
        <v>46107</v>
      </c>
      <c r="L4" s="23">
        <v>46114</v>
      </c>
      <c r="M4" s="23"/>
      <c r="N4" s="23"/>
      <c r="O4" s="23"/>
      <c r="P4" s="86"/>
      <c r="Q4" s="189"/>
    </row>
    <row r="5" spans="2:17" ht="14.45" customHeight="1" x14ac:dyDescent="0.2">
      <c r="B5" s="227"/>
      <c r="C5" s="207"/>
      <c r="D5" s="200"/>
      <c r="E5" s="141" t="s">
        <v>249</v>
      </c>
      <c r="F5" s="52" t="s">
        <v>633</v>
      </c>
      <c r="G5" s="71" t="s">
        <v>634</v>
      </c>
      <c r="H5" s="131" t="s">
        <v>635</v>
      </c>
      <c r="I5" s="79" t="s">
        <v>636</v>
      </c>
      <c r="J5" s="46">
        <v>1935</v>
      </c>
      <c r="K5" s="47">
        <v>46107</v>
      </c>
      <c r="L5" s="48"/>
      <c r="M5" s="48"/>
      <c r="N5" s="48"/>
      <c r="O5" s="48"/>
      <c r="P5" s="89"/>
      <c r="Q5" s="190"/>
    </row>
    <row r="6" spans="2:17" ht="14.45" customHeight="1" x14ac:dyDescent="0.2">
      <c r="B6" s="227"/>
      <c r="C6" s="207"/>
      <c r="D6" s="124" t="s">
        <v>240</v>
      </c>
      <c r="E6" s="142" t="s">
        <v>7</v>
      </c>
      <c r="F6" s="6" t="s">
        <v>132</v>
      </c>
      <c r="G6" s="143" t="s">
        <v>150</v>
      </c>
      <c r="H6" s="132" t="s">
        <v>243</v>
      </c>
      <c r="I6" s="73" t="s">
        <v>470</v>
      </c>
      <c r="J6" s="25">
        <v>3150</v>
      </c>
      <c r="K6" s="29">
        <v>46107</v>
      </c>
      <c r="L6" s="7">
        <v>46114</v>
      </c>
      <c r="M6" s="7"/>
      <c r="N6" s="7"/>
      <c r="O6" s="7"/>
      <c r="P6" s="83"/>
      <c r="Q6" s="191"/>
    </row>
    <row r="7" spans="2:17" ht="14.45" customHeight="1" x14ac:dyDescent="0.2">
      <c r="B7" s="227"/>
      <c r="C7" s="207"/>
      <c r="D7" s="198" t="s">
        <v>241</v>
      </c>
      <c r="E7" s="144" t="s">
        <v>7</v>
      </c>
      <c r="F7" s="36" t="s">
        <v>132</v>
      </c>
      <c r="G7" s="145" t="s">
        <v>151</v>
      </c>
      <c r="H7" s="133" t="s">
        <v>244</v>
      </c>
      <c r="I7" s="74" t="s">
        <v>471</v>
      </c>
      <c r="J7" s="26">
        <v>3526</v>
      </c>
      <c r="K7" s="30">
        <v>46107</v>
      </c>
      <c r="L7" s="8">
        <v>46121</v>
      </c>
      <c r="M7" s="8"/>
      <c r="N7" s="8"/>
      <c r="O7" s="8"/>
      <c r="P7" s="84"/>
      <c r="Q7" s="192"/>
    </row>
    <row r="8" spans="2:17" ht="14.45" customHeight="1" thickBot="1" x14ac:dyDescent="0.25">
      <c r="B8" s="227"/>
      <c r="C8" s="208"/>
      <c r="D8" s="201"/>
      <c r="E8" s="146" t="s">
        <v>249</v>
      </c>
      <c r="F8" s="40" t="s">
        <v>250</v>
      </c>
      <c r="G8" s="147" t="s">
        <v>251</v>
      </c>
      <c r="H8" s="134" t="s">
        <v>532</v>
      </c>
      <c r="I8" s="75" t="s">
        <v>632</v>
      </c>
      <c r="J8" s="37">
        <v>1324</v>
      </c>
      <c r="K8" s="38">
        <v>46107</v>
      </c>
      <c r="L8" s="39"/>
      <c r="M8" s="39"/>
      <c r="N8" s="39"/>
      <c r="O8" s="39"/>
      <c r="P8" s="85"/>
      <c r="Q8" s="193"/>
    </row>
    <row r="9" spans="2:17" ht="14.45" customHeight="1" x14ac:dyDescent="0.2">
      <c r="B9" s="227"/>
      <c r="C9" s="206" t="s">
        <v>2016</v>
      </c>
      <c r="D9" s="123" t="s">
        <v>16</v>
      </c>
      <c r="E9" s="139" t="s">
        <v>7</v>
      </c>
      <c r="F9" s="21" t="s">
        <v>133</v>
      </c>
      <c r="G9" s="148" t="s">
        <v>152</v>
      </c>
      <c r="H9" s="130" t="s">
        <v>210</v>
      </c>
      <c r="I9" s="76" t="s">
        <v>472</v>
      </c>
      <c r="J9" s="27">
        <v>2620</v>
      </c>
      <c r="K9" s="31">
        <v>46107</v>
      </c>
      <c r="L9" s="23">
        <v>46121</v>
      </c>
      <c r="M9" s="23"/>
      <c r="N9" s="23"/>
      <c r="O9" s="23"/>
      <c r="P9" s="86"/>
      <c r="Q9" s="189"/>
    </row>
    <row r="10" spans="2:17" ht="14.45" customHeight="1" thickBot="1" x14ac:dyDescent="0.25">
      <c r="B10" s="228"/>
      <c r="C10" s="209"/>
      <c r="D10" s="125" t="s">
        <v>18</v>
      </c>
      <c r="E10" s="149" t="s">
        <v>7</v>
      </c>
      <c r="F10" s="32" t="s">
        <v>133</v>
      </c>
      <c r="G10" s="150" t="s">
        <v>153</v>
      </c>
      <c r="H10" s="135" t="s">
        <v>211</v>
      </c>
      <c r="I10" s="77" t="s">
        <v>473</v>
      </c>
      <c r="J10" s="33">
        <v>2400</v>
      </c>
      <c r="K10" s="34">
        <v>46107</v>
      </c>
      <c r="L10" s="35">
        <v>46121</v>
      </c>
      <c r="M10" s="35"/>
      <c r="N10" s="35"/>
      <c r="O10" s="35"/>
      <c r="P10" s="87"/>
      <c r="Q10" s="194"/>
    </row>
    <row r="11" spans="2:17" ht="14.45" customHeight="1" x14ac:dyDescent="0.2">
      <c r="B11" s="226" t="s">
        <v>2019</v>
      </c>
      <c r="C11" s="206" t="s">
        <v>2017</v>
      </c>
      <c r="D11" s="126" t="s">
        <v>20</v>
      </c>
      <c r="E11" s="151" t="s">
        <v>7</v>
      </c>
      <c r="F11" s="21" t="s">
        <v>134</v>
      </c>
      <c r="G11" s="148" t="s">
        <v>154</v>
      </c>
      <c r="H11" s="130" t="s">
        <v>212</v>
      </c>
      <c r="I11" s="76" t="s">
        <v>474</v>
      </c>
      <c r="J11" s="27">
        <v>2654</v>
      </c>
      <c r="K11" s="31">
        <v>46107</v>
      </c>
      <c r="L11" s="23">
        <v>46121</v>
      </c>
      <c r="M11" s="23"/>
      <c r="N11" s="23"/>
      <c r="O11" s="23"/>
      <c r="P11" s="86"/>
      <c r="Q11" s="189"/>
    </row>
    <row r="12" spans="2:17" ht="14.45" customHeight="1" x14ac:dyDescent="0.2">
      <c r="B12" s="227"/>
      <c r="C12" s="207"/>
      <c r="D12" s="198" t="s">
        <v>22</v>
      </c>
      <c r="E12" s="144" t="s">
        <v>7</v>
      </c>
      <c r="F12" s="36" t="s">
        <v>134</v>
      </c>
      <c r="G12" s="145" t="s">
        <v>155</v>
      </c>
      <c r="H12" s="133" t="s">
        <v>239</v>
      </c>
      <c r="I12" s="74" t="s">
        <v>475</v>
      </c>
      <c r="J12" s="26">
        <v>2569</v>
      </c>
      <c r="K12" s="30">
        <v>46107</v>
      </c>
      <c r="L12" s="8">
        <v>46121</v>
      </c>
      <c r="M12" s="8"/>
      <c r="N12" s="8"/>
      <c r="O12" s="8"/>
      <c r="P12" s="84"/>
      <c r="Q12" s="192"/>
    </row>
    <row r="13" spans="2:17" ht="14.45" customHeight="1" x14ac:dyDescent="0.2">
      <c r="B13" s="227"/>
      <c r="C13" s="207"/>
      <c r="D13" s="199"/>
      <c r="E13" s="152" t="s">
        <v>249</v>
      </c>
      <c r="F13" s="44" t="s">
        <v>375</v>
      </c>
      <c r="G13" s="94" t="s">
        <v>417</v>
      </c>
      <c r="H13" s="136" t="s">
        <v>593</v>
      </c>
      <c r="I13" s="78" t="s">
        <v>637</v>
      </c>
      <c r="J13" s="41">
        <v>2472</v>
      </c>
      <c r="K13" s="42">
        <v>46107</v>
      </c>
      <c r="L13" s="43"/>
      <c r="M13" s="43"/>
      <c r="N13" s="43"/>
      <c r="O13" s="43"/>
      <c r="P13" s="88"/>
      <c r="Q13" s="195"/>
    </row>
    <row r="14" spans="2:17" ht="14.45" customHeight="1" x14ac:dyDescent="0.2">
      <c r="B14" s="227"/>
      <c r="C14" s="207"/>
      <c r="D14" s="199"/>
      <c r="E14" s="152" t="s">
        <v>249</v>
      </c>
      <c r="F14" s="44" t="s">
        <v>376</v>
      </c>
      <c r="G14" s="94" t="s">
        <v>418</v>
      </c>
      <c r="H14" s="136" t="s">
        <v>594</v>
      </c>
      <c r="I14" s="78" t="s">
        <v>638</v>
      </c>
      <c r="J14" s="41">
        <v>2655</v>
      </c>
      <c r="K14" s="42">
        <v>46107</v>
      </c>
      <c r="L14" s="43"/>
      <c r="M14" s="43"/>
      <c r="N14" s="43"/>
      <c r="O14" s="43"/>
      <c r="P14" s="88"/>
      <c r="Q14" s="195"/>
    </row>
    <row r="15" spans="2:17" ht="14.45" customHeight="1" x14ac:dyDescent="0.2">
      <c r="B15" s="227"/>
      <c r="C15" s="207"/>
      <c r="D15" s="200"/>
      <c r="E15" s="141" t="s">
        <v>249</v>
      </c>
      <c r="F15" s="52" t="s">
        <v>377</v>
      </c>
      <c r="G15" s="71" t="s">
        <v>419</v>
      </c>
      <c r="H15" s="131" t="s">
        <v>595</v>
      </c>
      <c r="I15" s="79" t="s">
        <v>639</v>
      </c>
      <c r="J15" s="46">
        <v>2334</v>
      </c>
      <c r="K15" s="47">
        <v>46107</v>
      </c>
      <c r="L15" s="48"/>
      <c r="M15" s="48"/>
      <c r="N15" s="48"/>
      <c r="O15" s="48"/>
      <c r="P15" s="89"/>
      <c r="Q15" s="190"/>
    </row>
    <row r="16" spans="2:17" ht="14.45" customHeight="1" x14ac:dyDescent="0.2">
      <c r="B16" s="227"/>
      <c r="C16" s="207"/>
      <c r="D16" s="198" t="s">
        <v>24</v>
      </c>
      <c r="E16" s="144" t="s">
        <v>7</v>
      </c>
      <c r="F16" s="36" t="s">
        <v>134</v>
      </c>
      <c r="G16" s="145" t="s">
        <v>156</v>
      </c>
      <c r="H16" s="133" t="s">
        <v>213</v>
      </c>
      <c r="I16" s="74" t="s">
        <v>476</v>
      </c>
      <c r="J16" s="26">
        <v>8225</v>
      </c>
      <c r="K16" s="30">
        <v>46107</v>
      </c>
      <c r="L16" s="8">
        <v>46121</v>
      </c>
      <c r="M16" s="8"/>
      <c r="N16" s="8"/>
      <c r="O16" s="8"/>
      <c r="P16" s="84"/>
      <c r="Q16" s="192"/>
    </row>
    <row r="17" spans="2:17" ht="14.45" customHeight="1" x14ac:dyDescent="0.2">
      <c r="B17" s="227"/>
      <c r="C17" s="207"/>
      <c r="D17" s="199"/>
      <c r="E17" s="152" t="s">
        <v>249</v>
      </c>
      <c r="F17" s="44" t="s">
        <v>255</v>
      </c>
      <c r="G17" s="94" t="s">
        <v>252</v>
      </c>
      <c r="H17" s="136" t="s">
        <v>533</v>
      </c>
      <c r="I17" s="78" t="s">
        <v>640</v>
      </c>
      <c r="J17" s="41">
        <v>1616</v>
      </c>
      <c r="K17" s="42">
        <v>46107</v>
      </c>
      <c r="L17" s="43"/>
      <c r="M17" s="43"/>
      <c r="N17" s="43"/>
      <c r="O17" s="43"/>
      <c r="P17" s="88"/>
      <c r="Q17" s="195"/>
    </row>
    <row r="18" spans="2:17" ht="14.45" customHeight="1" x14ac:dyDescent="0.2">
      <c r="B18" s="227"/>
      <c r="C18" s="207"/>
      <c r="D18" s="199"/>
      <c r="E18" s="152" t="s">
        <v>249</v>
      </c>
      <c r="F18" s="44" t="s">
        <v>256</v>
      </c>
      <c r="G18" s="94" t="s">
        <v>253</v>
      </c>
      <c r="H18" s="136" t="s">
        <v>534</v>
      </c>
      <c r="I18" s="78" t="s">
        <v>641</v>
      </c>
      <c r="J18" s="41">
        <v>1359</v>
      </c>
      <c r="K18" s="42">
        <v>46107</v>
      </c>
      <c r="L18" s="43"/>
      <c r="M18" s="43"/>
      <c r="N18" s="43"/>
      <c r="O18" s="43"/>
      <c r="P18" s="88"/>
      <c r="Q18" s="195"/>
    </row>
    <row r="19" spans="2:17" ht="14.45" customHeight="1" thickBot="1" x14ac:dyDescent="0.25">
      <c r="B19" s="227"/>
      <c r="C19" s="208"/>
      <c r="D19" s="201"/>
      <c r="E19" s="146" t="s">
        <v>249</v>
      </c>
      <c r="F19" s="40" t="s">
        <v>257</v>
      </c>
      <c r="G19" s="147" t="s">
        <v>254</v>
      </c>
      <c r="H19" s="134" t="s">
        <v>535</v>
      </c>
      <c r="I19" s="75" t="s">
        <v>642</v>
      </c>
      <c r="J19" s="37">
        <v>1243</v>
      </c>
      <c r="K19" s="38">
        <v>46107</v>
      </c>
      <c r="L19" s="39"/>
      <c r="M19" s="39"/>
      <c r="N19" s="39"/>
      <c r="O19" s="39"/>
      <c r="P19" s="85"/>
      <c r="Q19" s="193"/>
    </row>
    <row r="20" spans="2:17" ht="14.45" customHeight="1" x14ac:dyDescent="0.2">
      <c r="B20" s="227"/>
      <c r="C20" s="206" t="s">
        <v>2020</v>
      </c>
      <c r="D20" s="210" t="s">
        <v>2185</v>
      </c>
      <c r="E20" s="139" t="s">
        <v>7</v>
      </c>
      <c r="F20" s="45" t="s">
        <v>135</v>
      </c>
      <c r="G20" s="140" t="s">
        <v>2184</v>
      </c>
      <c r="H20" s="130" t="s">
        <v>2186</v>
      </c>
      <c r="I20" s="76" t="s">
        <v>477</v>
      </c>
      <c r="J20" s="27">
        <v>4613</v>
      </c>
      <c r="K20" s="31">
        <v>46108</v>
      </c>
      <c r="L20" s="23">
        <v>46129</v>
      </c>
      <c r="M20" s="23"/>
      <c r="N20" s="23"/>
      <c r="O20" s="23"/>
      <c r="P20" s="86"/>
      <c r="Q20" s="189"/>
    </row>
    <row r="21" spans="2:17" ht="14.45" customHeight="1" x14ac:dyDescent="0.2">
      <c r="B21" s="227"/>
      <c r="C21" s="207"/>
      <c r="D21" s="211"/>
      <c r="E21" s="152" t="s">
        <v>249</v>
      </c>
      <c r="F21" s="44" t="s">
        <v>259</v>
      </c>
      <c r="G21" s="94" t="s">
        <v>258</v>
      </c>
      <c r="H21" s="136" t="s">
        <v>536</v>
      </c>
      <c r="I21" s="78" t="s">
        <v>643</v>
      </c>
      <c r="J21" s="41">
        <v>1349</v>
      </c>
      <c r="K21" s="42">
        <v>46108</v>
      </c>
      <c r="L21" s="43"/>
      <c r="M21" s="43"/>
      <c r="N21" s="43"/>
      <c r="O21" s="43"/>
      <c r="P21" s="88"/>
      <c r="Q21" s="195"/>
    </row>
    <row r="22" spans="2:17" ht="14.45" customHeight="1" x14ac:dyDescent="0.2">
      <c r="B22" s="227"/>
      <c r="C22" s="207"/>
      <c r="D22" s="212"/>
      <c r="E22" s="141" t="s">
        <v>2217</v>
      </c>
      <c r="F22" s="52" t="s">
        <v>2218</v>
      </c>
      <c r="G22" s="71" t="s">
        <v>2220</v>
      </c>
      <c r="H22" s="131" t="s">
        <v>2219</v>
      </c>
      <c r="I22" s="79"/>
      <c r="J22" s="46"/>
      <c r="K22" s="47"/>
      <c r="L22" s="48"/>
      <c r="M22" s="48"/>
      <c r="N22" s="48"/>
      <c r="O22" s="48"/>
      <c r="P22" s="89"/>
      <c r="Q22" s="190"/>
    </row>
    <row r="23" spans="2:17" ht="14.45" customHeight="1" x14ac:dyDescent="0.2">
      <c r="B23" s="227"/>
      <c r="C23" s="207"/>
      <c r="D23" s="198" t="s">
        <v>28</v>
      </c>
      <c r="E23" s="144" t="s">
        <v>7</v>
      </c>
      <c r="F23" s="36" t="s">
        <v>135</v>
      </c>
      <c r="G23" s="145" t="s">
        <v>157</v>
      </c>
      <c r="H23" s="133" t="s">
        <v>214</v>
      </c>
      <c r="I23" s="74" t="s">
        <v>478</v>
      </c>
      <c r="J23" s="26">
        <v>4939</v>
      </c>
      <c r="K23" s="30">
        <v>46108</v>
      </c>
      <c r="L23" s="8">
        <v>46129</v>
      </c>
      <c r="M23" s="8"/>
      <c r="N23" s="8"/>
      <c r="O23" s="8"/>
      <c r="P23" s="84"/>
      <c r="Q23" s="192"/>
    </row>
    <row r="24" spans="2:17" ht="14.45" customHeight="1" x14ac:dyDescent="0.2">
      <c r="B24" s="227"/>
      <c r="C24" s="207"/>
      <c r="D24" s="199"/>
      <c r="E24" s="152" t="s">
        <v>249</v>
      </c>
      <c r="F24" s="44" t="s">
        <v>265</v>
      </c>
      <c r="G24" s="94" t="s">
        <v>260</v>
      </c>
      <c r="H24" s="136" t="s">
        <v>537</v>
      </c>
      <c r="I24" s="78" t="s">
        <v>644</v>
      </c>
      <c r="J24" s="41">
        <v>1701</v>
      </c>
      <c r="K24" s="42">
        <v>46108</v>
      </c>
      <c r="L24" s="43"/>
      <c r="M24" s="43"/>
      <c r="N24" s="43"/>
      <c r="O24" s="43"/>
      <c r="P24" s="88"/>
      <c r="Q24" s="195"/>
    </row>
    <row r="25" spans="2:17" ht="14.45" customHeight="1" x14ac:dyDescent="0.2">
      <c r="B25" s="227"/>
      <c r="C25" s="207"/>
      <c r="D25" s="199"/>
      <c r="E25" s="152" t="s">
        <v>249</v>
      </c>
      <c r="F25" s="44" t="s">
        <v>268</v>
      </c>
      <c r="G25" s="94" t="s">
        <v>261</v>
      </c>
      <c r="H25" s="136" t="s">
        <v>538</v>
      </c>
      <c r="I25" s="78" t="s">
        <v>645</v>
      </c>
      <c r="J25" s="41">
        <v>1567</v>
      </c>
      <c r="K25" s="42">
        <v>46108</v>
      </c>
      <c r="L25" s="43"/>
      <c r="M25" s="43"/>
      <c r="N25" s="43"/>
      <c r="O25" s="43"/>
      <c r="P25" s="88"/>
      <c r="Q25" s="195"/>
    </row>
    <row r="26" spans="2:17" ht="14.45" customHeight="1" x14ac:dyDescent="0.2">
      <c r="B26" s="227"/>
      <c r="C26" s="207"/>
      <c r="D26" s="199"/>
      <c r="E26" s="152" t="s">
        <v>249</v>
      </c>
      <c r="F26" s="44" t="s">
        <v>267</v>
      </c>
      <c r="G26" s="94" t="s">
        <v>262</v>
      </c>
      <c r="H26" s="136" t="s">
        <v>539</v>
      </c>
      <c r="I26" s="78" t="s">
        <v>646</v>
      </c>
      <c r="J26" s="41">
        <v>1723</v>
      </c>
      <c r="K26" s="42">
        <v>46108</v>
      </c>
      <c r="L26" s="43"/>
      <c r="M26" s="43"/>
      <c r="N26" s="43"/>
      <c r="O26" s="43"/>
      <c r="P26" s="88"/>
      <c r="Q26" s="195"/>
    </row>
    <row r="27" spans="2:17" ht="14.45" customHeight="1" x14ac:dyDescent="0.2">
      <c r="B27" s="227"/>
      <c r="C27" s="207"/>
      <c r="D27" s="199"/>
      <c r="E27" s="152" t="s">
        <v>249</v>
      </c>
      <c r="F27" s="44" t="s">
        <v>372</v>
      </c>
      <c r="G27" s="94" t="s">
        <v>263</v>
      </c>
      <c r="H27" s="136" t="s">
        <v>540</v>
      </c>
      <c r="I27" s="78" t="s">
        <v>647</v>
      </c>
      <c r="J27" s="41">
        <v>1596</v>
      </c>
      <c r="K27" s="42">
        <v>46108</v>
      </c>
      <c r="L27" s="43"/>
      <c r="M27" s="43"/>
      <c r="N27" s="43"/>
      <c r="O27" s="43"/>
      <c r="P27" s="88"/>
      <c r="Q27" s="195"/>
    </row>
    <row r="28" spans="2:17" ht="14.45" customHeight="1" x14ac:dyDescent="0.2">
      <c r="B28" s="227"/>
      <c r="C28" s="207"/>
      <c r="D28" s="200"/>
      <c r="E28" s="141" t="s">
        <v>249</v>
      </c>
      <c r="F28" s="52" t="s">
        <v>270</v>
      </c>
      <c r="G28" s="71" t="s">
        <v>264</v>
      </c>
      <c r="H28" s="131" t="s">
        <v>541</v>
      </c>
      <c r="I28" s="79" t="s">
        <v>648</v>
      </c>
      <c r="J28" s="46">
        <v>1242</v>
      </c>
      <c r="K28" s="47">
        <v>46108</v>
      </c>
      <c r="L28" s="48"/>
      <c r="M28" s="48"/>
      <c r="N28" s="48"/>
      <c r="O28" s="48"/>
      <c r="P28" s="89"/>
      <c r="Q28" s="190"/>
    </row>
    <row r="29" spans="2:17" ht="14.45" customHeight="1" x14ac:dyDescent="0.2">
      <c r="B29" s="227"/>
      <c r="C29" s="207"/>
      <c r="D29" s="198" t="s">
        <v>30</v>
      </c>
      <c r="E29" s="144" t="s">
        <v>7</v>
      </c>
      <c r="F29" s="36" t="s">
        <v>135</v>
      </c>
      <c r="G29" s="145" t="s">
        <v>158</v>
      </c>
      <c r="H29" s="133" t="s">
        <v>215</v>
      </c>
      <c r="I29" s="74" t="s">
        <v>479</v>
      </c>
      <c r="J29" s="26">
        <v>4325</v>
      </c>
      <c r="K29" s="30">
        <v>46108</v>
      </c>
      <c r="L29" s="8">
        <v>46129</v>
      </c>
      <c r="M29" s="8"/>
      <c r="N29" s="8"/>
      <c r="O29" s="8"/>
      <c r="P29" s="84"/>
      <c r="Q29" s="192"/>
    </row>
    <row r="30" spans="2:17" ht="14.45" customHeight="1" x14ac:dyDescent="0.2">
      <c r="B30" s="227"/>
      <c r="C30" s="207"/>
      <c r="D30" s="199"/>
      <c r="E30" s="152" t="s">
        <v>249</v>
      </c>
      <c r="F30" s="44" t="s">
        <v>274</v>
      </c>
      <c r="G30" s="94" t="s">
        <v>271</v>
      </c>
      <c r="H30" s="136" t="s">
        <v>542</v>
      </c>
      <c r="I30" s="78" t="s">
        <v>649</v>
      </c>
      <c r="J30" s="41">
        <v>1621</v>
      </c>
      <c r="K30" s="42">
        <v>46108</v>
      </c>
      <c r="L30" s="43"/>
      <c r="M30" s="43"/>
      <c r="N30" s="43"/>
      <c r="O30" s="43"/>
      <c r="P30" s="88"/>
      <c r="Q30" s="195"/>
    </row>
    <row r="31" spans="2:17" ht="14.45" customHeight="1" x14ac:dyDescent="0.2">
      <c r="B31" s="227"/>
      <c r="C31" s="207"/>
      <c r="D31" s="199"/>
      <c r="E31" s="152" t="s">
        <v>249</v>
      </c>
      <c r="F31" s="44" t="s">
        <v>275</v>
      </c>
      <c r="G31" s="94" t="s">
        <v>272</v>
      </c>
      <c r="H31" s="136" t="s">
        <v>543</v>
      </c>
      <c r="I31" s="78" t="s">
        <v>650</v>
      </c>
      <c r="J31" s="41">
        <v>1185</v>
      </c>
      <c r="K31" s="42">
        <v>46108</v>
      </c>
      <c r="L31" s="43"/>
      <c r="M31" s="43"/>
      <c r="N31" s="43"/>
      <c r="O31" s="43"/>
      <c r="P31" s="88"/>
      <c r="Q31" s="195"/>
    </row>
    <row r="32" spans="2:17" ht="14.45" customHeight="1" thickBot="1" x14ac:dyDescent="0.25">
      <c r="B32" s="228"/>
      <c r="C32" s="208"/>
      <c r="D32" s="201"/>
      <c r="E32" s="146" t="s">
        <v>249</v>
      </c>
      <c r="F32" s="40" t="s">
        <v>276</v>
      </c>
      <c r="G32" s="147" t="s">
        <v>273</v>
      </c>
      <c r="H32" s="134" t="s">
        <v>544</v>
      </c>
      <c r="I32" s="75" t="s">
        <v>651</v>
      </c>
      <c r="J32" s="37">
        <v>1671</v>
      </c>
      <c r="K32" s="38">
        <v>46108</v>
      </c>
      <c r="L32" s="39"/>
      <c r="M32" s="39"/>
      <c r="N32" s="39"/>
      <c r="O32" s="39"/>
      <c r="P32" s="85"/>
      <c r="Q32" s="193"/>
    </row>
    <row r="33" spans="2:17" ht="14.45" customHeight="1" x14ac:dyDescent="0.2">
      <c r="B33" s="226" t="s">
        <v>2191</v>
      </c>
      <c r="C33" s="206" t="s">
        <v>2026</v>
      </c>
      <c r="D33" s="126" t="s">
        <v>32</v>
      </c>
      <c r="E33" s="151" t="s">
        <v>7</v>
      </c>
      <c r="F33" s="21" t="s">
        <v>2192</v>
      </c>
      <c r="G33" s="148" t="s">
        <v>159</v>
      </c>
      <c r="H33" s="130" t="s">
        <v>2195</v>
      </c>
      <c r="I33" s="76" t="s">
        <v>480</v>
      </c>
      <c r="J33" s="27">
        <v>2026</v>
      </c>
      <c r="K33" s="31">
        <v>46108</v>
      </c>
      <c r="L33" s="23"/>
      <c r="M33" s="23"/>
      <c r="N33" s="23"/>
      <c r="O33" s="23"/>
      <c r="P33" s="86"/>
      <c r="Q33" s="189"/>
    </row>
    <row r="34" spans="2:17" ht="14.45" customHeight="1" x14ac:dyDescent="0.2">
      <c r="B34" s="227"/>
      <c r="C34" s="207"/>
      <c r="D34" s="198" t="s">
        <v>34</v>
      </c>
      <c r="E34" s="144" t="s">
        <v>7</v>
      </c>
      <c r="F34" s="36" t="s">
        <v>2192</v>
      </c>
      <c r="G34" s="145" t="s">
        <v>160</v>
      </c>
      <c r="H34" s="133" t="s">
        <v>2196</v>
      </c>
      <c r="I34" s="74" t="s">
        <v>481</v>
      </c>
      <c r="J34" s="26">
        <v>3526</v>
      </c>
      <c r="K34" s="30">
        <v>46108</v>
      </c>
      <c r="L34" s="8"/>
      <c r="M34" s="8"/>
      <c r="N34" s="8"/>
      <c r="O34" s="8"/>
      <c r="P34" s="84"/>
      <c r="Q34" s="192"/>
    </row>
    <row r="35" spans="2:17" ht="14.45" customHeight="1" x14ac:dyDescent="0.2">
      <c r="B35" s="227"/>
      <c r="C35" s="207"/>
      <c r="D35" s="199"/>
      <c r="E35" s="152" t="s">
        <v>249</v>
      </c>
      <c r="F35" s="44" t="s">
        <v>378</v>
      </c>
      <c r="G35" s="94" t="s">
        <v>420</v>
      </c>
      <c r="H35" s="136" t="s">
        <v>596</v>
      </c>
      <c r="I35" s="78" t="s">
        <v>652</v>
      </c>
      <c r="J35" s="41">
        <v>2795</v>
      </c>
      <c r="K35" s="42">
        <v>46108</v>
      </c>
      <c r="L35" s="43"/>
      <c r="M35" s="43"/>
      <c r="N35" s="43"/>
      <c r="O35" s="43"/>
      <c r="P35" s="88"/>
      <c r="Q35" s="195"/>
    </row>
    <row r="36" spans="2:17" ht="14.45" customHeight="1" x14ac:dyDescent="0.2">
      <c r="B36" s="227"/>
      <c r="C36" s="207"/>
      <c r="D36" s="200"/>
      <c r="E36" s="141" t="s">
        <v>249</v>
      </c>
      <c r="F36" s="52" t="s">
        <v>379</v>
      </c>
      <c r="G36" s="71" t="s">
        <v>421</v>
      </c>
      <c r="H36" s="131" t="s">
        <v>597</v>
      </c>
      <c r="I36" s="79" t="s">
        <v>653</v>
      </c>
      <c r="J36" s="46">
        <v>2962</v>
      </c>
      <c r="K36" s="47">
        <v>46108</v>
      </c>
      <c r="L36" s="48"/>
      <c r="M36" s="48"/>
      <c r="N36" s="48"/>
      <c r="O36" s="48"/>
      <c r="P36" s="89"/>
      <c r="Q36" s="190"/>
    </row>
    <row r="37" spans="2:17" ht="14.45" customHeight="1" x14ac:dyDescent="0.2">
      <c r="B37" s="227"/>
      <c r="C37" s="207"/>
      <c r="D37" s="198" t="s">
        <v>36</v>
      </c>
      <c r="E37" s="144" t="s">
        <v>7</v>
      </c>
      <c r="F37" s="36" t="s">
        <v>2192</v>
      </c>
      <c r="G37" s="145" t="s">
        <v>161</v>
      </c>
      <c r="H37" s="133" t="s">
        <v>2197</v>
      </c>
      <c r="I37" s="74" t="s">
        <v>482</v>
      </c>
      <c r="J37" s="26">
        <v>3339</v>
      </c>
      <c r="K37" s="30">
        <v>46108</v>
      </c>
      <c r="L37" s="8"/>
      <c r="M37" s="8"/>
      <c r="N37" s="8"/>
      <c r="O37" s="8"/>
      <c r="P37" s="84"/>
      <c r="Q37" s="192"/>
    </row>
    <row r="38" spans="2:17" ht="14.45" customHeight="1" x14ac:dyDescent="0.2">
      <c r="B38" s="227"/>
      <c r="C38" s="207"/>
      <c r="D38" s="199"/>
      <c r="E38" s="152" t="s">
        <v>249</v>
      </c>
      <c r="F38" s="44" t="s">
        <v>280</v>
      </c>
      <c r="G38" s="94" t="s">
        <v>277</v>
      </c>
      <c r="H38" s="136" t="s">
        <v>545</v>
      </c>
      <c r="I38" s="78" t="s">
        <v>654</v>
      </c>
      <c r="J38" s="41">
        <v>1003</v>
      </c>
      <c r="K38" s="42">
        <v>46108</v>
      </c>
      <c r="L38" s="43"/>
      <c r="M38" s="43"/>
      <c r="N38" s="43"/>
      <c r="O38" s="43"/>
      <c r="P38" s="88"/>
      <c r="Q38" s="195"/>
    </row>
    <row r="39" spans="2:17" ht="14.45" customHeight="1" x14ac:dyDescent="0.2">
      <c r="B39" s="227"/>
      <c r="C39" s="207"/>
      <c r="D39" s="199"/>
      <c r="E39" s="152" t="s">
        <v>249</v>
      </c>
      <c r="F39" s="44" t="s">
        <v>281</v>
      </c>
      <c r="G39" s="94" t="s">
        <v>278</v>
      </c>
      <c r="H39" s="136" t="s">
        <v>546</v>
      </c>
      <c r="I39" s="78" t="s">
        <v>655</v>
      </c>
      <c r="J39" s="41">
        <v>1627</v>
      </c>
      <c r="K39" s="42">
        <v>46108</v>
      </c>
      <c r="L39" s="43"/>
      <c r="M39" s="43"/>
      <c r="N39" s="43"/>
      <c r="O39" s="43"/>
      <c r="P39" s="88"/>
      <c r="Q39" s="195"/>
    </row>
    <row r="40" spans="2:17" ht="14.45" customHeight="1" x14ac:dyDescent="0.2">
      <c r="B40" s="227"/>
      <c r="C40" s="207"/>
      <c r="D40" s="200"/>
      <c r="E40" s="141" t="s">
        <v>249</v>
      </c>
      <c r="F40" s="52" t="s">
        <v>282</v>
      </c>
      <c r="G40" s="71" t="s">
        <v>279</v>
      </c>
      <c r="H40" s="131" t="s">
        <v>547</v>
      </c>
      <c r="I40" s="79" t="s">
        <v>656</v>
      </c>
      <c r="J40" s="46">
        <v>1700</v>
      </c>
      <c r="K40" s="47">
        <v>46108</v>
      </c>
      <c r="L40" s="48"/>
      <c r="M40" s="48"/>
      <c r="N40" s="48"/>
      <c r="O40" s="48"/>
      <c r="P40" s="89"/>
      <c r="Q40" s="190"/>
    </row>
    <row r="41" spans="2:17" ht="14.45" customHeight="1" x14ac:dyDescent="0.2">
      <c r="B41" s="227"/>
      <c r="C41" s="207"/>
      <c r="D41" s="198" t="s">
        <v>38</v>
      </c>
      <c r="E41" s="144" t="s">
        <v>7</v>
      </c>
      <c r="F41" s="36" t="s">
        <v>2192</v>
      </c>
      <c r="G41" s="145" t="s">
        <v>162</v>
      </c>
      <c r="H41" s="133" t="s">
        <v>2198</v>
      </c>
      <c r="I41" s="74" t="s">
        <v>483</v>
      </c>
      <c r="J41" s="26">
        <v>3646</v>
      </c>
      <c r="K41" s="30">
        <v>46108</v>
      </c>
      <c r="L41" s="8"/>
      <c r="M41" s="8"/>
      <c r="N41" s="8"/>
      <c r="O41" s="8"/>
      <c r="P41" s="84"/>
      <c r="Q41" s="192"/>
    </row>
    <row r="42" spans="2:17" ht="14.45" customHeight="1" x14ac:dyDescent="0.2">
      <c r="B42" s="227"/>
      <c r="C42" s="207"/>
      <c r="D42" s="199"/>
      <c r="E42" s="152" t="s">
        <v>249</v>
      </c>
      <c r="F42" s="44" t="s">
        <v>380</v>
      </c>
      <c r="G42" s="94" t="s">
        <v>422</v>
      </c>
      <c r="H42" s="136" t="s">
        <v>598</v>
      </c>
      <c r="I42" s="78" t="s">
        <v>657</v>
      </c>
      <c r="J42" s="41">
        <v>2499</v>
      </c>
      <c r="K42" s="42">
        <v>46108</v>
      </c>
      <c r="L42" s="43"/>
      <c r="M42" s="43"/>
      <c r="N42" s="43"/>
      <c r="O42" s="43"/>
      <c r="P42" s="88"/>
      <c r="Q42" s="195"/>
    </row>
    <row r="43" spans="2:17" ht="14.45" customHeight="1" x14ac:dyDescent="0.2">
      <c r="B43" s="227"/>
      <c r="C43" s="207"/>
      <c r="D43" s="200"/>
      <c r="E43" s="153" t="s">
        <v>249</v>
      </c>
      <c r="F43" s="53" t="s">
        <v>381</v>
      </c>
      <c r="G43" s="154" t="s">
        <v>423</v>
      </c>
      <c r="H43" s="137" t="s">
        <v>599</v>
      </c>
      <c r="I43" s="80" t="s">
        <v>658</v>
      </c>
      <c r="J43" s="49">
        <v>2727</v>
      </c>
      <c r="K43" s="50">
        <v>46108</v>
      </c>
      <c r="L43" s="51"/>
      <c r="M43" s="51"/>
      <c r="N43" s="51"/>
      <c r="O43" s="51"/>
      <c r="P43" s="90"/>
      <c r="Q43" s="196"/>
    </row>
    <row r="44" spans="2:17" ht="14.45" customHeight="1" x14ac:dyDescent="0.2">
      <c r="B44" s="227"/>
      <c r="C44" s="207"/>
      <c r="D44" s="198" t="s">
        <v>40</v>
      </c>
      <c r="E44" s="144" t="s">
        <v>7</v>
      </c>
      <c r="F44" s="36" t="s">
        <v>2192</v>
      </c>
      <c r="G44" s="145" t="s">
        <v>163</v>
      </c>
      <c r="H44" s="133" t="s">
        <v>2199</v>
      </c>
      <c r="I44" s="74" t="s">
        <v>484</v>
      </c>
      <c r="J44" s="26">
        <v>1593</v>
      </c>
      <c r="K44" s="30">
        <v>46108</v>
      </c>
      <c r="L44" s="8"/>
      <c r="M44" s="8"/>
      <c r="N44" s="8"/>
      <c r="O44" s="8"/>
      <c r="P44" s="84"/>
      <c r="Q44" s="192"/>
    </row>
    <row r="45" spans="2:17" ht="14.45" customHeight="1" x14ac:dyDescent="0.2">
      <c r="B45" s="227"/>
      <c r="C45" s="207"/>
      <c r="D45" s="199"/>
      <c r="E45" s="152" t="s">
        <v>249</v>
      </c>
      <c r="F45" s="44" t="s">
        <v>385</v>
      </c>
      <c r="G45" s="94" t="s">
        <v>424</v>
      </c>
      <c r="H45" s="136" t="s">
        <v>600</v>
      </c>
      <c r="I45" s="78" t="s">
        <v>659</v>
      </c>
      <c r="J45" s="41">
        <v>2403</v>
      </c>
      <c r="K45" s="42">
        <v>46108</v>
      </c>
      <c r="L45" s="43"/>
      <c r="M45" s="43"/>
      <c r="N45" s="43"/>
      <c r="O45" s="43"/>
      <c r="P45" s="88"/>
      <c r="Q45" s="195"/>
    </row>
    <row r="46" spans="2:17" ht="14.45" customHeight="1" x14ac:dyDescent="0.2">
      <c r="B46" s="227"/>
      <c r="C46" s="207"/>
      <c r="D46" s="200"/>
      <c r="E46" s="153" t="s">
        <v>249</v>
      </c>
      <c r="F46" s="53" t="s">
        <v>386</v>
      </c>
      <c r="G46" s="154" t="s">
        <v>425</v>
      </c>
      <c r="H46" s="137" t="s">
        <v>601</v>
      </c>
      <c r="I46" s="80" t="s">
        <v>660</v>
      </c>
      <c r="J46" s="49">
        <v>2706</v>
      </c>
      <c r="K46" s="50">
        <v>46108</v>
      </c>
      <c r="L46" s="51"/>
      <c r="M46" s="51"/>
      <c r="N46" s="51"/>
      <c r="O46" s="51"/>
      <c r="P46" s="90"/>
      <c r="Q46" s="196"/>
    </row>
    <row r="47" spans="2:17" ht="14.45" customHeight="1" x14ac:dyDescent="0.2">
      <c r="B47" s="227"/>
      <c r="C47" s="207"/>
      <c r="D47" s="198" t="s">
        <v>42</v>
      </c>
      <c r="E47" s="144" t="s">
        <v>7</v>
      </c>
      <c r="F47" s="36" t="s">
        <v>2192</v>
      </c>
      <c r="G47" s="145" t="s">
        <v>164</v>
      </c>
      <c r="H47" s="133" t="s">
        <v>2200</v>
      </c>
      <c r="I47" s="74" t="s">
        <v>485</v>
      </c>
      <c r="J47" s="26">
        <v>1981</v>
      </c>
      <c r="K47" s="30">
        <v>46108</v>
      </c>
      <c r="L47" s="8"/>
      <c r="M47" s="8"/>
      <c r="N47" s="8"/>
      <c r="O47" s="8"/>
      <c r="P47" s="84"/>
      <c r="Q47" s="192"/>
    </row>
    <row r="48" spans="2:17" ht="14.45" customHeight="1" x14ac:dyDescent="0.2">
      <c r="B48" s="227"/>
      <c r="C48" s="207"/>
      <c r="D48" s="199"/>
      <c r="E48" s="152" t="s">
        <v>249</v>
      </c>
      <c r="F48" s="44" t="s">
        <v>387</v>
      </c>
      <c r="G48" s="94" t="s">
        <v>426</v>
      </c>
      <c r="H48" s="136" t="s">
        <v>602</v>
      </c>
      <c r="I48" s="78" t="s">
        <v>661</v>
      </c>
      <c r="J48" s="41">
        <v>2652</v>
      </c>
      <c r="K48" s="42">
        <v>46108</v>
      </c>
      <c r="L48" s="43"/>
      <c r="M48" s="43"/>
      <c r="N48" s="43"/>
      <c r="O48" s="43"/>
      <c r="P48" s="88"/>
      <c r="Q48" s="195"/>
    </row>
    <row r="49" spans="2:17" ht="14.45" customHeight="1" x14ac:dyDescent="0.2">
      <c r="B49" s="227"/>
      <c r="C49" s="207"/>
      <c r="D49" s="200"/>
      <c r="E49" s="141" t="s">
        <v>249</v>
      </c>
      <c r="F49" s="52" t="s">
        <v>388</v>
      </c>
      <c r="G49" s="71" t="s">
        <v>427</v>
      </c>
      <c r="H49" s="131" t="s">
        <v>603</v>
      </c>
      <c r="I49" s="79" t="s">
        <v>662</v>
      </c>
      <c r="J49" s="46">
        <v>2775</v>
      </c>
      <c r="K49" s="47">
        <v>46108</v>
      </c>
      <c r="L49" s="48"/>
      <c r="M49" s="48"/>
      <c r="N49" s="48"/>
      <c r="O49" s="48"/>
      <c r="P49" s="89"/>
      <c r="Q49" s="190"/>
    </row>
    <row r="50" spans="2:17" ht="14.45" customHeight="1" x14ac:dyDescent="0.2">
      <c r="B50" s="227"/>
      <c r="C50" s="207"/>
      <c r="D50" s="198" t="s">
        <v>44</v>
      </c>
      <c r="E50" s="144" t="s">
        <v>7</v>
      </c>
      <c r="F50" s="36" t="s">
        <v>2192</v>
      </c>
      <c r="G50" s="145" t="s">
        <v>165</v>
      </c>
      <c r="H50" s="133" t="s">
        <v>2201</v>
      </c>
      <c r="I50" s="74" t="s">
        <v>486</v>
      </c>
      <c r="J50" s="26">
        <v>3322</v>
      </c>
      <c r="K50" s="30">
        <v>46108</v>
      </c>
      <c r="L50" s="8"/>
      <c r="M50" s="8"/>
      <c r="N50" s="8"/>
      <c r="O50" s="8"/>
      <c r="P50" s="84"/>
      <c r="Q50" s="192"/>
    </row>
    <row r="51" spans="2:17" ht="14.45" customHeight="1" x14ac:dyDescent="0.2">
      <c r="B51" s="227"/>
      <c r="C51" s="207"/>
      <c r="D51" s="199"/>
      <c r="E51" s="152" t="s">
        <v>249</v>
      </c>
      <c r="F51" s="44" t="s">
        <v>285</v>
      </c>
      <c r="G51" s="94" t="s">
        <v>283</v>
      </c>
      <c r="H51" s="136" t="s">
        <v>548</v>
      </c>
      <c r="I51" s="78" t="s">
        <v>663</v>
      </c>
      <c r="J51" s="41">
        <v>1467</v>
      </c>
      <c r="K51" s="42">
        <v>46108</v>
      </c>
      <c r="L51" s="43"/>
      <c r="M51" s="43"/>
      <c r="N51" s="43"/>
      <c r="O51" s="43"/>
      <c r="P51" s="88"/>
      <c r="Q51" s="195"/>
    </row>
    <row r="52" spans="2:17" ht="14.45" customHeight="1" x14ac:dyDescent="0.2">
      <c r="B52" s="227"/>
      <c r="C52" s="207"/>
      <c r="D52" s="200"/>
      <c r="E52" s="141" t="s">
        <v>249</v>
      </c>
      <c r="F52" s="52" t="s">
        <v>286</v>
      </c>
      <c r="G52" s="71" t="s">
        <v>284</v>
      </c>
      <c r="H52" s="131" t="s">
        <v>549</v>
      </c>
      <c r="I52" s="79" t="s">
        <v>664</v>
      </c>
      <c r="J52" s="46">
        <v>1426</v>
      </c>
      <c r="K52" s="47">
        <v>46108</v>
      </c>
      <c r="L52" s="48"/>
      <c r="M52" s="48"/>
      <c r="N52" s="48"/>
      <c r="O52" s="48"/>
      <c r="P52" s="89"/>
      <c r="Q52" s="190"/>
    </row>
    <row r="53" spans="2:17" ht="14.45" customHeight="1" x14ac:dyDescent="0.2">
      <c r="B53" s="227"/>
      <c r="C53" s="207"/>
      <c r="D53" s="198" t="s">
        <v>46</v>
      </c>
      <c r="E53" s="144" t="s">
        <v>7</v>
      </c>
      <c r="F53" s="36" t="s">
        <v>2192</v>
      </c>
      <c r="G53" s="145" t="s">
        <v>166</v>
      </c>
      <c r="H53" s="133" t="s">
        <v>2202</v>
      </c>
      <c r="I53" s="74" t="s">
        <v>487</v>
      </c>
      <c r="J53" s="26">
        <v>3613</v>
      </c>
      <c r="K53" s="30">
        <v>46108</v>
      </c>
      <c r="L53" s="8"/>
      <c r="M53" s="8"/>
      <c r="N53" s="8"/>
      <c r="O53" s="8"/>
      <c r="P53" s="84"/>
      <c r="Q53" s="192"/>
    </row>
    <row r="54" spans="2:17" ht="14.45" customHeight="1" thickBot="1" x14ac:dyDescent="0.25">
      <c r="B54" s="227"/>
      <c r="C54" s="208"/>
      <c r="D54" s="201"/>
      <c r="E54" s="146" t="s">
        <v>249</v>
      </c>
      <c r="F54" s="40" t="s">
        <v>287</v>
      </c>
      <c r="G54" s="147" t="s">
        <v>288</v>
      </c>
      <c r="H54" s="134" t="s">
        <v>550</v>
      </c>
      <c r="I54" s="75" t="s">
        <v>665</v>
      </c>
      <c r="J54" s="37">
        <v>1816</v>
      </c>
      <c r="K54" s="38">
        <v>46108</v>
      </c>
      <c r="L54" s="39"/>
      <c r="M54" s="39"/>
      <c r="N54" s="39"/>
      <c r="O54" s="39"/>
      <c r="P54" s="85"/>
      <c r="Q54" s="193"/>
    </row>
    <row r="55" spans="2:17" ht="14.45" customHeight="1" x14ac:dyDescent="0.2">
      <c r="B55" s="227"/>
      <c r="C55" s="206" t="s">
        <v>2027</v>
      </c>
      <c r="D55" s="126" t="s">
        <v>48</v>
      </c>
      <c r="E55" s="151" t="s">
        <v>7</v>
      </c>
      <c r="F55" s="21" t="s">
        <v>2193</v>
      </c>
      <c r="G55" s="148" t="s">
        <v>167</v>
      </c>
      <c r="H55" s="130" t="s">
        <v>2203</v>
      </c>
      <c r="I55" s="76" t="s">
        <v>488</v>
      </c>
      <c r="J55" s="27">
        <v>1949</v>
      </c>
      <c r="K55" s="31">
        <v>46114</v>
      </c>
      <c r="L55" s="23"/>
      <c r="M55" s="23"/>
      <c r="N55" s="23"/>
      <c r="O55" s="23"/>
      <c r="P55" s="86"/>
      <c r="Q55" s="189"/>
    </row>
    <row r="56" spans="2:17" ht="14.45" customHeight="1" x14ac:dyDescent="0.2">
      <c r="B56" s="227"/>
      <c r="C56" s="207"/>
      <c r="D56" s="198" t="s">
        <v>50</v>
      </c>
      <c r="E56" s="144" t="s">
        <v>7</v>
      </c>
      <c r="F56" s="36" t="s">
        <v>2193</v>
      </c>
      <c r="G56" s="145" t="s">
        <v>168</v>
      </c>
      <c r="H56" s="133" t="s">
        <v>2204</v>
      </c>
      <c r="I56" s="74" t="s">
        <v>489</v>
      </c>
      <c r="J56" s="26">
        <v>3844</v>
      </c>
      <c r="K56" s="30">
        <v>46114</v>
      </c>
      <c r="L56" s="8"/>
      <c r="M56" s="8"/>
      <c r="N56" s="8"/>
      <c r="O56" s="8"/>
      <c r="P56" s="84"/>
      <c r="Q56" s="192"/>
    </row>
    <row r="57" spans="2:17" ht="14.45" customHeight="1" x14ac:dyDescent="0.2">
      <c r="B57" s="227"/>
      <c r="C57" s="207"/>
      <c r="D57" s="199"/>
      <c r="E57" s="152" t="s">
        <v>249</v>
      </c>
      <c r="F57" s="44" t="s">
        <v>293</v>
      </c>
      <c r="G57" s="94" t="s">
        <v>289</v>
      </c>
      <c r="H57" s="136" t="s">
        <v>551</v>
      </c>
      <c r="I57" s="78" t="s">
        <v>666</v>
      </c>
      <c r="J57" s="41">
        <v>1481</v>
      </c>
      <c r="K57" s="42">
        <v>46114</v>
      </c>
      <c r="L57" s="43"/>
      <c r="M57" s="43"/>
      <c r="N57" s="43"/>
      <c r="O57" s="43"/>
      <c r="P57" s="88"/>
      <c r="Q57" s="195"/>
    </row>
    <row r="58" spans="2:17" ht="14.45" customHeight="1" x14ac:dyDescent="0.2">
      <c r="B58" s="227"/>
      <c r="C58" s="207"/>
      <c r="D58" s="199"/>
      <c r="E58" s="152" t="s">
        <v>249</v>
      </c>
      <c r="F58" s="44" t="s">
        <v>294</v>
      </c>
      <c r="G58" s="94" t="s">
        <v>290</v>
      </c>
      <c r="H58" s="136" t="s">
        <v>552</v>
      </c>
      <c r="I58" s="78" t="s">
        <v>667</v>
      </c>
      <c r="J58" s="41">
        <v>1443</v>
      </c>
      <c r="K58" s="42">
        <v>46114</v>
      </c>
      <c r="L58" s="43"/>
      <c r="M58" s="43"/>
      <c r="N58" s="43"/>
      <c r="O58" s="43"/>
      <c r="P58" s="88"/>
      <c r="Q58" s="195"/>
    </row>
    <row r="59" spans="2:17" ht="14.45" customHeight="1" x14ac:dyDescent="0.2">
      <c r="B59" s="227"/>
      <c r="C59" s="207"/>
      <c r="D59" s="199"/>
      <c r="E59" s="152" t="s">
        <v>249</v>
      </c>
      <c r="F59" s="44" t="s">
        <v>269</v>
      </c>
      <c r="G59" s="94" t="s">
        <v>291</v>
      </c>
      <c r="H59" s="136" t="s">
        <v>553</v>
      </c>
      <c r="I59" s="78" t="s">
        <v>668</v>
      </c>
      <c r="J59" s="41">
        <v>1336</v>
      </c>
      <c r="K59" s="42">
        <v>46114</v>
      </c>
      <c r="L59" s="43"/>
      <c r="M59" s="43"/>
      <c r="N59" s="43"/>
      <c r="O59" s="43"/>
      <c r="P59" s="88"/>
      <c r="Q59" s="195"/>
    </row>
    <row r="60" spans="2:17" ht="14.45" customHeight="1" x14ac:dyDescent="0.2">
      <c r="B60" s="227"/>
      <c r="C60" s="207"/>
      <c r="D60" s="200"/>
      <c r="E60" s="141" t="s">
        <v>249</v>
      </c>
      <c r="F60" s="52" t="s">
        <v>295</v>
      </c>
      <c r="G60" s="71" t="s">
        <v>292</v>
      </c>
      <c r="H60" s="131" t="s">
        <v>554</v>
      </c>
      <c r="I60" s="79" t="s">
        <v>669</v>
      </c>
      <c r="J60" s="46">
        <v>1439</v>
      </c>
      <c r="K60" s="47">
        <v>46114</v>
      </c>
      <c r="L60" s="48"/>
      <c r="M60" s="48"/>
      <c r="N60" s="48"/>
      <c r="O60" s="48"/>
      <c r="P60" s="89"/>
      <c r="Q60" s="190"/>
    </row>
    <row r="61" spans="2:17" ht="14.45" customHeight="1" x14ac:dyDescent="0.2">
      <c r="B61" s="227"/>
      <c r="C61" s="207"/>
      <c r="D61" s="198" t="s">
        <v>52</v>
      </c>
      <c r="E61" s="144" t="s">
        <v>7</v>
      </c>
      <c r="F61" s="36" t="s">
        <v>2193</v>
      </c>
      <c r="G61" s="145" t="s">
        <v>169</v>
      </c>
      <c r="H61" s="133" t="s">
        <v>2205</v>
      </c>
      <c r="I61" s="74" t="s">
        <v>490</v>
      </c>
      <c r="J61" s="26">
        <v>2346</v>
      </c>
      <c r="K61" s="30">
        <v>46114</v>
      </c>
      <c r="L61" s="8"/>
      <c r="M61" s="8"/>
      <c r="N61" s="8"/>
      <c r="O61" s="8"/>
      <c r="P61" s="84"/>
      <c r="Q61" s="192"/>
    </row>
    <row r="62" spans="2:17" ht="14.45" customHeight="1" x14ac:dyDescent="0.2">
      <c r="B62" s="227"/>
      <c r="C62" s="207"/>
      <c r="D62" s="200"/>
      <c r="E62" s="141" t="s">
        <v>249</v>
      </c>
      <c r="F62" s="52" t="s">
        <v>297</v>
      </c>
      <c r="G62" s="71" t="s">
        <v>296</v>
      </c>
      <c r="H62" s="131" t="s">
        <v>555</v>
      </c>
      <c r="I62" s="79" t="s">
        <v>670</v>
      </c>
      <c r="J62" s="46">
        <v>1184</v>
      </c>
      <c r="K62" s="47">
        <v>46114</v>
      </c>
      <c r="L62" s="48"/>
      <c r="M62" s="48"/>
      <c r="N62" s="48"/>
      <c r="O62" s="48"/>
      <c r="P62" s="89"/>
      <c r="Q62" s="190"/>
    </row>
    <row r="63" spans="2:17" ht="14.45" customHeight="1" x14ac:dyDescent="0.2">
      <c r="B63" s="227"/>
      <c r="C63" s="207"/>
      <c r="D63" s="198" t="s">
        <v>54</v>
      </c>
      <c r="E63" s="144" t="s">
        <v>7</v>
      </c>
      <c r="F63" s="36" t="s">
        <v>2193</v>
      </c>
      <c r="G63" s="145" t="s">
        <v>170</v>
      </c>
      <c r="H63" s="133" t="s">
        <v>2206</v>
      </c>
      <c r="I63" s="74" t="s">
        <v>491</v>
      </c>
      <c r="J63" s="26">
        <v>3635</v>
      </c>
      <c r="K63" s="30">
        <v>46114</v>
      </c>
      <c r="L63" s="8"/>
      <c r="M63" s="8"/>
      <c r="N63" s="8"/>
      <c r="O63" s="8"/>
      <c r="P63" s="84"/>
      <c r="Q63" s="192"/>
    </row>
    <row r="64" spans="2:17" ht="14.45" customHeight="1" x14ac:dyDescent="0.2">
      <c r="B64" s="227"/>
      <c r="C64" s="207"/>
      <c r="D64" s="200"/>
      <c r="E64" s="141" t="s">
        <v>249</v>
      </c>
      <c r="F64" s="52" t="s">
        <v>301</v>
      </c>
      <c r="G64" s="71" t="s">
        <v>298</v>
      </c>
      <c r="H64" s="131" t="s">
        <v>556</v>
      </c>
      <c r="I64" s="79" t="s">
        <v>671</v>
      </c>
      <c r="J64" s="46">
        <v>1168</v>
      </c>
      <c r="K64" s="47">
        <v>46114</v>
      </c>
      <c r="L64" s="48"/>
      <c r="M64" s="48"/>
      <c r="N64" s="48"/>
      <c r="O64" s="48"/>
      <c r="P64" s="89"/>
      <c r="Q64" s="190"/>
    </row>
    <row r="65" spans="2:17" ht="14.45" customHeight="1" x14ac:dyDescent="0.2">
      <c r="B65" s="227"/>
      <c r="C65" s="207"/>
      <c r="D65" s="127" t="s">
        <v>56</v>
      </c>
      <c r="E65" s="142" t="s">
        <v>7</v>
      </c>
      <c r="F65" s="6" t="s">
        <v>2193</v>
      </c>
      <c r="G65" s="143" t="s">
        <v>171</v>
      </c>
      <c r="H65" s="133" t="s">
        <v>2207</v>
      </c>
      <c r="I65" s="74" t="s">
        <v>492</v>
      </c>
      <c r="J65" s="26">
        <v>1952</v>
      </c>
      <c r="K65" s="30">
        <v>46114</v>
      </c>
      <c r="L65" s="8"/>
      <c r="M65" s="8"/>
      <c r="N65" s="8"/>
      <c r="O65" s="8"/>
      <c r="P65" s="84"/>
      <c r="Q65" s="192"/>
    </row>
    <row r="66" spans="2:17" ht="14.45" customHeight="1" x14ac:dyDescent="0.2">
      <c r="B66" s="227"/>
      <c r="C66" s="207"/>
      <c r="D66" s="198" t="s">
        <v>204</v>
      </c>
      <c r="E66" s="144" t="s">
        <v>7</v>
      </c>
      <c r="F66" s="36" t="s">
        <v>2193</v>
      </c>
      <c r="G66" s="145" t="s">
        <v>205</v>
      </c>
      <c r="H66" s="133" t="s">
        <v>2208</v>
      </c>
      <c r="I66" s="74" t="s">
        <v>493</v>
      </c>
      <c r="J66" s="26">
        <v>2630</v>
      </c>
      <c r="K66" s="30">
        <v>46114</v>
      </c>
      <c r="L66" s="8"/>
      <c r="M66" s="8"/>
      <c r="N66" s="8"/>
      <c r="O66" s="8"/>
      <c r="P66" s="84"/>
      <c r="Q66" s="192"/>
    </row>
    <row r="67" spans="2:17" ht="14.45" customHeight="1" x14ac:dyDescent="0.2">
      <c r="B67" s="227"/>
      <c r="C67" s="207"/>
      <c r="D67" s="200"/>
      <c r="E67" s="141" t="s">
        <v>249</v>
      </c>
      <c r="F67" s="52" t="s">
        <v>302</v>
      </c>
      <c r="G67" s="71" t="s">
        <v>300</v>
      </c>
      <c r="H67" s="131" t="s">
        <v>557</v>
      </c>
      <c r="I67" s="79" t="s">
        <v>672</v>
      </c>
      <c r="J67" s="46">
        <v>1512</v>
      </c>
      <c r="K67" s="47">
        <v>46114</v>
      </c>
      <c r="L67" s="48"/>
      <c r="M67" s="48"/>
      <c r="N67" s="48"/>
      <c r="O67" s="48"/>
      <c r="P67" s="89"/>
      <c r="Q67" s="190"/>
    </row>
    <row r="68" spans="2:17" ht="14.45" customHeight="1" x14ac:dyDescent="0.2">
      <c r="B68" s="227"/>
      <c r="C68" s="207"/>
      <c r="D68" s="198" t="s">
        <v>58</v>
      </c>
      <c r="E68" s="144" t="s">
        <v>7</v>
      </c>
      <c r="F68" s="36" t="s">
        <v>2193</v>
      </c>
      <c r="G68" s="145" t="s">
        <v>172</v>
      </c>
      <c r="H68" s="133" t="s">
        <v>2209</v>
      </c>
      <c r="I68" s="74" t="s">
        <v>494</v>
      </c>
      <c r="J68" s="26">
        <v>3825</v>
      </c>
      <c r="K68" s="30">
        <v>46114</v>
      </c>
      <c r="L68" s="8"/>
      <c r="M68" s="8"/>
      <c r="N68" s="8"/>
      <c r="O68" s="8"/>
      <c r="P68" s="84"/>
      <c r="Q68" s="192"/>
    </row>
    <row r="69" spans="2:17" ht="14.45" customHeight="1" x14ac:dyDescent="0.2">
      <c r="B69" s="227"/>
      <c r="C69" s="207"/>
      <c r="D69" s="199"/>
      <c r="E69" s="152" t="s">
        <v>249</v>
      </c>
      <c r="F69" s="44" t="s">
        <v>306</v>
      </c>
      <c r="G69" s="94" t="s">
        <v>303</v>
      </c>
      <c r="H69" s="136" t="s">
        <v>558</v>
      </c>
      <c r="I69" s="78" t="s">
        <v>673</v>
      </c>
      <c r="J69" s="41">
        <v>1242</v>
      </c>
      <c r="K69" s="42">
        <v>46114</v>
      </c>
      <c r="L69" s="43"/>
      <c r="M69" s="43"/>
      <c r="N69" s="43"/>
      <c r="O69" s="43"/>
      <c r="P69" s="88"/>
      <c r="Q69" s="195"/>
    </row>
    <row r="70" spans="2:17" ht="14.45" customHeight="1" x14ac:dyDescent="0.2">
      <c r="B70" s="227"/>
      <c r="C70" s="207"/>
      <c r="D70" s="199"/>
      <c r="E70" s="152" t="s">
        <v>249</v>
      </c>
      <c r="F70" s="44" t="s">
        <v>307</v>
      </c>
      <c r="G70" s="94" t="s">
        <v>304</v>
      </c>
      <c r="H70" s="136" t="s">
        <v>559</v>
      </c>
      <c r="I70" s="78" t="s">
        <v>674</v>
      </c>
      <c r="J70" s="41">
        <v>1315</v>
      </c>
      <c r="K70" s="42">
        <v>46114</v>
      </c>
      <c r="L70" s="43"/>
      <c r="M70" s="43"/>
      <c r="N70" s="43"/>
      <c r="O70" s="43"/>
      <c r="P70" s="88"/>
      <c r="Q70" s="195"/>
    </row>
    <row r="71" spans="2:17" ht="14.45" customHeight="1" x14ac:dyDescent="0.2">
      <c r="B71" s="227"/>
      <c r="C71" s="207"/>
      <c r="D71" s="200"/>
      <c r="E71" s="141" t="s">
        <v>249</v>
      </c>
      <c r="F71" s="52" t="s">
        <v>308</v>
      </c>
      <c r="G71" s="71" t="s">
        <v>305</v>
      </c>
      <c r="H71" s="131" t="s">
        <v>560</v>
      </c>
      <c r="I71" s="79" t="s">
        <v>675</v>
      </c>
      <c r="J71" s="46">
        <v>1184</v>
      </c>
      <c r="K71" s="47">
        <v>46114</v>
      </c>
      <c r="L71" s="48"/>
      <c r="M71" s="48"/>
      <c r="N71" s="48"/>
      <c r="O71" s="48"/>
      <c r="P71" s="89"/>
      <c r="Q71" s="190"/>
    </row>
    <row r="72" spans="2:17" ht="14.45" customHeight="1" x14ac:dyDescent="0.2">
      <c r="B72" s="227"/>
      <c r="C72" s="207"/>
      <c r="D72" s="198" t="s">
        <v>60</v>
      </c>
      <c r="E72" s="144" t="s">
        <v>7</v>
      </c>
      <c r="F72" s="36" t="s">
        <v>2193</v>
      </c>
      <c r="G72" s="145" t="s">
        <v>173</v>
      </c>
      <c r="H72" s="133" t="s">
        <v>2210</v>
      </c>
      <c r="I72" s="74" t="s">
        <v>495</v>
      </c>
      <c r="J72" s="26">
        <v>2962</v>
      </c>
      <c r="K72" s="30">
        <v>46114</v>
      </c>
      <c r="L72" s="8"/>
      <c r="M72" s="8"/>
      <c r="N72" s="8"/>
      <c r="O72" s="8"/>
      <c r="P72" s="84"/>
      <c r="Q72" s="192"/>
    </row>
    <row r="73" spans="2:17" ht="14.45" customHeight="1" x14ac:dyDescent="0.2">
      <c r="B73" s="227"/>
      <c r="C73" s="207"/>
      <c r="D73" s="199"/>
      <c r="E73" s="152" t="s">
        <v>249</v>
      </c>
      <c r="F73" s="44" t="s">
        <v>389</v>
      </c>
      <c r="G73" s="94" t="s">
        <v>428</v>
      </c>
      <c r="H73" s="136" t="s">
        <v>604</v>
      </c>
      <c r="I73" s="78" t="s">
        <v>676</v>
      </c>
      <c r="J73" s="41">
        <v>2443</v>
      </c>
      <c r="K73" s="42">
        <v>46114</v>
      </c>
      <c r="L73" s="43"/>
      <c r="M73" s="43"/>
      <c r="N73" s="43"/>
      <c r="O73" s="43"/>
      <c r="P73" s="88"/>
      <c r="Q73" s="195"/>
    </row>
    <row r="74" spans="2:17" ht="14.45" customHeight="1" thickBot="1" x14ac:dyDescent="0.25">
      <c r="B74" s="227"/>
      <c r="C74" s="208"/>
      <c r="D74" s="201"/>
      <c r="E74" s="146" t="s">
        <v>249</v>
      </c>
      <c r="F74" s="40" t="s">
        <v>390</v>
      </c>
      <c r="G74" s="147" t="s">
        <v>429</v>
      </c>
      <c r="H74" s="134" t="s">
        <v>605</v>
      </c>
      <c r="I74" s="75" t="s">
        <v>677</v>
      </c>
      <c r="J74" s="37">
        <v>2439</v>
      </c>
      <c r="K74" s="38">
        <v>46114</v>
      </c>
      <c r="L74" s="39"/>
      <c r="M74" s="39"/>
      <c r="N74" s="39"/>
      <c r="O74" s="39"/>
      <c r="P74" s="85"/>
      <c r="Q74" s="193"/>
    </row>
    <row r="75" spans="2:17" ht="14.45" customHeight="1" x14ac:dyDescent="0.2">
      <c r="B75" s="227"/>
      <c r="C75" s="206" t="s">
        <v>2028</v>
      </c>
      <c r="D75" s="217" t="s">
        <v>62</v>
      </c>
      <c r="E75" s="139" t="s">
        <v>7</v>
      </c>
      <c r="F75" s="45" t="s">
        <v>2194</v>
      </c>
      <c r="G75" s="140" t="s">
        <v>174</v>
      </c>
      <c r="H75" s="130" t="s">
        <v>2211</v>
      </c>
      <c r="I75" s="76" t="s">
        <v>496</v>
      </c>
      <c r="J75" s="27">
        <v>2628</v>
      </c>
      <c r="K75" s="31">
        <v>46115</v>
      </c>
      <c r="L75" s="23"/>
      <c r="M75" s="23"/>
      <c r="N75" s="23"/>
      <c r="O75" s="23"/>
      <c r="P75" s="86"/>
      <c r="Q75" s="189"/>
    </row>
    <row r="76" spans="2:17" ht="14.45" customHeight="1" x14ac:dyDescent="0.2">
      <c r="B76" s="227"/>
      <c r="C76" s="207"/>
      <c r="D76" s="215"/>
      <c r="E76" s="141" t="s">
        <v>249</v>
      </c>
      <c r="F76" s="52" t="s">
        <v>373</v>
      </c>
      <c r="G76" s="71" t="s">
        <v>309</v>
      </c>
      <c r="H76" s="131" t="s">
        <v>561</v>
      </c>
      <c r="I76" s="79" t="s">
        <v>678</v>
      </c>
      <c r="J76" s="46">
        <v>1928</v>
      </c>
      <c r="K76" s="47">
        <v>46115</v>
      </c>
      <c r="L76" s="48"/>
      <c r="M76" s="48"/>
      <c r="N76" s="48"/>
      <c r="O76" s="48"/>
      <c r="P76" s="89"/>
      <c r="Q76" s="190"/>
    </row>
    <row r="77" spans="2:17" ht="14.45" customHeight="1" x14ac:dyDescent="0.2">
      <c r="B77" s="227"/>
      <c r="C77" s="207"/>
      <c r="D77" s="198" t="s">
        <v>64</v>
      </c>
      <c r="E77" s="144" t="s">
        <v>7</v>
      </c>
      <c r="F77" s="36" t="s">
        <v>2194</v>
      </c>
      <c r="G77" s="145" t="s">
        <v>175</v>
      </c>
      <c r="H77" s="133" t="s">
        <v>2212</v>
      </c>
      <c r="I77" s="74" t="s">
        <v>497</v>
      </c>
      <c r="J77" s="26">
        <v>2848</v>
      </c>
      <c r="K77" s="30">
        <v>46115</v>
      </c>
      <c r="L77" s="8"/>
      <c r="M77" s="8"/>
      <c r="N77" s="8"/>
      <c r="O77" s="8"/>
      <c r="P77" s="84"/>
      <c r="Q77" s="192"/>
    </row>
    <row r="78" spans="2:17" ht="14.45" customHeight="1" x14ac:dyDescent="0.2">
      <c r="B78" s="227"/>
      <c r="C78" s="207"/>
      <c r="D78" s="199"/>
      <c r="E78" s="152" t="s">
        <v>249</v>
      </c>
      <c r="F78" s="44" t="s">
        <v>399</v>
      </c>
      <c r="G78" s="94" t="s">
        <v>430</v>
      </c>
      <c r="H78" s="136" t="s">
        <v>606</v>
      </c>
      <c r="I78" s="78" t="s">
        <v>679</v>
      </c>
      <c r="J78" s="41">
        <v>2933</v>
      </c>
      <c r="K78" s="42">
        <v>46115</v>
      </c>
      <c r="L78" s="43"/>
      <c r="M78" s="43"/>
      <c r="N78" s="43"/>
      <c r="O78" s="43"/>
      <c r="P78" s="88"/>
      <c r="Q78" s="195"/>
    </row>
    <row r="79" spans="2:17" ht="14.45" customHeight="1" x14ac:dyDescent="0.2">
      <c r="B79" s="227"/>
      <c r="C79" s="207"/>
      <c r="D79" s="200"/>
      <c r="E79" s="141" t="s">
        <v>249</v>
      </c>
      <c r="F79" s="52" t="s">
        <v>400</v>
      </c>
      <c r="G79" s="71" t="s">
        <v>431</v>
      </c>
      <c r="H79" s="131" t="s">
        <v>607</v>
      </c>
      <c r="I79" s="79" t="s">
        <v>680</v>
      </c>
      <c r="J79" s="46">
        <v>2774</v>
      </c>
      <c r="K79" s="47">
        <v>46115</v>
      </c>
      <c r="L79" s="48"/>
      <c r="M79" s="48"/>
      <c r="N79" s="48"/>
      <c r="O79" s="48"/>
      <c r="P79" s="89"/>
      <c r="Q79" s="190"/>
    </row>
    <row r="80" spans="2:17" ht="14.45" customHeight="1" x14ac:dyDescent="0.2">
      <c r="B80" s="227"/>
      <c r="C80" s="207"/>
      <c r="D80" s="213" t="s">
        <v>66</v>
      </c>
      <c r="E80" s="144" t="s">
        <v>7</v>
      </c>
      <c r="F80" s="36" t="s">
        <v>2194</v>
      </c>
      <c r="G80" s="145" t="s">
        <v>176</v>
      </c>
      <c r="H80" s="133" t="s">
        <v>2213</v>
      </c>
      <c r="I80" s="74" t="s">
        <v>498</v>
      </c>
      <c r="J80" s="26">
        <v>3599</v>
      </c>
      <c r="K80" s="30">
        <v>46115</v>
      </c>
      <c r="L80" s="8"/>
      <c r="M80" s="8"/>
      <c r="N80" s="8"/>
      <c r="O80" s="8"/>
      <c r="P80" s="84"/>
      <c r="Q80" s="192"/>
    </row>
    <row r="81" spans="2:17" ht="14.45" customHeight="1" x14ac:dyDescent="0.2">
      <c r="B81" s="227"/>
      <c r="C81" s="207"/>
      <c r="D81" s="214"/>
      <c r="E81" s="152" t="s">
        <v>249</v>
      </c>
      <c r="F81" s="44" t="s">
        <v>310</v>
      </c>
      <c r="G81" s="94" t="s">
        <v>311</v>
      </c>
      <c r="H81" s="136" t="s">
        <v>562</v>
      </c>
      <c r="I81" s="78" t="s">
        <v>681</v>
      </c>
      <c r="J81" s="41">
        <v>1743</v>
      </c>
      <c r="K81" s="42">
        <v>46115</v>
      </c>
      <c r="L81" s="43"/>
      <c r="M81" s="43"/>
      <c r="N81" s="43"/>
      <c r="O81" s="43"/>
      <c r="P81" s="88"/>
      <c r="Q81" s="195"/>
    </row>
    <row r="82" spans="2:17" ht="14.45" customHeight="1" x14ac:dyDescent="0.2">
      <c r="B82" s="227"/>
      <c r="C82" s="207"/>
      <c r="D82" s="214"/>
      <c r="E82" s="152" t="s">
        <v>249</v>
      </c>
      <c r="F82" s="44" t="s">
        <v>302</v>
      </c>
      <c r="G82" s="94" t="s">
        <v>299</v>
      </c>
      <c r="H82" s="136" t="s">
        <v>557</v>
      </c>
      <c r="I82" s="78" t="s">
        <v>672</v>
      </c>
      <c r="J82" s="41">
        <v>1512</v>
      </c>
      <c r="K82" s="42">
        <v>46115</v>
      </c>
      <c r="L82" s="43"/>
      <c r="M82" s="43"/>
      <c r="N82" s="43"/>
      <c r="O82" s="43"/>
      <c r="P82" s="88"/>
      <c r="Q82" s="195"/>
    </row>
    <row r="83" spans="2:17" ht="14.45" customHeight="1" x14ac:dyDescent="0.2">
      <c r="B83" s="227"/>
      <c r="C83" s="207"/>
      <c r="D83" s="215"/>
      <c r="E83" s="141" t="s">
        <v>249</v>
      </c>
      <c r="F83" s="52" t="s">
        <v>315</v>
      </c>
      <c r="G83" s="71" t="s">
        <v>312</v>
      </c>
      <c r="H83" s="131" t="s">
        <v>563</v>
      </c>
      <c r="I83" s="79" t="s">
        <v>682</v>
      </c>
      <c r="J83" s="46">
        <v>1336</v>
      </c>
      <c r="K83" s="47">
        <v>46115</v>
      </c>
      <c r="L83" s="48"/>
      <c r="M83" s="48"/>
      <c r="N83" s="48"/>
      <c r="O83" s="48"/>
      <c r="P83" s="89"/>
      <c r="Q83" s="190"/>
    </row>
    <row r="84" spans="2:17" ht="14.45" customHeight="1" x14ac:dyDescent="0.2">
      <c r="B84" s="227"/>
      <c r="C84" s="207"/>
      <c r="D84" s="213" t="s">
        <v>68</v>
      </c>
      <c r="E84" s="144" t="s">
        <v>7</v>
      </c>
      <c r="F84" s="36" t="s">
        <v>2194</v>
      </c>
      <c r="G84" s="145" t="s">
        <v>177</v>
      </c>
      <c r="H84" s="133" t="s">
        <v>2214</v>
      </c>
      <c r="I84" s="74" t="s">
        <v>499</v>
      </c>
      <c r="J84" s="26">
        <v>3872</v>
      </c>
      <c r="K84" s="30">
        <v>46115</v>
      </c>
      <c r="L84" s="8"/>
      <c r="M84" s="8"/>
      <c r="N84" s="8"/>
      <c r="O84" s="8"/>
      <c r="P84" s="84"/>
      <c r="Q84" s="192"/>
    </row>
    <row r="85" spans="2:17" ht="14.45" customHeight="1" x14ac:dyDescent="0.2">
      <c r="B85" s="227"/>
      <c r="C85" s="207"/>
      <c r="D85" s="214"/>
      <c r="E85" s="152" t="s">
        <v>249</v>
      </c>
      <c r="F85" s="44" t="s">
        <v>318</v>
      </c>
      <c r="G85" s="94" t="s">
        <v>316</v>
      </c>
      <c r="H85" s="136" t="s">
        <v>564</v>
      </c>
      <c r="I85" s="78" t="s">
        <v>683</v>
      </c>
      <c r="J85" s="41">
        <v>1206</v>
      </c>
      <c r="K85" s="42">
        <v>46115</v>
      </c>
      <c r="L85" s="43"/>
      <c r="M85" s="43"/>
      <c r="N85" s="43"/>
      <c r="O85" s="43"/>
      <c r="P85" s="88"/>
      <c r="Q85" s="195"/>
    </row>
    <row r="86" spans="2:17" ht="14.45" customHeight="1" x14ac:dyDescent="0.2">
      <c r="B86" s="227"/>
      <c r="C86" s="207"/>
      <c r="D86" s="215"/>
      <c r="E86" s="141" t="s">
        <v>249</v>
      </c>
      <c r="F86" s="52" t="s">
        <v>319</v>
      </c>
      <c r="G86" s="71" t="s">
        <v>317</v>
      </c>
      <c r="H86" s="131" t="s">
        <v>565</v>
      </c>
      <c r="I86" s="79" t="s">
        <v>684</v>
      </c>
      <c r="J86" s="46">
        <v>1303</v>
      </c>
      <c r="K86" s="47">
        <v>46115</v>
      </c>
      <c r="L86" s="48"/>
      <c r="M86" s="48"/>
      <c r="N86" s="48"/>
      <c r="O86" s="48"/>
      <c r="P86" s="89"/>
      <c r="Q86" s="190"/>
    </row>
    <row r="87" spans="2:17" ht="14.45" customHeight="1" x14ac:dyDescent="0.2">
      <c r="B87" s="227"/>
      <c r="C87" s="207"/>
      <c r="D87" s="213" t="s">
        <v>70</v>
      </c>
      <c r="E87" s="144" t="s">
        <v>7</v>
      </c>
      <c r="F87" s="36" t="s">
        <v>2194</v>
      </c>
      <c r="G87" s="145" t="s">
        <v>178</v>
      </c>
      <c r="H87" s="133" t="s">
        <v>2215</v>
      </c>
      <c r="I87" s="74" t="s">
        <v>500</v>
      </c>
      <c r="J87" s="26">
        <v>3739</v>
      </c>
      <c r="K87" s="30">
        <v>46115</v>
      </c>
      <c r="L87" s="8"/>
      <c r="M87" s="8"/>
      <c r="N87" s="8"/>
      <c r="O87" s="8"/>
      <c r="P87" s="84"/>
      <c r="Q87" s="192"/>
    </row>
    <row r="88" spans="2:17" ht="14.45" customHeight="1" x14ac:dyDescent="0.2">
      <c r="B88" s="227"/>
      <c r="C88" s="207"/>
      <c r="D88" s="215"/>
      <c r="E88" s="141" t="s">
        <v>249</v>
      </c>
      <c r="F88" s="52" t="s">
        <v>321</v>
      </c>
      <c r="G88" s="71" t="s">
        <v>320</v>
      </c>
      <c r="H88" s="131" t="s">
        <v>566</v>
      </c>
      <c r="I88" s="79" t="s">
        <v>685</v>
      </c>
      <c r="J88" s="46">
        <v>1553</v>
      </c>
      <c r="K88" s="47">
        <v>46115</v>
      </c>
      <c r="L88" s="48"/>
      <c r="M88" s="48"/>
      <c r="N88" s="48"/>
      <c r="O88" s="48"/>
      <c r="P88" s="89"/>
      <c r="Q88" s="190"/>
    </row>
    <row r="89" spans="2:17" ht="14.45" customHeight="1" x14ac:dyDescent="0.2">
      <c r="B89" s="227"/>
      <c r="C89" s="207"/>
      <c r="D89" s="213" t="s">
        <v>72</v>
      </c>
      <c r="E89" s="144" t="s">
        <v>7</v>
      </c>
      <c r="F89" s="36" t="s">
        <v>2194</v>
      </c>
      <c r="G89" s="145" t="s">
        <v>179</v>
      </c>
      <c r="H89" s="133" t="s">
        <v>2216</v>
      </c>
      <c r="I89" s="74" t="s">
        <v>501</v>
      </c>
      <c r="J89" s="26">
        <v>3063</v>
      </c>
      <c r="K89" s="30">
        <v>46115</v>
      </c>
      <c r="L89" s="8"/>
      <c r="M89" s="8"/>
      <c r="N89" s="8"/>
      <c r="O89" s="8"/>
      <c r="P89" s="84"/>
      <c r="Q89" s="192"/>
    </row>
    <row r="90" spans="2:17" ht="14.45" customHeight="1" thickBot="1" x14ac:dyDescent="0.25">
      <c r="B90" s="228"/>
      <c r="C90" s="208"/>
      <c r="D90" s="216"/>
      <c r="E90" s="146" t="s">
        <v>313</v>
      </c>
      <c r="F90" s="40" t="s">
        <v>373</v>
      </c>
      <c r="G90" s="147" t="s">
        <v>309</v>
      </c>
      <c r="H90" s="134" t="s">
        <v>561</v>
      </c>
      <c r="I90" s="75" t="s">
        <v>678</v>
      </c>
      <c r="J90" s="37">
        <v>1928</v>
      </c>
      <c r="K90" s="38">
        <v>46115</v>
      </c>
      <c r="L90" s="39"/>
      <c r="M90" s="39"/>
      <c r="N90" s="39"/>
      <c r="O90" s="39"/>
      <c r="P90" s="85"/>
      <c r="Q90" s="193"/>
    </row>
    <row r="91" spans="2:17" ht="14.45" customHeight="1" x14ac:dyDescent="0.2">
      <c r="B91" s="226" t="s">
        <v>2021</v>
      </c>
      <c r="C91" s="206" t="s">
        <v>2029</v>
      </c>
      <c r="D91" s="126" t="s">
        <v>74</v>
      </c>
      <c r="E91" s="151" t="s">
        <v>7</v>
      </c>
      <c r="F91" s="21" t="s">
        <v>136</v>
      </c>
      <c r="G91" s="148" t="s">
        <v>180</v>
      </c>
      <c r="H91" s="130" t="s">
        <v>216</v>
      </c>
      <c r="I91" s="76" t="s">
        <v>502</v>
      </c>
      <c r="J91" s="27">
        <v>3106</v>
      </c>
      <c r="K91" s="31">
        <v>46115</v>
      </c>
      <c r="L91" s="23"/>
      <c r="M91" s="23"/>
      <c r="N91" s="23"/>
      <c r="O91" s="23"/>
      <c r="P91" s="86"/>
      <c r="Q91" s="189"/>
    </row>
    <row r="92" spans="2:17" ht="14.45" customHeight="1" thickBot="1" x14ac:dyDescent="0.25">
      <c r="B92" s="227"/>
      <c r="C92" s="209"/>
      <c r="D92" s="125" t="s">
        <v>76</v>
      </c>
      <c r="E92" s="149" t="s">
        <v>7</v>
      </c>
      <c r="F92" s="32" t="s">
        <v>136</v>
      </c>
      <c r="G92" s="150" t="s">
        <v>181</v>
      </c>
      <c r="H92" s="135" t="s">
        <v>217</v>
      </c>
      <c r="I92" s="77" t="s">
        <v>503</v>
      </c>
      <c r="J92" s="33">
        <v>2989</v>
      </c>
      <c r="K92" s="34">
        <v>46115</v>
      </c>
      <c r="L92" s="35"/>
      <c r="M92" s="35"/>
      <c r="N92" s="35"/>
      <c r="O92" s="35"/>
      <c r="P92" s="87"/>
      <c r="Q92" s="194"/>
    </row>
    <row r="93" spans="2:17" ht="14.45" customHeight="1" x14ac:dyDescent="0.2">
      <c r="B93" s="227"/>
      <c r="C93" s="206" t="s">
        <v>2030</v>
      </c>
      <c r="D93" s="217" t="s">
        <v>78</v>
      </c>
      <c r="E93" s="139" t="s">
        <v>7</v>
      </c>
      <c r="F93" s="45" t="s">
        <v>245</v>
      </c>
      <c r="G93" s="140" t="s">
        <v>182</v>
      </c>
      <c r="H93" s="130" t="s">
        <v>246</v>
      </c>
      <c r="I93" s="76" t="s">
        <v>504</v>
      </c>
      <c r="J93" s="27">
        <v>3145</v>
      </c>
      <c r="K93" s="31">
        <v>46121</v>
      </c>
      <c r="L93" s="23"/>
      <c r="M93" s="23"/>
      <c r="N93" s="23"/>
      <c r="O93" s="23"/>
      <c r="P93" s="86"/>
      <c r="Q93" s="189"/>
    </row>
    <row r="94" spans="2:17" ht="14.45" customHeight="1" x14ac:dyDescent="0.2">
      <c r="B94" s="227"/>
      <c r="C94" s="207"/>
      <c r="D94" s="214"/>
      <c r="E94" s="152" t="s">
        <v>249</v>
      </c>
      <c r="F94" s="44" t="s">
        <v>325</v>
      </c>
      <c r="G94" s="94" t="s">
        <v>322</v>
      </c>
      <c r="H94" s="136" t="s">
        <v>567</v>
      </c>
      <c r="I94" s="78" t="s">
        <v>686</v>
      </c>
      <c r="J94" s="41">
        <v>1308</v>
      </c>
      <c r="K94" s="42">
        <v>46121</v>
      </c>
      <c r="L94" s="43"/>
      <c r="M94" s="43"/>
      <c r="N94" s="43"/>
      <c r="O94" s="43"/>
      <c r="P94" s="88"/>
      <c r="Q94" s="195"/>
    </row>
    <row r="95" spans="2:17" ht="14.45" customHeight="1" x14ac:dyDescent="0.2">
      <c r="B95" s="227"/>
      <c r="C95" s="207"/>
      <c r="D95" s="214"/>
      <c r="E95" s="152" t="s">
        <v>249</v>
      </c>
      <c r="F95" s="44" t="s">
        <v>326</v>
      </c>
      <c r="G95" s="94" t="s">
        <v>323</v>
      </c>
      <c r="H95" s="136" t="s">
        <v>568</v>
      </c>
      <c r="I95" s="78" t="s">
        <v>687</v>
      </c>
      <c r="J95" s="41">
        <v>1430</v>
      </c>
      <c r="K95" s="42">
        <v>46121</v>
      </c>
      <c r="L95" s="43"/>
      <c r="M95" s="43"/>
      <c r="N95" s="43"/>
      <c r="O95" s="43"/>
      <c r="P95" s="88"/>
      <c r="Q95" s="195"/>
    </row>
    <row r="96" spans="2:17" ht="14.45" customHeight="1" x14ac:dyDescent="0.2">
      <c r="B96" s="227"/>
      <c r="C96" s="207"/>
      <c r="D96" s="215"/>
      <c r="E96" s="141" t="s">
        <v>249</v>
      </c>
      <c r="F96" s="52" t="s">
        <v>327</v>
      </c>
      <c r="G96" s="71" t="s">
        <v>324</v>
      </c>
      <c r="H96" s="131" t="s">
        <v>569</v>
      </c>
      <c r="I96" s="79" t="s">
        <v>688</v>
      </c>
      <c r="J96" s="46">
        <v>1387</v>
      </c>
      <c r="K96" s="47">
        <v>46121</v>
      </c>
      <c r="L96" s="48"/>
      <c r="M96" s="48"/>
      <c r="N96" s="48"/>
      <c r="O96" s="48"/>
      <c r="P96" s="89"/>
      <c r="Q96" s="190"/>
    </row>
    <row r="97" spans="2:17" ht="14.45" customHeight="1" x14ac:dyDescent="0.2">
      <c r="B97" s="227"/>
      <c r="C97" s="207"/>
      <c r="D97" s="198" t="s">
        <v>80</v>
      </c>
      <c r="E97" s="144" t="s">
        <v>7</v>
      </c>
      <c r="F97" s="36" t="s">
        <v>245</v>
      </c>
      <c r="G97" s="145" t="s">
        <v>432</v>
      </c>
      <c r="H97" s="133" t="s">
        <v>247</v>
      </c>
      <c r="I97" s="74" t="s">
        <v>505</v>
      </c>
      <c r="J97" s="26">
        <v>2630</v>
      </c>
      <c r="K97" s="30">
        <v>46121</v>
      </c>
      <c r="L97" s="8"/>
      <c r="M97" s="8"/>
      <c r="N97" s="8"/>
      <c r="O97" s="8"/>
      <c r="P97" s="84"/>
      <c r="Q97" s="192"/>
    </row>
    <row r="98" spans="2:17" ht="14.45" customHeight="1" x14ac:dyDescent="0.2">
      <c r="B98" s="227"/>
      <c r="C98" s="207"/>
      <c r="D98" s="199"/>
      <c r="E98" s="152" t="s">
        <v>249</v>
      </c>
      <c r="F98" s="44" t="s">
        <v>401</v>
      </c>
      <c r="G98" s="94" t="s">
        <v>433</v>
      </c>
      <c r="H98" s="136" t="s">
        <v>608</v>
      </c>
      <c r="I98" s="78" t="s">
        <v>689</v>
      </c>
      <c r="J98" s="41">
        <v>2636</v>
      </c>
      <c r="K98" s="42">
        <v>46121</v>
      </c>
      <c r="L98" s="43"/>
      <c r="M98" s="43"/>
      <c r="N98" s="43"/>
      <c r="O98" s="43"/>
      <c r="P98" s="88"/>
      <c r="Q98" s="195"/>
    </row>
    <row r="99" spans="2:17" ht="14.45" customHeight="1" x14ac:dyDescent="0.2">
      <c r="B99" s="227"/>
      <c r="C99" s="207"/>
      <c r="D99" s="200"/>
      <c r="E99" s="141" t="s">
        <v>249</v>
      </c>
      <c r="F99" s="52" t="s">
        <v>416</v>
      </c>
      <c r="G99" s="71" t="s">
        <v>434</v>
      </c>
      <c r="H99" s="131" t="s">
        <v>609</v>
      </c>
      <c r="I99" s="79" t="s">
        <v>690</v>
      </c>
      <c r="J99" s="46">
        <v>2682</v>
      </c>
      <c r="K99" s="47">
        <v>46121</v>
      </c>
      <c r="L99" s="48"/>
      <c r="M99" s="48"/>
      <c r="N99" s="48"/>
      <c r="O99" s="48"/>
      <c r="P99" s="89"/>
      <c r="Q99" s="190"/>
    </row>
    <row r="100" spans="2:17" ht="14.45" customHeight="1" x14ac:dyDescent="0.2">
      <c r="B100" s="227"/>
      <c r="C100" s="207"/>
      <c r="D100" s="213" t="s">
        <v>82</v>
      </c>
      <c r="E100" s="144" t="s">
        <v>7</v>
      </c>
      <c r="F100" s="36" t="s">
        <v>245</v>
      </c>
      <c r="G100" s="145" t="s">
        <v>183</v>
      </c>
      <c r="H100" s="133" t="s">
        <v>248</v>
      </c>
      <c r="I100" s="74" t="s">
        <v>506</v>
      </c>
      <c r="J100" s="26">
        <v>4156</v>
      </c>
      <c r="K100" s="30">
        <v>46121</v>
      </c>
      <c r="L100" s="8"/>
      <c r="M100" s="8"/>
      <c r="N100" s="8"/>
      <c r="O100" s="8"/>
      <c r="P100" s="84"/>
      <c r="Q100" s="192"/>
    </row>
    <row r="101" spans="2:17" ht="14.45" customHeight="1" thickBot="1" x14ac:dyDescent="0.25">
      <c r="B101" s="227"/>
      <c r="C101" s="208"/>
      <c r="D101" s="216"/>
      <c r="E101" s="146" t="s">
        <v>249</v>
      </c>
      <c r="F101" s="40" t="s">
        <v>329</v>
      </c>
      <c r="G101" s="147" t="s">
        <v>328</v>
      </c>
      <c r="H101" s="134" t="s">
        <v>570</v>
      </c>
      <c r="I101" s="75" t="s">
        <v>691</v>
      </c>
      <c r="J101" s="37">
        <v>1364</v>
      </c>
      <c r="K101" s="38">
        <v>46121</v>
      </c>
      <c r="L101" s="39"/>
      <c r="M101" s="39"/>
      <c r="N101" s="39"/>
      <c r="O101" s="39"/>
      <c r="P101" s="85"/>
      <c r="Q101" s="193"/>
    </row>
    <row r="102" spans="2:17" ht="14.45" customHeight="1" x14ac:dyDescent="0.2">
      <c r="B102" s="227"/>
      <c r="C102" s="206" t="s">
        <v>2031</v>
      </c>
      <c r="D102" s="126" t="s">
        <v>206</v>
      </c>
      <c r="E102" s="151" t="s">
        <v>7</v>
      </c>
      <c r="F102" s="21" t="s">
        <v>137</v>
      </c>
      <c r="G102" s="148" t="s">
        <v>458</v>
      </c>
      <c r="H102" s="130" t="s">
        <v>457</v>
      </c>
      <c r="I102" s="76" t="s">
        <v>507</v>
      </c>
      <c r="J102" s="27">
        <v>2779</v>
      </c>
      <c r="K102" s="31">
        <v>46121</v>
      </c>
      <c r="L102" s="23"/>
      <c r="M102" s="23"/>
      <c r="N102" s="23"/>
      <c r="O102" s="23"/>
      <c r="P102" s="86"/>
      <c r="Q102" s="189"/>
    </row>
    <row r="103" spans="2:17" ht="14.45" customHeight="1" x14ac:dyDescent="0.2">
      <c r="B103" s="227"/>
      <c r="C103" s="207"/>
      <c r="D103" s="213" t="s">
        <v>85</v>
      </c>
      <c r="E103" s="144" t="s">
        <v>314</v>
      </c>
      <c r="F103" s="36" t="s">
        <v>137</v>
      </c>
      <c r="G103" s="145" t="s">
        <v>184</v>
      </c>
      <c r="H103" s="133" t="s">
        <v>218</v>
      </c>
      <c r="I103" s="74" t="s">
        <v>508</v>
      </c>
      <c r="J103" s="26">
        <v>5763</v>
      </c>
      <c r="K103" s="30">
        <v>46121</v>
      </c>
      <c r="L103" s="8"/>
      <c r="M103" s="8"/>
      <c r="N103" s="8"/>
      <c r="O103" s="8"/>
      <c r="P103" s="84"/>
      <c r="Q103" s="192"/>
    </row>
    <row r="104" spans="2:17" ht="14.45" customHeight="1" x14ac:dyDescent="0.2">
      <c r="B104" s="227"/>
      <c r="C104" s="207"/>
      <c r="D104" s="214"/>
      <c r="E104" s="152" t="s">
        <v>249</v>
      </c>
      <c r="F104" s="44" t="s">
        <v>334</v>
      </c>
      <c r="G104" s="94" t="s">
        <v>330</v>
      </c>
      <c r="H104" s="136" t="s">
        <v>571</v>
      </c>
      <c r="I104" s="78" t="s">
        <v>692</v>
      </c>
      <c r="J104" s="41">
        <v>1433</v>
      </c>
      <c r="K104" s="42">
        <v>46121</v>
      </c>
      <c r="L104" s="43"/>
      <c r="M104" s="43"/>
      <c r="N104" s="43"/>
      <c r="O104" s="43"/>
      <c r="P104" s="88"/>
      <c r="Q104" s="195"/>
    </row>
    <row r="105" spans="2:17" ht="14.45" customHeight="1" x14ac:dyDescent="0.2">
      <c r="B105" s="227"/>
      <c r="C105" s="207"/>
      <c r="D105" s="214"/>
      <c r="E105" s="152" t="s">
        <v>249</v>
      </c>
      <c r="F105" s="44" t="s">
        <v>335</v>
      </c>
      <c r="G105" s="94" t="s">
        <v>331</v>
      </c>
      <c r="H105" s="136" t="s">
        <v>572</v>
      </c>
      <c r="I105" s="78" t="s">
        <v>693</v>
      </c>
      <c r="J105" s="41">
        <v>1269</v>
      </c>
      <c r="K105" s="42">
        <v>46121</v>
      </c>
      <c r="L105" s="43"/>
      <c r="M105" s="43"/>
      <c r="N105" s="43"/>
      <c r="O105" s="43"/>
      <c r="P105" s="88"/>
      <c r="Q105" s="195"/>
    </row>
    <row r="106" spans="2:17" ht="14.45" customHeight="1" x14ac:dyDescent="0.2">
      <c r="B106" s="227"/>
      <c r="C106" s="207"/>
      <c r="D106" s="214"/>
      <c r="E106" s="152" t="s">
        <v>249</v>
      </c>
      <c r="F106" s="44" t="s">
        <v>336</v>
      </c>
      <c r="G106" s="94" t="s">
        <v>332</v>
      </c>
      <c r="H106" s="136" t="s">
        <v>573</v>
      </c>
      <c r="I106" s="78" t="s">
        <v>694</v>
      </c>
      <c r="J106" s="41">
        <v>1578</v>
      </c>
      <c r="K106" s="42">
        <v>46121</v>
      </c>
      <c r="L106" s="43"/>
      <c r="M106" s="43"/>
      <c r="N106" s="43"/>
      <c r="O106" s="43"/>
      <c r="P106" s="88"/>
      <c r="Q106" s="195"/>
    </row>
    <row r="107" spans="2:17" ht="14.45" customHeight="1" thickBot="1" x14ac:dyDescent="0.25">
      <c r="B107" s="228"/>
      <c r="C107" s="208"/>
      <c r="D107" s="216"/>
      <c r="E107" s="146" t="s">
        <v>249</v>
      </c>
      <c r="F107" s="40" t="s">
        <v>337</v>
      </c>
      <c r="G107" s="147" t="s">
        <v>333</v>
      </c>
      <c r="H107" s="134" t="s">
        <v>574</v>
      </c>
      <c r="I107" s="75" t="s">
        <v>695</v>
      </c>
      <c r="J107" s="37">
        <v>1355</v>
      </c>
      <c r="K107" s="38">
        <v>46121</v>
      </c>
      <c r="L107" s="39"/>
      <c r="M107" s="39"/>
      <c r="N107" s="39"/>
      <c r="O107" s="39"/>
      <c r="P107" s="85"/>
      <c r="Q107" s="193"/>
    </row>
    <row r="108" spans="2:17" ht="14.45" customHeight="1" x14ac:dyDescent="0.2">
      <c r="B108" s="226" t="s">
        <v>2022</v>
      </c>
      <c r="C108" s="206" t="s">
        <v>2032</v>
      </c>
      <c r="D108" s="217" t="s">
        <v>87</v>
      </c>
      <c r="E108" s="139" t="s">
        <v>7</v>
      </c>
      <c r="F108" s="45" t="s">
        <v>138</v>
      </c>
      <c r="G108" s="140" t="s">
        <v>185</v>
      </c>
      <c r="H108" s="130" t="s">
        <v>459</v>
      </c>
      <c r="I108" s="76" t="s">
        <v>509</v>
      </c>
      <c r="J108" s="27">
        <v>3725</v>
      </c>
      <c r="K108" s="31">
        <v>46121</v>
      </c>
      <c r="L108" s="23"/>
      <c r="M108" s="23"/>
      <c r="N108" s="23"/>
      <c r="O108" s="23"/>
      <c r="P108" s="86"/>
      <c r="Q108" s="189"/>
    </row>
    <row r="109" spans="2:17" ht="14.45" customHeight="1" x14ac:dyDescent="0.2">
      <c r="B109" s="227"/>
      <c r="C109" s="207"/>
      <c r="D109" s="214"/>
      <c r="E109" s="152" t="s">
        <v>249</v>
      </c>
      <c r="F109" s="44" t="s">
        <v>341</v>
      </c>
      <c r="G109" s="94" t="s">
        <v>338</v>
      </c>
      <c r="H109" s="136" t="s">
        <v>575</v>
      </c>
      <c r="I109" s="78" t="s">
        <v>696</v>
      </c>
      <c r="J109" s="41">
        <v>2053</v>
      </c>
      <c r="K109" s="42">
        <v>46121</v>
      </c>
      <c r="L109" s="43"/>
      <c r="M109" s="43"/>
      <c r="N109" s="43"/>
      <c r="O109" s="43"/>
      <c r="P109" s="88"/>
      <c r="Q109" s="195"/>
    </row>
    <row r="110" spans="2:17" ht="14.45" customHeight="1" x14ac:dyDescent="0.2">
      <c r="B110" s="227"/>
      <c r="C110" s="207"/>
      <c r="D110" s="214"/>
      <c r="E110" s="152" t="s">
        <v>249</v>
      </c>
      <c r="F110" s="44" t="s">
        <v>342</v>
      </c>
      <c r="G110" s="94" t="s">
        <v>339</v>
      </c>
      <c r="H110" s="136" t="s">
        <v>576</v>
      </c>
      <c r="I110" s="78" t="s">
        <v>697</v>
      </c>
      <c r="J110" s="41">
        <v>1634</v>
      </c>
      <c r="K110" s="42">
        <v>46121</v>
      </c>
      <c r="L110" s="43"/>
      <c r="M110" s="43"/>
      <c r="N110" s="43"/>
      <c r="O110" s="43"/>
      <c r="P110" s="88"/>
      <c r="Q110" s="195"/>
    </row>
    <row r="111" spans="2:17" ht="14.45" customHeight="1" x14ac:dyDescent="0.2">
      <c r="B111" s="227"/>
      <c r="C111" s="207"/>
      <c r="D111" s="215"/>
      <c r="E111" s="141" t="s">
        <v>249</v>
      </c>
      <c r="F111" s="52" t="s">
        <v>343</v>
      </c>
      <c r="G111" s="71" t="s">
        <v>340</v>
      </c>
      <c r="H111" s="131" t="s">
        <v>577</v>
      </c>
      <c r="I111" s="79" t="s">
        <v>698</v>
      </c>
      <c r="J111" s="46">
        <v>1351</v>
      </c>
      <c r="K111" s="47">
        <v>46121</v>
      </c>
      <c r="L111" s="48"/>
      <c r="M111" s="48"/>
      <c r="N111" s="48"/>
      <c r="O111" s="48"/>
      <c r="P111" s="89"/>
      <c r="Q111" s="190"/>
    </row>
    <row r="112" spans="2:17" ht="14.45" customHeight="1" x14ac:dyDescent="0.2">
      <c r="B112" s="227"/>
      <c r="C112" s="207"/>
      <c r="D112" s="213" t="s">
        <v>89</v>
      </c>
      <c r="E112" s="144" t="s">
        <v>7</v>
      </c>
      <c r="F112" s="36" t="s">
        <v>138</v>
      </c>
      <c r="G112" s="145" t="s">
        <v>186</v>
      </c>
      <c r="H112" s="133" t="s">
        <v>460</v>
      </c>
      <c r="I112" s="74" t="s">
        <v>510</v>
      </c>
      <c r="J112" s="26">
        <v>5211</v>
      </c>
      <c r="K112" s="30">
        <v>46121</v>
      </c>
      <c r="L112" s="8"/>
      <c r="M112" s="8"/>
      <c r="N112" s="8"/>
      <c r="O112" s="8"/>
      <c r="P112" s="84"/>
      <c r="Q112" s="192"/>
    </row>
    <row r="113" spans="2:17" ht="14.45" customHeight="1" x14ac:dyDescent="0.2">
      <c r="B113" s="227"/>
      <c r="C113" s="207"/>
      <c r="D113" s="214"/>
      <c r="E113" s="152" t="s">
        <v>249</v>
      </c>
      <c r="F113" s="44" t="s">
        <v>346</v>
      </c>
      <c r="G113" s="94" t="s">
        <v>344</v>
      </c>
      <c r="H113" s="136" t="s">
        <v>578</v>
      </c>
      <c r="I113" s="78" t="s">
        <v>699</v>
      </c>
      <c r="J113" s="41">
        <v>1352</v>
      </c>
      <c r="K113" s="42">
        <v>46121</v>
      </c>
      <c r="L113" s="43"/>
      <c r="M113" s="43"/>
      <c r="N113" s="43"/>
      <c r="O113" s="43"/>
      <c r="P113" s="88"/>
      <c r="Q113" s="195"/>
    </row>
    <row r="114" spans="2:17" ht="14.45" customHeight="1" thickBot="1" x14ac:dyDescent="0.25">
      <c r="B114" s="227"/>
      <c r="C114" s="208"/>
      <c r="D114" s="216"/>
      <c r="E114" s="146" t="s">
        <v>249</v>
      </c>
      <c r="F114" s="40" t="s">
        <v>347</v>
      </c>
      <c r="G114" s="147" t="s">
        <v>345</v>
      </c>
      <c r="H114" s="134" t="s">
        <v>579</v>
      </c>
      <c r="I114" s="75" t="s">
        <v>700</v>
      </c>
      <c r="J114" s="37">
        <v>1154</v>
      </c>
      <c r="K114" s="38">
        <v>46121</v>
      </c>
      <c r="L114" s="39"/>
      <c r="M114" s="39"/>
      <c r="N114" s="39"/>
      <c r="O114" s="39"/>
      <c r="P114" s="85"/>
      <c r="Q114" s="193"/>
    </row>
    <row r="115" spans="2:17" ht="14.45" customHeight="1" x14ac:dyDescent="0.2">
      <c r="B115" s="227"/>
      <c r="C115" s="206" t="s">
        <v>2033</v>
      </c>
      <c r="D115" s="217" t="s">
        <v>91</v>
      </c>
      <c r="E115" s="139" t="s">
        <v>7</v>
      </c>
      <c r="F115" s="45" t="s">
        <v>139</v>
      </c>
      <c r="G115" s="140" t="s">
        <v>187</v>
      </c>
      <c r="H115" s="130" t="s">
        <v>461</v>
      </c>
      <c r="I115" s="76" t="s">
        <v>511</v>
      </c>
      <c r="J115" s="27">
        <v>5323</v>
      </c>
      <c r="K115" s="31">
        <v>46122</v>
      </c>
      <c r="L115" s="23"/>
      <c r="M115" s="23"/>
      <c r="N115" s="23"/>
      <c r="O115" s="23"/>
      <c r="P115" s="86"/>
      <c r="Q115" s="189"/>
    </row>
    <row r="116" spans="2:17" ht="14.45" customHeight="1" x14ac:dyDescent="0.2">
      <c r="B116" s="227"/>
      <c r="C116" s="207"/>
      <c r="D116" s="214"/>
      <c r="E116" s="152" t="s">
        <v>249</v>
      </c>
      <c r="F116" s="44" t="s">
        <v>355</v>
      </c>
      <c r="G116" s="94" t="s">
        <v>348</v>
      </c>
      <c r="H116" s="136" t="s">
        <v>580</v>
      </c>
      <c r="I116" s="78" t="s">
        <v>701</v>
      </c>
      <c r="J116" s="41">
        <v>1416</v>
      </c>
      <c r="K116" s="42">
        <v>46122</v>
      </c>
      <c r="L116" s="43"/>
      <c r="M116" s="43"/>
      <c r="N116" s="43"/>
      <c r="O116" s="43"/>
      <c r="P116" s="88"/>
      <c r="Q116" s="195"/>
    </row>
    <row r="117" spans="2:17" ht="14.45" customHeight="1" x14ac:dyDescent="0.2">
      <c r="B117" s="227"/>
      <c r="C117" s="207"/>
      <c r="D117" s="214"/>
      <c r="E117" s="152" t="s">
        <v>249</v>
      </c>
      <c r="F117" s="44" t="s">
        <v>374</v>
      </c>
      <c r="G117" s="94" t="s">
        <v>349</v>
      </c>
      <c r="H117" s="136" t="s">
        <v>581</v>
      </c>
      <c r="I117" s="78" t="s">
        <v>702</v>
      </c>
      <c r="J117" s="41">
        <v>1580</v>
      </c>
      <c r="K117" s="42">
        <v>46122</v>
      </c>
      <c r="L117" s="43"/>
      <c r="M117" s="43"/>
      <c r="N117" s="43"/>
      <c r="O117" s="43"/>
      <c r="P117" s="88"/>
      <c r="Q117" s="195"/>
    </row>
    <row r="118" spans="2:17" ht="14.45" customHeight="1" x14ac:dyDescent="0.2">
      <c r="B118" s="227"/>
      <c r="C118" s="207"/>
      <c r="D118" s="214"/>
      <c r="E118" s="152" t="s">
        <v>249</v>
      </c>
      <c r="F118" s="44" t="s">
        <v>356</v>
      </c>
      <c r="G118" s="94" t="s">
        <v>350</v>
      </c>
      <c r="H118" s="136" t="s">
        <v>582</v>
      </c>
      <c r="I118" s="78" t="s">
        <v>703</v>
      </c>
      <c r="J118" s="41">
        <v>1749</v>
      </c>
      <c r="K118" s="42">
        <v>46122</v>
      </c>
      <c r="L118" s="43"/>
      <c r="M118" s="43"/>
      <c r="N118" s="43"/>
      <c r="O118" s="43"/>
      <c r="P118" s="88"/>
      <c r="Q118" s="195"/>
    </row>
    <row r="119" spans="2:17" ht="14.45" customHeight="1" x14ac:dyDescent="0.2">
      <c r="B119" s="227"/>
      <c r="C119" s="207"/>
      <c r="D119" s="214"/>
      <c r="E119" s="152" t="s">
        <v>249</v>
      </c>
      <c r="F119" s="44" t="s">
        <v>357</v>
      </c>
      <c r="G119" s="94" t="s">
        <v>351</v>
      </c>
      <c r="H119" s="136" t="s">
        <v>583</v>
      </c>
      <c r="I119" s="78" t="s">
        <v>704</v>
      </c>
      <c r="J119" s="41">
        <v>1491</v>
      </c>
      <c r="K119" s="42">
        <v>46122</v>
      </c>
      <c r="L119" s="43"/>
      <c r="M119" s="43"/>
      <c r="N119" s="43"/>
      <c r="O119" s="43"/>
      <c r="P119" s="88"/>
      <c r="Q119" s="195"/>
    </row>
    <row r="120" spans="2:17" ht="14.45" customHeight="1" x14ac:dyDescent="0.2">
      <c r="B120" s="227"/>
      <c r="C120" s="207"/>
      <c r="D120" s="214"/>
      <c r="E120" s="152" t="s">
        <v>249</v>
      </c>
      <c r="F120" s="44" t="s">
        <v>358</v>
      </c>
      <c r="G120" s="94" t="s">
        <v>352</v>
      </c>
      <c r="H120" s="136" t="s">
        <v>584</v>
      </c>
      <c r="I120" s="78" t="s">
        <v>705</v>
      </c>
      <c r="J120" s="41">
        <v>1842</v>
      </c>
      <c r="K120" s="42">
        <v>46122</v>
      </c>
      <c r="L120" s="43"/>
      <c r="M120" s="43"/>
      <c r="N120" s="43"/>
      <c r="O120" s="43"/>
      <c r="P120" s="88"/>
      <c r="Q120" s="195"/>
    </row>
    <row r="121" spans="2:17" ht="14.45" customHeight="1" x14ac:dyDescent="0.2">
      <c r="B121" s="227"/>
      <c r="C121" s="207"/>
      <c r="D121" s="214"/>
      <c r="E121" s="152" t="s">
        <v>249</v>
      </c>
      <c r="F121" s="44" t="s">
        <v>276</v>
      </c>
      <c r="G121" s="94" t="s">
        <v>273</v>
      </c>
      <c r="H121" s="136" t="s">
        <v>544</v>
      </c>
      <c r="I121" s="78" t="s">
        <v>651</v>
      </c>
      <c r="J121" s="41">
        <v>1671</v>
      </c>
      <c r="K121" s="42">
        <v>46122</v>
      </c>
      <c r="L121" s="43"/>
      <c r="M121" s="43"/>
      <c r="N121" s="43"/>
      <c r="O121" s="43"/>
      <c r="P121" s="88"/>
      <c r="Q121" s="195"/>
    </row>
    <row r="122" spans="2:17" ht="14.45" customHeight="1" x14ac:dyDescent="0.2">
      <c r="B122" s="227"/>
      <c r="C122" s="207"/>
      <c r="D122" s="214"/>
      <c r="E122" s="152" t="s">
        <v>249</v>
      </c>
      <c r="F122" s="44" t="s">
        <v>359</v>
      </c>
      <c r="G122" s="94" t="s">
        <v>353</v>
      </c>
      <c r="H122" s="136" t="s">
        <v>585</v>
      </c>
      <c r="I122" s="78" t="s">
        <v>706</v>
      </c>
      <c r="J122" s="41">
        <v>1476</v>
      </c>
      <c r="K122" s="42">
        <v>46122</v>
      </c>
      <c r="L122" s="43"/>
      <c r="M122" s="43"/>
      <c r="N122" s="43"/>
      <c r="O122" s="43"/>
      <c r="P122" s="88"/>
      <c r="Q122" s="195"/>
    </row>
    <row r="123" spans="2:17" ht="14.45" customHeight="1" x14ac:dyDescent="0.2">
      <c r="B123" s="227"/>
      <c r="C123" s="207"/>
      <c r="D123" s="215"/>
      <c r="E123" s="141" t="s">
        <v>249</v>
      </c>
      <c r="F123" s="52" t="s">
        <v>360</v>
      </c>
      <c r="G123" s="71" t="s">
        <v>354</v>
      </c>
      <c r="H123" s="131" t="s">
        <v>586</v>
      </c>
      <c r="I123" s="79" t="s">
        <v>707</v>
      </c>
      <c r="J123" s="46">
        <v>1379</v>
      </c>
      <c r="K123" s="47">
        <v>46122</v>
      </c>
      <c r="L123" s="48"/>
      <c r="M123" s="48"/>
      <c r="N123" s="48"/>
      <c r="O123" s="48"/>
      <c r="P123" s="89"/>
      <c r="Q123" s="190"/>
    </row>
    <row r="124" spans="2:17" ht="14.45" customHeight="1" x14ac:dyDescent="0.2">
      <c r="B124" s="227"/>
      <c r="C124" s="207"/>
      <c r="D124" s="213" t="s">
        <v>93</v>
      </c>
      <c r="E124" s="144" t="s">
        <v>7</v>
      </c>
      <c r="F124" s="36" t="s">
        <v>139</v>
      </c>
      <c r="G124" s="145" t="s">
        <v>188</v>
      </c>
      <c r="H124" s="133" t="s">
        <v>462</v>
      </c>
      <c r="I124" s="74" t="s">
        <v>512</v>
      </c>
      <c r="J124" s="26">
        <v>5238</v>
      </c>
      <c r="K124" s="30">
        <v>46122</v>
      </c>
      <c r="L124" s="8"/>
      <c r="M124" s="8"/>
      <c r="N124" s="8"/>
      <c r="O124" s="8"/>
      <c r="P124" s="84"/>
      <c r="Q124" s="192"/>
    </row>
    <row r="125" spans="2:17" ht="14.45" customHeight="1" x14ac:dyDescent="0.2">
      <c r="B125" s="227"/>
      <c r="C125" s="207"/>
      <c r="D125" s="214"/>
      <c r="E125" s="152" t="s">
        <v>249</v>
      </c>
      <c r="F125" s="44" t="s">
        <v>365</v>
      </c>
      <c r="G125" s="94" t="s">
        <v>361</v>
      </c>
      <c r="H125" s="136" t="s">
        <v>587</v>
      </c>
      <c r="I125" s="78" t="s">
        <v>708</v>
      </c>
      <c r="J125" s="41">
        <v>1373</v>
      </c>
      <c r="K125" s="42">
        <v>46122</v>
      </c>
      <c r="L125" s="43"/>
      <c r="M125" s="43"/>
      <c r="N125" s="43"/>
      <c r="O125" s="43"/>
      <c r="P125" s="88"/>
      <c r="Q125" s="195"/>
    </row>
    <row r="126" spans="2:17" ht="14.45" customHeight="1" x14ac:dyDescent="0.2">
      <c r="B126" s="227"/>
      <c r="C126" s="207"/>
      <c r="D126" s="214"/>
      <c r="E126" s="152" t="s">
        <v>249</v>
      </c>
      <c r="F126" s="44" t="s">
        <v>366</v>
      </c>
      <c r="G126" s="94" t="s">
        <v>362</v>
      </c>
      <c r="H126" s="136" t="s">
        <v>588</v>
      </c>
      <c r="I126" s="78" t="s">
        <v>709</v>
      </c>
      <c r="J126" s="41">
        <v>1202</v>
      </c>
      <c r="K126" s="42">
        <v>46122</v>
      </c>
      <c r="L126" s="43"/>
      <c r="M126" s="43"/>
      <c r="N126" s="43"/>
      <c r="O126" s="43"/>
      <c r="P126" s="88"/>
      <c r="Q126" s="195"/>
    </row>
    <row r="127" spans="2:17" ht="14.45" customHeight="1" x14ac:dyDescent="0.2">
      <c r="B127" s="227"/>
      <c r="C127" s="207"/>
      <c r="D127" s="214"/>
      <c r="E127" s="152" t="s">
        <v>249</v>
      </c>
      <c r="F127" s="44" t="s">
        <v>266</v>
      </c>
      <c r="G127" s="94" t="s">
        <v>363</v>
      </c>
      <c r="H127" s="136" t="s">
        <v>589</v>
      </c>
      <c r="I127" s="78" t="s">
        <v>710</v>
      </c>
      <c r="J127" s="41">
        <v>1736</v>
      </c>
      <c r="K127" s="42">
        <v>46122</v>
      </c>
      <c r="L127" s="43"/>
      <c r="M127" s="43"/>
      <c r="N127" s="43"/>
      <c r="O127" s="43"/>
      <c r="P127" s="88"/>
      <c r="Q127" s="195"/>
    </row>
    <row r="128" spans="2:17" ht="14.45" customHeight="1" x14ac:dyDescent="0.2">
      <c r="B128" s="227"/>
      <c r="C128" s="207"/>
      <c r="D128" s="215"/>
      <c r="E128" s="141" t="s">
        <v>249</v>
      </c>
      <c r="F128" s="52" t="s">
        <v>367</v>
      </c>
      <c r="G128" s="71" t="s">
        <v>364</v>
      </c>
      <c r="H128" s="131" t="s">
        <v>590</v>
      </c>
      <c r="I128" s="79" t="s">
        <v>711</v>
      </c>
      <c r="J128" s="46">
        <v>1372</v>
      </c>
      <c r="K128" s="47">
        <v>46122</v>
      </c>
      <c r="L128" s="48"/>
      <c r="M128" s="48"/>
      <c r="N128" s="48"/>
      <c r="O128" s="48"/>
      <c r="P128" s="89"/>
      <c r="Q128" s="190"/>
    </row>
    <row r="129" spans="2:17" ht="14.45" customHeight="1" x14ac:dyDescent="0.2">
      <c r="B129" s="227"/>
      <c r="C129" s="207"/>
      <c r="D129" s="213" t="s">
        <v>95</v>
      </c>
      <c r="E129" s="144" t="s">
        <v>7</v>
      </c>
      <c r="F129" s="36" t="s">
        <v>139</v>
      </c>
      <c r="G129" s="145" t="s">
        <v>189</v>
      </c>
      <c r="H129" s="133" t="s">
        <v>463</v>
      </c>
      <c r="I129" s="74" t="s">
        <v>513</v>
      </c>
      <c r="J129" s="26">
        <v>3623</v>
      </c>
      <c r="K129" s="30">
        <v>46122</v>
      </c>
      <c r="L129" s="8"/>
      <c r="M129" s="8"/>
      <c r="N129" s="8"/>
      <c r="O129" s="8"/>
      <c r="P129" s="84"/>
      <c r="Q129" s="192"/>
    </row>
    <row r="130" spans="2:17" ht="14.45" customHeight="1" thickBot="1" x14ac:dyDescent="0.25">
      <c r="B130" s="228"/>
      <c r="C130" s="208"/>
      <c r="D130" s="216"/>
      <c r="E130" s="146" t="s">
        <v>249</v>
      </c>
      <c r="F130" s="40" t="s">
        <v>268</v>
      </c>
      <c r="G130" s="147" t="s">
        <v>261</v>
      </c>
      <c r="H130" s="134" t="s">
        <v>538</v>
      </c>
      <c r="I130" s="75" t="s">
        <v>645</v>
      </c>
      <c r="J130" s="37">
        <v>1567</v>
      </c>
      <c r="K130" s="38">
        <v>46122</v>
      </c>
      <c r="L130" s="39"/>
      <c r="M130" s="39"/>
      <c r="N130" s="39"/>
      <c r="O130" s="39"/>
      <c r="P130" s="85"/>
      <c r="Q130" s="193"/>
    </row>
    <row r="131" spans="2:17" ht="14.45" customHeight="1" x14ac:dyDescent="0.2">
      <c r="B131" s="226" t="s">
        <v>2023</v>
      </c>
      <c r="C131" s="206" t="s">
        <v>2034</v>
      </c>
      <c r="D131" s="126" t="s">
        <v>97</v>
      </c>
      <c r="E131" s="151" t="s">
        <v>7</v>
      </c>
      <c r="F131" s="21" t="s">
        <v>141</v>
      </c>
      <c r="G131" s="148" t="s">
        <v>190</v>
      </c>
      <c r="H131" s="130" t="s">
        <v>219</v>
      </c>
      <c r="I131" s="76" t="s">
        <v>514</v>
      </c>
      <c r="J131" s="27">
        <v>2742</v>
      </c>
      <c r="K131" s="31">
        <v>46122</v>
      </c>
      <c r="L131" s="23"/>
      <c r="M131" s="23"/>
      <c r="N131" s="23"/>
      <c r="O131" s="23"/>
      <c r="P131" s="86"/>
      <c r="Q131" s="189"/>
    </row>
    <row r="132" spans="2:17" ht="14.45" customHeight="1" x14ac:dyDescent="0.2">
      <c r="B132" s="227"/>
      <c r="C132" s="207"/>
      <c r="D132" s="198" t="s">
        <v>99</v>
      </c>
      <c r="E132" s="144" t="s">
        <v>7</v>
      </c>
      <c r="F132" s="36" t="s">
        <v>140</v>
      </c>
      <c r="G132" s="145" t="s">
        <v>191</v>
      </c>
      <c r="H132" s="133" t="s">
        <v>220</v>
      </c>
      <c r="I132" s="74" t="s">
        <v>515</v>
      </c>
      <c r="J132" s="26">
        <v>3515</v>
      </c>
      <c r="K132" s="30">
        <v>46122</v>
      </c>
      <c r="L132" s="8"/>
      <c r="M132" s="8"/>
      <c r="N132" s="8"/>
      <c r="O132" s="8"/>
      <c r="P132" s="84"/>
      <c r="Q132" s="192"/>
    </row>
    <row r="133" spans="2:17" ht="14.45" customHeight="1" x14ac:dyDescent="0.2">
      <c r="B133" s="227"/>
      <c r="C133" s="207"/>
      <c r="D133" s="199"/>
      <c r="E133" s="152" t="s">
        <v>249</v>
      </c>
      <c r="F133" s="44" t="s">
        <v>402</v>
      </c>
      <c r="G133" s="94" t="s">
        <v>435</v>
      </c>
      <c r="H133" s="136" t="s">
        <v>610</v>
      </c>
      <c r="I133" s="78" t="s">
        <v>712</v>
      </c>
      <c r="J133" s="41">
        <v>2575</v>
      </c>
      <c r="K133" s="42">
        <v>46122</v>
      </c>
      <c r="L133" s="43"/>
      <c r="M133" s="43"/>
      <c r="N133" s="43"/>
      <c r="O133" s="43"/>
      <c r="P133" s="88"/>
      <c r="Q133" s="195"/>
    </row>
    <row r="134" spans="2:17" ht="14.45" customHeight="1" x14ac:dyDescent="0.2">
      <c r="B134" s="227"/>
      <c r="C134" s="207"/>
      <c r="D134" s="200"/>
      <c r="E134" s="141" t="s">
        <v>249</v>
      </c>
      <c r="F134" s="52" t="s">
        <v>403</v>
      </c>
      <c r="G134" s="71" t="s">
        <v>436</v>
      </c>
      <c r="H134" s="131" t="s">
        <v>611</v>
      </c>
      <c r="I134" s="79" t="s">
        <v>713</v>
      </c>
      <c r="J134" s="46">
        <v>2705</v>
      </c>
      <c r="K134" s="47">
        <v>46122</v>
      </c>
      <c r="L134" s="48"/>
      <c r="M134" s="48"/>
      <c r="N134" s="48"/>
      <c r="O134" s="48"/>
      <c r="P134" s="89"/>
      <c r="Q134" s="190"/>
    </row>
    <row r="135" spans="2:17" ht="14.45" customHeight="1" x14ac:dyDescent="0.2">
      <c r="B135" s="227"/>
      <c r="C135" s="207"/>
      <c r="D135" s="213" t="s">
        <v>101</v>
      </c>
      <c r="E135" s="144" t="s">
        <v>7</v>
      </c>
      <c r="F135" s="36" t="s">
        <v>140</v>
      </c>
      <c r="G135" s="145" t="s">
        <v>192</v>
      </c>
      <c r="H135" s="133" t="s">
        <v>221</v>
      </c>
      <c r="I135" s="74" t="s">
        <v>516</v>
      </c>
      <c r="J135" s="26">
        <v>2522</v>
      </c>
      <c r="K135" s="30">
        <v>46122</v>
      </c>
      <c r="L135" s="8"/>
      <c r="M135" s="8"/>
      <c r="N135" s="8"/>
      <c r="O135" s="8"/>
      <c r="P135" s="84"/>
      <c r="Q135" s="192"/>
    </row>
    <row r="136" spans="2:17" ht="14.45" customHeight="1" thickBot="1" x14ac:dyDescent="0.25">
      <c r="B136" s="227"/>
      <c r="C136" s="208"/>
      <c r="D136" s="216"/>
      <c r="E136" s="146" t="s">
        <v>249</v>
      </c>
      <c r="F136" s="40" t="s">
        <v>369</v>
      </c>
      <c r="G136" s="147" t="s">
        <v>368</v>
      </c>
      <c r="H136" s="134" t="s">
        <v>591</v>
      </c>
      <c r="I136" s="75" t="s">
        <v>714</v>
      </c>
      <c r="J136" s="37">
        <v>1740</v>
      </c>
      <c r="K136" s="38">
        <v>46122</v>
      </c>
      <c r="L136" s="39"/>
      <c r="M136" s="39"/>
      <c r="N136" s="39"/>
      <c r="O136" s="39"/>
      <c r="P136" s="85"/>
      <c r="Q136" s="193"/>
    </row>
    <row r="137" spans="2:17" ht="14.45" customHeight="1" x14ac:dyDescent="0.2">
      <c r="B137" s="227"/>
      <c r="C137" s="206" t="s">
        <v>2035</v>
      </c>
      <c r="D137" s="128" t="s">
        <v>2143</v>
      </c>
      <c r="E137" s="151" t="s">
        <v>7</v>
      </c>
      <c r="F137" s="21" t="s">
        <v>143</v>
      </c>
      <c r="G137" s="148" t="s">
        <v>2144</v>
      </c>
      <c r="H137" s="138" t="s">
        <v>2145</v>
      </c>
      <c r="I137" s="72" t="s">
        <v>517</v>
      </c>
      <c r="J137" s="24">
        <v>2515</v>
      </c>
      <c r="K137" s="28">
        <v>46128</v>
      </c>
      <c r="L137" s="22">
        <v>46128</v>
      </c>
      <c r="M137" s="22"/>
      <c r="N137" s="22"/>
      <c r="O137" s="22"/>
      <c r="P137" s="82"/>
      <c r="Q137" s="197"/>
    </row>
    <row r="138" spans="2:17" ht="14.45" customHeight="1" x14ac:dyDescent="0.2">
      <c r="B138" s="227"/>
      <c r="C138" s="207"/>
      <c r="D138" s="198" t="s">
        <v>105</v>
      </c>
      <c r="E138" s="144" t="s">
        <v>7</v>
      </c>
      <c r="F138" s="36" t="s">
        <v>142</v>
      </c>
      <c r="G138" s="145" t="s">
        <v>193</v>
      </c>
      <c r="H138" s="133" t="s">
        <v>222</v>
      </c>
      <c r="I138" s="74" t="s">
        <v>518</v>
      </c>
      <c r="J138" s="26">
        <v>2762</v>
      </c>
      <c r="K138" s="30">
        <v>46128</v>
      </c>
      <c r="L138" s="8">
        <v>46128</v>
      </c>
      <c r="M138" s="8"/>
      <c r="N138" s="8"/>
      <c r="O138" s="8"/>
      <c r="P138" s="84"/>
      <c r="Q138" s="192"/>
    </row>
    <row r="139" spans="2:17" ht="14.45" customHeight="1" x14ac:dyDescent="0.2">
      <c r="B139" s="227"/>
      <c r="C139" s="207"/>
      <c r="D139" s="200"/>
      <c r="E139" s="141" t="s">
        <v>249</v>
      </c>
      <c r="F139" s="52" t="s">
        <v>370</v>
      </c>
      <c r="G139" s="71" t="s">
        <v>371</v>
      </c>
      <c r="H139" s="131" t="s">
        <v>592</v>
      </c>
      <c r="I139" s="79" t="s">
        <v>715</v>
      </c>
      <c r="J139" s="46">
        <v>1173</v>
      </c>
      <c r="K139" s="47">
        <v>46128</v>
      </c>
      <c r="L139" s="48"/>
      <c r="M139" s="48"/>
      <c r="N139" s="48"/>
      <c r="O139" s="48"/>
      <c r="P139" s="89"/>
      <c r="Q139" s="190"/>
    </row>
    <row r="140" spans="2:17" ht="14.45" customHeight="1" x14ac:dyDescent="0.2">
      <c r="B140" s="227"/>
      <c r="C140" s="207"/>
      <c r="D140" s="198" t="s">
        <v>107</v>
      </c>
      <c r="E140" s="144" t="s">
        <v>7</v>
      </c>
      <c r="F140" s="36" t="s">
        <v>142</v>
      </c>
      <c r="G140" s="145" t="s">
        <v>194</v>
      </c>
      <c r="H140" s="133" t="s">
        <v>223</v>
      </c>
      <c r="I140" s="74" t="s">
        <v>519</v>
      </c>
      <c r="J140" s="26">
        <v>2380</v>
      </c>
      <c r="K140" s="30">
        <v>46128</v>
      </c>
      <c r="L140" s="8">
        <v>46128</v>
      </c>
      <c r="M140" s="8"/>
      <c r="N140" s="8"/>
      <c r="O140" s="8"/>
      <c r="P140" s="84"/>
      <c r="Q140" s="192"/>
    </row>
    <row r="141" spans="2:17" ht="14.45" customHeight="1" x14ac:dyDescent="0.2">
      <c r="B141" s="227"/>
      <c r="C141" s="207"/>
      <c r="D141" s="199"/>
      <c r="E141" s="152" t="s">
        <v>249</v>
      </c>
      <c r="F141" s="44" t="s">
        <v>405</v>
      </c>
      <c r="G141" s="94" t="s">
        <v>437</v>
      </c>
      <c r="H141" s="136" t="s">
        <v>612</v>
      </c>
      <c r="I141" s="78" t="s">
        <v>716</v>
      </c>
      <c r="J141" s="41">
        <v>2552</v>
      </c>
      <c r="K141" s="42">
        <v>46128</v>
      </c>
      <c r="L141" s="43"/>
      <c r="M141" s="43"/>
      <c r="N141" s="43"/>
      <c r="O141" s="43"/>
      <c r="P141" s="88"/>
      <c r="Q141" s="195"/>
    </row>
    <row r="142" spans="2:17" ht="14.45" customHeight="1" x14ac:dyDescent="0.2">
      <c r="B142" s="227"/>
      <c r="C142" s="207"/>
      <c r="D142" s="200"/>
      <c r="E142" s="141" t="s">
        <v>249</v>
      </c>
      <c r="F142" s="52" t="s">
        <v>404</v>
      </c>
      <c r="G142" s="71" t="s">
        <v>438</v>
      </c>
      <c r="H142" s="131" t="s">
        <v>613</v>
      </c>
      <c r="I142" s="79" t="s">
        <v>717</v>
      </c>
      <c r="J142" s="46">
        <v>2693</v>
      </c>
      <c r="K142" s="47">
        <v>46128</v>
      </c>
      <c r="L142" s="48"/>
      <c r="M142" s="48"/>
      <c r="N142" s="48"/>
      <c r="O142" s="48"/>
      <c r="P142" s="89"/>
      <c r="Q142" s="190"/>
    </row>
    <row r="143" spans="2:17" ht="14.45" customHeight="1" x14ac:dyDescent="0.2">
      <c r="B143" s="227"/>
      <c r="C143" s="207"/>
      <c r="D143" s="198" t="s">
        <v>109</v>
      </c>
      <c r="E143" s="144" t="s">
        <v>7</v>
      </c>
      <c r="F143" s="36" t="s">
        <v>142</v>
      </c>
      <c r="G143" s="145" t="s">
        <v>195</v>
      </c>
      <c r="H143" s="133" t="s">
        <v>224</v>
      </c>
      <c r="I143" s="74" t="s">
        <v>520</v>
      </c>
      <c r="J143" s="26">
        <v>2610</v>
      </c>
      <c r="K143" s="30">
        <v>46128</v>
      </c>
      <c r="L143" s="8">
        <v>46128</v>
      </c>
      <c r="M143" s="8"/>
      <c r="N143" s="8"/>
      <c r="O143" s="8"/>
      <c r="P143" s="84"/>
      <c r="Q143" s="192"/>
    </row>
    <row r="144" spans="2:17" ht="14.45" customHeight="1" x14ac:dyDescent="0.2">
      <c r="B144" s="227"/>
      <c r="C144" s="207"/>
      <c r="D144" s="199"/>
      <c r="E144" s="152" t="s">
        <v>249</v>
      </c>
      <c r="F144" s="44" t="s">
        <v>406</v>
      </c>
      <c r="G144" s="94" t="s">
        <v>439</v>
      </c>
      <c r="H144" s="136" t="s">
        <v>614</v>
      </c>
      <c r="I144" s="78" t="s">
        <v>718</v>
      </c>
      <c r="J144" s="41">
        <v>2970</v>
      </c>
      <c r="K144" s="42">
        <v>46128</v>
      </c>
      <c r="L144" s="43"/>
      <c r="M144" s="43"/>
      <c r="N144" s="43"/>
      <c r="O144" s="43"/>
      <c r="P144" s="88"/>
      <c r="Q144" s="195"/>
    </row>
    <row r="145" spans="2:17" ht="14.45" customHeight="1" thickBot="1" x14ac:dyDescent="0.25">
      <c r="B145" s="227"/>
      <c r="C145" s="208"/>
      <c r="D145" s="201"/>
      <c r="E145" s="146" t="s">
        <v>249</v>
      </c>
      <c r="F145" s="40" t="s">
        <v>407</v>
      </c>
      <c r="G145" s="147" t="s">
        <v>440</v>
      </c>
      <c r="H145" s="134" t="s">
        <v>615</v>
      </c>
      <c r="I145" s="75" t="s">
        <v>719</v>
      </c>
      <c r="J145" s="37">
        <v>2731</v>
      </c>
      <c r="K145" s="38">
        <v>46128</v>
      </c>
      <c r="L145" s="39"/>
      <c r="M145" s="39"/>
      <c r="N145" s="39"/>
      <c r="O145" s="39"/>
      <c r="P145" s="85"/>
      <c r="Q145" s="193"/>
    </row>
    <row r="146" spans="2:17" ht="14.45" customHeight="1" x14ac:dyDescent="0.2">
      <c r="B146" s="227"/>
      <c r="C146" s="206" t="s">
        <v>2036</v>
      </c>
      <c r="D146" s="128" t="s">
        <v>111</v>
      </c>
      <c r="E146" s="151" t="s">
        <v>7</v>
      </c>
      <c r="F146" s="21" t="s">
        <v>145</v>
      </c>
      <c r="G146" s="148" t="s">
        <v>196</v>
      </c>
      <c r="H146" s="138" t="s">
        <v>225</v>
      </c>
      <c r="I146" s="72" t="s">
        <v>521</v>
      </c>
      <c r="J146" s="61">
        <v>2515</v>
      </c>
      <c r="K146" s="58">
        <v>46128</v>
      </c>
      <c r="L146" s="22">
        <v>46128</v>
      </c>
      <c r="M146" s="22"/>
      <c r="N146" s="22"/>
      <c r="O146" s="22"/>
      <c r="P146" s="82"/>
      <c r="Q146" s="197"/>
    </row>
    <row r="147" spans="2:17" ht="14.45" customHeight="1" x14ac:dyDescent="0.2">
      <c r="B147" s="227"/>
      <c r="C147" s="207"/>
      <c r="D147" s="198" t="s">
        <v>113</v>
      </c>
      <c r="E147" s="144" t="s">
        <v>7</v>
      </c>
      <c r="F147" s="36" t="s">
        <v>144</v>
      </c>
      <c r="G147" s="145" t="s">
        <v>197</v>
      </c>
      <c r="H147" s="133" t="s">
        <v>226</v>
      </c>
      <c r="I147" s="74" t="s">
        <v>522</v>
      </c>
      <c r="J147" s="62">
        <v>3261</v>
      </c>
      <c r="K147" s="59">
        <v>46128</v>
      </c>
      <c r="L147" s="8">
        <v>46128</v>
      </c>
      <c r="M147" s="8"/>
      <c r="N147" s="8"/>
      <c r="O147" s="8"/>
      <c r="P147" s="84"/>
      <c r="Q147" s="192"/>
    </row>
    <row r="148" spans="2:17" ht="14.45" customHeight="1" x14ac:dyDescent="0.2">
      <c r="B148" s="227"/>
      <c r="C148" s="207"/>
      <c r="D148" s="199"/>
      <c r="E148" s="152" t="s">
        <v>249</v>
      </c>
      <c r="F148" s="44" t="s">
        <v>408</v>
      </c>
      <c r="G148" s="94" t="s">
        <v>441</v>
      </c>
      <c r="H148" s="136" t="s">
        <v>616</v>
      </c>
      <c r="I148" s="78" t="s">
        <v>720</v>
      </c>
      <c r="J148" s="64">
        <v>2726</v>
      </c>
      <c r="K148" s="65">
        <v>46128</v>
      </c>
      <c r="L148" s="43"/>
      <c r="M148" s="43"/>
      <c r="N148" s="43"/>
      <c r="O148" s="43"/>
      <c r="P148" s="88"/>
      <c r="Q148" s="195"/>
    </row>
    <row r="149" spans="2:17" ht="14.45" customHeight="1" x14ac:dyDescent="0.2">
      <c r="B149" s="227"/>
      <c r="C149" s="207"/>
      <c r="D149" s="200"/>
      <c r="E149" s="141" t="s">
        <v>249</v>
      </c>
      <c r="F149" s="52" t="s">
        <v>409</v>
      </c>
      <c r="G149" s="71" t="s">
        <v>442</v>
      </c>
      <c r="H149" s="131" t="s">
        <v>617</v>
      </c>
      <c r="I149" s="79" t="s">
        <v>721</v>
      </c>
      <c r="J149" s="68">
        <v>3009</v>
      </c>
      <c r="K149" s="69">
        <v>46128</v>
      </c>
      <c r="L149" s="48"/>
      <c r="M149" s="48"/>
      <c r="N149" s="48"/>
      <c r="O149" s="48"/>
      <c r="P149" s="89"/>
      <c r="Q149" s="190"/>
    </row>
    <row r="150" spans="2:17" ht="14.45" customHeight="1" x14ac:dyDescent="0.2">
      <c r="B150" s="227"/>
      <c r="C150" s="207"/>
      <c r="D150" s="198" t="s">
        <v>207</v>
      </c>
      <c r="E150" s="144" t="s">
        <v>7</v>
      </c>
      <c r="F150" s="36" t="s">
        <v>144</v>
      </c>
      <c r="G150" s="145" t="s">
        <v>208</v>
      </c>
      <c r="H150" s="133" t="s">
        <v>227</v>
      </c>
      <c r="I150" s="74" t="s">
        <v>523</v>
      </c>
      <c r="J150" s="62">
        <v>2554</v>
      </c>
      <c r="K150" s="59">
        <v>46128</v>
      </c>
      <c r="L150" s="8">
        <v>46128</v>
      </c>
      <c r="M150" s="8"/>
      <c r="N150" s="8"/>
      <c r="O150" s="8"/>
      <c r="P150" s="84"/>
      <c r="Q150" s="192"/>
    </row>
    <row r="151" spans="2:17" ht="14.45" customHeight="1" x14ac:dyDescent="0.2">
      <c r="B151" s="227"/>
      <c r="C151" s="207"/>
      <c r="D151" s="199"/>
      <c r="E151" s="152" t="s">
        <v>249</v>
      </c>
      <c r="F151" s="44" t="s">
        <v>410</v>
      </c>
      <c r="G151" s="94" t="s">
        <v>443</v>
      </c>
      <c r="H151" s="136" t="s">
        <v>618</v>
      </c>
      <c r="I151" s="78" t="s">
        <v>722</v>
      </c>
      <c r="J151" s="64">
        <v>2889</v>
      </c>
      <c r="K151" s="65">
        <v>46128</v>
      </c>
      <c r="L151" s="43"/>
      <c r="M151" s="43"/>
      <c r="N151" s="43"/>
      <c r="O151" s="43"/>
      <c r="P151" s="88"/>
      <c r="Q151" s="195"/>
    </row>
    <row r="152" spans="2:17" ht="14.45" customHeight="1" x14ac:dyDescent="0.2">
      <c r="B152" s="227"/>
      <c r="C152" s="207"/>
      <c r="D152" s="200"/>
      <c r="E152" s="141" t="s">
        <v>249</v>
      </c>
      <c r="F152" s="52" t="s">
        <v>411</v>
      </c>
      <c r="G152" s="71" t="s">
        <v>444</v>
      </c>
      <c r="H152" s="131" t="s">
        <v>619</v>
      </c>
      <c r="I152" s="79" t="s">
        <v>723</v>
      </c>
      <c r="J152" s="68">
        <v>2787</v>
      </c>
      <c r="K152" s="69">
        <v>46128</v>
      </c>
      <c r="L152" s="48"/>
      <c r="M152" s="48"/>
      <c r="N152" s="48"/>
      <c r="O152" s="48"/>
      <c r="P152" s="89"/>
      <c r="Q152" s="190"/>
    </row>
    <row r="153" spans="2:17" ht="14.45" customHeight="1" x14ac:dyDescent="0.2">
      <c r="B153" s="227"/>
      <c r="C153" s="207"/>
      <c r="D153" s="198" t="s">
        <v>115</v>
      </c>
      <c r="E153" s="144" t="s">
        <v>7</v>
      </c>
      <c r="F153" s="36" t="s">
        <v>144</v>
      </c>
      <c r="G153" s="145" t="s">
        <v>209</v>
      </c>
      <c r="H153" s="133" t="s">
        <v>228</v>
      </c>
      <c r="I153" s="74" t="s">
        <v>524</v>
      </c>
      <c r="J153" s="62">
        <v>2541</v>
      </c>
      <c r="K153" s="59">
        <v>46128</v>
      </c>
      <c r="L153" s="8">
        <v>46128</v>
      </c>
      <c r="M153" s="8"/>
      <c r="N153" s="8"/>
      <c r="O153" s="8"/>
      <c r="P153" s="84"/>
      <c r="Q153" s="192"/>
    </row>
    <row r="154" spans="2:17" ht="14.45" customHeight="1" x14ac:dyDescent="0.2">
      <c r="B154" s="227"/>
      <c r="C154" s="207"/>
      <c r="D154" s="199"/>
      <c r="E154" s="152" t="s">
        <v>249</v>
      </c>
      <c r="F154" s="44" t="s">
        <v>412</v>
      </c>
      <c r="G154" s="94" t="s">
        <v>445</v>
      </c>
      <c r="H154" s="136" t="s">
        <v>620</v>
      </c>
      <c r="I154" s="78" t="s">
        <v>724</v>
      </c>
      <c r="J154" s="64">
        <v>2995</v>
      </c>
      <c r="K154" s="65">
        <v>46128</v>
      </c>
      <c r="L154" s="43"/>
      <c r="M154" s="43"/>
      <c r="N154" s="43"/>
      <c r="O154" s="43"/>
      <c r="P154" s="88"/>
      <c r="Q154" s="195"/>
    </row>
    <row r="155" spans="2:17" ht="14.45" customHeight="1" thickBot="1" x14ac:dyDescent="0.25">
      <c r="B155" s="227"/>
      <c r="C155" s="208"/>
      <c r="D155" s="201"/>
      <c r="E155" s="146" t="s">
        <v>249</v>
      </c>
      <c r="F155" s="40" t="s">
        <v>413</v>
      </c>
      <c r="G155" s="147" t="s">
        <v>446</v>
      </c>
      <c r="H155" s="134" t="s">
        <v>621</v>
      </c>
      <c r="I155" s="75" t="s">
        <v>725</v>
      </c>
      <c r="J155" s="66">
        <v>2868</v>
      </c>
      <c r="K155" s="67">
        <v>46128</v>
      </c>
      <c r="L155" s="39"/>
      <c r="M155" s="39"/>
      <c r="N155" s="39"/>
      <c r="O155" s="39"/>
      <c r="P155" s="85"/>
      <c r="Q155" s="193"/>
    </row>
    <row r="156" spans="2:17" ht="14.45" customHeight="1" x14ac:dyDescent="0.2">
      <c r="B156" s="227"/>
      <c r="C156" s="206" t="s">
        <v>2037</v>
      </c>
      <c r="D156" s="126" t="s">
        <v>117</v>
      </c>
      <c r="E156" s="151" t="s">
        <v>7</v>
      </c>
      <c r="F156" s="21" t="s">
        <v>147</v>
      </c>
      <c r="G156" s="148" t="s">
        <v>198</v>
      </c>
      <c r="H156" s="130" t="s">
        <v>229</v>
      </c>
      <c r="I156" s="76" t="s">
        <v>525</v>
      </c>
      <c r="J156" s="63">
        <v>2929</v>
      </c>
      <c r="K156" s="60">
        <v>46129</v>
      </c>
      <c r="L156" s="23">
        <v>46129</v>
      </c>
      <c r="M156" s="23"/>
      <c r="N156" s="23"/>
      <c r="O156" s="23"/>
      <c r="P156" s="86"/>
      <c r="Q156" s="189"/>
    </row>
    <row r="157" spans="2:17" ht="14.45" customHeight="1" x14ac:dyDescent="0.2">
      <c r="B157" s="227"/>
      <c r="C157" s="207"/>
      <c r="D157" s="198" t="s">
        <v>119</v>
      </c>
      <c r="E157" s="144" t="s">
        <v>7</v>
      </c>
      <c r="F157" s="36" t="s">
        <v>146</v>
      </c>
      <c r="G157" s="145" t="s">
        <v>199</v>
      </c>
      <c r="H157" s="133" t="s">
        <v>230</v>
      </c>
      <c r="I157" s="74" t="s">
        <v>526</v>
      </c>
      <c r="J157" s="62">
        <v>2723</v>
      </c>
      <c r="K157" s="59">
        <v>46129</v>
      </c>
      <c r="L157" s="8">
        <v>46129</v>
      </c>
      <c r="M157" s="8"/>
      <c r="N157" s="8"/>
      <c r="O157" s="8"/>
      <c r="P157" s="84"/>
      <c r="Q157" s="192"/>
    </row>
    <row r="158" spans="2:17" ht="14.45" customHeight="1" x14ac:dyDescent="0.2">
      <c r="B158" s="227"/>
      <c r="C158" s="207"/>
      <c r="D158" s="199"/>
      <c r="E158" s="152" t="s">
        <v>249</v>
      </c>
      <c r="F158" s="44" t="s">
        <v>414</v>
      </c>
      <c r="G158" s="94" t="s">
        <v>447</v>
      </c>
      <c r="H158" s="136" t="s">
        <v>622</v>
      </c>
      <c r="I158" s="78" t="s">
        <v>726</v>
      </c>
      <c r="J158" s="64">
        <v>2604</v>
      </c>
      <c r="K158" s="65">
        <v>46129</v>
      </c>
      <c r="L158" s="43"/>
      <c r="M158" s="43"/>
      <c r="N158" s="43"/>
      <c r="O158" s="43"/>
      <c r="P158" s="88"/>
      <c r="Q158" s="195"/>
    </row>
    <row r="159" spans="2:17" ht="14.45" customHeight="1" thickBot="1" x14ac:dyDescent="0.25">
      <c r="B159" s="228"/>
      <c r="C159" s="208"/>
      <c r="D159" s="201"/>
      <c r="E159" s="146" t="s">
        <v>249</v>
      </c>
      <c r="F159" s="40" t="s">
        <v>415</v>
      </c>
      <c r="G159" s="147" t="s">
        <v>448</v>
      </c>
      <c r="H159" s="134" t="s">
        <v>623</v>
      </c>
      <c r="I159" s="75" t="s">
        <v>727</v>
      </c>
      <c r="J159" s="66">
        <v>2534</v>
      </c>
      <c r="K159" s="67">
        <v>46129</v>
      </c>
      <c r="L159" s="39"/>
      <c r="M159" s="39"/>
      <c r="N159" s="39"/>
      <c r="O159" s="39"/>
      <c r="P159" s="85"/>
      <c r="Q159" s="193"/>
    </row>
    <row r="160" spans="2:17" ht="14.45" customHeight="1" x14ac:dyDescent="0.2">
      <c r="B160" s="226" t="s">
        <v>2024</v>
      </c>
      <c r="C160" s="231" t="s">
        <v>131</v>
      </c>
      <c r="D160" s="128" t="s">
        <v>121</v>
      </c>
      <c r="E160" s="151" t="s">
        <v>7</v>
      </c>
      <c r="F160" s="21" t="s">
        <v>149</v>
      </c>
      <c r="G160" s="148" t="s">
        <v>200</v>
      </c>
      <c r="H160" s="138" t="s">
        <v>231</v>
      </c>
      <c r="I160" s="72" t="s">
        <v>527</v>
      </c>
      <c r="J160" s="61">
        <v>2526</v>
      </c>
      <c r="K160" s="58">
        <v>46129</v>
      </c>
      <c r="L160" s="22">
        <v>46129</v>
      </c>
      <c r="M160" s="22"/>
      <c r="N160" s="22"/>
      <c r="O160" s="22"/>
      <c r="P160" s="82"/>
      <c r="Q160" s="197"/>
    </row>
    <row r="161" spans="2:17" ht="14.45" customHeight="1" x14ac:dyDescent="0.2">
      <c r="B161" s="227"/>
      <c r="C161" s="232"/>
      <c r="D161" s="229" t="s">
        <v>123</v>
      </c>
      <c r="E161" s="144" t="s">
        <v>7</v>
      </c>
      <c r="F161" s="36" t="s">
        <v>148</v>
      </c>
      <c r="G161" s="145" t="s">
        <v>201</v>
      </c>
      <c r="H161" s="133" t="s">
        <v>232</v>
      </c>
      <c r="I161" s="74" t="s">
        <v>528</v>
      </c>
      <c r="J161" s="62">
        <v>2711</v>
      </c>
      <c r="K161" s="59">
        <v>46129</v>
      </c>
      <c r="L161" s="8">
        <v>46129</v>
      </c>
      <c r="M161" s="8"/>
      <c r="N161" s="8"/>
      <c r="O161" s="8"/>
      <c r="P161" s="84"/>
      <c r="Q161" s="192"/>
    </row>
    <row r="162" spans="2:17" ht="14.45" customHeight="1" x14ac:dyDescent="0.2">
      <c r="B162" s="227"/>
      <c r="C162" s="232"/>
      <c r="D162" s="229"/>
      <c r="E162" s="152" t="s">
        <v>249</v>
      </c>
      <c r="F162" s="44" t="s">
        <v>391</v>
      </c>
      <c r="G162" s="94" t="s">
        <v>449</v>
      </c>
      <c r="H162" s="136" t="s">
        <v>624</v>
      </c>
      <c r="I162" s="78" t="s">
        <v>728</v>
      </c>
      <c r="J162" s="64">
        <v>2876</v>
      </c>
      <c r="K162" s="65">
        <v>46129</v>
      </c>
      <c r="L162" s="43"/>
      <c r="M162" s="43"/>
      <c r="N162" s="43"/>
      <c r="O162" s="43"/>
      <c r="P162" s="88"/>
      <c r="Q162" s="195"/>
    </row>
    <row r="163" spans="2:17" ht="14.45" customHeight="1" x14ac:dyDescent="0.2">
      <c r="B163" s="227"/>
      <c r="C163" s="232"/>
      <c r="D163" s="229"/>
      <c r="E163" s="141" t="s">
        <v>249</v>
      </c>
      <c r="F163" s="52" t="s">
        <v>392</v>
      </c>
      <c r="G163" s="71" t="s">
        <v>450</v>
      </c>
      <c r="H163" s="131" t="s">
        <v>625</v>
      </c>
      <c r="I163" s="79" t="s">
        <v>729</v>
      </c>
      <c r="J163" s="68">
        <v>2889</v>
      </c>
      <c r="K163" s="69">
        <v>46129</v>
      </c>
      <c r="L163" s="48"/>
      <c r="M163" s="48"/>
      <c r="N163" s="48"/>
      <c r="O163" s="48"/>
      <c r="P163" s="89"/>
      <c r="Q163" s="190"/>
    </row>
    <row r="164" spans="2:17" ht="14.45" customHeight="1" x14ac:dyDescent="0.2">
      <c r="B164" s="227"/>
      <c r="C164" s="232"/>
      <c r="D164" s="229" t="s">
        <v>125</v>
      </c>
      <c r="E164" s="144" t="s">
        <v>7</v>
      </c>
      <c r="F164" s="36" t="s">
        <v>148</v>
      </c>
      <c r="G164" s="145" t="s">
        <v>202</v>
      </c>
      <c r="H164" s="133" t="s">
        <v>233</v>
      </c>
      <c r="I164" s="74" t="s">
        <v>529</v>
      </c>
      <c r="J164" s="62">
        <v>3471</v>
      </c>
      <c r="K164" s="59">
        <v>46129</v>
      </c>
      <c r="L164" s="8">
        <v>46129</v>
      </c>
      <c r="M164" s="8"/>
      <c r="N164" s="8"/>
      <c r="O164" s="8"/>
      <c r="P164" s="84"/>
      <c r="Q164" s="192"/>
    </row>
    <row r="165" spans="2:17" ht="14.45" customHeight="1" x14ac:dyDescent="0.2">
      <c r="B165" s="227"/>
      <c r="C165" s="232"/>
      <c r="D165" s="229"/>
      <c r="E165" s="152" t="s">
        <v>249</v>
      </c>
      <c r="F165" s="44" t="s">
        <v>393</v>
      </c>
      <c r="G165" s="94" t="s">
        <v>451</v>
      </c>
      <c r="H165" s="136" t="s">
        <v>626</v>
      </c>
      <c r="I165" s="78" t="s">
        <v>730</v>
      </c>
      <c r="J165" s="64">
        <v>3225</v>
      </c>
      <c r="K165" s="65">
        <v>46129</v>
      </c>
      <c r="L165" s="43"/>
      <c r="M165" s="43"/>
      <c r="N165" s="43"/>
      <c r="O165" s="43"/>
      <c r="P165" s="88"/>
      <c r="Q165" s="195"/>
    </row>
    <row r="166" spans="2:17" ht="14.45" customHeight="1" x14ac:dyDescent="0.2">
      <c r="B166" s="227"/>
      <c r="C166" s="232"/>
      <c r="D166" s="229"/>
      <c r="E166" s="141" t="s">
        <v>249</v>
      </c>
      <c r="F166" s="52" t="s">
        <v>396</v>
      </c>
      <c r="G166" s="71" t="s">
        <v>452</v>
      </c>
      <c r="H166" s="131" t="s">
        <v>627</v>
      </c>
      <c r="I166" s="79" t="s">
        <v>731</v>
      </c>
      <c r="J166" s="68">
        <v>2977</v>
      </c>
      <c r="K166" s="69">
        <v>46129</v>
      </c>
      <c r="L166" s="48"/>
      <c r="M166" s="48"/>
      <c r="N166" s="48"/>
      <c r="O166" s="48"/>
      <c r="P166" s="89"/>
      <c r="Q166" s="190"/>
    </row>
    <row r="167" spans="2:17" ht="14.45" customHeight="1" x14ac:dyDescent="0.2">
      <c r="B167" s="227"/>
      <c r="C167" s="232"/>
      <c r="D167" s="229" t="s">
        <v>127</v>
      </c>
      <c r="E167" s="144" t="s">
        <v>7</v>
      </c>
      <c r="F167" s="36" t="s">
        <v>148</v>
      </c>
      <c r="G167" s="145" t="s">
        <v>148</v>
      </c>
      <c r="H167" s="133" t="s">
        <v>234</v>
      </c>
      <c r="I167" s="74" t="s">
        <v>530</v>
      </c>
      <c r="J167" s="62">
        <v>2604</v>
      </c>
      <c r="K167" s="59">
        <v>46129</v>
      </c>
      <c r="L167" s="8">
        <v>46129</v>
      </c>
      <c r="M167" s="8"/>
      <c r="N167" s="8"/>
      <c r="O167" s="8"/>
      <c r="P167" s="84"/>
      <c r="Q167" s="192"/>
    </row>
    <row r="168" spans="2:17" ht="14.45" customHeight="1" x14ac:dyDescent="0.2">
      <c r="B168" s="227"/>
      <c r="C168" s="232"/>
      <c r="D168" s="229"/>
      <c r="E168" s="152" t="s">
        <v>249</v>
      </c>
      <c r="F168" s="44" t="s">
        <v>394</v>
      </c>
      <c r="G168" s="94" t="s">
        <v>453</v>
      </c>
      <c r="H168" s="136" t="s">
        <v>628</v>
      </c>
      <c r="I168" s="78" t="s">
        <v>732</v>
      </c>
      <c r="J168" s="64">
        <v>2888</v>
      </c>
      <c r="K168" s="65">
        <v>46129</v>
      </c>
      <c r="L168" s="43"/>
      <c r="M168" s="43"/>
      <c r="N168" s="43"/>
      <c r="O168" s="43"/>
      <c r="P168" s="88"/>
      <c r="Q168" s="195"/>
    </row>
    <row r="169" spans="2:17" ht="14.45" customHeight="1" x14ac:dyDescent="0.2">
      <c r="B169" s="227"/>
      <c r="C169" s="232"/>
      <c r="D169" s="229"/>
      <c r="E169" s="141" t="s">
        <v>249</v>
      </c>
      <c r="F169" s="52" t="s">
        <v>395</v>
      </c>
      <c r="G169" s="71" t="s">
        <v>454</v>
      </c>
      <c r="H169" s="131" t="s">
        <v>629</v>
      </c>
      <c r="I169" s="79" t="s">
        <v>733</v>
      </c>
      <c r="J169" s="68">
        <v>2989</v>
      </c>
      <c r="K169" s="69">
        <v>46129</v>
      </c>
      <c r="L169" s="48"/>
      <c r="M169" s="48"/>
      <c r="N169" s="48"/>
      <c r="O169" s="48"/>
      <c r="P169" s="89"/>
      <c r="Q169" s="190"/>
    </row>
    <row r="170" spans="2:17" ht="14.45" customHeight="1" x14ac:dyDescent="0.2">
      <c r="B170" s="227"/>
      <c r="C170" s="232"/>
      <c r="D170" s="229" t="s">
        <v>129</v>
      </c>
      <c r="E170" s="144" t="s">
        <v>7</v>
      </c>
      <c r="F170" s="36" t="s">
        <v>148</v>
      </c>
      <c r="G170" s="145" t="s">
        <v>203</v>
      </c>
      <c r="H170" s="133" t="s">
        <v>235</v>
      </c>
      <c r="I170" s="74" t="s">
        <v>531</v>
      </c>
      <c r="J170" s="62">
        <v>2113</v>
      </c>
      <c r="K170" s="59">
        <v>46129</v>
      </c>
      <c r="L170" s="8">
        <v>46129</v>
      </c>
      <c r="M170" s="8"/>
      <c r="N170" s="8"/>
      <c r="O170" s="8"/>
      <c r="P170" s="84"/>
      <c r="Q170" s="192"/>
    </row>
    <row r="171" spans="2:17" ht="14.45" customHeight="1" x14ac:dyDescent="0.2">
      <c r="B171" s="227"/>
      <c r="C171" s="232"/>
      <c r="D171" s="229"/>
      <c r="E171" s="152" t="s">
        <v>249</v>
      </c>
      <c r="F171" s="44" t="s">
        <v>397</v>
      </c>
      <c r="G171" s="94" t="s">
        <v>455</v>
      </c>
      <c r="H171" s="136" t="s">
        <v>630</v>
      </c>
      <c r="I171" s="78" t="s">
        <v>734</v>
      </c>
      <c r="J171" s="64">
        <v>3073</v>
      </c>
      <c r="K171" s="65">
        <v>46129</v>
      </c>
      <c r="L171" s="43"/>
      <c r="M171" s="43"/>
      <c r="N171" s="43"/>
      <c r="O171" s="43"/>
      <c r="P171" s="88"/>
      <c r="Q171" s="195"/>
    </row>
    <row r="172" spans="2:17" ht="14.45" customHeight="1" thickBot="1" x14ac:dyDescent="0.25">
      <c r="B172" s="228"/>
      <c r="C172" s="233"/>
      <c r="D172" s="230"/>
      <c r="E172" s="146" t="s">
        <v>249</v>
      </c>
      <c r="F172" s="40" t="s">
        <v>398</v>
      </c>
      <c r="G172" s="147" t="s">
        <v>456</v>
      </c>
      <c r="H172" s="134" t="s">
        <v>631</v>
      </c>
      <c r="I172" s="75" t="s">
        <v>735</v>
      </c>
      <c r="J172" s="66">
        <v>3150</v>
      </c>
      <c r="K172" s="67">
        <v>46129</v>
      </c>
      <c r="L172" s="39"/>
      <c r="M172" s="39"/>
      <c r="N172" s="39"/>
      <c r="O172" s="39"/>
      <c r="P172" s="85"/>
      <c r="Q172" s="193"/>
    </row>
  </sheetData>
  <autoFilter ref="B3:Q3" xr:uid="{F57D865F-BD60-45D0-89B6-13302F5EE262}"/>
  <mergeCells count="78"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K2:L2"/>
    <mergeCell ref="E2:G2"/>
    <mergeCell ref="O2:P2"/>
    <mergeCell ref="M2:N2"/>
    <mergeCell ref="H2:J2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34:D36"/>
    <mergeCell ref="D44:D46"/>
    <mergeCell ref="D41:D43"/>
    <mergeCell ref="D47:D49"/>
    <mergeCell ref="D37:D40"/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</mergeCells>
  <phoneticPr fontId="3" type="noConversion"/>
  <conditionalFormatting sqref="E4:Q172">
    <cfRule type="expression" dxfId="2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2026-04-22T21:33:24Z</dcterms:modified>
  <cp:category/>
  <cp:contentStatus/>
</cp:coreProperties>
</file>